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Z:\IT\RPA IT\RPA - Visual AI\MACRO_RPA - Visial AI 5S\.Macro\Backup\2024-10-08\"/>
    </mc:Choice>
  </mc:AlternateContent>
  <xr:revisionPtr revIDLastSave="0" documentId="8_{A050FBE5-972E-41B9-8667-EC374A44D6A2}" xr6:coauthVersionLast="47" xr6:coauthVersionMax="47" xr10:uidLastSave="{00000000-0000-0000-0000-000000000000}"/>
  <bookViews>
    <workbookView xWindow="-110" yWindow="-110" windowWidth="19420" windowHeight="10300" tabRatio="750" firstSheet="2" activeTab="5" xr2:uid="{00000000-000D-0000-FFFF-FFFF00000000}"/>
  </bookViews>
  <sheets>
    <sheet name="History_WA" sheetId="21" state="hidden" r:id="rId1"/>
    <sheet name="Ref_Pesan" sheetId="3" state="hidden" r:id="rId2"/>
    <sheet name="HOME" sheetId="6" r:id="rId3"/>
    <sheet name="Ref_Kontak" sheetId="81" state="hidden" r:id="rId4"/>
    <sheet name="RPA1" sheetId="223" r:id="rId5"/>
    <sheet name="CC1_VisualAI" sheetId="224" r:id="rId6"/>
    <sheet name="RPA2" sheetId="225" r:id="rId7"/>
    <sheet name="RPA2_WA" sheetId="226" r:id="rId8"/>
  </sheets>
  <functionGroups builtInGroupCount="19"/>
  <definedNames>
    <definedName name="_xlnm._FilterDatabase" localSheetId="5" hidden="1">CC1_VisualAI!$A$1:$AI$883</definedName>
    <definedName name="_xlnm._FilterDatabase" localSheetId="0" hidden="1">History_WA!$A$1:$C$1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3" i="224" l="1"/>
  <c r="AH4" i="224"/>
  <c r="AH5" i="224"/>
  <c r="AH6" i="224"/>
  <c r="AH7" i="224"/>
  <c r="AH8" i="224"/>
  <c r="AH9" i="224"/>
  <c r="AH10" i="224"/>
  <c r="AH11" i="224"/>
  <c r="AH12" i="224"/>
  <c r="AH13" i="224"/>
  <c r="AH14" i="224"/>
  <c r="AH15" i="224"/>
  <c r="AH16" i="224"/>
  <c r="AH17" i="224"/>
  <c r="AH18" i="224"/>
  <c r="AH19" i="224"/>
  <c r="AH20" i="224"/>
  <c r="AH21" i="224"/>
  <c r="AH22" i="224"/>
  <c r="AH23" i="224"/>
  <c r="AH24" i="224"/>
  <c r="AH25" i="224"/>
  <c r="AH26" i="224"/>
  <c r="AH27" i="224"/>
  <c r="AH28" i="224"/>
  <c r="AH29" i="224"/>
  <c r="AH30" i="224"/>
  <c r="AH31" i="224"/>
  <c r="AH32" i="224"/>
  <c r="AH33" i="224"/>
  <c r="AH34" i="224"/>
  <c r="AH35" i="224"/>
  <c r="AH36" i="224"/>
  <c r="AH37" i="224"/>
  <c r="AH38" i="224"/>
  <c r="AH39" i="224"/>
  <c r="AH40" i="224"/>
  <c r="AH41" i="224"/>
  <c r="AH42" i="224"/>
  <c r="AH43" i="224"/>
  <c r="AH44" i="224"/>
  <c r="AH45" i="224"/>
  <c r="AH46" i="224"/>
  <c r="AH47" i="224"/>
  <c r="AH48" i="224"/>
  <c r="AH49" i="224"/>
  <c r="AH50" i="224"/>
  <c r="AH51" i="224"/>
  <c r="AH52" i="224"/>
  <c r="AH53" i="224"/>
  <c r="AH54" i="224"/>
  <c r="AH55" i="224"/>
  <c r="AH56" i="224"/>
  <c r="AH57" i="224"/>
  <c r="AH58" i="224"/>
  <c r="AH59" i="224"/>
  <c r="AH60" i="224"/>
  <c r="AH61" i="224"/>
  <c r="AH62" i="224"/>
  <c r="AH63" i="224"/>
  <c r="AH64" i="224"/>
  <c r="AH65" i="224"/>
  <c r="AH66" i="224"/>
  <c r="AH67" i="224"/>
  <c r="AH68" i="224"/>
  <c r="AH69" i="224"/>
  <c r="AH70" i="224"/>
  <c r="AH71" i="224"/>
  <c r="AH72" i="224"/>
  <c r="AH73" i="224"/>
  <c r="AH74" i="224"/>
  <c r="AH75" i="224"/>
  <c r="AH76" i="224"/>
  <c r="AH77" i="224"/>
  <c r="AH78" i="224"/>
  <c r="AH79" i="224"/>
  <c r="AH80" i="224"/>
  <c r="AH81" i="224"/>
  <c r="AH82" i="224"/>
  <c r="AH83" i="224"/>
  <c r="AH84" i="224"/>
  <c r="AH85" i="224"/>
  <c r="AH86" i="224"/>
  <c r="AH87" i="224"/>
  <c r="AH88" i="224"/>
  <c r="AH89" i="224"/>
  <c r="AH90" i="224"/>
  <c r="AH91" i="224"/>
  <c r="AH92" i="224"/>
  <c r="AH93" i="224"/>
  <c r="AH94" i="224"/>
  <c r="AH95" i="224"/>
  <c r="AH96" i="224"/>
  <c r="AH97" i="224"/>
  <c r="AH98" i="224"/>
  <c r="AH99" i="224"/>
  <c r="AH100" i="224"/>
  <c r="AH101" i="224"/>
  <c r="AH102" i="224"/>
  <c r="AH103" i="224"/>
  <c r="AH104" i="224"/>
  <c r="AH105" i="224"/>
  <c r="AH106" i="224"/>
  <c r="AH107" i="224"/>
  <c r="AH108" i="224"/>
  <c r="AH109" i="224"/>
  <c r="AH110" i="224"/>
  <c r="AH111" i="224"/>
  <c r="AH112" i="224"/>
  <c r="AH113" i="224"/>
  <c r="AH114" i="224"/>
  <c r="AH115" i="224"/>
  <c r="AH116" i="224"/>
  <c r="AH117" i="224"/>
  <c r="AH118" i="224"/>
  <c r="AH119" i="224"/>
  <c r="AH120" i="224"/>
  <c r="AH121" i="224"/>
  <c r="AH122" i="224"/>
  <c r="AH123" i="224"/>
  <c r="AH124" i="224"/>
  <c r="AH125" i="224"/>
  <c r="AH126" i="224"/>
  <c r="AH127" i="224"/>
  <c r="AH128" i="224"/>
  <c r="AH129" i="224"/>
  <c r="AH130" i="224"/>
  <c r="AH131" i="224"/>
  <c r="AH132" i="224"/>
  <c r="AH133" i="224"/>
  <c r="AH134" i="224"/>
  <c r="AH135" i="224"/>
  <c r="AH136" i="224"/>
  <c r="AH137" i="224"/>
  <c r="AH138" i="224"/>
  <c r="AH139" i="224"/>
  <c r="AH140" i="224"/>
  <c r="AH141" i="224"/>
  <c r="AH142" i="224"/>
  <c r="AH143" i="224"/>
  <c r="AH144" i="224"/>
  <c r="AH145" i="224"/>
  <c r="AH146" i="224"/>
  <c r="AH147" i="224"/>
  <c r="AH148" i="224"/>
  <c r="AH149" i="224"/>
  <c r="AH150" i="224"/>
  <c r="AH151" i="224"/>
  <c r="AH152" i="224"/>
  <c r="AH153" i="224"/>
  <c r="AH154" i="224"/>
  <c r="AH155" i="224"/>
  <c r="AH156" i="224"/>
  <c r="AH157" i="224"/>
  <c r="AH158" i="224"/>
  <c r="AH159" i="224"/>
  <c r="AH160" i="224"/>
  <c r="AH161" i="224"/>
  <c r="AH162" i="224"/>
  <c r="AH163" i="224"/>
  <c r="AH164" i="224"/>
  <c r="AH165" i="224"/>
  <c r="AH166" i="224"/>
  <c r="AH167" i="224"/>
  <c r="AH168" i="224"/>
  <c r="AH169" i="224"/>
  <c r="AH170" i="224"/>
  <c r="AH171" i="224"/>
  <c r="AH172" i="224"/>
  <c r="AH173" i="224"/>
  <c r="AH174" i="224"/>
  <c r="AH175" i="224"/>
  <c r="AH176" i="224"/>
  <c r="AH177" i="224"/>
  <c r="AH178" i="224"/>
  <c r="AH179" i="224"/>
  <c r="AH180" i="224"/>
  <c r="AH181" i="224"/>
  <c r="AH182" i="224"/>
  <c r="AH183" i="224"/>
  <c r="AH184" i="224"/>
  <c r="AH185" i="224"/>
  <c r="AH186" i="224"/>
  <c r="AH187" i="224"/>
  <c r="AH188" i="224"/>
  <c r="AH189" i="224"/>
  <c r="AH190" i="224"/>
  <c r="AH191" i="224"/>
  <c r="AH192" i="224"/>
  <c r="AH193" i="224"/>
  <c r="AH194" i="224"/>
  <c r="AH195" i="224"/>
  <c r="AH196" i="224"/>
  <c r="AH197" i="224"/>
  <c r="AH198" i="224"/>
  <c r="AH199" i="224"/>
  <c r="AH200" i="224"/>
  <c r="AH201" i="224"/>
  <c r="AH202" i="224"/>
  <c r="AH203" i="224"/>
  <c r="AH204" i="224"/>
  <c r="AH205" i="224"/>
  <c r="AH206" i="224"/>
  <c r="AH207" i="224"/>
  <c r="AH208" i="224"/>
  <c r="AH209" i="224"/>
  <c r="AH210" i="224"/>
  <c r="AH211" i="224"/>
  <c r="AH212" i="224"/>
  <c r="AH213" i="224"/>
  <c r="AH214" i="224"/>
  <c r="AH215" i="224"/>
  <c r="AH216" i="224"/>
  <c r="AH217" i="224"/>
  <c r="AH218" i="224"/>
  <c r="AH219" i="224"/>
  <c r="AH220" i="224"/>
  <c r="AH221" i="224"/>
  <c r="AH222" i="224"/>
  <c r="AH223" i="224"/>
  <c r="AH224" i="224"/>
  <c r="AH225" i="224"/>
  <c r="AH226" i="224"/>
  <c r="AH227" i="224"/>
  <c r="AH228" i="224"/>
  <c r="AH229" i="224"/>
  <c r="AH230" i="224"/>
  <c r="AH231" i="224"/>
  <c r="AH232" i="224"/>
  <c r="AH233" i="224"/>
  <c r="AH234" i="224"/>
  <c r="AH235" i="224"/>
  <c r="AH236" i="224"/>
  <c r="AH237" i="224"/>
  <c r="AH238" i="224"/>
  <c r="AH239" i="224"/>
  <c r="AH240" i="224"/>
  <c r="AH241" i="224"/>
  <c r="AH242" i="224"/>
  <c r="AH243" i="224"/>
  <c r="AH244" i="224"/>
  <c r="AH245" i="224"/>
  <c r="AH246" i="224"/>
  <c r="AH247" i="224"/>
  <c r="AH248" i="224"/>
  <c r="AH249" i="224"/>
  <c r="AH250" i="224"/>
  <c r="AH251" i="224"/>
  <c r="AH252" i="224"/>
  <c r="AH253" i="224"/>
  <c r="AH254" i="224"/>
  <c r="AH255" i="224"/>
  <c r="AH256" i="224"/>
  <c r="AH257" i="224"/>
  <c r="AH258" i="224"/>
  <c r="AH259" i="224"/>
  <c r="AH260" i="224"/>
  <c r="AH261" i="224"/>
  <c r="AH262" i="224"/>
  <c r="AH263" i="224"/>
  <c r="AH264" i="224"/>
  <c r="AH265" i="224"/>
  <c r="AH266" i="224"/>
  <c r="AH267" i="224"/>
  <c r="AH268" i="224"/>
  <c r="AH269" i="224"/>
  <c r="AH270" i="224"/>
  <c r="AH271" i="224"/>
  <c r="AH272" i="224"/>
  <c r="AH273" i="224"/>
  <c r="AH274" i="224"/>
  <c r="AH275" i="224"/>
  <c r="AH276" i="224"/>
  <c r="AH277" i="224"/>
  <c r="AH278" i="224"/>
  <c r="AH279" i="224"/>
  <c r="AH280" i="224"/>
  <c r="AH281" i="224"/>
  <c r="AH282" i="224"/>
  <c r="AD282" i="224" s="1"/>
  <c r="AH283" i="224"/>
  <c r="AH284" i="224"/>
  <c r="AH285" i="224"/>
  <c r="AH286" i="224"/>
  <c r="AH287" i="224"/>
  <c r="AH288" i="224"/>
  <c r="AH289" i="224"/>
  <c r="AH290" i="224"/>
  <c r="AH291" i="224"/>
  <c r="AH292" i="224"/>
  <c r="AH293" i="224"/>
  <c r="AH294" i="224"/>
  <c r="AH295" i="224"/>
  <c r="AH296" i="224"/>
  <c r="AH297" i="224"/>
  <c r="AH298" i="224"/>
  <c r="AH299" i="224"/>
  <c r="AH300" i="224"/>
  <c r="AH301" i="224"/>
  <c r="AH302" i="224"/>
  <c r="AH303" i="224"/>
  <c r="AH304" i="224"/>
  <c r="AH305" i="224"/>
  <c r="AH306" i="224"/>
  <c r="AH307" i="224"/>
  <c r="AH308" i="224"/>
  <c r="AH309" i="224"/>
  <c r="AH310" i="224"/>
  <c r="AH311" i="224"/>
  <c r="AH312" i="224"/>
  <c r="AH313" i="224"/>
  <c r="AH314" i="224"/>
  <c r="AH315" i="224"/>
  <c r="AH316" i="224"/>
  <c r="AH317" i="224"/>
  <c r="AH318" i="224"/>
  <c r="AH319" i="224"/>
  <c r="AH320" i="224"/>
  <c r="AH321" i="224"/>
  <c r="AH322" i="224"/>
  <c r="AH323" i="224"/>
  <c r="AH324" i="224"/>
  <c r="AH325" i="224"/>
  <c r="AH326" i="224"/>
  <c r="AH327" i="224"/>
  <c r="AH328" i="224"/>
  <c r="AH329" i="224"/>
  <c r="AH330" i="224"/>
  <c r="AH331" i="224"/>
  <c r="AH332" i="224"/>
  <c r="AH333" i="224"/>
  <c r="AH334" i="224"/>
  <c r="AH335" i="224"/>
  <c r="AH336" i="224"/>
  <c r="AH337" i="224"/>
  <c r="AH338" i="224"/>
  <c r="AH339" i="224"/>
  <c r="AH340" i="224"/>
  <c r="AH341" i="224"/>
  <c r="AH342" i="224"/>
  <c r="AH343" i="224"/>
  <c r="AH344" i="224"/>
  <c r="AH345" i="224"/>
  <c r="AH346" i="224"/>
  <c r="AH347" i="224"/>
  <c r="AH348" i="224"/>
  <c r="AH349" i="224"/>
  <c r="AH350" i="224"/>
  <c r="AH351" i="224"/>
  <c r="AH352" i="224"/>
  <c r="AH353" i="224"/>
  <c r="AH354" i="224"/>
  <c r="AH355" i="224"/>
  <c r="AH356" i="224"/>
  <c r="AH357" i="224"/>
  <c r="AH358" i="224"/>
  <c r="AH359" i="224"/>
  <c r="AH360" i="224"/>
  <c r="AH361" i="224"/>
  <c r="AH362" i="224"/>
  <c r="AH363" i="224"/>
  <c r="AH364" i="224"/>
  <c r="AH365" i="224"/>
  <c r="AH366" i="224"/>
  <c r="AH367" i="224"/>
  <c r="AH368" i="224"/>
  <c r="AH369" i="224"/>
  <c r="AH370" i="224"/>
  <c r="AH371" i="224"/>
  <c r="AH372" i="224"/>
  <c r="AH373" i="224"/>
  <c r="AH374" i="224"/>
  <c r="AH375" i="224"/>
  <c r="AH376" i="224"/>
  <c r="AH377" i="224"/>
  <c r="AH378" i="224"/>
  <c r="AH379" i="224"/>
  <c r="AH380" i="224"/>
  <c r="AH381" i="224"/>
  <c r="AH382" i="224"/>
  <c r="AH383" i="224"/>
  <c r="AH384" i="224"/>
  <c r="AH385" i="224"/>
  <c r="AH386" i="224"/>
  <c r="AH387" i="224"/>
  <c r="AH388" i="224"/>
  <c r="AH389" i="224"/>
  <c r="AH390" i="224"/>
  <c r="AH391" i="224"/>
  <c r="AH392" i="224"/>
  <c r="AH393" i="224"/>
  <c r="AH394" i="224"/>
  <c r="AH395" i="224"/>
  <c r="AH396" i="224"/>
  <c r="AH397" i="224"/>
  <c r="AH398" i="224"/>
  <c r="AH399" i="224"/>
  <c r="AH400" i="224"/>
  <c r="AH401" i="224"/>
  <c r="AH402" i="224"/>
  <c r="AH403" i="224"/>
  <c r="AH404" i="224"/>
  <c r="AH405" i="224"/>
  <c r="AH406" i="224"/>
  <c r="AH407" i="224"/>
  <c r="AH408" i="224"/>
  <c r="AH409" i="224"/>
  <c r="AH410" i="224"/>
  <c r="AH411" i="224"/>
  <c r="AH412" i="224"/>
  <c r="AH413" i="224"/>
  <c r="AH414" i="224"/>
  <c r="AH415" i="224"/>
  <c r="AH416" i="224"/>
  <c r="AH417" i="224"/>
  <c r="AH418" i="224"/>
  <c r="AH419" i="224"/>
  <c r="AH420" i="224"/>
  <c r="AH421" i="224"/>
  <c r="AH422" i="224"/>
  <c r="AH423" i="224"/>
  <c r="AH424" i="224"/>
  <c r="AH425" i="224"/>
  <c r="AH426" i="224"/>
  <c r="AH427" i="224"/>
  <c r="AH428" i="224"/>
  <c r="AH429" i="224"/>
  <c r="AH430" i="224"/>
  <c r="AH431" i="224"/>
  <c r="AH432" i="224"/>
  <c r="AH433" i="224"/>
  <c r="AH434" i="224"/>
  <c r="AH435" i="224"/>
  <c r="AH436" i="224"/>
  <c r="AH437" i="224"/>
  <c r="AH438" i="224"/>
  <c r="AH439" i="224"/>
  <c r="AH440" i="224"/>
  <c r="AH441" i="224"/>
  <c r="AH442" i="224"/>
  <c r="AH443" i="224"/>
  <c r="AH444" i="224"/>
  <c r="AH445" i="224"/>
  <c r="AH446" i="224"/>
  <c r="AH447" i="224"/>
  <c r="AH448" i="224"/>
  <c r="AH449" i="224"/>
  <c r="AH450" i="224"/>
  <c r="AH451" i="224"/>
  <c r="AH452" i="224"/>
  <c r="AH453" i="224"/>
  <c r="AH454" i="224"/>
  <c r="AH455" i="224"/>
  <c r="AH456" i="224"/>
  <c r="AH457" i="224"/>
  <c r="AH458" i="224"/>
  <c r="AH459" i="224"/>
  <c r="AH460" i="224"/>
  <c r="AH461" i="224"/>
  <c r="AH462" i="224"/>
  <c r="AH463" i="224"/>
  <c r="AH464" i="224"/>
  <c r="AH465" i="224"/>
  <c r="AH466" i="224"/>
  <c r="AH467" i="224"/>
  <c r="AH468" i="224"/>
  <c r="AH469" i="224"/>
  <c r="AH470" i="224"/>
  <c r="AH471" i="224"/>
  <c r="AH472" i="224"/>
  <c r="AH473" i="224"/>
  <c r="AH474" i="224"/>
  <c r="AH475" i="224"/>
  <c r="AH476" i="224"/>
  <c r="AH477" i="224"/>
  <c r="AH478" i="224"/>
  <c r="AH479" i="224"/>
  <c r="AH480" i="224"/>
  <c r="AH481" i="224"/>
  <c r="AH482" i="224"/>
  <c r="AH483" i="224"/>
  <c r="AH484" i="224"/>
  <c r="AH485" i="224"/>
  <c r="AH486" i="224"/>
  <c r="AH487" i="224"/>
  <c r="AH488" i="224"/>
  <c r="AH489" i="224"/>
  <c r="AH490" i="224"/>
  <c r="AH491" i="224"/>
  <c r="AH492" i="224"/>
  <c r="AH493" i="224"/>
  <c r="AH494" i="224"/>
  <c r="AH495" i="224"/>
  <c r="AH496" i="224"/>
  <c r="AH497" i="224"/>
  <c r="AH498" i="224"/>
  <c r="AH499" i="224"/>
  <c r="AH500" i="224"/>
  <c r="AH501" i="224"/>
  <c r="AH502" i="224"/>
  <c r="AH503" i="224"/>
  <c r="AH504" i="224"/>
  <c r="AH505" i="224"/>
  <c r="AH506" i="224"/>
  <c r="AH507" i="224"/>
  <c r="AH508" i="224"/>
  <c r="AH509" i="224"/>
  <c r="AH510" i="224"/>
  <c r="AH511" i="224"/>
  <c r="AH512" i="224"/>
  <c r="AH513" i="224"/>
  <c r="AH514" i="224"/>
  <c r="AH515" i="224"/>
  <c r="AH516" i="224"/>
  <c r="AH517" i="224"/>
  <c r="AH518" i="224"/>
  <c r="AH519" i="224"/>
  <c r="AH520" i="224"/>
  <c r="AH521" i="224"/>
  <c r="AH522" i="224"/>
  <c r="AH523" i="224"/>
  <c r="AH524" i="224"/>
  <c r="AH525" i="224"/>
  <c r="AH526" i="224"/>
  <c r="AH527" i="224"/>
  <c r="AH528" i="224"/>
  <c r="AH529" i="224"/>
  <c r="AH530" i="224"/>
  <c r="AH531" i="224"/>
  <c r="AH532" i="224"/>
  <c r="AH533" i="224"/>
  <c r="AH534" i="224"/>
  <c r="AH535" i="224"/>
  <c r="AH536" i="224"/>
  <c r="AH537" i="224"/>
  <c r="AH538" i="224"/>
  <c r="AH539" i="224"/>
  <c r="AH540" i="224"/>
  <c r="AH541" i="224"/>
  <c r="AH542" i="224"/>
  <c r="AH543" i="224"/>
  <c r="AH544" i="224"/>
  <c r="AH545" i="224"/>
  <c r="AH546" i="224"/>
  <c r="AH547" i="224"/>
  <c r="AH548" i="224"/>
  <c r="AH549" i="224"/>
  <c r="AH550" i="224"/>
  <c r="AH551" i="224"/>
  <c r="AH552" i="224"/>
  <c r="AH553" i="224"/>
  <c r="AH554" i="224"/>
  <c r="AH555" i="224"/>
  <c r="AH556" i="224"/>
  <c r="AH557" i="224"/>
  <c r="AH558" i="224"/>
  <c r="AH559" i="224"/>
  <c r="AH560" i="224"/>
  <c r="AH561" i="224"/>
  <c r="AH562" i="224"/>
  <c r="AH563" i="224"/>
  <c r="AH564" i="224"/>
  <c r="AH565" i="224"/>
  <c r="AH566" i="224"/>
  <c r="AH567" i="224"/>
  <c r="AH568" i="224"/>
  <c r="AH569" i="224"/>
  <c r="AH570" i="224"/>
  <c r="AH571" i="224"/>
  <c r="AH572" i="224"/>
  <c r="AH573" i="224"/>
  <c r="AH574" i="224"/>
  <c r="AH575" i="224"/>
  <c r="AH576" i="224"/>
  <c r="AH577" i="224"/>
  <c r="AH578" i="224"/>
  <c r="AH579" i="224"/>
  <c r="AH580" i="224"/>
  <c r="AH581" i="224"/>
  <c r="AH582" i="224"/>
  <c r="AH583" i="224"/>
  <c r="AH584" i="224"/>
  <c r="AH585" i="224"/>
  <c r="AH586" i="224"/>
  <c r="AH587" i="224"/>
  <c r="AH588" i="224"/>
  <c r="AH589" i="224"/>
  <c r="AH590" i="224"/>
  <c r="AH591" i="224"/>
  <c r="AH592" i="224"/>
  <c r="AH593" i="224"/>
  <c r="AH594" i="224"/>
  <c r="AH595" i="224"/>
  <c r="AH596" i="224"/>
  <c r="AH597" i="224"/>
  <c r="AH598" i="224"/>
  <c r="AH599" i="224"/>
  <c r="AH600" i="224"/>
  <c r="AH601" i="224"/>
  <c r="AH602" i="224"/>
  <c r="AH603" i="224"/>
  <c r="AH604" i="224"/>
  <c r="AH605" i="224"/>
  <c r="AH606" i="224"/>
  <c r="AH607" i="224"/>
  <c r="AH608" i="224"/>
  <c r="AH609" i="224"/>
  <c r="AH610" i="224"/>
  <c r="AH611" i="224"/>
  <c r="AH612" i="224"/>
  <c r="AH613" i="224"/>
  <c r="AH614" i="224"/>
  <c r="AH615" i="224"/>
  <c r="AH616" i="224"/>
  <c r="AH617" i="224"/>
  <c r="AH618" i="224"/>
  <c r="AH619" i="224"/>
  <c r="AH620" i="224"/>
  <c r="AH621" i="224"/>
  <c r="AH622" i="224"/>
  <c r="AH623" i="224"/>
  <c r="AH624" i="224"/>
  <c r="AH625" i="224"/>
  <c r="AH626" i="224"/>
  <c r="AH627" i="224"/>
  <c r="AH628" i="224"/>
  <c r="AH629" i="224"/>
  <c r="AH630" i="224"/>
  <c r="AH631" i="224"/>
  <c r="AH632" i="224"/>
  <c r="AH633" i="224"/>
  <c r="AH634" i="224"/>
  <c r="AD634" i="224" s="1"/>
  <c r="AH635" i="224"/>
  <c r="AH636" i="224"/>
  <c r="AH637" i="224"/>
  <c r="AH638" i="224"/>
  <c r="AH639" i="224"/>
  <c r="AH640" i="224"/>
  <c r="AH641" i="224"/>
  <c r="AH642" i="224"/>
  <c r="AH643" i="224"/>
  <c r="AH644" i="224"/>
  <c r="AH645" i="224"/>
  <c r="AH646" i="224"/>
  <c r="AH647" i="224"/>
  <c r="AH648" i="224"/>
  <c r="AH649" i="224"/>
  <c r="AH650" i="224"/>
  <c r="AH651" i="224"/>
  <c r="AH652" i="224"/>
  <c r="AH653" i="224"/>
  <c r="AH654" i="224"/>
  <c r="AH655" i="224"/>
  <c r="AH656" i="224"/>
  <c r="AH657" i="224"/>
  <c r="AH658" i="224"/>
  <c r="AH659" i="224"/>
  <c r="AH660" i="224"/>
  <c r="AH661" i="224"/>
  <c r="AH662" i="224"/>
  <c r="AH663" i="224"/>
  <c r="AH664" i="224"/>
  <c r="AH665" i="224"/>
  <c r="AH666" i="224"/>
  <c r="AH667" i="224"/>
  <c r="AH668" i="224"/>
  <c r="AH669" i="224"/>
  <c r="AH670" i="224"/>
  <c r="AH671" i="224"/>
  <c r="AH672" i="224"/>
  <c r="AH673" i="224"/>
  <c r="AH674" i="224"/>
  <c r="AH675" i="224"/>
  <c r="AH676" i="224"/>
  <c r="AH677" i="224"/>
  <c r="AH678" i="224"/>
  <c r="AH679" i="224"/>
  <c r="AH680" i="224"/>
  <c r="AH681" i="224"/>
  <c r="AH682" i="224"/>
  <c r="AH683" i="224"/>
  <c r="AH684" i="224"/>
  <c r="AH685" i="224"/>
  <c r="AH686" i="224"/>
  <c r="AH687" i="224"/>
  <c r="AH688" i="224"/>
  <c r="AH689" i="224"/>
  <c r="AH690" i="224"/>
  <c r="AH691" i="224"/>
  <c r="AH692" i="224"/>
  <c r="AH693" i="224"/>
  <c r="AH694" i="224"/>
  <c r="AH695" i="224"/>
  <c r="AH696" i="224"/>
  <c r="AH697" i="224"/>
  <c r="AH698" i="224"/>
  <c r="AH699" i="224"/>
  <c r="AH700" i="224"/>
  <c r="AH701" i="224"/>
  <c r="AH702" i="224"/>
  <c r="AH703" i="224"/>
  <c r="AH704" i="224"/>
  <c r="AH705" i="224"/>
  <c r="AH706" i="224"/>
  <c r="AH707" i="224"/>
  <c r="AH708" i="224"/>
  <c r="AH709" i="224"/>
  <c r="AH710" i="224"/>
  <c r="AH711" i="224"/>
  <c r="AH712" i="224"/>
  <c r="AH713" i="224"/>
  <c r="AH714" i="224"/>
  <c r="AH715" i="224"/>
  <c r="AH716" i="224"/>
  <c r="AH717" i="224"/>
  <c r="AH718" i="224"/>
  <c r="AH719" i="224"/>
  <c r="AH720" i="224"/>
  <c r="AH721" i="224"/>
  <c r="AH722" i="224"/>
  <c r="AH723" i="224"/>
  <c r="AH724" i="224"/>
  <c r="AH725" i="224"/>
  <c r="AH726" i="224"/>
  <c r="AH727" i="224"/>
  <c r="AH728" i="224"/>
  <c r="AH729" i="224"/>
  <c r="AH730" i="224"/>
  <c r="AH731" i="224"/>
  <c r="AH732" i="224"/>
  <c r="AH733" i="224"/>
  <c r="AH734" i="224"/>
  <c r="AH735" i="224"/>
  <c r="AH736" i="224"/>
  <c r="AH737" i="224"/>
  <c r="AH738" i="224"/>
  <c r="AH739" i="224"/>
  <c r="AH740" i="224"/>
  <c r="AH741" i="224"/>
  <c r="AH742" i="224"/>
  <c r="AH743" i="224"/>
  <c r="AH744" i="224"/>
  <c r="AH745" i="224"/>
  <c r="AH746" i="224"/>
  <c r="AH747" i="224"/>
  <c r="AH748" i="224"/>
  <c r="AH749" i="224"/>
  <c r="AH750" i="224"/>
  <c r="AH751" i="224"/>
  <c r="AH752" i="224"/>
  <c r="AH753" i="224"/>
  <c r="AH754" i="224"/>
  <c r="AH755" i="224"/>
  <c r="AH756" i="224"/>
  <c r="AH757" i="224"/>
  <c r="AH758" i="224"/>
  <c r="AH759" i="224"/>
  <c r="AH760" i="224"/>
  <c r="AH761" i="224"/>
  <c r="AH762" i="224"/>
  <c r="AH763" i="224"/>
  <c r="AH764" i="224"/>
  <c r="AH765" i="224"/>
  <c r="AH766" i="224"/>
  <c r="AH767" i="224"/>
  <c r="AH768" i="224"/>
  <c r="AH769" i="224"/>
  <c r="AH770" i="224"/>
  <c r="AH771" i="224"/>
  <c r="AH772" i="224"/>
  <c r="AH773" i="224"/>
  <c r="AH774" i="224"/>
  <c r="AH775" i="224"/>
  <c r="AH776" i="224"/>
  <c r="AH777" i="224"/>
  <c r="AH778" i="224"/>
  <c r="AH779" i="224"/>
  <c r="AH780" i="224"/>
  <c r="AH781" i="224"/>
  <c r="AH782" i="224"/>
  <c r="AH783" i="224"/>
  <c r="AH784" i="224"/>
  <c r="AH785" i="224"/>
  <c r="AH786" i="224"/>
  <c r="AH787" i="224"/>
  <c r="AH788" i="224"/>
  <c r="AH789" i="224"/>
  <c r="AH790" i="224"/>
  <c r="AH791" i="224"/>
  <c r="AH792" i="224"/>
  <c r="AH793" i="224"/>
  <c r="AH794" i="224"/>
  <c r="AH795" i="224"/>
  <c r="AH796" i="224"/>
  <c r="AH797" i="224"/>
  <c r="AH798" i="224"/>
  <c r="AH799" i="224"/>
  <c r="AH800" i="224"/>
  <c r="AH801" i="224"/>
  <c r="AH802" i="224"/>
  <c r="AH803" i="224"/>
  <c r="AH804" i="224"/>
  <c r="AH805" i="224"/>
  <c r="AH806" i="224"/>
  <c r="AH807" i="224"/>
  <c r="AH808" i="224"/>
  <c r="AH809" i="224"/>
  <c r="AH810" i="224"/>
  <c r="AH811" i="224"/>
  <c r="AH812" i="224"/>
  <c r="AH813" i="224"/>
  <c r="AH814" i="224"/>
  <c r="AH815" i="224"/>
  <c r="AH816" i="224"/>
  <c r="AH817" i="224"/>
  <c r="AH818" i="224"/>
  <c r="AH819" i="224"/>
  <c r="AH820" i="224"/>
  <c r="AH821" i="224"/>
  <c r="AH822" i="224"/>
  <c r="AH823" i="224"/>
  <c r="AH824" i="224"/>
  <c r="AH825" i="224"/>
  <c r="AH826" i="224"/>
  <c r="AH827" i="224"/>
  <c r="AH828" i="224"/>
  <c r="AH829" i="224"/>
  <c r="AH830" i="224"/>
  <c r="AH831" i="224"/>
  <c r="AH832" i="224"/>
  <c r="AH833" i="224"/>
  <c r="AH834" i="224"/>
  <c r="AH835" i="224"/>
  <c r="AH836" i="224"/>
  <c r="AH837" i="224"/>
  <c r="AH838" i="224"/>
  <c r="AH839" i="224"/>
  <c r="AH840" i="224"/>
  <c r="AH841" i="224"/>
  <c r="AH842" i="224"/>
  <c r="AH843" i="224"/>
  <c r="AH844" i="224"/>
  <c r="AH845" i="224"/>
  <c r="AH846" i="224"/>
  <c r="AH847" i="224"/>
  <c r="AH848" i="224"/>
  <c r="AH849" i="224"/>
  <c r="AH850" i="224"/>
  <c r="AH851" i="224"/>
  <c r="AH852" i="224"/>
  <c r="AH853" i="224"/>
  <c r="AH854" i="224"/>
  <c r="AH855" i="224"/>
  <c r="AH856" i="224"/>
  <c r="AH857" i="224"/>
  <c r="AH858" i="224"/>
  <c r="AH859" i="224"/>
  <c r="AH860" i="224"/>
  <c r="AH861" i="224"/>
  <c r="AH862" i="224"/>
  <c r="AH863" i="224"/>
  <c r="AH864" i="224"/>
  <c r="AH865" i="224"/>
  <c r="AH866" i="224"/>
  <c r="AH867" i="224"/>
  <c r="AH868" i="224"/>
  <c r="AH869" i="224"/>
  <c r="AH870" i="224"/>
  <c r="AH871" i="224"/>
  <c r="AH872" i="224"/>
  <c r="AH873" i="224"/>
  <c r="AH874" i="224"/>
  <c r="AH875" i="224"/>
  <c r="AH876" i="224"/>
  <c r="AH877" i="224"/>
  <c r="AH878" i="224"/>
  <c r="AH879" i="224"/>
  <c r="AH880" i="224"/>
  <c r="AH881" i="224"/>
  <c r="AH882" i="224"/>
  <c r="AH883" i="224"/>
  <c r="AH2" i="224"/>
  <c r="AA2" i="224"/>
  <c r="AB2" i="224" s="1"/>
  <c r="AA3" i="224"/>
  <c r="AB3" i="224" s="1"/>
  <c r="AD3" i="224" s="1"/>
  <c r="AA4" i="224"/>
  <c r="AB4" i="224" s="1"/>
  <c r="AD4" i="224" s="1"/>
  <c r="AA5" i="224"/>
  <c r="AB5" i="224" s="1"/>
  <c r="AD5" i="224" s="1"/>
  <c r="AA6" i="224"/>
  <c r="AB6" i="224" s="1"/>
  <c r="AA7" i="224"/>
  <c r="AB7" i="224" s="1"/>
  <c r="AA8" i="224"/>
  <c r="AB8" i="224" s="1"/>
  <c r="AA9" i="224"/>
  <c r="AB9" i="224" s="1"/>
  <c r="AA10" i="224"/>
  <c r="AB10" i="224" s="1"/>
  <c r="AA11" i="224"/>
  <c r="AB11" i="224" s="1"/>
  <c r="AD11" i="224" s="1"/>
  <c r="AA12" i="224"/>
  <c r="AA13" i="224"/>
  <c r="AB13" i="224" s="1"/>
  <c r="AD13" i="224" s="1"/>
  <c r="AA14" i="224"/>
  <c r="AB14" i="224" s="1"/>
  <c r="AA15" i="224"/>
  <c r="AB15" i="224" s="1"/>
  <c r="AA16" i="224"/>
  <c r="AB16" i="224" s="1"/>
  <c r="AA17" i="224"/>
  <c r="AB17" i="224" s="1"/>
  <c r="AA18" i="224"/>
  <c r="AB18" i="224" s="1"/>
  <c r="AA19" i="224"/>
  <c r="AB19" i="224" s="1"/>
  <c r="AD19" i="224" s="1"/>
  <c r="AA20" i="224"/>
  <c r="AB20" i="224" s="1"/>
  <c r="AD20" i="224" s="1"/>
  <c r="AA21" i="224"/>
  <c r="AB21" i="224" s="1"/>
  <c r="AD21" i="224" s="1"/>
  <c r="AA22" i="224"/>
  <c r="AB22" i="224" s="1"/>
  <c r="AA23" i="224"/>
  <c r="AB23" i="224" s="1"/>
  <c r="AA24" i="224"/>
  <c r="AB24" i="224" s="1"/>
  <c r="AA25" i="224"/>
  <c r="AB25" i="224" s="1"/>
  <c r="AA26" i="224"/>
  <c r="AB26" i="224" s="1"/>
  <c r="AA27" i="224"/>
  <c r="AB27" i="224" s="1"/>
  <c r="AD27" i="224" s="1"/>
  <c r="AA28" i="224"/>
  <c r="AB28" i="224" s="1"/>
  <c r="AD28" i="224" s="1"/>
  <c r="AA29" i="224"/>
  <c r="AB29" i="224" s="1"/>
  <c r="AD29" i="224" s="1"/>
  <c r="AA30" i="224"/>
  <c r="AB30" i="224" s="1"/>
  <c r="AA31" i="224"/>
  <c r="AB31" i="224" s="1"/>
  <c r="AA32" i="224"/>
  <c r="AB32" i="224" s="1"/>
  <c r="AA33" i="224"/>
  <c r="AB33" i="224" s="1"/>
  <c r="AA34" i="224"/>
  <c r="AB34" i="224" s="1"/>
  <c r="AA35" i="224"/>
  <c r="AB35" i="224" s="1"/>
  <c r="AD35" i="224" s="1"/>
  <c r="AA36" i="224"/>
  <c r="AB36" i="224" s="1"/>
  <c r="AD36" i="224" s="1"/>
  <c r="AA37" i="224"/>
  <c r="AB37" i="224" s="1"/>
  <c r="AD37" i="224" s="1"/>
  <c r="AA38" i="224"/>
  <c r="AB38" i="224" s="1"/>
  <c r="AA39" i="224"/>
  <c r="AB39" i="224" s="1"/>
  <c r="AA40" i="224"/>
  <c r="AB40" i="224" s="1"/>
  <c r="AA41" i="224"/>
  <c r="AB41" i="224" s="1"/>
  <c r="AA42" i="224"/>
  <c r="AB42" i="224" s="1"/>
  <c r="AA43" i="224"/>
  <c r="AB43" i="224" s="1"/>
  <c r="AD43" i="224" s="1"/>
  <c r="AA44" i="224"/>
  <c r="AB44" i="224" s="1"/>
  <c r="AD44" i="224" s="1"/>
  <c r="AA45" i="224"/>
  <c r="AB45" i="224" s="1"/>
  <c r="AD45" i="224" s="1"/>
  <c r="AA46" i="224"/>
  <c r="AB46" i="224" s="1"/>
  <c r="AA47" i="224"/>
  <c r="AB47" i="224" s="1"/>
  <c r="AA48" i="224"/>
  <c r="AB48" i="224" s="1"/>
  <c r="AA49" i="224"/>
  <c r="AB49" i="224" s="1"/>
  <c r="AA50" i="224"/>
  <c r="AB50" i="224" s="1"/>
  <c r="AA51" i="224"/>
  <c r="AB51" i="224" s="1"/>
  <c r="AD51" i="224" s="1"/>
  <c r="AA52" i="224"/>
  <c r="AB52" i="224" s="1"/>
  <c r="AD52" i="224" s="1"/>
  <c r="AA53" i="224"/>
  <c r="AB53" i="224" s="1"/>
  <c r="AD53" i="224" s="1"/>
  <c r="AA54" i="224"/>
  <c r="AB54" i="224" s="1"/>
  <c r="AA55" i="224"/>
  <c r="AB55" i="224" s="1"/>
  <c r="AA56" i="224"/>
  <c r="AB56" i="224" s="1"/>
  <c r="AA57" i="224"/>
  <c r="AB57" i="224" s="1"/>
  <c r="AA58" i="224"/>
  <c r="AB58" i="224" s="1"/>
  <c r="AA59" i="224"/>
  <c r="AB59" i="224" s="1"/>
  <c r="AD59" i="224" s="1"/>
  <c r="AA60" i="224"/>
  <c r="AB60" i="224" s="1"/>
  <c r="AD60" i="224" s="1"/>
  <c r="AA61" i="224"/>
  <c r="AB61" i="224" s="1"/>
  <c r="AD61" i="224" s="1"/>
  <c r="AA62" i="224"/>
  <c r="AB62" i="224" s="1"/>
  <c r="AA63" i="224"/>
  <c r="AB63" i="224" s="1"/>
  <c r="AA64" i="224"/>
  <c r="AB64" i="224" s="1"/>
  <c r="AA65" i="224"/>
  <c r="AB65" i="224" s="1"/>
  <c r="AA66" i="224"/>
  <c r="AB66" i="224" s="1"/>
  <c r="AA67" i="224"/>
  <c r="AB67" i="224" s="1"/>
  <c r="AD67" i="224" s="1"/>
  <c r="AA68" i="224"/>
  <c r="AA69" i="224"/>
  <c r="AB69" i="224" s="1"/>
  <c r="AD69" i="224" s="1"/>
  <c r="AA70" i="224"/>
  <c r="AB70" i="224" s="1"/>
  <c r="AA71" i="224"/>
  <c r="AB71" i="224" s="1"/>
  <c r="AA72" i="224"/>
  <c r="AB72" i="224" s="1"/>
  <c r="AA73" i="224"/>
  <c r="AB73" i="224" s="1"/>
  <c r="AA74" i="224"/>
  <c r="AB74" i="224" s="1"/>
  <c r="AA75" i="224"/>
  <c r="AB75" i="224" s="1"/>
  <c r="AD75" i="224" s="1"/>
  <c r="AA76" i="224"/>
  <c r="AB76" i="224" s="1"/>
  <c r="AD76" i="224" s="1"/>
  <c r="AA77" i="224"/>
  <c r="AB77" i="224" s="1"/>
  <c r="AD77" i="224" s="1"/>
  <c r="AA78" i="224"/>
  <c r="AB78" i="224" s="1"/>
  <c r="AA79" i="224"/>
  <c r="AB79" i="224" s="1"/>
  <c r="AA80" i="224"/>
  <c r="AB80" i="224" s="1"/>
  <c r="AA81" i="224"/>
  <c r="AB81" i="224" s="1"/>
  <c r="AA82" i="224"/>
  <c r="AB82" i="224" s="1"/>
  <c r="AA83" i="224"/>
  <c r="AB83" i="224" s="1"/>
  <c r="AD83" i="224" s="1"/>
  <c r="AA84" i="224"/>
  <c r="AB84" i="224" s="1"/>
  <c r="AD84" i="224" s="1"/>
  <c r="AA85" i="224"/>
  <c r="AB85" i="224" s="1"/>
  <c r="AD85" i="224" s="1"/>
  <c r="AA86" i="224"/>
  <c r="AB86" i="224" s="1"/>
  <c r="AA87" i="224"/>
  <c r="AB87" i="224" s="1"/>
  <c r="AA88" i="224"/>
  <c r="AB88" i="224" s="1"/>
  <c r="AA89" i="224"/>
  <c r="AB89" i="224" s="1"/>
  <c r="AA90" i="224"/>
  <c r="AB90" i="224" s="1"/>
  <c r="AA91" i="224"/>
  <c r="AA92" i="224"/>
  <c r="AB92" i="224" s="1"/>
  <c r="AD92" i="224" s="1"/>
  <c r="AA93" i="224"/>
  <c r="AB93" i="224" s="1"/>
  <c r="AD93" i="224" s="1"/>
  <c r="AA94" i="224"/>
  <c r="AB94" i="224" s="1"/>
  <c r="AA95" i="224"/>
  <c r="AB95" i="224" s="1"/>
  <c r="AA96" i="224"/>
  <c r="AB96" i="224" s="1"/>
  <c r="AA97" i="224"/>
  <c r="AB97" i="224" s="1"/>
  <c r="AA98" i="224"/>
  <c r="AB98" i="224" s="1"/>
  <c r="AA99" i="224"/>
  <c r="AA100" i="224"/>
  <c r="AB100" i="224" s="1"/>
  <c r="AD100" i="224" s="1"/>
  <c r="AA101" i="224"/>
  <c r="AB101" i="224" s="1"/>
  <c r="AD101" i="224" s="1"/>
  <c r="AA102" i="224"/>
  <c r="AB102" i="224" s="1"/>
  <c r="AA103" i="224"/>
  <c r="AB103" i="224" s="1"/>
  <c r="AA104" i="224"/>
  <c r="AB104" i="224" s="1"/>
  <c r="AA105" i="224"/>
  <c r="AB105" i="224" s="1"/>
  <c r="AA106" i="224"/>
  <c r="AB106" i="224" s="1"/>
  <c r="AA107" i="224"/>
  <c r="AB107" i="224" s="1"/>
  <c r="AD107" i="224" s="1"/>
  <c r="AA108" i="224"/>
  <c r="AA109" i="224"/>
  <c r="AB109" i="224" s="1"/>
  <c r="AD109" i="224" s="1"/>
  <c r="AA110" i="224"/>
  <c r="AB110" i="224" s="1"/>
  <c r="AA111" i="224"/>
  <c r="AB111" i="224" s="1"/>
  <c r="AA112" i="224"/>
  <c r="AB112" i="224" s="1"/>
  <c r="AA113" i="224"/>
  <c r="AB113" i="224" s="1"/>
  <c r="AA114" i="224"/>
  <c r="AB114" i="224" s="1"/>
  <c r="AA115" i="224"/>
  <c r="AB115" i="224" s="1"/>
  <c r="AD115" i="224" s="1"/>
  <c r="AA116" i="224"/>
  <c r="AA117" i="224"/>
  <c r="AB117" i="224" s="1"/>
  <c r="AD117" i="224" s="1"/>
  <c r="AA118" i="224"/>
  <c r="AB118" i="224" s="1"/>
  <c r="AA119" i="224"/>
  <c r="AB119" i="224" s="1"/>
  <c r="AA120" i="224"/>
  <c r="AB120" i="224" s="1"/>
  <c r="AA121" i="224"/>
  <c r="AB121" i="224" s="1"/>
  <c r="AA122" i="224"/>
  <c r="AB122" i="224" s="1"/>
  <c r="AA123" i="224"/>
  <c r="AB123" i="224" s="1"/>
  <c r="AD123" i="224" s="1"/>
  <c r="AA124" i="224"/>
  <c r="AB124" i="224" s="1"/>
  <c r="AD124" i="224" s="1"/>
  <c r="AA125" i="224"/>
  <c r="AB125" i="224" s="1"/>
  <c r="AD125" i="224" s="1"/>
  <c r="AA126" i="224"/>
  <c r="AB126" i="224" s="1"/>
  <c r="AA127" i="224"/>
  <c r="AB127" i="224" s="1"/>
  <c r="AA128" i="224"/>
  <c r="AB128" i="224" s="1"/>
  <c r="AA129" i="224"/>
  <c r="AB129" i="224" s="1"/>
  <c r="AA130" i="224"/>
  <c r="AB130" i="224" s="1"/>
  <c r="AA131" i="224"/>
  <c r="AB131" i="224" s="1"/>
  <c r="AD131" i="224" s="1"/>
  <c r="AA132" i="224"/>
  <c r="AB132" i="224" s="1"/>
  <c r="AD132" i="224" s="1"/>
  <c r="AA133" i="224"/>
  <c r="AB133" i="224" s="1"/>
  <c r="AD133" i="224" s="1"/>
  <c r="AA134" i="224"/>
  <c r="AB134" i="224" s="1"/>
  <c r="AA135" i="224"/>
  <c r="AB135" i="224" s="1"/>
  <c r="AA136" i="224"/>
  <c r="AB136" i="224" s="1"/>
  <c r="AA137" i="224"/>
  <c r="AB137" i="224" s="1"/>
  <c r="AA138" i="224"/>
  <c r="AB138" i="224" s="1"/>
  <c r="AA139" i="224"/>
  <c r="AB139" i="224" s="1"/>
  <c r="AD139" i="224" s="1"/>
  <c r="AA140" i="224"/>
  <c r="AB140" i="224" s="1"/>
  <c r="AD140" i="224" s="1"/>
  <c r="AA141" i="224"/>
  <c r="AB141" i="224" s="1"/>
  <c r="AD141" i="224" s="1"/>
  <c r="AA142" i="224"/>
  <c r="AB142" i="224" s="1"/>
  <c r="AA143" i="224"/>
  <c r="AB143" i="224" s="1"/>
  <c r="AA144" i="224"/>
  <c r="AB144" i="224" s="1"/>
  <c r="AA145" i="224"/>
  <c r="AB145" i="224" s="1"/>
  <c r="AA146" i="224"/>
  <c r="AB146" i="224" s="1"/>
  <c r="AA147" i="224"/>
  <c r="AB147" i="224" s="1"/>
  <c r="AD147" i="224" s="1"/>
  <c r="AA148" i="224"/>
  <c r="AB148" i="224" s="1"/>
  <c r="AD148" i="224" s="1"/>
  <c r="AA149" i="224"/>
  <c r="AB149" i="224" s="1"/>
  <c r="AD149" i="224" s="1"/>
  <c r="AA150" i="224"/>
  <c r="AB150" i="224" s="1"/>
  <c r="AA151" i="224"/>
  <c r="AB151" i="224" s="1"/>
  <c r="AA152" i="224"/>
  <c r="AB152" i="224" s="1"/>
  <c r="AA153" i="224"/>
  <c r="AB153" i="224" s="1"/>
  <c r="AA154" i="224"/>
  <c r="AB154" i="224" s="1"/>
  <c r="AA155" i="224"/>
  <c r="AB155" i="224" s="1"/>
  <c r="AD155" i="224" s="1"/>
  <c r="AA156" i="224"/>
  <c r="AB156" i="224" s="1"/>
  <c r="AD156" i="224" s="1"/>
  <c r="AA157" i="224"/>
  <c r="AB157" i="224" s="1"/>
  <c r="AD157" i="224" s="1"/>
  <c r="AA158" i="224"/>
  <c r="AB158" i="224" s="1"/>
  <c r="AA159" i="224"/>
  <c r="AB159" i="224" s="1"/>
  <c r="AA160" i="224"/>
  <c r="AB160" i="224" s="1"/>
  <c r="AA161" i="224"/>
  <c r="AB161" i="224" s="1"/>
  <c r="AA162" i="224"/>
  <c r="AB162" i="224" s="1"/>
  <c r="AA163" i="224"/>
  <c r="AB163" i="224" s="1"/>
  <c r="AD163" i="224" s="1"/>
  <c r="AA164" i="224"/>
  <c r="AB164" i="224" s="1"/>
  <c r="AD164" i="224" s="1"/>
  <c r="AA165" i="224"/>
  <c r="AB165" i="224" s="1"/>
  <c r="AD165" i="224" s="1"/>
  <c r="AA166" i="224"/>
  <c r="AB166" i="224" s="1"/>
  <c r="AA167" i="224"/>
  <c r="AB167" i="224" s="1"/>
  <c r="AA168" i="224"/>
  <c r="AB168" i="224" s="1"/>
  <c r="AA169" i="224"/>
  <c r="AB169" i="224" s="1"/>
  <c r="AA170" i="224"/>
  <c r="AB170" i="224" s="1"/>
  <c r="AA171" i="224"/>
  <c r="AB171" i="224" s="1"/>
  <c r="AD171" i="224" s="1"/>
  <c r="AA172" i="224"/>
  <c r="AB172" i="224" s="1"/>
  <c r="AD172" i="224" s="1"/>
  <c r="AA173" i="224"/>
  <c r="AB173" i="224" s="1"/>
  <c r="AD173" i="224" s="1"/>
  <c r="AA174" i="224"/>
  <c r="AB174" i="224" s="1"/>
  <c r="AA175" i="224"/>
  <c r="AB175" i="224" s="1"/>
  <c r="AA176" i="224"/>
  <c r="AB176" i="224" s="1"/>
  <c r="AA177" i="224"/>
  <c r="AB177" i="224" s="1"/>
  <c r="AA178" i="224"/>
  <c r="AB178" i="224" s="1"/>
  <c r="AA179" i="224"/>
  <c r="AB179" i="224" s="1"/>
  <c r="AD179" i="224" s="1"/>
  <c r="AA180" i="224"/>
  <c r="AB180" i="224" s="1"/>
  <c r="AD180" i="224" s="1"/>
  <c r="AA181" i="224"/>
  <c r="AB181" i="224" s="1"/>
  <c r="AD181" i="224" s="1"/>
  <c r="AA182" i="224"/>
  <c r="AB182" i="224" s="1"/>
  <c r="AA183" i="224"/>
  <c r="AB183" i="224" s="1"/>
  <c r="AA184" i="224"/>
  <c r="AB184" i="224" s="1"/>
  <c r="AA185" i="224"/>
  <c r="AB185" i="224" s="1"/>
  <c r="AA186" i="224"/>
  <c r="AB186" i="224" s="1"/>
  <c r="AA187" i="224"/>
  <c r="AB187" i="224" s="1"/>
  <c r="AD187" i="224" s="1"/>
  <c r="AA188" i="224"/>
  <c r="AB188" i="224" s="1"/>
  <c r="AD188" i="224" s="1"/>
  <c r="AA189" i="224"/>
  <c r="AB189" i="224" s="1"/>
  <c r="AD189" i="224" s="1"/>
  <c r="AA190" i="224"/>
  <c r="AB190" i="224" s="1"/>
  <c r="AA191" i="224"/>
  <c r="AB191" i="224" s="1"/>
  <c r="AA192" i="224"/>
  <c r="AB192" i="224" s="1"/>
  <c r="AA193" i="224"/>
  <c r="AB193" i="224" s="1"/>
  <c r="AA194" i="224"/>
  <c r="AB194" i="224" s="1"/>
  <c r="AA195" i="224"/>
  <c r="AB195" i="224" s="1"/>
  <c r="AD195" i="224" s="1"/>
  <c r="AA196" i="224"/>
  <c r="AB196" i="224" s="1"/>
  <c r="AD196" i="224" s="1"/>
  <c r="AA197" i="224"/>
  <c r="AB197" i="224" s="1"/>
  <c r="AD197" i="224" s="1"/>
  <c r="AA198" i="224"/>
  <c r="AB198" i="224" s="1"/>
  <c r="AA199" i="224"/>
  <c r="AB199" i="224" s="1"/>
  <c r="AA200" i="224"/>
  <c r="AB200" i="224" s="1"/>
  <c r="AA201" i="224"/>
  <c r="AB201" i="224" s="1"/>
  <c r="AA202" i="224"/>
  <c r="AB202" i="224" s="1"/>
  <c r="AA203" i="224"/>
  <c r="AB203" i="224" s="1"/>
  <c r="AD203" i="224" s="1"/>
  <c r="AA204" i="224"/>
  <c r="AB204" i="224" s="1"/>
  <c r="AD204" i="224" s="1"/>
  <c r="AA205" i="224"/>
  <c r="AB205" i="224" s="1"/>
  <c r="AD205" i="224" s="1"/>
  <c r="AA206" i="224"/>
  <c r="AB206" i="224" s="1"/>
  <c r="AA207" i="224"/>
  <c r="AB207" i="224" s="1"/>
  <c r="AA208" i="224"/>
  <c r="AB208" i="224" s="1"/>
  <c r="AA209" i="224"/>
  <c r="AB209" i="224" s="1"/>
  <c r="AA210" i="224"/>
  <c r="AB210" i="224" s="1"/>
  <c r="AA211" i="224"/>
  <c r="AB211" i="224" s="1"/>
  <c r="AD211" i="224" s="1"/>
  <c r="AA212" i="224"/>
  <c r="AB212" i="224" s="1"/>
  <c r="AD212" i="224" s="1"/>
  <c r="AA213" i="224"/>
  <c r="AB213" i="224" s="1"/>
  <c r="AD213" i="224" s="1"/>
  <c r="AA214" i="224"/>
  <c r="AB214" i="224" s="1"/>
  <c r="AA215" i="224"/>
  <c r="AB215" i="224" s="1"/>
  <c r="AA216" i="224"/>
  <c r="AB216" i="224" s="1"/>
  <c r="AA217" i="224"/>
  <c r="AB217" i="224" s="1"/>
  <c r="AA218" i="224"/>
  <c r="AB218" i="224" s="1"/>
  <c r="AA219" i="224"/>
  <c r="AB219" i="224" s="1"/>
  <c r="AD219" i="224" s="1"/>
  <c r="AA220" i="224"/>
  <c r="AB220" i="224" s="1"/>
  <c r="AD220" i="224" s="1"/>
  <c r="AA221" i="224"/>
  <c r="AB221" i="224" s="1"/>
  <c r="AD221" i="224" s="1"/>
  <c r="AA222" i="224"/>
  <c r="AB222" i="224" s="1"/>
  <c r="AA223" i="224"/>
  <c r="AB223" i="224" s="1"/>
  <c r="AA224" i="224"/>
  <c r="AB224" i="224" s="1"/>
  <c r="AA225" i="224"/>
  <c r="AB225" i="224" s="1"/>
  <c r="AA226" i="224"/>
  <c r="AB226" i="224" s="1"/>
  <c r="AA227" i="224"/>
  <c r="AB227" i="224" s="1"/>
  <c r="AD227" i="224" s="1"/>
  <c r="AA228" i="224"/>
  <c r="AB228" i="224" s="1"/>
  <c r="AD228" i="224" s="1"/>
  <c r="AA229" i="224"/>
  <c r="AB229" i="224" s="1"/>
  <c r="AD229" i="224" s="1"/>
  <c r="AA230" i="224"/>
  <c r="AB230" i="224" s="1"/>
  <c r="AA231" i="224"/>
  <c r="AB231" i="224" s="1"/>
  <c r="AA232" i="224"/>
  <c r="AB232" i="224" s="1"/>
  <c r="AA233" i="224"/>
  <c r="AB233" i="224" s="1"/>
  <c r="AA234" i="224"/>
  <c r="AB234" i="224" s="1"/>
  <c r="AA235" i="224"/>
  <c r="AA236" i="224"/>
  <c r="AB236" i="224" s="1"/>
  <c r="AD236" i="224" s="1"/>
  <c r="AA237" i="224"/>
  <c r="AB237" i="224" s="1"/>
  <c r="AD237" i="224" s="1"/>
  <c r="AA238" i="224"/>
  <c r="AB238" i="224" s="1"/>
  <c r="AA239" i="224"/>
  <c r="AB239" i="224" s="1"/>
  <c r="AA240" i="224"/>
  <c r="AB240" i="224" s="1"/>
  <c r="AA241" i="224"/>
  <c r="AB241" i="224" s="1"/>
  <c r="AA242" i="224"/>
  <c r="AB242" i="224" s="1"/>
  <c r="AA243" i="224"/>
  <c r="AB243" i="224" s="1"/>
  <c r="AD243" i="224" s="1"/>
  <c r="AA244" i="224"/>
  <c r="AB244" i="224" s="1"/>
  <c r="AD244" i="224" s="1"/>
  <c r="AA245" i="224"/>
  <c r="AB245" i="224" s="1"/>
  <c r="AD245" i="224" s="1"/>
  <c r="AA246" i="224"/>
  <c r="AB246" i="224" s="1"/>
  <c r="AA247" i="224"/>
  <c r="AB247" i="224" s="1"/>
  <c r="AA248" i="224"/>
  <c r="AB248" i="224" s="1"/>
  <c r="AA249" i="224"/>
  <c r="AB249" i="224" s="1"/>
  <c r="AA250" i="224"/>
  <c r="AB250" i="224" s="1"/>
  <c r="AA251" i="224"/>
  <c r="AB251" i="224" s="1"/>
  <c r="AD251" i="224" s="1"/>
  <c r="AA252" i="224"/>
  <c r="AB252" i="224" s="1"/>
  <c r="AD252" i="224" s="1"/>
  <c r="AA253" i="224"/>
  <c r="AB253" i="224" s="1"/>
  <c r="AD253" i="224" s="1"/>
  <c r="AA254" i="224"/>
  <c r="AB254" i="224" s="1"/>
  <c r="AA255" i="224"/>
  <c r="AB255" i="224" s="1"/>
  <c r="AA256" i="224"/>
  <c r="AB256" i="224" s="1"/>
  <c r="AA257" i="224"/>
  <c r="AB257" i="224" s="1"/>
  <c r="AA258" i="224"/>
  <c r="AB258" i="224" s="1"/>
  <c r="AA259" i="224"/>
  <c r="AB259" i="224" s="1"/>
  <c r="AD259" i="224" s="1"/>
  <c r="AA260" i="224"/>
  <c r="AB260" i="224" s="1"/>
  <c r="AD260" i="224" s="1"/>
  <c r="AA261" i="224"/>
  <c r="AB261" i="224" s="1"/>
  <c r="AD261" i="224" s="1"/>
  <c r="AA262" i="224"/>
  <c r="AB262" i="224" s="1"/>
  <c r="AA263" i="224"/>
  <c r="AB263" i="224" s="1"/>
  <c r="AA264" i="224"/>
  <c r="AB264" i="224" s="1"/>
  <c r="AA265" i="224"/>
  <c r="AB265" i="224" s="1"/>
  <c r="AA266" i="224"/>
  <c r="AB266" i="224" s="1"/>
  <c r="AA267" i="224"/>
  <c r="AB267" i="224" s="1"/>
  <c r="AD267" i="224" s="1"/>
  <c r="AA268" i="224"/>
  <c r="AB268" i="224" s="1"/>
  <c r="AD268" i="224" s="1"/>
  <c r="AA269" i="224"/>
  <c r="AB269" i="224" s="1"/>
  <c r="AD269" i="224" s="1"/>
  <c r="AA270" i="224"/>
  <c r="AB270" i="224" s="1"/>
  <c r="AA271" i="224"/>
  <c r="AB271" i="224" s="1"/>
  <c r="AA272" i="224"/>
  <c r="AB272" i="224" s="1"/>
  <c r="AA273" i="224"/>
  <c r="AB273" i="224" s="1"/>
  <c r="AA274" i="224"/>
  <c r="AB274" i="224" s="1"/>
  <c r="AA275" i="224"/>
  <c r="AA276" i="224"/>
  <c r="AB276" i="224" s="1"/>
  <c r="AD276" i="224" s="1"/>
  <c r="AA277" i="224"/>
  <c r="AB277" i="224" s="1"/>
  <c r="AD277" i="224" s="1"/>
  <c r="AA278" i="224"/>
  <c r="AB278" i="224" s="1"/>
  <c r="AA279" i="224"/>
  <c r="AB279" i="224" s="1"/>
  <c r="AA280" i="224"/>
  <c r="AB280" i="224" s="1"/>
  <c r="AA281" i="224"/>
  <c r="AB281" i="224" s="1"/>
  <c r="AA282" i="224"/>
  <c r="AB282" i="224" s="1"/>
  <c r="AA283" i="224"/>
  <c r="AB283" i="224" s="1"/>
  <c r="AD283" i="224" s="1"/>
  <c r="AA284" i="224"/>
  <c r="AB284" i="224" s="1"/>
  <c r="AD284" i="224" s="1"/>
  <c r="AA285" i="224"/>
  <c r="AB285" i="224" s="1"/>
  <c r="AD285" i="224" s="1"/>
  <c r="AA286" i="224"/>
  <c r="AB286" i="224" s="1"/>
  <c r="AA287" i="224"/>
  <c r="AB287" i="224" s="1"/>
  <c r="AA288" i="224"/>
  <c r="AB288" i="224" s="1"/>
  <c r="AA289" i="224"/>
  <c r="AB289" i="224" s="1"/>
  <c r="AA290" i="224"/>
  <c r="AB290" i="224" s="1"/>
  <c r="AA291" i="224"/>
  <c r="AB291" i="224" s="1"/>
  <c r="AD291" i="224" s="1"/>
  <c r="AA292" i="224"/>
  <c r="AB292" i="224" s="1"/>
  <c r="AD292" i="224" s="1"/>
  <c r="AA293" i="224"/>
  <c r="AB293" i="224" s="1"/>
  <c r="AD293" i="224" s="1"/>
  <c r="AA294" i="224"/>
  <c r="AB294" i="224" s="1"/>
  <c r="AA295" i="224"/>
  <c r="AB295" i="224" s="1"/>
  <c r="AA296" i="224"/>
  <c r="AB296" i="224" s="1"/>
  <c r="AA297" i="224"/>
  <c r="AB297" i="224" s="1"/>
  <c r="AA298" i="224"/>
  <c r="AB298" i="224" s="1"/>
  <c r="AA299" i="224"/>
  <c r="AB299" i="224" s="1"/>
  <c r="AD299" i="224" s="1"/>
  <c r="AA300" i="224"/>
  <c r="AB300" i="224" s="1"/>
  <c r="AD300" i="224" s="1"/>
  <c r="AA301" i="224"/>
  <c r="AB301" i="224" s="1"/>
  <c r="AD301" i="224" s="1"/>
  <c r="AA302" i="224"/>
  <c r="AB302" i="224" s="1"/>
  <c r="AA303" i="224"/>
  <c r="AB303" i="224" s="1"/>
  <c r="AA304" i="224"/>
  <c r="AB304" i="224" s="1"/>
  <c r="AA305" i="224"/>
  <c r="AB305" i="224" s="1"/>
  <c r="AA306" i="224"/>
  <c r="AB306" i="224" s="1"/>
  <c r="AA307" i="224"/>
  <c r="AB307" i="224" s="1"/>
  <c r="AD307" i="224" s="1"/>
  <c r="AA308" i="224"/>
  <c r="AB308" i="224" s="1"/>
  <c r="AD308" i="224" s="1"/>
  <c r="AA309" i="224"/>
  <c r="AB309" i="224" s="1"/>
  <c r="AD309" i="224" s="1"/>
  <c r="AA310" i="224"/>
  <c r="AB310" i="224" s="1"/>
  <c r="AA311" i="224"/>
  <c r="AB311" i="224" s="1"/>
  <c r="AA312" i="224"/>
  <c r="AB312" i="224" s="1"/>
  <c r="AA313" i="224"/>
  <c r="AB313" i="224" s="1"/>
  <c r="AA314" i="224"/>
  <c r="AB314" i="224" s="1"/>
  <c r="AA315" i="224"/>
  <c r="AB315" i="224" s="1"/>
  <c r="AD315" i="224" s="1"/>
  <c r="AA316" i="224"/>
  <c r="AB316" i="224" s="1"/>
  <c r="AD316" i="224" s="1"/>
  <c r="AA317" i="224"/>
  <c r="AB317" i="224" s="1"/>
  <c r="AD317" i="224" s="1"/>
  <c r="AA318" i="224"/>
  <c r="AB318" i="224" s="1"/>
  <c r="AA319" i="224"/>
  <c r="AB319" i="224" s="1"/>
  <c r="AA320" i="224"/>
  <c r="AB320" i="224" s="1"/>
  <c r="AA321" i="224"/>
  <c r="AB321" i="224" s="1"/>
  <c r="AA322" i="224"/>
  <c r="AB322" i="224" s="1"/>
  <c r="AA323" i="224"/>
  <c r="AB323" i="224" s="1"/>
  <c r="AD323" i="224" s="1"/>
  <c r="AA324" i="224"/>
  <c r="AB324" i="224" s="1"/>
  <c r="AD324" i="224" s="1"/>
  <c r="AA325" i="224"/>
  <c r="AB325" i="224" s="1"/>
  <c r="AD325" i="224" s="1"/>
  <c r="AA326" i="224"/>
  <c r="AB326" i="224" s="1"/>
  <c r="AD326" i="224" s="1"/>
  <c r="AA327" i="224"/>
  <c r="AB327" i="224" s="1"/>
  <c r="AA328" i="224"/>
  <c r="AB328" i="224" s="1"/>
  <c r="AA329" i="224"/>
  <c r="AB329" i="224" s="1"/>
  <c r="AA330" i="224"/>
  <c r="AB330" i="224" s="1"/>
  <c r="AA331" i="224"/>
  <c r="AB331" i="224" s="1"/>
  <c r="AD331" i="224" s="1"/>
  <c r="AA332" i="224"/>
  <c r="AB332" i="224" s="1"/>
  <c r="AD332" i="224" s="1"/>
  <c r="AA333" i="224"/>
  <c r="AB333" i="224" s="1"/>
  <c r="AD333" i="224" s="1"/>
  <c r="AA334" i="224"/>
  <c r="AB334" i="224" s="1"/>
  <c r="AD334" i="224" s="1"/>
  <c r="AA335" i="224"/>
  <c r="AB335" i="224" s="1"/>
  <c r="AA336" i="224"/>
  <c r="AB336" i="224" s="1"/>
  <c r="AA337" i="224"/>
  <c r="AB337" i="224" s="1"/>
  <c r="AA338" i="224"/>
  <c r="AB338" i="224" s="1"/>
  <c r="AA339" i="224"/>
  <c r="AB339" i="224" s="1"/>
  <c r="AD339" i="224" s="1"/>
  <c r="AA340" i="224"/>
  <c r="AB340" i="224" s="1"/>
  <c r="AD340" i="224" s="1"/>
  <c r="AA341" i="224"/>
  <c r="AB341" i="224" s="1"/>
  <c r="AD341" i="224" s="1"/>
  <c r="AA342" i="224"/>
  <c r="AB342" i="224" s="1"/>
  <c r="AD342" i="224" s="1"/>
  <c r="AA343" i="224"/>
  <c r="AB343" i="224" s="1"/>
  <c r="AA344" i="224"/>
  <c r="AB344" i="224" s="1"/>
  <c r="AA345" i="224"/>
  <c r="AB345" i="224" s="1"/>
  <c r="AA346" i="224"/>
  <c r="AB346" i="224" s="1"/>
  <c r="AA347" i="224"/>
  <c r="AB347" i="224" s="1"/>
  <c r="AD347" i="224" s="1"/>
  <c r="AA348" i="224"/>
  <c r="AB348" i="224" s="1"/>
  <c r="AD348" i="224" s="1"/>
  <c r="AA349" i="224"/>
  <c r="AB349" i="224" s="1"/>
  <c r="AD349" i="224" s="1"/>
  <c r="AA350" i="224"/>
  <c r="AB350" i="224" s="1"/>
  <c r="AD350" i="224" s="1"/>
  <c r="AA351" i="224"/>
  <c r="AB351" i="224" s="1"/>
  <c r="AA352" i="224"/>
  <c r="AB352" i="224" s="1"/>
  <c r="AA353" i="224"/>
  <c r="AB353" i="224" s="1"/>
  <c r="AA354" i="224"/>
  <c r="AB354" i="224" s="1"/>
  <c r="AA355" i="224"/>
  <c r="AB355" i="224" s="1"/>
  <c r="AD355" i="224" s="1"/>
  <c r="AA356" i="224"/>
  <c r="AB356" i="224" s="1"/>
  <c r="AD356" i="224" s="1"/>
  <c r="AA357" i="224"/>
  <c r="AB357" i="224" s="1"/>
  <c r="AD357" i="224" s="1"/>
  <c r="AA358" i="224"/>
  <c r="AB358" i="224" s="1"/>
  <c r="AD358" i="224" s="1"/>
  <c r="AA359" i="224"/>
  <c r="AB359" i="224" s="1"/>
  <c r="AA360" i="224"/>
  <c r="AB360" i="224" s="1"/>
  <c r="AA361" i="224"/>
  <c r="AB361" i="224" s="1"/>
  <c r="AA362" i="224"/>
  <c r="AB362" i="224" s="1"/>
  <c r="AA363" i="224"/>
  <c r="AB363" i="224" s="1"/>
  <c r="AD363" i="224" s="1"/>
  <c r="AA364" i="224"/>
  <c r="AB364" i="224" s="1"/>
  <c r="AD364" i="224" s="1"/>
  <c r="AA365" i="224"/>
  <c r="AB365" i="224" s="1"/>
  <c r="AD365" i="224" s="1"/>
  <c r="AA366" i="224"/>
  <c r="AB366" i="224" s="1"/>
  <c r="AD366" i="224" s="1"/>
  <c r="AA367" i="224"/>
  <c r="AB367" i="224" s="1"/>
  <c r="AA368" i="224"/>
  <c r="AB368" i="224" s="1"/>
  <c r="AA369" i="224"/>
  <c r="AB369" i="224" s="1"/>
  <c r="AA370" i="224"/>
  <c r="AB370" i="224" s="1"/>
  <c r="AA371" i="224"/>
  <c r="AB371" i="224" s="1"/>
  <c r="AD371" i="224" s="1"/>
  <c r="AA372" i="224"/>
  <c r="AB372" i="224" s="1"/>
  <c r="AD372" i="224" s="1"/>
  <c r="AA373" i="224"/>
  <c r="AB373" i="224" s="1"/>
  <c r="AD373" i="224" s="1"/>
  <c r="AA374" i="224"/>
  <c r="AB374" i="224" s="1"/>
  <c r="AD374" i="224" s="1"/>
  <c r="AA375" i="224"/>
  <c r="AB375" i="224" s="1"/>
  <c r="AA376" i="224"/>
  <c r="AB376" i="224" s="1"/>
  <c r="AA377" i="224"/>
  <c r="AB377" i="224" s="1"/>
  <c r="AA378" i="224"/>
  <c r="AB378" i="224" s="1"/>
  <c r="AA379" i="224"/>
  <c r="AB379" i="224" s="1"/>
  <c r="AD379" i="224" s="1"/>
  <c r="AA380" i="224"/>
  <c r="AB380" i="224" s="1"/>
  <c r="AD380" i="224" s="1"/>
  <c r="AA381" i="224"/>
  <c r="AB381" i="224" s="1"/>
  <c r="AD381" i="224" s="1"/>
  <c r="AA382" i="224"/>
  <c r="AB382" i="224" s="1"/>
  <c r="AD382" i="224" s="1"/>
  <c r="AA383" i="224"/>
  <c r="AB383" i="224" s="1"/>
  <c r="AA384" i="224"/>
  <c r="AB384" i="224" s="1"/>
  <c r="AA385" i="224"/>
  <c r="AB385" i="224" s="1"/>
  <c r="AA386" i="224"/>
  <c r="AB386" i="224" s="1"/>
  <c r="AA387" i="224"/>
  <c r="AB387" i="224" s="1"/>
  <c r="AD387" i="224" s="1"/>
  <c r="AA388" i="224"/>
  <c r="AB388" i="224" s="1"/>
  <c r="AD388" i="224" s="1"/>
  <c r="AA389" i="224"/>
  <c r="AB389" i="224" s="1"/>
  <c r="AD389" i="224" s="1"/>
  <c r="AA390" i="224"/>
  <c r="AB390" i="224" s="1"/>
  <c r="AD390" i="224" s="1"/>
  <c r="AA391" i="224"/>
  <c r="AB391" i="224" s="1"/>
  <c r="AA392" i="224"/>
  <c r="AB392" i="224" s="1"/>
  <c r="AA393" i="224"/>
  <c r="AB393" i="224" s="1"/>
  <c r="AA394" i="224"/>
  <c r="AB394" i="224" s="1"/>
  <c r="AA395" i="224"/>
  <c r="AB395" i="224" s="1"/>
  <c r="AD395" i="224" s="1"/>
  <c r="AA396" i="224"/>
  <c r="AB396" i="224" s="1"/>
  <c r="AD396" i="224" s="1"/>
  <c r="AA397" i="224"/>
  <c r="AB397" i="224" s="1"/>
  <c r="AD397" i="224" s="1"/>
  <c r="AA398" i="224"/>
  <c r="AB398" i="224" s="1"/>
  <c r="AD398" i="224" s="1"/>
  <c r="AA399" i="224"/>
  <c r="AB399" i="224" s="1"/>
  <c r="AA400" i="224"/>
  <c r="AB400" i="224" s="1"/>
  <c r="AA401" i="224"/>
  <c r="AB401" i="224" s="1"/>
  <c r="AA402" i="224"/>
  <c r="AB402" i="224" s="1"/>
  <c r="AA403" i="224"/>
  <c r="AB403" i="224" s="1"/>
  <c r="AD403" i="224" s="1"/>
  <c r="AA404" i="224"/>
  <c r="AB404" i="224" s="1"/>
  <c r="AD404" i="224" s="1"/>
  <c r="AA405" i="224"/>
  <c r="AB405" i="224" s="1"/>
  <c r="AD405" i="224" s="1"/>
  <c r="AA406" i="224"/>
  <c r="AB406" i="224" s="1"/>
  <c r="AD406" i="224" s="1"/>
  <c r="AA407" i="224"/>
  <c r="AB407" i="224" s="1"/>
  <c r="AA408" i="224"/>
  <c r="AB408" i="224" s="1"/>
  <c r="AA409" i="224"/>
  <c r="AB409" i="224" s="1"/>
  <c r="AA410" i="224"/>
  <c r="AB410" i="224" s="1"/>
  <c r="AA411" i="224"/>
  <c r="AB411" i="224" s="1"/>
  <c r="AD411" i="224" s="1"/>
  <c r="AA412" i="224"/>
  <c r="AB412" i="224" s="1"/>
  <c r="AD412" i="224" s="1"/>
  <c r="AA413" i="224"/>
  <c r="AB413" i="224" s="1"/>
  <c r="AD413" i="224" s="1"/>
  <c r="AA414" i="224"/>
  <c r="AB414" i="224" s="1"/>
  <c r="AD414" i="224" s="1"/>
  <c r="AA415" i="224"/>
  <c r="AB415" i="224" s="1"/>
  <c r="AA416" i="224"/>
  <c r="AB416" i="224" s="1"/>
  <c r="AA417" i="224"/>
  <c r="AB417" i="224" s="1"/>
  <c r="AA418" i="224"/>
  <c r="AB418" i="224" s="1"/>
  <c r="AA419" i="224"/>
  <c r="AB419" i="224" s="1"/>
  <c r="AD419" i="224" s="1"/>
  <c r="AA420" i="224"/>
  <c r="AB420" i="224" s="1"/>
  <c r="AD420" i="224" s="1"/>
  <c r="AA421" i="224"/>
  <c r="AB421" i="224" s="1"/>
  <c r="AD421" i="224" s="1"/>
  <c r="AA422" i="224"/>
  <c r="AB422" i="224" s="1"/>
  <c r="AD422" i="224" s="1"/>
  <c r="AA423" i="224"/>
  <c r="AB423" i="224" s="1"/>
  <c r="AA424" i="224"/>
  <c r="AB424" i="224" s="1"/>
  <c r="AA425" i="224"/>
  <c r="AB425" i="224" s="1"/>
  <c r="AA426" i="224"/>
  <c r="AB426" i="224" s="1"/>
  <c r="AA427" i="224"/>
  <c r="AB427" i="224" s="1"/>
  <c r="AD427" i="224" s="1"/>
  <c r="AA428" i="224"/>
  <c r="AB428" i="224" s="1"/>
  <c r="AD428" i="224" s="1"/>
  <c r="AA429" i="224"/>
  <c r="AB429" i="224" s="1"/>
  <c r="AD429" i="224" s="1"/>
  <c r="AA430" i="224"/>
  <c r="AB430" i="224" s="1"/>
  <c r="AD430" i="224" s="1"/>
  <c r="AA431" i="224"/>
  <c r="AB431" i="224" s="1"/>
  <c r="AA432" i="224"/>
  <c r="AB432" i="224" s="1"/>
  <c r="AA433" i="224"/>
  <c r="AB433" i="224" s="1"/>
  <c r="AA434" i="224"/>
  <c r="AB434" i="224" s="1"/>
  <c r="AA435" i="224"/>
  <c r="AB435" i="224" s="1"/>
  <c r="AD435" i="224" s="1"/>
  <c r="AA436" i="224"/>
  <c r="AB436" i="224" s="1"/>
  <c r="AD436" i="224" s="1"/>
  <c r="AA437" i="224"/>
  <c r="AB437" i="224" s="1"/>
  <c r="AD437" i="224" s="1"/>
  <c r="AA438" i="224"/>
  <c r="AB438" i="224" s="1"/>
  <c r="AD438" i="224" s="1"/>
  <c r="AA439" i="224"/>
  <c r="AB439" i="224" s="1"/>
  <c r="AA440" i="224"/>
  <c r="AB440" i="224" s="1"/>
  <c r="AA441" i="224"/>
  <c r="AB441" i="224" s="1"/>
  <c r="AA442" i="224"/>
  <c r="AB442" i="224" s="1"/>
  <c r="AA443" i="224"/>
  <c r="AB443" i="224" s="1"/>
  <c r="AD443" i="224" s="1"/>
  <c r="AA444" i="224"/>
  <c r="AB444" i="224" s="1"/>
  <c r="AD444" i="224" s="1"/>
  <c r="AA445" i="224"/>
  <c r="AB445" i="224" s="1"/>
  <c r="AD445" i="224" s="1"/>
  <c r="AA446" i="224"/>
  <c r="AB446" i="224" s="1"/>
  <c r="AD446" i="224" s="1"/>
  <c r="AA447" i="224"/>
  <c r="AB447" i="224" s="1"/>
  <c r="AA448" i="224"/>
  <c r="AB448" i="224" s="1"/>
  <c r="AA449" i="224"/>
  <c r="AB449" i="224" s="1"/>
  <c r="AA450" i="224"/>
  <c r="AB450" i="224" s="1"/>
  <c r="AA451" i="224"/>
  <c r="AB451" i="224" s="1"/>
  <c r="AD451" i="224" s="1"/>
  <c r="AA452" i="224"/>
  <c r="AB452" i="224" s="1"/>
  <c r="AD452" i="224" s="1"/>
  <c r="AA453" i="224"/>
  <c r="AB453" i="224" s="1"/>
  <c r="AD453" i="224" s="1"/>
  <c r="AA454" i="224"/>
  <c r="AB454" i="224" s="1"/>
  <c r="AD454" i="224" s="1"/>
  <c r="AA455" i="224"/>
  <c r="AB455" i="224" s="1"/>
  <c r="AA456" i="224"/>
  <c r="AB456" i="224" s="1"/>
  <c r="AA457" i="224"/>
  <c r="AB457" i="224" s="1"/>
  <c r="AA458" i="224"/>
  <c r="AB458" i="224" s="1"/>
  <c r="AA459" i="224"/>
  <c r="AB459" i="224" s="1"/>
  <c r="AD459" i="224" s="1"/>
  <c r="AA460" i="224"/>
  <c r="AB460" i="224" s="1"/>
  <c r="AD460" i="224" s="1"/>
  <c r="AA461" i="224"/>
  <c r="AB461" i="224" s="1"/>
  <c r="AD461" i="224" s="1"/>
  <c r="AA462" i="224"/>
  <c r="AB462" i="224" s="1"/>
  <c r="AD462" i="224" s="1"/>
  <c r="AA463" i="224"/>
  <c r="AB463" i="224" s="1"/>
  <c r="AA464" i="224"/>
  <c r="AB464" i="224" s="1"/>
  <c r="AA465" i="224"/>
  <c r="AB465" i="224" s="1"/>
  <c r="AA466" i="224"/>
  <c r="AB466" i="224" s="1"/>
  <c r="AA467" i="224"/>
  <c r="AB467" i="224" s="1"/>
  <c r="AD467" i="224" s="1"/>
  <c r="AA468" i="224"/>
  <c r="AB468" i="224" s="1"/>
  <c r="AD468" i="224" s="1"/>
  <c r="AA469" i="224"/>
  <c r="AB469" i="224" s="1"/>
  <c r="AD469" i="224" s="1"/>
  <c r="AA470" i="224"/>
  <c r="AB470" i="224" s="1"/>
  <c r="AD470" i="224" s="1"/>
  <c r="AA471" i="224"/>
  <c r="AB471" i="224" s="1"/>
  <c r="AA472" i="224"/>
  <c r="AB472" i="224" s="1"/>
  <c r="AA473" i="224"/>
  <c r="AB473" i="224" s="1"/>
  <c r="AA474" i="224"/>
  <c r="AB474" i="224" s="1"/>
  <c r="AA475" i="224"/>
  <c r="AB475" i="224" s="1"/>
  <c r="AD475" i="224" s="1"/>
  <c r="AA476" i="224"/>
  <c r="AB476" i="224" s="1"/>
  <c r="AD476" i="224" s="1"/>
  <c r="AA477" i="224"/>
  <c r="AB477" i="224" s="1"/>
  <c r="AD477" i="224" s="1"/>
  <c r="AA478" i="224"/>
  <c r="AB478" i="224" s="1"/>
  <c r="AD478" i="224" s="1"/>
  <c r="AA479" i="224"/>
  <c r="AB479" i="224" s="1"/>
  <c r="AA480" i="224"/>
  <c r="AB480" i="224" s="1"/>
  <c r="AA481" i="224"/>
  <c r="AB481" i="224" s="1"/>
  <c r="AA482" i="224"/>
  <c r="AB482" i="224" s="1"/>
  <c r="AA483" i="224"/>
  <c r="AB483" i="224" s="1"/>
  <c r="AD483" i="224" s="1"/>
  <c r="AA484" i="224"/>
  <c r="AB484" i="224" s="1"/>
  <c r="AD484" i="224" s="1"/>
  <c r="AA485" i="224"/>
  <c r="AB485" i="224" s="1"/>
  <c r="AD485" i="224" s="1"/>
  <c r="AA486" i="224"/>
  <c r="AB486" i="224" s="1"/>
  <c r="AD486" i="224" s="1"/>
  <c r="AA487" i="224"/>
  <c r="AB487" i="224" s="1"/>
  <c r="AA488" i="224"/>
  <c r="AB488" i="224" s="1"/>
  <c r="AA489" i="224"/>
  <c r="AB489" i="224" s="1"/>
  <c r="AA490" i="224"/>
  <c r="AB490" i="224" s="1"/>
  <c r="AA491" i="224"/>
  <c r="AA492" i="224"/>
  <c r="AB492" i="224" s="1"/>
  <c r="AD492" i="224" s="1"/>
  <c r="AA493" i="224"/>
  <c r="AB493" i="224" s="1"/>
  <c r="AD493" i="224" s="1"/>
  <c r="AA494" i="224"/>
  <c r="AB494" i="224" s="1"/>
  <c r="AD494" i="224" s="1"/>
  <c r="AA495" i="224"/>
  <c r="AB495" i="224" s="1"/>
  <c r="AA496" i="224"/>
  <c r="AB496" i="224" s="1"/>
  <c r="AA497" i="224"/>
  <c r="AB497" i="224" s="1"/>
  <c r="AA498" i="224"/>
  <c r="AB498" i="224" s="1"/>
  <c r="AA499" i="224"/>
  <c r="AB499" i="224" s="1"/>
  <c r="AD499" i="224" s="1"/>
  <c r="AA500" i="224"/>
  <c r="AB500" i="224" s="1"/>
  <c r="AD500" i="224" s="1"/>
  <c r="AA501" i="224"/>
  <c r="AB501" i="224" s="1"/>
  <c r="AD501" i="224" s="1"/>
  <c r="AA502" i="224"/>
  <c r="AB502" i="224" s="1"/>
  <c r="AD502" i="224" s="1"/>
  <c r="AA503" i="224"/>
  <c r="AB503" i="224" s="1"/>
  <c r="AA504" i="224"/>
  <c r="AB504" i="224" s="1"/>
  <c r="AA505" i="224"/>
  <c r="AB505" i="224" s="1"/>
  <c r="AA506" i="224"/>
  <c r="AB506" i="224" s="1"/>
  <c r="AA507" i="224"/>
  <c r="AB507" i="224" s="1"/>
  <c r="AD507" i="224" s="1"/>
  <c r="AA508" i="224"/>
  <c r="AB508" i="224" s="1"/>
  <c r="AD508" i="224" s="1"/>
  <c r="AA509" i="224"/>
  <c r="AB509" i="224" s="1"/>
  <c r="AD509" i="224" s="1"/>
  <c r="AA510" i="224"/>
  <c r="AB510" i="224" s="1"/>
  <c r="AD510" i="224" s="1"/>
  <c r="AA511" i="224"/>
  <c r="AB511" i="224" s="1"/>
  <c r="AA512" i="224"/>
  <c r="AB512" i="224" s="1"/>
  <c r="AA513" i="224"/>
  <c r="AB513" i="224" s="1"/>
  <c r="AA514" i="224"/>
  <c r="AB514" i="224" s="1"/>
  <c r="AA515" i="224"/>
  <c r="AB515" i="224" s="1"/>
  <c r="AD515" i="224" s="1"/>
  <c r="AA516" i="224"/>
  <c r="AB516" i="224" s="1"/>
  <c r="AD516" i="224" s="1"/>
  <c r="AA517" i="224"/>
  <c r="AB517" i="224" s="1"/>
  <c r="AD517" i="224" s="1"/>
  <c r="AA518" i="224"/>
  <c r="AB518" i="224" s="1"/>
  <c r="AD518" i="224" s="1"/>
  <c r="AA519" i="224"/>
  <c r="AB519" i="224" s="1"/>
  <c r="AA520" i="224"/>
  <c r="AB520" i="224" s="1"/>
  <c r="AA521" i="224"/>
  <c r="AB521" i="224" s="1"/>
  <c r="AA522" i="224"/>
  <c r="AB522" i="224" s="1"/>
  <c r="AA523" i="224"/>
  <c r="AB523" i="224" s="1"/>
  <c r="AD523" i="224" s="1"/>
  <c r="AA524" i="224"/>
  <c r="AB524" i="224" s="1"/>
  <c r="AD524" i="224" s="1"/>
  <c r="AA525" i="224"/>
  <c r="AB525" i="224" s="1"/>
  <c r="AD525" i="224" s="1"/>
  <c r="AA526" i="224"/>
  <c r="AB526" i="224" s="1"/>
  <c r="AD526" i="224" s="1"/>
  <c r="AA527" i="224"/>
  <c r="AB527" i="224" s="1"/>
  <c r="AA528" i="224"/>
  <c r="AB528" i="224" s="1"/>
  <c r="AA529" i="224"/>
  <c r="AB529" i="224" s="1"/>
  <c r="AA530" i="224"/>
  <c r="AB530" i="224" s="1"/>
  <c r="AA531" i="224"/>
  <c r="AB531" i="224" s="1"/>
  <c r="AD531" i="224" s="1"/>
  <c r="AA532" i="224"/>
  <c r="AB532" i="224" s="1"/>
  <c r="AD532" i="224" s="1"/>
  <c r="AA533" i="224"/>
  <c r="AB533" i="224" s="1"/>
  <c r="AD533" i="224" s="1"/>
  <c r="AA534" i="224"/>
  <c r="AB534" i="224" s="1"/>
  <c r="AD534" i="224" s="1"/>
  <c r="AA535" i="224"/>
  <c r="AB535" i="224" s="1"/>
  <c r="AA536" i="224"/>
  <c r="AB536" i="224" s="1"/>
  <c r="AA537" i="224"/>
  <c r="AB537" i="224" s="1"/>
  <c r="AA538" i="224"/>
  <c r="AB538" i="224" s="1"/>
  <c r="AA539" i="224"/>
  <c r="AB539" i="224" s="1"/>
  <c r="AD539" i="224" s="1"/>
  <c r="AA540" i="224"/>
  <c r="AB540" i="224" s="1"/>
  <c r="AD540" i="224" s="1"/>
  <c r="AA541" i="224"/>
  <c r="AB541" i="224" s="1"/>
  <c r="AD541" i="224" s="1"/>
  <c r="AA542" i="224"/>
  <c r="AB542" i="224" s="1"/>
  <c r="AD542" i="224" s="1"/>
  <c r="AA543" i="224"/>
  <c r="AB543" i="224" s="1"/>
  <c r="AA544" i="224"/>
  <c r="AB544" i="224" s="1"/>
  <c r="AA545" i="224"/>
  <c r="AB545" i="224" s="1"/>
  <c r="AA546" i="224"/>
  <c r="AB546" i="224" s="1"/>
  <c r="AA547" i="224"/>
  <c r="AB547" i="224" s="1"/>
  <c r="AD547" i="224" s="1"/>
  <c r="AA548" i="224"/>
  <c r="AB548" i="224" s="1"/>
  <c r="AD548" i="224" s="1"/>
  <c r="AA549" i="224"/>
  <c r="AB549" i="224" s="1"/>
  <c r="AD549" i="224" s="1"/>
  <c r="AA550" i="224"/>
  <c r="AB550" i="224" s="1"/>
  <c r="AD550" i="224" s="1"/>
  <c r="AA551" i="224"/>
  <c r="AB551" i="224" s="1"/>
  <c r="AA552" i="224"/>
  <c r="AB552" i="224" s="1"/>
  <c r="AA553" i="224"/>
  <c r="AB553" i="224" s="1"/>
  <c r="AA554" i="224"/>
  <c r="AB554" i="224" s="1"/>
  <c r="AA555" i="224"/>
  <c r="AB555" i="224" s="1"/>
  <c r="AD555" i="224" s="1"/>
  <c r="AA556" i="224"/>
  <c r="AB556" i="224" s="1"/>
  <c r="AD556" i="224" s="1"/>
  <c r="AA557" i="224"/>
  <c r="AB557" i="224" s="1"/>
  <c r="AD557" i="224" s="1"/>
  <c r="AA558" i="224"/>
  <c r="AB558" i="224" s="1"/>
  <c r="AD558" i="224" s="1"/>
  <c r="AA559" i="224"/>
  <c r="AB559" i="224" s="1"/>
  <c r="AA560" i="224"/>
  <c r="AB560" i="224" s="1"/>
  <c r="AA561" i="224"/>
  <c r="AB561" i="224" s="1"/>
  <c r="AA562" i="224"/>
  <c r="AB562" i="224" s="1"/>
  <c r="AA563" i="224"/>
  <c r="AB563" i="224" s="1"/>
  <c r="AD563" i="224" s="1"/>
  <c r="AA564" i="224"/>
  <c r="AB564" i="224" s="1"/>
  <c r="AD564" i="224" s="1"/>
  <c r="AA565" i="224"/>
  <c r="AB565" i="224" s="1"/>
  <c r="AD565" i="224" s="1"/>
  <c r="AA566" i="224"/>
  <c r="AB566" i="224" s="1"/>
  <c r="AD566" i="224" s="1"/>
  <c r="AA567" i="224"/>
  <c r="AB567" i="224" s="1"/>
  <c r="AA568" i="224"/>
  <c r="AB568" i="224" s="1"/>
  <c r="AA569" i="224"/>
  <c r="AB569" i="224" s="1"/>
  <c r="AA570" i="224"/>
  <c r="AB570" i="224" s="1"/>
  <c r="AA571" i="224"/>
  <c r="AB571" i="224" s="1"/>
  <c r="AD571" i="224" s="1"/>
  <c r="AA572" i="224"/>
  <c r="AB572" i="224" s="1"/>
  <c r="AD572" i="224" s="1"/>
  <c r="AA573" i="224"/>
  <c r="AB573" i="224" s="1"/>
  <c r="AD573" i="224" s="1"/>
  <c r="AA574" i="224"/>
  <c r="AB574" i="224" s="1"/>
  <c r="AD574" i="224" s="1"/>
  <c r="AA575" i="224"/>
  <c r="AB575" i="224" s="1"/>
  <c r="AA576" i="224"/>
  <c r="AB576" i="224" s="1"/>
  <c r="AA577" i="224"/>
  <c r="AB577" i="224" s="1"/>
  <c r="AA578" i="224"/>
  <c r="AB578" i="224" s="1"/>
  <c r="AA579" i="224"/>
  <c r="AB579" i="224" s="1"/>
  <c r="AD579" i="224" s="1"/>
  <c r="AA580" i="224"/>
  <c r="AB580" i="224" s="1"/>
  <c r="AD580" i="224" s="1"/>
  <c r="AA581" i="224"/>
  <c r="AB581" i="224" s="1"/>
  <c r="AD581" i="224" s="1"/>
  <c r="AA582" i="224"/>
  <c r="AB582" i="224" s="1"/>
  <c r="AD582" i="224" s="1"/>
  <c r="AA583" i="224"/>
  <c r="AB583" i="224" s="1"/>
  <c r="AA584" i="224"/>
  <c r="AB584" i="224" s="1"/>
  <c r="AA585" i="224"/>
  <c r="AB585" i="224" s="1"/>
  <c r="AA586" i="224"/>
  <c r="AB586" i="224" s="1"/>
  <c r="AA587" i="224"/>
  <c r="AB587" i="224" s="1"/>
  <c r="AD587" i="224" s="1"/>
  <c r="AA588" i="224"/>
  <c r="AB588" i="224" s="1"/>
  <c r="AD588" i="224" s="1"/>
  <c r="AA589" i="224"/>
  <c r="AB589" i="224" s="1"/>
  <c r="AD589" i="224" s="1"/>
  <c r="AA590" i="224"/>
  <c r="AB590" i="224" s="1"/>
  <c r="AD590" i="224" s="1"/>
  <c r="AA591" i="224"/>
  <c r="AB591" i="224" s="1"/>
  <c r="AA592" i="224"/>
  <c r="AB592" i="224" s="1"/>
  <c r="AA593" i="224"/>
  <c r="AB593" i="224" s="1"/>
  <c r="AA594" i="224"/>
  <c r="AB594" i="224" s="1"/>
  <c r="AA595" i="224"/>
  <c r="AB595" i="224" s="1"/>
  <c r="AD595" i="224" s="1"/>
  <c r="AA596" i="224"/>
  <c r="AB596" i="224" s="1"/>
  <c r="AD596" i="224" s="1"/>
  <c r="AA597" i="224"/>
  <c r="AB597" i="224" s="1"/>
  <c r="AD597" i="224" s="1"/>
  <c r="AA598" i="224"/>
  <c r="AB598" i="224" s="1"/>
  <c r="AD598" i="224" s="1"/>
  <c r="AA599" i="224"/>
  <c r="AB599" i="224" s="1"/>
  <c r="AA600" i="224"/>
  <c r="AB600" i="224" s="1"/>
  <c r="AA601" i="224"/>
  <c r="AB601" i="224" s="1"/>
  <c r="AA602" i="224"/>
  <c r="AB602" i="224" s="1"/>
  <c r="AA603" i="224"/>
  <c r="AB603" i="224" s="1"/>
  <c r="AD603" i="224" s="1"/>
  <c r="AA604" i="224"/>
  <c r="AB604" i="224" s="1"/>
  <c r="AD604" i="224" s="1"/>
  <c r="AA605" i="224"/>
  <c r="AB605" i="224" s="1"/>
  <c r="AD605" i="224" s="1"/>
  <c r="AA606" i="224"/>
  <c r="AB606" i="224" s="1"/>
  <c r="AD606" i="224" s="1"/>
  <c r="AA607" i="224"/>
  <c r="AB607" i="224" s="1"/>
  <c r="AA608" i="224"/>
  <c r="AB608" i="224" s="1"/>
  <c r="AA609" i="224"/>
  <c r="AB609" i="224" s="1"/>
  <c r="AA610" i="224"/>
  <c r="AB610" i="224" s="1"/>
  <c r="AA611" i="224"/>
  <c r="AB611" i="224" s="1"/>
  <c r="AD611" i="224" s="1"/>
  <c r="AA612" i="224"/>
  <c r="AB612" i="224" s="1"/>
  <c r="AD612" i="224" s="1"/>
  <c r="AA613" i="224"/>
  <c r="AB613" i="224" s="1"/>
  <c r="AD613" i="224" s="1"/>
  <c r="AA614" i="224"/>
  <c r="AB614" i="224" s="1"/>
  <c r="AD614" i="224" s="1"/>
  <c r="AA615" i="224"/>
  <c r="AB615" i="224" s="1"/>
  <c r="AA616" i="224"/>
  <c r="AB616" i="224" s="1"/>
  <c r="AA617" i="224"/>
  <c r="AB617" i="224" s="1"/>
  <c r="AA618" i="224"/>
  <c r="AB618" i="224" s="1"/>
  <c r="AA619" i="224"/>
  <c r="AA620" i="224"/>
  <c r="AB620" i="224" s="1"/>
  <c r="AD620" i="224" s="1"/>
  <c r="AA621" i="224"/>
  <c r="AB621" i="224" s="1"/>
  <c r="AD621" i="224" s="1"/>
  <c r="AA622" i="224"/>
  <c r="AB622" i="224" s="1"/>
  <c r="AD622" i="224" s="1"/>
  <c r="AA623" i="224"/>
  <c r="AB623" i="224" s="1"/>
  <c r="AA624" i="224"/>
  <c r="AB624" i="224" s="1"/>
  <c r="AA625" i="224"/>
  <c r="AB625" i="224" s="1"/>
  <c r="AA626" i="224"/>
  <c r="AB626" i="224" s="1"/>
  <c r="AA627" i="224"/>
  <c r="AA628" i="224"/>
  <c r="AB628" i="224" s="1"/>
  <c r="AD628" i="224" s="1"/>
  <c r="AA629" i="224"/>
  <c r="AB629" i="224" s="1"/>
  <c r="AD629" i="224" s="1"/>
  <c r="AA630" i="224"/>
  <c r="AB630" i="224" s="1"/>
  <c r="AD630" i="224" s="1"/>
  <c r="AA631" i="224"/>
  <c r="AB631" i="224" s="1"/>
  <c r="AA632" i="224"/>
  <c r="AB632" i="224" s="1"/>
  <c r="AA633" i="224"/>
  <c r="AB633" i="224" s="1"/>
  <c r="AA634" i="224"/>
  <c r="AB634" i="224" s="1"/>
  <c r="AA635" i="224"/>
  <c r="AB635" i="224" s="1"/>
  <c r="AD635" i="224" s="1"/>
  <c r="AA636" i="224"/>
  <c r="AB636" i="224" s="1"/>
  <c r="AD636" i="224" s="1"/>
  <c r="AA637" i="224"/>
  <c r="AB637" i="224" s="1"/>
  <c r="AD637" i="224" s="1"/>
  <c r="AA638" i="224"/>
  <c r="AB638" i="224" s="1"/>
  <c r="AD638" i="224" s="1"/>
  <c r="AA639" i="224"/>
  <c r="AB639" i="224" s="1"/>
  <c r="AA640" i="224"/>
  <c r="AB640" i="224" s="1"/>
  <c r="AA641" i="224"/>
  <c r="AB641" i="224" s="1"/>
  <c r="AA642" i="224"/>
  <c r="AB642" i="224" s="1"/>
  <c r="AA643" i="224"/>
  <c r="AB643" i="224" s="1"/>
  <c r="AD643" i="224" s="1"/>
  <c r="AA644" i="224"/>
  <c r="AB644" i="224" s="1"/>
  <c r="AD644" i="224" s="1"/>
  <c r="AA645" i="224"/>
  <c r="AB645" i="224" s="1"/>
  <c r="AD645" i="224" s="1"/>
  <c r="AA646" i="224"/>
  <c r="AB646" i="224" s="1"/>
  <c r="AD646" i="224" s="1"/>
  <c r="AA647" i="224"/>
  <c r="AB647" i="224" s="1"/>
  <c r="AA648" i="224"/>
  <c r="AB648" i="224" s="1"/>
  <c r="AA649" i="224"/>
  <c r="AB649" i="224" s="1"/>
  <c r="AA650" i="224"/>
  <c r="AB650" i="224" s="1"/>
  <c r="AA651" i="224"/>
  <c r="AB651" i="224" s="1"/>
  <c r="AD651" i="224" s="1"/>
  <c r="AA652" i="224"/>
  <c r="AB652" i="224" s="1"/>
  <c r="AD652" i="224" s="1"/>
  <c r="AA653" i="224"/>
  <c r="AB653" i="224" s="1"/>
  <c r="AD653" i="224" s="1"/>
  <c r="AA654" i="224"/>
  <c r="AB654" i="224" s="1"/>
  <c r="AD654" i="224" s="1"/>
  <c r="AA655" i="224"/>
  <c r="AB655" i="224" s="1"/>
  <c r="AA656" i="224"/>
  <c r="AB656" i="224" s="1"/>
  <c r="AA657" i="224"/>
  <c r="AB657" i="224" s="1"/>
  <c r="AA658" i="224"/>
  <c r="AB658" i="224" s="1"/>
  <c r="AA659" i="224"/>
  <c r="AB659" i="224" s="1"/>
  <c r="AD659" i="224" s="1"/>
  <c r="AA660" i="224"/>
  <c r="AB660" i="224" s="1"/>
  <c r="AD660" i="224" s="1"/>
  <c r="AA661" i="224"/>
  <c r="AB661" i="224" s="1"/>
  <c r="AD661" i="224" s="1"/>
  <c r="AA662" i="224"/>
  <c r="AB662" i="224" s="1"/>
  <c r="AD662" i="224" s="1"/>
  <c r="AA663" i="224"/>
  <c r="AB663" i="224" s="1"/>
  <c r="AA664" i="224"/>
  <c r="AB664" i="224" s="1"/>
  <c r="AA665" i="224"/>
  <c r="AB665" i="224" s="1"/>
  <c r="AA666" i="224"/>
  <c r="AB666" i="224" s="1"/>
  <c r="AA667" i="224"/>
  <c r="AB667" i="224" s="1"/>
  <c r="AD667" i="224" s="1"/>
  <c r="AA668" i="224"/>
  <c r="AB668" i="224" s="1"/>
  <c r="AD668" i="224" s="1"/>
  <c r="AA669" i="224"/>
  <c r="AB669" i="224" s="1"/>
  <c r="AD669" i="224" s="1"/>
  <c r="AA670" i="224"/>
  <c r="AB670" i="224" s="1"/>
  <c r="AD670" i="224" s="1"/>
  <c r="AA671" i="224"/>
  <c r="AB671" i="224" s="1"/>
  <c r="AA672" i="224"/>
  <c r="AB672" i="224" s="1"/>
  <c r="AA673" i="224"/>
  <c r="AB673" i="224" s="1"/>
  <c r="AA674" i="224"/>
  <c r="AB674" i="224" s="1"/>
  <c r="AA675" i="224"/>
  <c r="AB675" i="224" s="1"/>
  <c r="AD675" i="224" s="1"/>
  <c r="AA676" i="224"/>
  <c r="AB676" i="224" s="1"/>
  <c r="AD676" i="224" s="1"/>
  <c r="AA677" i="224"/>
  <c r="AB677" i="224" s="1"/>
  <c r="AD677" i="224" s="1"/>
  <c r="AA678" i="224"/>
  <c r="AB678" i="224" s="1"/>
  <c r="AD678" i="224" s="1"/>
  <c r="AA679" i="224"/>
  <c r="AB679" i="224" s="1"/>
  <c r="AA680" i="224"/>
  <c r="AB680" i="224" s="1"/>
  <c r="AA681" i="224"/>
  <c r="AB681" i="224" s="1"/>
  <c r="AA682" i="224"/>
  <c r="AB682" i="224" s="1"/>
  <c r="AA683" i="224"/>
  <c r="AB683" i="224" s="1"/>
  <c r="AD683" i="224" s="1"/>
  <c r="AA684" i="224"/>
  <c r="AB684" i="224" s="1"/>
  <c r="AD684" i="224" s="1"/>
  <c r="AA685" i="224"/>
  <c r="AB685" i="224" s="1"/>
  <c r="AD685" i="224" s="1"/>
  <c r="AA686" i="224"/>
  <c r="AB686" i="224" s="1"/>
  <c r="AD686" i="224" s="1"/>
  <c r="AA687" i="224"/>
  <c r="AB687" i="224" s="1"/>
  <c r="AD687" i="224" s="1"/>
  <c r="AA688" i="224"/>
  <c r="AB688" i="224" s="1"/>
  <c r="AA689" i="224"/>
  <c r="AB689" i="224" s="1"/>
  <c r="AA690" i="224"/>
  <c r="AB690" i="224" s="1"/>
  <c r="AA691" i="224"/>
  <c r="AB691" i="224" s="1"/>
  <c r="AD691" i="224" s="1"/>
  <c r="AA692" i="224"/>
  <c r="AB692" i="224" s="1"/>
  <c r="AD692" i="224" s="1"/>
  <c r="AA693" i="224"/>
  <c r="AB693" i="224" s="1"/>
  <c r="AD693" i="224" s="1"/>
  <c r="AA694" i="224"/>
  <c r="AB694" i="224" s="1"/>
  <c r="AD694" i="224" s="1"/>
  <c r="AA695" i="224"/>
  <c r="AB695" i="224" s="1"/>
  <c r="AA696" i="224"/>
  <c r="AB696" i="224" s="1"/>
  <c r="AA697" i="224"/>
  <c r="AB697" i="224" s="1"/>
  <c r="AA698" i="224"/>
  <c r="AB698" i="224" s="1"/>
  <c r="AA699" i="224"/>
  <c r="AB699" i="224" s="1"/>
  <c r="AD699" i="224" s="1"/>
  <c r="AA700" i="224"/>
  <c r="AB700" i="224" s="1"/>
  <c r="AD700" i="224" s="1"/>
  <c r="AA701" i="224"/>
  <c r="AB701" i="224" s="1"/>
  <c r="AD701" i="224" s="1"/>
  <c r="AA702" i="224"/>
  <c r="AB702" i="224" s="1"/>
  <c r="AD702" i="224" s="1"/>
  <c r="AA703" i="224"/>
  <c r="AB703" i="224" s="1"/>
  <c r="AA704" i="224"/>
  <c r="AB704" i="224" s="1"/>
  <c r="AA705" i="224"/>
  <c r="AB705" i="224" s="1"/>
  <c r="AA706" i="224"/>
  <c r="AB706" i="224" s="1"/>
  <c r="AA707" i="224"/>
  <c r="AB707" i="224" s="1"/>
  <c r="AD707" i="224" s="1"/>
  <c r="AA708" i="224"/>
  <c r="AB708" i="224" s="1"/>
  <c r="AD708" i="224" s="1"/>
  <c r="AA709" i="224"/>
  <c r="AB709" i="224" s="1"/>
  <c r="AD709" i="224" s="1"/>
  <c r="AA710" i="224"/>
  <c r="AB710" i="224" s="1"/>
  <c r="AD710" i="224" s="1"/>
  <c r="AA711" i="224"/>
  <c r="AB711" i="224" s="1"/>
  <c r="AA712" i="224"/>
  <c r="AB712" i="224" s="1"/>
  <c r="AA713" i="224"/>
  <c r="AB713" i="224" s="1"/>
  <c r="AA714" i="224"/>
  <c r="AB714" i="224" s="1"/>
  <c r="AA715" i="224"/>
  <c r="AB715" i="224" s="1"/>
  <c r="AD715" i="224" s="1"/>
  <c r="AA716" i="224"/>
  <c r="AB716" i="224" s="1"/>
  <c r="AD716" i="224" s="1"/>
  <c r="AA717" i="224"/>
  <c r="AB717" i="224" s="1"/>
  <c r="AD717" i="224" s="1"/>
  <c r="AA718" i="224"/>
  <c r="AB718" i="224" s="1"/>
  <c r="AD718" i="224" s="1"/>
  <c r="AA719" i="224"/>
  <c r="AB719" i="224" s="1"/>
  <c r="AA720" i="224"/>
  <c r="AB720" i="224" s="1"/>
  <c r="AA721" i="224"/>
  <c r="AB721" i="224" s="1"/>
  <c r="AA722" i="224"/>
  <c r="AB722" i="224" s="1"/>
  <c r="AA723" i="224"/>
  <c r="AB723" i="224" s="1"/>
  <c r="AD723" i="224" s="1"/>
  <c r="AA724" i="224"/>
  <c r="AB724" i="224" s="1"/>
  <c r="AD724" i="224" s="1"/>
  <c r="AA725" i="224"/>
  <c r="AB725" i="224" s="1"/>
  <c r="AD725" i="224" s="1"/>
  <c r="AA726" i="224"/>
  <c r="AB726" i="224" s="1"/>
  <c r="AD726" i="224" s="1"/>
  <c r="AA727" i="224"/>
  <c r="AB727" i="224" s="1"/>
  <c r="AA728" i="224"/>
  <c r="AB728" i="224" s="1"/>
  <c r="AA729" i="224"/>
  <c r="AB729" i="224" s="1"/>
  <c r="AA730" i="224"/>
  <c r="AB730" i="224" s="1"/>
  <c r="AA731" i="224"/>
  <c r="AB731" i="224" s="1"/>
  <c r="AD731" i="224" s="1"/>
  <c r="AA732" i="224"/>
  <c r="AB732" i="224" s="1"/>
  <c r="AD732" i="224" s="1"/>
  <c r="AA733" i="224"/>
  <c r="AB733" i="224" s="1"/>
  <c r="AD733" i="224" s="1"/>
  <c r="AA734" i="224"/>
  <c r="AB734" i="224" s="1"/>
  <c r="AD734" i="224" s="1"/>
  <c r="AA735" i="224"/>
  <c r="AB735" i="224" s="1"/>
  <c r="AA736" i="224"/>
  <c r="AB736" i="224" s="1"/>
  <c r="AA737" i="224"/>
  <c r="AB737" i="224" s="1"/>
  <c r="AA738" i="224"/>
  <c r="AB738" i="224" s="1"/>
  <c r="AA739" i="224"/>
  <c r="AB739" i="224" s="1"/>
  <c r="AD739" i="224" s="1"/>
  <c r="AA740" i="224"/>
  <c r="AB740" i="224" s="1"/>
  <c r="AD740" i="224" s="1"/>
  <c r="AA741" i="224"/>
  <c r="AB741" i="224" s="1"/>
  <c r="AD741" i="224" s="1"/>
  <c r="AA742" i="224"/>
  <c r="AB742" i="224" s="1"/>
  <c r="AD742" i="224" s="1"/>
  <c r="AA743" i="224"/>
  <c r="AB743" i="224" s="1"/>
  <c r="AA744" i="224"/>
  <c r="AB744" i="224" s="1"/>
  <c r="AA745" i="224"/>
  <c r="AB745" i="224" s="1"/>
  <c r="AA746" i="224"/>
  <c r="AB746" i="224" s="1"/>
  <c r="AA747" i="224"/>
  <c r="AB747" i="224" s="1"/>
  <c r="AD747" i="224" s="1"/>
  <c r="AA748" i="224"/>
  <c r="AB748" i="224" s="1"/>
  <c r="AD748" i="224" s="1"/>
  <c r="AA749" i="224"/>
  <c r="AB749" i="224" s="1"/>
  <c r="AD749" i="224" s="1"/>
  <c r="AA750" i="224"/>
  <c r="AB750" i="224" s="1"/>
  <c r="AD750" i="224" s="1"/>
  <c r="AA751" i="224"/>
  <c r="AB751" i="224" s="1"/>
  <c r="AD751" i="224" s="1"/>
  <c r="AA752" i="224"/>
  <c r="AB752" i="224" s="1"/>
  <c r="AA753" i="224"/>
  <c r="AB753" i="224" s="1"/>
  <c r="AA754" i="224"/>
  <c r="AB754" i="224" s="1"/>
  <c r="AA755" i="224"/>
  <c r="AB755" i="224" s="1"/>
  <c r="AD755" i="224" s="1"/>
  <c r="AA756" i="224"/>
  <c r="AB756" i="224" s="1"/>
  <c r="AD756" i="224" s="1"/>
  <c r="AA757" i="224"/>
  <c r="AB757" i="224" s="1"/>
  <c r="AD757" i="224" s="1"/>
  <c r="AA758" i="224"/>
  <c r="AB758" i="224" s="1"/>
  <c r="AD758" i="224" s="1"/>
  <c r="AA759" i="224"/>
  <c r="AB759" i="224" s="1"/>
  <c r="AA760" i="224"/>
  <c r="AB760" i="224" s="1"/>
  <c r="AA761" i="224"/>
  <c r="AB761" i="224" s="1"/>
  <c r="AA762" i="224"/>
  <c r="AB762" i="224" s="1"/>
  <c r="AA763" i="224"/>
  <c r="AB763" i="224" s="1"/>
  <c r="AD763" i="224" s="1"/>
  <c r="AA764" i="224"/>
  <c r="AB764" i="224" s="1"/>
  <c r="AD764" i="224" s="1"/>
  <c r="AA765" i="224"/>
  <c r="AB765" i="224" s="1"/>
  <c r="AD765" i="224" s="1"/>
  <c r="AA766" i="224"/>
  <c r="AB766" i="224" s="1"/>
  <c r="AD766" i="224" s="1"/>
  <c r="AA767" i="224"/>
  <c r="AB767" i="224" s="1"/>
  <c r="AA768" i="224"/>
  <c r="AB768" i="224" s="1"/>
  <c r="AA769" i="224"/>
  <c r="AB769" i="224" s="1"/>
  <c r="AA770" i="224"/>
  <c r="AB770" i="224" s="1"/>
  <c r="AA771" i="224"/>
  <c r="AB771" i="224" s="1"/>
  <c r="AD771" i="224" s="1"/>
  <c r="AA772" i="224"/>
  <c r="AB772" i="224" s="1"/>
  <c r="AD772" i="224" s="1"/>
  <c r="AA773" i="224"/>
  <c r="AB773" i="224" s="1"/>
  <c r="AD773" i="224" s="1"/>
  <c r="AA774" i="224"/>
  <c r="AB774" i="224" s="1"/>
  <c r="AD774" i="224" s="1"/>
  <c r="AA775" i="224"/>
  <c r="AB775" i="224" s="1"/>
  <c r="AD775" i="224" s="1"/>
  <c r="AA776" i="224"/>
  <c r="AB776" i="224" s="1"/>
  <c r="AA777" i="224"/>
  <c r="AB777" i="224" s="1"/>
  <c r="AA778" i="224"/>
  <c r="AB778" i="224" s="1"/>
  <c r="AA779" i="224"/>
  <c r="AB779" i="224" s="1"/>
  <c r="AD779" i="224" s="1"/>
  <c r="AA780" i="224"/>
  <c r="AB780" i="224" s="1"/>
  <c r="AD780" i="224" s="1"/>
  <c r="AA781" i="224"/>
  <c r="AB781" i="224" s="1"/>
  <c r="AD781" i="224" s="1"/>
  <c r="AA782" i="224"/>
  <c r="AB782" i="224" s="1"/>
  <c r="AD782" i="224" s="1"/>
  <c r="AA783" i="224"/>
  <c r="AB783" i="224" s="1"/>
  <c r="AA784" i="224"/>
  <c r="AB784" i="224" s="1"/>
  <c r="AA785" i="224"/>
  <c r="AB785" i="224" s="1"/>
  <c r="AA786" i="224"/>
  <c r="AB786" i="224" s="1"/>
  <c r="AA787" i="224"/>
  <c r="AB787" i="224" s="1"/>
  <c r="AD787" i="224" s="1"/>
  <c r="AA788" i="224"/>
  <c r="AB788" i="224" s="1"/>
  <c r="AD788" i="224" s="1"/>
  <c r="AA789" i="224"/>
  <c r="AB789" i="224" s="1"/>
  <c r="AD789" i="224" s="1"/>
  <c r="AA790" i="224"/>
  <c r="AB790" i="224" s="1"/>
  <c r="AD790" i="224" s="1"/>
  <c r="AA791" i="224"/>
  <c r="AB791" i="224" s="1"/>
  <c r="AA792" i="224"/>
  <c r="AB792" i="224" s="1"/>
  <c r="AA793" i="224"/>
  <c r="AB793" i="224" s="1"/>
  <c r="AA794" i="224"/>
  <c r="AB794" i="224" s="1"/>
  <c r="AA795" i="224"/>
  <c r="AB795" i="224" s="1"/>
  <c r="AD795" i="224" s="1"/>
  <c r="AA796" i="224"/>
  <c r="AB796" i="224" s="1"/>
  <c r="AD796" i="224" s="1"/>
  <c r="AA797" i="224"/>
  <c r="AB797" i="224" s="1"/>
  <c r="AD797" i="224" s="1"/>
  <c r="AA798" i="224"/>
  <c r="AB798" i="224" s="1"/>
  <c r="AD798" i="224" s="1"/>
  <c r="AA799" i="224"/>
  <c r="AB799" i="224" s="1"/>
  <c r="AA800" i="224"/>
  <c r="AB800" i="224" s="1"/>
  <c r="AA801" i="224"/>
  <c r="AB801" i="224" s="1"/>
  <c r="AA802" i="224"/>
  <c r="AB802" i="224" s="1"/>
  <c r="AA803" i="224"/>
  <c r="AB803" i="224" s="1"/>
  <c r="AD803" i="224" s="1"/>
  <c r="AA804" i="224"/>
  <c r="AB804" i="224" s="1"/>
  <c r="AD804" i="224" s="1"/>
  <c r="AA805" i="224"/>
  <c r="AB805" i="224" s="1"/>
  <c r="AD805" i="224" s="1"/>
  <c r="AA806" i="224"/>
  <c r="AB806" i="224" s="1"/>
  <c r="AD806" i="224" s="1"/>
  <c r="AA807" i="224"/>
  <c r="AB807" i="224" s="1"/>
  <c r="AA808" i="224"/>
  <c r="AB808" i="224" s="1"/>
  <c r="AA809" i="224"/>
  <c r="AB809" i="224" s="1"/>
  <c r="AA810" i="224"/>
  <c r="AB810" i="224" s="1"/>
  <c r="AA811" i="224"/>
  <c r="AB811" i="224" s="1"/>
  <c r="AD811" i="224" s="1"/>
  <c r="AA812" i="224"/>
  <c r="AB812" i="224" s="1"/>
  <c r="AD812" i="224" s="1"/>
  <c r="AA813" i="224"/>
  <c r="AB813" i="224" s="1"/>
  <c r="AD813" i="224" s="1"/>
  <c r="AA814" i="224"/>
  <c r="AB814" i="224" s="1"/>
  <c r="AD814" i="224" s="1"/>
  <c r="AA815" i="224"/>
  <c r="AB815" i="224" s="1"/>
  <c r="AD815" i="224" s="1"/>
  <c r="AA816" i="224"/>
  <c r="AB816" i="224" s="1"/>
  <c r="AA817" i="224"/>
  <c r="AB817" i="224" s="1"/>
  <c r="AA818" i="224"/>
  <c r="AB818" i="224" s="1"/>
  <c r="AA819" i="224"/>
  <c r="AB819" i="224" s="1"/>
  <c r="AD819" i="224" s="1"/>
  <c r="AA820" i="224"/>
  <c r="AB820" i="224" s="1"/>
  <c r="AD820" i="224" s="1"/>
  <c r="AA821" i="224"/>
  <c r="AB821" i="224" s="1"/>
  <c r="AD821" i="224" s="1"/>
  <c r="AA822" i="224"/>
  <c r="AB822" i="224" s="1"/>
  <c r="AD822" i="224" s="1"/>
  <c r="AA823" i="224"/>
  <c r="AB823" i="224" s="1"/>
  <c r="AA824" i="224"/>
  <c r="AB824" i="224" s="1"/>
  <c r="AA825" i="224"/>
  <c r="AB825" i="224" s="1"/>
  <c r="AA826" i="224"/>
  <c r="AB826" i="224" s="1"/>
  <c r="AA827" i="224"/>
  <c r="AB827" i="224" s="1"/>
  <c r="AD827" i="224" s="1"/>
  <c r="AA828" i="224"/>
  <c r="AB828" i="224" s="1"/>
  <c r="AD828" i="224" s="1"/>
  <c r="AA829" i="224"/>
  <c r="AB829" i="224" s="1"/>
  <c r="AD829" i="224" s="1"/>
  <c r="AA830" i="224"/>
  <c r="AB830" i="224" s="1"/>
  <c r="AD830" i="224" s="1"/>
  <c r="AA831" i="224"/>
  <c r="AB831" i="224" s="1"/>
  <c r="AA832" i="224"/>
  <c r="AB832" i="224" s="1"/>
  <c r="AA833" i="224"/>
  <c r="AB833" i="224" s="1"/>
  <c r="AA834" i="224"/>
  <c r="AB834" i="224" s="1"/>
  <c r="AA835" i="224"/>
  <c r="AB835" i="224" s="1"/>
  <c r="AD835" i="224" s="1"/>
  <c r="AA836" i="224"/>
  <c r="AB836" i="224" s="1"/>
  <c r="AD836" i="224" s="1"/>
  <c r="AA837" i="224"/>
  <c r="AB837" i="224" s="1"/>
  <c r="AD837" i="224" s="1"/>
  <c r="AA838" i="224"/>
  <c r="AB838" i="224" s="1"/>
  <c r="AD838" i="224" s="1"/>
  <c r="AA839" i="224"/>
  <c r="AB839" i="224" s="1"/>
  <c r="AD839" i="224" s="1"/>
  <c r="AA840" i="224"/>
  <c r="AB840" i="224" s="1"/>
  <c r="AA841" i="224"/>
  <c r="AB841" i="224" s="1"/>
  <c r="AA842" i="224"/>
  <c r="AB842" i="224" s="1"/>
  <c r="AA843" i="224"/>
  <c r="AB843" i="224" s="1"/>
  <c r="AD843" i="224" s="1"/>
  <c r="AA844" i="224"/>
  <c r="AB844" i="224" s="1"/>
  <c r="AD844" i="224" s="1"/>
  <c r="AA845" i="224"/>
  <c r="AB845" i="224" s="1"/>
  <c r="AD845" i="224" s="1"/>
  <c r="AA846" i="224"/>
  <c r="AB846" i="224" s="1"/>
  <c r="AD846" i="224" s="1"/>
  <c r="AA847" i="224"/>
  <c r="AB847" i="224" s="1"/>
  <c r="AA848" i="224"/>
  <c r="AB848" i="224" s="1"/>
  <c r="AA849" i="224"/>
  <c r="AB849" i="224" s="1"/>
  <c r="AA850" i="224"/>
  <c r="AB850" i="224" s="1"/>
  <c r="AA851" i="224"/>
  <c r="AB851" i="224" s="1"/>
  <c r="AD851" i="224" s="1"/>
  <c r="AA852" i="224"/>
  <c r="AB852" i="224" s="1"/>
  <c r="AD852" i="224" s="1"/>
  <c r="AA853" i="224"/>
  <c r="AB853" i="224" s="1"/>
  <c r="AD853" i="224" s="1"/>
  <c r="AA854" i="224"/>
  <c r="AB854" i="224" s="1"/>
  <c r="AD854" i="224" s="1"/>
  <c r="AA855" i="224"/>
  <c r="AB855" i="224" s="1"/>
  <c r="AA856" i="224"/>
  <c r="AB856" i="224" s="1"/>
  <c r="AA857" i="224"/>
  <c r="AB857" i="224" s="1"/>
  <c r="AA858" i="224"/>
  <c r="AB858" i="224" s="1"/>
  <c r="AA859" i="224"/>
  <c r="AB859" i="224" s="1"/>
  <c r="AD859" i="224" s="1"/>
  <c r="AA860" i="224"/>
  <c r="AB860" i="224" s="1"/>
  <c r="AD860" i="224" s="1"/>
  <c r="AA861" i="224"/>
  <c r="AB861" i="224" s="1"/>
  <c r="AD861" i="224" s="1"/>
  <c r="AA862" i="224"/>
  <c r="AB862" i="224" s="1"/>
  <c r="AD862" i="224" s="1"/>
  <c r="AA863" i="224"/>
  <c r="AB863" i="224" s="1"/>
  <c r="AA864" i="224"/>
  <c r="AB864" i="224" s="1"/>
  <c r="AA865" i="224"/>
  <c r="AB865" i="224" s="1"/>
  <c r="AA866" i="224"/>
  <c r="AB866" i="224" s="1"/>
  <c r="AA867" i="224"/>
  <c r="AB867" i="224" s="1"/>
  <c r="AD867" i="224" s="1"/>
  <c r="AA868" i="224"/>
  <c r="AB868" i="224" s="1"/>
  <c r="AD868" i="224" s="1"/>
  <c r="AA869" i="224"/>
  <c r="AB869" i="224" s="1"/>
  <c r="AD869" i="224" s="1"/>
  <c r="AA870" i="224"/>
  <c r="AB870" i="224" s="1"/>
  <c r="AD870" i="224" s="1"/>
  <c r="AA871" i="224"/>
  <c r="AB871" i="224" s="1"/>
  <c r="AA872" i="224"/>
  <c r="AB872" i="224" s="1"/>
  <c r="AA873" i="224"/>
  <c r="AB873" i="224" s="1"/>
  <c r="AA874" i="224"/>
  <c r="AB874" i="224" s="1"/>
  <c r="AA875" i="224"/>
  <c r="AB875" i="224" s="1"/>
  <c r="AD875" i="224" s="1"/>
  <c r="AA876" i="224"/>
  <c r="AB876" i="224" s="1"/>
  <c r="AD876" i="224" s="1"/>
  <c r="AA877" i="224"/>
  <c r="AB877" i="224" s="1"/>
  <c r="AD877" i="224" s="1"/>
  <c r="AA878" i="224"/>
  <c r="AB878" i="224" s="1"/>
  <c r="AD878" i="224" s="1"/>
  <c r="AA879" i="224"/>
  <c r="AB879" i="224" s="1"/>
  <c r="AD879" i="224" s="1"/>
  <c r="AA880" i="224"/>
  <c r="AB880" i="224" s="1"/>
  <c r="AA881" i="224"/>
  <c r="AB881" i="224" s="1"/>
  <c r="AA882" i="224"/>
  <c r="AB882" i="224" s="1"/>
  <c r="AA883" i="224"/>
  <c r="AB883" i="224" s="1"/>
  <c r="AD883" i="224" s="1"/>
  <c r="AB12" i="224"/>
  <c r="AD12" i="224" s="1"/>
  <c r="AB68" i="224"/>
  <c r="AD68" i="224" s="1"/>
  <c r="AB235" i="224"/>
  <c r="AD235" i="224" s="1"/>
  <c r="A2" i="81"/>
  <c r="A3" i="81"/>
  <c r="A4" i="81"/>
  <c r="A5" i="81"/>
  <c r="AB91" i="224"/>
  <c r="AD91" i="224" s="1"/>
  <c r="AB99" i="224"/>
  <c r="AD99" i="224" s="1"/>
  <c r="AB108" i="224"/>
  <c r="AD108" i="224" s="1"/>
  <c r="AB116" i="224"/>
  <c r="AD116" i="224" s="1"/>
  <c r="AB275" i="224"/>
  <c r="AD275" i="224" s="1"/>
  <c r="AB491" i="224"/>
  <c r="AD491" i="224" s="1"/>
  <c r="AB619" i="224"/>
  <c r="AD619" i="224" s="1"/>
  <c r="AB627" i="224"/>
  <c r="AD627" i="224" s="1"/>
  <c r="C2" i="3"/>
  <c r="AD873" i="224" l="1"/>
  <c r="AD857" i="224"/>
  <c r="AD809" i="224"/>
  <c r="AD793" i="224"/>
  <c r="AD785" i="224"/>
  <c r="AD729" i="224"/>
  <c r="AD721" i="224"/>
  <c r="AD633" i="224"/>
  <c r="AD609" i="224"/>
  <c r="AD505" i="224"/>
  <c r="AD481" i="224"/>
  <c r="AD409" i="224"/>
  <c r="AD385" i="224"/>
  <c r="AD313" i="224"/>
  <c r="AD289" i="224"/>
  <c r="AD872" i="224"/>
  <c r="AD856" i="224"/>
  <c r="AD832" i="224"/>
  <c r="AD808" i="224"/>
  <c r="AD792" i="224"/>
  <c r="AD768" i="224"/>
  <c r="AD744" i="224"/>
  <c r="AD728" i="224"/>
  <c r="AD704" i="224"/>
  <c r="AD378" i="224"/>
  <c r="AD186" i="224"/>
  <c r="AD178" i="224"/>
  <c r="AD130" i="224"/>
  <c r="AD855" i="224"/>
  <c r="AD831" i="224"/>
  <c r="AD791" i="224"/>
  <c r="AD767" i="224"/>
  <c r="AD727" i="224"/>
  <c r="AD711" i="224"/>
  <c r="AD703" i="224"/>
  <c r="AD866" i="224"/>
  <c r="AD842" i="224"/>
  <c r="AD818" i="224"/>
  <c r="AD802" i="224"/>
  <c r="AD778" i="224"/>
  <c r="AD762" i="224"/>
  <c r="AD746" i="224"/>
  <c r="AD730" i="224"/>
  <c r="AD706" i="224"/>
  <c r="AD690" i="224"/>
  <c r="AD666" i="224"/>
  <c r="AD650" i="224"/>
  <c r="AD626" i="224"/>
  <c r="AD610" i="224"/>
  <c r="AD586" i="224"/>
  <c r="AD570" i="224"/>
  <c r="AD546" i="224"/>
  <c r="AD530" i="224"/>
  <c r="AD506" i="224"/>
  <c r="AD490" i="224"/>
  <c r="AD466" i="224"/>
  <c r="AD450" i="224"/>
  <c r="AD434" i="224"/>
  <c r="AD418" i="224"/>
  <c r="AD394" i="224"/>
  <c r="AD370" i="224"/>
  <c r="AD354" i="224"/>
  <c r="AD330" i="224"/>
  <c r="AD314" i="224"/>
  <c r="AD298" i="224"/>
  <c r="AD258" i="224"/>
  <c r="AD242" i="224"/>
  <c r="AD218" i="224"/>
  <c r="AD202" i="224"/>
  <c r="AD194" i="224"/>
  <c r="AD170" i="224"/>
  <c r="AD162" i="224"/>
  <c r="AD154" i="224"/>
  <c r="AD146" i="224"/>
  <c r="AD138" i="224"/>
  <c r="AD122" i="224"/>
  <c r="AD114" i="224"/>
  <c r="AD106" i="224"/>
  <c r="AD98" i="224"/>
  <c r="AD90" i="224"/>
  <c r="AD82" i="224"/>
  <c r="AD74" i="224"/>
  <c r="AD66" i="224"/>
  <c r="AD58" i="224"/>
  <c r="AD50" i="224"/>
  <c r="AD42" i="224"/>
  <c r="AD34" i="224"/>
  <c r="AD26" i="224"/>
  <c r="AD18" i="224"/>
  <c r="AD10" i="224"/>
  <c r="AD882" i="224"/>
  <c r="AD874" i="224"/>
  <c r="AD858" i="224"/>
  <c r="AD850" i="224"/>
  <c r="AD834" i="224"/>
  <c r="AD826" i="224"/>
  <c r="AD810" i="224"/>
  <c r="AD794" i="224"/>
  <c r="AD786" i="224"/>
  <c r="AD770" i="224"/>
  <c r="AD754" i="224"/>
  <c r="AD738" i="224"/>
  <c r="AD722" i="224"/>
  <c r="AD714" i="224"/>
  <c r="AD698" i="224"/>
  <c r="AD682" i="224"/>
  <c r="AD674" i="224"/>
  <c r="AD658" i="224"/>
  <c r="AD642" i="224"/>
  <c r="AD618" i="224"/>
  <c r="AD602" i="224"/>
  <c r="AD594" i="224"/>
  <c r="AD578" i="224"/>
  <c r="AD562" i="224"/>
  <c r="AD554" i="224"/>
  <c r="AD538" i="224"/>
  <c r="AD522" i="224"/>
  <c r="AD514" i="224"/>
  <c r="AD498" i="224"/>
  <c r="AD482" i="224"/>
  <c r="AD474" i="224"/>
  <c r="AD458" i="224"/>
  <c r="AD442" i="224"/>
  <c r="AD426" i="224"/>
  <c r="AD410" i="224"/>
  <c r="AD402" i="224"/>
  <c r="AD386" i="224"/>
  <c r="AD362" i="224"/>
  <c r="AD346" i="224"/>
  <c r="AD338" i="224"/>
  <c r="AD322" i="224"/>
  <c r="AD306" i="224"/>
  <c r="AD290" i="224"/>
  <c r="AD274" i="224"/>
  <c r="AD266" i="224"/>
  <c r="AD250" i="224"/>
  <c r="AD234" i="224"/>
  <c r="AD226" i="224"/>
  <c r="AD210" i="224"/>
  <c r="AD880" i="224"/>
  <c r="AD816" i="224"/>
  <c r="AD752" i="224"/>
  <c r="AD688" i="224"/>
  <c r="AD849" i="224"/>
  <c r="AD833" i="224"/>
  <c r="AD769" i="224"/>
  <c r="AD745" i="224"/>
  <c r="AD705" i="224"/>
  <c r="AD681" i="224"/>
  <c r="AD641" i="224"/>
  <c r="AD569" i="224"/>
  <c r="AD545" i="224"/>
  <c r="AD537" i="224"/>
  <c r="AD513" i="224"/>
  <c r="AD473" i="224"/>
  <c r="AD449" i="224"/>
  <c r="AD441" i="224"/>
  <c r="AD417" i="224"/>
  <c r="AD377" i="224"/>
  <c r="AD353" i="224"/>
  <c r="AD345" i="224"/>
  <c r="AD321" i="224"/>
  <c r="AD281" i="224"/>
  <c r="AD257" i="224"/>
  <c r="AD881" i="224"/>
  <c r="AD865" i="224"/>
  <c r="AD841" i="224"/>
  <c r="AD825" i="224"/>
  <c r="AD817" i="224"/>
  <c r="AD801" i="224"/>
  <c r="AD777" i="224"/>
  <c r="AD761" i="224"/>
  <c r="AD753" i="224"/>
  <c r="AD737" i="224"/>
  <c r="AD713" i="224"/>
  <c r="AD697" i="224"/>
  <c r="AD689" i="224"/>
  <c r="AD673" i="224"/>
  <c r="AD665" i="224"/>
  <c r="AD657" i="224"/>
  <c r="AD649" i="224"/>
  <c r="AD625" i="224"/>
  <c r="AD617" i="224"/>
  <c r="AD601" i="224"/>
  <c r="AD593" i="224"/>
  <c r="AD585" i="224"/>
  <c r="AD577" i="224"/>
  <c r="AD561" i="224"/>
  <c r="AD553" i="224"/>
  <c r="AD529" i="224"/>
  <c r="AD521" i="224"/>
  <c r="AD497" i="224"/>
  <c r="AD489" i="224"/>
  <c r="AD465" i="224"/>
  <c r="AD457" i="224"/>
  <c r="AD433" i="224"/>
  <c r="AD425" i="224"/>
  <c r="AD401" i="224"/>
  <c r="AD393" i="224"/>
  <c r="AD369" i="224"/>
  <c r="AD361" i="224"/>
  <c r="AD337" i="224"/>
  <c r="AD329" i="224"/>
  <c r="AD305" i="224"/>
  <c r="AD297" i="224"/>
  <c r="AD273" i="224"/>
  <c r="AD265" i="224"/>
  <c r="AD249" i="224"/>
  <c r="AD241" i="224"/>
  <c r="AD233" i="224"/>
  <c r="AD225" i="224"/>
  <c r="AD217" i="224"/>
  <c r="AD209" i="224"/>
  <c r="AD201" i="224"/>
  <c r="AD193" i="224"/>
  <c r="AD185" i="224"/>
  <c r="AD177" i="224"/>
  <c r="AD169" i="224"/>
  <c r="AD161" i="224"/>
  <c r="AD153" i="224"/>
  <c r="AD145" i="224"/>
  <c r="AD137" i="224"/>
  <c r="AD129" i="224"/>
  <c r="AD121" i="224"/>
  <c r="AD113" i="224"/>
  <c r="AD105" i="224"/>
  <c r="AD97" i="224"/>
  <c r="AD89" i="224"/>
  <c r="AD81" i="224"/>
  <c r="AD73" i="224"/>
  <c r="AD65" i="224"/>
  <c r="AD57" i="224"/>
  <c r="AD49" i="224"/>
  <c r="AD41" i="224"/>
  <c r="AD33" i="224"/>
  <c r="AD25" i="224"/>
  <c r="AD17" i="224"/>
  <c r="AD9" i="224"/>
  <c r="AD864" i="224"/>
  <c r="AD848" i="224"/>
  <c r="AD840" i="224"/>
  <c r="AD824" i="224"/>
  <c r="AD800" i="224"/>
  <c r="AD784" i="224"/>
  <c r="AD776" i="224"/>
  <c r="AD760" i="224"/>
  <c r="AD736" i="224"/>
  <c r="AD720" i="224"/>
  <c r="AD712" i="224"/>
  <c r="AD696" i="224"/>
  <c r="AD871" i="224"/>
  <c r="AD863" i="224"/>
  <c r="AD847" i="224"/>
  <c r="AD823" i="224"/>
  <c r="AD807" i="224"/>
  <c r="AD799" i="224"/>
  <c r="AD783" i="224"/>
  <c r="AD759" i="224"/>
  <c r="AD743" i="224"/>
  <c r="AD735" i="224"/>
  <c r="AD719" i="224"/>
  <c r="AD695" i="224"/>
  <c r="AD680" i="224"/>
  <c r="AD672" i="224"/>
  <c r="AD664" i="224"/>
  <c r="AD656" i="224"/>
  <c r="AD648" i="224"/>
  <c r="AD640" i="224"/>
  <c r="AD632" i="224"/>
  <c r="AD624" i="224"/>
  <c r="AD616" i="224"/>
  <c r="AD608" i="224"/>
  <c r="AD600" i="224"/>
  <c r="AD592" i="224"/>
  <c r="AD584" i="224"/>
  <c r="AD576" i="224"/>
  <c r="AD568" i="224"/>
  <c r="AD560" i="224"/>
  <c r="AD552" i="224"/>
  <c r="AD544" i="224"/>
  <c r="AD536" i="224"/>
  <c r="AD528" i="224"/>
  <c r="AD520" i="224"/>
  <c r="AD512" i="224"/>
  <c r="AD504" i="224"/>
  <c r="AD496" i="224"/>
  <c r="AD488" i="224"/>
  <c r="AD480" i="224"/>
  <c r="AD472" i="224"/>
  <c r="AD464" i="224"/>
  <c r="AD456" i="224"/>
  <c r="AD448" i="224"/>
  <c r="AD440" i="224"/>
  <c r="AD432" i="224"/>
  <c r="AD424" i="224"/>
  <c r="AD416" i="224"/>
  <c r="AD408" i="224"/>
  <c r="AD400" i="224"/>
  <c r="AD392" i="224"/>
  <c r="AD384" i="224"/>
  <c r="AD376" i="224"/>
  <c r="AD368" i="224"/>
  <c r="AD360" i="224"/>
  <c r="AD352" i="224"/>
  <c r="AD344" i="224"/>
  <c r="AD336" i="224"/>
  <c r="AD679" i="224"/>
  <c r="AD671" i="224"/>
  <c r="AD663" i="224"/>
  <c r="AD655" i="224"/>
  <c r="AD647" i="224"/>
  <c r="AD639" i="224"/>
  <c r="AD631" i="224"/>
  <c r="AD623" i="224"/>
  <c r="AD615" i="224"/>
  <c r="AD607" i="224"/>
  <c r="AD599" i="224"/>
  <c r="AD591" i="224"/>
  <c r="AD583" i="224"/>
  <c r="AD575" i="224"/>
  <c r="AD567" i="224"/>
  <c r="AD559" i="224"/>
  <c r="AD551" i="224"/>
  <c r="AD543" i="224"/>
  <c r="AD535" i="224"/>
  <c r="AD527" i="224"/>
  <c r="AD519" i="224"/>
  <c r="AD511" i="224"/>
  <c r="AD503" i="224"/>
  <c r="AD495" i="224"/>
  <c r="AD487" i="224"/>
  <c r="AD479" i="224"/>
  <c r="AD471" i="224"/>
  <c r="AD463" i="224"/>
  <c r="AD455" i="224"/>
  <c r="AD447" i="224"/>
  <c r="AD439" i="224"/>
  <c r="AD431" i="224"/>
  <c r="AD423" i="224"/>
  <c r="AD415" i="224"/>
  <c r="AD407" i="224"/>
  <c r="AD399" i="224"/>
  <c r="AD391" i="224"/>
  <c r="AD383" i="224"/>
  <c r="AD375" i="224"/>
  <c r="AD367" i="224"/>
  <c r="AD359" i="224"/>
  <c r="AD351" i="224"/>
  <c r="AD343" i="224"/>
  <c r="AD335" i="224"/>
  <c r="AD328" i="224"/>
  <c r="AD320" i="224"/>
  <c r="AD312" i="224"/>
  <c r="AD304" i="224"/>
  <c r="AD296" i="224"/>
  <c r="AD288" i="224"/>
  <c r="AD280" i="224"/>
  <c r="AD272" i="224"/>
  <c r="AD264" i="224"/>
  <c r="AD256" i="224"/>
  <c r="AD248" i="224"/>
  <c r="AD240" i="224"/>
  <c r="AD232" i="224"/>
  <c r="AD224" i="224"/>
  <c r="AD216" i="224"/>
  <c r="AD208" i="224"/>
  <c r="AD200" i="224"/>
  <c r="AD192" i="224"/>
  <c r="AD184" i="224"/>
  <c r="AD176" i="224"/>
  <c r="AD168" i="224"/>
  <c r="AD160" i="224"/>
  <c r="AD152" i="224"/>
  <c r="AD144" i="224"/>
  <c r="AD136" i="224"/>
  <c r="AD128" i="224"/>
  <c r="AD120" i="224"/>
  <c r="AD112" i="224"/>
  <c r="AD104" i="224"/>
  <c r="AD96" i="224"/>
  <c r="AD88" i="224"/>
  <c r="AD80" i="224"/>
  <c r="AD72" i="224"/>
  <c r="AD64" i="224"/>
  <c r="AD56" i="224"/>
  <c r="AD48" i="224"/>
  <c r="AD40" i="224"/>
  <c r="AD32" i="224"/>
  <c r="AD24" i="224"/>
  <c r="AD16" i="224"/>
  <c r="AD8" i="224"/>
  <c r="AD327" i="224"/>
  <c r="AD319" i="224"/>
  <c r="AD311" i="224"/>
  <c r="AD303" i="224"/>
  <c r="AD295" i="224"/>
  <c r="AD287" i="224"/>
  <c r="AD279" i="224"/>
  <c r="AD271" i="224"/>
  <c r="AD263" i="224"/>
  <c r="AD255" i="224"/>
  <c r="AD247" i="224"/>
  <c r="AD239" i="224"/>
  <c r="AD231" i="224"/>
  <c r="AD223" i="224"/>
  <c r="AD215" i="224"/>
  <c r="AD207" i="224"/>
  <c r="AD199" i="224"/>
  <c r="AD191" i="224"/>
  <c r="AD183" i="224"/>
  <c r="AD175" i="224"/>
  <c r="AD167" i="224"/>
  <c r="AD159" i="224"/>
  <c r="AD151" i="224"/>
  <c r="AD143" i="224"/>
  <c r="AD135" i="224"/>
  <c r="AD127" i="224"/>
  <c r="AD119" i="224"/>
  <c r="AD111" i="224"/>
  <c r="AD103" i="224"/>
  <c r="AD95" i="224"/>
  <c r="AD87" i="224"/>
  <c r="AD79" i="224"/>
  <c r="AD71" i="224"/>
  <c r="AD63" i="224"/>
  <c r="AD55" i="224"/>
  <c r="AD47" i="224"/>
  <c r="AD39" i="224"/>
  <c r="AD31" i="224"/>
  <c r="AD23" i="224"/>
  <c r="AD15" i="224"/>
  <c r="AD7" i="224"/>
  <c r="AD318" i="224"/>
  <c r="AD310" i="224"/>
  <c r="AD302" i="224"/>
  <c r="AD294" i="224"/>
  <c r="AD286" i="224"/>
  <c r="AD278" i="224"/>
  <c r="AD270" i="224"/>
  <c r="AD262" i="224"/>
  <c r="AD254" i="224"/>
  <c r="AD246" i="224"/>
  <c r="AD238" i="224"/>
  <c r="AD230" i="224"/>
  <c r="AD222" i="224"/>
  <c r="AD214" i="224"/>
  <c r="AD206" i="224"/>
  <c r="AD198" i="224"/>
  <c r="AD190" i="224"/>
  <c r="AD182" i="224"/>
  <c r="AD174" i="224"/>
  <c r="AD166" i="224"/>
  <c r="AD158" i="224"/>
  <c r="AD150" i="224"/>
  <c r="AD142" i="224"/>
  <c r="AD134" i="224"/>
  <c r="AD126" i="224"/>
  <c r="AD118" i="224"/>
  <c r="AD110" i="224"/>
  <c r="AD102" i="224"/>
  <c r="AD94" i="224"/>
  <c r="AD86" i="224"/>
  <c r="AD78" i="224"/>
  <c r="AD70" i="224"/>
  <c r="AD62" i="224"/>
  <c r="AD54" i="224"/>
  <c r="AD46" i="224"/>
  <c r="AD38" i="224"/>
  <c r="AD30" i="224"/>
  <c r="AD22" i="224"/>
  <c r="AD14" i="224"/>
  <c r="AD6" i="224"/>
  <c r="AD2" i="224"/>
  <c r="AI346" i="224"/>
  <c r="AI305" i="224"/>
  <c r="AI168" i="224"/>
  <c r="AI320" i="224"/>
  <c r="AI165" i="224"/>
  <c r="AI157" i="224"/>
  <c r="AI313" i="224"/>
  <c r="AI160" i="224"/>
  <c r="AI873" i="224"/>
  <c r="AI385" i="224"/>
  <c r="AI241" i="224"/>
  <c r="AI807" i="224"/>
  <c r="AI799" i="224"/>
  <c r="AI791" i="224"/>
  <c r="AI783" i="224"/>
  <c r="AI775" i="224"/>
  <c r="AI767" i="224"/>
  <c r="AI759" i="224"/>
  <c r="AI751" i="224"/>
  <c r="AI743" i="224"/>
  <c r="AI735" i="224"/>
  <c r="AI727" i="224"/>
  <c r="AI719" i="224"/>
  <c r="AI711" i="224"/>
  <c r="AI703" i="224"/>
  <c r="AI695" i="224"/>
  <c r="AI687" i="224"/>
  <c r="AI679" i="224"/>
  <c r="AI671" i="224"/>
  <c r="AI663" i="224"/>
  <c r="AI655" i="224"/>
  <c r="AI647" i="224"/>
  <c r="AI639" i="224"/>
  <c r="AI631" i="224"/>
  <c r="AI623" i="224"/>
  <c r="AI615" i="224"/>
  <c r="AI607" i="224"/>
  <c r="AI599" i="224"/>
  <c r="AI591" i="224"/>
  <c r="AI583" i="224"/>
  <c r="AI575" i="224"/>
  <c r="AI567" i="224"/>
  <c r="AI559" i="224"/>
  <c r="AI551" i="224"/>
  <c r="AI543" i="224"/>
  <c r="AI535" i="224"/>
  <c r="AI527" i="224"/>
  <c r="AI519" i="224"/>
  <c r="AI511" i="224"/>
  <c r="AI503" i="224"/>
  <c r="AI495" i="224"/>
  <c r="AI487" i="224"/>
  <c r="AI479" i="224"/>
  <c r="AI471" i="224"/>
  <c r="AI463" i="224"/>
  <c r="AI455" i="224"/>
  <c r="AI447" i="224"/>
  <c r="AI439" i="224"/>
  <c r="AI431" i="224"/>
  <c r="AI423" i="224"/>
  <c r="AI415" i="224"/>
  <c r="AI407" i="224"/>
  <c r="AI399" i="224"/>
  <c r="AI391" i="224"/>
  <c r="AI383" i="224"/>
  <c r="AI375" i="224"/>
  <c r="AI367" i="224"/>
  <c r="AI359" i="224"/>
  <c r="AI351" i="224"/>
  <c r="AI343" i="224"/>
  <c r="AI879" i="224"/>
  <c r="AI855" i="224"/>
  <c r="AI823" i="224"/>
  <c r="AI863" i="224"/>
  <c r="AI847" i="224"/>
  <c r="AI815" i="224"/>
  <c r="AI871" i="224"/>
  <c r="AI839" i="224"/>
  <c r="AI831" i="224"/>
  <c r="AI348" i="224"/>
  <c r="AI196" i="224"/>
  <c r="AI819" i="224"/>
  <c r="AI755" i="224"/>
  <c r="AI627" i="224"/>
  <c r="AI491" i="224"/>
  <c r="AI483" i="224"/>
  <c r="AI379" i="224"/>
  <c r="AI347" i="224"/>
  <c r="AI339" i="224"/>
  <c r="AI331" i="224"/>
  <c r="AI323" i="224"/>
  <c r="AI315" i="224"/>
  <c r="AI307" i="224"/>
  <c r="AI299" i="224"/>
  <c r="AI291" i="224"/>
  <c r="AI283" i="224"/>
  <c r="AI275" i="224"/>
  <c r="AI267" i="224"/>
  <c r="AI259" i="224"/>
  <c r="AI251" i="224"/>
  <c r="AI243" i="224"/>
  <c r="AI235" i="224"/>
  <c r="AI227" i="224"/>
  <c r="AI219" i="224"/>
  <c r="AI211" i="224"/>
  <c r="AI203" i="224"/>
  <c r="AI195" i="224"/>
  <c r="AI187" i="224"/>
  <c r="AI179" i="224"/>
  <c r="AI171" i="224"/>
  <c r="AI163" i="224"/>
  <c r="AI155" i="224"/>
  <c r="AI147" i="224"/>
  <c r="AI139" i="224"/>
  <c r="AI131" i="224"/>
  <c r="AI123" i="224"/>
  <c r="AI115" i="224"/>
  <c r="AI107" i="224"/>
  <c r="AI99" i="224"/>
  <c r="AI91" i="224"/>
  <c r="AI83" i="224"/>
  <c r="AI75" i="224"/>
  <c r="AI67" i="224"/>
  <c r="AI59" i="224"/>
  <c r="AI51" i="224"/>
  <c r="AI43" i="224"/>
  <c r="AI35" i="224"/>
  <c r="AI27" i="224"/>
  <c r="AI19" i="224"/>
  <c r="AI11" i="224"/>
  <c r="AI852" i="224"/>
  <c r="AI737" i="224"/>
  <c r="AI540" i="224"/>
  <c r="AI450" i="224"/>
  <c r="AI792" i="224"/>
  <c r="AI666" i="224"/>
  <c r="AI602" i="224"/>
  <c r="AI449" i="224"/>
  <c r="AI850" i="224"/>
  <c r="AI782" i="224"/>
  <c r="AI665" i="224"/>
  <c r="AI600" i="224"/>
  <c r="AI432" i="224"/>
  <c r="AI860" i="224"/>
  <c r="AI740" i="224"/>
  <c r="AI780" i="224"/>
  <c r="AI724" i="224"/>
  <c r="AI875" i="224"/>
  <c r="AI867" i="224"/>
  <c r="AI843" i="224"/>
  <c r="AI835" i="224"/>
  <c r="AI811" i="224"/>
  <c r="AI795" i="224"/>
  <c r="AI787" i="224"/>
  <c r="AI771" i="224"/>
  <c r="AI763" i="224"/>
  <c r="AI747" i="224"/>
  <c r="AI731" i="224"/>
  <c r="AI715" i="224"/>
  <c r="AI707" i="224"/>
  <c r="AI691" i="224"/>
  <c r="AI683" i="224"/>
  <c r="AI675" i="224"/>
  <c r="AI667" i="224"/>
  <c r="AI651" i="224"/>
  <c r="AI635" i="224"/>
  <c r="AI611" i="224"/>
  <c r="AI603" i="224"/>
  <c r="AI595" i="224"/>
  <c r="AI579" i="224"/>
  <c r="AI571" i="224"/>
  <c r="AI555" i="224"/>
  <c r="AI547" i="224"/>
  <c r="AI531" i="224"/>
  <c r="AI523" i="224"/>
  <c r="AI507" i="224"/>
  <c r="AI475" i="224"/>
  <c r="AI459" i="224"/>
  <c r="AI451" i="224"/>
  <c r="AI435" i="224"/>
  <c r="AI427" i="224"/>
  <c r="AI411" i="224"/>
  <c r="AI395" i="224"/>
  <c r="AI387" i="224"/>
  <c r="AI363" i="224"/>
  <c r="AI3" i="224"/>
  <c r="AI42" i="224"/>
  <c r="AI210" i="224"/>
  <c r="AI288" i="224"/>
  <c r="AI354" i="224"/>
  <c r="AI460" i="224"/>
  <c r="AI514" i="224"/>
  <c r="AI650" i="224"/>
  <c r="AI778" i="224"/>
  <c r="AI140" i="224"/>
  <c r="AI720" i="224"/>
  <c r="AI122" i="224"/>
  <c r="AI554" i="224"/>
  <c r="AI618" i="224"/>
  <c r="AI686" i="224"/>
  <c r="AI746" i="224"/>
  <c r="AI802" i="224"/>
  <c r="AI834" i="224"/>
  <c r="AI48" i="224"/>
  <c r="AI212" i="224"/>
  <c r="AI304" i="224"/>
  <c r="AI428" i="224"/>
  <c r="AI477" i="224"/>
  <c r="AI624" i="224"/>
  <c r="AI661" i="224"/>
  <c r="AI810" i="224"/>
  <c r="AI820" i="224"/>
  <c r="AI706" i="224"/>
  <c r="AI642" i="224"/>
  <c r="AI397" i="224"/>
  <c r="AI97" i="224"/>
  <c r="AI546" i="224"/>
  <c r="AI874" i="224"/>
  <c r="AI761" i="224"/>
  <c r="AI705" i="224"/>
  <c r="AI565" i="224"/>
  <c r="AI386" i="224"/>
  <c r="AI96" i="224"/>
  <c r="AI881" i="224"/>
  <c r="AI865" i="224"/>
  <c r="AI857" i="224"/>
  <c r="AI841" i="224"/>
  <c r="AI833" i="224"/>
  <c r="AI825" i="224"/>
  <c r="AI817" i="224"/>
  <c r="AI801" i="224"/>
  <c r="AI785" i="224"/>
  <c r="AI777" i="224"/>
  <c r="AI753" i="224"/>
  <c r="AI745" i="224"/>
  <c r="AI729" i="224"/>
  <c r="AI713" i="224"/>
  <c r="AI697" i="224"/>
  <c r="AI689" i="224"/>
  <c r="AI673" i="224"/>
  <c r="AI657" i="224"/>
  <c r="AI649" i="224"/>
  <c r="AI633" i="224"/>
  <c r="AI625" i="224"/>
  <c r="AI617" i="224"/>
  <c r="AI601" i="224"/>
  <c r="AI593" i="224"/>
  <c r="AI577" i="224"/>
  <c r="AI569" i="224"/>
  <c r="AI561" i="224"/>
  <c r="AI553" i="224"/>
  <c r="AI545" i="224"/>
  <c r="AI529" i="224"/>
  <c r="AI521" i="224"/>
  <c r="AI513" i="224"/>
  <c r="AI505" i="224"/>
  <c r="AI497" i="224"/>
  <c r="AI489" i="224"/>
  <c r="AI481" i="224"/>
  <c r="AI473" i="224"/>
  <c r="AI465" i="224"/>
  <c r="AI457" i="224"/>
  <c r="AI441" i="224"/>
  <c r="AI433" i="224"/>
  <c r="AI425" i="224"/>
  <c r="AI417" i="224"/>
  <c r="AI409" i="224"/>
  <c r="AI401" i="224"/>
  <c r="AI393" i="224"/>
  <c r="AI377" i="224"/>
  <c r="AI369" i="224"/>
  <c r="AI361" i="224"/>
  <c r="AI353" i="224"/>
  <c r="AI345" i="224"/>
  <c r="AI337" i="224"/>
  <c r="AI329" i="224"/>
  <c r="AI321" i="224"/>
  <c r="AI297" i="224"/>
  <c r="AI289" i="224"/>
  <c r="AI281" i="224"/>
  <c r="AI273" i="224"/>
  <c r="AI265" i="224"/>
  <c r="AI257" i="224"/>
  <c r="AI249" i="224"/>
  <c r="AI233" i="224"/>
  <c r="AI225" i="224"/>
  <c r="AI217" i="224"/>
  <c r="AI209" i="224"/>
  <c r="AI201" i="224"/>
  <c r="AI193" i="224"/>
  <c r="AI185" i="224"/>
  <c r="AI177" i="224"/>
  <c r="AI169" i="224"/>
  <c r="AI161" i="224"/>
  <c r="AI153" i="224"/>
  <c r="AI145" i="224"/>
  <c r="AI137" i="224"/>
  <c r="AI129" i="224"/>
  <c r="AI121" i="224"/>
  <c r="AI113" i="224"/>
  <c r="AI105" i="224"/>
  <c r="AI25" i="224"/>
  <c r="AI818" i="224"/>
  <c r="AI760" i="224"/>
  <c r="AI698" i="224"/>
  <c r="AI628" i="224"/>
  <c r="AI564" i="224"/>
  <c r="AI66" i="224"/>
  <c r="AI793" i="224"/>
  <c r="AI604" i="224"/>
  <c r="AI851" i="224"/>
  <c r="AI533" i="224"/>
  <c r="AI726" i="224"/>
  <c r="AI532" i="224"/>
  <c r="AI708" i="224"/>
  <c r="AI883" i="224"/>
  <c r="AI859" i="224"/>
  <c r="AI827" i="224"/>
  <c r="AI803" i="224"/>
  <c r="AI779" i="224"/>
  <c r="AI739" i="224"/>
  <c r="AI723" i="224"/>
  <c r="AI699" i="224"/>
  <c r="AI659" i="224"/>
  <c r="AI643" i="224"/>
  <c r="AI619" i="224"/>
  <c r="AI587" i="224"/>
  <c r="AI563" i="224"/>
  <c r="AI539" i="224"/>
  <c r="AI515" i="224"/>
  <c r="AI499" i="224"/>
  <c r="AI467" i="224"/>
  <c r="AI443" i="224"/>
  <c r="AI419" i="224"/>
  <c r="AI403" i="224"/>
  <c r="AI371" i="224"/>
  <c r="AI355" i="224"/>
  <c r="AI762" i="224"/>
  <c r="AI256" i="224"/>
  <c r="AI882" i="224"/>
  <c r="AI637" i="224"/>
  <c r="AI490" i="224"/>
  <c r="AI253" i="224"/>
  <c r="AI849" i="224"/>
  <c r="AI809" i="224"/>
  <c r="AI769" i="224"/>
  <c r="AI721" i="224"/>
  <c r="AI681" i="224"/>
  <c r="AI641" i="224"/>
  <c r="AI609" i="224"/>
  <c r="AI585" i="224"/>
  <c r="AI537" i="224"/>
  <c r="AI864" i="224"/>
  <c r="AI768" i="224"/>
  <c r="AI752" i="224"/>
  <c r="AI736" i="224"/>
  <c r="AI872" i="224"/>
  <c r="AI692" i="224"/>
  <c r="AI556" i="224"/>
  <c r="AI213" i="224"/>
  <c r="AI64" i="224"/>
  <c r="AI335" i="224"/>
  <c r="AI327" i="224"/>
  <c r="AI311" i="224"/>
  <c r="AI303" i="224"/>
  <c r="AI295" i="224"/>
  <c r="AI279" i="224"/>
  <c r="AI271" i="224"/>
  <c r="AI263" i="224"/>
  <c r="AI247" i="224"/>
  <c r="AI239" i="224"/>
  <c r="AI231" i="224"/>
  <c r="AI215" i="224"/>
  <c r="AI207" i="224"/>
  <c r="AI199" i="224"/>
  <c r="AI183" i="224"/>
  <c r="AI175" i="224"/>
  <c r="AI167" i="224"/>
  <c r="AI151" i="224"/>
  <c r="AI143" i="224"/>
  <c r="AI135" i="224"/>
  <c r="AI119" i="224"/>
  <c r="AI111" i="224"/>
  <c r="AI103" i="224"/>
  <c r="AI87" i="224"/>
  <c r="AI79" i="224"/>
  <c r="AI71" i="224"/>
  <c r="AI63" i="224"/>
  <c r="AI47" i="224"/>
  <c r="AI39" i="224"/>
  <c r="AI31" i="224"/>
  <c r="AI15" i="224"/>
  <c r="AI7" i="224"/>
  <c r="AI838" i="224"/>
  <c r="AI806" i="224"/>
  <c r="AI774" i="224"/>
  <c r="AI702" i="224"/>
  <c r="AI2" i="224"/>
  <c r="AI146" i="224"/>
  <c r="AI218" i="224"/>
  <c r="AI234" i="224"/>
  <c r="AI306" i="224"/>
  <c r="AI370" i="224"/>
  <c r="AI474" i="224"/>
  <c r="AI506" i="224"/>
  <c r="AI58" i="224"/>
  <c r="AI90" i="224"/>
  <c r="AI106" i="224"/>
  <c r="AI178" i="224"/>
  <c r="AI266" i="224"/>
  <c r="AI362" i="224"/>
  <c r="AI394" i="224"/>
  <c r="AI50" i="224"/>
  <c r="AI242" i="224"/>
  <c r="AI314" i="224"/>
  <c r="AI522" i="224"/>
  <c r="AI18" i="224"/>
  <c r="AI82" i="224"/>
  <c r="AI290" i="224"/>
  <c r="AI426" i="224"/>
  <c r="AI109" i="224"/>
  <c r="AI154" i="224"/>
  <c r="AI226" i="224"/>
  <c r="AI298" i="224"/>
  <c r="AI317" i="224"/>
  <c r="AI469" i="224"/>
  <c r="AI482" i="224"/>
  <c r="AI498" i="224"/>
  <c r="AI186" i="224"/>
  <c r="AI301" i="224"/>
  <c r="AI418" i="224"/>
  <c r="AI445" i="224"/>
  <c r="AI814" i="224"/>
  <c r="AI870" i="224"/>
  <c r="AI141" i="224"/>
  <c r="AI330" i="224"/>
  <c r="AI442" i="224"/>
  <c r="AI461" i="224"/>
  <c r="AI525" i="224"/>
  <c r="AI742" i="224"/>
  <c r="AI854" i="224"/>
  <c r="AI32" i="224"/>
  <c r="AI93" i="224"/>
  <c r="AI138" i="224"/>
  <c r="AI240" i="224"/>
  <c r="AI285" i="224"/>
  <c r="AI378" i="224"/>
  <c r="AI410" i="224"/>
  <c r="AI501" i="224"/>
  <c r="AI616" i="224"/>
  <c r="AI718" i="224"/>
  <c r="AI830" i="224"/>
  <c r="AI846" i="224"/>
  <c r="AI77" i="224"/>
  <c r="AI170" i="224"/>
  <c r="AI229" i="224"/>
  <c r="AI328" i="224"/>
  <c r="AI368" i="224"/>
  <c r="AI400" i="224"/>
  <c r="AI520" i="224"/>
  <c r="AI568" i="224"/>
  <c r="AI613" i="224"/>
  <c r="AI629" i="224"/>
  <c r="AI710" i="224"/>
  <c r="AI750" i="224"/>
  <c r="AI862" i="224"/>
  <c r="AI85" i="224"/>
  <c r="AI184" i="224"/>
  <c r="AI232" i="224"/>
  <c r="AI282" i="224"/>
  <c r="AI405" i="224"/>
  <c r="AI472" i="224"/>
  <c r="AI552" i="224"/>
  <c r="AI589" i="224"/>
  <c r="AI677" i="224"/>
  <c r="AI696" i="224"/>
  <c r="AI714" i="224"/>
  <c r="AI790" i="224"/>
  <c r="AI808" i="224"/>
  <c r="AI824" i="224"/>
  <c r="AI876" i="224"/>
  <c r="AI868" i="224"/>
  <c r="AI844" i="224"/>
  <c r="AI836" i="224"/>
  <c r="AI828" i="224"/>
  <c r="AI812" i="224"/>
  <c r="AI804" i="224"/>
  <c r="AI796" i="224"/>
  <c r="AI788" i="224"/>
  <c r="AI772" i="224"/>
  <c r="AI764" i="224"/>
  <c r="AI756" i="224"/>
  <c r="AI748" i="224"/>
  <c r="AI732" i="224"/>
  <c r="AI716" i="224"/>
  <c r="AI700" i="224"/>
  <c r="AI684" i="224"/>
  <c r="AI676" i="224"/>
  <c r="AI668" i="224"/>
  <c r="AI660" i="224"/>
  <c r="AI652" i="224"/>
  <c r="AI644" i="224"/>
  <c r="AI636" i="224"/>
  <c r="AI620" i="224"/>
  <c r="AI612" i="224"/>
  <c r="AI596" i="224"/>
  <c r="AI588" i="224"/>
  <c r="AI580" i="224"/>
  <c r="AI572" i="224"/>
  <c r="AI548" i="224"/>
  <c r="AI524" i="224"/>
  <c r="AI516" i="224"/>
  <c r="AI508" i="224"/>
  <c r="AI500" i="224"/>
  <c r="AI492" i="224"/>
  <c r="AI484" i="224"/>
  <c r="AI476" i="224"/>
  <c r="AI468" i="224"/>
  <c r="AI452" i="224"/>
  <c r="AI444" i="224"/>
  <c r="AI436" i="224"/>
  <c r="AI420" i="224"/>
  <c r="AI412" i="224"/>
  <c r="AI404" i="224"/>
  <c r="AI396" i="224"/>
  <c r="AI388" i="224"/>
  <c r="AI380" i="224"/>
  <c r="AI372" i="224"/>
  <c r="AI364" i="224"/>
  <c r="AI356" i="224"/>
  <c r="AI340" i="224"/>
  <c r="AI332" i="224"/>
  <c r="AI324" i="224"/>
  <c r="AI316" i="224"/>
  <c r="AI308" i="224"/>
  <c r="AI300" i="224"/>
  <c r="AI292" i="224"/>
  <c r="AI284" i="224"/>
  <c r="AI276" i="224"/>
  <c r="AI268" i="224"/>
  <c r="AI260" i="224"/>
  <c r="AI252" i="224"/>
  <c r="AI244" i="224"/>
  <c r="AI236" i="224"/>
  <c r="AI228" i="224"/>
  <c r="AI220" i="224"/>
  <c r="AI204" i="224"/>
  <c r="AI188" i="224"/>
  <c r="AI180" i="224"/>
  <c r="AI172" i="224"/>
  <c r="AI164" i="224"/>
  <c r="AI156" i="224"/>
  <c r="AI148" i="224"/>
  <c r="AI132" i="224"/>
  <c r="AI124" i="224"/>
  <c r="AI116" i="224"/>
  <c r="AI108" i="224"/>
  <c r="AI100" i="224"/>
  <c r="AI92" i="224"/>
  <c r="AI84" i="224"/>
  <c r="AI76" i="224"/>
  <c r="AI68" i="224"/>
  <c r="AI60" i="224"/>
  <c r="AI52" i="224"/>
  <c r="AI44" i="224"/>
  <c r="AI36" i="224"/>
  <c r="AI28" i="224"/>
  <c r="AI20" i="224"/>
  <c r="AI12" i="224"/>
  <c r="AI4" i="224"/>
  <c r="AI856" i="224"/>
  <c r="AI832" i="224"/>
  <c r="AI798" i="224"/>
  <c r="AI766" i="224"/>
  <c r="AI738" i="224"/>
  <c r="AI682" i="224"/>
  <c r="AI605" i="224"/>
  <c r="AI541" i="224"/>
  <c r="AI504" i="224"/>
  <c r="AI458" i="224"/>
  <c r="AI261" i="224"/>
  <c r="AI98" i="224"/>
  <c r="AI319" i="224"/>
  <c r="AI287" i="224"/>
  <c r="AI255" i="224"/>
  <c r="AI223" i="224"/>
  <c r="AI191" i="224"/>
  <c r="AI159" i="224"/>
  <c r="AI127" i="224"/>
  <c r="AI95" i="224"/>
  <c r="AI55" i="224"/>
  <c r="AI23" i="224"/>
  <c r="AI878" i="224"/>
  <c r="AI734" i="224"/>
  <c r="AI877" i="224"/>
  <c r="AI869" i="224"/>
  <c r="AI669" i="224"/>
  <c r="AI645" i="224"/>
  <c r="AI597" i="224"/>
  <c r="AI573" i="224"/>
  <c r="AI509" i="224"/>
  <c r="AI437" i="224"/>
  <c r="AI421" i="224"/>
  <c r="AI389" i="224"/>
  <c r="AI373" i="224"/>
  <c r="AI357" i="224"/>
  <c r="AI341" i="224"/>
  <c r="AI333" i="224"/>
  <c r="AI269" i="224"/>
  <c r="AI197" i="224"/>
  <c r="AI173" i="224"/>
  <c r="AI125" i="224"/>
  <c r="AI648" i="224"/>
  <c r="AI581" i="224"/>
  <c r="AI416" i="224"/>
  <c r="AI274" i="224"/>
  <c r="AI202" i="224"/>
  <c r="AI114" i="224"/>
  <c r="AI41" i="224"/>
  <c r="AI880" i="224"/>
  <c r="AI848" i="224"/>
  <c r="AI840" i="224"/>
  <c r="AI816" i="224"/>
  <c r="AI800" i="224"/>
  <c r="AI784" i="224"/>
  <c r="AI776" i="224"/>
  <c r="AI744" i="224"/>
  <c r="AI728" i="224"/>
  <c r="AI712" i="224"/>
  <c r="AI704" i="224"/>
  <c r="AI688" i="224"/>
  <c r="AI680" i="224"/>
  <c r="AI672" i="224"/>
  <c r="AI664" i="224"/>
  <c r="AI656" i="224"/>
  <c r="AI640" i="224"/>
  <c r="AI632" i="224"/>
  <c r="AI608" i="224"/>
  <c r="AI592" i="224"/>
  <c r="AI544" i="224"/>
  <c r="AI488" i="224"/>
  <c r="AI216" i="224"/>
  <c r="AI112" i="224"/>
  <c r="AI72" i="224"/>
  <c r="AI866" i="224"/>
  <c r="AI858" i="224"/>
  <c r="AI842" i="224"/>
  <c r="AI826" i="224"/>
  <c r="AI794" i="224"/>
  <c r="AI786" i="224"/>
  <c r="AI770" i="224"/>
  <c r="AI754" i="224"/>
  <c r="AI730" i="224"/>
  <c r="AI722" i="224"/>
  <c r="AI690" i="224"/>
  <c r="AI674" i="224"/>
  <c r="AI658" i="224"/>
  <c r="AI634" i="224"/>
  <c r="AI626" i="224"/>
  <c r="AI610" i="224"/>
  <c r="AI594" i="224"/>
  <c r="AI586" i="224"/>
  <c r="AI578" i="224"/>
  <c r="AI570" i="224"/>
  <c r="AI562" i="224"/>
  <c r="AI538" i="224"/>
  <c r="AI434" i="224"/>
  <c r="AI338" i="224"/>
  <c r="AI250" i="224"/>
  <c r="AI162" i="224"/>
  <c r="AI74" i="224"/>
  <c r="AI34" i="224"/>
  <c r="AI10" i="224"/>
  <c r="AI584" i="224"/>
  <c r="AI576" i="224"/>
  <c r="AI560" i="224"/>
  <c r="AI536" i="224"/>
  <c r="AI528" i="224"/>
  <c r="AI512" i="224"/>
  <c r="AI496" i="224"/>
  <c r="AI480" i="224"/>
  <c r="AI464" i="224"/>
  <c r="AI456" i="224"/>
  <c r="AI448" i="224"/>
  <c r="AI440" i="224"/>
  <c r="AI424" i="224"/>
  <c r="AI408" i="224"/>
  <c r="AI392" i="224"/>
  <c r="AI384" i="224"/>
  <c r="AI376" i="224"/>
  <c r="AI360" i="224"/>
  <c r="AI352" i="224"/>
  <c r="AI344" i="224"/>
  <c r="AI336" i="224"/>
  <c r="AI312" i="224"/>
  <c r="AI296" i="224"/>
  <c r="AI280" i="224"/>
  <c r="AI272" i="224"/>
  <c r="AI264" i="224"/>
  <c r="AI248" i="224"/>
  <c r="AI224" i="224"/>
  <c r="AI208" i="224"/>
  <c r="AI200" i="224"/>
  <c r="AI192" i="224"/>
  <c r="AI176" i="224"/>
  <c r="AI152" i="224"/>
  <c r="AI144" i="224"/>
  <c r="AI136" i="224"/>
  <c r="AI128" i="224"/>
  <c r="AI120" i="224"/>
  <c r="AI104" i="224"/>
  <c r="AI88" i="224"/>
  <c r="AI80" i="224"/>
  <c r="AI56" i="224"/>
  <c r="AI40" i="224"/>
  <c r="AI24" i="224"/>
  <c r="AI16" i="224"/>
  <c r="AI8" i="224"/>
  <c r="AI89" i="224"/>
  <c r="AI81" i="224"/>
  <c r="AI73" i="224"/>
  <c r="AI65" i="224"/>
  <c r="AI57" i="224"/>
  <c r="AI49" i="224"/>
  <c r="AI33" i="224"/>
  <c r="AI17" i="224"/>
  <c r="AI9" i="224"/>
  <c r="AI822" i="224"/>
  <c r="AI758" i="224"/>
  <c r="AI694" i="224"/>
  <c r="AI678" i="224"/>
  <c r="AI670" i="224"/>
  <c r="AI662" i="224"/>
  <c r="AI654" i="224"/>
  <c r="AI646" i="224"/>
  <c r="AI638" i="224"/>
  <c r="AI630" i="224"/>
  <c r="AI622" i="224"/>
  <c r="AI614" i="224"/>
  <c r="AI606" i="224"/>
  <c r="AI598" i="224"/>
  <c r="AI590" i="224"/>
  <c r="AI582" i="224"/>
  <c r="AI574" i="224"/>
  <c r="AI566" i="224"/>
  <c r="AI558" i="224"/>
  <c r="AI550" i="224"/>
  <c r="AI542" i="224"/>
  <c r="AI534" i="224"/>
  <c r="AI526" i="224"/>
  <c r="AI518" i="224"/>
  <c r="AI510" i="224"/>
  <c r="AI502" i="224"/>
  <c r="AI494" i="224"/>
  <c r="AI486" i="224"/>
  <c r="AI478" i="224"/>
  <c r="AI470" i="224"/>
  <c r="AI462" i="224"/>
  <c r="AI454" i="224"/>
  <c r="AI446" i="224"/>
  <c r="AI438" i="224"/>
  <c r="AI430" i="224"/>
  <c r="AI422" i="224"/>
  <c r="AI414" i="224"/>
  <c r="AI406" i="224"/>
  <c r="AI398" i="224"/>
  <c r="AI390" i="224"/>
  <c r="AI382" i="224"/>
  <c r="AI374" i="224"/>
  <c r="AI366" i="224"/>
  <c r="AI358" i="224"/>
  <c r="AI350" i="224"/>
  <c r="AI342" i="224"/>
  <c r="AI334" i="224"/>
  <c r="AI326" i="224"/>
  <c r="AI318" i="224"/>
  <c r="AI310" i="224"/>
  <c r="AI302" i="224"/>
  <c r="AI294" i="224"/>
  <c r="AI286" i="224"/>
  <c r="AI278" i="224"/>
  <c r="AI270" i="224"/>
  <c r="AI262" i="224"/>
  <c r="AI254" i="224"/>
  <c r="AI246" i="224"/>
  <c r="AI238" i="224"/>
  <c r="AI230" i="224"/>
  <c r="AI222" i="224"/>
  <c r="AI214" i="224"/>
  <c r="AI206" i="224"/>
  <c r="AI198" i="224"/>
  <c r="AI190" i="224"/>
  <c r="AI182" i="224"/>
  <c r="AI174" i="224"/>
  <c r="AI166" i="224"/>
  <c r="AI158" i="224"/>
  <c r="AI150" i="224"/>
  <c r="AI142" i="224"/>
  <c r="AI134" i="224"/>
  <c r="AI126" i="224"/>
  <c r="AI118" i="224"/>
  <c r="AI110" i="224"/>
  <c r="AI102" i="224"/>
  <c r="AI94" i="224"/>
  <c r="AI86" i="224"/>
  <c r="AI78" i="224"/>
  <c r="AI70" i="224"/>
  <c r="AI62" i="224"/>
  <c r="AI54" i="224"/>
  <c r="AI46" i="224"/>
  <c r="AI38" i="224"/>
  <c r="AI30" i="224"/>
  <c r="AI22" i="224"/>
  <c r="AI14" i="224"/>
  <c r="AI6" i="224"/>
  <c r="AI861" i="224"/>
  <c r="AI853" i="224"/>
  <c r="AI845" i="224"/>
  <c r="AI837" i="224"/>
  <c r="AI829" i="224"/>
  <c r="AI821" i="224"/>
  <c r="AI813" i="224"/>
  <c r="AI805" i="224"/>
  <c r="AI797" i="224"/>
  <c r="AI789" i="224"/>
  <c r="AI781" i="224"/>
  <c r="AI773" i="224"/>
  <c r="AI765" i="224"/>
  <c r="AI757" i="224"/>
  <c r="AI749" i="224"/>
  <c r="AI741" i="224"/>
  <c r="AI733" i="224"/>
  <c r="AI725" i="224"/>
  <c r="AI717" i="224"/>
  <c r="AI709" i="224"/>
  <c r="AI701" i="224"/>
  <c r="AI693" i="224"/>
  <c r="AI685" i="224"/>
  <c r="AI653" i="224"/>
  <c r="AI621" i="224"/>
  <c r="AI557" i="224"/>
  <c r="AI549" i="224"/>
  <c r="AI517" i="224"/>
  <c r="AI493" i="224"/>
  <c r="AI485" i="224"/>
  <c r="AI453" i="224"/>
  <c r="AI429" i="224"/>
  <c r="AI413" i="224"/>
  <c r="AI381" i="224"/>
  <c r="AI365" i="224"/>
  <c r="AI349" i="224"/>
  <c r="AI325" i="224"/>
  <c r="AI309" i="224"/>
  <c r="AI293" i="224"/>
  <c r="AI277" i="224"/>
  <c r="AI245" i="224"/>
  <c r="AI237" i="224"/>
  <c r="AI221" i="224"/>
  <c r="AI205" i="224"/>
  <c r="AI189" i="224"/>
  <c r="AI181" i="224"/>
  <c r="AI149" i="224"/>
  <c r="AI133" i="224"/>
  <c r="AI117" i="224"/>
  <c r="AI101" i="224"/>
  <c r="AI69" i="224"/>
  <c r="AI61" i="224"/>
  <c r="AI53" i="224"/>
  <c r="AI45" i="224"/>
  <c r="AI37" i="224"/>
  <c r="AI29" i="224"/>
  <c r="AI21" i="224"/>
  <c r="AI13" i="224"/>
  <c r="AI5" i="224"/>
  <c r="AI530" i="224"/>
  <c r="AI466" i="224"/>
  <c r="AI402" i="224"/>
  <c r="AI322" i="224"/>
  <c r="AI258" i="224"/>
  <c r="AI194" i="224"/>
  <c r="AI130" i="224"/>
  <c r="AI26" i="224"/>
  <c r="AF738" i="224"/>
  <c r="AF866" i="224"/>
  <c r="AF802" i="224"/>
  <c r="AF673" i="224"/>
  <c r="AF129" i="224"/>
  <c r="AF858" i="224"/>
  <c r="AF794" i="224"/>
  <c r="AF730" i="224"/>
  <c r="AF655" i="224"/>
  <c r="AF65" i="224"/>
  <c r="AF850" i="224"/>
  <c r="AF786" i="224"/>
  <c r="AF722" i="224"/>
  <c r="AF645" i="224"/>
  <c r="AF842" i="224"/>
  <c r="AF778" i="224"/>
  <c r="AF714" i="224"/>
  <c r="AF636" i="224"/>
  <c r="AF834" i="224"/>
  <c r="AF770" i="224"/>
  <c r="AF706" i="224"/>
  <c r="AF626" i="224"/>
  <c r="AF826" i="224"/>
  <c r="AF762" i="224"/>
  <c r="AF698" i="224"/>
  <c r="AF513" i="224"/>
  <c r="AF882" i="224"/>
  <c r="AF818" i="224"/>
  <c r="AF754" i="224"/>
  <c r="AF690" i="224"/>
  <c r="AF449" i="224"/>
  <c r="AF874" i="224"/>
  <c r="AF810" i="224"/>
  <c r="AF746" i="224"/>
  <c r="AF682" i="224"/>
  <c r="AF385" i="224"/>
  <c r="AF496" i="224"/>
  <c r="AF440" i="224"/>
  <c r="AF400" i="224"/>
  <c r="AF352" i="224"/>
  <c r="AF304" i="224"/>
  <c r="AF264" i="224"/>
  <c r="AF216" i="224"/>
  <c r="AF168" i="224"/>
  <c r="AF128" i="224"/>
  <c r="AF80" i="224"/>
  <c r="AF40" i="224"/>
  <c r="AF321" i="224"/>
  <c r="AF257" i="224"/>
  <c r="AF193" i="224"/>
  <c r="AF615" i="224"/>
  <c r="AF607" i="224"/>
  <c r="AF599" i="224"/>
  <c r="AF591" i="224"/>
  <c r="AF583" i="224"/>
  <c r="AF575" i="224"/>
  <c r="AF567" i="224"/>
  <c r="AF559" i="224"/>
  <c r="AF551" i="224"/>
  <c r="AF543" i="224"/>
  <c r="AF535" i="224"/>
  <c r="AF527" i="224"/>
  <c r="AF519" i="224"/>
  <c r="AF511" i="224"/>
  <c r="AF503" i="224"/>
  <c r="AF495" i="224"/>
  <c r="AF487" i="224"/>
  <c r="AF479" i="224"/>
  <c r="AF471" i="224"/>
  <c r="AF463" i="224"/>
  <c r="AF455" i="224"/>
  <c r="AF447" i="224"/>
  <c r="AF439" i="224"/>
  <c r="AF431" i="224"/>
  <c r="AF423" i="224"/>
  <c r="AF415" i="224"/>
  <c r="AF407" i="224"/>
  <c r="AF399" i="224"/>
  <c r="AF391" i="224"/>
  <c r="AF383" i="224"/>
  <c r="AF375" i="224"/>
  <c r="AF367" i="224"/>
  <c r="AF359" i="224"/>
  <c r="AF351" i="224"/>
  <c r="AF343" i="224"/>
  <c r="AF335" i="224"/>
  <c r="AF327" i="224"/>
  <c r="AF319" i="224"/>
  <c r="AF311" i="224"/>
  <c r="AF303" i="224"/>
  <c r="AF295" i="224"/>
  <c r="AF287" i="224"/>
  <c r="AF279" i="224"/>
  <c r="AF271" i="224"/>
  <c r="AF263" i="224"/>
  <c r="AF255" i="224"/>
  <c r="AF247" i="224"/>
  <c r="AF239" i="224"/>
  <c r="AF231" i="224"/>
  <c r="AF223" i="224"/>
  <c r="AF215" i="224"/>
  <c r="AF207" i="224"/>
  <c r="AF199" i="224"/>
  <c r="AF191" i="224"/>
  <c r="AF183" i="224"/>
  <c r="AF175" i="224"/>
  <c r="AF167" i="224"/>
  <c r="AF159" i="224"/>
  <c r="AF151" i="224"/>
  <c r="AF143" i="224"/>
  <c r="AF135" i="224"/>
  <c r="AF127" i="224"/>
  <c r="AF119" i="224"/>
  <c r="AF111" i="224"/>
  <c r="AF103" i="224"/>
  <c r="AF95" i="224"/>
  <c r="AF87" i="224"/>
  <c r="AF79" i="224"/>
  <c r="AF71" i="224"/>
  <c r="AF63" i="224"/>
  <c r="AF55" i="224"/>
  <c r="AF47" i="224"/>
  <c r="AF39" i="224"/>
  <c r="AF31" i="224"/>
  <c r="AF23" i="224"/>
  <c r="AF15" i="224"/>
  <c r="AF7" i="224"/>
  <c r="AF881" i="224"/>
  <c r="AF873" i="224"/>
  <c r="AF865" i="224"/>
  <c r="AF857" i="224"/>
  <c r="AF849" i="224"/>
  <c r="AF841" i="224"/>
  <c r="AF833" i="224"/>
  <c r="AF825" i="224"/>
  <c r="AF817" i="224"/>
  <c r="AF809" i="224"/>
  <c r="AF801" i="224"/>
  <c r="AF793" i="224"/>
  <c r="AF785" i="224"/>
  <c r="AF777" i="224"/>
  <c r="AF769" i="224"/>
  <c r="AF761" i="224"/>
  <c r="AF753" i="224"/>
  <c r="AF745" i="224"/>
  <c r="AF737" i="224"/>
  <c r="AF729" i="224"/>
  <c r="AF721" i="224"/>
  <c r="AF713" i="224"/>
  <c r="AF705" i="224"/>
  <c r="AF697" i="224"/>
  <c r="AF689" i="224"/>
  <c r="AF681" i="224"/>
  <c r="AF672" i="224"/>
  <c r="AF663" i="224"/>
  <c r="AF653" i="224"/>
  <c r="AF644" i="224"/>
  <c r="AF635" i="224"/>
  <c r="AF625" i="224"/>
  <c r="AF613" i="224"/>
  <c r="AF597" i="224"/>
  <c r="AF581" i="224"/>
  <c r="AF565" i="224"/>
  <c r="AF545" i="224"/>
  <c r="AF505" i="224"/>
  <c r="AF441" i="224"/>
  <c r="AF377" i="224"/>
  <c r="AF313" i="224"/>
  <c r="AF249" i="224"/>
  <c r="AF185" i="224"/>
  <c r="AF121" i="224"/>
  <c r="AF57" i="224"/>
  <c r="AF520" i="224"/>
  <c r="AF456" i="224"/>
  <c r="AF392" i="224"/>
  <c r="AF344" i="224"/>
  <c r="AF296" i="224"/>
  <c r="AF232" i="224"/>
  <c r="AF184" i="224"/>
  <c r="AF136" i="224"/>
  <c r="AF64" i="224"/>
  <c r="AF16" i="224"/>
  <c r="AF678" i="224"/>
  <c r="AF670" i="224"/>
  <c r="AF662" i="224"/>
  <c r="AF654" i="224"/>
  <c r="AF646" i="224"/>
  <c r="AF638" i="224"/>
  <c r="AF630" i="224"/>
  <c r="AF622" i="224"/>
  <c r="AF614" i="224"/>
  <c r="AF606" i="224"/>
  <c r="AF598" i="224"/>
  <c r="AF590" i="224"/>
  <c r="AF582" i="224"/>
  <c r="AF574" i="224"/>
  <c r="AF566" i="224"/>
  <c r="AF558" i="224"/>
  <c r="AF550" i="224"/>
  <c r="AF542" i="224"/>
  <c r="AF534" i="224"/>
  <c r="AF526" i="224"/>
  <c r="AF518" i="224"/>
  <c r="AF510" i="224"/>
  <c r="AF502" i="224"/>
  <c r="AF494" i="224"/>
  <c r="AF486" i="224"/>
  <c r="AF478" i="224"/>
  <c r="AF470" i="224"/>
  <c r="AF462" i="224"/>
  <c r="AF454" i="224"/>
  <c r="AF446" i="224"/>
  <c r="AF438" i="224"/>
  <c r="AF430" i="224"/>
  <c r="AF422" i="224"/>
  <c r="AF414" i="224"/>
  <c r="AF406" i="224"/>
  <c r="AF398" i="224"/>
  <c r="AF390" i="224"/>
  <c r="AF382" i="224"/>
  <c r="AF374" i="224"/>
  <c r="AF366" i="224"/>
  <c r="AF358" i="224"/>
  <c r="AF350" i="224"/>
  <c r="AF342" i="224"/>
  <c r="AF334" i="224"/>
  <c r="AF326" i="224"/>
  <c r="AF318" i="224"/>
  <c r="AF310" i="224"/>
  <c r="AF302" i="224"/>
  <c r="AF294" i="224"/>
  <c r="AF286" i="224"/>
  <c r="AF278" i="224"/>
  <c r="AF270" i="224"/>
  <c r="AF262" i="224"/>
  <c r="AF254" i="224"/>
  <c r="AF246" i="224"/>
  <c r="AF238" i="224"/>
  <c r="AF230" i="224"/>
  <c r="AF222" i="224"/>
  <c r="AF214" i="224"/>
  <c r="AF206" i="224"/>
  <c r="AF198" i="224"/>
  <c r="AF190" i="224"/>
  <c r="AF182" i="224"/>
  <c r="AF174" i="224"/>
  <c r="AF166" i="224"/>
  <c r="AF158" i="224"/>
  <c r="AF150" i="224"/>
  <c r="AF142" i="224"/>
  <c r="AF134" i="224"/>
  <c r="AF126" i="224"/>
  <c r="AF118" i="224"/>
  <c r="AF110" i="224"/>
  <c r="AF102" i="224"/>
  <c r="AF94" i="224"/>
  <c r="AF86" i="224"/>
  <c r="AF78" i="224"/>
  <c r="AF70" i="224"/>
  <c r="AF62" i="224"/>
  <c r="AF54" i="224"/>
  <c r="AF46" i="224"/>
  <c r="AF38" i="224"/>
  <c r="AF30" i="224"/>
  <c r="AF22" i="224"/>
  <c r="AF14" i="224"/>
  <c r="AF6" i="224"/>
  <c r="AF880" i="224"/>
  <c r="AF872" i="224"/>
  <c r="AF864" i="224"/>
  <c r="AF856" i="224"/>
  <c r="AF848" i="224"/>
  <c r="AF840" i="224"/>
  <c r="AF832" i="224"/>
  <c r="AF824" i="224"/>
  <c r="AF816" i="224"/>
  <c r="AF808" i="224"/>
  <c r="AF800" i="224"/>
  <c r="AF792" i="224"/>
  <c r="AF784" i="224"/>
  <c r="AF776" i="224"/>
  <c r="AF768" i="224"/>
  <c r="AF760" i="224"/>
  <c r="AF752" i="224"/>
  <c r="AF744" i="224"/>
  <c r="AF736" i="224"/>
  <c r="AF728" i="224"/>
  <c r="AF720" i="224"/>
  <c r="AF712" i="224"/>
  <c r="AF704" i="224"/>
  <c r="AF696" i="224"/>
  <c r="AF688" i="224"/>
  <c r="AF680" i="224"/>
  <c r="AF671" i="224"/>
  <c r="AF661" i="224"/>
  <c r="AF652" i="224"/>
  <c r="AF643" i="224"/>
  <c r="AF634" i="224"/>
  <c r="AF624" i="224"/>
  <c r="AF612" i="224"/>
  <c r="AF596" i="224"/>
  <c r="AF580" i="224"/>
  <c r="AF564" i="224"/>
  <c r="AF544" i="224"/>
  <c r="AF497" i="224"/>
  <c r="AF433" i="224"/>
  <c r="AF369" i="224"/>
  <c r="AF305" i="224"/>
  <c r="AF241" i="224"/>
  <c r="AF177" i="224"/>
  <c r="AF113" i="224"/>
  <c r="AF49" i="224"/>
  <c r="AF480" i="224"/>
  <c r="AF432" i="224"/>
  <c r="AF384" i="224"/>
  <c r="AF320" i="224"/>
  <c r="AF272" i="224"/>
  <c r="AF224" i="224"/>
  <c r="AF160" i="224"/>
  <c r="AF112" i="224"/>
  <c r="AF72" i="224"/>
  <c r="AF24" i="224"/>
  <c r="AF584" i="224"/>
  <c r="AF549" i="224"/>
  <c r="AF541" i="224"/>
  <c r="AF533" i="224"/>
  <c r="AF525" i="224"/>
  <c r="AF517" i="224"/>
  <c r="AF509" i="224"/>
  <c r="AF501" i="224"/>
  <c r="AF493" i="224"/>
  <c r="AF485" i="224"/>
  <c r="AF477" i="224"/>
  <c r="AF469" i="224"/>
  <c r="AF461" i="224"/>
  <c r="AF453" i="224"/>
  <c r="AF445" i="224"/>
  <c r="AF437" i="224"/>
  <c r="AF429" i="224"/>
  <c r="AF421" i="224"/>
  <c r="AF413" i="224"/>
  <c r="AF405" i="224"/>
  <c r="AF397" i="224"/>
  <c r="AF389" i="224"/>
  <c r="AF381" i="224"/>
  <c r="AF373" i="224"/>
  <c r="AF365" i="224"/>
  <c r="AF357" i="224"/>
  <c r="AF349" i="224"/>
  <c r="AF341" i="224"/>
  <c r="AF333" i="224"/>
  <c r="AF325" i="224"/>
  <c r="AF317" i="224"/>
  <c r="AF309" i="224"/>
  <c r="AF301" i="224"/>
  <c r="AF293" i="224"/>
  <c r="AF285" i="224"/>
  <c r="AF277" i="224"/>
  <c r="AF269" i="224"/>
  <c r="AF261" i="224"/>
  <c r="AF253" i="224"/>
  <c r="AF245" i="224"/>
  <c r="AF237" i="224"/>
  <c r="AF229" i="224"/>
  <c r="AF221" i="224"/>
  <c r="AF213" i="224"/>
  <c r="AF205" i="224"/>
  <c r="AF197" i="224"/>
  <c r="AF189" i="224"/>
  <c r="AF181" i="224"/>
  <c r="AF173" i="224"/>
  <c r="AF165" i="224"/>
  <c r="AF157" i="224"/>
  <c r="AF149" i="224"/>
  <c r="AF141" i="224"/>
  <c r="AF133" i="224"/>
  <c r="AF125" i="224"/>
  <c r="AF117" i="224"/>
  <c r="AF109" i="224"/>
  <c r="AF101" i="224"/>
  <c r="AF93" i="224"/>
  <c r="AF85" i="224"/>
  <c r="AF77" i="224"/>
  <c r="AF69" i="224"/>
  <c r="AF61" i="224"/>
  <c r="AF53" i="224"/>
  <c r="AF45" i="224"/>
  <c r="AF37" i="224"/>
  <c r="AF29" i="224"/>
  <c r="AF21" i="224"/>
  <c r="AF13" i="224"/>
  <c r="AF5" i="224"/>
  <c r="AF879" i="224"/>
  <c r="AF871" i="224"/>
  <c r="AF863" i="224"/>
  <c r="AF855" i="224"/>
  <c r="AF847" i="224"/>
  <c r="AF839" i="224"/>
  <c r="AF831" i="224"/>
  <c r="AF823" i="224"/>
  <c r="AF815" i="224"/>
  <c r="AF807" i="224"/>
  <c r="AF799" i="224"/>
  <c r="AF791" i="224"/>
  <c r="AF783" i="224"/>
  <c r="AF775" i="224"/>
  <c r="AF767" i="224"/>
  <c r="AF759" i="224"/>
  <c r="AF751" i="224"/>
  <c r="AF743" i="224"/>
  <c r="AF735" i="224"/>
  <c r="AF727" i="224"/>
  <c r="AF719" i="224"/>
  <c r="AF711" i="224"/>
  <c r="AF703" i="224"/>
  <c r="AF695" i="224"/>
  <c r="AF687" i="224"/>
  <c r="AF679" i="224"/>
  <c r="AF669" i="224"/>
  <c r="AF660" i="224"/>
  <c r="AF651" i="224"/>
  <c r="AF642" i="224"/>
  <c r="AF633" i="224"/>
  <c r="AF623" i="224"/>
  <c r="AF609" i="224"/>
  <c r="AF593" i="224"/>
  <c r="AF577" i="224"/>
  <c r="AF561" i="224"/>
  <c r="AF537" i="224"/>
  <c r="AF489" i="224"/>
  <c r="AF425" i="224"/>
  <c r="AF361" i="224"/>
  <c r="AF297" i="224"/>
  <c r="AF233" i="224"/>
  <c r="AF169" i="224"/>
  <c r="AF105" i="224"/>
  <c r="AF41" i="224"/>
  <c r="AF488" i="224"/>
  <c r="AF448" i="224"/>
  <c r="AF408" i="224"/>
  <c r="AF360" i="224"/>
  <c r="AF312" i="224"/>
  <c r="AF256" i="224"/>
  <c r="AF208" i="224"/>
  <c r="AF176" i="224"/>
  <c r="AF120" i="224"/>
  <c r="AF88" i="224"/>
  <c r="AF32" i="224"/>
  <c r="AF664" i="224"/>
  <c r="AF548" i="224"/>
  <c r="AF540" i="224"/>
  <c r="AF532" i="224"/>
  <c r="AF524" i="224"/>
  <c r="AF516" i="224"/>
  <c r="AF508" i="224"/>
  <c r="AF500" i="224"/>
  <c r="AF492" i="224"/>
  <c r="AF484" i="224"/>
  <c r="AF476" i="224"/>
  <c r="AF468" i="224"/>
  <c r="AF460" i="224"/>
  <c r="AF452" i="224"/>
  <c r="AF444" i="224"/>
  <c r="AF436" i="224"/>
  <c r="AF428" i="224"/>
  <c r="AF420" i="224"/>
  <c r="AF412" i="224"/>
  <c r="AF404" i="224"/>
  <c r="AF396" i="224"/>
  <c r="AF388" i="224"/>
  <c r="AF380" i="224"/>
  <c r="AF372" i="224"/>
  <c r="AF364" i="224"/>
  <c r="AF356" i="224"/>
  <c r="AF348" i="224"/>
  <c r="AF340" i="224"/>
  <c r="AF332" i="224"/>
  <c r="AF324" i="224"/>
  <c r="AF316" i="224"/>
  <c r="AF308" i="224"/>
  <c r="AF300" i="224"/>
  <c r="AF292" i="224"/>
  <c r="AF284" i="224"/>
  <c r="AF276" i="224"/>
  <c r="AF268" i="224"/>
  <c r="AF260" i="224"/>
  <c r="AF252" i="224"/>
  <c r="AF244" i="224"/>
  <c r="AF236" i="224"/>
  <c r="AF228" i="224"/>
  <c r="AF220" i="224"/>
  <c r="AF212" i="224"/>
  <c r="AF204" i="224"/>
  <c r="AF196" i="224"/>
  <c r="AF188" i="224"/>
  <c r="AF180" i="224"/>
  <c r="AF172" i="224"/>
  <c r="AF164" i="224"/>
  <c r="AF156" i="224"/>
  <c r="AF148" i="224"/>
  <c r="AF140" i="224"/>
  <c r="AF132" i="224"/>
  <c r="AF124" i="224"/>
  <c r="AF116" i="224"/>
  <c r="AF108" i="224"/>
  <c r="AF100" i="224"/>
  <c r="AF92" i="224"/>
  <c r="AF84" i="224"/>
  <c r="AF76" i="224"/>
  <c r="AF68" i="224"/>
  <c r="AF60" i="224"/>
  <c r="AF52" i="224"/>
  <c r="AF44" i="224"/>
  <c r="AF36" i="224"/>
  <c r="AF28" i="224"/>
  <c r="AF20" i="224"/>
  <c r="AF12" i="224"/>
  <c r="AF4" i="224"/>
  <c r="AF878" i="224"/>
  <c r="AF870" i="224"/>
  <c r="AF862" i="224"/>
  <c r="AF854" i="224"/>
  <c r="AF846" i="224"/>
  <c r="AF838" i="224"/>
  <c r="AF830" i="224"/>
  <c r="AF822" i="224"/>
  <c r="AF814" i="224"/>
  <c r="AF806" i="224"/>
  <c r="AF798" i="224"/>
  <c r="AF790" i="224"/>
  <c r="AF782" i="224"/>
  <c r="AF774" i="224"/>
  <c r="AF766" i="224"/>
  <c r="AF758" i="224"/>
  <c r="AF750" i="224"/>
  <c r="AF742" i="224"/>
  <c r="AF734" i="224"/>
  <c r="AF726" i="224"/>
  <c r="AF718" i="224"/>
  <c r="AF710" i="224"/>
  <c r="AF702" i="224"/>
  <c r="AF694" i="224"/>
  <c r="AF686" i="224"/>
  <c r="AF677" i="224"/>
  <c r="AF668" i="224"/>
  <c r="AF659" i="224"/>
  <c r="AF650" i="224"/>
  <c r="AF641" i="224"/>
  <c r="AF632" i="224"/>
  <c r="AF621" i="224"/>
  <c r="AF608" i="224"/>
  <c r="AF592" i="224"/>
  <c r="AF576" i="224"/>
  <c r="AF560" i="224"/>
  <c r="AF536" i="224"/>
  <c r="AF481" i="224"/>
  <c r="AF417" i="224"/>
  <c r="AF353" i="224"/>
  <c r="AF289" i="224"/>
  <c r="AF225" i="224"/>
  <c r="AF161" i="224"/>
  <c r="AF97" i="224"/>
  <c r="AF33" i="224"/>
  <c r="AF504" i="224"/>
  <c r="AF472" i="224"/>
  <c r="AF424" i="224"/>
  <c r="AF376" i="224"/>
  <c r="AF328" i="224"/>
  <c r="AF288" i="224"/>
  <c r="AF248" i="224"/>
  <c r="AF200" i="224"/>
  <c r="AF144" i="224"/>
  <c r="AF96" i="224"/>
  <c r="AF48" i="224"/>
  <c r="AF600" i="224"/>
  <c r="AF552" i="224"/>
  <c r="AF627" i="224"/>
  <c r="AF619" i="224"/>
  <c r="AF611" i="224"/>
  <c r="AF603" i="224"/>
  <c r="AF595" i="224"/>
  <c r="AF587" i="224"/>
  <c r="AF579" i="224"/>
  <c r="AF571" i="224"/>
  <c r="AF563" i="224"/>
  <c r="AF555" i="224"/>
  <c r="AF547" i="224"/>
  <c r="AF539" i="224"/>
  <c r="AF531" i="224"/>
  <c r="AF523" i="224"/>
  <c r="AF515" i="224"/>
  <c r="AF507" i="224"/>
  <c r="AF499" i="224"/>
  <c r="AF491" i="224"/>
  <c r="AF483" i="224"/>
  <c r="AF475" i="224"/>
  <c r="AF467" i="224"/>
  <c r="AF459" i="224"/>
  <c r="AF451" i="224"/>
  <c r="AF443" i="224"/>
  <c r="AF435" i="224"/>
  <c r="AF427" i="224"/>
  <c r="AF419" i="224"/>
  <c r="AF411" i="224"/>
  <c r="AF403" i="224"/>
  <c r="AF395" i="224"/>
  <c r="AF387" i="224"/>
  <c r="AF379" i="224"/>
  <c r="AF371" i="224"/>
  <c r="AF363" i="224"/>
  <c r="AF355" i="224"/>
  <c r="AF347" i="224"/>
  <c r="AF339" i="224"/>
  <c r="AF331" i="224"/>
  <c r="AF323" i="224"/>
  <c r="AF315" i="224"/>
  <c r="AF307" i="224"/>
  <c r="AF299" i="224"/>
  <c r="AF291" i="224"/>
  <c r="AF283" i="224"/>
  <c r="AF275" i="224"/>
  <c r="AF267" i="224"/>
  <c r="AF259" i="224"/>
  <c r="AF251" i="224"/>
  <c r="AF243" i="224"/>
  <c r="AF235" i="224"/>
  <c r="AF227" i="224"/>
  <c r="AF219" i="224"/>
  <c r="AF211" i="224"/>
  <c r="AF203" i="224"/>
  <c r="AF195" i="224"/>
  <c r="AF187" i="224"/>
  <c r="AF179" i="224"/>
  <c r="AF171" i="224"/>
  <c r="AF163" i="224"/>
  <c r="AF155" i="224"/>
  <c r="AF147" i="224"/>
  <c r="AF139" i="224"/>
  <c r="AF131" i="224"/>
  <c r="AF123" i="224"/>
  <c r="AF115" i="224"/>
  <c r="AF107" i="224"/>
  <c r="AF99" i="224"/>
  <c r="AF91" i="224"/>
  <c r="AF83" i="224"/>
  <c r="AF75" i="224"/>
  <c r="AF67" i="224"/>
  <c r="AF59" i="224"/>
  <c r="AF51" i="224"/>
  <c r="AF43" i="224"/>
  <c r="AF35" i="224"/>
  <c r="AF27" i="224"/>
  <c r="AF19" i="224"/>
  <c r="AF11" i="224"/>
  <c r="AF3" i="224"/>
  <c r="AF877" i="224"/>
  <c r="AF869" i="224"/>
  <c r="AF861" i="224"/>
  <c r="AF853" i="224"/>
  <c r="AF845" i="224"/>
  <c r="AF837" i="224"/>
  <c r="AF829" i="224"/>
  <c r="AF821" i="224"/>
  <c r="AF813" i="224"/>
  <c r="AF805" i="224"/>
  <c r="AF797" i="224"/>
  <c r="AF789" i="224"/>
  <c r="AF781" i="224"/>
  <c r="AF773" i="224"/>
  <c r="AF765" i="224"/>
  <c r="AF757" i="224"/>
  <c r="AF749" i="224"/>
  <c r="AF741" i="224"/>
  <c r="AF733" i="224"/>
  <c r="AF725" i="224"/>
  <c r="AF717" i="224"/>
  <c r="AF709" i="224"/>
  <c r="AF701" i="224"/>
  <c r="AF693" i="224"/>
  <c r="AF685" i="224"/>
  <c r="AF676" i="224"/>
  <c r="AF667" i="224"/>
  <c r="AF658" i="224"/>
  <c r="AF649" i="224"/>
  <c r="AF640" i="224"/>
  <c r="AF631" i="224"/>
  <c r="AF620" i="224"/>
  <c r="AF605" i="224"/>
  <c r="AF589" i="224"/>
  <c r="AF573" i="224"/>
  <c r="AF557" i="224"/>
  <c r="AF529" i="224"/>
  <c r="AF473" i="224"/>
  <c r="AF409" i="224"/>
  <c r="AF345" i="224"/>
  <c r="AF281" i="224"/>
  <c r="AF217" i="224"/>
  <c r="AF153" i="224"/>
  <c r="AF89" i="224"/>
  <c r="AF25" i="224"/>
  <c r="AF512" i="224"/>
  <c r="AF464" i="224"/>
  <c r="AF416" i="224"/>
  <c r="AF368" i="224"/>
  <c r="AF336" i="224"/>
  <c r="AF280" i="224"/>
  <c r="AF240" i="224"/>
  <c r="AF192" i="224"/>
  <c r="AF152" i="224"/>
  <c r="AF104" i="224"/>
  <c r="AF56" i="224"/>
  <c r="AF8" i="224"/>
  <c r="AF616" i="224"/>
  <c r="AF568" i="224"/>
  <c r="AF610" i="224"/>
  <c r="AF602" i="224"/>
  <c r="AF594" i="224"/>
  <c r="AF586" i="224"/>
  <c r="AF578" i="224"/>
  <c r="AF570" i="224"/>
  <c r="AF562" i="224"/>
  <c r="AF554" i="224"/>
  <c r="AF546" i="224"/>
  <c r="AF538" i="224"/>
  <c r="AF530" i="224"/>
  <c r="AF522" i="224"/>
  <c r="AF514" i="224"/>
  <c r="AF506" i="224"/>
  <c r="AF498" i="224"/>
  <c r="AF490" i="224"/>
  <c r="AF482" i="224"/>
  <c r="AF474" i="224"/>
  <c r="AF466" i="224"/>
  <c r="AF458" i="224"/>
  <c r="AF450" i="224"/>
  <c r="AF442" i="224"/>
  <c r="AF434" i="224"/>
  <c r="AF426" i="224"/>
  <c r="AF418" i="224"/>
  <c r="AF410" i="224"/>
  <c r="AF402" i="224"/>
  <c r="AF394" i="224"/>
  <c r="AF386" i="224"/>
  <c r="AF378" i="224"/>
  <c r="AF370" i="224"/>
  <c r="AF362" i="224"/>
  <c r="AF354" i="224"/>
  <c r="AF346" i="224"/>
  <c r="AF338" i="224"/>
  <c r="AF330" i="224"/>
  <c r="AF322" i="224"/>
  <c r="AF314" i="224"/>
  <c r="AF306" i="224"/>
  <c r="AF298" i="224"/>
  <c r="AF290" i="224"/>
  <c r="AF282" i="224"/>
  <c r="AF274" i="224"/>
  <c r="AF266" i="224"/>
  <c r="AF258" i="224"/>
  <c r="AF250" i="224"/>
  <c r="AF242" i="224"/>
  <c r="AF234" i="224"/>
  <c r="AF226" i="224"/>
  <c r="AF218" i="224"/>
  <c r="AF210" i="224"/>
  <c r="AF202" i="224"/>
  <c r="AF194" i="224"/>
  <c r="AF186" i="224"/>
  <c r="AF178" i="224"/>
  <c r="AF170" i="224"/>
  <c r="AF162" i="224"/>
  <c r="AF154" i="224"/>
  <c r="AF146" i="224"/>
  <c r="AF138" i="224"/>
  <c r="AF130" i="224"/>
  <c r="AF122" i="224"/>
  <c r="AF114" i="224"/>
  <c r="AF106" i="224"/>
  <c r="AF98" i="224"/>
  <c r="AF90" i="224"/>
  <c r="AF82" i="224"/>
  <c r="AF74" i="224"/>
  <c r="AF66" i="224"/>
  <c r="AF58" i="224"/>
  <c r="AF50" i="224"/>
  <c r="AF42" i="224"/>
  <c r="AF34" i="224"/>
  <c r="AF26" i="224"/>
  <c r="AF18" i="224"/>
  <c r="AF10" i="224"/>
  <c r="AF2" i="224"/>
  <c r="AF876" i="224"/>
  <c r="AF868" i="224"/>
  <c r="AF860" i="224"/>
  <c r="AF852" i="224"/>
  <c r="AF844" i="224"/>
  <c r="AF836" i="224"/>
  <c r="AF828" i="224"/>
  <c r="AF820" i="224"/>
  <c r="AF812" i="224"/>
  <c r="AF804" i="224"/>
  <c r="AF796" i="224"/>
  <c r="AF788" i="224"/>
  <c r="AF780" i="224"/>
  <c r="AF772" i="224"/>
  <c r="AF764" i="224"/>
  <c r="AF756" i="224"/>
  <c r="AF748" i="224"/>
  <c r="AF740" i="224"/>
  <c r="AF732" i="224"/>
  <c r="AF724" i="224"/>
  <c r="AF716" i="224"/>
  <c r="AF708" i="224"/>
  <c r="AF700" i="224"/>
  <c r="AF692" i="224"/>
  <c r="AF684" i="224"/>
  <c r="AF675" i="224"/>
  <c r="AF666" i="224"/>
  <c r="AF657" i="224"/>
  <c r="AF648" i="224"/>
  <c r="AF639" i="224"/>
  <c r="AF629" i="224"/>
  <c r="AF618" i="224"/>
  <c r="AF604" i="224"/>
  <c r="AF588" i="224"/>
  <c r="AF572" i="224"/>
  <c r="AF556" i="224"/>
  <c r="AF528" i="224"/>
  <c r="AF465" i="224"/>
  <c r="AF401" i="224"/>
  <c r="AF337" i="224"/>
  <c r="AF273" i="224"/>
  <c r="AF209" i="224"/>
  <c r="AF145" i="224"/>
  <c r="AF81" i="224"/>
  <c r="AF17" i="224"/>
  <c r="AF883" i="224"/>
  <c r="AF875" i="224"/>
  <c r="AF867" i="224"/>
  <c r="AF859" i="224"/>
  <c r="AF851" i="224"/>
  <c r="AF843" i="224"/>
  <c r="AF835" i="224"/>
  <c r="AF827" i="224"/>
  <c r="AF819" i="224"/>
  <c r="AF811" i="224"/>
  <c r="AF803" i="224"/>
  <c r="AF795" i="224"/>
  <c r="AF787" i="224"/>
  <c r="AF779" i="224"/>
  <c r="AF771" i="224"/>
  <c r="AF763" i="224"/>
  <c r="AF755" i="224"/>
  <c r="AF747" i="224"/>
  <c r="AF739" i="224"/>
  <c r="AF731" i="224"/>
  <c r="AF723" i="224"/>
  <c r="AF715" i="224"/>
  <c r="AF707" i="224"/>
  <c r="AF699" i="224"/>
  <c r="AF691" i="224"/>
  <c r="AF683" i="224"/>
  <c r="AF674" i="224"/>
  <c r="AF665" i="224"/>
  <c r="AF656" i="224"/>
  <c r="AF647" i="224"/>
  <c r="AF637" i="224"/>
  <c r="AF628" i="224"/>
  <c r="AF617" i="224"/>
  <c r="AF601" i="224"/>
  <c r="AF585" i="224"/>
  <c r="AF569" i="224"/>
  <c r="AF553" i="224"/>
  <c r="AF521" i="224"/>
  <c r="AF457" i="224"/>
  <c r="AF393" i="224"/>
  <c r="AF329" i="224"/>
  <c r="AF265" i="224"/>
  <c r="AF201" i="224"/>
  <c r="AF137" i="224"/>
  <c r="AF73" i="224"/>
  <c r="AF9" i="224"/>
  <c r="Z673" i="224"/>
  <c r="Z728" i="224"/>
  <c r="Z856" i="224"/>
  <c r="Z792" i="224"/>
  <c r="Z848" i="224"/>
  <c r="Z784" i="224"/>
  <c r="Z720" i="224"/>
  <c r="Z840" i="224"/>
  <c r="Z776" i="224"/>
  <c r="Z712" i="224"/>
  <c r="Z832" i="224"/>
  <c r="Z768" i="224"/>
  <c r="Z704" i="224"/>
  <c r="Z824" i="224"/>
  <c r="Z760" i="224"/>
  <c r="Z696" i="224"/>
  <c r="Z880" i="224"/>
  <c r="Z816" i="224"/>
  <c r="Z752" i="224"/>
  <c r="Z688" i="224"/>
  <c r="Z872" i="224"/>
  <c r="Z808" i="224"/>
  <c r="Z744" i="224"/>
  <c r="Z680" i="224"/>
  <c r="Z864" i="224"/>
  <c r="Z800" i="224"/>
  <c r="Z736" i="224"/>
  <c r="Z670" i="224"/>
  <c r="Z883" i="224"/>
  <c r="Z882" i="224"/>
  <c r="Z874" i="224"/>
  <c r="Z866" i="224"/>
  <c r="Z858" i="224"/>
  <c r="Z850" i="224"/>
  <c r="Z842" i="224"/>
  <c r="Z834" i="224"/>
  <c r="Z826" i="224"/>
  <c r="Z818" i="224"/>
  <c r="Z810" i="224"/>
  <c r="Z802" i="224"/>
  <c r="Z794" i="224"/>
  <c r="Z786" i="224"/>
  <c r="Z778" i="224"/>
  <c r="Z770" i="224"/>
  <c r="Z762" i="224"/>
  <c r="Z754" i="224"/>
  <c r="Z746" i="224"/>
  <c r="Z738" i="224"/>
  <c r="Z730" i="224"/>
  <c r="Z722" i="224"/>
  <c r="Z714" i="224"/>
  <c r="Z706" i="224"/>
  <c r="Z698" i="224"/>
  <c r="Z690" i="224"/>
  <c r="Z682" i="224"/>
  <c r="Z2" i="224"/>
  <c r="Z10" i="224"/>
  <c r="Z18" i="224"/>
  <c r="Z26" i="224"/>
  <c r="Z34" i="224"/>
  <c r="Z42" i="224"/>
  <c r="Z50" i="224"/>
  <c r="Z58" i="224"/>
  <c r="Z66" i="224"/>
  <c r="Z74" i="224"/>
  <c r="Z82" i="224"/>
  <c r="Z90" i="224"/>
  <c r="Z98" i="224"/>
  <c r="Z106" i="224"/>
  <c r="Z114" i="224"/>
  <c r="Z122" i="224"/>
  <c r="Z130" i="224"/>
  <c r="Z138" i="224"/>
  <c r="Z146" i="224"/>
  <c r="Z154" i="224"/>
  <c r="Z162" i="224"/>
  <c r="Z170" i="224"/>
  <c r="Z178" i="224"/>
  <c r="Z186" i="224"/>
  <c r="Z194" i="224"/>
  <c r="Z202" i="224"/>
  <c r="Z210" i="224"/>
  <c r="Z218" i="224"/>
  <c r="Z226" i="224"/>
  <c r="Z234" i="224"/>
  <c r="Z242" i="224"/>
  <c r="Z250" i="224"/>
  <c r="Z258" i="224"/>
  <c r="Z266" i="224"/>
  <c r="Z274" i="224"/>
  <c r="Z282" i="224"/>
  <c r="Z290" i="224"/>
  <c r="Z298" i="224"/>
  <c r="Z306" i="224"/>
  <c r="Z314" i="224"/>
  <c r="Z322" i="224"/>
  <c r="Z330" i="224"/>
  <c r="Z338" i="224"/>
  <c r="Z346" i="224"/>
  <c r="Z354" i="224"/>
  <c r="Z362" i="224"/>
  <c r="Z370" i="224"/>
  <c r="Z378" i="224"/>
  <c r="Z386" i="224"/>
  <c r="Z394" i="224"/>
  <c r="Z402" i="224"/>
  <c r="Z410" i="224"/>
  <c r="Z418" i="224"/>
  <c r="Z426" i="224"/>
  <c r="Z434" i="224"/>
  <c r="Z442" i="224"/>
  <c r="Z450" i="224"/>
  <c r="Z458" i="224"/>
  <c r="Z466" i="224"/>
  <c r="Z474" i="224"/>
  <c r="Z482" i="224"/>
  <c r="Z490" i="224"/>
  <c r="Z498" i="224"/>
  <c r="Z506" i="224"/>
  <c r="Z514" i="224"/>
  <c r="Z522" i="224"/>
  <c r="Z530" i="224"/>
  <c r="Z538" i="224"/>
  <c r="Z546" i="224"/>
  <c r="Z554" i="224"/>
  <c r="Z562" i="224"/>
  <c r="Z570" i="224"/>
  <c r="Z578" i="224"/>
  <c r="Z586" i="224"/>
  <c r="Z594" i="224"/>
  <c r="Z602" i="224"/>
  <c r="Z610" i="224"/>
  <c r="Z618" i="224"/>
  <c r="Z626" i="224"/>
  <c r="Z634" i="224"/>
  <c r="Z642" i="224"/>
  <c r="Z650" i="224"/>
  <c r="Z658" i="224"/>
  <c r="Z3" i="224"/>
  <c r="Z11" i="224"/>
  <c r="Z19" i="224"/>
  <c r="Z27" i="224"/>
  <c r="Z35" i="224"/>
  <c r="Z43" i="224"/>
  <c r="Z51" i="224"/>
  <c r="Z59" i="224"/>
  <c r="Z67" i="224"/>
  <c r="Z75" i="224"/>
  <c r="Z83" i="224"/>
  <c r="Z91" i="224"/>
  <c r="Z99" i="224"/>
  <c r="Z107" i="224"/>
  <c r="Z115" i="224"/>
  <c r="Z123" i="224"/>
  <c r="Z131" i="224"/>
  <c r="Z139" i="224"/>
  <c r="Z147" i="224"/>
  <c r="Z155" i="224"/>
  <c r="Z163" i="224"/>
  <c r="Z171" i="224"/>
  <c r="Z179" i="224"/>
  <c r="Z187" i="224"/>
  <c r="Z195" i="224"/>
  <c r="Z203" i="224"/>
  <c r="Z211" i="224"/>
  <c r="Z219" i="224"/>
  <c r="Z227" i="224"/>
  <c r="Z235" i="224"/>
  <c r="Z243" i="224"/>
  <c r="Z251" i="224"/>
  <c r="Z259" i="224"/>
  <c r="Z267" i="224"/>
  <c r="Z275" i="224"/>
  <c r="Z283" i="224"/>
  <c r="Z291" i="224"/>
  <c r="Z299" i="224"/>
  <c r="Z307" i="224"/>
  <c r="Z315" i="224"/>
  <c r="Z323" i="224"/>
  <c r="Z331" i="224"/>
  <c r="Z339" i="224"/>
  <c r="Z347" i="224"/>
  <c r="Z355" i="224"/>
  <c r="Z363" i="224"/>
  <c r="Z371" i="224"/>
  <c r="Z379" i="224"/>
  <c r="Z387" i="224"/>
  <c r="Z395" i="224"/>
  <c r="Z403" i="224"/>
  <c r="Z411" i="224"/>
  <c r="Z419" i="224"/>
  <c r="Z427" i="224"/>
  <c r="Z435" i="224"/>
  <c r="Z443" i="224"/>
  <c r="Z451" i="224"/>
  <c r="Z459" i="224"/>
  <c r="Z467" i="224"/>
  <c r="Z475" i="224"/>
  <c r="Z483" i="224"/>
  <c r="Z491" i="224"/>
  <c r="Z499" i="224"/>
  <c r="Z507" i="224"/>
  <c r="Z515" i="224"/>
  <c r="Z523" i="224"/>
  <c r="Z531" i="224"/>
  <c r="Z539" i="224"/>
  <c r="Z547" i="224"/>
  <c r="Z555" i="224"/>
  <c r="Z563" i="224"/>
  <c r="Z571" i="224"/>
  <c r="Z579" i="224"/>
  <c r="Z587" i="224"/>
  <c r="Z595" i="224"/>
  <c r="Z603" i="224"/>
  <c r="Z611" i="224"/>
  <c r="Z619" i="224"/>
  <c r="Z627" i="224"/>
  <c r="Z635" i="224"/>
  <c r="Z643" i="224"/>
  <c r="Z651" i="224"/>
  <c r="Z659" i="224"/>
  <c r="Z667" i="224"/>
  <c r="Z675" i="224"/>
  <c r="Z4" i="224"/>
  <c r="Z12" i="224"/>
  <c r="Z20" i="224"/>
  <c r="Z28" i="224"/>
  <c r="Z36" i="224"/>
  <c r="Z44" i="224"/>
  <c r="Z52" i="224"/>
  <c r="Z60" i="224"/>
  <c r="Z68" i="224"/>
  <c r="Z76" i="224"/>
  <c r="Z84" i="224"/>
  <c r="Z92" i="224"/>
  <c r="Z100" i="224"/>
  <c r="Z108" i="224"/>
  <c r="Z116" i="224"/>
  <c r="Z124" i="224"/>
  <c r="Z132" i="224"/>
  <c r="Z140" i="224"/>
  <c r="Z148" i="224"/>
  <c r="Z156" i="224"/>
  <c r="Z164" i="224"/>
  <c r="Z172" i="224"/>
  <c r="Z180" i="224"/>
  <c r="Z188" i="224"/>
  <c r="Z196" i="224"/>
  <c r="Z204" i="224"/>
  <c r="Z212" i="224"/>
  <c r="Z220" i="224"/>
  <c r="Z228" i="224"/>
  <c r="Z236" i="224"/>
  <c r="Z244" i="224"/>
  <c r="Z252" i="224"/>
  <c r="Z260" i="224"/>
  <c r="Z268" i="224"/>
  <c r="Z276" i="224"/>
  <c r="Z284" i="224"/>
  <c r="Z292" i="224"/>
  <c r="Z300" i="224"/>
  <c r="Z308" i="224"/>
  <c r="Z316" i="224"/>
  <c r="Z324" i="224"/>
  <c r="Z332" i="224"/>
  <c r="Z340" i="224"/>
  <c r="Z348" i="224"/>
  <c r="Z356" i="224"/>
  <c r="Z364" i="224"/>
  <c r="Z372" i="224"/>
  <c r="Z380" i="224"/>
  <c r="Z388" i="224"/>
  <c r="Z396" i="224"/>
  <c r="Z404" i="224"/>
  <c r="Z412" i="224"/>
  <c r="Z420" i="224"/>
  <c r="Z428" i="224"/>
  <c r="Z436" i="224"/>
  <c r="Z444" i="224"/>
  <c r="Z452" i="224"/>
  <c r="Z460" i="224"/>
  <c r="Z468" i="224"/>
  <c r="Z476" i="224"/>
  <c r="Z484" i="224"/>
  <c r="Z492" i="224"/>
  <c r="Z500" i="224"/>
  <c r="Z508" i="224"/>
  <c r="Z516" i="224"/>
  <c r="Z524" i="224"/>
  <c r="Z532" i="224"/>
  <c r="Z540" i="224"/>
  <c r="Z548" i="224"/>
  <c r="Z556" i="224"/>
  <c r="Z564" i="224"/>
  <c r="Z572" i="224"/>
  <c r="Z580" i="224"/>
  <c r="Z588" i="224"/>
  <c r="Z596" i="224"/>
  <c r="Z604" i="224"/>
  <c r="Z612" i="224"/>
  <c r="Z620" i="224"/>
  <c r="Z628" i="224"/>
  <c r="Z636" i="224"/>
  <c r="Z644" i="224"/>
  <c r="Z652" i="224"/>
  <c r="Z660" i="224"/>
  <c r="Z5" i="224"/>
  <c r="Z13" i="224"/>
  <c r="Z21" i="224"/>
  <c r="Z29" i="224"/>
  <c r="Z37" i="224"/>
  <c r="Z45" i="224"/>
  <c r="Z53" i="224"/>
  <c r="Z61" i="224"/>
  <c r="Z69" i="224"/>
  <c r="Z77" i="224"/>
  <c r="Z85" i="224"/>
  <c r="Z93" i="224"/>
  <c r="Z101" i="224"/>
  <c r="Z109" i="224"/>
  <c r="Z117" i="224"/>
  <c r="Z125" i="224"/>
  <c r="Z133" i="224"/>
  <c r="Z141" i="224"/>
  <c r="Z149" i="224"/>
  <c r="Z157" i="224"/>
  <c r="Z165" i="224"/>
  <c r="Z173" i="224"/>
  <c r="Z181" i="224"/>
  <c r="Z189" i="224"/>
  <c r="Z197" i="224"/>
  <c r="Z205" i="224"/>
  <c r="Z213" i="224"/>
  <c r="Z221" i="224"/>
  <c r="Z229" i="224"/>
  <c r="Z237" i="224"/>
  <c r="Z245" i="224"/>
  <c r="Z253" i="224"/>
  <c r="Z261" i="224"/>
  <c r="Z269" i="224"/>
  <c r="Z277" i="224"/>
  <c r="Z285" i="224"/>
  <c r="Z293" i="224"/>
  <c r="Z301" i="224"/>
  <c r="Z309" i="224"/>
  <c r="Z317" i="224"/>
  <c r="Z325" i="224"/>
  <c r="Z333" i="224"/>
  <c r="Z341" i="224"/>
  <c r="Z349" i="224"/>
  <c r="Z357" i="224"/>
  <c r="Z365" i="224"/>
  <c r="Z373" i="224"/>
  <c r="Z381" i="224"/>
  <c r="Z389" i="224"/>
  <c r="Z397" i="224"/>
  <c r="Z405" i="224"/>
  <c r="Z413" i="224"/>
  <c r="Z421" i="224"/>
  <c r="Z429" i="224"/>
  <c r="Z437" i="224"/>
  <c r="Z445" i="224"/>
  <c r="Z453" i="224"/>
  <c r="Z461" i="224"/>
  <c r="Z469" i="224"/>
  <c r="Z477" i="224"/>
  <c r="Z485" i="224"/>
  <c r="Z493" i="224"/>
  <c r="Z501" i="224"/>
  <c r="Z509" i="224"/>
  <c r="Z517" i="224"/>
  <c r="Z525" i="224"/>
  <c r="Z533" i="224"/>
  <c r="Z541" i="224"/>
  <c r="Z549" i="224"/>
  <c r="Z557" i="224"/>
  <c r="Z565" i="224"/>
  <c r="Z573" i="224"/>
  <c r="Z581" i="224"/>
  <c r="Z589" i="224"/>
  <c r="Z597" i="224"/>
  <c r="Z605" i="224"/>
  <c r="Z613" i="224"/>
  <c r="Z621" i="224"/>
  <c r="Z629" i="224"/>
  <c r="Z637" i="224"/>
  <c r="Z645" i="224"/>
  <c r="Z653" i="224"/>
  <c r="Z661" i="224"/>
  <c r="Z669" i="224"/>
  <c r="Z6" i="224"/>
  <c r="Z14" i="224"/>
  <c r="Z22" i="224"/>
  <c r="Z30" i="224"/>
  <c r="Z38" i="224"/>
  <c r="Z46" i="224"/>
  <c r="Z54" i="224"/>
  <c r="Z62" i="224"/>
  <c r="Z70" i="224"/>
  <c r="Z78" i="224"/>
  <c r="Z86" i="224"/>
  <c r="Z94" i="224"/>
  <c r="Z102" i="224"/>
  <c r="Z110" i="224"/>
  <c r="Z118" i="224"/>
  <c r="Z126" i="224"/>
  <c r="Z134" i="224"/>
  <c r="Z142" i="224"/>
  <c r="Z150" i="224"/>
  <c r="Z158" i="224"/>
  <c r="Z166" i="224"/>
  <c r="Z174" i="224"/>
  <c r="Z182" i="224"/>
  <c r="Z190" i="224"/>
  <c r="Z198" i="224"/>
  <c r="Z206" i="224"/>
  <c r="Z214" i="224"/>
  <c r="Z222" i="224"/>
  <c r="Z230" i="224"/>
  <c r="Z238" i="224"/>
  <c r="Z246" i="224"/>
  <c r="Z254" i="224"/>
  <c r="Z262" i="224"/>
  <c r="Z270" i="224"/>
  <c r="Z278" i="224"/>
  <c r="Z286" i="224"/>
  <c r="Z294" i="224"/>
  <c r="Z302" i="224"/>
  <c r="Z310" i="224"/>
  <c r="Z318" i="224"/>
  <c r="Z326" i="224"/>
  <c r="Z334" i="224"/>
  <c r="Z342" i="224"/>
  <c r="Z350" i="224"/>
  <c r="Z358" i="224"/>
  <c r="Z366" i="224"/>
  <c r="Z374" i="224"/>
  <c r="Z382" i="224"/>
  <c r="Z390" i="224"/>
  <c r="Z398" i="224"/>
  <c r="Z406" i="224"/>
  <c r="Z414" i="224"/>
  <c r="Z422" i="224"/>
  <c r="Z430" i="224"/>
  <c r="Z438" i="224"/>
  <c r="Z446" i="224"/>
  <c r="Z454" i="224"/>
  <c r="Z462" i="224"/>
  <c r="Z470" i="224"/>
  <c r="Z478" i="224"/>
  <c r="Z486" i="224"/>
  <c r="Z494" i="224"/>
  <c r="Z502" i="224"/>
  <c r="Z510" i="224"/>
  <c r="Z518" i="224"/>
  <c r="Z526" i="224"/>
  <c r="Z534" i="224"/>
  <c r="Z542" i="224"/>
  <c r="Z550" i="224"/>
  <c r="Z558" i="224"/>
  <c r="Z566" i="224"/>
  <c r="Z574" i="224"/>
  <c r="Z582" i="224"/>
  <c r="Z590" i="224"/>
  <c r="Z598" i="224"/>
  <c r="Z606" i="224"/>
  <c r="Z614" i="224"/>
  <c r="Z622" i="224"/>
  <c r="Z630" i="224"/>
  <c r="Z638" i="224"/>
  <c r="Z646" i="224"/>
  <c r="Z654" i="224"/>
  <c r="Z662" i="224"/>
  <c r="Z7" i="224"/>
  <c r="Z15" i="224"/>
  <c r="Z23" i="224"/>
  <c r="Z31" i="224"/>
  <c r="Z39" i="224"/>
  <c r="Z47" i="224"/>
  <c r="Z55" i="224"/>
  <c r="Z63" i="224"/>
  <c r="Z71" i="224"/>
  <c r="Z79" i="224"/>
  <c r="Z87" i="224"/>
  <c r="Z95" i="224"/>
  <c r="Z103" i="224"/>
  <c r="Z111" i="224"/>
  <c r="Z119" i="224"/>
  <c r="Z127" i="224"/>
  <c r="Z135" i="224"/>
  <c r="Z143" i="224"/>
  <c r="Z151" i="224"/>
  <c r="Z159" i="224"/>
  <c r="Z167" i="224"/>
  <c r="Z175" i="224"/>
  <c r="Z183" i="224"/>
  <c r="Z191" i="224"/>
  <c r="Z199" i="224"/>
  <c r="Z207" i="224"/>
  <c r="Z215" i="224"/>
  <c r="Z223" i="224"/>
  <c r="Z231" i="224"/>
  <c r="Z239" i="224"/>
  <c r="Z247" i="224"/>
  <c r="Z255" i="224"/>
  <c r="Z263" i="224"/>
  <c r="Z271" i="224"/>
  <c r="Z279" i="224"/>
  <c r="Z287" i="224"/>
  <c r="Z295" i="224"/>
  <c r="Z303" i="224"/>
  <c r="Z311" i="224"/>
  <c r="Z319" i="224"/>
  <c r="Z327" i="224"/>
  <c r="Z335" i="224"/>
  <c r="Z343" i="224"/>
  <c r="Z351" i="224"/>
  <c r="Z359" i="224"/>
  <c r="Z367" i="224"/>
  <c r="Z375" i="224"/>
  <c r="Z383" i="224"/>
  <c r="Z391" i="224"/>
  <c r="Z399" i="224"/>
  <c r="Z407" i="224"/>
  <c r="Z415" i="224"/>
  <c r="Z423" i="224"/>
  <c r="Z431" i="224"/>
  <c r="Z439" i="224"/>
  <c r="Z447" i="224"/>
  <c r="Z455" i="224"/>
  <c r="Z463" i="224"/>
  <c r="Z471" i="224"/>
  <c r="Z479" i="224"/>
  <c r="Z487" i="224"/>
  <c r="Z495" i="224"/>
  <c r="Z503" i="224"/>
  <c r="Z511" i="224"/>
  <c r="Z519" i="224"/>
  <c r="Z527" i="224"/>
  <c r="Z535" i="224"/>
  <c r="Z543" i="224"/>
  <c r="Z551" i="224"/>
  <c r="Z559" i="224"/>
  <c r="Z567" i="224"/>
  <c r="Z575" i="224"/>
  <c r="Z583" i="224"/>
  <c r="Z591" i="224"/>
  <c r="Z599" i="224"/>
  <c r="Z607" i="224"/>
  <c r="Z615" i="224"/>
  <c r="Z623" i="224"/>
  <c r="Z631" i="224"/>
  <c r="Z639" i="224"/>
  <c r="Z647" i="224"/>
  <c r="Z655" i="224"/>
  <c r="Z663" i="224"/>
  <c r="Z671" i="224"/>
  <c r="Z8" i="224"/>
  <c r="Z16" i="224"/>
  <c r="Z24" i="224"/>
  <c r="Z32" i="224"/>
  <c r="Z40" i="224"/>
  <c r="Z48" i="224"/>
  <c r="Z56" i="224"/>
  <c r="Z64" i="224"/>
  <c r="Z72" i="224"/>
  <c r="Z80" i="224"/>
  <c r="Z88" i="224"/>
  <c r="Z96" i="224"/>
  <c r="Z104" i="224"/>
  <c r="Z112" i="224"/>
  <c r="Z120" i="224"/>
  <c r="Z128" i="224"/>
  <c r="Z136" i="224"/>
  <c r="Z144" i="224"/>
  <c r="Z152" i="224"/>
  <c r="Z160" i="224"/>
  <c r="Z168" i="224"/>
  <c r="Z176" i="224"/>
  <c r="Z184" i="224"/>
  <c r="Z192" i="224"/>
  <c r="Z200" i="224"/>
  <c r="Z208" i="224"/>
  <c r="Z216" i="224"/>
  <c r="Z224" i="224"/>
  <c r="Z232" i="224"/>
  <c r="Z240" i="224"/>
  <c r="Z248" i="224"/>
  <c r="Z256" i="224"/>
  <c r="Z264" i="224"/>
  <c r="Z272" i="224"/>
  <c r="Z280" i="224"/>
  <c r="Z288" i="224"/>
  <c r="Z296" i="224"/>
  <c r="Z304" i="224"/>
  <c r="Z312" i="224"/>
  <c r="Z320" i="224"/>
  <c r="Z328" i="224"/>
  <c r="Z336" i="224"/>
  <c r="Z344" i="224"/>
  <c r="Z352" i="224"/>
  <c r="Z360" i="224"/>
  <c r="Z368" i="224"/>
  <c r="Z376" i="224"/>
  <c r="Z384" i="224"/>
  <c r="Z392" i="224"/>
  <c r="Z400" i="224"/>
  <c r="Z408" i="224"/>
  <c r="Z416" i="224"/>
  <c r="Z424" i="224"/>
  <c r="Z432" i="224"/>
  <c r="Z440" i="224"/>
  <c r="Z448" i="224"/>
  <c r="Z456" i="224"/>
  <c r="Z464" i="224"/>
  <c r="Z472" i="224"/>
  <c r="Z480" i="224"/>
  <c r="Z488" i="224"/>
  <c r="Z496" i="224"/>
  <c r="Z504" i="224"/>
  <c r="Z512" i="224"/>
  <c r="Z520" i="224"/>
  <c r="Z528" i="224"/>
  <c r="Z536" i="224"/>
  <c r="Z544" i="224"/>
  <c r="Z552" i="224"/>
  <c r="Z560" i="224"/>
  <c r="Z568" i="224"/>
  <c r="Z576" i="224"/>
  <c r="Z584" i="224"/>
  <c r="Z592" i="224"/>
  <c r="Z600" i="224"/>
  <c r="Z608" i="224"/>
  <c r="Z616" i="224"/>
  <c r="Z624" i="224"/>
  <c r="Z632" i="224"/>
  <c r="Z640" i="224"/>
  <c r="Z648" i="224"/>
  <c r="Z656" i="224"/>
  <c r="Z9" i="224"/>
  <c r="Z17" i="224"/>
  <c r="Z25" i="224"/>
  <c r="Z33" i="224"/>
  <c r="Z41" i="224"/>
  <c r="Z49" i="224"/>
  <c r="Z57" i="224"/>
  <c r="Z65" i="224"/>
  <c r="Z73" i="224"/>
  <c r="Z81" i="224"/>
  <c r="Z89" i="224"/>
  <c r="Z97" i="224"/>
  <c r="Z105" i="224"/>
  <c r="Z113" i="224"/>
  <c r="Z121" i="224"/>
  <c r="Z129" i="224"/>
  <c r="Z137" i="224"/>
  <c r="Z145" i="224"/>
  <c r="Z153" i="224"/>
  <c r="Z161" i="224"/>
  <c r="Z169" i="224"/>
  <c r="Z177" i="224"/>
  <c r="Z185" i="224"/>
  <c r="Z193" i="224"/>
  <c r="Z201" i="224"/>
  <c r="Z209" i="224"/>
  <c r="Z217" i="224"/>
  <c r="Z225" i="224"/>
  <c r="Z233" i="224"/>
  <c r="Z241" i="224"/>
  <c r="Z249" i="224"/>
  <c r="Z257" i="224"/>
  <c r="Z265" i="224"/>
  <c r="Z273" i="224"/>
  <c r="Z281" i="224"/>
  <c r="Z289" i="224"/>
  <c r="Z297" i="224"/>
  <c r="Z305" i="224"/>
  <c r="Z313" i="224"/>
  <c r="Z321" i="224"/>
  <c r="Z329" i="224"/>
  <c r="Z337" i="224"/>
  <c r="Z345" i="224"/>
  <c r="Z353" i="224"/>
  <c r="Z361" i="224"/>
  <c r="Z369" i="224"/>
  <c r="Z377" i="224"/>
  <c r="Z385" i="224"/>
  <c r="Z393" i="224"/>
  <c r="Z401" i="224"/>
  <c r="Z409" i="224"/>
  <c r="Z417" i="224"/>
  <c r="Z425" i="224"/>
  <c r="Z433" i="224"/>
  <c r="Z441" i="224"/>
  <c r="Z449" i="224"/>
  <c r="Z457" i="224"/>
  <c r="Z465" i="224"/>
  <c r="Z473" i="224"/>
  <c r="Z481" i="224"/>
  <c r="Z489" i="224"/>
  <c r="Z497" i="224"/>
  <c r="Z505" i="224"/>
  <c r="Z513" i="224"/>
  <c r="Z521" i="224"/>
  <c r="Z529" i="224"/>
  <c r="Z537" i="224"/>
  <c r="Z545" i="224"/>
  <c r="Z553" i="224"/>
  <c r="Z561" i="224"/>
  <c r="Z569" i="224"/>
  <c r="Z577" i="224"/>
  <c r="Z585" i="224"/>
  <c r="Z593" i="224"/>
  <c r="Z601" i="224"/>
  <c r="Z609" i="224"/>
  <c r="Z617" i="224"/>
  <c r="Z625" i="224"/>
  <c r="Z633" i="224"/>
  <c r="Z641" i="224"/>
  <c r="Z649" i="224"/>
  <c r="Z881" i="224"/>
  <c r="Z873" i="224"/>
  <c r="Z865" i="224"/>
  <c r="Z857" i="224"/>
  <c r="Z849" i="224"/>
  <c r="Z841" i="224"/>
  <c r="Z833" i="224"/>
  <c r="Z825" i="224"/>
  <c r="Z817" i="224"/>
  <c r="Z809" i="224"/>
  <c r="Z801" i="224"/>
  <c r="Z793" i="224"/>
  <c r="Z785" i="224"/>
  <c r="Z777" i="224"/>
  <c r="Z769" i="224"/>
  <c r="Z761" i="224"/>
  <c r="Z753" i="224"/>
  <c r="Z745" i="224"/>
  <c r="Z737" i="224"/>
  <c r="Z729" i="224"/>
  <c r="Z721" i="224"/>
  <c r="Z713" i="224"/>
  <c r="Z705" i="224"/>
  <c r="Z697" i="224"/>
  <c r="Z689" i="224"/>
  <c r="Z681" i="224"/>
  <c r="Z672" i="224"/>
  <c r="Z879" i="224"/>
  <c r="Z871" i="224"/>
  <c r="Z863" i="224"/>
  <c r="Z855" i="224"/>
  <c r="Z847" i="224"/>
  <c r="Z839" i="224"/>
  <c r="Z831" i="224"/>
  <c r="Z823" i="224"/>
  <c r="Z815" i="224"/>
  <c r="Z807" i="224"/>
  <c r="Z799" i="224"/>
  <c r="Z791" i="224"/>
  <c r="Z783" i="224"/>
  <c r="Z775" i="224"/>
  <c r="Z767" i="224"/>
  <c r="Z759" i="224"/>
  <c r="Z751" i="224"/>
  <c r="Z743" i="224"/>
  <c r="Z735" i="224"/>
  <c r="Z727" i="224"/>
  <c r="Z719" i="224"/>
  <c r="Z711" i="224"/>
  <c r="Z703" i="224"/>
  <c r="Z695" i="224"/>
  <c r="Z687" i="224"/>
  <c r="Z679" i="224"/>
  <c r="Z668" i="224"/>
  <c r="Z878" i="224"/>
  <c r="Z870" i="224"/>
  <c r="Z862" i="224"/>
  <c r="Z854" i="224"/>
  <c r="Z846" i="224"/>
  <c r="Z838" i="224"/>
  <c r="Z830" i="224"/>
  <c r="Z822" i="224"/>
  <c r="Z814" i="224"/>
  <c r="Z806" i="224"/>
  <c r="Z798" i="224"/>
  <c r="Z790" i="224"/>
  <c r="Z782" i="224"/>
  <c r="Z774" i="224"/>
  <c r="Z766" i="224"/>
  <c r="Z758" i="224"/>
  <c r="Z750" i="224"/>
  <c r="Z742" i="224"/>
  <c r="Z734" i="224"/>
  <c r="Z726" i="224"/>
  <c r="Z718" i="224"/>
  <c r="Z710" i="224"/>
  <c r="Z702" i="224"/>
  <c r="Z694" i="224"/>
  <c r="Z686" i="224"/>
  <c r="Z678" i="224"/>
  <c r="Z666" i="224"/>
  <c r="Z877" i="224"/>
  <c r="Z869" i="224"/>
  <c r="Z861" i="224"/>
  <c r="Z853" i="224"/>
  <c r="Z845" i="224"/>
  <c r="Z837" i="224"/>
  <c r="Z829" i="224"/>
  <c r="Z821" i="224"/>
  <c r="Z813" i="224"/>
  <c r="Z805" i="224"/>
  <c r="Z797" i="224"/>
  <c r="Z789" i="224"/>
  <c r="Z781" i="224"/>
  <c r="Z773" i="224"/>
  <c r="Z765" i="224"/>
  <c r="Z757" i="224"/>
  <c r="Z749" i="224"/>
  <c r="Z741" i="224"/>
  <c r="Z733" i="224"/>
  <c r="Z725" i="224"/>
  <c r="Z717" i="224"/>
  <c r="Z709" i="224"/>
  <c r="Z701" i="224"/>
  <c r="Z693" i="224"/>
  <c r="Z685" i="224"/>
  <c r="Z677" i="224"/>
  <c r="Z665" i="224"/>
  <c r="Z876" i="224"/>
  <c r="Z868" i="224"/>
  <c r="Z860" i="224"/>
  <c r="Z852" i="224"/>
  <c r="Z844" i="224"/>
  <c r="Z836" i="224"/>
  <c r="Z828" i="224"/>
  <c r="Z820" i="224"/>
  <c r="Z812" i="224"/>
  <c r="Z804" i="224"/>
  <c r="Z796" i="224"/>
  <c r="Z788" i="224"/>
  <c r="Z780" i="224"/>
  <c r="Z772" i="224"/>
  <c r="Z764" i="224"/>
  <c r="Z756" i="224"/>
  <c r="Z748" i="224"/>
  <c r="Z740" i="224"/>
  <c r="Z732" i="224"/>
  <c r="Z724" i="224"/>
  <c r="Z716" i="224"/>
  <c r="Z708" i="224"/>
  <c r="Z700" i="224"/>
  <c r="Z692" i="224"/>
  <c r="Z684" i="224"/>
  <c r="Z676" i="224"/>
  <c r="Z664" i="224"/>
  <c r="Z875" i="224"/>
  <c r="Z867" i="224"/>
  <c r="Z859" i="224"/>
  <c r="Z851" i="224"/>
  <c r="Z843" i="224"/>
  <c r="Z835" i="224"/>
  <c r="Z827" i="224"/>
  <c r="Z819" i="224"/>
  <c r="Z811" i="224"/>
  <c r="Z803" i="224"/>
  <c r="Z795" i="224"/>
  <c r="Z787" i="224"/>
  <c r="Z779" i="224"/>
  <c r="Z771" i="224"/>
  <c r="Z763" i="224"/>
  <c r="Z755" i="224"/>
  <c r="Z747" i="224"/>
  <c r="Z739" i="224"/>
  <c r="Z731" i="224"/>
  <c r="Z723" i="224"/>
  <c r="Z715" i="224"/>
  <c r="Z707" i="224"/>
  <c r="Z699" i="224"/>
  <c r="Z691" i="224"/>
  <c r="Z683" i="224"/>
  <c r="Z674" i="224"/>
  <c r="Z657" i="224"/>
  <c r="D2" i="3"/>
  <c r="AC691" i="224" l="1"/>
  <c r="AE691" i="224" s="1"/>
  <c r="AG691" i="224"/>
  <c r="AC796" i="224"/>
  <c r="AE796" i="224" s="1"/>
  <c r="AG796" i="224"/>
  <c r="AC750" i="224"/>
  <c r="AE750" i="224" s="1"/>
  <c r="AG750" i="224"/>
  <c r="AC705" i="224"/>
  <c r="AE705" i="224" s="1"/>
  <c r="AG705" i="224"/>
  <c r="AC385" i="224"/>
  <c r="AE385" i="224" s="1"/>
  <c r="AG385" i="224"/>
  <c r="AC656" i="224"/>
  <c r="AE656" i="224" s="1"/>
  <c r="AG656" i="224"/>
  <c r="AC208" i="224"/>
  <c r="AE208" i="224" s="1"/>
  <c r="AG208" i="224"/>
  <c r="AC431" i="224"/>
  <c r="AE431" i="224" s="1"/>
  <c r="AG431" i="224"/>
  <c r="AC582" i="224"/>
  <c r="AE582" i="224" s="1"/>
  <c r="AG582" i="224"/>
  <c r="AC198" i="224"/>
  <c r="AE198" i="224" s="1"/>
  <c r="AG198" i="224"/>
  <c r="AC763" i="224"/>
  <c r="AE763" i="224" s="1"/>
  <c r="AG763" i="224"/>
  <c r="AC717" i="224"/>
  <c r="AE717" i="224" s="1"/>
  <c r="AG717" i="224"/>
  <c r="AC668" i="224"/>
  <c r="AE668" i="224" s="1"/>
  <c r="AG668" i="224"/>
  <c r="AC777" i="224"/>
  <c r="AE777" i="224" s="1"/>
  <c r="AG777" i="224"/>
  <c r="AC313" i="224"/>
  <c r="AE313" i="224" s="1"/>
  <c r="AG313" i="224"/>
  <c r="AC584" i="224"/>
  <c r="AE584" i="224" s="1"/>
  <c r="AG584" i="224"/>
  <c r="AC200" i="224"/>
  <c r="AE200" i="224" s="1"/>
  <c r="AG200" i="224"/>
  <c r="AC487" i="224"/>
  <c r="AE487" i="224" s="1"/>
  <c r="AG487" i="224"/>
  <c r="AC167" i="224"/>
  <c r="AE167" i="224" s="1"/>
  <c r="AG167" i="224"/>
  <c r="AC382" i="224"/>
  <c r="AE382" i="224" s="1"/>
  <c r="AG382" i="224"/>
  <c r="AC669" i="224"/>
  <c r="AE669" i="224" s="1"/>
  <c r="AG669" i="224"/>
  <c r="AC285" i="224"/>
  <c r="AE285" i="224" s="1"/>
  <c r="AG285" i="224"/>
  <c r="AC564" i="224"/>
  <c r="AE564" i="224" s="1"/>
  <c r="AG564" i="224"/>
  <c r="AC244" i="224"/>
  <c r="AE244" i="224" s="1"/>
  <c r="AG244" i="224"/>
  <c r="AC603" i="224"/>
  <c r="AE603" i="224" s="1"/>
  <c r="AG603" i="224"/>
  <c r="AC347" i="224"/>
  <c r="AE347" i="224" s="1"/>
  <c r="AG347" i="224"/>
  <c r="AC91" i="224"/>
  <c r="AE91" i="224" s="1"/>
  <c r="AG91" i="224"/>
  <c r="AC498" i="224"/>
  <c r="AE498" i="224" s="1"/>
  <c r="AG498" i="224"/>
  <c r="AC242" i="224"/>
  <c r="AE242" i="224" s="1"/>
  <c r="AG242" i="224"/>
  <c r="AC690" i="224"/>
  <c r="AE690" i="224" s="1"/>
  <c r="AG690" i="224"/>
  <c r="AC808" i="224"/>
  <c r="AE808" i="224" s="1"/>
  <c r="AG808" i="224"/>
  <c r="AC707" i="224"/>
  <c r="AE707" i="224" s="1"/>
  <c r="AG707" i="224"/>
  <c r="AC771" i="224"/>
  <c r="AE771" i="224" s="1"/>
  <c r="AG771" i="224"/>
  <c r="AC748" i="224"/>
  <c r="AE748" i="224" s="1"/>
  <c r="AG748" i="224"/>
  <c r="AC725" i="224"/>
  <c r="AE725" i="224" s="1"/>
  <c r="AG725" i="224"/>
  <c r="AC702" i="224"/>
  <c r="AE702" i="224" s="1"/>
  <c r="AG702" i="224"/>
  <c r="AC679" i="224"/>
  <c r="AE679" i="224" s="1"/>
  <c r="AG679" i="224"/>
  <c r="AC871" i="224"/>
  <c r="AE871" i="224" s="1"/>
  <c r="AG871" i="224"/>
  <c r="AC849" i="224"/>
  <c r="AE849" i="224" s="1"/>
  <c r="AG849" i="224"/>
  <c r="AC497" i="224"/>
  <c r="AE497" i="224" s="1"/>
  <c r="AG497" i="224"/>
  <c r="AC305" i="224"/>
  <c r="AE305" i="224" s="1"/>
  <c r="AG305" i="224"/>
  <c r="AC113" i="224"/>
  <c r="AE113" i="224" s="1"/>
  <c r="AG113" i="224"/>
  <c r="AC576" i="224"/>
  <c r="AE576" i="224" s="1"/>
  <c r="AG576" i="224"/>
  <c r="AC384" i="224"/>
  <c r="AE384" i="224" s="1"/>
  <c r="AG384" i="224"/>
  <c r="AC192" i="224"/>
  <c r="AE192" i="224" s="1"/>
  <c r="AG192" i="224"/>
  <c r="AC671" i="224"/>
  <c r="AE671" i="224" s="1"/>
  <c r="AG671" i="224"/>
  <c r="AC479" i="224"/>
  <c r="AE479" i="224" s="1"/>
  <c r="AG479" i="224"/>
  <c r="AC287" i="224"/>
  <c r="AE287" i="224" s="1"/>
  <c r="AG287" i="224"/>
  <c r="AC95" i="224"/>
  <c r="AE95" i="224" s="1"/>
  <c r="AG95" i="224"/>
  <c r="AC566" i="224"/>
  <c r="AE566" i="224" s="1"/>
  <c r="AG566" i="224"/>
  <c r="AC374" i="224"/>
  <c r="AE374" i="224" s="1"/>
  <c r="AG374" i="224"/>
  <c r="AC182" i="224"/>
  <c r="AE182" i="224" s="1"/>
  <c r="AG182" i="224"/>
  <c r="AC661" i="224"/>
  <c r="AE661" i="224" s="1"/>
  <c r="AG661" i="224"/>
  <c r="AC469" i="224"/>
  <c r="AE469" i="224" s="1"/>
  <c r="AG469" i="224"/>
  <c r="AC277" i="224"/>
  <c r="AE277" i="224" s="1"/>
  <c r="AG277" i="224"/>
  <c r="AC85" i="224"/>
  <c r="AE85" i="224" s="1"/>
  <c r="AG85" i="224"/>
  <c r="AC556" i="224"/>
  <c r="AE556" i="224" s="1"/>
  <c r="AG556" i="224"/>
  <c r="AC364" i="224"/>
  <c r="AE364" i="224" s="1"/>
  <c r="AG364" i="224"/>
  <c r="AC172" i="224"/>
  <c r="AE172" i="224" s="1"/>
  <c r="AG172" i="224"/>
  <c r="AC659" i="224"/>
  <c r="AE659" i="224" s="1"/>
  <c r="AG659" i="224"/>
  <c r="AC467" i="224"/>
  <c r="AE467" i="224" s="1"/>
  <c r="AG467" i="224"/>
  <c r="AC275" i="224"/>
  <c r="AE275" i="224" s="1"/>
  <c r="AG275" i="224"/>
  <c r="AC83" i="224"/>
  <c r="AE83" i="224" s="1"/>
  <c r="AG83" i="224"/>
  <c r="AC554" i="224"/>
  <c r="AE554" i="224" s="1"/>
  <c r="AG554" i="224"/>
  <c r="AC362" i="224"/>
  <c r="AE362" i="224" s="1"/>
  <c r="AG362" i="224"/>
  <c r="AC170" i="224"/>
  <c r="AE170" i="224" s="1"/>
  <c r="AG170" i="224"/>
  <c r="AC698" i="224"/>
  <c r="AE698" i="224" s="1"/>
  <c r="AG698" i="224"/>
  <c r="AC883" i="224"/>
  <c r="AE883" i="224" s="1"/>
  <c r="AG883" i="224"/>
  <c r="AC848" i="224"/>
  <c r="AE848" i="224" s="1"/>
  <c r="AG848" i="224"/>
  <c r="AC715" i="224"/>
  <c r="AE715" i="224" s="1"/>
  <c r="AG715" i="224"/>
  <c r="AC779" i="224"/>
  <c r="AE779" i="224" s="1"/>
  <c r="AG779" i="224"/>
  <c r="AC843" i="224"/>
  <c r="AE843" i="224" s="1"/>
  <c r="AG843" i="224"/>
  <c r="AC692" i="224"/>
  <c r="AE692" i="224" s="1"/>
  <c r="AG692" i="224"/>
  <c r="AC756" i="224"/>
  <c r="AE756" i="224" s="1"/>
  <c r="AG756" i="224"/>
  <c r="AC820" i="224"/>
  <c r="AE820" i="224" s="1"/>
  <c r="AG820" i="224"/>
  <c r="AC665" i="224"/>
  <c r="AE665" i="224" s="1"/>
  <c r="AG665" i="224"/>
  <c r="AC733" i="224"/>
  <c r="AE733" i="224" s="1"/>
  <c r="AG733" i="224"/>
  <c r="AC797" i="224"/>
  <c r="AE797" i="224" s="1"/>
  <c r="AG797" i="224"/>
  <c r="AC861" i="224"/>
  <c r="AE861" i="224" s="1"/>
  <c r="AG861" i="224"/>
  <c r="AC710" i="224"/>
  <c r="AE710" i="224" s="1"/>
  <c r="AG710" i="224"/>
  <c r="AC774" i="224"/>
  <c r="AE774" i="224" s="1"/>
  <c r="AG774" i="224"/>
  <c r="AC838" i="224"/>
  <c r="AE838" i="224" s="1"/>
  <c r="AG838" i="224"/>
  <c r="AC687" i="224"/>
  <c r="AE687" i="224" s="1"/>
  <c r="AG687" i="224"/>
  <c r="AC751" i="224"/>
  <c r="AE751" i="224" s="1"/>
  <c r="AG751" i="224"/>
  <c r="AC815" i="224"/>
  <c r="AE815" i="224" s="1"/>
  <c r="AG815" i="224"/>
  <c r="AC879" i="224"/>
  <c r="AE879" i="224" s="1"/>
  <c r="AG879" i="224"/>
  <c r="AC729" i="224"/>
  <c r="AE729" i="224" s="1"/>
  <c r="AG729" i="224"/>
  <c r="AC793" i="224"/>
  <c r="AE793" i="224" s="1"/>
  <c r="AG793" i="224"/>
  <c r="AC857" i="224"/>
  <c r="AE857" i="224" s="1"/>
  <c r="AG857" i="224"/>
  <c r="AC617" i="224"/>
  <c r="AE617" i="224" s="1"/>
  <c r="AG617" i="224"/>
  <c r="AC553" i="224"/>
  <c r="AE553" i="224" s="1"/>
  <c r="AG553" i="224"/>
  <c r="AC489" i="224"/>
  <c r="AE489" i="224" s="1"/>
  <c r="AG489" i="224"/>
  <c r="AC425" i="224"/>
  <c r="AE425" i="224" s="1"/>
  <c r="AG425" i="224"/>
  <c r="AC361" i="224"/>
  <c r="AE361" i="224" s="1"/>
  <c r="AG361" i="224"/>
  <c r="AC297" i="224"/>
  <c r="AE297" i="224" s="1"/>
  <c r="AG297" i="224"/>
  <c r="AC233" i="224"/>
  <c r="AE233" i="224" s="1"/>
  <c r="AG233" i="224"/>
  <c r="AC169" i="224"/>
  <c r="AE169" i="224" s="1"/>
  <c r="AG169" i="224"/>
  <c r="AC105" i="224"/>
  <c r="AE105" i="224" s="1"/>
  <c r="AG105" i="224"/>
  <c r="AC41" i="224"/>
  <c r="AE41" i="224" s="1"/>
  <c r="AG41" i="224"/>
  <c r="AC632" i="224"/>
  <c r="AE632" i="224" s="1"/>
  <c r="AG632" i="224"/>
  <c r="AC568" i="224"/>
  <c r="AE568" i="224" s="1"/>
  <c r="AG568" i="224"/>
  <c r="AC504" i="224"/>
  <c r="AE504" i="224" s="1"/>
  <c r="AG504" i="224"/>
  <c r="AC440" i="224"/>
  <c r="AE440" i="224" s="1"/>
  <c r="AG440" i="224"/>
  <c r="AC376" i="224"/>
  <c r="AE376" i="224" s="1"/>
  <c r="AG376" i="224"/>
  <c r="AC312" i="224"/>
  <c r="AE312" i="224" s="1"/>
  <c r="AG312" i="224"/>
  <c r="AC248" i="224"/>
  <c r="AE248" i="224" s="1"/>
  <c r="AG248" i="224"/>
  <c r="AC184" i="224"/>
  <c r="AE184" i="224" s="1"/>
  <c r="AG184" i="224"/>
  <c r="AC120" i="224"/>
  <c r="AE120" i="224" s="1"/>
  <c r="AG120" i="224"/>
  <c r="AC56" i="224"/>
  <c r="AE56" i="224" s="1"/>
  <c r="AG56" i="224"/>
  <c r="AC663" i="224"/>
  <c r="AE663" i="224" s="1"/>
  <c r="AG663" i="224"/>
  <c r="AC599" i="224"/>
  <c r="AE599" i="224" s="1"/>
  <c r="AG599" i="224"/>
  <c r="AC535" i="224"/>
  <c r="AE535" i="224" s="1"/>
  <c r="AG535" i="224"/>
  <c r="AC471" i="224"/>
  <c r="AE471" i="224" s="1"/>
  <c r="AG471" i="224"/>
  <c r="AC407" i="224"/>
  <c r="AE407" i="224" s="1"/>
  <c r="AG407" i="224"/>
  <c r="AC343" i="224"/>
  <c r="AE343" i="224" s="1"/>
  <c r="AG343" i="224"/>
  <c r="AC279" i="224"/>
  <c r="AE279" i="224" s="1"/>
  <c r="AG279" i="224"/>
  <c r="AC215" i="224"/>
  <c r="AE215" i="224" s="1"/>
  <c r="AG215" i="224"/>
  <c r="AC151" i="224"/>
  <c r="AE151" i="224" s="1"/>
  <c r="AG151" i="224"/>
  <c r="AC87" i="224"/>
  <c r="AE87" i="224" s="1"/>
  <c r="AG87" i="224"/>
  <c r="AC23" i="224"/>
  <c r="AE23" i="224" s="1"/>
  <c r="AG23" i="224"/>
  <c r="AC622" i="224"/>
  <c r="AE622" i="224" s="1"/>
  <c r="AG622" i="224"/>
  <c r="AC558" i="224"/>
  <c r="AE558" i="224" s="1"/>
  <c r="AG558" i="224"/>
  <c r="AC494" i="224"/>
  <c r="AE494" i="224" s="1"/>
  <c r="AG494" i="224"/>
  <c r="AC430" i="224"/>
  <c r="AE430" i="224" s="1"/>
  <c r="AG430" i="224"/>
  <c r="AC366" i="224"/>
  <c r="AE366" i="224" s="1"/>
  <c r="AG366" i="224"/>
  <c r="AC302" i="224"/>
  <c r="AE302" i="224" s="1"/>
  <c r="AG302" i="224"/>
  <c r="AC238" i="224"/>
  <c r="AE238" i="224" s="1"/>
  <c r="AG238" i="224"/>
  <c r="AC174" i="224"/>
  <c r="AE174" i="224" s="1"/>
  <c r="AG174" i="224"/>
  <c r="AC110" i="224"/>
  <c r="AE110" i="224" s="1"/>
  <c r="AG110" i="224"/>
  <c r="AC46" i="224"/>
  <c r="AE46" i="224" s="1"/>
  <c r="AG46" i="224"/>
  <c r="AC653" i="224"/>
  <c r="AE653" i="224" s="1"/>
  <c r="AG653" i="224"/>
  <c r="AC589" i="224"/>
  <c r="AE589" i="224" s="1"/>
  <c r="AG589" i="224"/>
  <c r="AC525" i="224"/>
  <c r="AE525" i="224" s="1"/>
  <c r="AG525" i="224"/>
  <c r="AC461" i="224"/>
  <c r="AE461" i="224" s="1"/>
  <c r="AG461" i="224"/>
  <c r="AC397" i="224"/>
  <c r="AE397" i="224" s="1"/>
  <c r="AG397" i="224"/>
  <c r="AC333" i="224"/>
  <c r="AE333" i="224" s="1"/>
  <c r="AG333" i="224"/>
  <c r="AC269" i="224"/>
  <c r="AE269" i="224" s="1"/>
  <c r="AG269" i="224"/>
  <c r="AC205" i="224"/>
  <c r="AE205" i="224" s="1"/>
  <c r="AG205" i="224"/>
  <c r="AC141" i="224"/>
  <c r="AE141" i="224" s="1"/>
  <c r="AG141" i="224"/>
  <c r="AC77" i="224"/>
  <c r="AE77" i="224" s="1"/>
  <c r="AG77" i="224"/>
  <c r="AC13" i="224"/>
  <c r="AE13" i="224" s="1"/>
  <c r="AG13" i="224"/>
  <c r="AC612" i="224"/>
  <c r="AE612" i="224" s="1"/>
  <c r="AG612" i="224"/>
  <c r="AC548" i="224"/>
  <c r="AE548" i="224" s="1"/>
  <c r="AG548" i="224"/>
  <c r="AC484" i="224"/>
  <c r="AE484" i="224" s="1"/>
  <c r="AG484" i="224"/>
  <c r="AC420" i="224"/>
  <c r="AE420" i="224" s="1"/>
  <c r="AG420" i="224"/>
  <c r="AC356" i="224"/>
  <c r="AE356" i="224" s="1"/>
  <c r="AG356" i="224"/>
  <c r="AC292" i="224"/>
  <c r="AE292" i="224" s="1"/>
  <c r="AG292" i="224"/>
  <c r="AC228" i="224"/>
  <c r="AE228" i="224" s="1"/>
  <c r="AG228" i="224"/>
  <c r="AC164" i="224"/>
  <c r="AE164" i="224" s="1"/>
  <c r="AG164" i="224"/>
  <c r="AC100" i="224"/>
  <c r="AE100" i="224" s="1"/>
  <c r="AG100" i="224"/>
  <c r="AC36" i="224"/>
  <c r="AE36" i="224" s="1"/>
  <c r="AG36" i="224"/>
  <c r="AC651" i="224"/>
  <c r="AE651" i="224" s="1"/>
  <c r="AG651" i="224"/>
  <c r="AC587" i="224"/>
  <c r="AE587" i="224" s="1"/>
  <c r="AG587" i="224"/>
  <c r="AC523" i="224"/>
  <c r="AE523" i="224" s="1"/>
  <c r="AG523" i="224"/>
  <c r="AC459" i="224"/>
  <c r="AE459" i="224" s="1"/>
  <c r="AG459" i="224"/>
  <c r="AC395" i="224"/>
  <c r="AE395" i="224" s="1"/>
  <c r="AG395" i="224"/>
  <c r="AC331" i="224"/>
  <c r="AE331" i="224" s="1"/>
  <c r="AG331" i="224"/>
  <c r="AC267" i="224"/>
  <c r="AE267" i="224" s="1"/>
  <c r="AG267" i="224"/>
  <c r="AC203" i="224"/>
  <c r="AE203" i="224" s="1"/>
  <c r="AG203" i="224"/>
  <c r="AC139" i="224"/>
  <c r="AE139" i="224" s="1"/>
  <c r="AG139" i="224"/>
  <c r="AC75" i="224"/>
  <c r="AE75" i="224" s="1"/>
  <c r="AG75" i="224"/>
  <c r="AC11" i="224"/>
  <c r="AE11" i="224" s="1"/>
  <c r="AG11" i="224"/>
  <c r="AC610" i="224"/>
  <c r="AE610" i="224" s="1"/>
  <c r="AG610" i="224"/>
  <c r="AC546" i="224"/>
  <c r="AE546" i="224" s="1"/>
  <c r="AG546" i="224"/>
  <c r="AC482" i="224"/>
  <c r="AE482" i="224" s="1"/>
  <c r="AG482" i="224"/>
  <c r="AC418" i="224"/>
  <c r="AE418" i="224" s="1"/>
  <c r="AG418" i="224"/>
  <c r="AC354" i="224"/>
  <c r="AE354" i="224" s="1"/>
  <c r="AG354" i="224"/>
  <c r="AC290" i="224"/>
  <c r="AE290" i="224" s="1"/>
  <c r="AG290" i="224"/>
  <c r="AC226" i="224"/>
  <c r="AE226" i="224" s="1"/>
  <c r="AG226" i="224"/>
  <c r="AC162" i="224"/>
  <c r="AE162" i="224" s="1"/>
  <c r="AG162" i="224"/>
  <c r="AC98" i="224"/>
  <c r="AE98" i="224" s="1"/>
  <c r="AG98" i="224"/>
  <c r="AC34" i="224"/>
  <c r="AE34" i="224" s="1"/>
  <c r="AG34" i="224"/>
  <c r="AC706" i="224"/>
  <c r="AE706" i="224" s="1"/>
  <c r="AG706" i="224"/>
  <c r="AC770" i="224"/>
  <c r="AE770" i="224" s="1"/>
  <c r="AG770" i="224"/>
  <c r="AC834" i="224"/>
  <c r="AE834" i="224" s="1"/>
  <c r="AG834" i="224"/>
  <c r="AC670" i="224"/>
  <c r="AE670" i="224" s="1"/>
  <c r="AG670" i="224"/>
  <c r="AC688" i="224"/>
  <c r="AE688" i="224" s="1"/>
  <c r="AG688" i="224"/>
  <c r="AC768" i="224"/>
  <c r="AE768" i="224" s="1"/>
  <c r="AG768" i="224"/>
  <c r="AC792" i="224"/>
  <c r="AE792" i="224" s="1"/>
  <c r="AG792" i="224"/>
  <c r="AC732" i="224"/>
  <c r="AE732" i="224" s="1"/>
  <c r="AG732" i="224"/>
  <c r="AC878" i="224"/>
  <c r="AE878" i="224" s="1"/>
  <c r="AG878" i="224"/>
  <c r="AC641" i="224"/>
  <c r="AE641" i="224" s="1"/>
  <c r="AG641" i="224"/>
  <c r="AC193" i="224"/>
  <c r="AE193" i="224" s="1"/>
  <c r="AG193" i="224"/>
  <c r="AC464" i="224"/>
  <c r="AE464" i="224" s="1"/>
  <c r="AG464" i="224"/>
  <c r="AC16" i="224"/>
  <c r="AE16" i="224" s="1"/>
  <c r="AG16" i="224"/>
  <c r="AC239" i="224"/>
  <c r="AE239" i="224" s="1"/>
  <c r="AG239" i="224"/>
  <c r="AC518" i="224"/>
  <c r="AE518" i="224" s="1"/>
  <c r="AG518" i="224"/>
  <c r="AC70" i="224"/>
  <c r="AE70" i="224" s="1"/>
  <c r="AG70" i="224"/>
  <c r="AC676" i="224"/>
  <c r="AE676" i="224" s="1"/>
  <c r="AG676" i="224"/>
  <c r="AC781" i="224"/>
  <c r="AE781" i="224" s="1"/>
  <c r="AG781" i="224"/>
  <c r="AC799" i="224"/>
  <c r="AE799" i="224" s="1"/>
  <c r="AG799" i="224"/>
  <c r="AC569" i="224"/>
  <c r="AE569" i="224" s="1"/>
  <c r="AG569" i="224"/>
  <c r="AC249" i="224"/>
  <c r="AE249" i="224" s="1"/>
  <c r="AG249" i="224"/>
  <c r="AC456" i="224"/>
  <c r="AE456" i="224" s="1"/>
  <c r="AG456" i="224"/>
  <c r="AC72" i="224"/>
  <c r="AE72" i="224" s="1"/>
  <c r="AG72" i="224"/>
  <c r="AC423" i="224"/>
  <c r="AE423" i="224" s="1"/>
  <c r="AG423" i="224"/>
  <c r="AC638" i="224"/>
  <c r="AE638" i="224" s="1"/>
  <c r="AG638" i="224"/>
  <c r="AC254" i="224"/>
  <c r="AE254" i="224" s="1"/>
  <c r="AG254" i="224"/>
  <c r="AC605" i="224"/>
  <c r="AE605" i="224" s="1"/>
  <c r="AG605" i="224"/>
  <c r="AC157" i="224"/>
  <c r="AE157" i="224" s="1"/>
  <c r="AG157" i="224"/>
  <c r="AC436" i="224"/>
  <c r="AE436" i="224" s="1"/>
  <c r="AG436" i="224"/>
  <c r="AC116" i="224"/>
  <c r="AE116" i="224" s="1"/>
  <c r="AG116" i="224"/>
  <c r="AC539" i="224"/>
  <c r="AE539" i="224" s="1"/>
  <c r="AG539" i="224"/>
  <c r="AC283" i="224"/>
  <c r="AE283" i="224" s="1"/>
  <c r="AG283" i="224"/>
  <c r="AC27" i="224"/>
  <c r="AE27" i="224" s="1"/>
  <c r="AG27" i="224"/>
  <c r="AC434" i="224"/>
  <c r="AE434" i="224" s="1"/>
  <c r="AG434" i="224"/>
  <c r="AC114" i="224"/>
  <c r="AE114" i="224" s="1"/>
  <c r="AG114" i="224"/>
  <c r="AC754" i="224"/>
  <c r="AE754" i="224" s="1"/>
  <c r="AG754" i="224"/>
  <c r="AC824" i="224"/>
  <c r="AE824" i="224" s="1"/>
  <c r="AG824" i="224"/>
  <c r="AC835" i="224"/>
  <c r="AE835" i="224" s="1"/>
  <c r="AG835" i="224"/>
  <c r="AC812" i="224"/>
  <c r="AE812" i="224" s="1"/>
  <c r="AG812" i="224"/>
  <c r="AC853" i="224"/>
  <c r="AE853" i="224" s="1"/>
  <c r="AG853" i="224"/>
  <c r="AC766" i="224"/>
  <c r="AE766" i="224" s="1"/>
  <c r="AG766" i="224"/>
  <c r="AC743" i="224"/>
  <c r="AE743" i="224" s="1"/>
  <c r="AG743" i="224"/>
  <c r="AC785" i="224"/>
  <c r="AE785" i="224" s="1"/>
  <c r="AG785" i="224"/>
  <c r="AC561" i="224"/>
  <c r="AE561" i="224" s="1"/>
  <c r="AG561" i="224"/>
  <c r="AC369" i="224"/>
  <c r="AE369" i="224" s="1"/>
  <c r="AG369" i="224"/>
  <c r="AC177" i="224"/>
  <c r="AE177" i="224" s="1"/>
  <c r="AG177" i="224"/>
  <c r="AC640" i="224"/>
  <c r="AE640" i="224" s="1"/>
  <c r="AG640" i="224"/>
  <c r="AC448" i="224"/>
  <c r="AE448" i="224" s="1"/>
  <c r="AG448" i="224"/>
  <c r="AC320" i="224"/>
  <c r="AE320" i="224" s="1"/>
  <c r="AG320" i="224"/>
  <c r="AC64" i="224"/>
  <c r="AE64" i="224" s="1"/>
  <c r="AG64" i="224"/>
  <c r="AC543" i="224"/>
  <c r="AE543" i="224" s="1"/>
  <c r="AG543" i="224"/>
  <c r="AC351" i="224"/>
  <c r="AE351" i="224" s="1"/>
  <c r="AG351" i="224"/>
  <c r="AC159" i="224"/>
  <c r="AE159" i="224" s="1"/>
  <c r="AG159" i="224"/>
  <c r="AC630" i="224"/>
  <c r="AE630" i="224" s="1"/>
  <c r="AG630" i="224"/>
  <c r="AC438" i="224"/>
  <c r="AE438" i="224" s="1"/>
  <c r="AG438" i="224"/>
  <c r="AC246" i="224"/>
  <c r="AE246" i="224" s="1"/>
  <c r="AG246" i="224"/>
  <c r="AC118" i="224"/>
  <c r="AE118" i="224" s="1"/>
  <c r="AG118" i="224"/>
  <c r="AC533" i="224"/>
  <c r="AE533" i="224" s="1"/>
  <c r="AG533" i="224"/>
  <c r="AC405" i="224"/>
  <c r="AE405" i="224" s="1"/>
  <c r="AG405" i="224"/>
  <c r="AC149" i="224"/>
  <c r="AE149" i="224" s="1"/>
  <c r="AG149" i="224"/>
  <c r="AC620" i="224"/>
  <c r="AE620" i="224" s="1"/>
  <c r="AG620" i="224"/>
  <c r="AC428" i="224"/>
  <c r="AE428" i="224" s="1"/>
  <c r="AG428" i="224"/>
  <c r="AC236" i="224"/>
  <c r="AE236" i="224" s="1"/>
  <c r="AG236" i="224"/>
  <c r="AC108" i="224"/>
  <c r="AE108" i="224" s="1"/>
  <c r="AG108" i="224"/>
  <c r="AC531" i="224"/>
  <c r="AE531" i="224" s="1"/>
  <c r="AG531" i="224"/>
  <c r="AC339" i="224"/>
  <c r="AE339" i="224" s="1"/>
  <c r="AG339" i="224"/>
  <c r="AC211" i="224"/>
  <c r="AE211" i="224" s="1"/>
  <c r="AG211" i="224"/>
  <c r="AC19" i="224"/>
  <c r="AE19" i="224" s="1"/>
  <c r="AG19" i="224"/>
  <c r="AC426" i="224"/>
  <c r="AE426" i="224" s="1"/>
  <c r="AG426" i="224"/>
  <c r="AC234" i="224"/>
  <c r="AE234" i="224" s="1"/>
  <c r="AG234" i="224"/>
  <c r="AC106" i="224"/>
  <c r="AE106" i="224" s="1"/>
  <c r="AG106" i="224"/>
  <c r="AC762" i="224"/>
  <c r="AE762" i="224" s="1"/>
  <c r="AG762" i="224"/>
  <c r="AC872" i="224"/>
  <c r="AE872" i="224" s="1"/>
  <c r="AG872" i="224"/>
  <c r="AC723" i="224"/>
  <c r="AE723" i="224" s="1"/>
  <c r="AG723" i="224"/>
  <c r="AC787" i="224"/>
  <c r="AE787" i="224" s="1"/>
  <c r="AG787" i="224"/>
  <c r="AC851" i="224"/>
  <c r="AE851" i="224" s="1"/>
  <c r="AG851" i="224"/>
  <c r="AC700" i="224"/>
  <c r="AE700" i="224" s="1"/>
  <c r="AG700" i="224"/>
  <c r="AC764" i="224"/>
  <c r="AE764" i="224" s="1"/>
  <c r="AG764" i="224"/>
  <c r="AC828" i="224"/>
  <c r="AE828" i="224" s="1"/>
  <c r="AG828" i="224"/>
  <c r="AC677" i="224"/>
  <c r="AE677" i="224" s="1"/>
  <c r="AG677" i="224"/>
  <c r="AC741" i="224"/>
  <c r="AE741" i="224" s="1"/>
  <c r="AG741" i="224"/>
  <c r="AC805" i="224"/>
  <c r="AE805" i="224" s="1"/>
  <c r="AG805" i="224"/>
  <c r="AC869" i="224"/>
  <c r="AE869" i="224" s="1"/>
  <c r="AG869" i="224"/>
  <c r="AC718" i="224"/>
  <c r="AE718" i="224" s="1"/>
  <c r="AG718" i="224"/>
  <c r="AC782" i="224"/>
  <c r="AE782" i="224" s="1"/>
  <c r="AG782" i="224"/>
  <c r="AC846" i="224"/>
  <c r="AE846" i="224" s="1"/>
  <c r="AG846" i="224"/>
  <c r="AC695" i="224"/>
  <c r="AE695" i="224" s="1"/>
  <c r="AG695" i="224"/>
  <c r="AC759" i="224"/>
  <c r="AE759" i="224" s="1"/>
  <c r="AG759" i="224"/>
  <c r="AC823" i="224"/>
  <c r="AE823" i="224" s="1"/>
  <c r="AG823" i="224"/>
  <c r="AC672" i="224"/>
  <c r="AE672" i="224" s="1"/>
  <c r="AG672" i="224"/>
  <c r="AC737" i="224"/>
  <c r="AE737" i="224" s="1"/>
  <c r="AG737" i="224"/>
  <c r="AC801" i="224"/>
  <c r="AE801" i="224" s="1"/>
  <c r="AG801" i="224"/>
  <c r="AC865" i="224"/>
  <c r="AE865" i="224" s="1"/>
  <c r="AG865" i="224"/>
  <c r="AC609" i="224"/>
  <c r="AE609" i="224" s="1"/>
  <c r="AG609" i="224"/>
  <c r="AC545" i="224"/>
  <c r="AE545" i="224" s="1"/>
  <c r="AG545" i="224"/>
  <c r="AC481" i="224"/>
  <c r="AE481" i="224" s="1"/>
  <c r="AG481" i="224"/>
  <c r="AC417" i="224"/>
  <c r="AE417" i="224" s="1"/>
  <c r="AG417" i="224"/>
  <c r="AC353" i="224"/>
  <c r="AE353" i="224" s="1"/>
  <c r="AG353" i="224"/>
  <c r="AC289" i="224"/>
  <c r="AE289" i="224" s="1"/>
  <c r="AG289" i="224"/>
  <c r="AC225" i="224"/>
  <c r="AE225" i="224" s="1"/>
  <c r="AG225" i="224"/>
  <c r="AC161" i="224"/>
  <c r="AE161" i="224" s="1"/>
  <c r="AG161" i="224"/>
  <c r="AC97" i="224"/>
  <c r="AE97" i="224" s="1"/>
  <c r="AG97" i="224"/>
  <c r="AC33" i="224"/>
  <c r="AE33" i="224" s="1"/>
  <c r="AG33" i="224"/>
  <c r="AC624" i="224"/>
  <c r="AE624" i="224" s="1"/>
  <c r="AG624" i="224"/>
  <c r="AC560" i="224"/>
  <c r="AE560" i="224" s="1"/>
  <c r="AG560" i="224"/>
  <c r="AC496" i="224"/>
  <c r="AE496" i="224" s="1"/>
  <c r="AG496" i="224"/>
  <c r="AC432" i="224"/>
  <c r="AE432" i="224" s="1"/>
  <c r="AG432" i="224"/>
  <c r="AC368" i="224"/>
  <c r="AE368" i="224" s="1"/>
  <c r="AG368" i="224"/>
  <c r="AC304" i="224"/>
  <c r="AE304" i="224" s="1"/>
  <c r="AG304" i="224"/>
  <c r="AC240" i="224"/>
  <c r="AE240" i="224" s="1"/>
  <c r="AG240" i="224"/>
  <c r="AC176" i="224"/>
  <c r="AE176" i="224" s="1"/>
  <c r="AG176" i="224"/>
  <c r="AC112" i="224"/>
  <c r="AE112" i="224" s="1"/>
  <c r="AG112" i="224"/>
  <c r="AC48" i="224"/>
  <c r="AE48" i="224" s="1"/>
  <c r="AG48" i="224"/>
  <c r="AC655" i="224"/>
  <c r="AE655" i="224" s="1"/>
  <c r="AG655" i="224"/>
  <c r="AC591" i="224"/>
  <c r="AE591" i="224" s="1"/>
  <c r="AG591" i="224"/>
  <c r="AC527" i="224"/>
  <c r="AE527" i="224" s="1"/>
  <c r="AG527" i="224"/>
  <c r="AC463" i="224"/>
  <c r="AE463" i="224" s="1"/>
  <c r="AG463" i="224"/>
  <c r="AC399" i="224"/>
  <c r="AE399" i="224" s="1"/>
  <c r="AG399" i="224"/>
  <c r="AC335" i="224"/>
  <c r="AE335" i="224" s="1"/>
  <c r="AG335" i="224"/>
  <c r="AC271" i="224"/>
  <c r="AE271" i="224" s="1"/>
  <c r="AG271" i="224"/>
  <c r="AC207" i="224"/>
  <c r="AE207" i="224" s="1"/>
  <c r="AG207" i="224"/>
  <c r="AC143" i="224"/>
  <c r="AE143" i="224" s="1"/>
  <c r="AG143" i="224"/>
  <c r="AC79" i="224"/>
  <c r="AE79" i="224" s="1"/>
  <c r="AG79" i="224"/>
  <c r="AC15" i="224"/>
  <c r="AE15" i="224" s="1"/>
  <c r="AG15" i="224"/>
  <c r="AC614" i="224"/>
  <c r="AE614" i="224" s="1"/>
  <c r="AG614" i="224"/>
  <c r="AC550" i="224"/>
  <c r="AE550" i="224" s="1"/>
  <c r="AG550" i="224"/>
  <c r="AC486" i="224"/>
  <c r="AE486" i="224" s="1"/>
  <c r="AG486" i="224"/>
  <c r="AC422" i="224"/>
  <c r="AE422" i="224" s="1"/>
  <c r="AG422" i="224"/>
  <c r="AC358" i="224"/>
  <c r="AE358" i="224" s="1"/>
  <c r="AG358" i="224"/>
  <c r="AC294" i="224"/>
  <c r="AE294" i="224" s="1"/>
  <c r="AG294" i="224"/>
  <c r="AC230" i="224"/>
  <c r="AE230" i="224" s="1"/>
  <c r="AG230" i="224"/>
  <c r="AC166" i="224"/>
  <c r="AE166" i="224" s="1"/>
  <c r="AG166" i="224"/>
  <c r="AC102" i="224"/>
  <c r="AE102" i="224" s="1"/>
  <c r="AG102" i="224"/>
  <c r="AC38" i="224"/>
  <c r="AE38" i="224" s="1"/>
  <c r="AG38" i="224"/>
  <c r="AC645" i="224"/>
  <c r="AE645" i="224" s="1"/>
  <c r="AG645" i="224"/>
  <c r="AC581" i="224"/>
  <c r="AE581" i="224" s="1"/>
  <c r="AG581" i="224"/>
  <c r="AC517" i="224"/>
  <c r="AE517" i="224" s="1"/>
  <c r="AG517" i="224"/>
  <c r="AC453" i="224"/>
  <c r="AE453" i="224" s="1"/>
  <c r="AG453" i="224"/>
  <c r="AC389" i="224"/>
  <c r="AE389" i="224" s="1"/>
  <c r="AG389" i="224"/>
  <c r="AC325" i="224"/>
  <c r="AE325" i="224" s="1"/>
  <c r="AG325" i="224"/>
  <c r="AC261" i="224"/>
  <c r="AE261" i="224" s="1"/>
  <c r="AG261" i="224"/>
  <c r="AC197" i="224"/>
  <c r="AE197" i="224" s="1"/>
  <c r="AG197" i="224"/>
  <c r="AC133" i="224"/>
  <c r="AE133" i="224" s="1"/>
  <c r="AG133" i="224"/>
  <c r="AC69" i="224"/>
  <c r="AE69" i="224" s="1"/>
  <c r="AG69" i="224"/>
  <c r="AC5" i="224"/>
  <c r="AE5" i="224" s="1"/>
  <c r="AG5" i="224"/>
  <c r="AC604" i="224"/>
  <c r="AE604" i="224" s="1"/>
  <c r="AG604" i="224"/>
  <c r="AC540" i="224"/>
  <c r="AE540" i="224" s="1"/>
  <c r="AG540" i="224"/>
  <c r="AC476" i="224"/>
  <c r="AE476" i="224" s="1"/>
  <c r="AG476" i="224"/>
  <c r="AC412" i="224"/>
  <c r="AE412" i="224" s="1"/>
  <c r="AG412" i="224"/>
  <c r="AC348" i="224"/>
  <c r="AE348" i="224" s="1"/>
  <c r="AG348" i="224"/>
  <c r="AC284" i="224"/>
  <c r="AE284" i="224" s="1"/>
  <c r="AG284" i="224"/>
  <c r="AC220" i="224"/>
  <c r="AE220" i="224" s="1"/>
  <c r="AG220" i="224"/>
  <c r="AC156" i="224"/>
  <c r="AE156" i="224" s="1"/>
  <c r="AG156" i="224"/>
  <c r="AC92" i="224"/>
  <c r="AE92" i="224" s="1"/>
  <c r="AG92" i="224"/>
  <c r="AC28" i="224"/>
  <c r="AE28" i="224" s="1"/>
  <c r="AG28" i="224"/>
  <c r="AC643" i="224"/>
  <c r="AE643" i="224" s="1"/>
  <c r="AG643" i="224"/>
  <c r="AC579" i="224"/>
  <c r="AE579" i="224" s="1"/>
  <c r="AG579" i="224"/>
  <c r="AC515" i="224"/>
  <c r="AE515" i="224" s="1"/>
  <c r="AG515" i="224"/>
  <c r="AC451" i="224"/>
  <c r="AE451" i="224" s="1"/>
  <c r="AG451" i="224"/>
  <c r="AC387" i="224"/>
  <c r="AE387" i="224" s="1"/>
  <c r="AG387" i="224"/>
  <c r="AC323" i="224"/>
  <c r="AE323" i="224" s="1"/>
  <c r="AG323" i="224"/>
  <c r="AC259" i="224"/>
  <c r="AE259" i="224" s="1"/>
  <c r="AG259" i="224"/>
  <c r="AC195" i="224"/>
  <c r="AE195" i="224" s="1"/>
  <c r="AG195" i="224"/>
  <c r="AC131" i="224"/>
  <c r="AE131" i="224" s="1"/>
  <c r="AG131" i="224"/>
  <c r="AC67" i="224"/>
  <c r="AE67" i="224" s="1"/>
  <c r="AG67" i="224"/>
  <c r="AC3" i="224"/>
  <c r="AE3" i="224" s="1"/>
  <c r="AG3" i="224"/>
  <c r="AC602" i="224"/>
  <c r="AE602" i="224" s="1"/>
  <c r="AG602" i="224"/>
  <c r="AC538" i="224"/>
  <c r="AE538" i="224" s="1"/>
  <c r="AG538" i="224"/>
  <c r="AC474" i="224"/>
  <c r="AE474" i="224" s="1"/>
  <c r="AG474" i="224"/>
  <c r="AC410" i="224"/>
  <c r="AE410" i="224" s="1"/>
  <c r="AG410" i="224"/>
  <c r="AC346" i="224"/>
  <c r="AE346" i="224" s="1"/>
  <c r="AG346" i="224"/>
  <c r="AC282" i="224"/>
  <c r="AE282" i="224" s="1"/>
  <c r="AG282" i="224"/>
  <c r="AC218" i="224"/>
  <c r="AE218" i="224" s="1"/>
  <c r="AG218" i="224"/>
  <c r="AC154" i="224"/>
  <c r="AE154" i="224" s="1"/>
  <c r="AG154" i="224"/>
  <c r="AC90" i="224"/>
  <c r="AE90" i="224" s="1"/>
  <c r="AG90" i="224"/>
  <c r="AC26" i="224"/>
  <c r="AE26" i="224" s="1"/>
  <c r="AG26" i="224"/>
  <c r="AC714" i="224"/>
  <c r="AE714" i="224" s="1"/>
  <c r="AG714" i="224"/>
  <c r="AC778" i="224"/>
  <c r="AE778" i="224" s="1"/>
  <c r="AG778" i="224"/>
  <c r="AC842" i="224"/>
  <c r="AE842" i="224" s="1"/>
  <c r="AG842" i="224"/>
  <c r="AC736" i="224"/>
  <c r="AE736" i="224" s="1"/>
  <c r="AG736" i="224"/>
  <c r="AC752" i="224"/>
  <c r="AE752" i="224" s="1"/>
  <c r="AG752" i="224"/>
  <c r="AC832" i="224"/>
  <c r="AE832" i="224" s="1"/>
  <c r="AG832" i="224"/>
  <c r="AC856" i="224"/>
  <c r="AE856" i="224" s="1"/>
  <c r="AG856" i="224"/>
  <c r="AC664" i="224"/>
  <c r="AE664" i="224" s="1"/>
  <c r="AG664" i="224"/>
  <c r="AC686" i="224"/>
  <c r="AE686" i="224" s="1"/>
  <c r="AG686" i="224"/>
  <c r="AC833" i="224"/>
  <c r="AE833" i="224" s="1"/>
  <c r="AG833" i="224"/>
  <c r="AC257" i="224"/>
  <c r="AE257" i="224" s="1"/>
  <c r="AG257" i="224"/>
  <c r="AC528" i="224"/>
  <c r="AE528" i="224" s="1"/>
  <c r="AG528" i="224"/>
  <c r="AC80" i="224"/>
  <c r="AE80" i="224" s="1"/>
  <c r="AG80" i="224"/>
  <c r="AC303" i="224"/>
  <c r="AE303" i="224" s="1"/>
  <c r="AG303" i="224"/>
  <c r="AC454" i="224"/>
  <c r="AE454" i="224" s="1"/>
  <c r="AG454" i="224"/>
  <c r="AC6" i="224"/>
  <c r="AE6" i="224" s="1"/>
  <c r="AG6" i="224"/>
  <c r="AC827" i="224"/>
  <c r="AE827" i="224" s="1"/>
  <c r="AG827" i="224"/>
  <c r="AC845" i="224"/>
  <c r="AE845" i="224" s="1"/>
  <c r="AG845" i="224"/>
  <c r="AC735" i="224"/>
  <c r="AE735" i="224" s="1"/>
  <c r="AG735" i="224"/>
  <c r="AC633" i="224"/>
  <c r="AE633" i="224" s="1"/>
  <c r="AG633" i="224"/>
  <c r="AC185" i="224"/>
  <c r="AE185" i="224" s="1"/>
  <c r="AG185" i="224"/>
  <c r="AC520" i="224"/>
  <c r="AE520" i="224" s="1"/>
  <c r="AG520" i="224"/>
  <c r="AC136" i="224"/>
  <c r="AE136" i="224" s="1"/>
  <c r="AG136" i="224"/>
  <c r="AC359" i="224"/>
  <c r="AE359" i="224" s="1"/>
  <c r="AG359" i="224"/>
  <c r="AC39" i="224"/>
  <c r="AE39" i="224" s="1"/>
  <c r="AG39" i="224"/>
  <c r="AC318" i="224"/>
  <c r="AE318" i="224" s="1"/>
  <c r="AG318" i="224"/>
  <c r="AC541" i="224"/>
  <c r="AE541" i="224" s="1"/>
  <c r="AG541" i="224"/>
  <c r="AC221" i="224"/>
  <c r="AE221" i="224" s="1"/>
  <c r="AG221" i="224"/>
  <c r="AC500" i="224"/>
  <c r="AE500" i="224" s="1"/>
  <c r="AG500" i="224"/>
  <c r="AC180" i="224"/>
  <c r="AE180" i="224" s="1"/>
  <c r="AG180" i="224"/>
  <c r="AC475" i="224"/>
  <c r="AE475" i="224" s="1"/>
  <c r="AG475" i="224"/>
  <c r="AC219" i="224"/>
  <c r="AE219" i="224" s="1"/>
  <c r="AG219" i="224"/>
  <c r="AC626" i="224"/>
  <c r="AE626" i="224" s="1"/>
  <c r="AG626" i="224"/>
  <c r="AC370" i="224"/>
  <c r="AE370" i="224" s="1"/>
  <c r="AG370" i="224"/>
  <c r="AC178" i="224"/>
  <c r="AE178" i="224" s="1"/>
  <c r="AG178" i="224"/>
  <c r="AC818" i="224"/>
  <c r="AE818" i="224" s="1"/>
  <c r="AG818" i="224"/>
  <c r="AC784" i="224"/>
  <c r="AE784" i="224" s="1"/>
  <c r="AG784" i="224"/>
  <c r="AC684" i="224"/>
  <c r="AE684" i="224" s="1"/>
  <c r="AG684" i="224"/>
  <c r="AC876" i="224"/>
  <c r="AE876" i="224" s="1"/>
  <c r="AG876" i="224"/>
  <c r="AC789" i="224"/>
  <c r="AE789" i="224" s="1"/>
  <c r="AG789" i="224"/>
  <c r="AC830" i="224"/>
  <c r="AE830" i="224" s="1"/>
  <c r="AG830" i="224"/>
  <c r="AC807" i="224"/>
  <c r="AE807" i="224" s="1"/>
  <c r="AG807" i="224"/>
  <c r="AC721" i="224"/>
  <c r="AE721" i="224" s="1"/>
  <c r="AG721" i="224"/>
  <c r="AC625" i="224"/>
  <c r="AE625" i="224" s="1"/>
  <c r="AG625" i="224"/>
  <c r="AC433" i="224"/>
  <c r="AE433" i="224" s="1"/>
  <c r="AG433" i="224"/>
  <c r="AC241" i="224"/>
  <c r="AE241" i="224" s="1"/>
  <c r="AG241" i="224"/>
  <c r="AC49" i="224"/>
  <c r="AE49" i="224" s="1"/>
  <c r="AG49" i="224"/>
  <c r="AC512" i="224"/>
  <c r="AE512" i="224" s="1"/>
  <c r="AG512" i="224"/>
  <c r="AC256" i="224"/>
  <c r="AE256" i="224" s="1"/>
  <c r="AG256" i="224"/>
  <c r="AC128" i="224"/>
  <c r="AE128" i="224" s="1"/>
  <c r="AG128" i="224"/>
  <c r="AC607" i="224"/>
  <c r="AE607" i="224" s="1"/>
  <c r="AG607" i="224"/>
  <c r="AC415" i="224"/>
  <c r="AE415" i="224" s="1"/>
  <c r="AG415" i="224"/>
  <c r="AC223" i="224"/>
  <c r="AE223" i="224" s="1"/>
  <c r="AG223" i="224"/>
  <c r="AC31" i="224"/>
  <c r="AE31" i="224" s="1"/>
  <c r="AG31" i="224"/>
  <c r="AC502" i="224"/>
  <c r="AE502" i="224" s="1"/>
  <c r="AG502" i="224"/>
  <c r="AC310" i="224"/>
  <c r="AE310" i="224" s="1"/>
  <c r="AG310" i="224"/>
  <c r="AC54" i="224"/>
  <c r="AE54" i="224" s="1"/>
  <c r="AG54" i="224"/>
  <c r="AC597" i="224"/>
  <c r="AE597" i="224" s="1"/>
  <c r="AG597" i="224"/>
  <c r="AC341" i="224"/>
  <c r="AE341" i="224" s="1"/>
  <c r="AG341" i="224"/>
  <c r="AC213" i="224"/>
  <c r="AE213" i="224" s="1"/>
  <c r="AG213" i="224"/>
  <c r="AC21" i="224"/>
  <c r="AE21" i="224" s="1"/>
  <c r="AG21" i="224"/>
  <c r="AC492" i="224"/>
  <c r="AE492" i="224" s="1"/>
  <c r="AG492" i="224"/>
  <c r="AC300" i="224"/>
  <c r="AE300" i="224" s="1"/>
  <c r="AG300" i="224"/>
  <c r="AC44" i="224"/>
  <c r="AE44" i="224" s="1"/>
  <c r="AG44" i="224"/>
  <c r="AC595" i="224"/>
  <c r="AE595" i="224" s="1"/>
  <c r="AG595" i="224"/>
  <c r="AC403" i="224"/>
  <c r="AE403" i="224" s="1"/>
  <c r="AG403" i="224"/>
  <c r="AC147" i="224"/>
  <c r="AE147" i="224" s="1"/>
  <c r="AG147" i="224"/>
  <c r="AC618" i="224"/>
  <c r="AE618" i="224" s="1"/>
  <c r="AG618" i="224"/>
  <c r="AC490" i="224"/>
  <c r="AE490" i="224" s="1"/>
  <c r="AG490" i="224"/>
  <c r="AC298" i="224"/>
  <c r="AE298" i="224" s="1"/>
  <c r="AG298" i="224"/>
  <c r="AC42" i="224"/>
  <c r="AE42" i="224" s="1"/>
  <c r="AG42" i="224"/>
  <c r="AC826" i="224"/>
  <c r="AE826" i="224" s="1"/>
  <c r="AG826" i="224"/>
  <c r="AC704" i="224"/>
  <c r="AE704" i="224" s="1"/>
  <c r="AG704" i="224"/>
  <c r="AC657" i="224"/>
  <c r="AE657" i="224" s="1"/>
  <c r="AG657" i="224"/>
  <c r="AC731" i="224"/>
  <c r="AE731" i="224" s="1"/>
  <c r="AG731" i="224"/>
  <c r="AC795" i="224"/>
  <c r="AE795" i="224" s="1"/>
  <c r="AG795" i="224"/>
  <c r="AC859" i="224"/>
  <c r="AE859" i="224" s="1"/>
  <c r="AG859" i="224"/>
  <c r="AC708" i="224"/>
  <c r="AE708" i="224" s="1"/>
  <c r="AG708" i="224"/>
  <c r="AC772" i="224"/>
  <c r="AE772" i="224" s="1"/>
  <c r="AG772" i="224"/>
  <c r="AC836" i="224"/>
  <c r="AE836" i="224" s="1"/>
  <c r="AG836" i="224"/>
  <c r="AC685" i="224"/>
  <c r="AE685" i="224" s="1"/>
  <c r="AG685" i="224"/>
  <c r="AC749" i="224"/>
  <c r="AE749" i="224" s="1"/>
  <c r="AG749" i="224"/>
  <c r="AC813" i="224"/>
  <c r="AE813" i="224" s="1"/>
  <c r="AG813" i="224"/>
  <c r="AC877" i="224"/>
  <c r="AE877" i="224" s="1"/>
  <c r="AG877" i="224"/>
  <c r="AC726" i="224"/>
  <c r="AE726" i="224" s="1"/>
  <c r="AG726" i="224"/>
  <c r="AC790" i="224"/>
  <c r="AE790" i="224" s="1"/>
  <c r="AG790" i="224"/>
  <c r="AC854" i="224"/>
  <c r="AE854" i="224" s="1"/>
  <c r="AG854" i="224"/>
  <c r="AC703" i="224"/>
  <c r="AE703" i="224" s="1"/>
  <c r="AG703" i="224"/>
  <c r="AC767" i="224"/>
  <c r="AE767" i="224" s="1"/>
  <c r="AG767" i="224"/>
  <c r="AC831" i="224"/>
  <c r="AE831" i="224" s="1"/>
  <c r="AG831" i="224"/>
  <c r="AC681" i="224"/>
  <c r="AE681" i="224" s="1"/>
  <c r="AG681" i="224"/>
  <c r="AC745" i="224"/>
  <c r="AE745" i="224" s="1"/>
  <c r="AG745" i="224"/>
  <c r="AC809" i="224"/>
  <c r="AE809" i="224" s="1"/>
  <c r="AG809" i="224"/>
  <c r="AC873" i="224"/>
  <c r="AE873" i="224" s="1"/>
  <c r="AG873" i="224"/>
  <c r="AC601" i="224"/>
  <c r="AE601" i="224" s="1"/>
  <c r="AG601" i="224"/>
  <c r="AC537" i="224"/>
  <c r="AE537" i="224" s="1"/>
  <c r="AG537" i="224"/>
  <c r="AC473" i="224"/>
  <c r="AE473" i="224" s="1"/>
  <c r="AG473" i="224"/>
  <c r="AC409" i="224"/>
  <c r="AE409" i="224" s="1"/>
  <c r="AG409" i="224"/>
  <c r="AC345" i="224"/>
  <c r="AE345" i="224" s="1"/>
  <c r="AG345" i="224"/>
  <c r="AC281" i="224"/>
  <c r="AE281" i="224" s="1"/>
  <c r="AG281" i="224"/>
  <c r="AC217" i="224"/>
  <c r="AE217" i="224" s="1"/>
  <c r="AG217" i="224"/>
  <c r="AC153" i="224"/>
  <c r="AE153" i="224" s="1"/>
  <c r="AG153" i="224"/>
  <c r="AC89" i="224"/>
  <c r="AE89" i="224" s="1"/>
  <c r="AG89" i="224"/>
  <c r="AC25" i="224"/>
  <c r="AE25" i="224" s="1"/>
  <c r="AG25" i="224"/>
  <c r="AC616" i="224"/>
  <c r="AE616" i="224" s="1"/>
  <c r="AG616" i="224"/>
  <c r="AC552" i="224"/>
  <c r="AE552" i="224" s="1"/>
  <c r="AG552" i="224"/>
  <c r="AC488" i="224"/>
  <c r="AE488" i="224" s="1"/>
  <c r="AG488" i="224"/>
  <c r="AC424" i="224"/>
  <c r="AE424" i="224" s="1"/>
  <c r="AG424" i="224"/>
  <c r="AC360" i="224"/>
  <c r="AE360" i="224" s="1"/>
  <c r="AG360" i="224"/>
  <c r="AC296" i="224"/>
  <c r="AE296" i="224" s="1"/>
  <c r="AG296" i="224"/>
  <c r="AC232" i="224"/>
  <c r="AE232" i="224" s="1"/>
  <c r="AG232" i="224"/>
  <c r="AC168" i="224"/>
  <c r="AE168" i="224" s="1"/>
  <c r="AG168" i="224"/>
  <c r="AC104" i="224"/>
  <c r="AE104" i="224" s="1"/>
  <c r="AG104" i="224"/>
  <c r="AC40" i="224"/>
  <c r="AE40" i="224" s="1"/>
  <c r="AG40" i="224"/>
  <c r="AC647" i="224"/>
  <c r="AE647" i="224" s="1"/>
  <c r="AG647" i="224"/>
  <c r="AC583" i="224"/>
  <c r="AE583" i="224" s="1"/>
  <c r="AG583" i="224"/>
  <c r="AC519" i="224"/>
  <c r="AE519" i="224" s="1"/>
  <c r="AG519" i="224"/>
  <c r="AC455" i="224"/>
  <c r="AE455" i="224" s="1"/>
  <c r="AG455" i="224"/>
  <c r="AC391" i="224"/>
  <c r="AE391" i="224" s="1"/>
  <c r="AG391" i="224"/>
  <c r="AC327" i="224"/>
  <c r="AE327" i="224" s="1"/>
  <c r="AG327" i="224"/>
  <c r="AC263" i="224"/>
  <c r="AE263" i="224" s="1"/>
  <c r="AG263" i="224"/>
  <c r="AC199" i="224"/>
  <c r="AE199" i="224" s="1"/>
  <c r="AG199" i="224"/>
  <c r="AC135" i="224"/>
  <c r="AE135" i="224" s="1"/>
  <c r="AG135" i="224"/>
  <c r="AC71" i="224"/>
  <c r="AE71" i="224" s="1"/>
  <c r="AG71" i="224"/>
  <c r="AC7" i="224"/>
  <c r="AE7" i="224" s="1"/>
  <c r="AG7" i="224"/>
  <c r="AC606" i="224"/>
  <c r="AE606" i="224" s="1"/>
  <c r="AG606" i="224"/>
  <c r="AC542" i="224"/>
  <c r="AE542" i="224" s="1"/>
  <c r="AG542" i="224"/>
  <c r="AC478" i="224"/>
  <c r="AE478" i="224" s="1"/>
  <c r="AG478" i="224"/>
  <c r="AC414" i="224"/>
  <c r="AE414" i="224" s="1"/>
  <c r="AG414" i="224"/>
  <c r="AC350" i="224"/>
  <c r="AE350" i="224" s="1"/>
  <c r="AG350" i="224"/>
  <c r="AC286" i="224"/>
  <c r="AE286" i="224" s="1"/>
  <c r="AG286" i="224"/>
  <c r="AC222" i="224"/>
  <c r="AE222" i="224" s="1"/>
  <c r="AG222" i="224"/>
  <c r="AC158" i="224"/>
  <c r="AE158" i="224" s="1"/>
  <c r="AG158" i="224"/>
  <c r="AC94" i="224"/>
  <c r="AE94" i="224" s="1"/>
  <c r="AG94" i="224"/>
  <c r="AC30" i="224"/>
  <c r="AE30" i="224" s="1"/>
  <c r="AG30" i="224"/>
  <c r="AC637" i="224"/>
  <c r="AE637" i="224" s="1"/>
  <c r="AG637" i="224"/>
  <c r="AC573" i="224"/>
  <c r="AE573" i="224" s="1"/>
  <c r="AG573" i="224"/>
  <c r="AC509" i="224"/>
  <c r="AE509" i="224" s="1"/>
  <c r="AG509" i="224"/>
  <c r="AC445" i="224"/>
  <c r="AE445" i="224" s="1"/>
  <c r="AG445" i="224"/>
  <c r="AC381" i="224"/>
  <c r="AE381" i="224" s="1"/>
  <c r="AG381" i="224"/>
  <c r="AC317" i="224"/>
  <c r="AE317" i="224" s="1"/>
  <c r="AG317" i="224"/>
  <c r="AC253" i="224"/>
  <c r="AE253" i="224" s="1"/>
  <c r="AG253" i="224"/>
  <c r="AC189" i="224"/>
  <c r="AE189" i="224" s="1"/>
  <c r="AG189" i="224"/>
  <c r="AC125" i="224"/>
  <c r="AE125" i="224" s="1"/>
  <c r="AG125" i="224"/>
  <c r="AC61" i="224"/>
  <c r="AE61" i="224" s="1"/>
  <c r="AG61" i="224"/>
  <c r="AC660" i="224"/>
  <c r="AE660" i="224" s="1"/>
  <c r="AG660" i="224"/>
  <c r="AC596" i="224"/>
  <c r="AE596" i="224" s="1"/>
  <c r="AG596" i="224"/>
  <c r="AC532" i="224"/>
  <c r="AE532" i="224" s="1"/>
  <c r="AG532" i="224"/>
  <c r="AC468" i="224"/>
  <c r="AE468" i="224" s="1"/>
  <c r="AG468" i="224"/>
  <c r="AC404" i="224"/>
  <c r="AE404" i="224" s="1"/>
  <c r="AG404" i="224"/>
  <c r="AC340" i="224"/>
  <c r="AE340" i="224" s="1"/>
  <c r="AG340" i="224"/>
  <c r="AC276" i="224"/>
  <c r="AE276" i="224" s="1"/>
  <c r="AG276" i="224"/>
  <c r="AC212" i="224"/>
  <c r="AE212" i="224" s="1"/>
  <c r="AG212" i="224"/>
  <c r="AC148" i="224"/>
  <c r="AE148" i="224" s="1"/>
  <c r="AG148" i="224"/>
  <c r="AC84" i="224"/>
  <c r="AE84" i="224" s="1"/>
  <c r="AG84" i="224"/>
  <c r="AC20" i="224"/>
  <c r="AE20" i="224" s="1"/>
  <c r="AG20" i="224"/>
  <c r="AC635" i="224"/>
  <c r="AE635" i="224" s="1"/>
  <c r="AG635" i="224"/>
  <c r="AC571" i="224"/>
  <c r="AE571" i="224" s="1"/>
  <c r="AG571" i="224"/>
  <c r="AC507" i="224"/>
  <c r="AE507" i="224" s="1"/>
  <c r="AG507" i="224"/>
  <c r="AC443" i="224"/>
  <c r="AE443" i="224" s="1"/>
  <c r="AG443" i="224"/>
  <c r="AC379" i="224"/>
  <c r="AE379" i="224" s="1"/>
  <c r="AG379" i="224"/>
  <c r="AC315" i="224"/>
  <c r="AE315" i="224" s="1"/>
  <c r="AG315" i="224"/>
  <c r="AC251" i="224"/>
  <c r="AE251" i="224" s="1"/>
  <c r="AG251" i="224"/>
  <c r="AC187" i="224"/>
  <c r="AE187" i="224" s="1"/>
  <c r="AG187" i="224"/>
  <c r="AC123" i="224"/>
  <c r="AE123" i="224" s="1"/>
  <c r="AG123" i="224"/>
  <c r="AC59" i="224"/>
  <c r="AE59" i="224" s="1"/>
  <c r="AG59" i="224"/>
  <c r="AC658" i="224"/>
  <c r="AE658" i="224" s="1"/>
  <c r="AG658" i="224"/>
  <c r="AC594" i="224"/>
  <c r="AE594" i="224" s="1"/>
  <c r="AG594" i="224"/>
  <c r="AC530" i="224"/>
  <c r="AE530" i="224" s="1"/>
  <c r="AG530" i="224"/>
  <c r="AC466" i="224"/>
  <c r="AE466" i="224" s="1"/>
  <c r="AG466" i="224"/>
  <c r="AC402" i="224"/>
  <c r="AE402" i="224" s="1"/>
  <c r="AG402" i="224"/>
  <c r="AC338" i="224"/>
  <c r="AE338" i="224" s="1"/>
  <c r="AG338" i="224"/>
  <c r="AC274" i="224"/>
  <c r="AE274" i="224" s="1"/>
  <c r="AG274" i="224"/>
  <c r="AC210" i="224"/>
  <c r="AE210" i="224" s="1"/>
  <c r="AG210" i="224"/>
  <c r="AC146" i="224"/>
  <c r="AE146" i="224" s="1"/>
  <c r="AG146" i="224"/>
  <c r="AC82" i="224"/>
  <c r="AE82" i="224" s="1"/>
  <c r="AG82" i="224"/>
  <c r="AC18" i="224"/>
  <c r="AE18" i="224" s="1"/>
  <c r="AG18" i="224"/>
  <c r="AC722" i="224"/>
  <c r="AE722" i="224" s="1"/>
  <c r="AG722" i="224"/>
  <c r="AC786" i="224"/>
  <c r="AE786" i="224" s="1"/>
  <c r="AG786" i="224"/>
  <c r="AC850" i="224"/>
  <c r="AE850" i="224" s="1"/>
  <c r="AG850" i="224"/>
  <c r="AC800" i="224"/>
  <c r="AE800" i="224" s="1"/>
  <c r="AG800" i="224"/>
  <c r="AC816" i="224"/>
  <c r="AE816" i="224" s="1"/>
  <c r="AG816" i="224"/>
  <c r="AC712" i="224"/>
  <c r="AE712" i="224" s="1"/>
  <c r="AG712" i="224"/>
  <c r="AC728" i="224"/>
  <c r="AE728" i="224" s="1"/>
  <c r="AG728" i="224"/>
  <c r="AC819" i="224"/>
  <c r="AE819" i="224" s="1"/>
  <c r="AG819" i="224"/>
  <c r="AC709" i="224"/>
  <c r="AE709" i="224" s="1"/>
  <c r="AG709" i="224"/>
  <c r="AC727" i="224"/>
  <c r="AE727" i="224" s="1"/>
  <c r="AG727" i="224"/>
  <c r="AC513" i="224"/>
  <c r="AE513" i="224" s="1"/>
  <c r="AG513" i="224"/>
  <c r="AC129" i="224"/>
  <c r="AE129" i="224" s="1"/>
  <c r="AG129" i="224"/>
  <c r="AC336" i="224"/>
  <c r="AE336" i="224" s="1"/>
  <c r="AG336" i="224"/>
  <c r="AC559" i="224"/>
  <c r="AE559" i="224" s="1"/>
  <c r="AG559" i="224"/>
  <c r="AC111" i="224"/>
  <c r="AE111" i="224" s="1"/>
  <c r="AG111" i="224"/>
  <c r="AC390" i="224"/>
  <c r="AE390" i="224" s="1"/>
  <c r="AG390" i="224"/>
  <c r="AC613" i="224"/>
  <c r="AE613" i="224" s="1"/>
  <c r="AG613" i="224"/>
  <c r="AC804" i="224"/>
  <c r="AE804" i="224" s="1"/>
  <c r="AG804" i="224"/>
  <c r="AC694" i="224"/>
  <c r="AE694" i="224" s="1"/>
  <c r="AG694" i="224"/>
  <c r="AC713" i="224"/>
  <c r="AE713" i="224" s="1"/>
  <c r="AG713" i="224"/>
  <c r="AC505" i="224"/>
  <c r="AE505" i="224" s="1"/>
  <c r="AG505" i="224"/>
  <c r="AC57" i="224"/>
  <c r="AE57" i="224" s="1"/>
  <c r="AG57" i="224"/>
  <c r="AC392" i="224"/>
  <c r="AE392" i="224" s="1"/>
  <c r="AG392" i="224"/>
  <c r="AC615" i="224"/>
  <c r="AE615" i="224" s="1"/>
  <c r="AG615" i="224"/>
  <c r="AC295" i="224"/>
  <c r="AE295" i="224" s="1"/>
  <c r="AG295" i="224"/>
  <c r="AC510" i="224"/>
  <c r="AE510" i="224" s="1"/>
  <c r="AG510" i="224"/>
  <c r="AC126" i="224"/>
  <c r="AE126" i="224" s="1"/>
  <c r="AG126" i="224"/>
  <c r="AC413" i="224"/>
  <c r="AE413" i="224" s="1"/>
  <c r="AG413" i="224"/>
  <c r="AC628" i="224"/>
  <c r="AE628" i="224" s="1"/>
  <c r="AG628" i="224"/>
  <c r="AC52" i="224"/>
  <c r="AE52" i="224" s="1"/>
  <c r="AG52" i="224"/>
  <c r="AC739" i="224"/>
  <c r="AE739" i="224" s="1"/>
  <c r="AG739" i="224"/>
  <c r="AC867" i="224"/>
  <c r="AE867" i="224" s="1"/>
  <c r="AG867" i="224"/>
  <c r="AC780" i="224"/>
  <c r="AE780" i="224" s="1"/>
  <c r="AG780" i="224"/>
  <c r="AC693" i="224"/>
  <c r="AE693" i="224" s="1"/>
  <c r="AG693" i="224"/>
  <c r="AC821" i="224"/>
  <c r="AE821" i="224" s="1"/>
  <c r="AG821" i="224"/>
  <c r="AC734" i="224"/>
  <c r="AE734" i="224" s="1"/>
  <c r="AG734" i="224"/>
  <c r="AC862" i="224"/>
  <c r="AE862" i="224" s="1"/>
  <c r="AG862" i="224"/>
  <c r="AC775" i="224"/>
  <c r="AE775" i="224" s="1"/>
  <c r="AG775" i="224"/>
  <c r="AC689" i="224"/>
  <c r="AE689" i="224" s="1"/>
  <c r="AG689" i="224"/>
  <c r="AC817" i="224"/>
  <c r="AE817" i="224" s="1"/>
  <c r="AG817" i="224"/>
  <c r="AC593" i="224"/>
  <c r="AE593" i="224" s="1"/>
  <c r="AG593" i="224"/>
  <c r="AC465" i="224"/>
  <c r="AE465" i="224" s="1"/>
  <c r="AG465" i="224"/>
  <c r="AC337" i="224"/>
  <c r="AE337" i="224" s="1"/>
  <c r="AG337" i="224"/>
  <c r="AC209" i="224"/>
  <c r="AE209" i="224" s="1"/>
  <c r="AG209" i="224"/>
  <c r="AC81" i="224"/>
  <c r="AE81" i="224" s="1"/>
  <c r="AG81" i="224"/>
  <c r="AC608" i="224"/>
  <c r="AE608" i="224" s="1"/>
  <c r="AG608" i="224"/>
  <c r="AC480" i="224"/>
  <c r="AE480" i="224" s="1"/>
  <c r="AG480" i="224"/>
  <c r="AC352" i="224"/>
  <c r="AE352" i="224" s="1"/>
  <c r="AG352" i="224"/>
  <c r="AC224" i="224"/>
  <c r="AE224" i="224" s="1"/>
  <c r="AG224" i="224"/>
  <c r="AC96" i="224"/>
  <c r="AE96" i="224" s="1"/>
  <c r="AG96" i="224"/>
  <c r="AC575" i="224"/>
  <c r="AE575" i="224" s="1"/>
  <c r="AG575" i="224"/>
  <c r="AC447" i="224"/>
  <c r="AE447" i="224" s="1"/>
  <c r="AG447" i="224"/>
  <c r="AC383" i="224"/>
  <c r="AE383" i="224" s="1"/>
  <c r="AG383" i="224"/>
  <c r="AC255" i="224"/>
  <c r="AE255" i="224" s="1"/>
  <c r="AG255" i="224"/>
  <c r="AC127" i="224"/>
  <c r="AE127" i="224" s="1"/>
  <c r="AG127" i="224"/>
  <c r="AC598" i="224"/>
  <c r="AE598" i="224" s="1"/>
  <c r="AG598" i="224"/>
  <c r="AC470" i="224"/>
  <c r="AE470" i="224" s="1"/>
  <c r="AG470" i="224"/>
  <c r="AC342" i="224"/>
  <c r="AE342" i="224" s="1"/>
  <c r="AG342" i="224"/>
  <c r="AC214" i="224"/>
  <c r="AE214" i="224" s="1"/>
  <c r="AG214" i="224"/>
  <c r="AC86" i="224"/>
  <c r="AE86" i="224" s="1"/>
  <c r="AG86" i="224"/>
  <c r="AC629" i="224"/>
  <c r="AE629" i="224" s="1"/>
  <c r="AG629" i="224"/>
  <c r="AC501" i="224"/>
  <c r="AE501" i="224" s="1"/>
  <c r="AG501" i="224"/>
  <c r="AC373" i="224"/>
  <c r="AE373" i="224" s="1"/>
  <c r="AG373" i="224"/>
  <c r="AC245" i="224"/>
  <c r="AE245" i="224" s="1"/>
  <c r="AG245" i="224"/>
  <c r="AC117" i="224"/>
  <c r="AE117" i="224" s="1"/>
  <c r="AG117" i="224"/>
  <c r="AC652" i="224"/>
  <c r="AE652" i="224" s="1"/>
  <c r="AG652" i="224"/>
  <c r="AC524" i="224"/>
  <c r="AE524" i="224" s="1"/>
  <c r="AG524" i="224"/>
  <c r="AC396" i="224"/>
  <c r="AE396" i="224" s="1"/>
  <c r="AG396" i="224"/>
  <c r="AC268" i="224"/>
  <c r="AE268" i="224" s="1"/>
  <c r="AG268" i="224"/>
  <c r="AC140" i="224"/>
  <c r="AE140" i="224" s="1"/>
  <c r="AG140" i="224"/>
  <c r="AC12" i="224"/>
  <c r="AE12" i="224" s="1"/>
  <c r="AG12" i="224"/>
  <c r="AC563" i="224"/>
  <c r="AE563" i="224" s="1"/>
  <c r="AG563" i="224"/>
  <c r="AC435" i="224"/>
  <c r="AE435" i="224" s="1"/>
  <c r="AG435" i="224"/>
  <c r="AC307" i="224"/>
  <c r="AE307" i="224" s="1"/>
  <c r="AG307" i="224"/>
  <c r="AC179" i="224"/>
  <c r="AE179" i="224" s="1"/>
  <c r="AG179" i="224"/>
  <c r="AC650" i="224"/>
  <c r="AE650" i="224" s="1"/>
  <c r="AG650" i="224"/>
  <c r="AC522" i="224"/>
  <c r="AE522" i="224" s="1"/>
  <c r="AG522" i="224"/>
  <c r="AC394" i="224"/>
  <c r="AE394" i="224" s="1"/>
  <c r="AG394" i="224"/>
  <c r="AC266" i="224"/>
  <c r="AE266" i="224" s="1"/>
  <c r="AG266" i="224"/>
  <c r="AC138" i="224"/>
  <c r="AE138" i="224" s="1"/>
  <c r="AG138" i="224"/>
  <c r="AC10" i="224"/>
  <c r="AE10" i="224" s="1"/>
  <c r="AG10" i="224"/>
  <c r="AC794" i="224"/>
  <c r="AE794" i="224" s="1"/>
  <c r="AG794" i="224"/>
  <c r="AC864" i="224"/>
  <c r="AE864" i="224" s="1"/>
  <c r="AG864" i="224"/>
  <c r="AC776" i="224"/>
  <c r="AE776" i="224" s="1"/>
  <c r="AG776" i="224"/>
  <c r="AC860" i="224"/>
  <c r="AE860" i="224" s="1"/>
  <c r="AG860" i="224"/>
  <c r="AC814" i="224"/>
  <c r="AE814" i="224" s="1"/>
  <c r="AG814" i="224"/>
  <c r="AC769" i="224"/>
  <c r="AE769" i="224" s="1"/>
  <c r="AG769" i="224"/>
  <c r="AC321" i="224"/>
  <c r="AE321" i="224" s="1"/>
  <c r="AG321" i="224"/>
  <c r="AC592" i="224"/>
  <c r="AE592" i="224" s="1"/>
  <c r="AG592" i="224"/>
  <c r="AC144" i="224"/>
  <c r="AE144" i="224" s="1"/>
  <c r="AG144" i="224"/>
  <c r="AC367" i="224"/>
  <c r="AE367" i="224" s="1"/>
  <c r="AG367" i="224"/>
  <c r="AC646" i="224"/>
  <c r="AE646" i="224" s="1"/>
  <c r="AG646" i="224"/>
  <c r="AC134" i="224"/>
  <c r="AE134" i="224" s="1"/>
  <c r="AG134" i="224"/>
  <c r="AC699" i="224"/>
  <c r="AE699" i="224" s="1"/>
  <c r="AG699" i="224"/>
  <c r="AC868" i="224"/>
  <c r="AE868" i="224" s="1"/>
  <c r="AG868" i="224"/>
  <c r="AC822" i="224"/>
  <c r="AE822" i="224" s="1"/>
  <c r="AG822" i="224"/>
  <c r="AC841" i="224"/>
  <c r="AE841" i="224" s="1"/>
  <c r="AG841" i="224"/>
  <c r="AC377" i="224"/>
  <c r="AE377" i="224" s="1"/>
  <c r="AG377" i="224"/>
  <c r="AC648" i="224"/>
  <c r="AE648" i="224" s="1"/>
  <c r="AG648" i="224"/>
  <c r="AC264" i="224"/>
  <c r="AE264" i="224" s="1"/>
  <c r="AG264" i="224"/>
  <c r="AC551" i="224"/>
  <c r="AE551" i="224" s="1"/>
  <c r="AG551" i="224"/>
  <c r="AC103" i="224"/>
  <c r="AE103" i="224" s="1"/>
  <c r="AG103" i="224"/>
  <c r="AC446" i="224"/>
  <c r="AE446" i="224" s="1"/>
  <c r="AG446" i="224"/>
  <c r="AC62" i="224"/>
  <c r="AE62" i="224" s="1"/>
  <c r="AG62" i="224"/>
  <c r="AC349" i="224"/>
  <c r="AE349" i="224" s="1"/>
  <c r="AG349" i="224"/>
  <c r="AC29" i="224"/>
  <c r="AE29" i="224" s="1"/>
  <c r="AG29" i="224"/>
  <c r="AC308" i="224"/>
  <c r="AE308" i="224" s="1"/>
  <c r="AG308" i="224"/>
  <c r="AC674" i="224"/>
  <c r="AE674" i="224" s="1"/>
  <c r="AG674" i="224"/>
  <c r="AC803" i="224"/>
  <c r="AE803" i="224" s="1"/>
  <c r="AG803" i="224"/>
  <c r="AC716" i="224"/>
  <c r="AE716" i="224" s="1"/>
  <c r="AG716" i="224"/>
  <c r="AC844" i="224"/>
  <c r="AE844" i="224" s="1"/>
  <c r="AG844" i="224"/>
  <c r="AC757" i="224"/>
  <c r="AE757" i="224" s="1"/>
  <c r="AG757" i="224"/>
  <c r="AC666" i="224"/>
  <c r="AE666" i="224" s="1"/>
  <c r="AG666" i="224"/>
  <c r="AC798" i="224"/>
  <c r="AE798" i="224" s="1"/>
  <c r="AG798" i="224"/>
  <c r="AC711" i="224"/>
  <c r="AE711" i="224" s="1"/>
  <c r="AG711" i="224"/>
  <c r="AC839" i="224"/>
  <c r="AE839" i="224" s="1"/>
  <c r="AG839" i="224"/>
  <c r="AC753" i="224"/>
  <c r="AE753" i="224" s="1"/>
  <c r="AG753" i="224"/>
  <c r="AC881" i="224"/>
  <c r="AE881" i="224" s="1"/>
  <c r="AG881" i="224"/>
  <c r="AC529" i="224"/>
  <c r="AE529" i="224" s="1"/>
  <c r="AG529" i="224"/>
  <c r="AC401" i="224"/>
  <c r="AE401" i="224" s="1"/>
  <c r="AG401" i="224"/>
  <c r="AC273" i="224"/>
  <c r="AE273" i="224" s="1"/>
  <c r="AG273" i="224"/>
  <c r="AC145" i="224"/>
  <c r="AE145" i="224" s="1"/>
  <c r="AG145" i="224"/>
  <c r="AC17" i="224"/>
  <c r="AE17" i="224" s="1"/>
  <c r="AG17" i="224"/>
  <c r="AC544" i="224"/>
  <c r="AE544" i="224" s="1"/>
  <c r="AG544" i="224"/>
  <c r="AC416" i="224"/>
  <c r="AE416" i="224" s="1"/>
  <c r="AG416" i="224"/>
  <c r="AC288" i="224"/>
  <c r="AE288" i="224" s="1"/>
  <c r="AG288" i="224"/>
  <c r="AC160" i="224"/>
  <c r="AE160" i="224" s="1"/>
  <c r="AG160" i="224"/>
  <c r="AC32" i="224"/>
  <c r="AE32" i="224" s="1"/>
  <c r="AG32" i="224"/>
  <c r="AC639" i="224"/>
  <c r="AE639" i="224" s="1"/>
  <c r="AG639" i="224"/>
  <c r="AC511" i="224"/>
  <c r="AE511" i="224" s="1"/>
  <c r="AG511" i="224"/>
  <c r="AC319" i="224"/>
  <c r="AE319" i="224" s="1"/>
  <c r="AG319" i="224"/>
  <c r="AC191" i="224"/>
  <c r="AE191" i="224" s="1"/>
  <c r="AG191" i="224"/>
  <c r="AC63" i="224"/>
  <c r="AE63" i="224" s="1"/>
  <c r="AG63" i="224"/>
  <c r="AC662" i="224"/>
  <c r="AE662" i="224" s="1"/>
  <c r="AG662" i="224"/>
  <c r="AC534" i="224"/>
  <c r="AE534" i="224" s="1"/>
  <c r="AG534" i="224"/>
  <c r="AC406" i="224"/>
  <c r="AE406" i="224" s="1"/>
  <c r="AG406" i="224"/>
  <c r="AC278" i="224"/>
  <c r="AE278" i="224" s="1"/>
  <c r="AG278" i="224"/>
  <c r="AC150" i="224"/>
  <c r="AE150" i="224" s="1"/>
  <c r="AG150" i="224"/>
  <c r="AC22" i="224"/>
  <c r="AE22" i="224" s="1"/>
  <c r="AG22" i="224"/>
  <c r="AC565" i="224"/>
  <c r="AE565" i="224" s="1"/>
  <c r="AG565" i="224"/>
  <c r="AC437" i="224"/>
  <c r="AE437" i="224" s="1"/>
  <c r="AG437" i="224"/>
  <c r="AC309" i="224"/>
  <c r="AE309" i="224" s="1"/>
  <c r="AG309" i="224"/>
  <c r="AC181" i="224"/>
  <c r="AE181" i="224" s="1"/>
  <c r="AG181" i="224"/>
  <c r="AC53" i="224"/>
  <c r="AE53" i="224" s="1"/>
  <c r="AG53" i="224"/>
  <c r="AC588" i="224"/>
  <c r="AE588" i="224" s="1"/>
  <c r="AG588" i="224"/>
  <c r="AC460" i="224"/>
  <c r="AE460" i="224" s="1"/>
  <c r="AG460" i="224"/>
  <c r="AC332" i="224"/>
  <c r="AE332" i="224" s="1"/>
  <c r="AG332" i="224"/>
  <c r="AC204" i="224"/>
  <c r="AE204" i="224" s="1"/>
  <c r="AG204" i="224"/>
  <c r="AC76" i="224"/>
  <c r="AE76" i="224" s="1"/>
  <c r="AG76" i="224"/>
  <c r="AC627" i="224"/>
  <c r="AE627" i="224" s="1"/>
  <c r="AG627" i="224"/>
  <c r="AC499" i="224"/>
  <c r="AE499" i="224" s="1"/>
  <c r="AG499" i="224"/>
  <c r="AC371" i="224"/>
  <c r="AE371" i="224" s="1"/>
  <c r="AG371" i="224"/>
  <c r="AC243" i="224"/>
  <c r="AE243" i="224" s="1"/>
  <c r="AG243" i="224"/>
  <c r="AC115" i="224"/>
  <c r="AE115" i="224" s="1"/>
  <c r="AG115" i="224"/>
  <c r="AC51" i="224"/>
  <c r="AE51" i="224" s="1"/>
  <c r="AG51" i="224"/>
  <c r="AC586" i="224"/>
  <c r="AE586" i="224" s="1"/>
  <c r="AG586" i="224"/>
  <c r="AC458" i="224"/>
  <c r="AE458" i="224" s="1"/>
  <c r="AG458" i="224"/>
  <c r="AC330" i="224"/>
  <c r="AE330" i="224" s="1"/>
  <c r="AG330" i="224"/>
  <c r="AC202" i="224"/>
  <c r="AE202" i="224" s="1"/>
  <c r="AG202" i="224"/>
  <c r="AC74" i="224"/>
  <c r="AE74" i="224" s="1"/>
  <c r="AG74" i="224"/>
  <c r="AC730" i="224"/>
  <c r="AE730" i="224" s="1"/>
  <c r="AG730" i="224"/>
  <c r="AC858" i="224"/>
  <c r="AE858" i="224" s="1"/>
  <c r="AG858" i="224"/>
  <c r="AC880" i="224"/>
  <c r="AE880" i="224" s="1"/>
  <c r="AG880" i="224"/>
  <c r="AC673" i="224"/>
  <c r="AE673" i="224" s="1"/>
  <c r="AG673" i="224"/>
  <c r="AC683" i="224"/>
  <c r="AE683" i="224" s="1"/>
  <c r="AG683" i="224"/>
  <c r="AC747" i="224"/>
  <c r="AE747" i="224" s="1"/>
  <c r="AG747" i="224"/>
  <c r="AC811" i="224"/>
  <c r="AE811" i="224" s="1"/>
  <c r="AG811" i="224"/>
  <c r="AC875" i="224"/>
  <c r="AE875" i="224" s="1"/>
  <c r="AG875" i="224"/>
  <c r="AC724" i="224"/>
  <c r="AE724" i="224" s="1"/>
  <c r="AG724" i="224"/>
  <c r="AC788" i="224"/>
  <c r="AE788" i="224" s="1"/>
  <c r="AG788" i="224"/>
  <c r="AC852" i="224"/>
  <c r="AE852" i="224" s="1"/>
  <c r="AG852" i="224"/>
  <c r="AC701" i="224"/>
  <c r="AE701" i="224" s="1"/>
  <c r="AG701" i="224"/>
  <c r="AC765" i="224"/>
  <c r="AE765" i="224" s="1"/>
  <c r="AG765" i="224"/>
  <c r="AC829" i="224"/>
  <c r="AE829" i="224" s="1"/>
  <c r="AG829" i="224"/>
  <c r="AC678" i="224"/>
  <c r="AE678" i="224" s="1"/>
  <c r="AG678" i="224"/>
  <c r="AC742" i="224"/>
  <c r="AE742" i="224" s="1"/>
  <c r="AG742" i="224"/>
  <c r="AC806" i="224"/>
  <c r="AE806" i="224" s="1"/>
  <c r="AG806" i="224"/>
  <c r="AC870" i="224"/>
  <c r="AE870" i="224" s="1"/>
  <c r="AG870" i="224"/>
  <c r="AC719" i="224"/>
  <c r="AE719" i="224" s="1"/>
  <c r="AG719" i="224"/>
  <c r="AC783" i="224"/>
  <c r="AE783" i="224" s="1"/>
  <c r="AG783" i="224"/>
  <c r="AC847" i="224"/>
  <c r="AE847" i="224" s="1"/>
  <c r="AG847" i="224"/>
  <c r="AC697" i="224"/>
  <c r="AE697" i="224" s="1"/>
  <c r="AG697" i="224"/>
  <c r="AC761" i="224"/>
  <c r="AE761" i="224" s="1"/>
  <c r="AG761" i="224"/>
  <c r="AC825" i="224"/>
  <c r="AE825" i="224" s="1"/>
  <c r="AG825" i="224"/>
  <c r="AC649" i="224"/>
  <c r="AE649" i="224" s="1"/>
  <c r="AG649" i="224"/>
  <c r="AC585" i="224"/>
  <c r="AE585" i="224" s="1"/>
  <c r="AG585" i="224"/>
  <c r="AC521" i="224"/>
  <c r="AE521" i="224" s="1"/>
  <c r="AG521" i="224"/>
  <c r="AC457" i="224"/>
  <c r="AE457" i="224" s="1"/>
  <c r="AG457" i="224"/>
  <c r="AC393" i="224"/>
  <c r="AE393" i="224" s="1"/>
  <c r="AG393" i="224"/>
  <c r="AC329" i="224"/>
  <c r="AE329" i="224" s="1"/>
  <c r="AG329" i="224"/>
  <c r="AC265" i="224"/>
  <c r="AE265" i="224" s="1"/>
  <c r="AG265" i="224"/>
  <c r="AC201" i="224"/>
  <c r="AE201" i="224" s="1"/>
  <c r="AG201" i="224"/>
  <c r="AC137" i="224"/>
  <c r="AE137" i="224" s="1"/>
  <c r="AG137" i="224"/>
  <c r="AC73" i="224"/>
  <c r="AE73" i="224" s="1"/>
  <c r="AG73" i="224"/>
  <c r="AC9" i="224"/>
  <c r="AE9" i="224" s="1"/>
  <c r="AG9" i="224"/>
  <c r="AC600" i="224"/>
  <c r="AE600" i="224" s="1"/>
  <c r="AG600" i="224"/>
  <c r="AC536" i="224"/>
  <c r="AE536" i="224" s="1"/>
  <c r="AG536" i="224"/>
  <c r="AC472" i="224"/>
  <c r="AE472" i="224" s="1"/>
  <c r="AG472" i="224"/>
  <c r="AC408" i="224"/>
  <c r="AE408" i="224" s="1"/>
  <c r="AG408" i="224"/>
  <c r="AC344" i="224"/>
  <c r="AE344" i="224" s="1"/>
  <c r="AG344" i="224"/>
  <c r="AC280" i="224"/>
  <c r="AE280" i="224" s="1"/>
  <c r="AG280" i="224"/>
  <c r="AC216" i="224"/>
  <c r="AE216" i="224" s="1"/>
  <c r="AG216" i="224"/>
  <c r="AC152" i="224"/>
  <c r="AE152" i="224" s="1"/>
  <c r="AG152" i="224"/>
  <c r="AC88" i="224"/>
  <c r="AE88" i="224" s="1"/>
  <c r="AG88" i="224"/>
  <c r="AC24" i="224"/>
  <c r="AE24" i="224" s="1"/>
  <c r="AG24" i="224"/>
  <c r="AC631" i="224"/>
  <c r="AE631" i="224" s="1"/>
  <c r="AG631" i="224"/>
  <c r="AC567" i="224"/>
  <c r="AE567" i="224" s="1"/>
  <c r="AG567" i="224"/>
  <c r="AC503" i="224"/>
  <c r="AE503" i="224" s="1"/>
  <c r="AG503" i="224"/>
  <c r="AC439" i="224"/>
  <c r="AE439" i="224" s="1"/>
  <c r="AG439" i="224"/>
  <c r="AC375" i="224"/>
  <c r="AE375" i="224" s="1"/>
  <c r="AG375" i="224"/>
  <c r="AC311" i="224"/>
  <c r="AE311" i="224" s="1"/>
  <c r="AG311" i="224"/>
  <c r="AC247" i="224"/>
  <c r="AE247" i="224" s="1"/>
  <c r="AG247" i="224"/>
  <c r="AC183" i="224"/>
  <c r="AE183" i="224" s="1"/>
  <c r="AG183" i="224"/>
  <c r="AC119" i="224"/>
  <c r="AE119" i="224" s="1"/>
  <c r="AG119" i="224"/>
  <c r="AC55" i="224"/>
  <c r="AE55" i="224" s="1"/>
  <c r="AG55" i="224"/>
  <c r="AC654" i="224"/>
  <c r="AE654" i="224" s="1"/>
  <c r="AG654" i="224"/>
  <c r="AC590" i="224"/>
  <c r="AE590" i="224" s="1"/>
  <c r="AG590" i="224"/>
  <c r="AC526" i="224"/>
  <c r="AE526" i="224" s="1"/>
  <c r="AG526" i="224"/>
  <c r="AC462" i="224"/>
  <c r="AE462" i="224" s="1"/>
  <c r="AG462" i="224"/>
  <c r="AC398" i="224"/>
  <c r="AE398" i="224" s="1"/>
  <c r="AG398" i="224"/>
  <c r="AC334" i="224"/>
  <c r="AE334" i="224" s="1"/>
  <c r="AG334" i="224"/>
  <c r="AC270" i="224"/>
  <c r="AE270" i="224" s="1"/>
  <c r="AG270" i="224"/>
  <c r="AC206" i="224"/>
  <c r="AE206" i="224" s="1"/>
  <c r="AG206" i="224"/>
  <c r="AC142" i="224"/>
  <c r="AE142" i="224" s="1"/>
  <c r="AG142" i="224"/>
  <c r="AC78" i="224"/>
  <c r="AE78" i="224" s="1"/>
  <c r="AG78" i="224"/>
  <c r="AC14" i="224"/>
  <c r="AE14" i="224" s="1"/>
  <c r="AG14" i="224"/>
  <c r="AC621" i="224"/>
  <c r="AE621" i="224" s="1"/>
  <c r="AG621" i="224"/>
  <c r="AC557" i="224"/>
  <c r="AE557" i="224" s="1"/>
  <c r="AG557" i="224"/>
  <c r="AC493" i="224"/>
  <c r="AE493" i="224" s="1"/>
  <c r="AG493" i="224"/>
  <c r="AC429" i="224"/>
  <c r="AE429" i="224" s="1"/>
  <c r="AG429" i="224"/>
  <c r="AC365" i="224"/>
  <c r="AE365" i="224" s="1"/>
  <c r="AG365" i="224"/>
  <c r="AC301" i="224"/>
  <c r="AE301" i="224" s="1"/>
  <c r="AG301" i="224"/>
  <c r="AC237" i="224"/>
  <c r="AE237" i="224" s="1"/>
  <c r="AG237" i="224"/>
  <c r="AC173" i="224"/>
  <c r="AE173" i="224" s="1"/>
  <c r="AG173" i="224"/>
  <c r="AC109" i="224"/>
  <c r="AE109" i="224" s="1"/>
  <c r="AG109" i="224"/>
  <c r="AC45" i="224"/>
  <c r="AE45" i="224" s="1"/>
  <c r="AG45" i="224"/>
  <c r="AC644" i="224"/>
  <c r="AE644" i="224" s="1"/>
  <c r="AG644" i="224"/>
  <c r="AC580" i="224"/>
  <c r="AE580" i="224" s="1"/>
  <c r="AG580" i="224"/>
  <c r="AC516" i="224"/>
  <c r="AE516" i="224" s="1"/>
  <c r="AG516" i="224"/>
  <c r="AC452" i="224"/>
  <c r="AE452" i="224" s="1"/>
  <c r="AG452" i="224"/>
  <c r="AC388" i="224"/>
  <c r="AE388" i="224" s="1"/>
  <c r="AG388" i="224"/>
  <c r="AC324" i="224"/>
  <c r="AE324" i="224" s="1"/>
  <c r="AG324" i="224"/>
  <c r="AC260" i="224"/>
  <c r="AE260" i="224" s="1"/>
  <c r="AG260" i="224"/>
  <c r="AC196" i="224"/>
  <c r="AE196" i="224" s="1"/>
  <c r="AG196" i="224"/>
  <c r="AC132" i="224"/>
  <c r="AE132" i="224" s="1"/>
  <c r="AG132" i="224"/>
  <c r="AC68" i="224"/>
  <c r="AE68" i="224" s="1"/>
  <c r="AG68" i="224"/>
  <c r="AC4" i="224"/>
  <c r="AE4" i="224" s="1"/>
  <c r="AG4" i="224"/>
  <c r="AC619" i="224"/>
  <c r="AE619" i="224" s="1"/>
  <c r="AG619" i="224"/>
  <c r="AC555" i="224"/>
  <c r="AE555" i="224" s="1"/>
  <c r="AG555" i="224"/>
  <c r="AC491" i="224"/>
  <c r="AE491" i="224" s="1"/>
  <c r="AG491" i="224"/>
  <c r="AC427" i="224"/>
  <c r="AE427" i="224" s="1"/>
  <c r="AG427" i="224"/>
  <c r="AC363" i="224"/>
  <c r="AE363" i="224" s="1"/>
  <c r="AG363" i="224"/>
  <c r="AC299" i="224"/>
  <c r="AE299" i="224" s="1"/>
  <c r="AG299" i="224"/>
  <c r="AC235" i="224"/>
  <c r="AE235" i="224" s="1"/>
  <c r="AG235" i="224"/>
  <c r="AC171" i="224"/>
  <c r="AE171" i="224" s="1"/>
  <c r="AG171" i="224"/>
  <c r="AC107" i="224"/>
  <c r="AE107" i="224" s="1"/>
  <c r="AG107" i="224"/>
  <c r="AC43" i="224"/>
  <c r="AE43" i="224" s="1"/>
  <c r="AG43" i="224"/>
  <c r="AC642" i="224"/>
  <c r="AE642" i="224" s="1"/>
  <c r="AG642" i="224"/>
  <c r="AC578" i="224"/>
  <c r="AE578" i="224" s="1"/>
  <c r="AG578" i="224"/>
  <c r="AC514" i="224"/>
  <c r="AE514" i="224" s="1"/>
  <c r="AG514" i="224"/>
  <c r="AC450" i="224"/>
  <c r="AE450" i="224" s="1"/>
  <c r="AG450" i="224"/>
  <c r="AC386" i="224"/>
  <c r="AE386" i="224" s="1"/>
  <c r="AG386" i="224"/>
  <c r="AC322" i="224"/>
  <c r="AE322" i="224" s="1"/>
  <c r="AG322" i="224"/>
  <c r="AC258" i="224"/>
  <c r="AE258" i="224" s="1"/>
  <c r="AG258" i="224"/>
  <c r="AC194" i="224"/>
  <c r="AE194" i="224" s="1"/>
  <c r="AG194" i="224"/>
  <c r="AC130" i="224"/>
  <c r="AE130" i="224" s="1"/>
  <c r="AG130" i="224"/>
  <c r="AC66" i="224"/>
  <c r="AE66" i="224" s="1"/>
  <c r="AG66" i="224"/>
  <c r="AC2" i="224"/>
  <c r="AG2" i="224"/>
  <c r="AC738" i="224"/>
  <c r="AE738" i="224" s="1"/>
  <c r="AG738" i="224"/>
  <c r="AC802" i="224"/>
  <c r="AE802" i="224" s="1"/>
  <c r="AG802" i="224"/>
  <c r="AC866" i="224"/>
  <c r="AE866" i="224" s="1"/>
  <c r="AG866" i="224"/>
  <c r="AC680" i="224"/>
  <c r="AE680" i="224" s="1"/>
  <c r="AG680" i="224"/>
  <c r="AC696" i="224"/>
  <c r="AE696" i="224" s="1"/>
  <c r="AG696" i="224"/>
  <c r="AC840" i="224"/>
  <c r="AE840" i="224" s="1"/>
  <c r="AG840" i="224"/>
  <c r="AC837" i="224"/>
  <c r="AE837" i="224" s="1"/>
  <c r="AG837" i="224"/>
  <c r="AC855" i="224"/>
  <c r="AE855" i="224" s="1"/>
  <c r="AG855" i="224"/>
  <c r="AC449" i="224"/>
  <c r="AE449" i="224" s="1"/>
  <c r="AG449" i="224"/>
  <c r="AC400" i="224"/>
  <c r="AE400" i="224" s="1"/>
  <c r="AG400" i="224"/>
  <c r="AC495" i="224"/>
  <c r="AE495" i="224" s="1"/>
  <c r="AG495" i="224"/>
  <c r="AC47" i="224"/>
  <c r="AE47" i="224" s="1"/>
  <c r="AG47" i="224"/>
  <c r="AC262" i="224"/>
  <c r="AE262" i="224" s="1"/>
  <c r="AG262" i="224"/>
  <c r="AC485" i="224"/>
  <c r="AE485" i="224" s="1"/>
  <c r="AG485" i="224"/>
  <c r="AC421" i="224"/>
  <c r="AE421" i="224" s="1"/>
  <c r="AG421" i="224"/>
  <c r="AC357" i="224"/>
  <c r="AE357" i="224" s="1"/>
  <c r="AG357" i="224"/>
  <c r="AC293" i="224"/>
  <c r="AE293" i="224" s="1"/>
  <c r="AG293" i="224"/>
  <c r="AC229" i="224"/>
  <c r="AE229" i="224" s="1"/>
  <c r="AG229" i="224"/>
  <c r="AC165" i="224"/>
  <c r="AE165" i="224" s="1"/>
  <c r="AG165" i="224"/>
  <c r="AC101" i="224"/>
  <c r="AE101" i="224" s="1"/>
  <c r="AG101" i="224"/>
  <c r="AC37" i="224"/>
  <c r="AE37" i="224" s="1"/>
  <c r="AG37" i="224"/>
  <c r="AC636" i="224"/>
  <c r="AE636" i="224" s="1"/>
  <c r="AG636" i="224"/>
  <c r="AC572" i="224"/>
  <c r="AE572" i="224" s="1"/>
  <c r="AG572" i="224"/>
  <c r="AC508" i="224"/>
  <c r="AE508" i="224" s="1"/>
  <c r="AG508" i="224"/>
  <c r="AC444" i="224"/>
  <c r="AE444" i="224" s="1"/>
  <c r="AG444" i="224"/>
  <c r="AC380" i="224"/>
  <c r="AE380" i="224" s="1"/>
  <c r="AG380" i="224"/>
  <c r="AC316" i="224"/>
  <c r="AE316" i="224" s="1"/>
  <c r="AG316" i="224"/>
  <c r="AC252" i="224"/>
  <c r="AE252" i="224" s="1"/>
  <c r="AG252" i="224"/>
  <c r="AC188" i="224"/>
  <c r="AE188" i="224" s="1"/>
  <c r="AG188" i="224"/>
  <c r="AC124" i="224"/>
  <c r="AE124" i="224" s="1"/>
  <c r="AG124" i="224"/>
  <c r="AC60" i="224"/>
  <c r="AE60" i="224" s="1"/>
  <c r="AG60" i="224"/>
  <c r="AC675" i="224"/>
  <c r="AE675" i="224" s="1"/>
  <c r="AG675" i="224"/>
  <c r="AC611" i="224"/>
  <c r="AE611" i="224" s="1"/>
  <c r="AG611" i="224"/>
  <c r="AC547" i="224"/>
  <c r="AE547" i="224" s="1"/>
  <c r="AG547" i="224"/>
  <c r="AC483" i="224"/>
  <c r="AE483" i="224" s="1"/>
  <c r="AG483" i="224"/>
  <c r="AC419" i="224"/>
  <c r="AE419" i="224" s="1"/>
  <c r="AG419" i="224"/>
  <c r="AC355" i="224"/>
  <c r="AE355" i="224" s="1"/>
  <c r="AG355" i="224"/>
  <c r="AC291" i="224"/>
  <c r="AE291" i="224" s="1"/>
  <c r="AG291" i="224"/>
  <c r="AC227" i="224"/>
  <c r="AE227" i="224" s="1"/>
  <c r="AG227" i="224"/>
  <c r="AC163" i="224"/>
  <c r="AE163" i="224" s="1"/>
  <c r="AG163" i="224"/>
  <c r="AC99" i="224"/>
  <c r="AE99" i="224" s="1"/>
  <c r="AG99" i="224"/>
  <c r="AC35" i="224"/>
  <c r="AE35" i="224" s="1"/>
  <c r="AG35" i="224"/>
  <c r="AC634" i="224"/>
  <c r="AE634" i="224" s="1"/>
  <c r="AG634" i="224"/>
  <c r="AC570" i="224"/>
  <c r="AE570" i="224" s="1"/>
  <c r="AG570" i="224"/>
  <c r="AC506" i="224"/>
  <c r="AE506" i="224" s="1"/>
  <c r="AG506" i="224"/>
  <c r="AC442" i="224"/>
  <c r="AE442" i="224" s="1"/>
  <c r="AG442" i="224"/>
  <c r="AC378" i="224"/>
  <c r="AE378" i="224" s="1"/>
  <c r="AG378" i="224"/>
  <c r="AC314" i="224"/>
  <c r="AE314" i="224" s="1"/>
  <c r="AG314" i="224"/>
  <c r="AC250" i="224"/>
  <c r="AE250" i="224" s="1"/>
  <c r="AG250" i="224"/>
  <c r="AC186" i="224"/>
  <c r="AE186" i="224" s="1"/>
  <c r="AG186" i="224"/>
  <c r="AC122" i="224"/>
  <c r="AE122" i="224" s="1"/>
  <c r="AG122" i="224"/>
  <c r="AC58" i="224"/>
  <c r="AE58" i="224" s="1"/>
  <c r="AG58" i="224"/>
  <c r="AC682" i="224"/>
  <c r="AE682" i="224" s="1"/>
  <c r="AG682" i="224"/>
  <c r="AC746" i="224"/>
  <c r="AE746" i="224" s="1"/>
  <c r="AG746" i="224"/>
  <c r="AC810" i="224"/>
  <c r="AE810" i="224" s="1"/>
  <c r="AG810" i="224"/>
  <c r="AC874" i="224"/>
  <c r="AE874" i="224" s="1"/>
  <c r="AG874" i="224"/>
  <c r="AC744" i="224"/>
  <c r="AE744" i="224" s="1"/>
  <c r="AG744" i="224"/>
  <c r="AC760" i="224"/>
  <c r="AE760" i="224" s="1"/>
  <c r="AG760" i="224"/>
  <c r="AC720" i="224"/>
  <c r="AE720" i="224" s="1"/>
  <c r="AG720" i="224"/>
  <c r="AC755" i="224"/>
  <c r="AE755" i="224" s="1"/>
  <c r="AG755" i="224"/>
  <c r="AC773" i="224"/>
  <c r="AE773" i="224" s="1"/>
  <c r="AG773" i="224"/>
  <c r="AC791" i="224"/>
  <c r="AE791" i="224" s="1"/>
  <c r="AG791" i="224"/>
  <c r="AC577" i="224"/>
  <c r="AE577" i="224" s="1"/>
  <c r="AG577" i="224"/>
  <c r="AC65" i="224"/>
  <c r="AE65" i="224" s="1"/>
  <c r="AG65" i="224"/>
  <c r="AC272" i="224"/>
  <c r="AE272" i="224" s="1"/>
  <c r="AG272" i="224"/>
  <c r="AC623" i="224"/>
  <c r="AE623" i="224" s="1"/>
  <c r="AG623" i="224"/>
  <c r="AC175" i="224"/>
  <c r="AE175" i="224" s="1"/>
  <c r="AG175" i="224"/>
  <c r="AC326" i="224"/>
  <c r="AE326" i="224" s="1"/>
  <c r="AG326" i="224"/>
  <c r="AC549" i="224"/>
  <c r="AE549" i="224" s="1"/>
  <c r="AG549" i="224"/>
  <c r="AC740" i="224"/>
  <c r="AE740" i="224" s="1"/>
  <c r="AG740" i="224"/>
  <c r="AC758" i="224"/>
  <c r="AE758" i="224" s="1"/>
  <c r="AG758" i="224"/>
  <c r="AC863" i="224"/>
  <c r="AE863" i="224" s="1"/>
  <c r="AG863" i="224"/>
  <c r="AC441" i="224"/>
  <c r="AE441" i="224" s="1"/>
  <c r="AG441" i="224"/>
  <c r="AC121" i="224"/>
  <c r="AE121" i="224" s="1"/>
  <c r="AG121" i="224"/>
  <c r="AC328" i="224"/>
  <c r="AE328" i="224" s="1"/>
  <c r="AG328" i="224"/>
  <c r="AC8" i="224"/>
  <c r="AE8" i="224" s="1"/>
  <c r="AG8" i="224"/>
  <c r="AC231" i="224"/>
  <c r="AE231" i="224" s="1"/>
  <c r="AG231" i="224"/>
  <c r="AC574" i="224"/>
  <c r="AE574" i="224" s="1"/>
  <c r="AG574" i="224"/>
  <c r="AC190" i="224"/>
  <c r="AE190" i="224" s="1"/>
  <c r="AG190" i="224"/>
  <c r="AC477" i="224"/>
  <c r="AE477" i="224" s="1"/>
  <c r="AG477" i="224"/>
  <c r="AC93" i="224"/>
  <c r="AE93" i="224" s="1"/>
  <c r="AG93" i="224"/>
  <c r="AC372" i="224"/>
  <c r="AE372" i="224" s="1"/>
  <c r="AG372" i="224"/>
  <c r="AC667" i="224"/>
  <c r="AE667" i="224" s="1"/>
  <c r="AG667" i="224"/>
  <c r="AC411" i="224"/>
  <c r="AE411" i="224" s="1"/>
  <c r="AG411" i="224"/>
  <c r="AC155" i="224"/>
  <c r="AE155" i="224" s="1"/>
  <c r="AG155" i="224"/>
  <c r="AC562" i="224"/>
  <c r="AE562" i="224" s="1"/>
  <c r="AG562" i="224"/>
  <c r="AC306" i="224"/>
  <c r="AE306" i="224" s="1"/>
  <c r="AG306" i="224"/>
  <c r="AC50" i="224"/>
  <c r="AE50" i="224" s="1"/>
  <c r="AG50" i="224"/>
  <c r="AC882" i="224"/>
  <c r="AE882" i="224" s="1"/>
  <c r="AG882" i="224"/>
  <c r="AE2" i="224" l="1"/>
  <c r="F2" i="3"/>
</calcChain>
</file>

<file path=xl/sharedStrings.xml><?xml version="1.0" encoding="utf-8"?>
<sst xmlns="http://schemas.openxmlformats.org/spreadsheetml/2006/main" count="5402" uniqueCount="889">
  <si>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</si>
  <si>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</si>
  <si>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</si>
  <si>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</si>
  <si>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</si>
  <si>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 1</t>
  </si>
  <si>
    <t>•VALUE 2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</si>
  <si>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Hasil Download RPA - VisualAI</t>
    </r>
    <r>
      <rPr>
        <sz val="11"/>
        <color theme="4" tint="-0.499984740745262"/>
        <rFont val="Calibri"/>
        <family val="2"/>
        <scheme val="minor"/>
      </rPr>
      <t>)</t>
    </r>
  </si>
  <si>
    <t>RPA Runnging setiap hari, jam :</t>
  </si>
  <si>
    <t>DATE-TIME</t>
  </si>
  <si>
    <t>Pesan WA akan di Backup di sheet History_Wa, data di reset setiap tgl 10 tiap bulannya</t>
  </si>
  <si>
    <t>STATUS (DONE/FAILURE)</t>
  </si>
  <si>
    <t>\\10.8.0.35\Bersama\IT\RPA IT\RPA - Visual AI\MACRO_RPA - Visial AI 5S\.Source\GCC - Visual AI 5S.xlsx</t>
  </si>
  <si>
    <t>No Line</t>
  </si>
  <si>
    <t>PIC Area</t>
  </si>
  <si>
    <t>AREA 10</t>
  </si>
  <si>
    <t>[DM] Pesan</t>
  </si>
  <si>
    <t>BULK WA</t>
  </si>
  <si>
    <t>[GET] BULK WA</t>
  </si>
  <si>
    <t>628999007703</t>
  </si>
  <si>
    <t>Hadi</t>
  </si>
  <si>
    <t>Nama PIC</t>
  </si>
  <si>
    <t>No Hp (62)</t>
  </si>
  <si>
    <t>16-00</t>
  </si>
  <si>
    <t>10-11</t>
  </si>
  <si>
    <t>http://10.8.0.108/ggi-is/public/itd/visual-ai-5s</t>
  </si>
  <si>
    <t>URL Download File</t>
  </si>
  <si>
    <t>URL</t>
  </si>
  <si>
    <t>LOKASI SAVE AS</t>
  </si>
  <si>
    <t>https://web.whatsapp.com/send/?phone=08999007703&amp;text=Halo+Hadi+Visual+AI+5S+menditeksi+Violation%3A+Melanggar+Garis+Kuning&amp;type=phone_number&amp;app_absent=0</t>
  </si>
  <si>
    <t>STATUS WA</t>
  </si>
  <si>
    <t>https://web.whatsapp.com/send/?phone=628999007703&amp;text=!!WARNING!!+Visual+AI+5S+DITEMUKAN+TANPA+KONTAK+VIOLATION+\\10.8.0.35\Bersama\IT\RPA+IT\RPA+-+Visual+AI\MACRO_RPA+-+Visial+AI+5S\.Macro&amp;type=phone_number&amp;app_absent=0</t>
  </si>
  <si>
    <t>LOKASI FILE MACRO</t>
  </si>
  <si>
    <t>Jhonson</t>
  </si>
  <si>
    <t>No HP</t>
  </si>
  <si>
    <t>ID</t>
  </si>
  <si>
    <t>https://web.whatsapp.com/send/?phone=628999007703&amp;text=Halo+Hadi+Visual+AI+5S+menditeksi+Violation%3A+Melanggar+Garis+Kuning&amp;type=phone_number&amp;app_absent=0</t>
  </si>
  <si>
    <t>DONE</t>
  </si>
  <si>
    <t>Kontak Default (Jika tidak ada CP di PIC Area nya)</t>
  </si>
  <si>
    <t>6281333304661</t>
  </si>
  <si>
    <t>AREA 1</t>
  </si>
  <si>
    <t>LINE 2</t>
  </si>
  <si>
    <t>Antos</t>
  </si>
  <si>
    <t>6281320664688</t>
  </si>
  <si>
    <t>Rexy</t>
  </si>
  <si>
    <t>6285157766849</t>
  </si>
  <si>
    <t>https://web.whatsapp.com/send/?phone=6281320664688&amp;text=Halo+Antos,+Visual+AI+5S+menditeksi+Violation%3A+Menghalangi+Jalur+Utama&amp;type=phone_number&amp;app_absent=0</t>
  </si>
  <si>
    <t>Hari</t>
  </si>
  <si>
    <t>Tanggal</t>
  </si>
  <si>
    <t>Jam</t>
  </si>
  <si>
    <t>Time Detect</t>
  </si>
  <si>
    <t>Area</t>
  </si>
  <si>
    <t>Camera Name</t>
  </si>
  <si>
    <t>Status</t>
  </si>
  <si>
    <t>Violation</t>
  </si>
  <si>
    <t>Capture</t>
  </si>
  <si>
    <t>Tuesday</t>
  </si>
  <si>
    <t>08-Oct-2024</t>
  </si>
  <si>
    <t>07:43:43</t>
  </si>
  <si>
    <t>LINE 1</t>
  </si>
  <si>
    <t>GUDANGEXP1</t>
  </si>
  <si>
    <t>violation</t>
  </si>
  <si>
    <t>https://gcc.gistexgarmenindonesia.com:7186/AI_SOURCE/GUDANGEXP1/RED_LINE/LINE_LINE 1_20241008_074045.jpg</t>
  </si>
  <si>
    <t>07:43:44</t>
  </si>
  <si>
    <t>07:43:45</t>
  </si>
  <si>
    <t>07:43:46</t>
  </si>
  <si>
    <t>07:43:47</t>
  </si>
  <si>
    <t>07:43:48</t>
  </si>
  <si>
    <t>07:43:49</t>
  </si>
  <si>
    <t>07:43:50</t>
  </si>
  <si>
    <t>07:43:51</t>
  </si>
  <si>
    <t>07:43:52</t>
  </si>
  <si>
    <t>07:43:53</t>
  </si>
  <si>
    <t>07:43:54</t>
  </si>
  <si>
    <t>07:43:55</t>
  </si>
  <si>
    <t>07:43:56</t>
  </si>
  <si>
    <t>07:43:57</t>
  </si>
  <si>
    <t>07:43:58</t>
  </si>
  <si>
    <t>07:43:59</t>
  </si>
  <si>
    <t>07:44:00</t>
  </si>
  <si>
    <t>07:44:01</t>
  </si>
  <si>
    <t>07:44:02</t>
  </si>
  <si>
    <t>07:44:03</t>
  </si>
  <si>
    <t>07:44:04</t>
  </si>
  <si>
    <t>07:44:05</t>
  </si>
  <si>
    <t>07:44:06</t>
  </si>
  <si>
    <t>07:44:07</t>
  </si>
  <si>
    <t>07:44:08</t>
  </si>
  <si>
    <t>07:44:09</t>
  </si>
  <si>
    <t>07:44:10</t>
  </si>
  <si>
    <t>07:44:11</t>
  </si>
  <si>
    <t>07:44:12</t>
  </si>
  <si>
    <t>07:44:13</t>
  </si>
  <si>
    <t>07:44:14</t>
  </si>
  <si>
    <t>07:44:15</t>
  </si>
  <si>
    <t>07:44:16</t>
  </si>
  <si>
    <t>07:44:17</t>
  </si>
  <si>
    <t>07:44:18</t>
  </si>
  <si>
    <t>07:44:19</t>
  </si>
  <si>
    <t>07:44:20</t>
  </si>
  <si>
    <t>07:44:21</t>
  </si>
  <si>
    <t>07:44:22</t>
  </si>
  <si>
    <t>07:44:23</t>
  </si>
  <si>
    <t>07:44:24</t>
  </si>
  <si>
    <t>07:44:25</t>
  </si>
  <si>
    <t>07:44:26</t>
  </si>
  <si>
    <t>07:44:27</t>
  </si>
  <si>
    <t>07:44:28</t>
  </si>
  <si>
    <t>07:44:29</t>
  </si>
  <si>
    <t>07:44:30</t>
  </si>
  <si>
    <t>07:44:31</t>
  </si>
  <si>
    <t>07:44:32</t>
  </si>
  <si>
    <t>07:44:33</t>
  </si>
  <si>
    <t>07:44:34</t>
  </si>
  <si>
    <t>07:44:35</t>
  </si>
  <si>
    <t>07:44:36</t>
  </si>
  <si>
    <t>07:44:37</t>
  </si>
  <si>
    <t>07:44:38</t>
  </si>
  <si>
    <t>07:44:39</t>
  </si>
  <si>
    <t>07:44:40</t>
  </si>
  <si>
    <t>07:44:41</t>
  </si>
  <si>
    <t>07:44:42</t>
  </si>
  <si>
    <t>07:44:43</t>
  </si>
  <si>
    <t>07:44:44</t>
  </si>
  <si>
    <t>07:44:45</t>
  </si>
  <si>
    <t>07:44:46</t>
  </si>
  <si>
    <t>07:44:47</t>
  </si>
  <si>
    <t>07:44:48</t>
  </si>
  <si>
    <t>07:44:49</t>
  </si>
  <si>
    <t>07:44:50</t>
  </si>
  <si>
    <t>07:44:51</t>
  </si>
  <si>
    <t>07:44:52</t>
  </si>
  <si>
    <t>07:44:53</t>
  </si>
  <si>
    <t>07:44:54</t>
  </si>
  <si>
    <t>07:44:55</t>
  </si>
  <si>
    <t>07:44:56</t>
  </si>
  <si>
    <t>07:44:57</t>
  </si>
  <si>
    <t>07:44:58</t>
  </si>
  <si>
    <t>07:44:59</t>
  </si>
  <si>
    <t>07:45:00</t>
  </si>
  <si>
    <t>07:45:01</t>
  </si>
  <si>
    <t>07:45:02</t>
  </si>
  <si>
    <t>07:45:03</t>
  </si>
  <si>
    <t>07:45:04</t>
  </si>
  <si>
    <t>07:45:05</t>
  </si>
  <si>
    <t>07:45:06</t>
  </si>
  <si>
    <t>07:45:07</t>
  </si>
  <si>
    <t>07:45:08</t>
  </si>
  <si>
    <t>07:45:09</t>
  </si>
  <si>
    <t>07:45:10</t>
  </si>
  <si>
    <t>07:45:11</t>
  </si>
  <si>
    <t>07:45:12</t>
  </si>
  <si>
    <t>07:45:13</t>
  </si>
  <si>
    <t>07:45:14</t>
  </si>
  <si>
    <t>07:45:15</t>
  </si>
  <si>
    <t>07:45:16</t>
  </si>
  <si>
    <t>07:45:17</t>
  </si>
  <si>
    <t>07:45:18</t>
  </si>
  <si>
    <t>07:45:19</t>
  </si>
  <si>
    <t>07:45:20</t>
  </si>
  <si>
    <t>07:45:21</t>
  </si>
  <si>
    <t>07:45:22</t>
  </si>
  <si>
    <t>07:45:23</t>
  </si>
  <si>
    <t>07:45:24</t>
  </si>
  <si>
    <t>07:45:25</t>
  </si>
  <si>
    <t>07:45:26</t>
  </si>
  <si>
    <t>07:45:27</t>
  </si>
  <si>
    <t>07:45:28</t>
  </si>
  <si>
    <t>07:45:29</t>
  </si>
  <si>
    <t>07:45:30</t>
  </si>
  <si>
    <t>07:45:31</t>
  </si>
  <si>
    <t>07:45:32</t>
  </si>
  <si>
    <t>07:45:33</t>
  </si>
  <si>
    <t>07:45:34</t>
  </si>
  <si>
    <t>07:45:35</t>
  </si>
  <si>
    <t>07:45:36</t>
  </si>
  <si>
    <t>07:45:37</t>
  </si>
  <si>
    <t>07:45:38</t>
  </si>
  <si>
    <t>07:53:15</t>
  </si>
  <si>
    <t>https://gcc.gistexgarmenindonesia.com:7186/AI_SOURCE/GUDANGEXP1/RED_LINE/LINE_LINE 1_20241008_075017.jpg</t>
  </si>
  <si>
    <t>07:53:16</t>
  </si>
  <si>
    <t>07:53:17</t>
  </si>
  <si>
    <t>07:53:18</t>
  </si>
  <si>
    <t>07:53:19</t>
  </si>
  <si>
    <t>07:53:20</t>
  </si>
  <si>
    <t>07:53:21</t>
  </si>
  <si>
    <t>07:53:22</t>
  </si>
  <si>
    <t>07:53:23</t>
  </si>
  <si>
    <t>07:53:24</t>
  </si>
  <si>
    <t>07:53:25</t>
  </si>
  <si>
    <t>07:53:26</t>
  </si>
  <si>
    <t>07:53:27</t>
  </si>
  <si>
    <t>07:53:28</t>
  </si>
  <si>
    <t>07:53:29</t>
  </si>
  <si>
    <t>07:53:30</t>
  </si>
  <si>
    <t>07:53:31</t>
  </si>
  <si>
    <t>07:53:32</t>
  </si>
  <si>
    <t>07:53:33</t>
  </si>
  <si>
    <t>07:53:34</t>
  </si>
  <si>
    <t>07:53:35</t>
  </si>
  <si>
    <t>07:53:36</t>
  </si>
  <si>
    <t>07:53:37</t>
  </si>
  <si>
    <t>07:53:38</t>
  </si>
  <si>
    <t>07:53:39</t>
  </si>
  <si>
    <t>07:53:40</t>
  </si>
  <si>
    <t>07:53:41</t>
  </si>
  <si>
    <t>07:53:42</t>
  </si>
  <si>
    <t>07:53:43</t>
  </si>
  <si>
    <t>07:59:31</t>
  </si>
  <si>
    <t>https://gcc.gistexgarmenindonesia.com:7186/AI_SOURCE/GUDANGEXP1/RED_LINE/LINE_LINE 1_20241008_075633.jpg</t>
  </si>
  <si>
    <t>07:59:32</t>
  </si>
  <si>
    <t>07:59:33</t>
  </si>
  <si>
    <t>07:59:34</t>
  </si>
  <si>
    <t>07:59:35</t>
  </si>
  <si>
    <t>07:59:36</t>
  </si>
  <si>
    <t>07:59:37</t>
  </si>
  <si>
    <t>07:59:38</t>
  </si>
  <si>
    <t>07:59:39</t>
  </si>
  <si>
    <t>07:59:40</t>
  </si>
  <si>
    <t>07:59:41</t>
  </si>
  <si>
    <t>07:59:42</t>
  </si>
  <si>
    <t>07:59:43</t>
  </si>
  <si>
    <t>07:59:44</t>
  </si>
  <si>
    <t>07:59:45</t>
  </si>
  <si>
    <t>07:59:46</t>
  </si>
  <si>
    <t>07:59:47</t>
  </si>
  <si>
    <t>07:59:48</t>
  </si>
  <si>
    <t>07:59:49</t>
  </si>
  <si>
    <t>07:59:50</t>
  </si>
  <si>
    <t>07:59:51</t>
  </si>
  <si>
    <t>07:59:52</t>
  </si>
  <si>
    <t>07:59:53</t>
  </si>
  <si>
    <t>07:59:54</t>
  </si>
  <si>
    <t>07:59:55</t>
  </si>
  <si>
    <t>07:59:56</t>
  </si>
  <si>
    <t>07:59:57</t>
  </si>
  <si>
    <t>07:59:58</t>
  </si>
  <si>
    <t>07:59:59</t>
  </si>
  <si>
    <t>08:00:00</t>
  </si>
  <si>
    <t>08:00:01</t>
  </si>
  <si>
    <t>08:00:02</t>
  </si>
  <si>
    <t>08:00:03</t>
  </si>
  <si>
    <t>08:00:04</t>
  </si>
  <si>
    <t>08:00:05</t>
  </si>
  <si>
    <t>08:00:06</t>
  </si>
  <si>
    <t>08:00:07</t>
  </si>
  <si>
    <t>08:00:08</t>
  </si>
  <si>
    <t>08:00:09</t>
  </si>
  <si>
    <t>08:00:10</t>
  </si>
  <si>
    <t>08:00:11</t>
  </si>
  <si>
    <t>08:00:12</t>
  </si>
  <si>
    <t>08:00:13</t>
  </si>
  <si>
    <t>08:00:14</t>
  </si>
  <si>
    <t>08:00:15</t>
  </si>
  <si>
    <t>08:00:16</t>
  </si>
  <si>
    <t>08:00:17</t>
  </si>
  <si>
    <t>08:00:18</t>
  </si>
  <si>
    <t>08:00:19</t>
  </si>
  <si>
    <t>08:00:20</t>
  </si>
  <si>
    <t>08:00:21</t>
  </si>
  <si>
    <t>08:00:22</t>
  </si>
  <si>
    <t>08:00:23</t>
  </si>
  <si>
    <t>08:00:24</t>
  </si>
  <si>
    <t>08:00:25</t>
  </si>
  <si>
    <t>08:00:26</t>
  </si>
  <si>
    <t>08:00:27</t>
  </si>
  <si>
    <t>08:00:28</t>
  </si>
  <si>
    <t>08:00:29</t>
  </si>
  <si>
    <t>08:00:30</t>
  </si>
  <si>
    <t>08:00:31</t>
  </si>
  <si>
    <t>08:00:32</t>
  </si>
  <si>
    <t>08:00:33</t>
  </si>
  <si>
    <t>08:00:34</t>
  </si>
  <si>
    <t>08:00:35</t>
  </si>
  <si>
    <t>08:00:36</t>
  </si>
  <si>
    <t>08:00:37</t>
  </si>
  <si>
    <t>08:00:38</t>
  </si>
  <si>
    <t>08:00:39</t>
  </si>
  <si>
    <t>08:00:40</t>
  </si>
  <si>
    <t>08:00:41</t>
  </si>
  <si>
    <t>08:00:42</t>
  </si>
  <si>
    <t>08:00:43</t>
  </si>
  <si>
    <t>08:00:44</t>
  </si>
  <si>
    <t>08:00:45</t>
  </si>
  <si>
    <t>08:00:46</t>
  </si>
  <si>
    <t>08:00:47</t>
  </si>
  <si>
    <t>08:00:48</t>
  </si>
  <si>
    <t>08:00:49</t>
  </si>
  <si>
    <t>08:00:50</t>
  </si>
  <si>
    <t>08:00:51</t>
  </si>
  <si>
    <t>08:00:52</t>
  </si>
  <si>
    <t>08:00:53</t>
  </si>
  <si>
    <t>08:00:54</t>
  </si>
  <si>
    <t>08:00:55</t>
  </si>
  <si>
    <t>08:00:56</t>
  </si>
  <si>
    <t>08:00:57</t>
  </si>
  <si>
    <t>08:00:58</t>
  </si>
  <si>
    <t>08:00:59</t>
  </si>
  <si>
    <t>08:01:00</t>
  </si>
  <si>
    <t>08:01:01</t>
  </si>
  <si>
    <t>08:01:02</t>
  </si>
  <si>
    <t>08:01:03</t>
  </si>
  <si>
    <t>08:01:04</t>
  </si>
  <si>
    <t>08:01:05</t>
  </si>
  <si>
    <t>08:01:06</t>
  </si>
  <si>
    <t>08:01:07</t>
  </si>
  <si>
    <t>08:01:08</t>
  </si>
  <si>
    <t>08:01:09</t>
  </si>
  <si>
    <t>08:01:10</t>
  </si>
  <si>
    <t>08:01:11</t>
  </si>
  <si>
    <t>08:01:12</t>
  </si>
  <si>
    <t>08:01:13</t>
  </si>
  <si>
    <t>08:01:14</t>
  </si>
  <si>
    <t>08:01:15</t>
  </si>
  <si>
    <t>08:01:16</t>
  </si>
  <si>
    <t>08:01:17</t>
  </si>
  <si>
    <t>08:01:18</t>
  </si>
  <si>
    <t>08:01:19</t>
  </si>
  <si>
    <t>08:01:20</t>
  </si>
  <si>
    <t>08:01:21</t>
  </si>
  <si>
    <t>08:01:22</t>
  </si>
  <si>
    <t>08:01:23</t>
  </si>
  <si>
    <t>08:01:24</t>
  </si>
  <si>
    <t>08:01:25</t>
  </si>
  <si>
    <t>08:01:26</t>
  </si>
  <si>
    <t>08:01:27</t>
  </si>
  <si>
    <t>08:01:28</t>
  </si>
  <si>
    <t>08:01:29</t>
  </si>
  <si>
    <t>08:01:30</t>
  </si>
  <si>
    <t>08:01:31</t>
  </si>
  <si>
    <t>08:01:32</t>
  </si>
  <si>
    <t>08:01:33</t>
  </si>
  <si>
    <t>08:01:34</t>
  </si>
  <si>
    <t>08:01:35</t>
  </si>
  <si>
    <t>08:01:36</t>
  </si>
  <si>
    <t>08:01:37</t>
  </si>
  <si>
    <t>08:01:38</t>
  </si>
  <si>
    <t>08:01:39</t>
  </si>
  <si>
    <t>08:01:40</t>
  </si>
  <si>
    <t>08:01:41</t>
  </si>
  <si>
    <t>08:01:42</t>
  </si>
  <si>
    <t>08:01:43</t>
  </si>
  <si>
    <t>08:01:44</t>
  </si>
  <si>
    <t>08:01:45</t>
  </si>
  <si>
    <t>08:01:46</t>
  </si>
  <si>
    <t>08:01:47</t>
  </si>
  <si>
    <t>08:01:48</t>
  </si>
  <si>
    <t>08:01:49</t>
  </si>
  <si>
    <t>08:01:50</t>
  </si>
  <si>
    <t>08:01:51</t>
  </si>
  <si>
    <t>08:01:52</t>
  </si>
  <si>
    <t>08:01:53</t>
  </si>
  <si>
    <t>08:01:54</t>
  </si>
  <si>
    <t>08:01:55</t>
  </si>
  <si>
    <t>08:01:56</t>
  </si>
  <si>
    <t>08:01:57</t>
  </si>
  <si>
    <t>08:01:58</t>
  </si>
  <si>
    <t>08:01:59</t>
  </si>
  <si>
    <t>08:02:00</t>
  </si>
  <si>
    <t>08:02:01</t>
  </si>
  <si>
    <t>08:02:02</t>
  </si>
  <si>
    <t>08:02:03</t>
  </si>
  <si>
    <t>08:02:04</t>
  </si>
  <si>
    <t>08:02:05</t>
  </si>
  <si>
    <t>08:02:06</t>
  </si>
  <si>
    <t>08:02:07</t>
  </si>
  <si>
    <t>08:02:08</t>
  </si>
  <si>
    <t>08:02:09</t>
  </si>
  <si>
    <t>08:02:10</t>
  </si>
  <si>
    <t>08:02:11</t>
  </si>
  <si>
    <t>08:02:12</t>
  </si>
  <si>
    <t>08:02:13</t>
  </si>
  <si>
    <t>08:02:14</t>
  </si>
  <si>
    <t>08:02:15</t>
  </si>
  <si>
    <t>08:02:16</t>
  </si>
  <si>
    <t>08:02:17</t>
  </si>
  <si>
    <t>08:02:18</t>
  </si>
  <si>
    <t>08:02:19</t>
  </si>
  <si>
    <t>08:02:20</t>
  </si>
  <si>
    <t>08:02:21</t>
  </si>
  <si>
    <t>08:02:22</t>
  </si>
  <si>
    <t>08:02:23</t>
  </si>
  <si>
    <t>08:02:24</t>
  </si>
  <si>
    <t>08:02:25</t>
  </si>
  <si>
    <t>08:02:26</t>
  </si>
  <si>
    <t>08:02:27</t>
  </si>
  <si>
    <t>08:02:28</t>
  </si>
  <si>
    <t>08:02:29</t>
  </si>
  <si>
    <t>08:02:30</t>
  </si>
  <si>
    <t>08:02:31</t>
  </si>
  <si>
    <t>08:02:32</t>
  </si>
  <si>
    <t>08:02:33</t>
  </si>
  <si>
    <t>08:02:34</t>
  </si>
  <si>
    <t>08:02:35</t>
  </si>
  <si>
    <t>08:02:36</t>
  </si>
  <si>
    <t>08:02:37</t>
  </si>
  <si>
    <t>08:02:38</t>
  </si>
  <si>
    <t>08:02:39</t>
  </si>
  <si>
    <t>08:02:40</t>
  </si>
  <si>
    <t>08:02:41</t>
  </si>
  <si>
    <t>08:02:42</t>
  </si>
  <si>
    <t>08:02:43</t>
  </si>
  <si>
    <t>08:02:44</t>
  </si>
  <si>
    <t>08:02:45</t>
  </si>
  <si>
    <t>08:02:46</t>
  </si>
  <si>
    <t>08:02:47</t>
  </si>
  <si>
    <t>08:02:48</t>
  </si>
  <si>
    <t>08:02:49</t>
  </si>
  <si>
    <t>08:02:50</t>
  </si>
  <si>
    <t>08:02:51</t>
  </si>
  <si>
    <t>08:02:52</t>
  </si>
  <si>
    <t>08:02:53</t>
  </si>
  <si>
    <t>08:02:54</t>
  </si>
  <si>
    <t>08:02:55</t>
  </si>
  <si>
    <t>08:02:56</t>
  </si>
  <si>
    <t>08:02:57</t>
  </si>
  <si>
    <t>08:02:58</t>
  </si>
  <si>
    <t>08:02:59</t>
  </si>
  <si>
    <t>08:03:00</t>
  </si>
  <si>
    <t>08:03:01</t>
  </si>
  <si>
    <t>08:03:02</t>
  </si>
  <si>
    <t>08:03:03</t>
  </si>
  <si>
    <t>08:03:04</t>
  </si>
  <si>
    <t>08:03:05</t>
  </si>
  <si>
    <t>08:03:06</t>
  </si>
  <si>
    <t>08:03:07</t>
  </si>
  <si>
    <t>08:03:08</t>
  </si>
  <si>
    <t>08:03:09</t>
  </si>
  <si>
    <t>08:03:10</t>
  </si>
  <si>
    <t>08:03:11</t>
  </si>
  <si>
    <t>08:03:12</t>
  </si>
  <si>
    <t>08:03:13</t>
  </si>
  <si>
    <t>08:03:14</t>
  </si>
  <si>
    <t>08:03:15</t>
  </si>
  <si>
    <t>08:03:16</t>
  </si>
  <si>
    <t>08:03:17</t>
  </si>
  <si>
    <t>08:03:18</t>
  </si>
  <si>
    <t>08:03:19</t>
  </si>
  <si>
    <t>08:03:20</t>
  </si>
  <si>
    <t>08:03:21</t>
  </si>
  <si>
    <t>08:03:22</t>
  </si>
  <si>
    <t>08:03:23</t>
  </si>
  <si>
    <t>08:03:24</t>
  </si>
  <si>
    <t>08:03:25</t>
  </si>
  <si>
    <t>08:03:26</t>
  </si>
  <si>
    <t>08:03:27</t>
  </si>
  <si>
    <t>08:03:28</t>
  </si>
  <si>
    <t>08:03:29</t>
  </si>
  <si>
    <t>08:03:30</t>
  </si>
  <si>
    <t>08:03:31</t>
  </si>
  <si>
    <t>08:03:32</t>
  </si>
  <si>
    <t>08:03:33</t>
  </si>
  <si>
    <t>08:03:34</t>
  </si>
  <si>
    <t>08:03:35</t>
  </si>
  <si>
    <t>08:03:36</t>
  </si>
  <si>
    <t>08:03:37</t>
  </si>
  <si>
    <t>08:03:38</t>
  </si>
  <si>
    <t>08:03:39</t>
  </si>
  <si>
    <t>08:03:40</t>
  </si>
  <si>
    <t>08:03:41</t>
  </si>
  <si>
    <t>08:03:42</t>
  </si>
  <si>
    <t>08:03:43</t>
  </si>
  <si>
    <t>08:03:44</t>
  </si>
  <si>
    <t>08:03:45</t>
  </si>
  <si>
    <t>08:03:46</t>
  </si>
  <si>
    <t>08:03:47</t>
  </si>
  <si>
    <t>08:03:48</t>
  </si>
  <si>
    <t>08:03:49</t>
  </si>
  <si>
    <t>08:03:50</t>
  </si>
  <si>
    <t>08:03:51</t>
  </si>
  <si>
    <t>08:03:52</t>
  </si>
  <si>
    <t>08:03:53</t>
  </si>
  <si>
    <t>08:03:54</t>
  </si>
  <si>
    <t>08:03:55</t>
  </si>
  <si>
    <t>08:03:56</t>
  </si>
  <si>
    <t>08:03:57</t>
  </si>
  <si>
    <t>08:03:58</t>
  </si>
  <si>
    <t>08:03:59</t>
  </si>
  <si>
    <t>08:04:00</t>
  </si>
  <si>
    <t>08:04:01</t>
  </si>
  <si>
    <t>08:04:02</t>
  </si>
  <si>
    <t>08:04:03</t>
  </si>
  <si>
    <t>08:04:04</t>
  </si>
  <si>
    <t>08:04:05</t>
  </si>
  <si>
    <t>08:04:06</t>
  </si>
  <si>
    <t>08:04:07</t>
  </si>
  <si>
    <t>08:04:08</t>
  </si>
  <si>
    <t>08:04:09</t>
  </si>
  <si>
    <t>08:04:10</t>
  </si>
  <si>
    <t>08:04:11</t>
  </si>
  <si>
    <t>08:04:12</t>
  </si>
  <si>
    <t>08:04:13</t>
  </si>
  <si>
    <t>08:04:14</t>
  </si>
  <si>
    <t>08:04:15</t>
  </si>
  <si>
    <t>08:04:16</t>
  </si>
  <si>
    <t>08:04:17</t>
  </si>
  <si>
    <t>08:04:18</t>
  </si>
  <si>
    <t>08:04:19</t>
  </si>
  <si>
    <t>08:04:20</t>
  </si>
  <si>
    <t>08:04:21</t>
  </si>
  <si>
    <t>08:04:22</t>
  </si>
  <si>
    <t>08:04:23</t>
  </si>
  <si>
    <t>08:04:24</t>
  </si>
  <si>
    <t>08:04:25</t>
  </si>
  <si>
    <t>08:04:26</t>
  </si>
  <si>
    <t>08:04:27</t>
  </si>
  <si>
    <t>08:04:28</t>
  </si>
  <si>
    <t>08:04:29</t>
  </si>
  <si>
    <t>08:04:30</t>
  </si>
  <si>
    <t>08:04:31</t>
  </si>
  <si>
    <t>08:04:32</t>
  </si>
  <si>
    <t>08:04:33</t>
  </si>
  <si>
    <t>08:04:34</t>
  </si>
  <si>
    <t>08:04:35</t>
  </si>
  <si>
    <t>08:04:36</t>
  </si>
  <si>
    <t>08:04:37</t>
  </si>
  <si>
    <t>08:04:38</t>
  </si>
  <si>
    <t>08:04:39</t>
  </si>
  <si>
    <t>08:04:40</t>
  </si>
  <si>
    <t>08:04:41</t>
  </si>
  <si>
    <t>08:04:42</t>
  </si>
  <si>
    <t>08:04:43</t>
  </si>
  <si>
    <t>08:04:44</t>
  </si>
  <si>
    <t>08:04:45</t>
  </si>
  <si>
    <t>08:04:46</t>
  </si>
  <si>
    <t>08:04:47</t>
  </si>
  <si>
    <t>08:04:48</t>
  </si>
  <si>
    <t>08:04:49</t>
  </si>
  <si>
    <t>08:04:50</t>
  </si>
  <si>
    <t>08:04:51</t>
  </si>
  <si>
    <t>08:04:52</t>
  </si>
  <si>
    <t>08:04:53</t>
  </si>
  <si>
    <t>08:04:54</t>
  </si>
  <si>
    <t>08:04:55</t>
  </si>
  <si>
    <t>08:04:56</t>
  </si>
  <si>
    <t>08:04:57</t>
  </si>
  <si>
    <t>08:04:58</t>
  </si>
  <si>
    <t>08:04:59</t>
  </si>
  <si>
    <t>08:05:00</t>
  </si>
  <si>
    <t>08:05:01</t>
  </si>
  <si>
    <t>08:05:02</t>
  </si>
  <si>
    <t>08:05:03</t>
  </si>
  <si>
    <t>08:05:04</t>
  </si>
  <si>
    <t>08:05:05</t>
  </si>
  <si>
    <t>08:05:06</t>
  </si>
  <si>
    <t>08:05:07</t>
  </si>
  <si>
    <t>08:05:08</t>
  </si>
  <si>
    <t>08:05:09</t>
  </si>
  <si>
    <t>08:05:10</t>
  </si>
  <si>
    <t>08:05:11</t>
  </si>
  <si>
    <t>08:05:12</t>
  </si>
  <si>
    <t>08:05:13</t>
  </si>
  <si>
    <t>08:05:14</t>
  </si>
  <si>
    <t>08:05:15</t>
  </si>
  <si>
    <t>08:05:16</t>
  </si>
  <si>
    <t>08:05:17</t>
  </si>
  <si>
    <t>08:05:18</t>
  </si>
  <si>
    <t>08:05:19</t>
  </si>
  <si>
    <t>08:05:20</t>
  </si>
  <si>
    <t>08:05:21</t>
  </si>
  <si>
    <t>08:05:22</t>
  </si>
  <si>
    <t>08:05:23</t>
  </si>
  <si>
    <t>08:05:24</t>
  </si>
  <si>
    <t>08:05:25</t>
  </si>
  <si>
    <t>08:05:26</t>
  </si>
  <si>
    <t>08:05:27</t>
  </si>
  <si>
    <t>08:05:28</t>
  </si>
  <si>
    <t>08:05:29</t>
  </si>
  <si>
    <t>08:05:30</t>
  </si>
  <si>
    <t>08:41:49</t>
  </si>
  <si>
    <t>LINE 11</t>
  </si>
  <si>
    <t>GUDANGACC1</t>
  </si>
  <si>
    <t>https://gcc.gistexgarmenindonesia.com:7186/AI_SOURCE/GUDANGACC1/RED_LINE/LINE_LINE 11_20241008_083851.jpg</t>
  </si>
  <si>
    <t>08:41:50</t>
  </si>
  <si>
    <t>08:41:51</t>
  </si>
  <si>
    <t>08:41:52</t>
  </si>
  <si>
    <t>08:41:53</t>
  </si>
  <si>
    <t>08:41:54</t>
  </si>
  <si>
    <t>08:41:55</t>
  </si>
  <si>
    <t>08:41:56</t>
  </si>
  <si>
    <t>08:41:57</t>
  </si>
  <si>
    <t>08:41:58</t>
  </si>
  <si>
    <t>08:41:59</t>
  </si>
  <si>
    <t>08:42:00</t>
  </si>
  <si>
    <t>08:42:01</t>
  </si>
  <si>
    <t>08:42:02</t>
  </si>
  <si>
    <t>08:42:03</t>
  </si>
  <si>
    <t>08:42:04</t>
  </si>
  <si>
    <t>08:42:05</t>
  </si>
  <si>
    <t>08:42:06</t>
  </si>
  <si>
    <t>08:42:07</t>
  </si>
  <si>
    <t>08:42:08</t>
  </si>
  <si>
    <t>08:42:09</t>
  </si>
  <si>
    <t>08:42:10</t>
  </si>
  <si>
    <t>08:42:11</t>
  </si>
  <si>
    <t>08:42:12</t>
  </si>
  <si>
    <t>08:42:13</t>
  </si>
  <si>
    <t>08:42:14</t>
  </si>
  <si>
    <t>08:42:15</t>
  </si>
  <si>
    <t>08:42:16</t>
  </si>
  <si>
    <t>08:42:17</t>
  </si>
  <si>
    <t>08:42:18</t>
  </si>
  <si>
    <t>08:42:19</t>
  </si>
  <si>
    <t>08:42:20</t>
  </si>
  <si>
    <t>08:42:21</t>
  </si>
  <si>
    <t>08:42:22</t>
  </si>
  <si>
    <t>08:42:23</t>
  </si>
  <si>
    <t>08:42:24</t>
  </si>
  <si>
    <t>08:42:25</t>
  </si>
  <si>
    <t>LINE 6</t>
  </si>
  <si>
    <t>https://gcc.gistexgarmenindonesia.com:7186/AI_SOURCE/GUDANGACC1/RED_LINE/LINE_LINE 6_20241008_083927.jpg</t>
  </si>
  <si>
    <t>08:42:26</t>
  </si>
  <si>
    <t>08:42:27</t>
  </si>
  <si>
    <t>08:42:28</t>
  </si>
  <si>
    <t>08:42:29</t>
  </si>
  <si>
    <t>08:42:30</t>
  </si>
  <si>
    <t>08:42:31</t>
  </si>
  <si>
    <t>08:42:32</t>
  </si>
  <si>
    <t>08:42:33</t>
  </si>
  <si>
    <t>08:42:34</t>
  </si>
  <si>
    <t>08:42:35</t>
  </si>
  <si>
    <t>08:42:36</t>
  </si>
  <si>
    <t>08:42:37</t>
  </si>
  <si>
    <t>08:42:38</t>
  </si>
  <si>
    <t>08:42:39</t>
  </si>
  <si>
    <t>08:42:40</t>
  </si>
  <si>
    <t>08:42:41</t>
  </si>
  <si>
    <t>LINE 5</t>
  </si>
  <si>
    <t>https://gcc.gistexgarmenindonesia.com:7186/AI_SOURCE/GUDANGACC1/RED_LINE/LINE_LINE 5_20241008_083943.jpg</t>
  </si>
  <si>
    <t>08:42:42</t>
  </si>
  <si>
    <t>08:42:43</t>
  </si>
  <si>
    <t>08:42:44</t>
  </si>
  <si>
    <t>08:42:45</t>
  </si>
  <si>
    <t>08:42:46</t>
  </si>
  <si>
    <t>08:42:47</t>
  </si>
  <si>
    <t>08:42:48</t>
  </si>
  <si>
    <t>08:42:49</t>
  </si>
  <si>
    <t>08:42:50</t>
  </si>
  <si>
    <t>08:42:51</t>
  </si>
  <si>
    <t>08:42:52</t>
  </si>
  <si>
    <t>08:42:53</t>
  </si>
  <si>
    <t>08:42:54</t>
  </si>
  <si>
    <t>08:42:55</t>
  </si>
  <si>
    <t>08:42:56</t>
  </si>
  <si>
    <t>08:42:57</t>
  </si>
  <si>
    <t>08:42:58</t>
  </si>
  <si>
    <t>08:42:59</t>
  </si>
  <si>
    <t>08:43:00</t>
  </si>
  <si>
    <t>08:43:01</t>
  </si>
  <si>
    <t>08:43:02</t>
  </si>
  <si>
    <t>08:43:03</t>
  </si>
  <si>
    <t>08:43:04</t>
  </si>
  <si>
    <t>08:43:05</t>
  </si>
  <si>
    <t>08:43:06</t>
  </si>
  <si>
    <t>08:43:07</t>
  </si>
  <si>
    <t>08:43:08</t>
  </si>
  <si>
    <t>08:43:09</t>
  </si>
  <si>
    <t>08:43:10</t>
  </si>
  <si>
    <t>08:43:11</t>
  </si>
  <si>
    <t>08:43:12</t>
  </si>
  <si>
    <t>08:43:13</t>
  </si>
  <si>
    <t>08:43:14</t>
  </si>
  <si>
    <t>08:43:15</t>
  </si>
  <si>
    <t>08:43:16</t>
  </si>
  <si>
    <t>09:00:27</t>
  </si>
  <si>
    <t>METALDET1</t>
  </si>
  <si>
    <t>https://gcc.gistexgarmenindonesia.com:7186/AI_SOURCE/METALDET1/RED_LINE/LINE_LINE 6_20241008_085728.jpg</t>
  </si>
  <si>
    <t>09:00:28</t>
  </si>
  <si>
    <t>09:00:29</t>
  </si>
  <si>
    <t>09:00:30</t>
  </si>
  <si>
    <t>09:00:31</t>
  </si>
  <si>
    <t>09:00:32</t>
  </si>
  <si>
    <t>09:00:33</t>
  </si>
  <si>
    <t>09:00:34</t>
  </si>
  <si>
    <t>09:00:35</t>
  </si>
  <si>
    <t>09:00:36</t>
  </si>
  <si>
    <t>09:00:37</t>
  </si>
  <si>
    <t>09:00:38</t>
  </si>
  <si>
    <t>09:00:39</t>
  </si>
  <si>
    <t>09:00:40</t>
  </si>
  <si>
    <t>09:00:41</t>
  </si>
  <si>
    <t>09:00:42</t>
  </si>
  <si>
    <t>09:00:43</t>
  </si>
  <si>
    <t>09:00:44</t>
  </si>
  <si>
    <t>09:00:45</t>
  </si>
  <si>
    <t>09:00:46</t>
  </si>
  <si>
    <t>09:00:47</t>
  </si>
  <si>
    <t>09:00:48</t>
  </si>
  <si>
    <t>09:00:49</t>
  </si>
  <si>
    <t>09:00:50</t>
  </si>
  <si>
    <t>09:00:51</t>
  </si>
  <si>
    <t>09:00:52</t>
  </si>
  <si>
    <t>09:00:53</t>
  </si>
  <si>
    <t>09:00:54</t>
  </si>
  <si>
    <t>09:00:55</t>
  </si>
  <si>
    <t>09:00:56</t>
  </si>
  <si>
    <t>09:00:57</t>
  </si>
  <si>
    <t>09:00:58</t>
  </si>
  <si>
    <t>09:00:59</t>
  </si>
  <si>
    <t>09:01:00</t>
  </si>
  <si>
    <t>09:01:01</t>
  </si>
  <si>
    <t>09:01:02</t>
  </si>
  <si>
    <t>09:01:03</t>
  </si>
  <si>
    <t>09:01:04</t>
  </si>
  <si>
    <t>09:01:05</t>
  </si>
  <si>
    <t>09:01:06</t>
  </si>
  <si>
    <t>09:01:07</t>
  </si>
  <si>
    <t>09:01:08</t>
  </si>
  <si>
    <t>09:01:09</t>
  </si>
  <si>
    <t>09:01:10</t>
  </si>
  <si>
    <t>09:01:11</t>
  </si>
  <si>
    <t>09:01:12</t>
  </si>
  <si>
    <t>09:01:13</t>
  </si>
  <si>
    <t>09:01:14</t>
  </si>
  <si>
    <t>09:01:15</t>
  </si>
  <si>
    <t>09:01:16</t>
  </si>
  <si>
    <t>09:01:17</t>
  </si>
  <si>
    <t>09:01:18</t>
  </si>
  <si>
    <t>09:01:19</t>
  </si>
  <si>
    <t>09:01:20</t>
  </si>
  <si>
    <t>09:01:21</t>
  </si>
  <si>
    <t>09:01:22</t>
  </si>
  <si>
    <t>09:01:23</t>
  </si>
  <si>
    <t>09:01:24</t>
  </si>
  <si>
    <t>09:01:25</t>
  </si>
  <si>
    <t>09:01:26</t>
  </si>
  <si>
    <t>09:01:27</t>
  </si>
  <si>
    <t>09:01:28</t>
  </si>
  <si>
    <t>09:01:29</t>
  </si>
  <si>
    <t>09:01:30</t>
  </si>
  <si>
    <t>09:01:31</t>
  </si>
  <si>
    <t>09:01:32</t>
  </si>
  <si>
    <t>09:01:33</t>
  </si>
  <si>
    <t>09:01:34</t>
  </si>
  <si>
    <t>09:01:35</t>
  </si>
  <si>
    <t>09:01:36</t>
  </si>
  <si>
    <t>09:01:37</t>
  </si>
  <si>
    <t>09:01:38</t>
  </si>
  <si>
    <t>09:01:39</t>
  </si>
  <si>
    <t>09:01:40</t>
  </si>
  <si>
    <t>09:01:41</t>
  </si>
  <si>
    <t>09:01:42</t>
  </si>
  <si>
    <t>09:01:43</t>
  </si>
  <si>
    <t>09:01:44</t>
  </si>
  <si>
    <t>09:01:45</t>
  </si>
  <si>
    <t>09:01:46</t>
  </si>
  <si>
    <t>09:01:47</t>
  </si>
  <si>
    <t>09:01:48</t>
  </si>
  <si>
    <t>09:01:49</t>
  </si>
  <si>
    <t>09:01:50</t>
  </si>
  <si>
    <t>09:01:51</t>
  </si>
  <si>
    <t>09:01:52</t>
  </si>
  <si>
    <t>09:01:53</t>
  </si>
  <si>
    <t>09:01:54</t>
  </si>
  <si>
    <t>09:01:55</t>
  </si>
  <si>
    <t>09:01:56</t>
  </si>
  <si>
    <t>09:01:57</t>
  </si>
  <si>
    <t>09:01:58</t>
  </si>
  <si>
    <t>09:01:59</t>
  </si>
  <si>
    <t>09:02:00</t>
  </si>
  <si>
    <t>09:02:01</t>
  </si>
  <si>
    <t>09:02:02</t>
  </si>
  <si>
    <t>09:02:03</t>
  </si>
  <si>
    <t>09:02:04</t>
  </si>
  <si>
    <t>09:02:05</t>
  </si>
  <si>
    <t>09:02:06</t>
  </si>
  <si>
    <t>09:02:07</t>
  </si>
  <si>
    <t>09:02:08</t>
  </si>
  <si>
    <t>09:02:09</t>
  </si>
  <si>
    <t>09:02:10</t>
  </si>
  <si>
    <t>09:02:11</t>
  </si>
  <si>
    <t>09:02:12</t>
  </si>
  <si>
    <t>09:02:13</t>
  </si>
  <si>
    <t>09:02:14</t>
  </si>
  <si>
    <t>09:02:15</t>
  </si>
  <si>
    <t>09:02:16</t>
  </si>
  <si>
    <t>09:02:17</t>
  </si>
  <si>
    <t>09:02:18</t>
  </si>
  <si>
    <t>09:02:19</t>
  </si>
  <si>
    <t>09:02:20</t>
  </si>
  <si>
    <t>09:02:21</t>
  </si>
  <si>
    <t>09:02:22</t>
  </si>
  <si>
    <t>09:02:23</t>
  </si>
  <si>
    <t>09:02:24</t>
  </si>
  <si>
    <t>09:02:25</t>
  </si>
  <si>
    <t>09:02:26</t>
  </si>
  <si>
    <t>09:02:27</t>
  </si>
  <si>
    <t>09:02:28</t>
  </si>
  <si>
    <t>09:02:29</t>
  </si>
  <si>
    <t>09:02:30</t>
  </si>
  <si>
    <t>09:02:31</t>
  </si>
  <si>
    <t>09:02:32</t>
  </si>
  <si>
    <t>09:02:33</t>
  </si>
  <si>
    <t>09:02:34</t>
  </si>
  <si>
    <t>09:02:35</t>
  </si>
  <si>
    <t>09:02:36</t>
  </si>
  <si>
    <t>09:02:37</t>
  </si>
  <si>
    <t>09:02:38</t>
  </si>
  <si>
    <t>09:02:39</t>
  </si>
  <si>
    <t>09:02:40</t>
  </si>
  <si>
    <t>09:02:41</t>
  </si>
  <si>
    <t>09:02:42</t>
  </si>
  <si>
    <t>09:02:43</t>
  </si>
  <si>
    <t>09:02:44</t>
  </si>
  <si>
    <t>09:02:45</t>
  </si>
  <si>
    <t>09:02:46</t>
  </si>
  <si>
    <t>09:02:47</t>
  </si>
  <si>
    <t>09:02:48</t>
  </si>
  <si>
    <t>09:02:49</t>
  </si>
  <si>
    <t>09:02:50</t>
  </si>
  <si>
    <t>09:02:51</t>
  </si>
  <si>
    <t>09:02:52</t>
  </si>
  <si>
    <t>09:02:53</t>
  </si>
  <si>
    <t>09:02:54</t>
  </si>
  <si>
    <t>09:02:55</t>
  </si>
  <si>
    <t>09:02:56</t>
  </si>
  <si>
    <t>09:02:57</t>
  </si>
  <si>
    <t>09:02:58</t>
  </si>
  <si>
    <t>09:02:59</t>
  </si>
  <si>
    <t>09:03:00</t>
  </si>
  <si>
    <t>09:03:01</t>
  </si>
  <si>
    <t>09:03:02</t>
  </si>
  <si>
    <t>09:03:03</t>
  </si>
  <si>
    <t>09:03:04</t>
  </si>
  <si>
    <t>09:03:05</t>
  </si>
  <si>
    <t>09:03:06</t>
  </si>
  <si>
    <t>09:03:07</t>
  </si>
  <si>
    <t>09:03:08</t>
  </si>
  <si>
    <t>09:03:09</t>
  </si>
  <si>
    <t>09:03:10</t>
  </si>
  <si>
    <t>09:03:11</t>
  </si>
  <si>
    <t>09:18:33</t>
  </si>
  <si>
    <t>LINE 14</t>
  </si>
  <si>
    <t>https://gcc.gistexgarmenindonesia.com:7186/AI_SOURCE/GUDANGEXP1/RED_LINE/LINE_LINE 14_20241008_091535.jpg</t>
  </si>
  <si>
    <t>09:18:34</t>
  </si>
  <si>
    <t>09:18:35</t>
  </si>
  <si>
    <t>09:18:36</t>
  </si>
  <si>
    <t>09:18:37</t>
  </si>
  <si>
    <t>09:18:38</t>
  </si>
  <si>
    <t>09:18:39</t>
  </si>
  <si>
    <t>09:18:40</t>
  </si>
  <si>
    <t>09:18:41</t>
  </si>
  <si>
    <t>09:18:42</t>
  </si>
  <si>
    <t>09:18:43</t>
  </si>
  <si>
    <t>09:18:44</t>
  </si>
  <si>
    <t>09:18:45</t>
  </si>
  <si>
    <t>09:18:46</t>
  </si>
  <si>
    <t>09:18:47</t>
  </si>
  <si>
    <t>09:18:48</t>
  </si>
  <si>
    <t>09:18:49</t>
  </si>
  <si>
    <t>09:18:50</t>
  </si>
  <si>
    <t>09:18:51</t>
  </si>
  <si>
    <t>09:18:52</t>
  </si>
  <si>
    <t>09:18:53</t>
  </si>
  <si>
    <t>09:18:54</t>
  </si>
  <si>
    <t>09:18:55</t>
  </si>
  <si>
    <t>09:18:56</t>
  </si>
  <si>
    <t>09:18:57</t>
  </si>
  <si>
    <t>09:18:58</t>
  </si>
  <si>
    <t>09:18:59</t>
  </si>
  <si>
    <t>09:19:00</t>
  </si>
  <si>
    <t>09:19:01</t>
  </si>
  <si>
    <t>09:19:02</t>
  </si>
  <si>
    <t>09:19:03</t>
  </si>
  <si>
    <t>09:19:04</t>
  </si>
  <si>
    <t>09:19:05</t>
  </si>
  <si>
    <t>09:19:06</t>
  </si>
  <si>
    <t>09:19:07</t>
  </si>
  <si>
    <t>09:19:08</t>
  </si>
  <si>
    <t>09:19:09</t>
  </si>
  <si>
    <t>09:19:10</t>
  </si>
  <si>
    <t>09:19:11</t>
  </si>
  <si>
    <t>09:19:12</t>
  </si>
  <si>
    <t>09:19:13</t>
  </si>
  <si>
    <t>09:19:14</t>
  </si>
  <si>
    <t>09:19:15</t>
  </si>
  <si>
    <t>09:19:16</t>
  </si>
  <si>
    <t>09:19:17</t>
  </si>
  <si>
    <t>09:19:18</t>
  </si>
  <si>
    <t>09:19:19</t>
  </si>
  <si>
    <t>[CLEAN] No Hp</t>
  </si>
  <si>
    <t>[CLEAN] PIC Area</t>
  </si>
  <si>
    <t>[CLEAN] Nama</t>
  </si>
  <si>
    <t>COLLECT DATA FITLER1</t>
  </si>
  <si>
    <t>COLLECT DATA FITLER2</t>
  </si>
  <si>
    <t>\\10.8.0.35\Bersama\IT\RPA IT\RPA - Visual AI\MACRO_RPA - Visial AI 5S\.Macro\MACRO_RPA - Visial AI 5S.xlsm</t>
  </si>
  <si>
    <t>PK</t>
  </si>
  <si>
    <t>SERI</t>
  </si>
  <si>
    <t>PIC AREA UNREGISTERED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</si>
</sst>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</borders>
  <cellStyleXfs count="4">
    <xf numFmtId="0" fontId="0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34">
    <xf numFmtId="0" fontId="0" fillId="0" borderId="0" xfId="0"/>
    <xf numFmtId="0" fontId="2" fillId="0" borderId="0" xfId="1"/>
    <xf numFmtId="0" fontId="5" fillId="0" borderId="0" xfId="1" applyFont="1"/>
    <xf numFmtId="0" fontId="4" fillId="0" borderId="0" xfId="1" applyFont="1"/>
    <xf numFmtId="0" fontId="2" fillId="0" borderId="3" xfId="1" applyBorder="1"/>
    <xf numFmtId="0" fontId="4" fillId="0" borderId="4" xfId="1" applyFont="1" applyBorder="1"/>
    <xf numFmtId="0" fontId="2" fillId="3" borderId="0" xfId="1" applyFill="1"/>
    <xf numFmtId="0" fontId="2" fillId="0" borderId="5" xfId="1" applyBorder="1"/>
    <xf numFmtId="0" fontId="4" fillId="0" borderId="6" xfId="1" applyFont="1" applyBorder="1"/>
    <xf numFmtId="0" fontId="12" fillId="4" borderId="7" xfId="1" applyFont="1" applyFill="1" applyBorder="1" applyAlignment="1">
      <alignment vertical="center"/>
    </xf>
    <xf numFmtId="0" fontId="12" fillId="4" borderId="0" xfId="1" applyFont="1" applyFill="1" applyAlignment="1">
      <alignment vertical="center"/>
    </xf>
    <xf numFmtId="0" fontId="12" fillId="4" borderId="0" xfId="1" applyFont="1" applyFill="1" applyAlignment="1">
      <alignment horizontal="left" vertical="center"/>
    </xf>
    <xf numFmtId="0" fontId="13" fillId="0" borderId="0" xfId="1" applyFont="1" applyAlignment="1">
      <alignment horizontal="left"/>
    </xf>
    <xf numFmtId="0" fontId="15" fillId="0" borderId="0" xfId="2"/>
    <xf numFmtId="0" fontId="3" fillId="5" borderId="0" xfId="0" applyFont="1" applyFill="1"/>
    <xf numFmtId="0" fontId="16" fillId="0" borderId="0" xfId="2" applyFont="1" applyFill="1" applyAlignment="1">
      <alignment horizontal="center"/>
    </xf>
    <xf numFmtId="22" fontId="0" fillId="0" borderId="0" xfId="0" applyNumberFormat="1"/>
    <xf numFmtId="0" fontId="3" fillId="0" borderId="0" xfId="0" applyFont="1"/>
    <xf numFmtId="0" fontId="17" fillId="0" borderId="0" xfId="3" quotePrefix="1"/>
    <xf numFmtId="49" fontId="1" fillId="0" borderId="0" xfId="1" applyNumberFormat="1" applyFont="1"/>
    <xf numFmtId="15" fontId="3" fillId="5" borderId="0" xfId="0" applyNumberFormat="1" applyFont="1" applyFill="1"/>
    <xf numFmtId="15" fontId="0" fillId="0" borderId="0" xfId="0" applyNumberFormat="1"/>
    <xf numFmtId="14" fontId="0" fillId="0" borderId="0" xfId="0" applyNumberFormat="1"/>
    <xf numFmtId="0" fontId="18" fillId="0" borderId="0" xfId="1" applyFont="1"/>
    <xf numFmtId="49" fontId="3" fillId="0" borderId="0" xfId="0" applyNumberFormat="1" applyFont="1"/>
    <xf numFmtId="49" fontId="0" fillId="0" borderId="0" xfId="0" applyNumberFormat="1"/>
    <xf numFmtId="0" fontId="5" fillId="0" borderId="1" xfId="1" applyFont="1" applyBorder="1" applyAlignment="1">
      <alignment horizontal="left"/>
    </xf>
    <xf numFmtId="0" fontId="9" fillId="2" borderId="2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10" fillId="0" borderId="2" xfId="1" applyFont="1" applyBorder="1" applyAlignment="1">
      <alignment horizontal="left"/>
    </xf>
    <xf numFmtId="0" fontId="2" fillId="4" borderId="0" xfId="1" applyFill="1" applyAlignment="1">
      <alignment horizontal="center"/>
    </xf>
    <xf numFmtId="0" fontId="0" fillId="6" borderId="0" xfId="0" applyFill="1"/>
  </cellXfs>
  <cellStyles count="4">
    <cellStyle name="Hyperlink" xfId="3" builtinId="8"/>
    <cellStyle name="Hyperlink 2" xfId="2" xr:uid="{18B6CDE6-73A9-4FB6-89A4-525B115740C4}"/>
    <cellStyle name="Normal" xfId="0" builtinId="0"/>
    <cellStyle name="Normal 2" xfId="1" xr:uid="{737702C8-E5C3-4014-A92E-107CF048285A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290857</xdr:colOff>
      <xdr:row>2</xdr:row>
      <xdr:rowOff>9525</xdr:rowOff>
    </xdr:from>
    <xdr:to>
      <xdr:col>2</xdr:col>
      <xdr:colOff>2457449</xdr:colOff>
      <xdr:row>7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827557" y="492125"/>
          <a:ext cx="2166592" cy="800100"/>
          <a:chOff x="2367307" y="415925"/>
          <a:chExt cx="2166592" cy="8001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tn_Execute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200-000001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46159</xdr:colOff>
      <xdr:row>11</xdr:row>
      <xdr:rowOff>41031</xdr:rowOff>
    </xdr:from>
    <xdr:to>
      <xdr:col>3</xdr:col>
      <xdr:colOff>112419</xdr:colOff>
      <xdr:row>11</xdr:row>
      <xdr:rowOff>181164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818184" y="199365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2348258</xdr:colOff>
      <xdr:row>2</xdr:row>
      <xdr:rowOff>38100</xdr:rowOff>
    </xdr:from>
    <xdr:to>
      <xdr:col>5</xdr:col>
      <xdr:colOff>1905000</xdr:colOff>
      <xdr:row>7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555258" y="520700"/>
          <a:ext cx="2331692" cy="800100"/>
          <a:chOff x="4332633" y="447675"/>
          <a:chExt cx="2839692" cy="8763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32633" y="447675"/>
            <a:ext cx="2839692" cy="8763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Backup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200-000002180000}"/>
                  </a:ext>
                </a:extLst>
              </xdr:cNvPr>
              <xdr:cNvSpPr/>
            </xdr:nvSpPr>
            <xdr:spPr bwMode="auto">
              <a:xfrm>
                <a:off x="4606921" y="637728"/>
                <a:ext cx="2274979" cy="4941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3224557</xdr:colOff>
      <xdr:row>2</xdr:row>
      <xdr:rowOff>53975</xdr:rowOff>
    </xdr:from>
    <xdr:to>
      <xdr:col>4</xdr:col>
      <xdr:colOff>1720849</xdr:colOff>
      <xdr:row>7</xdr:row>
      <xdr:rowOff>53975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1257" y="536575"/>
          <a:ext cx="2166592" cy="800100"/>
          <a:chOff x="2367307" y="415925"/>
          <a:chExt cx="2166592" cy="8001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CommandButton1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200-000003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DC6C0-D818-4966-95E0-9DE5151521B2}">
  <sheetPr codeName="Sheet16"/>
  <dimension ref="A1:C13"/>
  <sheetViews>
    <sheetView workbookViewId="0"/>
  </sheetViews>
  <sheetFormatPr defaultRowHeight="14.5"/>
  <cols>
    <col min="1" max="1" width="237" bestFit="1" customWidth="1"/>
    <col min="2" max="2" width="23.26953125" bestFit="1" customWidth="1"/>
    <col min="3" max="3" width="14.81640625" style="21" bestFit="1" customWidth="1"/>
  </cols>
  <sheetData>
    <row r="1" spans="1:3">
      <c r="A1" s="14" t="s">
        <v>17</v>
      </c>
      <c r="B1" s="14" t="s">
        <v>11</v>
      </c>
      <c r="C1" s="20" t="s">
        <v>9</v>
      </c>
    </row>
    <row r="2" spans="1:3">
      <c r="A2" t="s">
        <v>29</v>
      </c>
      <c r="C2" s="22">
        <v>45567.636179513887</v>
      </c>
    </row>
    <row r="3" spans="1:3">
      <c r="A3" t="s">
        <v>31</v>
      </c>
      <c r="C3" s="22">
        <v>45567.636179513887</v>
      </c>
    </row>
    <row r="4" spans="1:3">
      <c r="A4" t="s">
        <v>36</v>
      </c>
      <c r="B4" t="s">
        <v>37</v>
      </c>
      <c r="C4" s="16">
        <v>45568.456909722219</v>
      </c>
    </row>
    <row r="5" spans="1:3">
      <c r="A5" t="s">
        <v>36</v>
      </c>
      <c r="B5" t="s">
        <v>37</v>
      </c>
      <c r="C5" s="16">
        <v>45568.586284722223</v>
      </c>
    </row>
    <row r="6" spans="1:3">
      <c r="A6" t="s">
        <v>36</v>
      </c>
      <c r="B6" t="s">
        <v>37</v>
      </c>
      <c r="C6" s="16">
        <v>45568.588275462964</v>
      </c>
    </row>
    <row r="7" spans="1:3">
      <c r="A7" t="s">
        <v>36</v>
      </c>
      <c r="B7" t="s">
        <v>37</v>
      </c>
      <c r="C7" s="16">
        <v>45568.617025462961</v>
      </c>
    </row>
    <row r="8" spans="1:3">
      <c r="A8" t="s">
        <v>46</v>
      </c>
      <c r="B8" t="s">
        <v>37</v>
      </c>
      <c r="C8" s="16">
        <v>45569.485231481478</v>
      </c>
    </row>
    <row r="9" spans="1:3">
      <c r="A9" t="s">
        <v>46</v>
      </c>
      <c r="B9" t="s">
        <v>37</v>
      </c>
      <c r="C9" s="16">
        <v>45569.67496527778</v>
      </c>
    </row>
    <row r="10" spans="1:3">
      <c r="A10" t="s">
        <v>46</v>
      </c>
      <c r="B10" t="s">
        <v>37</v>
      </c>
      <c r="C10" s="16">
        <v>45569.676666666666</v>
      </c>
    </row>
    <row r="11" spans="1:3">
      <c r="A11" t="s">
        <v>46</v>
      </c>
      <c r="B11" t="s">
        <v>37</v>
      </c>
      <c r="C11" s="16">
        <v>45569.682986111111</v>
      </c>
    </row>
    <row r="12" spans="1:3">
      <c r="A12" t="s">
        <v>46</v>
      </c>
      <c r="B12" t="s">
        <v>37</v>
      </c>
      <c r="C12" s="16">
        <v>45569.683437500003</v>
      </c>
    </row>
    <row r="13" spans="1:3">
      <c r="A13" t="s">
        <v>46</v>
      </c>
      <c r="B13" t="s">
        <v>37</v>
      </c>
      <c r="C13" s="16">
        <v>45569.683576388888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8BA3-9502-43D4-A79E-4CD16863E6AD}">
  <sheetPr codeName="Sheet3"/>
  <dimension ref="A1:F2"/>
  <sheetViews>
    <sheetView workbookViewId="0"/>
  </sheetViews>
  <sheetFormatPr defaultRowHeight="14.5"/>
  <cols>
    <col min="1" max="1" width="10.453125" customWidth="1"/>
    <col min="2" max="2" width="13.453125" bestFit="1" customWidth="1"/>
    <col min="3" max="3" width="18.54296875" customWidth="1"/>
    <col min="4" max="4" width="24" customWidth="1"/>
    <col min="5" max="6" width="10.54296875" bestFit="1" customWidth="1"/>
  </cols>
  <sheetData>
    <row r="1" spans="1:6">
      <c r="A1" s="17" t="s">
        <v>21</v>
      </c>
      <c r="B1" s="17" t="s">
        <v>22</v>
      </c>
      <c r="C1" s="17" t="s">
        <v>16</v>
      </c>
      <c r="D1" s="17" t="s">
        <v>18</v>
      </c>
      <c r="F1" s="17" t="s">
        <v>30</v>
      </c>
    </row>
    <row r="2" spans="1:6">
      <c r="A2" t="s">
        <v>20</v>
      </c>
      <c r="B2" t="s">
        <v>19</v>
      </c>
      <c r="C2" t="str">
        <f>"!!WARNING!!+Visual+AI+5S+DITEMUKAN+TANPA+KONTAK+VIOLATION+"&amp;SUBSTITUTE(HOME!E13," ","+")</f>
        <v>!!WARNING!!+Visual+AI+5S+DITEMUKAN+TANPA+KONTAK+VIOLATION+\\10.8.0.35\Bersama\IT\RPA+IT\RPA+-+Visual+AI\MACRO_RPA+-+Visial+AI+5S\.Macro\MACRO_RPA+-+Visial+AI+5S.xlsm</v>
      </c>
      <c r="D2" s="18" t="str">
        <f>"https://web.whatsapp.com/send/?phone="&amp;B2&amp;"&amp;text="&amp;C2&amp;"&amp;type=phone_number&amp;app_absent=0"</f>
        <v>https://web.whatsapp.com/send/?phone=628999007703&amp;text=!!WARNING!!+Visual+AI+5S+DITEMUKAN+TANPA+KONTAK+VIOLATION+\\10.8.0.35\Bersama\IT\RPA+IT\RPA+-+Visual+AI\MACRO_RPA+-+Visial+AI+5S\.Macro\MACRO_RPA+-+Visial+AI+5S.xlsm&amp;type=phone_number&amp;app_absent=0</v>
      </c>
      <c r="F2" t="b">
        <f>ISTEXT(VLOOKUP("warning DATA TIDAK VALID",CC1_VisualAI!$AC:$AC,1,FALSE))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7896-A31C-4AB9-9D2D-3BD419D164F6}">
  <sheetPr codeName="sh_Home1111">
    <tabColor rgb="FF00B0F0"/>
  </sheetPr>
  <dimension ref="A1:H29"/>
  <sheetViews>
    <sheetView showGridLines="0" zoomScaleNormal="100" workbookViewId="0"/>
  </sheetViews>
  <sheetFormatPr defaultColWidth="8.7265625" defaultRowHeight="14.5"/>
  <cols>
    <col min="1" max="1" width="20.26953125" style="1" customWidth="1"/>
    <col min="2" max="2" width="1.7265625" style="1" customWidth="1"/>
    <col min="3" max="3" width="49.54296875" style="1" customWidth="1"/>
    <col min="4" max="4" width="3" style="1" customWidth="1"/>
    <col min="5" max="5" width="39.7265625" style="1" customWidth="1"/>
    <col min="6" max="6" width="35.81640625" style="1" customWidth="1"/>
    <col min="7" max="7" width="1.7265625" style="1" customWidth="1"/>
    <col min="8" max="8" width="28" style="1" customWidth="1"/>
    <col min="9" max="16384" width="8.7265625" style="1"/>
  </cols>
  <sheetData>
    <row r="1" spans="1:8" ht="12" customHeight="1">
      <c r="C1" s="26" t="s">
        <v>0</v>
      </c>
      <c r="D1" s="26"/>
      <c r="E1" s="26"/>
      <c r="F1" s="26"/>
      <c r="G1" s="2"/>
    </row>
    <row r="2" spans="1:8" ht="26.25" customHeight="1">
      <c r="C2" s="27" t="s">
        <v>1</v>
      </c>
      <c r="D2" s="27"/>
      <c r="E2" s="27"/>
      <c r="F2" s="27"/>
      <c r="G2" s="3" t="s">
        <v>2</v>
      </c>
    </row>
    <row r="3" spans="1:8" ht="12" customHeight="1">
      <c r="C3" s="28"/>
      <c r="D3" s="28"/>
      <c r="E3" s="28"/>
      <c r="F3" s="28"/>
      <c r="G3" s="3"/>
    </row>
    <row r="4" spans="1:8" ht="12" customHeight="1">
      <c r="C4" s="28"/>
      <c r="D4" s="28"/>
      <c r="E4" s="28"/>
      <c r="F4" s="28"/>
      <c r="G4" s="3"/>
    </row>
    <row r="5" spans="1:8" ht="18" customHeight="1">
      <c r="B5" s="4"/>
      <c r="C5" s="28"/>
      <c r="D5" s="28"/>
      <c r="E5" s="28"/>
      <c r="F5" s="28"/>
      <c r="G5" s="5"/>
    </row>
    <row r="6" spans="1:8" ht="3" customHeight="1">
      <c r="A6" s="6"/>
      <c r="C6" s="28"/>
      <c r="D6" s="28"/>
      <c r="E6" s="28"/>
      <c r="F6" s="28"/>
      <c r="H6" s="6"/>
    </row>
    <row r="7" spans="1:8" ht="18" customHeight="1">
      <c r="B7" s="7"/>
      <c r="C7" s="28"/>
      <c r="D7" s="28"/>
      <c r="E7" s="28"/>
      <c r="F7" s="28"/>
      <c r="G7" s="8"/>
    </row>
    <row r="8" spans="1:8" ht="12" customHeight="1">
      <c r="C8" s="28"/>
      <c r="D8" s="28"/>
      <c r="E8" s="28"/>
      <c r="F8" s="28"/>
      <c r="G8" s="3"/>
    </row>
    <row r="9" spans="1:8" ht="6.75" customHeight="1">
      <c r="A9" s="30"/>
      <c r="B9" s="30"/>
      <c r="C9" s="29"/>
      <c r="D9" s="29"/>
      <c r="E9" s="29"/>
      <c r="F9" s="29"/>
      <c r="G9" s="3"/>
    </row>
    <row r="10" spans="1:8" ht="18" customHeight="1">
      <c r="A10" s="30"/>
      <c r="B10" s="30"/>
      <c r="C10" s="31" t="s">
        <v>3</v>
      </c>
      <c r="D10" s="31"/>
      <c r="E10" s="31"/>
      <c r="F10" s="31"/>
      <c r="G10" s="3"/>
    </row>
    <row r="11" spans="1:8" ht="15.5">
      <c r="C11" s="9" t="s">
        <v>4</v>
      </c>
      <c r="D11" s="10" t="s">
        <v>5</v>
      </c>
      <c r="E11" s="10"/>
      <c r="F11" s="11" t="s">
        <v>6</v>
      </c>
      <c r="G11" s="3"/>
    </row>
    <row r="12" spans="1:8">
      <c r="C12" s="12" t="s">
        <v>7</v>
      </c>
      <c r="D12" s="3" t="s">
        <v>2</v>
      </c>
      <c r="E12" t="s">
        <v>12</v>
      </c>
      <c r="F12" s="15" t="s">
        <v>2</v>
      </c>
      <c r="G12" s="3" t="s">
        <v>2</v>
      </c>
    </row>
    <row r="13" spans="1:8">
      <c r="C13" s="12" t="s">
        <v>32</v>
      </c>
      <c r="D13" s="3"/>
      <c r="E13" t="s">
        <v>885</v>
      </c>
      <c r="F13" s="15" t="s">
        <v>2</v>
      </c>
      <c r="G13" s="3"/>
    </row>
    <row r="14" spans="1:8">
      <c r="C14" s="12" t="s">
        <v>26</v>
      </c>
      <c r="D14" s="3"/>
      <c r="E14" t="s">
        <v>25</v>
      </c>
      <c r="F14" s="15" t="s">
        <v>2</v>
      </c>
      <c r="G14" s="3"/>
    </row>
    <row r="15" spans="1:8">
      <c r="C15" s="12"/>
      <c r="D15" s="12"/>
      <c r="E15" s="13"/>
      <c r="F15" s="15"/>
      <c r="G15" s="3"/>
    </row>
    <row r="16" spans="1:8" ht="1.5" customHeight="1">
      <c r="C16" s="32"/>
      <c r="D16" s="32"/>
      <c r="E16" s="32"/>
      <c r="F16" s="32"/>
      <c r="G16" s="3"/>
    </row>
    <row r="17" spans="3:7">
      <c r="G17" s="3"/>
    </row>
    <row r="18" spans="3:7">
      <c r="C18" s="1" t="s">
        <v>8</v>
      </c>
      <c r="G18" s="3"/>
    </row>
    <row r="19" spans="3:7">
      <c r="C19" s="19" t="s">
        <v>24</v>
      </c>
      <c r="G19" s="3"/>
    </row>
    <row r="20" spans="3:7">
      <c r="C20" s="19" t="s">
        <v>23</v>
      </c>
      <c r="G20" s="3"/>
    </row>
    <row r="21" spans="3:7">
      <c r="G21" s="3"/>
    </row>
    <row r="22" spans="3:7">
      <c r="C22" s="23" t="s">
        <v>10</v>
      </c>
      <c r="G22" s="3"/>
    </row>
    <row r="23" spans="3:7">
      <c r="G23" s="3"/>
    </row>
    <row r="24" spans="3:7">
      <c r="G24" s="3"/>
    </row>
    <row r="25" spans="3:7">
      <c r="G25" s="3"/>
    </row>
    <row r="26" spans="3:7">
      <c r="G26" s="3"/>
    </row>
    <row r="27" spans="3:7">
      <c r="G27" s="3"/>
    </row>
    <row r="28" spans="3:7">
      <c r="G28" s="3"/>
    </row>
    <row r="29" spans="3:7">
      <c r="G29" s="3"/>
    </row>
  </sheetData>
  <mergeCells count="5">
    <mergeCell ref="C1:F1"/>
    <mergeCell ref="C2:F9"/>
    <mergeCell ref="A9:B10"/>
    <mergeCell ref="C10:F10"/>
    <mergeCell ref="C16:F1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Execute">
          <controlPr defaultSize="0" autoLine="0" autoPict="0" r:id="rId4">
            <anchor moveWithCells="1">
              <from>
                <xdr:col>2</xdr:col>
                <xdr:colOff>501650</xdr:colOff>
                <xdr:row>3</xdr:row>
                <xdr:rowOff>31750</xdr:rowOff>
              </from>
              <to>
                <xdr:col>2</xdr:col>
                <xdr:colOff>2235200</xdr:colOff>
                <xdr:row>6</xdr:row>
                <xdr:rowOff>63500</xdr:rowOff>
              </to>
            </anchor>
          </controlPr>
        </control>
      </mc:Choice>
      <mc:Fallback>
        <control shapeId="6145" r:id="rId3" name="btn_Execute"/>
      </mc:Fallback>
    </mc:AlternateContent>
    <mc:AlternateContent xmlns:mc="http://schemas.openxmlformats.org/markup-compatibility/2006">
      <mc:Choice Requires="x14">
        <control shapeId="6146" r:id="rId5" name="BTN_Backup">
          <controlPr defaultSize="0" autoLine="0" autoPict="0" r:id="rId6">
            <anchor moveWithCells="1">
              <from>
                <xdr:col>4</xdr:col>
                <xdr:colOff>2571750</xdr:colOff>
                <xdr:row>3</xdr:row>
                <xdr:rowOff>57150</xdr:rowOff>
              </from>
              <to>
                <xdr:col>5</xdr:col>
                <xdr:colOff>1663700</xdr:colOff>
                <xdr:row>6</xdr:row>
                <xdr:rowOff>88900</xdr:rowOff>
              </to>
            </anchor>
          </controlPr>
        </control>
      </mc:Choice>
      <mc:Fallback>
        <control shapeId="6146" r:id="rId5" name="BTN_Backup"/>
      </mc:Fallback>
    </mc:AlternateContent>
    <mc:AlternateContent xmlns:mc="http://schemas.openxmlformats.org/markup-compatibility/2006">
      <mc:Choice Requires="x14">
        <control shapeId="6147" r:id="rId7" name="CommandButton1">
          <controlPr defaultSize="0" autoLine="0" autoPict="0" r:id="rId8">
            <anchor moveWithCells="1">
              <from>
                <xdr:col>2</xdr:col>
                <xdr:colOff>3435350</xdr:colOff>
                <xdr:row>3</xdr:row>
                <xdr:rowOff>76200</xdr:rowOff>
              </from>
              <to>
                <xdr:col>4</xdr:col>
                <xdr:colOff>1498600</xdr:colOff>
                <xdr:row>6</xdr:row>
                <xdr:rowOff>107950</xdr:rowOff>
              </to>
            </anchor>
          </controlPr>
        </control>
      </mc:Choice>
      <mc:Fallback>
        <control shapeId="6147" r:id="rId7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AFC4-F85A-4AFE-B1E6-8C67D83C983C}">
  <sheetPr codeName="Sheet6"/>
  <dimension ref="A1:H4721"/>
  <sheetViews>
    <sheetView workbookViewId="0">
      <selection sqref="A1:D1048576"/>
    </sheetView>
  </sheetViews>
  <sheetFormatPr defaultRowHeight="14.5"/>
  <cols>
    <col min="1" max="1" width="16.26953125" bestFit="1" customWidth="1"/>
    <col min="2" max="2" width="8.1796875" bestFit="1" customWidth="1"/>
    <col min="3" max="3" width="8.453125" bestFit="1" customWidth="1"/>
    <col min="4" max="4" width="14.1796875" style="25" bestFit="1" customWidth="1"/>
    <col min="8" max="8" width="45.1796875" bestFit="1" customWidth="1"/>
  </cols>
  <sheetData>
    <row r="1" spans="1:8">
      <c r="A1" s="17" t="s">
        <v>35</v>
      </c>
      <c r="B1" s="17" t="s">
        <v>13</v>
      </c>
      <c r="C1" s="17" t="s">
        <v>14</v>
      </c>
      <c r="D1" s="24" t="s">
        <v>34</v>
      </c>
      <c r="H1" s="17" t="s">
        <v>38</v>
      </c>
    </row>
    <row r="2" spans="1:8">
      <c r="A2" t="str">
        <f>B2&amp;"-"&amp;C2</f>
        <v>AREA 10-Jhonson</v>
      </c>
      <c r="B2" t="s">
        <v>15</v>
      </c>
      <c r="C2" t="s">
        <v>33</v>
      </c>
      <c r="D2" s="25" t="s">
        <v>39</v>
      </c>
      <c r="H2" t="s">
        <v>19</v>
      </c>
    </row>
    <row r="3" spans="1:8">
      <c r="A3" t="str">
        <f>B3&amp;"-"&amp;C3</f>
        <v>AREA 10-Hadi</v>
      </c>
      <c r="B3" t="s">
        <v>15</v>
      </c>
      <c r="C3" t="s">
        <v>20</v>
      </c>
      <c r="D3" s="25" t="s">
        <v>19</v>
      </c>
    </row>
    <row r="4" spans="1:8">
      <c r="A4" t="str">
        <f>B4&amp;"-"&amp;C4</f>
        <v>AREA 1-Antos</v>
      </c>
      <c r="B4" t="s">
        <v>40</v>
      </c>
      <c r="C4" t="s">
        <v>42</v>
      </c>
      <c r="D4" t="s">
        <v>43</v>
      </c>
    </row>
    <row r="5" spans="1:8">
      <c r="A5" t="str">
        <f>B5&amp;"-"&amp;C5</f>
        <v>LINE 2-Rexy</v>
      </c>
      <c r="B5" t="s">
        <v>41</v>
      </c>
      <c r="C5" t="s">
        <v>44</v>
      </c>
      <c r="D5" t="s">
        <v>45</v>
      </c>
    </row>
    <row r="6" spans="1:8">
      <c r="D6"/>
    </row>
    <row r="7" spans="1:8">
      <c r="D7"/>
    </row>
    <row r="8" spans="1:8">
      <c r="D8"/>
    </row>
    <row r="9" spans="1:8">
      <c r="D9"/>
    </row>
    <row r="10" spans="1:8">
      <c r="D10"/>
    </row>
    <row r="11" spans="1:8">
      <c r="D11"/>
    </row>
    <row r="12" spans="1:8">
      <c r="D12"/>
    </row>
    <row r="13" spans="1:8">
      <c r="D13"/>
    </row>
    <row r="14" spans="1:8">
      <c r="D14"/>
    </row>
    <row r="15" spans="1:8">
      <c r="D15"/>
    </row>
    <row r="16" spans="1:8">
      <c r="D16"/>
    </row>
    <row r="17" spans="4:4">
      <c r="D17"/>
    </row>
    <row r="18" spans="4:4">
      <c r="D18"/>
    </row>
    <row r="19" spans="4:4">
      <c r="D19"/>
    </row>
    <row r="20" spans="4:4">
      <c r="D20"/>
    </row>
    <row r="21" spans="4:4">
      <c r="D21"/>
    </row>
    <row r="22" spans="4:4">
      <c r="D22"/>
    </row>
    <row r="23" spans="4:4">
      <c r="D23"/>
    </row>
    <row r="24" spans="4:4">
      <c r="D24"/>
    </row>
    <row r="25" spans="4:4">
      <c r="D25"/>
    </row>
    <row r="26" spans="4:4">
      <c r="D26"/>
    </row>
    <row r="27" spans="4:4">
      <c r="D27"/>
    </row>
    <row r="28" spans="4:4">
      <c r="D28"/>
    </row>
    <row r="29" spans="4:4">
      <c r="D29"/>
    </row>
    <row r="30" spans="4:4">
      <c r="D30"/>
    </row>
    <row r="31" spans="4:4">
      <c r="D31"/>
    </row>
    <row r="32" spans="4:4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  <row r="1484" spans="4:4">
      <c r="D1484"/>
    </row>
    <row r="1485" spans="4:4">
      <c r="D1485"/>
    </row>
    <row r="1486" spans="4:4">
      <c r="D1486"/>
    </row>
    <row r="1487" spans="4:4">
      <c r="D1487"/>
    </row>
    <row r="1488" spans="4:4">
      <c r="D1488"/>
    </row>
    <row r="1489" spans="4:4">
      <c r="D1489"/>
    </row>
    <row r="1490" spans="4:4">
      <c r="D1490"/>
    </row>
    <row r="1491" spans="4:4">
      <c r="D1491"/>
    </row>
    <row r="1492" spans="4:4">
      <c r="D1492"/>
    </row>
    <row r="1493" spans="4:4">
      <c r="D1493"/>
    </row>
    <row r="1494" spans="4:4">
      <c r="D1494"/>
    </row>
    <row r="1495" spans="4:4">
      <c r="D1495"/>
    </row>
    <row r="1496" spans="4:4">
      <c r="D1496"/>
    </row>
    <row r="1497" spans="4:4">
      <c r="D1497"/>
    </row>
    <row r="1498" spans="4:4">
      <c r="D1498"/>
    </row>
    <row r="1499" spans="4:4">
      <c r="D1499"/>
    </row>
    <row r="1500" spans="4:4">
      <c r="D1500"/>
    </row>
    <row r="1501" spans="4:4">
      <c r="D1501"/>
    </row>
    <row r="1502" spans="4:4">
      <c r="D1502"/>
    </row>
    <row r="1503" spans="4:4">
      <c r="D1503"/>
    </row>
    <row r="1504" spans="4:4">
      <c r="D1504"/>
    </row>
    <row r="1505" spans="4:4">
      <c r="D1505"/>
    </row>
    <row r="1506" spans="4:4">
      <c r="D1506"/>
    </row>
    <row r="1507" spans="4:4">
      <c r="D1507"/>
    </row>
    <row r="1508" spans="4:4">
      <c r="D1508"/>
    </row>
    <row r="1509" spans="4:4">
      <c r="D1509"/>
    </row>
    <row r="1510" spans="4:4">
      <c r="D1510"/>
    </row>
    <row r="1511" spans="4:4">
      <c r="D1511"/>
    </row>
    <row r="1512" spans="4:4">
      <c r="D1512"/>
    </row>
    <row r="1513" spans="4:4">
      <c r="D1513"/>
    </row>
    <row r="1514" spans="4:4">
      <c r="D1514"/>
    </row>
    <row r="1515" spans="4:4">
      <c r="D1515"/>
    </row>
    <row r="1516" spans="4:4">
      <c r="D1516"/>
    </row>
    <row r="1517" spans="4:4">
      <c r="D1517"/>
    </row>
    <row r="1518" spans="4:4">
      <c r="D1518"/>
    </row>
    <row r="1519" spans="4:4">
      <c r="D1519"/>
    </row>
    <row r="1520" spans="4:4">
      <c r="D1520"/>
    </row>
    <row r="1521" spans="4:4">
      <c r="D1521"/>
    </row>
    <row r="1522" spans="4:4">
      <c r="D1522"/>
    </row>
    <row r="1523" spans="4:4">
      <c r="D1523"/>
    </row>
    <row r="1524" spans="4:4">
      <c r="D1524"/>
    </row>
    <row r="1525" spans="4:4">
      <c r="D1525"/>
    </row>
    <row r="1526" spans="4:4">
      <c r="D1526"/>
    </row>
    <row r="1527" spans="4:4">
      <c r="D1527"/>
    </row>
    <row r="1528" spans="4:4">
      <c r="D1528"/>
    </row>
    <row r="1529" spans="4:4">
      <c r="D1529"/>
    </row>
    <row r="1530" spans="4:4">
      <c r="D1530"/>
    </row>
    <row r="1531" spans="4:4">
      <c r="D1531"/>
    </row>
    <row r="1532" spans="4:4">
      <c r="D1532"/>
    </row>
    <row r="1533" spans="4:4">
      <c r="D1533"/>
    </row>
    <row r="1534" spans="4:4">
      <c r="D1534"/>
    </row>
    <row r="1535" spans="4:4">
      <c r="D1535"/>
    </row>
    <row r="1536" spans="4:4">
      <c r="D1536"/>
    </row>
    <row r="1537" spans="4:4">
      <c r="D1537"/>
    </row>
    <row r="1538" spans="4:4">
      <c r="D1538"/>
    </row>
    <row r="1539" spans="4:4">
      <c r="D1539"/>
    </row>
    <row r="1540" spans="4:4">
      <c r="D1540"/>
    </row>
    <row r="1541" spans="4:4">
      <c r="D1541"/>
    </row>
    <row r="1542" spans="4:4">
      <c r="D1542"/>
    </row>
    <row r="1543" spans="4:4">
      <c r="D1543"/>
    </row>
    <row r="1544" spans="4:4">
      <c r="D1544"/>
    </row>
    <row r="1545" spans="4:4">
      <c r="D1545"/>
    </row>
    <row r="1546" spans="4:4">
      <c r="D1546"/>
    </row>
    <row r="1547" spans="4:4">
      <c r="D1547"/>
    </row>
    <row r="1548" spans="4:4">
      <c r="D1548"/>
    </row>
    <row r="1549" spans="4:4">
      <c r="D1549"/>
    </row>
    <row r="1550" spans="4:4">
      <c r="D1550"/>
    </row>
    <row r="1551" spans="4:4">
      <c r="D1551"/>
    </row>
    <row r="1552" spans="4:4">
      <c r="D1552"/>
    </row>
    <row r="1553" spans="4:4">
      <c r="D1553"/>
    </row>
    <row r="1554" spans="4:4">
      <c r="D1554"/>
    </row>
    <row r="1555" spans="4:4">
      <c r="D1555"/>
    </row>
    <row r="1556" spans="4:4">
      <c r="D1556"/>
    </row>
    <row r="1557" spans="4:4">
      <c r="D1557"/>
    </row>
    <row r="1558" spans="4:4">
      <c r="D1558"/>
    </row>
    <row r="1559" spans="4:4">
      <c r="D1559"/>
    </row>
    <row r="1560" spans="4:4">
      <c r="D1560"/>
    </row>
    <row r="1561" spans="4:4">
      <c r="D1561"/>
    </row>
    <row r="1562" spans="4:4">
      <c r="D1562"/>
    </row>
    <row r="1563" spans="4:4">
      <c r="D1563"/>
    </row>
    <row r="1564" spans="4:4">
      <c r="D1564"/>
    </row>
    <row r="1565" spans="4:4">
      <c r="D1565"/>
    </row>
    <row r="1566" spans="4:4">
      <c r="D1566"/>
    </row>
    <row r="1567" spans="4:4">
      <c r="D1567"/>
    </row>
    <row r="1568" spans="4:4">
      <c r="D1568"/>
    </row>
    <row r="1569" spans="4:4">
      <c r="D1569"/>
    </row>
    <row r="1570" spans="4:4">
      <c r="D1570"/>
    </row>
    <row r="1571" spans="4:4">
      <c r="D1571"/>
    </row>
    <row r="1572" spans="4:4">
      <c r="D1572"/>
    </row>
    <row r="1573" spans="4:4">
      <c r="D1573"/>
    </row>
    <row r="1574" spans="4:4">
      <c r="D1574"/>
    </row>
    <row r="1575" spans="4:4">
      <c r="D1575"/>
    </row>
    <row r="1576" spans="4:4">
      <c r="D1576"/>
    </row>
    <row r="1577" spans="4:4">
      <c r="D1577"/>
    </row>
    <row r="1578" spans="4:4">
      <c r="D1578"/>
    </row>
    <row r="1579" spans="4:4">
      <c r="D1579"/>
    </row>
    <row r="1580" spans="4:4">
      <c r="D1580"/>
    </row>
    <row r="1581" spans="4:4">
      <c r="D1581"/>
    </row>
    <row r="1582" spans="4:4">
      <c r="D1582"/>
    </row>
    <row r="1583" spans="4:4">
      <c r="D1583"/>
    </row>
    <row r="1584" spans="4:4">
      <c r="D1584"/>
    </row>
    <row r="1585" spans="4:4">
      <c r="D1585"/>
    </row>
    <row r="1586" spans="4:4">
      <c r="D1586"/>
    </row>
    <row r="1587" spans="4:4">
      <c r="D1587"/>
    </row>
    <row r="1588" spans="4:4">
      <c r="D1588"/>
    </row>
    <row r="1589" spans="4:4">
      <c r="D1589"/>
    </row>
    <row r="1590" spans="4:4">
      <c r="D1590"/>
    </row>
    <row r="1591" spans="4:4">
      <c r="D1591"/>
    </row>
    <row r="1592" spans="4:4">
      <c r="D1592"/>
    </row>
    <row r="1593" spans="4:4">
      <c r="D1593"/>
    </row>
    <row r="1594" spans="4:4">
      <c r="D1594"/>
    </row>
    <row r="1595" spans="4:4">
      <c r="D1595"/>
    </row>
    <row r="1596" spans="4:4">
      <c r="D1596"/>
    </row>
    <row r="1597" spans="4:4">
      <c r="D1597"/>
    </row>
    <row r="1598" spans="4:4">
      <c r="D1598"/>
    </row>
    <row r="1599" spans="4:4">
      <c r="D1599"/>
    </row>
    <row r="1600" spans="4:4">
      <c r="D1600"/>
    </row>
    <row r="1601" spans="4:4">
      <c r="D1601"/>
    </row>
    <row r="1602" spans="4:4">
      <c r="D1602"/>
    </row>
    <row r="1603" spans="4:4">
      <c r="D1603"/>
    </row>
    <row r="1604" spans="4:4">
      <c r="D1604"/>
    </row>
    <row r="1605" spans="4:4">
      <c r="D1605"/>
    </row>
    <row r="1606" spans="4:4">
      <c r="D1606"/>
    </row>
    <row r="1607" spans="4:4">
      <c r="D1607"/>
    </row>
    <row r="1608" spans="4:4">
      <c r="D1608"/>
    </row>
    <row r="1609" spans="4:4">
      <c r="D1609"/>
    </row>
    <row r="1610" spans="4:4">
      <c r="D1610"/>
    </row>
    <row r="1611" spans="4:4">
      <c r="D1611"/>
    </row>
    <row r="1612" spans="4:4">
      <c r="D1612"/>
    </row>
    <row r="1613" spans="4:4">
      <c r="D1613"/>
    </row>
    <row r="1614" spans="4:4">
      <c r="D1614"/>
    </row>
    <row r="1615" spans="4:4">
      <c r="D1615"/>
    </row>
    <row r="1616" spans="4:4">
      <c r="D1616"/>
    </row>
    <row r="1617" spans="4:4">
      <c r="D1617"/>
    </row>
    <row r="1618" spans="4:4">
      <c r="D1618"/>
    </row>
    <row r="1619" spans="4:4">
      <c r="D1619"/>
    </row>
    <row r="1620" spans="4:4">
      <c r="D1620"/>
    </row>
    <row r="1621" spans="4:4">
      <c r="D1621"/>
    </row>
    <row r="1622" spans="4:4">
      <c r="D1622"/>
    </row>
    <row r="1623" spans="4:4">
      <c r="D1623"/>
    </row>
    <row r="1624" spans="4:4">
      <c r="D1624"/>
    </row>
    <row r="1625" spans="4:4">
      <c r="D1625"/>
    </row>
    <row r="1626" spans="4:4">
      <c r="D1626"/>
    </row>
    <row r="1627" spans="4:4">
      <c r="D1627"/>
    </row>
    <row r="1628" spans="4:4">
      <c r="D1628"/>
    </row>
    <row r="1629" spans="4:4">
      <c r="D1629"/>
    </row>
    <row r="1630" spans="4:4">
      <c r="D1630"/>
    </row>
    <row r="1631" spans="4:4">
      <c r="D1631"/>
    </row>
    <row r="1632" spans="4:4">
      <c r="D1632"/>
    </row>
    <row r="1633" spans="4:4">
      <c r="D1633"/>
    </row>
    <row r="1634" spans="4:4">
      <c r="D1634"/>
    </row>
    <row r="1635" spans="4:4">
      <c r="D1635"/>
    </row>
    <row r="1636" spans="4:4">
      <c r="D1636"/>
    </row>
    <row r="1637" spans="4:4">
      <c r="D1637"/>
    </row>
    <row r="1638" spans="4:4">
      <c r="D1638"/>
    </row>
    <row r="1639" spans="4:4">
      <c r="D1639"/>
    </row>
    <row r="1640" spans="4:4">
      <c r="D1640"/>
    </row>
    <row r="1641" spans="4:4">
      <c r="D1641"/>
    </row>
    <row r="1642" spans="4:4">
      <c r="D1642"/>
    </row>
    <row r="1643" spans="4:4">
      <c r="D1643"/>
    </row>
    <row r="1644" spans="4:4">
      <c r="D1644"/>
    </row>
    <row r="1645" spans="4:4">
      <c r="D1645"/>
    </row>
    <row r="1646" spans="4:4">
      <c r="D1646"/>
    </row>
    <row r="1647" spans="4:4">
      <c r="D1647"/>
    </row>
    <row r="1648" spans="4:4">
      <c r="D1648"/>
    </row>
    <row r="1649" spans="4:4">
      <c r="D1649"/>
    </row>
    <row r="1650" spans="4:4">
      <c r="D1650"/>
    </row>
    <row r="1651" spans="4:4">
      <c r="D1651"/>
    </row>
    <row r="1652" spans="4:4">
      <c r="D1652"/>
    </row>
    <row r="1653" spans="4:4">
      <c r="D1653"/>
    </row>
    <row r="1654" spans="4:4">
      <c r="D1654"/>
    </row>
    <row r="1655" spans="4:4">
      <c r="D1655"/>
    </row>
    <row r="1656" spans="4:4">
      <c r="D1656"/>
    </row>
    <row r="1657" spans="4:4">
      <c r="D1657"/>
    </row>
    <row r="1658" spans="4:4">
      <c r="D1658"/>
    </row>
    <row r="1659" spans="4:4">
      <c r="D1659"/>
    </row>
    <row r="1660" spans="4:4">
      <c r="D1660"/>
    </row>
    <row r="1661" spans="4:4">
      <c r="D1661"/>
    </row>
    <row r="1662" spans="4:4">
      <c r="D1662"/>
    </row>
    <row r="1663" spans="4:4">
      <c r="D1663"/>
    </row>
    <row r="1664" spans="4:4">
      <c r="D1664"/>
    </row>
    <row r="1665" spans="4:4">
      <c r="D1665"/>
    </row>
    <row r="1666" spans="4:4">
      <c r="D1666"/>
    </row>
    <row r="1667" spans="4:4">
      <c r="D1667"/>
    </row>
    <row r="1668" spans="4:4">
      <c r="D1668"/>
    </row>
    <row r="1669" spans="4:4">
      <c r="D1669"/>
    </row>
    <row r="1670" spans="4:4">
      <c r="D1670"/>
    </row>
    <row r="1671" spans="4:4">
      <c r="D1671"/>
    </row>
    <row r="1672" spans="4:4">
      <c r="D1672"/>
    </row>
    <row r="1673" spans="4:4">
      <c r="D1673"/>
    </row>
    <row r="1674" spans="4:4">
      <c r="D1674"/>
    </row>
    <row r="1675" spans="4:4">
      <c r="D1675"/>
    </row>
    <row r="1676" spans="4:4">
      <c r="D1676"/>
    </row>
    <row r="1677" spans="4:4">
      <c r="D1677"/>
    </row>
    <row r="1678" spans="4:4">
      <c r="D1678"/>
    </row>
    <row r="1679" spans="4:4">
      <c r="D1679"/>
    </row>
    <row r="1680" spans="4:4">
      <c r="D1680"/>
    </row>
    <row r="1681" spans="4:4">
      <c r="D1681"/>
    </row>
    <row r="1682" spans="4:4">
      <c r="D1682"/>
    </row>
    <row r="1683" spans="4:4">
      <c r="D1683"/>
    </row>
    <row r="1684" spans="4:4">
      <c r="D1684"/>
    </row>
    <row r="1685" spans="4:4">
      <c r="D1685"/>
    </row>
    <row r="1686" spans="4:4">
      <c r="D1686"/>
    </row>
    <row r="1687" spans="4:4">
      <c r="D1687"/>
    </row>
    <row r="1688" spans="4:4">
      <c r="D1688"/>
    </row>
    <row r="1689" spans="4:4">
      <c r="D1689"/>
    </row>
    <row r="1690" spans="4:4">
      <c r="D1690"/>
    </row>
    <row r="1691" spans="4:4">
      <c r="D1691"/>
    </row>
    <row r="1692" spans="4:4">
      <c r="D1692"/>
    </row>
    <row r="1693" spans="4:4">
      <c r="D1693"/>
    </row>
    <row r="1694" spans="4:4">
      <c r="D1694"/>
    </row>
    <row r="1695" spans="4:4">
      <c r="D1695"/>
    </row>
    <row r="1696" spans="4:4">
      <c r="D1696"/>
    </row>
    <row r="1697" spans="4:4">
      <c r="D1697"/>
    </row>
    <row r="1698" spans="4:4">
      <c r="D1698"/>
    </row>
    <row r="1699" spans="4:4">
      <c r="D1699"/>
    </row>
    <row r="1700" spans="4:4">
      <c r="D1700"/>
    </row>
    <row r="1701" spans="4:4">
      <c r="D1701"/>
    </row>
    <row r="1702" spans="4:4">
      <c r="D1702"/>
    </row>
    <row r="1703" spans="4:4">
      <c r="D1703"/>
    </row>
    <row r="1704" spans="4:4">
      <c r="D1704"/>
    </row>
    <row r="1705" spans="4:4">
      <c r="D1705"/>
    </row>
    <row r="1706" spans="4:4">
      <c r="D1706"/>
    </row>
    <row r="1707" spans="4:4">
      <c r="D1707"/>
    </row>
    <row r="1708" spans="4:4">
      <c r="D1708"/>
    </row>
    <row r="1709" spans="4:4">
      <c r="D1709"/>
    </row>
    <row r="1710" spans="4:4">
      <c r="D1710"/>
    </row>
    <row r="1711" spans="4:4">
      <c r="D1711"/>
    </row>
    <row r="1712" spans="4:4">
      <c r="D1712"/>
    </row>
    <row r="1713" spans="4:4">
      <c r="D1713"/>
    </row>
    <row r="1714" spans="4:4">
      <c r="D1714"/>
    </row>
    <row r="1715" spans="4:4">
      <c r="D1715"/>
    </row>
    <row r="1716" spans="4:4">
      <c r="D1716"/>
    </row>
    <row r="1717" spans="4:4">
      <c r="D1717"/>
    </row>
    <row r="1718" spans="4:4">
      <c r="D1718"/>
    </row>
    <row r="1719" spans="4:4">
      <c r="D1719"/>
    </row>
    <row r="1720" spans="4:4">
      <c r="D1720"/>
    </row>
    <row r="1721" spans="4:4">
      <c r="D1721"/>
    </row>
    <row r="1722" spans="4:4">
      <c r="D1722"/>
    </row>
    <row r="1723" spans="4:4">
      <c r="D1723"/>
    </row>
    <row r="1724" spans="4:4">
      <c r="D1724"/>
    </row>
    <row r="1725" spans="4:4">
      <c r="D1725"/>
    </row>
    <row r="1726" spans="4:4">
      <c r="D1726"/>
    </row>
    <row r="1727" spans="4:4">
      <c r="D1727"/>
    </row>
    <row r="1728" spans="4:4">
      <c r="D1728"/>
    </row>
    <row r="1729" spans="4:4">
      <c r="D1729"/>
    </row>
    <row r="1730" spans="4:4">
      <c r="D1730"/>
    </row>
    <row r="1731" spans="4:4">
      <c r="D1731"/>
    </row>
    <row r="1732" spans="4:4">
      <c r="D1732"/>
    </row>
    <row r="1733" spans="4:4">
      <c r="D1733"/>
    </row>
    <row r="1734" spans="4:4">
      <c r="D1734"/>
    </row>
    <row r="1735" spans="4:4">
      <c r="D1735"/>
    </row>
    <row r="1736" spans="4:4">
      <c r="D1736"/>
    </row>
    <row r="1737" spans="4:4">
      <c r="D1737"/>
    </row>
    <row r="1738" spans="4:4">
      <c r="D1738"/>
    </row>
    <row r="1739" spans="4:4">
      <c r="D1739"/>
    </row>
    <row r="1740" spans="4:4">
      <c r="D1740"/>
    </row>
    <row r="1741" spans="4:4">
      <c r="D1741"/>
    </row>
    <row r="1742" spans="4:4">
      <c r="D1742"/>
    </row>
    <row r="1743" spans="4:4">
      <c r="D1743"/>
    </row>
    <row r="1744" spans="4:4">
      <c r="D1744"/>
    </row>
    <row r="1745" spans="4:4">
      <c r="D1745"/>
    </row>
    <row r="1746" spans="4:4">
      <c r="D1746"/>
    </row>
    <row r="1747" spans="4:4">
      <c r="D1747"/>
    </row>
    <row r="1748" spans="4:4">
      <c r="D1748"/>
    </row>
    <row r="1749" spans="4:4">
      <c r="D1749"/>
    </row>
    <row r="1750" spans="4:4">
      <c r="D1750"/>
    </row>
    <row r="1751" spans="4:4">
      <c r="D1751"/>
    </row>
    <row r="1752" spans="4:4">
      <c r="D1752"/>
    </row>
    <row r="1753" spans="4:4">
      <c r="D1753"/>
    </row>
    <row r="1754" spans="4:4">
      <c r="D1754"/>
    </row>
    <row r="1755" spans="4:4">
      <c r="D1755"/>
    </row>
    <row r="1756" spans="4:4">
      <c r="D1756"/>
    </row>
    <row r="1757" spans="4:4">
      <c r="D1757"/>
    </row>
    <row r="1758" spans="4:4">
      <c r="D1758"/>
    </row>
    <row r="1759" spans="4:4">
      <c r="D1759"/>
    </row>
    <row r="1760" spans="4:4">
      <c r="D1760"/>
    </row>
    <row r="1761" spans="4:4">
      <c r="D1761"/>
    </row>
    <row r="1762" spans="4:4">
      <c r="D1762"/>
    </row>
    <row r="1763" spans="4:4">
      <c r="D1763"/>
    </row>
    <row r="1764" spans="4:4">
      <c r="D1764"/>
    </row>
    <row r="1765" spans="4:4">
      <c r="D1765"/>
    </row>
    <row r="1766" spans="4:4">
      <c r="D1766"/>
    </row>
    <row r="1767" spans="4:4">
      <c r="D1767"/>
    </row>
    <row r="1768" spans="4:4">
      <c r="D1768"/>
    </row>
    <row r="1769" spans="4:4">
      <c r="D1769"/>
    </row>
    <row r="1770" spans="4:4">
      <c r="D1770"/>
    </row>
    <row r="1771" spans="4:4">
      <c r="D1771"/>
    </row>
    <row r="1772" spans="4:4">
      <c r="D1772"/>
    </row>
    <row r="1773" spans="4:4">
      <c r="D1773"/>
    </row>
    <row r="1774" spans="4:4">
      <c r="D1774"/>
    </row>
    <row r="1775" spans="4:4">
      <c r="D1775"/>
    </row>
    <row r="1776" spans="4:4">
      <c r="D1776"/>
    </row>
    <row r="1777" spans="4:4">
      <c r="D1777"/>
    </row>
    <row r="1778" spans="4:4">
      <c r="D1778"/>
    </row>
    <row r="1779" spans="4:4">
      <c r="D1779"/>
    </row>
    <row r="1780" spans="4:4">
      <c r="D1780"/>
    </row>
    <row r="1781" spans="4:4">
      <c r="D1781"/>
    </row>
    <row r="1782" spans="4:4">
      <c r="D1782"/>
    </row>
    <row r="1783" spans="4:4">
      <c r="D1783"/>
    </row>
    <row r="1784" spans="4:4">
      <c r="D1784"/>
    </row>
    <row r="1785" spans="4:4">
      <c r="D1785"/>
    </row>
    <row r="1786" spans="4:4">
      <c r="D1786"/>
    </row>
    <row r="1787" spans="4:4">
      <c r="D1787"/>
    </row>
    <row r="1788" spans="4:4">
      <c r="D1788"/>
    </row>
    <row r="1789" spans="4:4">
      <c r="D1789"/>
    </row>
    <row r="1790" spans="4:4">
      <c r="D1790"/>
    </row>
    <row r="1791" spans="4:4">
      <c r="D1791"/>
    </row>
    <row r="1792" spans="4:4">
      <c r="D1792"/>
    </row>
    <row r="1793" spans="4:4">
      <c r="D1793"/>
    </row>
    <row r="1794" spans="4:4">
      <c r="D1794"/>
    </row>
    <row r="1795" spans="4:4">
      <c r="D1795"/>
    </row>
    <row r="1796" spans="4:4">
      <c r="D1796"/>
    </row>
    <row r="1797" spans="4:4">
      <c r="D1797"/>
    </row>
    <row r="1798" spans="4:4">
      <c r="D1798"/>
    </row>
    <row r="1799" spans="4:4">
      <c r="D1799"/>
    </row>
    <row r="1800" spans="4:4">
      <c r="D1800"/>
    </row>
    <row r="1801" spans="4:4">
      <c r="D1801"/>
    </row>
    <row r="1802" spans="4:4">
      <c r="D1802"/>
    </row>
    <row r="1803" spans="4:4">
      <c r="D1803"/>
    </row>
    <row r="1804" spans="4:4">
      <c r="D1804"/>
    </row>
    <row r="1805" spans="4:4">
      <c r="D1805"/>
    </row>
    <row r="1806" spans="4:4">
      <c r="D1806"/>
    </row>
    <row r="1807" spans="4:4">
      <c r="D1807"/>
    </row>
    <row r="1808" spans="4:4">
      <c r="D1808"/>
    </row>
    <row r="1809" spans="4:4">
      <c r="D1809"/>
    </row>
    <row r="1810" spans="4:4">
      <c r="D1810"/>
    </row>
    <row r="1811" spans="4:4">
      <c r="D1811"/>
    </row>
    <row r="1812" spans="4:4">
      <c r="D1812"/>
    </row>
    <row r="1813" spans="4:4">
      <c r="D1813"/>
    </row>
    <row r="1814" spans="4:4">
      <c r="D1814"/>
    </row>
    <row r="1815" spans="4:4">
      <c r="D1815"/>
    </row>
    <row r="1816" spans="4:4">
      <c r="D1816"/>
    </row>
    <row r="1817" spans="4:4">
      <c r="D1817"/>
    </row>
    <row r="1818" spans="4:4">
      <c r="D1818"/>
    </row>
    <row r="1819" spans="4:4">
      <c r="D1819"/>
    </row>
    <row r="1820" spans="4:4">
      <c r="D1820"/>
    </row>
    <row r="1821" spans="4:4">
      <c r="D1821"/>
    </row>
    <row r="1822" spans="4:4">
      <c r="D1822"/>
    </row>
    <row r="1823" spans="4:4">
      <c r="D1823"/>
    </row>
    <row r="1824" spans="4:4">
      <c r="D1824"/>
    </row>
    <row r="1825" spans="4:4">
      <c r="D1825"/>
    </row>
    <row r="1826" spans="4:4">
      <c r="D1826"/>
    </row>
    <row r="1827" spans="4:4">
      <c r="D1827"/>
    </row>
    <row r="1828" spans="4:4">
      <c r="D1828"/>
    </row>
    <row r="1829" spans="4:4">
      <c r="D1829"/>
    </row>
    <row r="1830" spans="4:4">
      <c r="D1830"/>
    </row>
    <row r="1831" spans="4:4">
      <c r="D1831"/>
    </row>
    <row r="1832" spans="4:4">
      <c r="D1832"/>
    </row>
    <row r="1833" spans="4:4">
      <c r="D1833"/>
    </row>
    <row r="1834" spans="4:4">
      <c r="D1834"/>
    </row>
    <row r="1835" spans="4:4">
      <c r="D1835"/>
    </row>
    <row r="1836" spans="4:4">
      <c r="D1836"/>
    </row>
    <row r="1837" spans="4:4">
      <c r="D1837"/>
    </row>
    <row r="1838" spans="4:4">
      <c r="D1838"/>
    </row>
    <row r="1839" spans="4:4">
      <c r="D1839"/>
    </row>
    <row r="1840" spans="4:4">
      <c r="D1840"/>
    </row>
    <row r="1841" spans="4:4">
      <c r="D1841"/>
    </row>
    <row r="1842" spans="4:4">
      <c r="D1842"/>
    </row>
    <row r="1843" spans="4:4">
      <c r="D1843"/>
    </row>
    <row r="1844" spans="4:4">
      <c r="D1844"/>
    </row>
    <row r="1845" spans="4:4">
      <c r="D1845"/>
    </row>
    <row r="1846" spans="4:4">
      <c r="D1846"/>
    </row>
    <row r="1847" spans="4:4">
      <c r="D1847"/>
    </row>
    <row r="1848" spans="4:4">
      <c r="D1848"/>
    </row>
    <row r="1849" spans="4:4">
      <c r="D1849"/>
    </row>
    <row r="1850" spans="4:4">
      <c r="D1850"/>
    </row>
    <row r="1851" spans="4:4">
      <c r="D1851"/>
    </row>
    <row r="1852" spans="4:4">
      <c r="D1852"/>
    </row>
    <row r="1853" spans="4:4">
      <c r="D1853"/>
    </row>
    <row r="1854" spans="4:4">
      <c r="D1854"/>
    </row>
    <row r="1855" spans="4:4">
      <c r="D1855"/>
    </row>
    <row r="1856" spans="4:4">
      <c r="D1856"/>
    </row>
    <row r="1857" spans="4:4">
      <c r="D1857"/>
    </row>
    <row r="1858" spans="4:4">
      <c r="D1858"/>
    </row>
    <row r="1859" spans="4:4">
      <c r="D1859"/>
    </row>
    <row r="1860" spans="4:4">
      <c r="D1860"/>
    </row>
    <row r="1861" spans="4:4">
      <c r="D1861"/>
    </row>
    <row r="1862" spans="4:4">
      <c r="D1862"/>
    </row>
    <row r="1863" spans="4:4">
      <c r="D1863"/>
    </row>
    <row r="1864" spans="4:4">
      <c r="D1864"/>
    </row>
    <row r="1865" spans="4:4">
      <c r="D1865"/>
    </row>
    <row r="1866" spans="4:4">
      <c r="D1866"/>
    </row>
    <row r="1867" spans="4:4">
      <c r="D1867"/>
    </row>
    <row r="1868" spans="4:4">
      <c r="D1868"/>
    </row>
    <row r="1869" spans="4:4">
      <c r="D1869"/>
    </row>
    <row r="1870" spans="4:4">
      <c r="D1870"/>
    </row>
    <row r="1871" spans="4:4">
      <c r="D1871"/>
    </row>
    <row r="1872" spans="4:4">
      <c r="D1872"/>
    </row>
    <row r="1873" spans="4:4">
      <c r="D1873"/>
    </row>
    <row r="1874" spans="4:4">
      <c r="D1874"/>
    </row>
    <row r="1875" spans="4:4">
      <c r="D1875"/>
    </row>
    <row r="1876" spans="4:4">
      <c r="D1876"/>
    </row>
    <row r="1877" spans="4:4">
      <c r="D1877"/>
    </row>
    <row r="1878" spans="4:4">
      <c r="D1878"/>
    </row>
    <row r="1879" spans="4:4">
      <c r="D1879"/>
    </row>
    <row r="1880" spans="4:4">
      <c r="D1880"/>
    </row>
    <row r="1881" spans="4:4">
      <c r="D1881"/>
    </row>
    <row r="1882" spans="4:4">
      <c r="D1882"/>
    </row>
    <row r="1883" spans="4:4">
      <c r="D1883"/>
    </row>
    <row r="1884" spans="4:4">
      <c r="D1884"/>
    </row>
    <row r="1885" spans="4:4">
      <c r="D1885"/>
    </row>
    <row r="1886" spans="4:4">
      <c r="D1886"/>
    </row>
    <row r="1887" spans="4:4">
      <c r="D1887"/>
    </row>
    <row r="1888" spans="4:4">
      <c r="D1888"/>
    </row>
    <row r="1889" spans="4:4">
      <c r="D1889"/>
    </row>
    <row r="1890" spans="4:4">
      <c r="D1890"/>
    </row>
    <row r="1891" spans="4:4">
      <c r="D1891"/>
    </row>
    <row r="1892" spans="4:4">
      <c r="D1892"/>
    </row>
    <row r="1893" spans="4:4">
      <c r="D1893"/>
    </row>
    <row r="1894" spans="4:4">
      <c r="D1894"/>
    </row>
    <row r="1895" spans="4:4">
      <c r="D1895"/>
    </row>
    <row r="1896" spans="4:4">
      <c r="D1896"/>
    </row>
    <row r="1897" spans="4:4">
      <c r="D1897"/>
    </row>
    <row r="1898" spans="4:4">
      <c r="D1898"/>
    </row>
    <row r="1899" spans="4:4">
      <c r="D1899"/>
    </row>
    <row r="1900" spans="4:4">
      <c r="D1900"/>
    </row>
    <row r="1901" spans="4:4">
      <c r="D1901"/>
    </row>
    <row r="1902" spans="4:4">
      <c r="D1902"/>
    </row>
    <row r="1903" spans="4:4">
      <c r="D1903"/>
    </row>
    <row r="1904" spans="4:4">
      <c r="D1904"/>
    </row>
    <row r="1905" spans="4:4">
      <c r="D1905"/>
    </row>
    <row r="1906" spans="4:4">
      <c r="D1906"/>
    </row>
    <row r="1907" spans="4:4">
      <c r="D1907"/>
    </row>
    <row r="1908" spans="4:4">
      <c r="D1908"/>
    </row>
    <row r="1909" spans="4:4">
      <c r="D1909"/>
    </row>
    <row r="1910" spans="4:4">
      <c r="D1910"/>
    </row>
    <row r="1911" spans="4:4">
      <c r="D1911"/>
    </row>
    <row r="1912" spans="4:4">
      <c r="D1912"/>
    </row>
    <row r="1913" spans="4:4">
      <c r="D1913"/>
    </row>
    <row r="1914" spans="4:4">
      <c r="D1914"/>
    </row>
    <row r="1915" spans="4:4">
      <c r="D1915"/>
    </row>
    <row r="1916" spans="4:4">
      <c r="D1916"/>
    </row>
    <row r="1917" spans="4:4">
      <c r="D1917"/>
    </row>
    <row r="1918" spans="4:4">
      <c r="D1918"/>
    </row>
    <row r="1919" spans="4:4">
      <c r="D1919"/>
    </row>
    <row r="1920" spans="4:4">
      <c r="D1920"/>
    </row>
    <row r="1921" spans="4:4">
      <c r="D1921"/>
    </row>
    <row r="1922" spans="4:4">
      <c r="D1922"/>
    </row>
    <row r="1923" spans="4:4">
      <c r="D1923"/>
    </row>
    <row r="1924" spans="4:4">
      <c r="D1924"/>
    </row>
    <row r="1925" spans="4:4">
      <c r="D1925"/>
    </row>
    <row r="1926" spans="4:4">
      <c r="D1926"/>
    </row>
    <row r="1927" spans="4:4">
      <c r="D1927"/>
    </row>
    <row r="1928" spans="4:4">
      <c r="D1928"/>
    </row>
    <row r="1929" spans="4:4">
      <c r="D1929"/>
    </row>
    <row r="1930" spans="4:4">
      <c r="D1930"/>
    </row>
    <row r="1931" spans="4:4">
      <c r="D1931"/>
    </row>
    <row r="1932" spans="4:4">
      <c r="D1932"/>
    </row>
    <row r="1933" spans="4:4">
      <c r="D1933"/>
    </row>
    <row r="1934" spans="4:4">
      <c r="D1934"/>
    </row>
    <row r="1935" spans="4:4">
      <c r="D1935"/>
    </row>
    <row r="1936" spans="4:4">
      <c r="D1936"/>
    </row>
    <row r="1937" spans="4:4">
      <c r="D1937"/>
    </row>
    <row r="1938" spans="4:4">
      <c r="D1938"/>
    </row>
    <row r="1939" spans="4:4">
      <c r="D1939"/>
    </row>
    <row r="1940" spans="4:4">
      <c r="D1940"/>
    </row>
    <row r="1941" spans="4:4">
      <c r="D1941"/>
    </row>
    <row r="1942" spans="4:4">
      <c r="D1942"/>
    </row>
    <row r="1943" spans="4:4">
      <c r="D1943"/>
    </row>
    <row r="1944" spans="4:4">
      <c r="D1944"/>
    </row>
    <row r="1945" spans="4:4">
      <c r="D1945"/>
    </row>
    <row r="1946" spans="4:4">
      <c r="D1946"/>
    </row>
    <row r="1947" spans="4:4">
      <c r="D1947"/>
    </row>
    <row r="1948" spans="4:4">
      <c r="D1948"/>
    </row>
    <row r="1949" spans="4:4">
      <c r="D1949"/>
    </row>
    <row r="1950" spans="4:4">
      <c r="D1950"/>
    </row>
    <row r="1951" spans="4:4">
      <c r="D1951"/>
    </row>
    <row r="1952" spans="4:4">
      <c r="D1952"/>
    </row>
    <row r="1953" spans="4:4">
      <c r="D1953"/>
    </row>
    <row r="1954" spans="4:4">
      <c r="D1954"/>
    </row>
    <row r="1955" spans="4:4">
      <c r="D1955"/>
    </row>
    <row r="1956" spans="4:4">
      <c r="D1956"/>
    </row>
    <row r="1957" spans="4:4">
      <c r="D1957"/>
    </row>
    <row r="1958" spans="4:4">
      <c r="D1958"/>
    </row>
    <row r="1959" spans="4:4">
      <c r="D1959"/>
    </row>
    <row r="1960" spans="4:4">
      <c r="D1960"/>
    </row>
    <row r="1961" spans="4:4">
      <c r="D1961"/>
    </row>
    <row r="1962" spans="4:4">
      <c r="D1962"/>
    </row>
    <row r="1963" spans="4:4">
      <c r="D1963"/>
    </row>
    <row r="1964" spans="4:4">
      <c r="D1964"/>
    </row>
    <row r="1965" spans="4:4">
      <c r="D1965"/>
    </row>
    <row r="1966" spans="4:4">
      <c r="D1966"/>
    </row>
    <row r="1967" spans="4:4">
      <c r="D1967"/>
    </row>
    <row r="1968" spans="4:4">
      <c r="D1968"/>
    </row>
    <row r="1969" spans="4:4">
      <c r="D1969"/>
    </row>
    <row r="1970" spans="4:4">
      <c r="D1970"/>
    </row>
    <row r="1971" spans="4:4">
      <c r="D1971"/>
    </row>
    <row r="1972" spans="4:4">
      <c r="D1972"/>
    </row>
    <row r="1973" spans="4:4">
      <c r="D1973"/>
    </row>
    <row r="1974" spans="4:4">
      <c r="D1974"/>
    </row>
    <row r="1975" spans="4:4">
      <c r="D1975"/>
    </row>
    <row r="1976" spans="4:4">
      <c r="D1976"/>
    </row>
    <row r="1977" spans="4:4">
      <c r="D1977"/>
    </row>
    <row r="1978" spans="4:4">
      <c r="D1978"/>
    </row>
    <row r="1979" spans="4:4">
      <c r="D1979"/>
    </row>
    <row r="1980" spans="4:4">
      <c r="D1980"/>
    </row>
    <row r="1981" spans="4:4">
      <c r="D1981"/>
    </row>
    <row r="1982" spans="4:4">
      <c r="D1982"/>
    </row>
    <row r="1983" spans="4:4">
      <c r="D1983"/>
    </row>
    <row r="1984" spans="4:4">
      <c r="D1984"/>
    </row>
    <row r="1985" spans="4:4">
      <c r="D1985"/>
    </row>
    <row r="1986" spans="4:4">
      <c r="D1986"/>
    </row>
    <row r="1987" spans="4:4">
      <c r="D1987"/>
    </row>
    <row r="1988" spans="4:4">
      <c r="D1988"/>
    </row>
    <row r="1989" spans="4:4">
      <c r="D1989"/>
    </row>
    <row r="1990" spans="4:4">
      <c r="D1990"/>
    </row>
    <row r="1991" spans="4:4">
      <c r="D1991"/>
    </row>
    <row r="1992" spans="4:4">
      <c r="D1992"/>
    </row>
    <row r="1993" spans="4:4">
      <c r="D1993"/>
    </row>
    <row r="1994" spans="4:4">
      <c r="D1994"/>
    </row>
    <row r="1995" spans="4:4">
      <c r="D1995"/>
    </row>
    <row r="1996" spans="4:4">
      <c r="D1996"/>
    </row>
    <row r="1997" spans="4:4">
      <c r="D1997"/>
    </row>
    <row r="1998" spans="4:4">
      <c r="D1998"/>
    </row>
    <row r="1999" spans="4:4">
      <c r="D1999"/>
    </row>
    <row r="2000" spans="4:4">
      <c r="D2000"/>
    </row>
    <row r="2001" spans="4:4">
      <c r="D2001"/>
    </row>
    <row r="2002" spans="4:4">
      <c r="D2002"/>
    </row>
    <row r="2003" spans="4:4">
      <c r="D2003"/>
    </row>
    <row r="2004" spans="4:4">
      <c r="D2004"/>
    </row>
    <row r="2005" spans="4:4">
      <c r="D2005"/>
    </row>
    <row r="2006" spans="4:4">
      <c r="D2006"/>
    </row>
    <row r="2007" spans="4:4">
      <c r="D2007"/>
    </row>
    <row r="2008" spans="4:4">
      <c r="D2008"/>
    </row>
    <row r="2009" spans="4:4">
      <c r="D2009"/>
    </row>
    <row r="2010" spans="4:4">
      <c r="D2010"/>
    </row>
    <row r="2011" spans="4:4">
      <c r="D2011"/>
    </row>
    <row r="2012" spans="4:4">
      <c r="D2012"/>
    </row>
    <row r="2013" spans="4:4">
      <c r="D2013"/>
    </row>
    <row r="2014" spans="4:4">
      <c r="D2014"/>
    </row>
    <row r="2015" spans="4:4">
      <c r="D2015"/>
    </row>
    <row r="2016" spans="4:4">
      <c r="D2016"/>
    </row>
    <row r="2017" spans="4:4">
      <c r="D2017"/>
    </row>
    <row r="2018" spans="4:4">
      <c r="D2018"/>
    </row>
    <row r="2019" spans="4:4">
      <c r="D2019"/>
    </row>
    <row r="2020" spans="4:4">
      <c r="D2020"/>
    </row>
    <row r="2021" spans="4:4">
      <c r="D2021"/>
    </row>
    <row r="2022" spans="4:4">
      <c r="D2022"/>
    </row>
    <row r="2023" spans="4:4">
      <c r="D2023"/>
    </row>
    <row r="2024" spans="4:4">
      <c r="D2024"/>
    </row>
    <row r="2025" spans="4:4">
      <c r="D2025"/>
    </row>
    <row r="2026" spans="4:4">
      <c r="D2026"/>
    </row>
    <row r="2027" spans="4:4">
      <c r="D2027"/>
    </row>
    <row r="2028" spans="4:4">
      <c r="D2028"/>
    </row>
    <row r="2029" spans="4:4">
      <c r="D2029"/>
    </row>
    <row r="2030" spans="4:4">
      <c r="D2030"/>
    </row>
    <row r="2031" spans="4:4">
      <c r="D2031"/>
    </row>
    <row r="2032" spans="4:4">
      <c r="D2032"/>
    </row>
    <row r="2033" spans="4:4">
      <c r="D2033"/>
    </row>
    <row r="2034" spans="4:4">
      <c r="D2034"/>
    </row>
    <row r="2035" spans="4:4">
      <c r="D2035"/>
    </row>
    <row r="2036" spans="4:4">
      <c r="D2036"/>
    </row>
    <row r="2037" spans="4:4">
      <c r="D2037"/>
    </row>
    <row r="2038" spans="4:4">
      <c r="D2038"/>
    </row>
    <row r="2039" spans="4:4">
      <c r="D2039"/>
    </row>
    <row r="2040" spans="4:4">
      <c r="D2040"/>
    </row>
    <row r="2041" spans="4:4">
      <c r="D2041"/>
    </row>
    <row r="2042" spans="4:4">
      <c r="D2042"/>
    </row>
    <row r="2043" spans="4:4">
      <c r="D2043"/>
    </row>
    <row r="2044" spans="4:4">
      <c r="D2044"/>
    </row>
    <row r="2045" spans="4:4">
      <c r="D2045"/>
    </row>
    <row r="2046" spans="4:4">
      <c r="D2046"/>
    </row>
    <row r="2047" spans="4:4">
      <c r="D2047"/>
    </row>
    <row r="2048" spans="4:4">
      <c r="D2048"/>
    </row>
    <row r="2049" spans="4:4">
      <c r="D2049"/>
    </row>
    <row r="2050" spans="4:4">
      <c r="D2050"/>
    </row>
    <row r="2051" spans="4:4">
      <c r="D2051"/>
    </row>
    <row r="2052" spans="4:4">
      <c r="D2052"/>
    </row>
    <row r="2053" spans="4:4">
      <c r="D2053"/>
    </row>
    <row r="2054" spans="4:4">
      <c r="D2054"/>
    </row>
    <row r="2055" spans="4:4">
      <c r="D2055"/>
    </row>
    <row r="2056" spans="4:4">
      <c r="D2056"/>
    </row>
    <row r="2057" spans="4:4">
      <c r="D2057"/>
    </row>
    <row r="2058" spans="4:4">
      <c r="D2058"/>
    </row>
    <row r="2059" spans="4:4">
      <c r="D2059"/>
    </row>
    <row r="2060" spans="4:4">
      <c r="D2060"/>
    </row>
    <row r="2061" spans="4:4">
      <c r="D2061"/>
    </row>
    <row r="2062" spans="4:4">
      <c r="D2062"/>
    </row>
    <row r="2063" spans="4:4">
      <c r="D2063"/>
    </row>
    <row r="2064" spans="4:4">
      <c r="D2064"/>
    </row>
    <row r="2065" spans="4:4">
      <c r="D2065"/>
    </row>
    <row r="2066" spans="4:4">
      <c r="D2066"/>
    </row>
    <row r="2067" spans="4:4">
      <c r="D2067"/>
    </row>
    <row r="2068" spans="4:4">
      <c r="D2068"/>
    </row>
    <row r="2069" spans="4:4">
      <c r="D2069"/>
    </row>
    <row r="2070" spans="4:4">
      <c r="D2070"/>
    </row>
    <row r="2071" spans="4:4">
      <c r="D2071"/>
    </row>
    <row r="2072" spans="4:4">
      <c r="D2072"/>
    </row>
    <row r="2073" spans="4:4">
      <c r="D2073"/>
    </row>
    <row r="2074" spans="4:4">
      <c r="D2074"/>
    </row>
    <row r="2075" spans="4:4">
      <c r="D2075"/>
    </row>
    <row r="2076" spans="4:4">
      <c r="D2076"/>
    </row>
    <row r="2077" spans="4:4">
      <c r="D2077"/>
    </row>
    <row r="2078" spans="4:4">
      <c r="D2078"/>
    </row>
    <row r="2079" spans="4:4">
      <c r="D2079"/>
    </row>
    <row r="2080" spans="4:4">
      <c r="D2080"/>
    </row>
    <row r="2081" spans="4:4">
      <c r="D2081"/>
    </row>
    <row r="2082" spans="4:4">
      <c r="D2082"/>
    </row>
    <row r="2083" spans="4:4">
      <c r="D2083"/>
    </row>
    <row r="2084" spans="4:4">
      <c r="D2084"/>
    </row>
    <row r="2085" spans="4:4">
      <c r="D2085"/>
    </row>
    <row r="2086" spans="4:4">
      <c r="D2086"/>
    </row>
    <row r="2087" spans="4:4">
      <c r="D2087"/>
    </row>
    <row r="2088" spans="4:4">
      <c r="D2088"/>
    </row>
    <row r="2089" spans="4:4">
      <c r="D2089"/>
    </row>
    <row r="2090" spans="4:4">
      <c r="D2090"/>
    </row>
    <row r="2091" spans="4:4">
      <c r="D2091"/>
    </row>
    <row r="2092" spans="4:4">
      <c r="D2092"/>
    </row>
    <row r="2093" spans="4:4">
      <c r="D2093"/>
    </row>
    <row r="2094" spans="4:4">
      <c r="D2094"/>
    </row>
    <row r="2095" spans="4:4">
      <c r="D2095"/>
    </row>
    <row r="2096" spans="4:4">
      <c r="D2096"/>
    </row>
    <row r="2097" spans="4:4">
      <c r="D2097"/>
    </row>
    <row r="2098" spans="4:4">
      <c r="D2098"/>
    </row>
    <row r="2099" spans="4:4">
      <c r="D2099"/>
    </row>
    <row r="2100" spans="4:4">
      <c r="D2100"/>
    </row>
    <row r="2101" spans="4:4">
      <c r="D2101"/>
    </row>
    <row r="2102" spans="4:4">
      <c r="D2102"/>
    </row>
    <row r="2103" spans="4:4">
      <c r="D2103"/>
    </row>
    <row r="2104" spans="4:4">
      <c r="D2104"/>
    </row>
    <row r="2105" spans="4:4">
      <c r="D2105"/>
    </row>
    <row r="2106" spans="4:4">
      <c r="D2106"/>
    </row>
    <row r="2107" spans="4:4">
      <c r="D2107"/>
    </row>
    <row r="2108" spans="4:4">
      <c r="D2108"/>
    </row>
    <row r="2109" spans="4:4">
      <c r="D2109"/>
    </row>
    <row r="2110" spans="4:4">
      <c r="D2110"/>
    </row>
    <row r="2111" spans="4:4">
      <c r="D2111"/>
    </row>
    <row r="2112" spans="4:4">
      <c r="D2112"/>
    </row>
    <row r="2113" spans="4:4">
      <c r="D2113"/>
    </row>
    <row r="2114" spans="4:4">
      <c r="D2114"/>
    </row>
    <row r="2115" spans="4:4">
      <c r="D2115"/>
    </row>
    <row r="2116" spans="4:4">
      <c r="D2116"/>
    </row>
    <row r="2117" spans="4:4">
      <c r="D2117"/>
    </row>
    <row r="2118" spans="4:4">
      <c r="D2118"/>
    </row>
    <row r="2119" spans="4:4">
      <c r="D2119"/>
    </row>
    <row r="2120" spans="4:4">
      <c r="D2120"/>
    </row>
    <row r="2121" spans="4:4">
      <c r="D2121"/>
    </row>
    <row r="2122" spans="4:4">
      <c r="D2122"/>
    </row>
    <row r="2123" spans="4:4">
      <c r="D2123"/>
    </row>
    <row r="2124" spans="4:4">
      <c r="D2124"/>
    </row>
    <row r="2125" spans="4:4">
      <c r="D2125"/>
    </row>
    <row r="2126" spans="4:4">
      <c r="D2126"/>
    </row>
    <row r="2127" spans="4:4">
      <c r="D2127"/>
    </row>
    <row r="2128" spans="4:4">
      <c r="D2128"/>
    </row>
    <row r="2129" spans="4:4">
      <c r="D2129"/>
    </row>
    <row r="2130" spans="4:4">
      <c r="D2130"/>
    </row>
    <row r="2131" spans="4:4">
      <c r="D2131"/>
    </row>
    <row r="2132" spans="4:4">
      <c r="D2132"/>
    </row>
    <row r="2133" spans="4:4">
      <c r="D2133"/>
    </row>
    <row r="2134" spans="4:4">
      <c r="D2134"/>
    </row>
    <row r="2135" spans="4:4">
      <c r="D2135"/>
    </row>
    <row r="2136" spans="4:4">
      <c r="D2136"/>
    </row>
    <row r="2137" spans="4:4">
      <c r="D2137"/>
    </row>
    <row r="2138" spans="4:4">
      <c r="D2138"/>
    </row>
    <row r="2139" spans="4:4">
      <c r="D2139"/>
    </row>
    <row r="2140" spans="4:4">
      <c r="D2140"/>
    </row>
    <row r="2141" spans="4:4">
      <c r="D2141"/>
    </row>
    <row r="2142" spans="4:4">
      <c r="D2142"/>
    </row>
    <row r="2143" spans="4:4">
      <c r="D2143"/>
    </row>
    <row r="2144" spans="4:4">
      <c r="D2144"/>
    </row>
    <row r="2145" spans="4:4">
      <c r="D2145"/>
    </row>
    <row r="2146" spans="4:4">
      <c r="D2146"/>
    </row>
    <row r="2147" spans="4:4">
      <c r="D2147"/>
    </row>
    <row r="2148" spans="4:4">
      <c r="D2148"/>
    </row>
    <row r="2149" spans="4:4">
      <c r="D2149"/>
    </row>
    <row r="2150" spans="4:4">
      <c r="D2150"/>
    </row>
    <row r="2151" spans="4:4">
      <c r="D2151"/>
    </row>
    <row r="2152" spans="4:4">
      <c r="D2152"/>
    </row>
    <row r="2153" spans="4:4">
      <c r="D2153"/>
    </row>
    <row r="2154" spans="4:4">
      <c r="D2154"/>
    </row>
    <row r="2155" spans="4:4">
      <c r="D2155"/>
    </row>
    <row r="2156" spans="4:4">
      <c r="D2156"/>
    </row>
    <row r="2157" spans="4:4">
      <c r="D2157"/>
    </row>
    <row r="2158" spans="4:4">
      <c r="D2158"/>
    </row>
    <row r="2159" spans="4:4">
      <c r="D2159"/>
    </row>
    <row r="2160" spans="4:4">
      <c r="D2160"/>
    </row>
    <row r="2161" spans="4:4">
      <c r="D2161"/>
    </row>
    <row r="2162" spans="4:4">
      <c r="D2162"/>
    </row>
    <row r="2163" spans="4:4">
      <c r="D2163"/>
    </row>
    <row r="2164" spans="4:4">
      <c r="D2164"/>
    </row>
    <row r="2165" spans="4:4">
      <c r="D2165"/>
    </row>
    <row r="2166" spans="4:4">
      <c r="D2166"/>
    </row>
    <row r="2167" spans="4:4">
      <c r="D2167"/>
    </row>
    <row r="2168" spans="4:4">
      <c r="D2168"/>
    </row>
    <row r="2169" spans="4:4">
      <c r="D2169"/>
    </row>
    <row r="2170" spans="4:4">
      <c r="D2170"/>
    </row>
    <row r="2171" spans="4:4">
      <c r="D2171"/>
    </row>
    <row r="2172" spans="4:4">
      <c r="D2172"/>
    </row>
    <row r="2173" spans="4:4">
      <c r="D2173"/>
    </row>
    <row r="2174" spans="4:4">
      <c r="D2174"/>
    </row>
    <row r="2175" spans="4:4">
      <c r="D2175"/>
    </row>
    <row r="2176" spans="4:4">
      <c r="D2176"/>
    </row>
    <row r="2177" spans="4:4">
      <c r="D2177"/>
    </row>
    <row r="2178" spans="4:4">
      <c r="D2178"/>
    </row>
    <row r="2179" spans="4:4">
      <c r="D2179"/>
    </row>
    <row r="2180" spans="4:4">
      <c r="D2180"/>
    </row>
    <row r="2181" spans="4:4">
      <c r="D2181"/>
    </row>
    <row r="2182" spans="4:4">
      <c r="D2182"/>
    </row>
    <row r="2183" spans="4:4">
      <c r="D2183"/>
    </row>
    <row r="2184" spans="4:4">
      <c r="D2184"/>
    </row>
    <row r="2185" spans="4:4">
      <c r="D2185"/>
    </row>
    <row r="2186" spans="4:4">
      <c r="D2186"/>
    </row>
    <row r="2187" spans="4:4">
      <c r="D2187"/>
    </row>
    <row r="2188" spans="4:4">
      <c r="D2188"/>
    </row>
    <row r="2189" spans="4:4">
      <c r="D2189"/>
    </row>
    <row r="2190" spans="4:4">
      <c r="D2190"/>
    </row>
    <row r="2191" spans="4:4">
      <c r="D2191"/>
    </row>
    <row r="2192" spans="4:4">
      <c r="D2192"/>
    </row>
    <row r="2193" spans="4:4">
      <c r="D2193"/>
    </row>
    <row r="2194" spans="4:4">
      <c r="D2194"/>
    </row>
    <row r="2195" spans="4:4">
      <c r="D2195"/>
    </row>
    <row r="2196" spans="4:4">
      <c r="D2196"/>
    </row>
    <row r="2197" spans="4:4">
      <c r="D2197"/>
    </row>
    <row r="2198" spans="4:4">
      <c r="D2198"/>
    </row>
    <row r="2199" spans="4:4">
      <c r="D2199"/>
    </row>
    <row r="2200" spans="4:4">
      <c r="D2200"/>
    </row>
    <row r="2201" spans="4:4">
      <c r="D2201"/>
    </row>
    <row r="2202" spans="4:4">
      <c r="D2202"/>
    </row>
    <row r="2203" spans="4:4">
      <c r="D2203"/>
    </row>
    <row r="2204" spans="4:4">
      <c r="D2204"/>
    </row>
    <row r="2205" spans="4:4">
      <c r="D2205"/>
    </row>
    <row r="2206" spans="4:4">
      <c r="D2206"/>
    </row>
    <row r="2207" spans="4:4">
      <c r="D2207"/>
    </row>
    <row r="2208" spans="4:4">
      <c r="D2208"/>
    </row>
    <row r="2209" spans="4:4">
      <c r="D2209"/>
    </row>
    <row r="2210" spans="4:4">
      <c r="D2210"/>
    </row>
    <row r="2211" spans="4:4">
      <c r="D2211"/>
    </row>
    <row r="2212" spans="4:4">
      <c r="D2212"/>
    </row>
    <row r="2213" spans="4:4">
      <c r="D2213"/>
    </row>
    <row r="2214" spans="4:4">
      <c r="D2214"/>
    </row>
    <row r="2215" spans="4:4">
      <c r="D2215"/>
    </row>
    <row r="2216" spans="4:4">
      <c r="D2216"/>
    </row>
    <row r="2217" spans="4:4">
      <c r="D2217"/>
    </row>
    <row r="2218" spans="4:4">
      <c r="D2218"/>
    </row>
    <row r="2219" spans="4:4">
      <c r="D2219"/>
    </row>
    <row r="2220" spans="4:4">
      <c r="D2220"/>
    </row>
    <row r="2221" spans="4:4">
      <c r="D2221"/>
    </row>
    <row r="2222" spans="4:4">
      <c r="D2222"/>
    </row>
    <row r="2223" spans="4:4">
      <c r="D2223"/>
    </row>
    <row r="2224" spans="4:4">
      <c r="D2224"/>
    </row>
    <row r="2225" spans="4:4">
      <c r="D2225"/>
    </row>
    <row r="2226" spans="4:4">
      <c r="D2226"/>
    </row>
    <row r="2227" spans="4:4">
      <c r="D2227"/>
    </row>
    <row r="2228" spans="4:4">
      <c r="D2228"/>
    </row>
    <row r="2229" spans="4:4">
      <c r="D2229"/>
    </row>
    <row r="2230" spans="4:4">
      <c r="D2230"/>
    </row>
    <row r="2231" spans="4:4">
      <c r="D2231"/>
    </row>
    <row r="2232" spans="4:4">
      <c r="D2232"/>
    </row>
    <row r="2233" spans="4:4">
      <c r="D2233"/>
    </row>
    <row r="2234" spans="4:4">
      <c r="D2234"/>
    </row>
    <row r="2235" spans="4:4">
      <c r="D2235"/>
    </row>
    <row r="2236" spans="4:4">
      <c r="D2236"/>
    </row>
    <row r="2237" spans="4:4">
      <c r="D2237"/>
    </row>
    <row r="2238" spans="4:4">
      <c r="D2238"/>
    </row>
    <row r="2239" spans="4:4">
      <c r="D2239"/>
    </row>
    <row r="2240" spans="4:4">
      <c r="D2240"/>
    </row>
    <row r="2241" spans="4:4">
      <c r="D2241"/>
    </row>
    <row r="2242" spans="4:4">
      <c r="D2242"/>
    </row>
    <row r="2243" spans="4:4">
      <c r="D2243"/>
    </row>
    <row r="2244" spans="4:4">
      <c r="D2244"/>
    </row>
    <row r="2245" spans="4:4">
      <c r="D2245"/>
    </row>
    <row r="2246" spans="4:4">
      <c r="D2246"/>
    </row>
    <row r="2247" spans="4:4">
      <c r="D2247"/>
    </row>
    <row r="2248" spans="4:4">
      <c r="D2248"/>
    </row>
    <row r="2249" spans="4:4">
      <c r="D2249"/>
    </row>
    <row r="2250" spans="4:4">
      <c r="D2250"/>
    </row>
    <row r="2251" spans="4:4">
      <c r="D2251"/>
    </row>
    <row r="2252" spans="4:4">
      <c r="D2252"/>
    </row>
    <row r="2253" spans="4:4">
      <c r="D2253"/>
    </row>
    <row r="2254" spans="4:4">
      <c r="D2254"/>
    </row>
    <row r="2255" spans="4:4">
      <c r="D2255"/>
    </row>
    <row r="2256" spans="4:4">
      <c r="D2256"/>
    </row>
    <row r="2257" spans="4:4">
      <c r="D2257"/>
    </row>
    <row r="2258" spans="4:4">
      <c r="D2258"/>
    </row>
    <row r="2259" spans="4:4">
      <c r="D2259"/>
    </row>
    <row r="2260" spans="4:4">
      <c r="D2260"/>
    </row>
    <row r="2261" spans="4:4">
      <c r="D2261"/>
    </row>
    <row r="2262" spans="4:4">
      <c r="D2262"/>
    </row>
    <row r="2263" spans="4:4">
      <c r="D2263"/>
    </row>
    <row r="2264" spans="4:4">
      <c r="D2264"/>
    </row>
    <row r="2265" spans="4:4">
      <c r="D2265"/>
    </row>
    <row r="2266" spans="4:4">
      <c r="D2266"/>
    </row>
    <row r="2267" spans="4:4">
      <c r="D2267"/>
    </row>
    <row r="2268" spans="4:4">
      <c r="D2268"/>
    </row>
    <row r="2269" spans="4:4">
      <c r="D2269"/>
    </row>
    <row r="2270" spans="4:4">
      <c r="D2270"/>
    </row>
    <row r="2271" spans="4:4">
      <c r="D2271"/>
    </row>
    <row r="2272" spans="4:4">
      <c r="D2272"/>
    </row>
    <row r="2273" spans="4:4">
      <c r="D2273"/>
    </row>
    <row r="2274" spans="4:4">
      <c r="D2274"/>
    </row>
    <row r="2275" spans="4:4">
      <c r="D2275"/>
    </row>
    <row r="2276" spans="4:4">
      <c r="D2276"/>
    </row>
    <row r="2277" spans="4:4">
      <c r="D2277"/>
    </row>
    <row r="2278" spans="4:4">
      <c r="D2278"/>
    </row>
    <row r="2279" spans="4:4">
      <c r="D2279"/>
    </row>
    <row r="2280" spans="4:4">
      <c r="D2280"/>
    </row>
    <row r="2281" spans="4:4">
      <c r="D2281"/>
    </row>
    <row r="2282" spans="4:4">
      <c r="D2282"/>
    </row>
    <row r="2283" spans="4:4">
      <c r="D2283"/>
    </row>
    <row r="2284" spans="4:4">
      <c r="D2284"/>
    </row>
    <row r="2285" spans="4:4">
      <c r="D2285"/>
    </row>
    <row r="2286" spans="4:4">
      <c r="D2286"/>
    </row>
    <row r="2287" spans="4:4">
      <c r="D2287"/>
    </row>
    <row r="2288" spans="4:4">
      <c r="D2288"/>
    </row>
    <row r="2289" spans="4:4">
      <c r="D2289"/>
    </row>
    <row r="2290" spans="4:4">
      <c r="D2290"/>
    </row>
    <row r="2291" spans="4:4">
      <c r="D2291"/>
    </row>
    <row r="2292" spans="4:4">
      <c r="D2292"/>
    </row>
    <row r="2293" spans="4:4">
      <c r="D2293"/>
    </row>
    <row r="2294" spans="4:4">
      <c r="D2294"/>
    </row>
    <row r="2295" spans="4:4">
      <c r="D2295"/>
    </row>
    <row r="2296" spans="4:4">
      <c r="D2296"/>
    </row>
    <row r="2297" spans="4:4">
      <c r="D2297"/>
    </row>
    <row r="2298" spans="4:4">
      <c r="D2298"/>
    </row>
    <row r="2299" spans="4:4">
      <c r="D2299"/>
    </row>
    <row r="2300" spans="4:4">
      <c r="D2300"/>
    </row>
    <row r="2301" spans="4:4">
      <c r="D2301"/>
    </row>
    <row r="2302" spans="4:4">
      <c r="D2302"/>
    </row>
    <row r="2303" spans="4:4">
      <c r="D2303"/>
    </row>
    <row r="2304" spans="4:4">
      <c r="D2304"/>
    </row>
    <row r="2305" spans="4:4">
      <c r="D2305"/>
    </row>
    <row r="2306" spans="4:4">
      <c r="D2306"/>
    </row>
    <row r="2307" spans="4:4">
      <c r="D2307"/>
    </row>
    <row r="2308" spans="4:4">
      <c r="D2308"/>
    </row>
    <row r="2309" spans="4:4">
      <c r="D2309"/>
    </row>
    <row r="2310" spans="4:4">
      <c r="D2310"/>
    </row>
    <row r="2311" spans="4:4">
      <c r="D2311"/>
    </row>
    <row r="2312" spans="4:4">
      <c r="D2312"/>
    </row>
    <row r="2313" spans="4:4">
      <c r="D2313"/>
    </row>
    <row r="2314" spans="4:4">
      <c r="D2314"/>
    </row>
    <row r="2315" spans="4:4">
      <c r="D2315"/>
    </row>
    <row r="2316" spans="4:4">
      <c r="D2316"/>
    </row>
    <row r="2317" spans="4:4">
      <c r="D2317"/>
    </row>
    <row r="2318" spans="4:4">
      <c r="D2318"/>
    </row>
    <row r="2319" spans="4:4">
      <c r="D2319"/>
    </row>
    <row r="2320" spans="4:4">
      <c r="D2320"/>
    </row>
    <row r="2321" spans="4:4">
      <c r="D2321"/>
    </row>
    <row r="2322" spans="4:4">
      <c r="D2322"/>
    </row>
    <row r="2323" spans="4:4">
      <c r="D2323"/>
    </row>
    <row r="2324" spans="4:4">
      <c r="D2324"/>
    </row>
    <row r="2325" spans="4:4">
      <c r="D2325"/>
    </row>
    <row r="2326" spans="4:4">
      <c r="D2326"/>
    </row>
    <row r="2327" spans="4:4">
      <c r="D2327"/>
    </row>
    <row r="2328" spans="4:4">
      <c r="D2328"/>
    </row>
    <row r="2329" spans="4:4">
      <c r="D2329"/>
    </row>
    <row r="2330" spans="4:4">
      <c r="D2330"/>
    </row>
    <row r="2331" spans="4:4">
      <c r="D2331"/>
    </row>
    <row r="2332" spans="4:4">
      <c r="D2332"/>
    </row>
    <row r="2333" spans="4:4">
      <c r="D2333"/>
    </row>
    <row r="2334" spans="4:4">
      <c r="D2334"/>
    </row>
    <row r="2335" spans="4:4">
      <c r="D2335"/>
    </row>
    <row r="2336" spans="4:4">
      <c r="D2336"/>
    </row>
    <row r="2337" spans="4:4">
      <c r="D2337"/>
    </row>
    <row r="2338" spans="4:4">
      <c r="D2338"/>
    </row>
    <row r="2339" spans="4:4">
      <c r="D2339"/>
    </row>
    <row r="2340" spans="4:4">
      <c r="D2340"/>
    </row>
    <row r="2341" spans="4:4">
      <c r="D2341"/>
    </row>
    <row r="2342" spans="4:4">
      <c r="D2342"/>
    </row>
    <row r="2343" spans="4:4">
      <c r="D2343"/>
    </row>
    <row r="2344" spans="4:4">
      <c r="D2344"/>
    </row>
    <row r="2345" spans="4:4">
      <c r="D2345"/>
    </row>
    <row r="2346" spans="4:4">
      <c r="D2346"/>
    </row>
    <row r="2347" spans="4:4">
      <c r="D2347"/>
    </row>
    <row r="2348" spans="4:4">
      <c r="D2348"/>
    </row>
    <row r="2349" spans="4:4">
      <c r="D2349"/>
    </row>
    <row r="2350" spans="4:4">
      <c r="D2350"/>
    </row>
    <row r="2351" spans="4:4">
      <c r="D2351"/>
    </row>
    <row r="2352" spans="4:4">
      <c r="D2352"/>
    </row>
    <row r="2353" spans="4:4">
      <c r="D2353"/>
    </row>
    <row r="2354" spans="4:4">
      <c r="D2354"/>
    </row>
    <row r="2355" spans="4:4">
      <c r="D2355"/>
    </row>
    <row r="2356" spans="4:4">
      <c r="D2356"/>
    </row>
    <row r="2357" spans="4:4">
      <c r="D2357"/>
    </row>
    <row r="2358" spans="4:4">
      <c r="D2358"/>
    </row>
    <row r="2359" spans="4:4">
      <c r="D2359"/>
    </row>
    <row r="2360" spans="4:4">
      <c r="D2360"/>
    </row>
    <row r="2361" spans="4:4">
      <c r="D2361"/>
    </row>
    <row r="2362" spans="4:4">
      <c r="D2362"/>
    </row>
    <row r="2363" spans="4:4">
      <c r="D2363"/>
    </row>
    <row r="2364" spans="4:4">
      <c r="D2364"/>
    </row>
    <row r="2365" spans="4:4">
      <c r="D2365"/>
    </row>
    <row r="2366" spans="4:4">
      <c r="D2366"/>
    </row>
    <row r="2367" spans="4:4">
      <c r="D2367"/>
    </row>
    <row r="2368" spans="4:4">
      <c r="D2368"/>
    </row>
    <row r="2369" spans="4:4">
      <c r="D2369"/>
    </row>
    <row r="2370" spans="4:4">
      <c r="D2370"/>
    </row>
    <row r="2371" spans="4:4">
      <c r="D2371"/>
    </row>
    <row r="2372" spans="4:4">
      <c r="D2372"/>
    </row>
    <row r="2373" spans="4:4">
      <c r="D2373"/>
    </row>
    <row r="2374" spans="4:4">
      <c r="D2374"/>
    </row>
    <row r="2375" spans="4:4">
      <c r="D2375"/>
    </row>
    <row r="2376" spans="4:4">
      <c r="D2376"/>
    </row>
    <row r="2377" spans="4:4">
      <c r="D2377"/>
    </row>
    <row r="2378" spans="4:4">
      <c r="D2378"/>
    </row>
    <row r="2379" spans="4:4">
      <c r="D2379"/>
    </row>
    <row r="2380" spans="4:4">
      <c r="D2380"/>
    </row>
    <row r="2381" spans="4:4">
      <c r="D2381"/>
    </row>
    <row r="2382" spans="4:4">
      <c r="D2382"/>
    </row>
    <row r="2383" spans="4:4">
      <c r="D2383"/>
    </row>
    <row r="2384" spans="4:4">
      <c r="D2384"/>
    </row>
    <row r="2385" spans="4:4">
      <c r="D2385"/>
    </row>
    <row r="2386" spans="4:4">
      <c r="D2386"/>
    </row>
    <row r="2387" spans="4:4">
      <c r="D2387"/>
    </row>
    <row r="2388" spans="4:4">
      <c r="D2388"/>
    </row>
    <row r="2389" spans="4:4">
      <c r="D2389"/>
    </row>
    <row r="2390" spans="4:4">
      <c r="D2390"/>
    </row>
    <row r="2391" spans="4:4">
      <c r="D2391"/>
    </row>
    <row r="2392" spans="4:4">
      <c r="D2392"/>
    </row>
    <row r="2393" spans="4:4">
      <c r="D2393"/>
    </row>
    <row r="2394" spans="4:4">
      <c r="D2394"/>
    </row>
    <row r="2395" spans="4:4">
      <c r="D2395"/>
    </row>
    <row r="2396" spans="4:4">
      <c r="D2396"/>
    </row>
    <row r="2397" spans="4:4">
      <c r="D2397"/>
    </row>
    <row r="2398" spans="4:4">
      <c r="D2398"/>
    </row>
    <row r="2399" spans="4:4">
      <c r="D2399"/>
    </row>
    <row r="2400" spans="4:4">
      <c r="D2400"/>
    </row>
    <row r="2401" spans="4:4">
      <c r="D2401"/>
    </row>
    <row r="2402" spans="4:4">
      <c r="D2402"/>
    </row>
    <row r="2403" spans="4:4">
      <c r="D2403"/>
    </row>
    <row r="2404" spans="4:4">
      <c r="D2404"/>
    </row>
    <row r="2405" spans="4:4">
      <c r="D2405"/>
    </row>
    <row r="2406" spans="4:4">
      <c r="D2406"/>
    </row>
    <row r="2407" spans="4:4">
      <c r="D2407"/>
    </row>
    <row r="2408" spans="4:4">
      <c r="D2408"/>
    </row>
    <row r="2409" spans="4:4">
      <c r="D2409"/>
    </row>
    <row r="2410" spans="4:4">
      <c r="D2410"/>
    </row>
    <row r="2411" spans="4:4">
      <c r="D2411"/>
    </row>
    <row r="2412" spans="4:4">
      <c r="D2412"/>
    </row>
    <row r="2413" spans="4:4">
      <c r="D2413"/>
    </row>
    <row r="2414" spans="4:4">
      <c r="D2414"/>
    </row>
    <row r="2415" spans="4:4">
      <c r="D2415"/>
    </row>
    <row r="2416" spans="4:4">
      <c r="D2416"/>
    </row>
    <row r="2417" spans="4:4">
      <c r="D2417"/>
    </row>
    <row r="2418" spans="4:4">
      <c r="D2418"/>
    </row>
    <row r="2419" spans="4:4">
      <c r="D2419"/>
    </row>
    <row r="2420" spans="4:4">
      <c r="D2420"/>
    </row>
    <row r="2421" spans="4:4">
      <c r="D2421"/>
    </row>
    <row r="2422" spans="4:4">
      <c r="D2422"/>
    </row>
    <row r="2423" spans="4:4">
      <c r="D2423"/>
    </row>
    <row r="2424" spans="4:4">
      <c r="D2424"/>
    </row>
    <row r="2425" spans="4:4">
      <c r="D2425"/>
    </row>
    <row r="2426" spans="4:4">
      <c r="D2426"/>
    </row>
    <row r="2427" spans="4:4">
      <c r="D2427"/>
    </row>
    <row r="2428" spans="4:4">
      <c r="D2428"/>
    </row>
    <row r="2429" spans="4:4">
      <c r="D2429"/>
    </row>
    <row r="2430" spans="4:4">
      <c r="D2430"/>
    </row>
    <row r="2431" spans="4:4">
      <c r="D2431"/>
    </row>
    <row r="2432" spans="4:4">
      <c r="D2432"/>
    </row>
    <row r="2433" spans="4:4">
      <c r="D2433"/>
    </row>
    <row r="2434" spans="4:4">
      <c r="D2434"/>
    </row>
    <row r="2435" spans="4:4">
      <c r="D2435"/>
    </row>
    <row r="2436" spans="4:4">
      <c r="D2436"/>
    </row>
    <row r="2437" spans="4:4">
      <c r="D2437"/>
    </row>
    <row r="2438" spans="4:4">
      <c r="D2438"/>
    </row>
    <row r="2439" spans="4:4">
      <c r="D2439"/>
    </row>
    <row r="2440" spans="4:4">
      <c r="D2440"/>
    </row>
    <row r="2441" spans="4:4">
      <c r="D2441"/>
    </row>
    <row r="2442" spans="4:4">
      <c r="D2442"/>
    </row>
    <row r="2443" spans="4:4">
      <c r="D2443"/>
    </row>
    <row r="2444" spans="4:4">
      <c r="D2444"/>
    </row>
    <row r="2445" spans="4:4">
      <c r="D2445"/>
    </row>
    <row r="2446" spans="4:4">
      <c r="D2446"/>
    </row>
    <row r="2447" spans="4:4">
      <c r="D2447"/>
    </row>
    <row r="2448" spans="4:4">
      <c r="D2448"/>
    </row>
    <row r="2449" spans="4:4">
      <c r="D2449"/>
    </row>
    <row r="2450" spans="4:4">
      <c r="D2450"/>
    </row>
    <row r="2451" spans="4:4">
      <c r="D2451"/>
    </row>
    <row r="2452" spans="4:4">
      <c r="D2452"/>
    </row>
    <row r="2453" spans="4:4">
      <c r="D2453"/>
    </row>
    <row r="2454" spans="4:4">
      <c r="D2454"/>
    </row>
    <row r="2455" spans="4:4">
      <c r="D2455"/>
    </row>
    <row r="2456" spans="4:4">
      <c r="D2456"/>
    </row>
    <row r="2457" spans="4:4">
      <c r="D2457"/>
    </row>
    <row r="2458" spans="4:4">
      <c r="D2458"/>
    </row>
    <row r="2459" spans="4:4">
      <c r="D2459"/>
    </row>
    <row r="2460" spans="4:4">
      <c r="D2460"/>
    </row>
    <row r="2461" spans="4:4">
      <c r="D2461"/>
    </row>
    <row r="2462" spans="4:4">
      <c r="D2462"/>
    </row>
    <row r="2463" spans="4:4">
      <c r="D2463"/>
    </row>
    <row r="2464" spans="4:4">
      <c r="D2464"/>
    </row>
    <row r="2465" spans="4:4">
      <c r="D2465"/>
    </row>
    <row r="2466" spans="4:4">
      <c r="D2466"/>
    </row>
    <row r="2467" spans="4:4">
      <c r="D2467"/>
    </row>
    <row r="2468" spans="4:4">
      <c r="D2468"/>
    </row>
    <row r="2469" spans="4:4">
      <c r="D2469"/>
    </row>
    <row r="2470" spans="4:4">
      <c r="D2470"/>
    </row>
    <row r="2471" spans="4:4">
      <c r="D2471"/>
    </row>
    <row r="2472" spans="4:4">
      <c r="D2472"/>
    </row>
    <row r="2473" spans="4:4">
      <c r="D2473"/>
    </row>
    <row r="2474" spans="4:4">
      <c r="D2474"/>
    </row>
    <row r="2475" spans="4:4">
      <c r="D2475"/>
    </row>
    <row r="2476" spans="4:4">
      <c r="D2476"/>
    </row>
    <row r="2477" spans="4:4">
      <c r="D2477"/>
    </row>
    <row r="2478" spans="4:4">
      <c r="D2478"/>
    </row>
    <row r="2479" spans="4:4">
      <c r="D2479"/>
    </row>
    <row r="2480" spans="4:4">
      <c r="D2480"/>
    </row>
    <row r="2481" spans="4:4">
      <c r="D2481"/>
    </row>
    <row r="2482" spans="4:4">
      <c r="D2482"/>
    </row>
    <row r="2483" spans="4:4">
      <c r="D2483"/>
    </row>
    <row r="2484" spans="4:4">
      <c r="D2484"/>
    </row>
    <row r="2485" spans="4:4">
      <c r="D2485"/>
    </row>
    <row r="2486" spans="4:4">
      <c r="D2486"/>
    </row>
    <row r="2487" spans="4:4">
      <c r="D2487"/>
    </row>
    <row r="2488" spans="4:4">
      <c r="D2488"/>
    </row>
    <row r="2489" spans="4:4">
      <c r="D2489"/>
    </row>
    <row r="2490" spans="4:4">
      <c r="D2490"/>
    </row>
    <row r="2491" spans="4:4">
      <c r="D2491"/>
    </row>
    <row r="2492" spans="4:4">
      <c r="D2492"/>
    </row>
    <row r="2493" spans="4:4">
      <c r="D2493"/>
    </row>
    <row r="2494" spans="4:4">
      <c r="D2494"/>
    </row>
    <row r="2495" spans="4:4">
      <c r="D2495"/>
    </row>
    <row r="2496" spans="4:4">
      <c r="D2496"/>
    </row>
    <row r="2497" spans="4:4">
      <c r="D2497"/>
    </row>
    <row r="2498" spans="4:4">
      <c r="D2498"/>
    </row>
    <row r="2499" spans="4:4">
      <c r="D2499"/>
    </row>
    <row r="2500" spans="4:4">
      <c r="D2500"/>
    </row>
    <row r="2501" spans="4:4">
      <c r="D2501"/>
    </row>
    <row r="2502" spans="4:4">
      <c r="D2502"/>
    </row>
    <row r="2503" spans="4:4">
      <c r="D2503"/>
    </row>
    <row r="2504" spans="4:4">
      <c r="D2504"/>
    </row>
    <row r="2505" spans="4:4">
      <c r="D2505"/>
    </row>
    <row r="2506" spans="4:4">
      <c r="D2506"/>
    </row>
    <row r="2507" spans="4:4">
      <c r="D2507"/>
    </row>
    <row r="2508" spans="4:4">
      <c r="D2508"/>
    </row>
    <row r="2509" spans="4:4">
      <c r="D2509"/>
    </row>
    <row r="2510" spans="4:4">
      <c r="D2510"/>
    </row>
    <row r="2511" spans="4:4">
      <c r="D2511"/>
    </row>
    <row r="2512" spans="4:4">
      <c r="D2512"/>
    </row>
    <row r="2513" spans="4:4">
      <c r="D2513"/>
    </row>
    <row r="2514" spans="4:4">
      <c r="D2514"/>
    </row>
    <row r="2515" spans="4:4">
      <c r="D2515"/>
    </row>
    <row r="2516" spans="4:4">
      <c r="D2516"/>
    </row>
    <row r="2517" spans="4:4">
      <c r="D2517"/>
    </row>
    <row r="2518" spans="4:4">
      <c r="D2518"/>
    </row>
    <row r="2519" spans="4:4">
      <c r="D2519"/>
    </row>
    <row r="2520" spans="4:4">
      <c r="D2520"/>
    </row>
    <row r="2521" spans="4:4">
      <c r="D2521"/>
    </row>
    <row r="2522" spans="4:4">
      <c r="D2522"/>
    </row>
    <row r="2523" spans="4:4">
      <c r="D2523"/>
    </row>
    <row r="2524" spans="4:4">
      <c r="D2524"/>
    </row>
    <row r="2525" spans="4:4">
      <c r="D2525"/>
    </row>
    <row r="2526" spans="4:4">
      <c r="D2526"/>
    </row>
    <row r="2527" spans="4:4">
      <c r="D2527"/>
    </row>
    <row r="2528" spans="4:4">
      <c r="D2528"/>
    </row>
    <row r="2529" spans="4:4">
      <c r="D2529"/>
    </row>
    <row r="2530" spans="4:4">
      <c r="D2530"/>
    </row>
    <row r="2531" spans="4:4">
      <c r="D2531"/>
    </row>
    <row r="2532" spans="4:4">
      <c r="D2532"/>
    </row>
    <row r="2533" spans="4:4">
      <c r="D2533"/>
    </row>
    <row r="2534" spans="4:4">
      <c r="D2534"/>
    </row>
    <row r="2535" spans="4:4">
      <c r="D2535"/>
    </row>
    <row r="2536" spans="4:4">
      <c r="D2536"/>
    </row>
    <row r="2537" spans="4:4">
      <c r="D2537"/>
    </row>
    <row r="2538" spans="4:4">
      <c r="D2538"/>
    </row>
    <row r="2539" spans="4:4">
      <c r="D2539"/>
    </row>
    <row r="2540" spans="4:4">
      <c r="D2540"/>
    </row>
    <row r="2541" spans="4:4">
      <c r="D2541"/>
    </row>
    <row r="2542" spans="4:4">
      <c r="D2542"/>
    </row>
    <row r="2543" spans="4:4">
      <c r="D2543"/>
    </row>
    <row r="2544" spans="4:4">
      <c r="D2544"/>
    </row>
    <row r="2545" spans="4:4">
      <c r="D2545"/>
    </row>
    <row r="2546" spans="4:4">
      <c r="D2546"/>
    </row>
    <row r="2547" spans="4:4">
      <c r="D2547"/>
    </row>
    <row r="2548" spans="4:4">
      <c r="D2548"/>
    </row>
    <row r="2549" spans="4:4">
      <c r="D2549"/>
    </row>
    <row r="2550" spans="4:4">
      <c r="D2550"/>
    </row>
    <row r="2551" spans="4:4">
      <c r="D2551"/>
    </row>
    <row r="2552" spans="4:4">
      <c r="D2552"/>
    </row>
    <row r="2553" spans="4:4">
      <c r="D2553"/>
    </row>
    <row r="2554" spans="4:4">
      <c r="D2554"/>
    </row>
    <row r="2555" spans="4:4">
      <c r="D2555"/>
    </row>
    <row r="2556" spans="4:4">
      <c r="D2556"/>
    </row>
    <row r="2557" spans="4:4">
      <c r="D2557"/>
    </row>
    <row r="2558" spans="4:4">
      <c r="D2558"/>
    </row>
    <row r="2559" spans="4:4">
      <c r="D2559"/>
    </row>
    <row r="2560" spans="4:4">
      <c r="D2560"/>
    </row>
    <row r="2561" spans="4:4">
      <c r="D2561"/>
    </row>
    <row r="2562" spans="4:4">
      <c r="D2562"/>
    </row>
    <row r="2563" spans="4:4">
      <c r="D2563"/>
    </row>
    <row r="2564" spans="4:4">
      <c r="D2564"/>
    </row>
    <row r="2565" spans="4:4">
      <c r="D2565"/>
    </row>
    <row r="2566" spans="4:4">
      <c r="D2566"/>
    </row>
    <row r="2567" spans="4:4">
      <c r="D2567"/>
    </row>
    <row r="2568" spans="4:4">
      <c r="D2568"/>
    </row>
    <row r="2569" spans="4:4">
      <c r="D2569"/>
    </row>
    <row r="2570" spans="4:4">
      <c r="D2570"/>
    </row>
    <row r="2571" spans="4:4">
      <c r="D2571"/>
    </row>
    <row r="2572" spans="4:4">
      <c r="D2572"/>
    </row>
    <row r="2573" spans="4:4">
      <c r="D2573"/>
    </row>
    <row r="2574" spans="4:4">
      <c r="D2574"/>
    </row>
    <row r="2575" spans="4:4">
      <c r="D2575"/>
    </row>
    <row r="2576" spans="4:4">
      <c r="D2576"/>
    </row>
    <row r="2577" spans="4:4">
      <c r="D2577"/>
    </row>
    <row r="2578" spans="4:4">
      <c r="D2578"/>
    </row>
    <row r="2579" spans="4:4">
      <c r="D2579"/>
    </row>
    <row r="2580" spans="4:4">
      <c r="D2580"/>
    </row>
    <row r="2581" spans="4:4">
      <c r="D2581"/>
    </row>
    <row r="2582" spans="4:4">
      <c r="D2582"/>
    </row>
    <row r="2583" spans="4:4">
      <c r="D2583"/>
    </row>
    <row r="2584" spans="4:4">
      <c r="D2584"/>
    </row>
    <row r="2585" spans="4:4">
      <c r="D2585"/>
    </row>
    <row r="2586" spans="4:4">
      <c r="D2586"/>
    </row>
    <row r="2587" spans="4:4">
      <c r="D2587"/>
    </row>
    <row r="2588" spans="4:4">
      <c r="D2588"/>
    </row>
    <row r="2589" spans="4:4">
      <c r="D2589"/>
    </row>
    <row r="2590" spans="4:4">
      <c r="D2590"/>
    </row>
    <row r="2591" spans="4:4">
      <c r="D2591"/>
    </row>
    <row r="2592" spans="4:4">
      <c r="D2592"/>
    </row>
    <row r="2593" spans="4:4">
      <c r="D2593"/>
    </row>
    <row r="2594" spans="4:4">
      <c r="D2594"/>
    </row>
    <row r="2595" spans="4:4">
      <c r="D2595"/>
    </row>
    <row r="2596" spans="4:4">
      <c r="D2596"/>
    </row>
    <row r="2597" spans="4:4">
      <c r="D2597"/>
    </row>
    <row r="2598" spans="4:4">
      <c r="D2598"/>
    </row>
    <row r="2599" spans="4:4">
      <c r="D2599"/>
    </row>
    <row r="2600" spans="4:4">
      <c r="D2600"/>
    </row>
    <row r="2601" spans="4:4">
      <c r="D2601"/>
    </row>
    <row r="2602" spans="4:4">
      <c r="D2602"/>
    </row>
    <row r="2603" spans="4:4">
      <c r="D2603"/>
    </row>
    <row r="2604" spans="4:4">
      <c r="D2604"/>
    </row>
    <row r="2605" spans="4:4">
      <c r="D2605"/>
    </row>
    <row r="2606" spans="4:4">
      <c r="D2606"/>
    </row>
    <row r="2607" spans="4:4">
      <c r="D2607"/>
    </row>
    <row r="2608" spans="4:4">
      <c r="D2608"/>
    </row>
    <row r="2609" spans="4:4">
      <c r="D2609"/>
    </row>
    <row r="2610" spans="4:4">
      <c r="D2610"/>
    </row>
    <row r="2611" spans="4:4">
      <c r="D2611"/>
    </row>
    <row r="2612" spans="4:4">
      <c r="D2612"/>
    </row>
    <row r="2613" spans="4:4">
      <c r="D2613"/>
    </row>
    <row r="2614" spans="4:4">
      <c r="D2614"/>
    </row>
    <row r="2615" spans="4:4">
      <c r="D2615"/>
    </row>
    <row r="2616" spans="4:4">
      <c r="D2616"/>
    </row>
    <row r="2617" spans="4:4">
      <c r="D2617"/>
    </row>
    <row r="2618" spans="4:4">
      <c r="D2618"/>
    </row>
    <row r="2619" spans="4:4">
      <c r="D2619"/>
    </row>
    <row r="2620" spans="4:4">
      <c r="D2620"/>
    </row>
    <row r="2621" spans="4:4">
      <c r="D2621"/>
    </row>
    <row r="2622" spans="4:4">
      <c r="D2622"/>
    </row>
    <row r="2623" spans="4:4">
      <c r="D2623"/>
    </row>
    <row r="2624" spans="4:4">
      <c r="D2624"/>
    </row>
    <row r="2625" spans="4:4">
      <c r="D2625"/>
    </row>
    <row r="2626" spans="4:4">
      <c r="D2626"/>
    </row>
    <row r="2627" spans="4:4">
      <c r="D2627"/>
    </row>
    <row r="2628" spans="4:4">
      <c r="D2628"/>
    </row>
    <row r="2629" spans="4:4">
      <c r="D2629"/>
    </row>
    <row r="2630" spans="4:4">
      <c r="D2630"/>
    </row>
    <row r="2631" spans="4:4">
      <c r="D2631"/>
    </row>
    <row r="2632" spans="4:4">
      <c r="D2632"/>
    </row>
    <row r="2633" spans="4:4">
      <c r="D2633"/>
    </row>
    <row r="2634" spans="4:4">
      <c r="D2634"/>
    </row>
    <row r="2635" spans="4:4">
      <c r="D2635"/>
    </row>
    <row r="2636" spans="4:4">
      <c r="D2636"/>
    </row>
    <row r="2637" spans="4:4">
      <c r="D2637"/>
    </row>
    <row r="2638" spans="4:4">
      <c r="D2638"/>
    </row>
    <row r="2639" spans="4:4">
      <c r="D2639"/>
    </row>
    <row r="2640" spans="4:4">
      <c r="D2640"/>
    </row>
    <row r="2641" spans="4:4">
      <c r="D2641"/>
    </row>
    <row r="2642" spans="4:4">
      <c r="D2642"/>
    </row>
    <row r="2643" spans="4:4">
      <c r="D2643"/>
    </row>
    <row r="2644" spans="4:4">
      <c r="D2644"/>
    </row>
    <row r="2645" spans="4:4">
      <c r="D2645"/>
    </row>
    <row r="2646" spans="4:4">
      <c r="D2646"/>
    </row>
    <row r="2647" spans="4:4">
      <c r="D2647"/>
    </row>
    <row r="2648" spans="4:4">
      <c r="D2648"/>
    </row>
    <row r="2649" spans="4:4">
      <c r="D2649"/>
    </row>
    <row r="2650" spans="4:4">
      <c r="D2650"/>
    </row>
    <row r="2651" spans="4:4">
      <c r="D2651"/>
    </row>
    <row r="2652" spans="4:4">
      <c r="D2652"/>
    </row>
    <row r="2653" spans="4:4">
      <c r="D2653"/>
    </row>
    <row r="2654" spans="4:4">
      <c r="D2654"/>
    </row>
    <row r="2655" spans="4:4">
      <c r="D2655"/>
    </row>
    <row r="2656" spans="4:4">
      <c r="D2656"/>
    </row>
    <row r="2657" spans="4:4">
      <c r="D2657"/>
    </row>
    <row r="2658" spans="4:4">
      <c r="D2658"/>
    </row>
    <row r="2659" spans="4:4">
      <c r="D2659"/>
    </row>
    <row r="2660" spans="4:4">
      <c r="D2660"/>
    </row>
    <row r="2661" spans="4:4">
      <c r="D2661"/>
    </row>
    <row r="2662" spans="4:4">
      <c r="D2662"/>
    </row>
    <row r="2663" spans="4:4">
      <c r="D2663"/>
    </row>
    <row r="2664" spans="4:4">
      <c r="D2664"/>
    </row>
    <row r="2665" spans="4:4">
      <c r="D2665"/>
    </row>
    <row r="2666" spans="4:4">
      <c r="D2666"/>
    </row>
    <row r="2667" spans="4:4">
      <c r="D2667"/>
    </row>
    <row r="2668" spans="4:4">
      <c r="D2668"/>
    </row>
    <row r="2669" spans="4:4">
      <c r="D2669"/>
    </row>
    <row r="2670" spans="4:4">
      <c r="D2670"/>
    </row>
    <row r="2671" spans="4:4">
      <c r="D2671"/>
    </row>
    <row r="2672" spans="4:4">
      <c r="D2672"/>
    </row>
    <row r="2673" spans="4:4">
      <c r="D2673"/>
    </row>
    <row r="2674" spans="4:4">
      <c r="D2674"/>
    </row>
    <row r="2675" spans="4:4">
      <c r="D2675"/>
    </row>
    <row r="2676" spans="4:4">
      <c r="D2676"/>
    </row>
    <row r="2677" spans="4:4">
      <c r="D2677"/>
    </row>
    <row r="2678" spans="4:4">
      <c r="D2678"/>
    </row>
    <row r="2679" spans="4:4">
      <c r="D2679"/>
    </row>
    <row r="2680" spans="4:4">
      <c r="D2680"/>
    </row>
    <row r="2681" spans="4:4">
      <c r="D2681"/>
    </row>
    <row r="2682" spans="4:4">
      <c r="D2682"/>
    </row>
    <row r="2683" spans="4:4">
      <c r="D2683"/>
    </row>
    <row r="2684" spans="4:4">
      <c r="D2684"/>
    </row>
    <row r="2685" spans="4:4">
      <c r="D2685"/>
    </row>
    <row r="2686" spans="4:4">
      <c r="D2686"/>
    </row>
    <row r="2687" spans="4:4">
      <c r="D2687"/>
    </row>
    <row r="2688" spans="4:4">
      <c r="D2688"/>
    </row>
    <row r="2689" spans="4:4">
      <c r="D2689"/>
    </row>
    <row r="2690" spans="4:4">
      <c r="D2690"/>
    </row>
    <row r="2691" spans="4:4">
      <c r="D2691"/>
    </row>
    <row r="2692" spans="4:4">
      <c r="D2692"/>
    </row>
    <row r="2693" spans="4:4">
      <c r="D2693"/>
    </row>
    <row r="2694" spans="4:4">
      <c r="D2694"/>
    </row>
    <row r="2695" spans="4:4">
      <c r="D2695"/>
    </row>
    <row r="2696" spans="4:4">
      <c r="D2696"/>
    </row>
    <row r="2697" spans="4:4">
      <c r="D2697"/>
    </row>
    <row r="2698" spans="4:4">
      <c r="D2698"/>
    </row>
    <row r="2699" spans="4:4">
      <c r="D2699"/>
    </row>
    <row r="2700" spans="4:4">
      <c r="D2700"/>
    </row>
    <row r="2701" spans="4:4">
      <c r="D2701"/>
    </row>
    <row r="2702" spans="4:4">
      <c r="D2702"/>
    </row>
    <row r="2703" spans="4:4">
      <c r="D2703"/>
    </row>
    <row r="2704" spans="4:4">
      <c r="D2704"/>
    </row>
    <row r="2705" spans="4:4">
      <c r="D2705"/>
    </row>
    <row r="2706" spans="4:4">
      <c r="D2706"/>
    </row>
    <row r="2707" spans="4:4">
      <c r="D2707"/>
    </row>
    <row r="2708" spans="4:4">
      <c r="D2708"/>
    </row>
    <row r="2709" spans="4:4">
      <c r="D2709"/>
    </row>
    <row r="2710" spans="4:4">
      <c r="D2710"/>
    </row>
    <row r="2711" spans="4:4">
      <c r="D2711"/>
    </row>
    <row r="2712" spans="4:4">
      <c r="D2712"/>
    </row>
    <row r="2713" spans="4:4">
      <c r="D2713"/>
    </row>
    <row r="2714" spans="4:4">
      <c r="D2714"/>
    </row>
    <row r="2715" spans="4:4">
      <c r="D2715"/>
    </row>
    <row r="2716" spans="4:4">
      <c r="D2716"/>
    </row>
    <row r="2717" spans="4:4">
      <c r="D2717"/>
    </row>
    <row r="2718" spans="4:4">
      <c r="D2718"/>
    </row>
    <row r="2719" spans="4:4">
      <c r="D2719"/>
    </row>
    <row r="2720" spans="4:4">
      <c r="D2720"/>
    </row>
    <row r="2721" spans="4:4">
      <c r="D2721"/>
    </row>
    <row r="2722" spans="4:4">
      <c r="D2722"/>
    </row>
    <row r="2723" spans="4:4">
      <c r="D2723"/>
    </row>
    <row r="2724" spans="4:4">
      <c r="D2724"/>
    </row>
    <row r="2725" spans="4:4">
      <c r="D2725"/>
    </row>
    <row r="2726" spans="4:4">
      <c r="D2726"/>
    </row>
    <row r="2727" spans="4:4">
      <c r="D2727"/>
    </row>
    <row r="2728" spans="4:4">
      <c r="D2728"/>
    </row>
    <row r="2729" spans="4:4">
      <c r="D2729"/>
    </row>
    <row r="2730" spans="4:4">
      <c r="D2730"/>
    </row>
    <row r="2731" spans="4:4">
      <c r="D2731"/>
    </row>
    <row r="2732" spans="4:4">
      <c r="D2732"/>
    </row>
    <row r="2733" spans="4:4">
      <c r="D2733"/>
    </row>
    <row r="2734" spans="4:4">
      <c r="D2734"/>
    </row>
    <row r="2735" spans="4:4">
      <c r="D2735"/>
    </row>
    <row r="2736" spans="4:4">
      <c r="D2736"/>
    </row>
    <row r="2737" spans="4:4">
      <c r="D2737"/>
    </row>
    <row r="2738" spans="4:4">
      <c r="D2738"/>
    </row>
    <row r="2739" spans="4:4">
      <c r="D2739"/>
    </row>
    <row r="2740" spans="4:4">
      <c r="D2740"/>
    </row>
    <row r="2741" spans="4:4">
      <c r="D2741"/>
    </row>
    <row r="2742" spans="4:4">
      <c r="D2742"/>
    </row>
    <row r="2743" spans="4:4">
      <c r="D2743"/>
    </row>
    <row r="2744" spans="4:4">
      <c r="D2744"/>
    </row>
    <row r="2745" spans="4:4">
      <c r="D2745"/>
    </row>
    <row r="2746" spans="4:4">
      <c r="D2746"/>
    </row>
    <row r="2747" spans="4:4">
      <c r="D2747"/>
    </row>
    <row r="2748" spans="4:4">
      <c r="D2748"/>
    </row>
    <row r="2749" spans="4:4">
      <c r="D2749"/>
    </row>
    <row r="2750" spans="4:4">
      <c r="D2750"/>
    </row>
    <row r="2751" spans="4:4">
      <c r="D2751"/>
    </row>
    <row r="2752" spans="4:4">
      <c r="D2752"/>
    </row>
    <row r="2753" spans="4:4">
      <c r="D2753"/>
    </row>
    <row r="2754" spans="4:4">
      <c r="D2754"/>
    </row>
    <row r="2755" spans="4:4">
      <c r="D2755"/>
    </row>
    <row r="2756" spans="4:4">
      <c r="D2756"/>
    </row>
    <row r="2757" spans="4:4">
      <c r="D2757"/>
    </row>
    <row r="2758" spans="4:4">
      <c r="D2758"/>
    </row>
    <row r="2759" spans="4:4">
      <c r="D2759"/>
    </row>
    <row r="2760" spans="4:4">
      <c r="D2760"/>
    </row>
    <row r="2761" spans="4:4">
      <c r="D2761"/>
    </row>
    <row r="2762" spans="4:4">
      <c r="D2762"/>
    </row>
    <row r="2763" spans="4:4">
      <c r="D2763"/>
    </row>
    <row r="2764" spans="4:4">
      <c r="D2764"/>
    </row>
    <row r="2765" spans="4:4">
      <c r="D2765"/>
    </row>
    <row r="2766" spans="4:4">
      <c r="D2766"/>
    </row>
    <row r="2767" spans="4:4">
      <c r="D2767"/>
    </row>
    <row r="2768" spans="4:4">
      <c r="D2768"/>
    </row>
    <row r="2769" spans="4:4">
      <c r="D2769"/>
    </row>
    <row r="2770" spans="4:4">
      <c r="D2770"/>
    </row>
    <row r="2771" spans="4:4">
      <c r="D2771"/>
    </row>
    <row r="2772" spans="4:4">
      <c r="D2772"/>
    </row>
    <row r="2773" spans="4:4">
      <c r="D2773"/>
    </row>
    <row r="2774" spans="4:4">
      <c r="D2774"/>
    </row>
    <row r="2775" spans="4:4">
      <c r="D2775"/>
    </row>
    <row r="2776" spans="4:4">
      <c r="D2776"/>
    </row>
    <row r="2777" spans="4:4">
      <c r="D2777"/>
    </row>
    <row r="2778" spans="4:4">
      <c r="D2778"/>
    </row>
    <row r="2779" spans="4:4">
      <c r="D2779"/>
    </row>
    <row r="2780" spans="4:4">
      <c r="D2780"/>
    </row>
    <row r="2781" spans="4:4">
      <c r="D2781"/>
    </row>
    <row r="2782" spans="4:4">
      <c r="D2782"/>
    </row>
    <row r="2783" spans="4:4">
      <c r="D2783"/>
    </row>
    <row r="2784" spans="4:4">
      <c r="D2784"/>
    </row>
    <row r="2785" spans="4:4">
      <c r="D2785"/>
    </row>
    <row r="2786" spans="4:4">
      <c r="D2786"/>
    </row>
    <row r="2787" spans="4:4">
      <c r="D2787"/>
    </row>
    <row r="2788" spans="4:4">
      <c r="D2788"/>
    </row>
    <row r="2789" spans="4:4">
      <c r="D2789"/>
    </row>
    <row r="2790" spans="4:4">
      <c r="D2790"/>
    </row>
    <row r="2791" spans="4:4">
      <c r="D2791"/>
    </row>
    <row r="2792" spans="4:4">
      <c r="D2792"/>
    </row>
    <row r="2793" spans="4:4">
      <c r="D2793"/>
    </row>
    <row r="2794" spans="4:4">
      <c r="D2794"/>
    </row>
    <row r="2795" spans="4:4">
      <c r="D2795"/>
    </row>
    <row r="2796" spans="4:4">
      <c r="D2796"/>
    </row>
    <row r="2797" spans="4:4">
      <c r="D2797"/>
    </row>
    <row r="2798" spans="4:4">
      <c r="D2798"/>
    </row>
    <row r="2799" spans="4:4">
      <c r="D2799"/>
    </row>
    <row r="2800" spans="4:4">
      <c r="D2800"/>
    </row>
    <row r="2801" spans="4:4">
      <c r="D2801"/>
    </row>
    <row r="2802" spans="4:4">
      <c r="D2802"/>
    </row>
    <row r="2803" spans="4:4">
      <c r="D2803"/>
    </row>
    <row r="2804" spans="4:4">
      <c r="D2804"/>
    </row>
    <row r="2805" spans="4:4">
      <c r="D2805"/>
    </row>
    <row r="2806" spans="4:4">
      <c r="D2806"/>
    </row>
    <row r="2807" spans="4:4">
      <c r="D2807"/>
    </row>
    <row r="2808" spans="4:4">
      <c r="D2808"/>
    </row>
    <row r="2809" spans="4:4">
      <c r="D2809"/>
    </row>
    <row r="2810" spans="4:4">
      <c r="D2810"/>
    </row>
    <row r="2811" spans="4:4">
      <c r="D2811"/>
    </row>
    <row r="2812" spans="4:4">
      <c r="D2812"/>
    </row>
    <row r="2813" spans="4:4">
      <c r="D2813"/>
    </row>
    <row r="2814" spans="4:4">
      <c r="D2814"/>
    </row>
    <row r="2815" spans="4:4">
      <c r="D2815"/>
    </row>
    <row r="2816" spans="4:4">
      <c r="D2816"/>
    </row>
    <row r="2817" spans="4:4">
      <c r="D2817"/>
    </row>
    <row r="2818" spans="4:4">
      <c r="D2818"/>
    </row>
    <row r="2819" spans="4:4">
      <c r="D2819"/>
    </row>
    <row r="2820" spans="4:4">
      <c r="D2820"/>
    </row>
    <row r="2821" spans="4:4">
      <c r="D2821"/>
    </row>
    <row r="2822" spans="4:4">
      <c r="D2822"/>
    </row>
    <row r="2823" spans="4:4">
      <c r="D2823"/>
    </row>
    <row r="2824" spans="4:4">
      <c r="D2824"/>
    </row>
    <row r="2825" spans="4:4">
      <c r="D2825"/>
    </row>
    <row r="2826" spans="4:4">
      <c r="D2826"/>
    </row>
    <row r="2827" spans="4:4">
      <c r="D2827"/>
    </row>
    <row r="2828" spans="4:4">
      <c r="D2828"/>
    </row>
    <row r="2829" spans="4:4">
      <c r="D2829"/>
    </row>
    <row r="2830" spans="4:4">
      <c r="D2830"/>
    </row>
    <row r="2831" spans="4:4">
      <c r="D2831"/>
    </row>
    <row r="2832" spans="4:4">
      <c r="D2832"/>
    </row>
    <row r="2833" spans="4:4">
      <c r="D2833"/>
    </row>
    <row r="2834" spans="4:4">
      <c r="D2834"/>
    </row>
    <row r="2835" spans="4:4">
      <c r="D2835"/>
    </row>
    <row r="2836" spans="4:4">
      <c r="D2836"/>
    </row>
    <row r="2837" spans="4:4">
      <c r="D2837"/>
    </row>
    <row r="2838" spans="4:4">
      <c r="D2838"/>
    </row>
    <row r="2839" spans="4:4">
      <c r="D2839"/>
    </row>
    <row r="2840" spans="4:4">
      <c r="D2840"/>
    </row>
    <row r="2841" spans="4:4">
      <c r="D2841"/>
    </row>
    <row r="2842" spans="4:4">
      <c r="D2842"/>
    </row>
    <row r="2843" spans="4:4">
      <c r="D2843"/>
    </row>
    <row r="2844" spans="4:4">
      <c r="D2844"/>
    </row>
    <row r="2845" spans="4:4">
      <c r="D2845"/>
    </row>
    <row r="2846" spans="4:4">
      <c r="D2846"/>
    </row>
    <row r="2847" spans="4:4">
      <c r="D2847"/>
    </row>
    <row r="2848" spans="4:4">
      <c r="D2848"/>
    </row>
    <row r="2849" spans="4:4">
      <c r="D2849"/>
    </row>
    <row r="2850" spans="4:4">
      <c r="D2850"/>
    </row>
    <row r="2851" spans="4:4">
      <c r="D2851"/>
    </row>
    <row r="2852" spans="4:4">
      <c r="D2852"/>
    </row>
    <row r="2853" spans="4:4">
      <c r="D2853"/>
    </row>
    <row r="2854" spans="4:4">
      <c r="D2854"/>
    </row>
    <row r="2855" spans="4:4">
      <c r="D2855"/>
    </row>
    <row r="2856" spans="4:4">
      <c r="D2856"/>
    </row>
    <row r="2857" spans="4:4">
      <c r="D2857"/>
    </row>
    <row r="2858" spans="4:4">
      <c r="D2858"/>
    </row>
    <row r="2859" spans="4:4">
      <c r="D2859"/>
    </row>
    <row r="2860" spans="4:4">
      <c r="D2860"/>
    </row>
    <row r="2861" spans="4:4">
      <c r="D2861"/>
    </row>
    <row r="2862" spans="4:4">
      <c r="D2862"/>
    </row>
    <row r="2863" spans="4:4">
      <c r="D2863"/>
    </row>
    <row r="2864" spans="4:4">
      <c r="D2864"/>
    </row>
    <row r="2865" spans="4:4">
      <c r="D2865"/>
    </row>
    <row r="2866" spans="4:4">
      <c r="D2866"/>
    </row>
    <row r="2867" spans="4:4">
      <c r="D2867"/>
    </row>
    <row r="2868" spans="4:4">
      <c r="D2868"/>
    </row>
    <row r="2869" spans="4:4">
      <c r="D2869"/>
    </row>
    <row r="2870" spans="4:4">
      <c r="D2870"/>
    </row>
    <row r="2871" spans="4:4">
      <c r="D2871"/>
    </row>
    <row r="2872" spans="4:4">
      <c r="D2872"/>
    </row>
    <row r="2873" spans="4:4">
      <c r="D2873"/>
    </row>
    <row r="2874" spans="4:4">
      <c r="D2874"/>
    </row>
    <row r="2875" spans="4:4">
      <c r="D2875"/>
    </row>
    <row r="2876" spans="4:4">
      <c r="D2876"/>
    </row>
    <row r="2877" spans="4:4">
      <c r="D2877"/>
    </row>
    <row r="2878" spans="4:4">
      <c r="D2878"/>
    </row>
    <row r="2879" spans="4:4">
      <c r="D2879"/>
    </row>
    <row r="2880" spans="4:4">
      <c r="D2880"/>
    </row>
    <row r="2881" spans="4:4">
      <c r="D2881"/>
    </row>
    <row r="2882" spans="4:4">
      <c r="D2882"/>
    </row>
    <row r="2883" spans="4:4">
      <c r="D2883"/>
    </row>
    <row r="2884" spans="4:4">
      <c r="D2884"/>
    </row>
    <row r="2885" spans="4:4">
      <c r="D2885"/>
    </row>
    <row r="2886" spans="4:4">
      <c r="D2886"/>
    </row>
    <row r="2887" spans="4:4">
      <c r="D2887"/>
    </row>
    <row r="2888" spans="4:4">
      <c r="D2888"/>
    </row>
    <row r="2889" spans="4:4">
      <c r="D2889"/>
    </row>
    <row r="2890" spans="4:4">
      <c r="D2890"/>
    </row>
    <row r="2891" spans="4:4">
      <c r="D2891"/>
    </row>
    <row r="2892" spans="4:4">
      <c r="D2892"/>
    </row>
    <row r="2893" spans="4:4">
      <c r="D2893"/>
    </row>
    <row r="2894" spans="4:4">
      <c r="D2894"/>
    </row>
    <row r="2895" spans="4:4">
      <c r="D2895"/>
    </row>
    <row r="2896" spans="4:4">
      <c r="D2896"/>
    </row>
    <row r="2897" spans="4:4">
      <c r="D2897"/>
    </row>
    <row r="2898" spans="4:4">
      <c r="D2898"/>
    </row>
    <row r="2899" spans="4:4">
      <c r="D2899"/>
    </row>
    <row r="2900" spans="4:4">
      <c r="D2900"/>
    </row>
    <row r="2901" spans="4:4">
      <c r="D2901"/>
    </row>
    <row r="2902" spans="4:4">
      <c r="D2902"/>
    </row>
    <row r="2903" spans="4:4">
      <c r="D2903"/>
    </row>
    <row r="2904" spans="4:4">
      <c r="D2904"/>
    </row>
    <row r="2905" spans="4:4">
      <c r="D2905"/>
    </row>
    <row r="2906" spans="4:4">
      <c r="D2906"/>
    </row>
    <row r="2907" spans="4:4">
      <c r="D2907"/>
    </row>
    <row r="2908" spans="4:4">
      <c r="D2908"/>
    </row>
    <row r="2909" spans="4:4">
      <c r="D2909"/>
    </row>
    <row r="2910" spans="4:4">
      <c r="D2910"/>
    </row>
    <row r="2911" spans="4:4">
      <c r="D2911"/>
    </row>
    <row r="2912" spans="4:4">
      <c r="D2912"/>
    </row>
    <row r="2913" spans="4:4">
      <c r="D2913"/>
    </row>
    <row r="2914" spans="4:4">
      <c r="D2914"/>
    </row>
    <row r="2915" spans="4:4">
      <c r="D2915"/>
    </row>
    <row r="2916" spans="4:4">
      <c r="D2916"/>
    </row>
    <row r="2917" spans="4:4">
      <c r="D2917"/>
    </row>
    <row r="2918" spans="4:4">
      <c r="D2918"/>
    </row>
    <row r="2919" spans="4:4">
      <c r="D2919"/>
    </row>
    <row r="2920" spans="4:4">
      <c r="D2920"/>
    </row>
    <row r="2921" spans="4:4">
      <c r="D2921"/>
    </row>
    <row r="2922" spans="4:4">
      <c r="D2922"/>
    </row>
    <row r="2923" spans="4:4">
      <c r="D2923"/>
    </row>
    <row r="2924" spans="4:4">
      <c r="D2924"/>
    </row>
    <row r="2925" spans="4:4">
      <c r="D2925"/>
    </row>
    <row r="2926" spans="4:4">
      <c r="D2926"/>
    </row>
    <row r="2927" spans="4:4">
      <c r="D2927"/>
    </row>
    <row r="2928" spans="4:4">
      <c r="D2928"/>
    </row>
    <row r="2929" spans="4:4">
      <c r="D2929"/>
    </row>
    <row r="2930" spans="4:4">
      <c r="D2930"/>
    </row>
    <row r="2931" spans="4:4">
      <c r="D2931"/>
    </row>
    <row r="2932" spans="4:4">
      <c r="D2932"/>
    </row>
    <row r="2933" spans="4:4">
      <c r="D2933"/>
    </row>
    <row r="2934" spans="4:4">
      <c r="D2934"/>
    </row>
    <row r="2935" spans="4:4">
      <c r="D2935"/>
    </row>
    <row r="2936" spans="4:4">
      <c r="D2936"/>
    </row>
    <row r="2937" spans="4:4">
      <c r="D2937"/>
    </row>
    <row r="2938" spans="4:4">
      <c r="D2938"/>
    </row>
    <row r="2939" spans="4:4">
      <c r="D2939"/>
    </row>
    <row r="2940" spans="4:4">
      <c r="D2940"/>
    </row>
    <row r="2941" spans="4:4">
      <c r="D2941"/>
    </row>
    <row r="2942" spans="4:4">
      <c r="D2942"/>
    </row>
    <row r="2943" spans="4:4">
      <c r="D2943"/>
    </row>
    <row r="2944" spans="4:4">
      <c r="D2944"/>
    </row>
    <row r="2945" spans="4:4">
      <c r="D2945"/>
    </row>
    <row r="2946" spans="4:4">
      <c r="D2946"/>
    </row>
    <row r="2947" spans="4:4">
      <c r="D2947"/>
    </row>
    <row r="2948" spans="4:4">
      <c r="D2948"/>
    </row>
    <row r="2949" spans="4:4">
      <c r="D2949"/>
    </row>
    <row r="2950" spans="4:4">
      <c r="D2950"/>
    </row>
    <row r="2951" spans="4:4">
      <c r="D2951"/>
    </row>
    <row r="2952" spans="4:4">
      <c r="D2952"/>
    </row>
    <row r="2953" spans="4:4">
      <c r="D2953"/>
    </row>
    <row r="2954" spans="4:4">
      <c r="D2954"/>
    </row>
    <row r="2955" spans="4:4">
      <c r="D2955"/>
    </row>
    <row r="2956" spans="4:4">
      <c r="D2956"/>
    </row>
    <row r="2957" spans="4:4">
      <c r="D2957"/>
    </row>
    <row r="2958" spans="4:4">
      <c r="D2958"/>
    </row>
    <row r="2959" spans="4:4">
      <c r="D2959"/>
    </row>
    <row r="2960" spans="4:4">
      <c r="D2960"/>
    </row>
    <row r="2961" spans="4:4">
      <c r="D2961"/>
    </row>
    <row r="2962" spans="4:4">
      <c r="D2962"/>
    </row>
    <row r="2963" spans="4:4">
      <c r="D2963"/>
    </row>
    <row r="2964" spans="4:4">
      <c r="D2964"/>
    </row>
    <row r="2965" spans="4:4">
      <c r="D2965"/>
    </row>
    <row r="2966" spans="4:4">
      <c r="D2966"/>
    </row>
    <row r="2967" spans="4:4">
      <c r="D2967"/>
    </row>
    <row r="2968" spans="4:4">
      <c r="D2968"/>
    </row>
    <row r="2969" spans="4:4">
      <c r="D2969"/>
    </row>
    <row r="2970" spans="4:4">
      <c r="D2970"/>
    </row>
    <row r="2971" spans="4:4">
      <c r="D2971"/>
    </row>
    <row r="2972" spans="4:4">
      <c r="D2972"/>
    </row>
    <row r="2973" spans="4:4">
      <c r="D2973"/>
    </row>
    <row r="2974" spans="4:4">
      <c r="D2974"/>
    </row>
    <row r="2975" spans="4:4">
      <c r="D2975"/>
    </row>
    <row r="2976" spans="4:4">
      <c r="D2976"/>
    </row>
    <row r="2977" spans="4:4">
      <c r="D2977"/>
    </row>
    <row r="2978" spans="4:4">
      <c r="D2978"/>
    </row>
    <row r="2979" spans="4:4">
      <c r="D2979"/>
    </row>
    <row r="2980" spans="4:4">
      <c r="D2980"/>
    </row>
    <row r="2981" spans="4:4">
      <c r="D2981"/>
    </row>
    <row r="2982" spans="4:4">
      <c r="D2982"/>
    </row>
    <row r="2983" spans="4:4">
      <c r="D2983"/>
    </row>
    <row r="2984" spans="4:4">
      <c r="D2984"/>
    </row>
    <row r="2985" spans="4:4">
      <c r="D2985"/>
    </row>
    <row r="2986" spans="4:4">
      <c r="D2986"/>
    </row>
    <row r="2987" spans="4:4">
      <c r="D2987"/>
    </row>
    <row r="2988" spans="4:4">
      <c r="D2988"/>
    </row>
    <row r="2989" spans="4:4">
      <c r="D2989"/>
    </row>
    <row r="2990" spans="4:4">
      <c r="D2990"/>
    </row>
    <row r="2991" spans="4:4">
      <c r="D2991"/>
    </row>
    <row r="2992" spans="4:4">
      <c r="D2992"/>
    </row>
    <row r="2993" spans="4:4">
      <c r="D2993"/>
    </row>
    <row r="2994" spans="4:4">
      <c r="D2994"/>
    </row>
    <row r="2995" spans="4:4">
      <c r="D2995"/>
    </row>
    <row r="2996" spans="4:4">
      <c r="D2996"/>
    </row>
    <row r="2997" spans="4:4">
      <c r="D2997"/>
    </row>
    <row r="2998" spans="4:4">
      <c r="D2998"/>
    </row>
    <row r="2999" spans="4:4">
      <c r="D2999"/>
    </row>
    <row r="3000" spans="4:4">
      <c r="D3000"/>
    </row>
    <row r="3001" spans="4:4">
      <c r="D3001"/>
    </row>
    <row r="3002" spans="4:4">
      <c r="D3002"/>
    </row>
    <row r="3003" spans="4:4">
      <c r="D3003"/>
    </row>
    <row r="3004" spans="4:4">
      <c r="D3004"/>
    </row>
    <row r="3005" spans="4:4">
      <c r="D3005"/>
    </row>
    <row r="3006" spans="4:4">
      <c r="D3006"/>
    </row>
    <row r="3007" spans="4:4">
      <c r="D3007"/>
    </row>
    <row r="3008" spans="4:4">
      <c r="D3008"/>
    </row>
    <row r="3009" spans="4:4">
      <c r="D3009"/>
    </row>
    <row r="3010" spans="4:4">
      <c r="D3010"/>
    </row>
    <row r="3011" spans="4:4">
      <c r="D3011"/>
    </row>
    <row r="3012" spans="4:4">
      <c r="D3012"/>
    </row>
    <row r="3013" spans="4:4">
      <c r="D3013"/>
    </row>
    <row r="3014" spans="4:4">
      <c r="D3014"/>
    </row>
    <row r="3015" spans="4:4">
      <c r="D3015"/>
    </row>
    <row r="3016" spans="4:4">
      <c r="D3016"/>
    </row>
    <row r="3017" spans="4:4">
      <c r="D3017"/>
    </row>
    <row r="3018" spans="4:4">
      <c r="D3018"/>
    </row>
    <row r="3019" spans="4:4">
      <c r="D3019"/>
    </row>
    <row r="3020" spans="4:4">
      <c r="D3020"/>
    </row>
    <row r="3021" spans="4:4">
      <c r="D3021"/>
    </row>
    <row r="3022" spans="4:4">
      <c r="D3022"/>
    </row>
    <row r="3023" spans="4:4">
      <c r="D3023"/>
    </row>
    <row r="3024" spans="4:4">
      <c r="D3024"/>
    </row>
    <row r="3025" spans="4:4">
      <c r="D3025"/>
    </row>
    <row r="3026" spans="4:4">
      <c r="D3026"/>
    </row>
    <row r="3027" spans="4:4">
      <c r="D3027"/>
    </row>
    <row r="3028" spans="4:4">
      <c r="D3028"/>
    </row>
    <row r="3029" spans="4:4">
      <c r="D3029"/>
    </row>
    <row r="3030" spans="4:4">
      <c r="D3030"/>
    </row>
    <row r="3031" spans="4:4">
      <c r="D3031"/>
    </row>
    <row r="3032" spans="4:4">
      <c r="D3032"/>
    </row>
    <row r="3033" spans="4:4">
      <c r="D3033"/>
    </row>
    <row r="3034" spans="4:4">
      <c r="D3034"/>
    </row>
    <row r="3035" spans="4:4">
      <c r="D3035"/>
    </row>
    <row r="3036" spans="4:4">
      <c r="D3036"/>
    </row>
    <row r="3037" spans="4:4">
      <c r="D3037"/>
    </row>
    <row r="3038" spans="4:4">
      <c r="D3038"/>
    </row>
    <row r="3039" spans="4:4">
      <c r="D3039"/>
    </row>
    <row r="3040" spans="4:4">
      <c r="D3040"/>
    </row>
    <row r="3041" spans="4:4">
      <c r="D3041"/>
    </row>
    <row r="3042" spans="4:4">
      <c r="D3042"/>
    </row>
    <row r="3043" spans="4:4">
      <c r="D3043"/>
    </row>
    <row r="3044" spans="4:4">
      <c r="D3044"/>
    </row>
    <row r="3045" spans="4:4">
      <c r="D3045"/>
    </row>
    <row r="3046" spans="4:4">
      <c r="D3046"/>
    </row>
    <row r="3047" spans="4:4">
      <c r="D3047"/>
    </row>
    <row r="3048" spans="4:4">
      <c r="D3048"/>
    </row>
    <row r="3049" spans="4:4">
      <c r="D3049"/>
    </row>
    <row r="3050" spans="4:4">
      <c r="D3050"/>
    </row>
    <row r="3051" spans="4:4">
      <c r="D3051"/>
    </row>
    <row r="3052" spans="4:4">
      <c r="D3052"/>
    </row>
    <row r="3053" spans="4:4">
      <c r="D3053"/>
    </row>
    <row r="3054" spans="4:4">
      <c r="D3054"/>
    </row>
    <row r="3055" spans="4:4">
      <c r="D3055"/>
    </row>
    <row r="3056" spans="4:4">
      <c r="D3056"/>
    </row>
    <row r="3057" spans="4:4">
      <c r="D3057"/>
    </row>
    <row r="3058" spans="4:4">
      <c r="D3058"/>
    </row>
    <row r="3059" spans="4:4">
      <c r="D3059"/>
    </row>
    <row r="3060" spans="4:4">
      <c r="D3060"/>
    </row>
    <row r="3061" spans="4:4">
      <c r="D3061"/>
    </row>
    <row r="3062" spans="4:4">
      <c r="D3062"/>
    </row>
    <row r="3063" spans="4:4">
      <c r="D3063"/>
    </row>
    <row r="3064" spans="4:4">
      <c r="D3064"/>
    </row>
    <row r="3065" spans="4:4">
      <c r="D3065"/>
    </row>
    <row r="3066" spans="4:4">
      <c r="D3066"/>
    </row>
    <row r="3067" spans="4:4">
      <c r="D3067"/>
    </row>
    <row r="3068" spans="4:4">
      <c r="D3068"/>
    </row>
    <row r="3069" spans="4:4">
      <c r="D3069"/>
    </row>
    <row r="3070" spans="4:4">
      <c r="D3070"/>
    </row>
    <row r="3071" spans="4:4">
      <c r="D3071"/>
    </row>
    <row r="3072" spans="4:4">
      <c r="D3072"/>
    </row>
    <row r="3073" spans="4:4">
      <c r="D3073"/>
    </row>
    <row r="3074" spans="4:4">
      <c r="D3074"/>
    </row>
    <row r="3075" spans="4:4">
      <c r="D3075"/>
    </row>
    <row r="3076" spans="4:4">
      <c r="D3076"/>
    </row>
    <row r="3077" spans="4:4">
      <c r="D3077"/>
    </row>
    <row r="3078" spans="4:4">
      <c r="D3078"/>
    </row>
    <row r="3079" spans="4:4">
      <c r="D3079"/>
    </row>
    <row r="3080" spans="4:4">
      <c r="D3080"/>
    </row>
    <row r="3081" spans="4:4">
      <c r="D3081"/>
    </row>
    <row r="3082" spans="4:4">
      <c r="D3082"/>
    </row>
    <row r="3083" spans="4:4">
      <c r="D3083"/>
    </row>
    <row r="3084" spans="4:4">
      <c r="D3084"/>
    </row>
    <row r="3085" spans="4:4">
      <c r="D3085"/>
    </row>
    <row r="3086" spans="4:4">
      <c r="D3086"/>
    </row>
    <row r="3087" spans="4:4">
      <c r="D3087"/>
    </row>
    <row r="3088" spans="4:4">
      <c r="D3088"/>
    </row>
    <row r="3089" spans="4:4">
      <c r="D3089"/>
    </row>
    <row r="3090" spans="4:4">
      <c r="D3090"/>
    </row>
    <row r="3091" spans="4:4">
      <c r="D3091"/>
    </row>
    <row r="3092" spans="4:4">
      <c r="D3092"/>
    </row>
    <row r="3093" spans="4:4">
      <c r="D3093"/>
    </row>
    <row r="3094" spans="4:4">
      <c r="D3094"/>
    </row>
    <row r="3095" spans="4:4">
      <c r="D3095"/>
    </row>
    <row r="3096" spans="4:4">
      <c r="D3096"/>
    </row>
    <row r="3097" spans="4:4">
      <c r="D3097"/>
    </row>
    <row r="3098" spans="4:4">
      <c r="D3098"/>
    </row>
    <row r="3099" spans="4:4">
      <c r="D3099"/>
    </row>
    <row r="3100" spans="4:4">
      <c r="D3100"/>
    </row>
    <row r="3101" spans="4:4">
      <c r="D3101"/>
    </row>
    <row r="3102" spans="4:4">
      <c r="D3102"/>
    </row>
    <row r="3103" spans="4:4">
      <c r="D3103"/>
    </row>
    <row r="3104" spans="4:4">
      <c r="D3104"/>
    </row>
    <row r="3105" spans="4:4">
      <c r="D3105"/>
    </row>
    <row r="3106" spans="4:4">
      <c r="D3106"/>
    </row>
    <row r="3107" spans="4:4">
      <c r="D3107"/>
    </row>
    <row r="3108" spans="4:4">
      <c r="D3108"/>
    </row>
    <row r="3109" spans="4:4">
      <c r="D3109"/>
    </row>
    <row r="3110" spans="4:4">
      <c r="D3110"/>
    </row>
    <row r="3111" spans="4:4">
      <c r="D3111"/>
    </row>
    <row r="3112" spans="4:4">
      <c r="D3112"/>
    </row>
    <row r="3113" spans="4:4">
      <c r="D3113"/>
    </row>
    <row r="3114" spans="4:4">
      <c r="D3114"/>
    </row>
    <row r="3115" spans="4:4">
      <c r="D3115"/>
    </row>
    <row r="3116" spans="4:4">
      <c r="D3116"/>
    </row>
    <row r="3117" spans="4:4">
      <c r="D3117"/>
    </row>
    <row r="3118" spans="4:4">
      <c r="D3118"/>
    </row>
    <row r="3119" spans="4:4">
      <c r="D3119"/>
    </row>
    <row r="3120" spans="4:4">
      <c r="D3120"/>
    </row>
    <row r="3121" spans="4:4">
      <c r="D3121"/>
    </row>
    <row r="3122" spans="4:4">
      <c r="D3122"/>
    </row>
    <row r="3123" spans="4:4">
      <c r="D3123"/>
    </row>
    <row r="3124" spans="4:4">
      <c r="D3124"/>
    </row>
    <row r="3125" spans="4:4">
      <c r="D3125"/>
    </row>
    <row r="3126" spans="4:4">
      <c r="D3126"/>
    </row>
    <row r="3127" spans="4:4">
      <c r="D3127"/>
    </row>
    <row r="3128" spans="4:4">
      <c r="D3128"/>
    </row>
    <row r="3129" spans="4:4">
      <c r="D3129"/>
    </row>
    <row r="3130" spans="4:4">
      <c r="D3130"/>
    </row>
    <row r="3131" spans="4:4">
      <c r="D3131"/>
    </row>
    <row r="3132" spans="4:4">
      <c r="D3132"/>
    </row>
    <row r="3133" spans="4:4">
      <c r="D3133"/>
    </row>
    <row r="3134" spans="4:4">
      <c r="D3134"/>
    </row>
    <row r="3135" spans="4:4">
      <c r="D3135"/>
    </row>
    <row r="3136" spans="4:4">
      <c r="D3136"/>
    </row>
    <row r="3137" spans="4:4">
      <c r="D3137"/>
    </row>
    <row r="3138" spans="4:4">
      <c r="D3138"/>
    </row>
    <row r="3139" spans="4:4">
      <c r="D3139"/>
    </row>
    <row r="3140" spans="4:4">
      <c r="D3140"/>
    </row>
    <row r="3141" spans="4:4">
      <c r="D3141"/>
    </row>
    <row r="3142" spans="4:4">
      <c r="D3142"/>
    </row>
    <row r="3143" spans="4:4">
      <c r="D3143"/>
    </row>
    <row r="3144" spans="4:4">
      <c r="D3144"/>
    </row>
    <row r="3145" spans="4:4">
      <c r="D3145"/>
    </row>
    <row r="3146" spans="4:4">
      <c r="D3146"/>
    </row>
    <row r="3147" spans="4:4">
      <c r="D3147"/>
    </row>
    <row r="3148" spans="4:4">
      <c r="D3148"/>
    </row>
    <row r="3149" spans="4:4">
      <c r="D3149"/>
    </row>
    <row r="3150" spans="4:4">
      <c r="D3150"/>
    </row>
    <row r="3151" spans="4:4">
      <c r="D3151"/>
    </row>
    <row r="3152" spans="4:4">
      <c r="D3152"/>
    </row>
    <row r="3153" spans="4:4">
      <c r="D3153"/>
    </row>
    <row r="3154" spans="4:4">
      <c r="D3154"/>
    </row>
    <row r="3155" spans="4:4">
      <c r="D3155"/>
    </row>
    <row r="3156" spans="4:4">
      <c r="D3156"/>
    </row>
    <row r="3157" spans="4:4">
      <c r="D3157"/>
    </row>
    <row r="3158" spans="4:4">
      <c r="D3158"/>
    </row>
    <row r="3159" spans="4:4">
      <c r="D3159"/>
    </row>
    <row r="3160" spans="4:4">
      <c r="D3160"/>
    </row>
    <row r="3161" spans="4:4">
      <c r="D3161"/>
    </row>
    <row r="3162" spans="4:4">
      <c r="D3162"/>
    </row>
    <row r="3163" spans="4:4">
      <c r="D3163"/>
    </row>
    <row r="3164" spans="4:4">
      <c r="D3164"/>
    </row>
    <row r="3165" spans="4:4">
      <c r="D3165"/>
    </row>
    <row r="3166" spans="4:4">
      <c r="D3166"/>
    </row>
    <row r="3167" spans="4:4">
      <c r="D3167"/>
    </row>
    <row r="3168" spans="4:4">
      <c r="D3168"/>
    </row>
    <row r="3169" spans="4:4">
      <c r="D3169"/>
    </row>
    <row r="3170" spans="4:4">
      <c r="D3170"/>
    </row>
    <row r="3171" spans="4:4">
      <c r="D3171"/>
    </row>
    <row r="3172" spans="4:4">
      <c r="D3172"/>
    </row>
    <row r="3173" spans="4:4">
      <c r="D3173"/>
    </row>
    <row r="3174" spans="4:4">
      <c r="D3174"/>
    </row>
    <row r="3175" spans="4:4">
      <c r="D3175"/>
    </row>
    <row r="3176" spans="4:4">
      <c r="D3176"/>
    </row>
    <row r="3177" spans="4:4">
      <c r="D3177"/>
    </row>
    <row r="3178" spans="4:4">
      <c r="D3178"/>
    </row>
    <row r="3179" spans="4:4">
      <c r="D3179"/>
    </row>
    <row r="3180" spans="4:4">
      <c r="D3180"/>
    </row>
    <row r="3181" spans="4:4">
      <c r="D3181"/>
    </row>
    <row r="3182" spans="4:4">
      <c r="D3182"/>
    </row>
    <row r="3183" spans="4:4">
      <c r="D3183"/>
    </row>
    <row r="3184" spans="4:4">
      <c r="D3184"/>
    </row>
    <row r="3185" spans="4:4">
      <c r="D3185"/>
    </row>
    <row r="3186" spans="4:4">
      <c r="D3186"/>
    </row>
    <row r="3187" spans="4:4">
      <c r="D3187"/>
    </row>
    <row r="3188" spans="4:4">
      <c r="D3188"/>
    </row>
    <row r="3189" spans="4:4">
      <c r="D3189"/>
    </row>
    <row r="3190" spans="4:4">
      <c r="D3190"/>
    </row>
    <row r="3191" spans="4:4">
      <c r="D3191"/>
    </row>
    <row r="3192" spans="4:4">
      <c r="D3192"/>
    </row>
    <row r="3193" spans="4:4">
      <c r="D3193"/>
    </row>
    <row r="3194" spans="4:4">
      <c r="D3194"/>
    </row>
    <row r="3195" spans="4:4">
      <c r="D3195"/>
    </row>
    <row r="3196" spans="4:4">
      <c r="D3196"/>
    </row>
    <row r="3197" spans="4:4">
      <c r="D3197"/>
    </row>
    <row r="3198" spans="4:4">
      <c r="D3198"/>
    </row>
    <row r="3199" spans="4:4">
      <c r="D3199"/>
    </row>
    <row r="3200" spans="4:4">
      <c r="D3200"/>
    </row>
    <row r="3201" spans="4:4">
      <c r="D3201"/>
    </row>
    <row r="3202" spans="4:4">
      <c r="D3202"/>
    </row>
    <row r="3203" spans="4:4">
      <c r="D3203"/>
    </row>
    <row r="3204" spans="4:4">
      <c r="D3204"/>
    </row>
    <row r="3205" spans="4:4">
      <c r="D3205"/>
    </row>
    <row r="3206" spans="4:4">
      <c r="D3206"/>
    </row>
    <row r="3207" spans="4:4">
      <c r="D3207"/>
    </row>
    <row r="3208" spans="4:4">
      <c r="D3208"/>
    </row>
    <row r="3209" spans="4:4">
      <c r="D3209"/>
    </row>
    <row r="3210" spans="4:4">
      <c r="D3210"/>
    </row>
    <row r="3211" spans="4:4">
      <c r="D3211"/>
    </row>
    <row r="3212" spans="4:4">
      <c r="D3212"/>
    </row>
    <row r="3213" spans="4:4">
      <c r="D3213"/>
    </row>
    <row r="3214" spans="4:4">
      <c r="D3214"/>
    </row>
    <row r="3215" spans="4:4">
      <c r="D3215"/>
    </row>
    <row r="3216" spans="4:4">
      <c r="D3216"/>
    </row>
    <row r="3217" spans="4:4">
      <c r="D3217"/>
    </row>
    <row r="3218" spans="4:4">
      <c r="D3218"/>
    </row>
    <row r="3219" spans="4:4">
      <c r="D3219"/>
    </row>
    <row r="3220" spans="4:4">
      <c r="D3220"/>
    </row>
    <row r="3221" spans="4:4">
      <c r="D3221"/>
    </row>
    <row r="3222" spans="4:4">
      <c r="D3222"/>
    </row>
    <row r="3223" spans="4:4">
      <c r="D3223"/>
    </row>
    <row r="3224" spans="4:4">
      <c r="D3224"/>
    </row>
    <row r="3225" spans="4:4">
      <c r="D3225"/>
    </row>
    <row r="3226" spans="4:4">
      <c r="D3226"/>
    </row>
    <row r="3227" spans="4:4">
      <c r="D3227"/>
    </row>
    <row r="3228" spans="4:4">
      <c r="D3228"/>
    </row>
    <row r="3229" spans="4:4">
      <c r="D3229"/>
    </row>
    <row r="3230" spans="4:4">
      <c r="D3230"/>
    </row>
    <row r="3231" spans="4:4">
      <c r="D3231"/>
    </row>
    <row r="3232" spans="4:4">
      <c r="D3232"/>
    </row>
    <row r="3233" spans="4:4">
      <c r="D3233"/>
    </row>
    <row r="3234" spans="4:4">
      <c r="D3234"/>
    </row>
    <row r="3235" spans="4:4">
      <c r="D3235"/>
    </row>
    <row r="3236" spans="4:4">
      <c r="D3236"/>
    </row>
    <row r="3237" spans="4:4">
      <c r="D3237"/>
    </row>
    <row r="3238" spans="4:4">
      <c r="D3238"/>
    </row>
    <row r="3239" spans="4:4">
      <c r="D3239"/>
    </row>
    <row r="3240" spans="4:4">
      <c r="D3240"/>
    </row>
    <row r="3241" spans="4:4">
      <c r="D3241"/>
    </row>
    <row r="3242" spans="4:4">
      <c r="D3242"/>
    </row>
    <row r="3243" spans="4:4">
      <c r="D3243"/>
    </row>
    <row r="3244" spans="4:4">
      <c r="D3244"/>
    </row>
    <row r="3245" spans="4:4">
      <c r="D3245"/>
    </row>
    <row r="3246" spans="4:4">
      <c r="D3246"/>
    </row>
    <row r="3247" spans="4:4">
      <c r="D3247"/>
    </row>
    <row r="3248" spans="4:4">
      <c r="D3248"/>
    </row>
    <row r="3249" spans="4:4">
      <c r="D3249"/>
    </row>
    <row r="3250" spans="4:4">
      <c r="D3250"/>
    </row>
    <row r="3251" spans="4:4">
      <c r="D3251"/>
    </row>
    <row r="3252" spans="4:4">
      <c r="D3252"/>
    </row>
    <row r="3253" spans="4:4">
      <c r="D3253"/>
    </row>
    <row r="3254" spans="4:4">
      <c r="D3254"/>
    </row>
    <row r="3255" spans="4:4">
      <c r="D3255"/>
    </row>
    <row r="3256" spans="4:4">
      <c r="D3256"/>
    </row>
    <row r="3257" spans="4:4">
      <c r="D3257"/>
    </row>
    <row r="3258" spans="4:4">
      <c r="D3258"/>
    </row>
    <row r="3259" spans="4:4">
      <c r="D3259"/>
    </row>
    <row r="3260" spans="4:4">
      <c r="D3260"/>
    </row>
    <row r="3261" spans="4:4">
      <c r="D3261"/>
    </row>
    <row r="3262" spans="4:4">
      <c r="D3262"/>
    </row>
    <row r="3263" spans="4:4">
      <c r="D3263"/>
    </row>
    <row r="3264" spans="4:4">
      <c r="D3264"/>
    </row>
    <row r="3265" spans="4:4">
      <c r="D3265"/>
    </row>
    <row r="3266" spans="4:4">
      <c r="D3266"/>
    </row>
    <row r="3267" spans="4:4">
      <c r="D3267"/>
    </row>
    <row r="3268" spans="4:4">
      <c r="D3268"/>
    </row>
    <row r="3269" spans="4:4">
      <c r="D3269"/>
    </row>
    <row r="3270" spans="4:4">
      <c r="D3270"/>
    </row>
    <row r="3271" spans="4:4">
      <c r="D3271"/>
    </row>
    <row r="3272" spans="4:4">
      <c r="D3272"/>
    </row>
    <row r="3273" spans="4:4">
      <c r="D3273"/>
    </row>
    <row r="3274" spans="4:4">
      <c r="D3274"/>
    </row>
    <row r="3275" spans="4:4">
      <c r="D3275"/>
    </row>
    <row r="3276" spans="4:4">
      <c r="D3276"/>
    </row>
    <row r="3277" spans="4:4">
      <c r="D3277"/>
    </row>
    <row r="3278" spans="4:4">
      <c r="D3278"/>
    </row>
    <row r="3279" spans="4:4">
      <c r="D3279"/>
    </row>
    <row r="3280" spans="4:4">
      <c r="D3280"/>
    </row>
    <row r="3281" spans="4:4">
      <c r="D3281"/>
    </row>
    <row r="3282" spans="4:4">
      <c r="D3282"/>
    </row>
    <row r="3283" spans="4:4">
      <c r="D3283"/>
    </row>
    <row r="3284" spans="4:4">
      <c r="D3284"/>
    </row>
    <row r="3285" spans="4:4">
      <c r="D3285"/>
    </row>
    <row r="3286" spans="4:4">
      <c r="D3286"/>
    </row>
    <row r="3287" spans="4:4">
      <c r="D3287"/>
    </row>
    <row r="3288" spans="4:4">
      <c r="D3288"/>
    </row>
    <row r="3289" spans="4:4">
      <c r="D3289"/>
    </row>
    <row r="3290" spans="4:4">
      <c r="D3290"/>
    </row>
    <row r="3291" spans="4:4">
      <c r="D3291"/>
    </row>
    <row r="3292" spans="4:4">
      <c r="D3292"/>
    </row>
    <row r="3293" spans="4:4">
      <c r="D3293"/>
    </row>
    <row r="3294" spans="4:4">
      <c r="D3294"/>
    </row>
    <row r="3295" spans="4:4">
      <c r="D3295"/>
    </row>
    <row r="3296" spans="4:4">
      <c r="D3296"/>
    </row>
    <row r="3297" spans="4:4">
      <c r="D3297"/>
    </row>
    <row r="3298" spans="4:4">
      <c r="D3298"/>
    </row>
    <row r="3299" spans="4:4">
      <c r="D3299"/>
    </row>
    <row r="3300" spans="4:4">
      <c r="D3300"/>
    </row>
    <row r="3301" spans="4:4">
      <c r="D3301"/>
    </row>
    <row r="3302" spans="4:4">
      <c r="D3302"/>
    </row>
    <row r="3303" spans="4:4">
      <c r="D3303"/>
    </row>
    <row r="3304" spans="4:4">
      <c r="D3304"/>
    </row>
    <row r="3305" spans="4:4">
      <c r="D3305"/>
    </row>
    <row r="3306" spans="4:4">
      <c r="D3306"/>
    </row>
    <row r="3307" spans="4:4">
      <c r="D3307"/>
    </row>
    <row r="3308" spans="4:4">
      <c r="D3308"/>
    </row>
    <row r="3309" spans="4:4">
      <c r="D3309"/>
    </row>
    <row r="3310" spans="4:4">
      <c r="D3310"/>
    </row>
    <row r="3311" spans="4:4">
      <c r="D3311"/>
    </row>
    <row r="3312" spans="4:4">
      <c r="D3312"/>
    </row>
    <row r="3313" spans="4:4">
      <c r="D3313"/>
    </row>
    <row r="3314" spans="4:4">
      <c r="D3314"/>
    </row>
    <row r="3315" spans="4:4">
      <c r="D3315"/>
    </row>
    <row r="3316" spans="4:4">
      <c r="D3316"/>
    </row>
    <row r="3317" spans="4:4">
      <c r="D3317"/>
    </row>
    <row r="3318" spans="4:4">
      <c r="D3318"/>
    </row>
    <row r="3319" spans="4:4">
      <c r="D3319"/>
    </row>
    <row r="3320" spans="4:4">
      <c r="D3320"/>
    </row>
    <row r="3321" spans="4:4">
      <c r="D3321"/>
    </row>
    <row r="3322" spans="4:4">
      <c r="D3322"/>
    </row>
    <row r="3323" spans="4:4">
      <c r="D3323"/>
    </row>
    <row r="3324" spans="4:4">
      <c r="D3324"/>
    </row>
    <row r="3325" spans="4:4">
      <c r="D3325"/>
    </row>
    <row r="3326" spans="4:4">
      <c r="D3326"/>
    </row>
    <row r="3327" spans="4:4">
      <c r="D3327"/>
    </row>
    <row r="3328" spans="4:4">
      <c r="D3328"/>
    </row>
    <row r="3329" spans="4:4">
      <c r="D3329"/>
    </row>
    <row r="3330" spans="4:4">
      <c r="D3330"/>
    </row>
    <row r="3331" spans="4:4">
      <c r="D3331"/>
    </row>
    <row r="3332" spans="4:4">
      <c r="D3332"/>
    </row>
    <row r="3333" spans="4:4">
      <c r="D3333"/>
    </row>
    <row r="3334" spans="4:4">
      <c r="D3334"/>
    </row>
    <row r="3335" spans="4:4">
      <c r="D3335"/>
    </row>
    <row r="3336" spans="4:4">
      <c r="D3336"/>
    </row>
    <row r="3337" spans="4:4">
      <c r="D3337"/>
    </row>
    <row r="3338" spans="4:4">
      <c r="D3338"/>
    </row>
    <row r="3339" spans="4:4">
      <c r="D3339"/>
    </row>
    <row r="3340" spans="4:4">
      <c r="D3340"/>
    </row>
    <row r="3341" spans="4:4">
      <c r="D3341"/>
    </row>
    <row r="3342" spans="4:4">
      <c r="D3342"/>
    </row>
    <row r="3343" spans="4:4">
      <c r="D3343"/>
    </row>
    <row r="3344" spans="4:4">
      <c r="D3344"/>
    </row>
    <row r="3345" spans="4:4">
      <c r="D3345"/>
    </row>
    <row r="3346" spans="4:4">
      <c r="D3346"/>
    </row>
    <row r="3347" spans="4:4">
      <c r="D3347"/>
    </row>
    <row r="3348" spans="4:4">
      <c r="D3348"/>
    </row>
    <row r="3349" spans="4:4">
      <c r="D3349"/>
    </row>
    <row r="3350" spans="4:4">
      <c r="D3350"/>
    </row>
    <row r="3351" spans="4:4">
      <c r="D3351"/>
    </row>
    <row r="3352" spans="4:4">
      <c r="D3352"/>
    </row>
    <row r="3353" spans="4:4">
      <c r="D3353"/>
    </row>
    <row r="3354" spans="4:4">
      <c r="D3354"/>
    </row>
    <row r="3355" spans="4:4">
      <c r="D3355"/>
    </row>
    <row r="3356" spans="4:4">
      <c r="D3356"/>
    </row>
    <row r="3357" spans="4:4">
      <c r="D3357"/>
    </row>
    <row r="3358" spans="4:4">
      <c r="D3358"/>
    </row>
    <row r="3359" spans="4:4">
      <c r="D3359"/>
    </row>
    <row r="3360" spans="4:4">
      <c r="D3360"/>
    </row>
    <row r="3361" spans="4:4">
      <c r="D3361"/>
    </row>
    <row r="3362" spans="4:4">
      <c r="D3362"/>
    </row>
    <row r="3363" spans="4:4">
      <c r="D3363"/>
    </row>
    <row r="3364" spans="4:4">
      <c r="D3364"/>
    </row>
    <row r="3365" spans="4:4">
      <c r="D3365"/>
    </row>
    <row r="3366" spans="4:4">
      <c r="D3366"/>
    </row>
    <row r="3367" spans="4:4">
      <c r="D3367"/>
    </row>
    <row r="3368" spans="4:4">
      <c r="D3368"/>
    </row>
    <row r="3369" spans="4:4">
      <c r="D3369"/>
    </row>
    <row r="3370" spans="4:4">
      <c r="D3370"/>
    </row>
    <row r="3371" spans="4:4">
      <c r="D3371"/>
    </row>
    <row r="3372" spans="4:4">
      <c r="D3372"/>
    </row>
    <row r="3373" spans="4:4">
      <c r="D3373"/>
    </row>
    <row r="3374" spans="4:4">
      <c r="D3374"/>
    </row>
    <row r="3375" spans="4:4">
      <c r="D3375"/>
    </row>
    <row r="3376" spans="4:4">
      <c r="D3376"/>
    </row>
    <row r="3377" spans="4:4">
      <c r="D3377"/>
    </row>
    <row r="3378" spans="4:4">
      <c r="D3378"/>
    </row>
    <row r="3379" spans="4:4">
      <c r="D3379"/>
    </row>
    <row r="3380" spans="4:4">
      <c r="D3380"/>
    </row>
    <row r="3381" spans="4:4">
      <c r="D3381"/>
    </row>
    <row r="3382" spans="4:4">
      <c r="D3382"/>
    </row>
    <row r="3383" spans="4:4">
      <c r="D3383"/>
    </row>
    <row r="3384" spans="4:4">
      <c r="D3384"/>
    </row>
    <row r="3385" spans="4:4">
      <c r="D3385"/>
    </row>
    <row r="3386" spans="4:4">
      <c r="D3386"/>
    </row>
    <row r="3387" spans="4:4">
      <c r="D3387"/>
    </row>
    <row r="3388" spans="4:4">
      <c r="D3388"/>
    </row>
    <row r="3389" spans="4:4">
      <c r="D3389"/>
    </row>
    <row r="3390" spans="4:4">
      <c r="D3390"/>
    </row>
    <row r="3391" spans="4:4">
      <c r="D3391"/>
    </row>
    <row r="3392" spans="4:4">
      <c r="D3392"/>
    </row>
    <row r="3393" spans="4:4">
      <c r="D3393"/>
    </row>
    <row r="3394" spans="4:4">
      <c r="D3394"/>
    </row>
    <row r="3395" spans="4:4">
      <c r="D3395"/>
    </row>
    <row r="3396" spans="4:4">
      <c r="D3396"/>
    </row>
    <row r="3397" spans="4:4">
      <c r="D3397"/>
    </row>
    <row r="3398" spans="4:4">
      <c r="D3398"/>
    </row>
    <row r="3399" spans="4:4">
      <c r="D3399"/>
    </row>
    <row r="3400" spans="4:4">
      <c r="D3400"/>
    </row>
    <row r="3401" spans="4:4">
      <c r="D3401"/>
    </row>
    <row r="3402" spans="4:4">
      <c r="D3402"/>
    </row>
    <row r="3403" spans="4:4">
      <c r="D3403"/>
    </row>
    <row r="3404" spans="4:4">
      <c r="D3404"/>
    </row>
    <row r="3405" spans="4:4">
      <c r="D3405"/>
    </row>
    <row r="3406" spans="4:4">
      <c r="D3406"/>
    </row>
    <row r="3407" spans="4:4">
      <c r="D3407"/>
    </row>
    <row r="3408" spans="4:4">
      <c r="D3408"/>
    </row>
    <row r="3409" spans="4:4">
      <c r="D3409"/>
    </row>
    <row r="3410" spans="4:4">
      <c r="D3410"/>
    </row>
    <row r="3411" spans="4:4">
      <c r="D3411"/>
    </row>
    <row r="3412" spans="4:4">
      <c r="D3412"/>
    </row>
    <row r="3413" spans="4:4">
      <c r="D3413"/>
    </row>
    <row r="3414" spans="4:4">
      <c r="D3414"/>
    </row>
    <row r="3415" spans="4:4">
      <c r="D3415"/>
    </row>
    <row r="3416" spans="4:4">
      <c r="D3416"/>
    </row>
    <row r="3417" spans="4:4">
      <c r="D3417"/>
    </row>
    <row r="3418" spans="4:4">
      <c r="D3418"/>
    </row>
    <row r="3419" spans="4:4">
      <c r="D3419"/>
    </row>
    <row r="3420" spans="4:4">
      <c r="D3420"/>
    </row>
    <row r="3421" spans="4:4">
      <c r="D3421"/>
    </row>
    <row r="3422" spans="4:4">
      <c r="D3422"/>
    </row>
    <row r="3423" spans="4:4">
      <c r="D3423"/>
    </row>
    <row r="3424" spans="4:4">
      <c r="D3424"/>
    </row>
    <row r="3425" spans="4:4">
      <c r="D3425"/>
    </row>
    <row r="3426" spans="4:4">
      <c r="D3426"/>
    </row>
    <row r="3427" spans="4:4">
      <c r="D3427"/>
    </row>
    <row r="3428" spans="4:4">
      <c r="D3428"/>
    </row>
    <row r="3429" spans="4:4">
      <c r="D3429"/>
    </row>
    <row r="3430" spans="4:4">
      <c r="D3430"/>
    </row>
    <row r="3431" spans="4:4">
      <c r="D3431"/>
    </row>
    <row r="3432" spans="4:4">
      <c r="D3432"/>
    </row>
    <row r="3433" spans="4:4">
      <c r="D3433"/>
    </row>
    <row r="3434" spans="4:4">
      <c r="D3434"/>
    </row>
    <row r="3435" spans="4:4">
      <c r="D3435"/>
    </row>
    <row r="3436" spans="4:4">
      <c r="D3436"/>
    </row>
    <row r="3437" spans="4:4">
      <c r="D3437"/>
    </row>
    <row r="3438" spans="4:4">
      <c r="D3438"/>
    </row>
    <row r="3439" spans="4:4">
      <c r="D3439"/>
    </row>
    <row r="3440" spans="4:4">
      <c r="D3440"/>
    </row>
    <row r="3441" spans="4:4">
      <c r="D3441"/>
    </row>
    <row r="3442" spans="4:4">
      <c r="D3442"/>
    </row>
    <row r="3443" spans="4:4">
      <c r="D3443"/>
    </row>
    <row r="3444" spans="4:4">
      <c r="D3444"/>
    </row>
    <row r="3445" spans="4:4">
      <c r="D3445"/>
    </row>
    <row r="3446" spans="4:4">
      <c r="D3446"/>
    </row>
    <row r="3447" spans="4:4">
      <c r="D3447"/>
    </row>
    <row r="3448" spans="4:4">
      <c r="D3448"/>
    </row>
    <row r="3449" spans="4:4">
      <c r="D3449"/>
    </row>
    <row r="3450" spans="4:4">
      <c r="D3450"/>
    </row>
    <row r="3451" spans="4:4">
      <c r="D3451"/>
    </row>
    <row r="3452" spans="4:4">
      <c r="D3452"/>
    </row>
    <row r="3453" spans="4:4">
      <c r="D3453"/>
    </row>
    <row r="3454" spans="4:4">
      <c r="D3454"/>
    </row>
    <row r="3455" spans="4:4">
      <c r="D3455"/>
    </row>
    <row r="3456" spans="4:4">
      <c r="D3456"/>
    </row>
    <row r="3457" spans="4:4">
      <c r="D3457"/>
    </row>
    <row r="3458" spans="4:4">
      <c r="D3458"/>
    </row>
    <row r="3459" spans="4:4">
      <c r="D3459"/>
    </row>
    <row r="3460" spans="4:4">
      <c r="D3460"/>
    </row>
    <row r="3461" spans="4:4">
      <c r="D3461"/>
    </row>
    <row r="3462" spans="4:4">
      <c r="D3462"/>
    </row>
    <row r="3463" spans="4:4">
      <c r="D3463"/>
    </row>
    <row r="3464" spans="4:4">
      <c r="D3464"/>
    </row>
    <row r="3465" spans="4:4">
      <c r="D3465"/>
    </row>
    <row r="3466" spans="4:4">
      <c r="D3466"/>
    </row>
    <row r="3467" spans="4:4">
      <c r="D3467"/>
    </row>
    <row r="3468" spans="4:4">
      <c r="D3468"/>
    </row>
    <row r="3469" spans="4:4">
      <c r="D3469"/>
    </row>
    <row r="3470" spans="4:4">
      <c r="D3470"/>
    </row>
    <row r="3471" spans="4:4">
      <c r="D3471"/>
    </row>
    <row r="3472" spans="4:4">
      <c r="D3472"/>
    </row>
    <row r="3473" spans="4:4">
      <c r="D3473"/>
    </row>
    <row r="3474" spans="4:4">
      <c r="D3474"/>
    </row>
    <row r="3475" spans="4:4">
      <c r="D3475"/>
    </row>
    <row r="3476" spans="4:4">
      <c r="D3476"/>
    </row>
    <row r="3477" spans="4:4">
      <c r="D3477"/>
    </row>
    <row r="3478" spans="4:4">
      <c r="D3478"/>
    </row>
    <row r="3479" spans="4:4">
      <c r="D3479"/>
    </row>
    <row r="3480" spans="4:4">
      <c r="D3480"/>
    </row>
    <row r="3481" spans="4:4">
      <c r="D3481"/>
    </row>
    <row r="3482" spans="4:4">
      <c r="D3482"/>
    </row>
    <row r="3483" spans="4:4">
      <c r="D3483"/>
    </row>
    <row r="3484" spans="4:4">
      <c r="D3484"/>
    </row>
    <row r="3485" spans="4:4">
      <c r="D3485"/>
    </row>
    <row r="3486" spans="4:4">
      <c r="D3486"/>
    </row>
    <row r="3487" spans="4:4">
      <c r="D3487"/>
    </row>
    <row r="3488" spans="4:4">
      <c r="D3488"/>
    </row>
    <row r="3489" spans="4:4">
      <c r="D3489"/>
    </row>
    <row r="3490" spans="4:4">
      <c r="D3490"/>
    </row>
    <row r="3491" spans="4:4">
      <c r="D3491"/>
    </row>
    <row r="3492" spans="4:4">
      <c r="D3492"/>
    </row>
    <row r="3493" spans="4:4">
      <c r="D3493"/>
    </row>
    <row r="3494" spans="4:4">
      <c r="D3494"/>
    </row>
    <row r="3495" spans="4:4">
      <c r="D3495"/>
    </row>
    <row r="3496" spans="4:4">
      <c r="D3496"/>
    </row>
    <row r="3497" spans="4:4">
      <c r="D3497"/>
    </row>
    <row r="3498" spans="4:4">
      <c r="D3498"/>
    </row>
    <row r="3499" spans="4:4">
      <c r="D3499"/>
    </row>
    <row r="3500" spans="4:4">
      <c r="D3500"/>
    </row>
    <row r="3501" spans="4:4">
      <c r="D3501"/>
    </row>
    <row r="3502" spans="4:4">
      <c r="D3502"/>
    </row>
    <row r="3503" spans="4:4">
      <c r="D3503"/>
    </row>
    <row r="3504" spans="4:4">
      <c r="D3504"/>
    </row>
    <row r="3505" spans="4:4">
      <c r="D3505"/>
    </row>
    <row r="3506" spans="4:4">
      <c r="D3506"/>
    </row>
    <row r="3507" spans="4:4">
      <c r="D3507"/>
    </row>
    <row r="3508" spans="4:4">
      <c r="D3508"/>
    </row>
    <row r="3509" spans="4:4">
      <c r="D3509"/>
    </row>
    <row r="3510" spans="4:4">
      <c r="D3510"/>
    </row>
    <row r="3511" spans="4:4">
      <c r="D3511"/>
    </row>
    <row r="3512" spans="4:4">
      <c r="D3512"/>
    </row>
    <row r="3513" spans="4:4">
      <c r="D3513"/>
    </row>
    <row r="3514" spans="4:4">
      <c r="D3514"/>
    </row>
    <row r="3515" spans="4:4">
      <c r="D3515"/>
    </row>
    <row r="3516" spans="4:4">
      <c r="D3516"/>
    </row>
    <row r="3517" spans="4:4">
      <c r="D3517"/>
    </row>
    <row r="3518" spans="4:4">
      <c r="D3518"/>
    </row>
    <row r="3519" spans="4:4">
      <c r="D3519"/>
    </row>
    <row r="3520" spans="4:4">
      <c r="D3520"/>
    </row>
    <row r="3521" spans="4:4">
      <c r="D3521"/>
    </row>
    <row r="3522" spans="4:4">
      <c r="D3522"/>
    </row>
    <row r="3523" spans="4:4">
      <c r="D3523"/>
    </row>
    <row r="3524" spans="4:4">
      <c r="D3524"/>
    </row>
    <row r="3525" spans="4:4">
      <c r="D3525"/>
    </row>
    <row r="3526" spans="4:4">
      <c r="D3526"/>
    </row>
    <row r="3527" spans="4:4">
      <c r="D3527"/>
    </row>
    <row r="3528" spans="4:4">
      <c r="D3528"/>
    </row>
    <row r="3529" spans="4:4">
      <c r="D3529"/>
    </row>
    <row r="3530" spans="4:4">
      <c r="D3530"/>
    </row>
    <row r="3531" spans="4:4">
      <c r="D3531"/>
    </row>
    <row r="3532" spans="4:4">
      <c r="D3532"/>
    </row>
    <row r="3533" spans="4:4">
      <c r="D3533"/>
    </row>
    <row r="3534" spans="4:4">
      <c r="D3534"/>
    </row>
    <row r="3535" spans="4:4">
      <c r="D3535"/>
    </row>
    <row r="3536" spans="4:4">
      <c r="D3536"/>
    </row>
    <row r="3537" spans="4:4">
      <c r="D3537"/>
    </row>
    <row r="3538" spans="4:4">
      <c r="D3538"/>
    </row>
    <row r="3539" spans="4:4">
      <c r="D3539"/>
    </row>
    <row r="3540" spans="4:4">
      <c r="D3540"/>
    </row>
    <row r="3541" spans="4:4">
      <c r="D3541"/>
    </row>
    <row r="3542" spans="4:4">
      <c r="D3542"/>
    </row>
    <row r="3543" spans="4:4">
      <c r="D3543"/>
    </row>
    <row r="3544" spans="4:4">
      <c r="D3544"/>
    </row>
    <row r="3545" spans="4:4">
      <c r="D3545"/>
    </row>
    <row r="3546" spans="4:4">
      <c r="D3546"/>
    </row>
    <row r="3547" spans="4:4">
      <c r="D3547"/>
    </row>
    <row r="3548" spans="4:4">
      <c r="D3548"/>
    </row>
    <row r="3549" spans="4:4">
      <c r="D3549"/>
    </row>
    <row r="3550" spans="4:4">
      <c r="D3550"/>
    </row>
    <row r="3551" spans="4:4">
      <c r="D3551"/>
    </row>
    <row r="3552" spans="4:4">
      <c r="D3552"/>
    </row>
    <row r="3553" spans="4:4">
      <c r="D3553"/>
    </row>
    <row r="3554" spans="4:4">
      <c r="D3554"/>
    </row>
    <row r="3555" spans="4:4">
      <c r="D3555"/>
    </row>
    <row r="3556" spans="4:4">
      <c r="D3556"/>
    </row>
    <row r="3557" spans="4:4">
      <c r="D3557"/>
    </row>
    <row r="3558" spans="4:4">
      <c r="D3558"/>
    </row>
    <row r="3559" spans="4:4">
      <c r="D3559"/>
    </row>
    <row r="3560" spans="4:4">
      <c r="D3560"/>
    </row>
    <row r="3561" spans="4:4">
      <c r="D3561"/>
    </row>
    <row r="3562" spans="4:4">
      <c r="D3562"/>
    </row>
    <row r="3563" spans="4:4">
      <c r="D3563"/>
    </row>
    <row r="3564" spans="4:4">
      <c r="D3564"/>
    </row>
    <row r="3565" spans="4:4">
      <c r="D3565"/>
    </row>
    <row r="3566" spans="4:4">
      <c r="D3566"/>
    </row>
    <row r="3567" spans="4:4">
      <c r="D3567"/>
    </row>
    <row r="3568" spans="4:4">
      <c r="D3568"/>
    </row>
    <row r="3569" spans="4:4">
      <c r="D3569"/>
    </row>
    <row r="3570" spans="4:4">
      <c r="D3570"/>
    </row>
    <row r="3571" spans="4:4">
      <c r="D3571"/>
    </row>
    <row r="3572" spans="4:4">
      <c r="D3572"/>
    </row>
    <row r="3573" spans="4:4">
      <c r="D3573"/>
    </row>
    <row r="3574" spans="4:4">
      <c r="D3574"/>
    </row>
    <row r="3575" spans="4:4">
      <c r="D3575"/>
    </row>
    <row r="3576" spans="4:4">
      <c r="D3576"/>
    </row>
    <row r="3577" spans="4:4">
      <c r="D3577"/>
    </row>
    <row r="3578" spans="4:4">
      <c r="D3578"/>
    </row>
    <row r="3579" spans="4:4">
      <c r="D3579"/>
    </row>
    <row r="3580" spans="4:4">
      <c r="D3580"/>
    </row>
    <row r="3581" spans="4:4">
      <c r="D3581"/>
    </row>
    <row r="3582" spans="4:4">
      <c r="D3582"/>
    </row>
    <row r="3583" spans="4:4">
      <c r="D3583"/>
    </row>
    <row r="3584" spans="4:4">
      <c r="D3584"/>
    </row>
    <row r="3585" spans="4:4">
      <c r="D3585"/>
    </row>
    <row r="3586" spans="4:4">
      <c r="D3586"/>
    </row>
    <row r="3587" spans="4:4">
      <c r="D3587"/>
    </row>
    <row r="3588" spans="4:4">
      <c r="D3588"/>
    </row>
    <row r="3589" spans="4:4">
      <c r="D3589"/>
    </row>
    <row r="3590" spans="4:4">
      <c r="D3590"/>
    </row>
    <row r="3591" spans="4:4">
      <c r="D3591"/>
    </row>
    <row r="3592" spans="4:4">
      <c r="D3592"/>
    </row>
    <row r="3593" spans="4:4">
      <c r="D3593"/>
    </row>
    <row r="3594" spans="4:4">
      <c r="D3594"/>
    </row>
    <row r="3595" spans="4:4">
      <c r="D3595"/>
    </row>
    <row r="3596" spans="4:4">
      <c r="D3596"/>
    </row>
    <row r="3597" spans="4:4">
      <c r="D3597"/>
    </row>
    <row r="3598" spans="4:4">
      <c r="D3598"/>
    </row>
    <row r="3599" spans="4:4">
      <c r="D3599"/>
    </row>
    <row r="3600" spans="4:4">
      <c r="D3600"/>
    </row>
    <row r="3601" spans="4:4">
      <c r="D3601"/>
    </row>
    <row r="3602" spans="4:4">
      <c r="D3602"/>
    </row>
    <row r="3603" spans="4:4">
      <c r="D3603"/>
    </row>
    <row r="3604" spans="4:4">
      <c r="D3604"/>
    </row>
    <row r="3605" spans="4:4">
      <c r="D3605"/>
    </row>
    <row r="3606" spans="4:4">
      <c r="D3606"/>
    </row>
    <row r="3607" spans="4:4">
      <c r="D3607"/>
    </row>
    <row r="3608" spans="4:4">
      <c r="D3608"/>
    </row>
    <row r="3609" spans="4:4">
      <c r="D3609"/>
    </row>
    <row r="3610" spans="4:4">
      <c r="D3610"/>
    </row>
    <row r="3611" spans="4:4">
      <c r="D3611"/>
    </row>
    <row r="3612" spans="4:4">
      <c r="D3612"/>
    </row>
    <row r="3613" spans="4:4">
      <c r="D3613"/>
    </row>
    <row r="3614" spans="4:4">
      <c r="D3614"/>
    </row>
    <row r="3615" spans="4:4">
      <c r="D3615"/>
    </row>
    <row r="3616" spans="4:4">
      <c r="D3616"/>
    </row>
    <row r="3617" spans="4:4">
      <c r="D3617"/>
    </row>
    <row r="3618" spans="4:4">
      <c r="D3618"/>
    </row>
    <row r="3619" spans="4:4">
      <c r="D3619"/>
    </row>
    <row r="3620" spans="4:4">
      <c r="D3620"/>
    </row>
    <row r="3621" spans="4:4">
      <c r="D3621"/>
    </row>
    <row r="3622" spans="4:4">
      <c r="D3622"/>
    </row>
    <row r="3623" spans="4:4">
      <c r="D3623"/>
    </row>
    <row r="3624" spans="4:4">
      <c r="D3624"/>
    </row>
    <row r="3625" spans="4:4">
      <c r="D3625"/>
    </row>
    <row r="3626" spans="4:4">
      <c r="D3626"/>
    </row>
    <row r="3627" spans="4:4">
      <c r="D3627"/>
    </row>
    <row r="3628" spans="4:4">
      <c r="D3628"/>
    </row>
    <row r="3629" spans="4:4">
      <c r="D3629"/>
    </row>
    <row r="3630" spans="4:4">
      <c r="D3630"/>
    </row>
    <row r="3631" spans="4:4">
      <c r="D3631"/>
    </row>
    <row r="3632" spans="4:4">
      <c r="D3632"/>
    </row>
    <row r="3633" spans="4:4">
      <c r="D3633"/>
    </row>
    <row r="3634" spans="4:4">
      <c r="D3634"/>
    </row>
    <row r="3635" spans="4:4">
      <c r="D3635"/>
    </row>
    <row r="3636" spans="4:4">
      <c r="D3636"/>
    </row>
    <row r="3637" spans="4:4">
      <c r="D3637"/>
    </row>
    <row r="3638" spans="4:4">
      <c r="D3638"/>
    </row>
    <row r="3639" spans="4:4">
      <c r="D3639"/>
    </row>
    <row r="3640" spans="4:4">
      <c r="D3640"/>
    </row>
    <row r="3641" spans="4:4">
      <c r="D3641"/>
    </row>
    <row r="3642" spans="4:4">
      <c r="D3642"/>
    </row>
    <row r="3643" spans="4:4">
      <c r="D3643"/>
    </row>
    <row r="3644" spans="4:4">
      <c r="D3644"/>
    </row>
    <row r="3645" spans="4:4">
      <c r="D3645"/>
    </row>
    <row r="3646" spans="4:4">
      <c r="D3646"/>
    </row>
    <row r="3647" spans="4:4">
      <c r="D3647"/>
    </row>
    <row r="3648" spans="4:4">
      <c r="D3648"/>
    </row>
    <row r="3649" spans="4:4">
      <c r="D3649"/>
    </row>
    <row r="3650" spans="4:4">
      <c r="D3650"/>
    </row>
    <row r="3651" spans="4:4">
      <c r="D3651"/>
    </row>
    <row r="3652" spans="4:4">
      <c r="D3652"/>
    </row>
    <row r="3653" spans="4:4">
      <c r="D3653"/>
    </row>
    <row r="3654" spans="4:4">
      <c r="D3654"/>
    </row>
    <row r="3655" spans="4:4">
      <c r="D3655"/>
    </row>
    <row r="3656" spans="4:4">
      <c r="D3656"/>
    </row>
    <row r="3657" spans="4:4">
      <c r="D3657"/>
    </row>
    <row r="3658" spans="4:4">
      <c r="D3658"/>
    </row>
    <row r="3659" spans="4:4">
      <c r="D3659"/>
    </row>
    <row r="3660" spans="4:4">
      <c r="D3660"/>
    </row>
    <row r="3661" spans="4:4">
      <c r="D3661"/>
    </row>
    <row r="3662" spans="4:4">
      <c r="D3662"/>
    </row>
    <row r="3663" spans="4:4">
      <c r="D3663"/>
    </row>
    <row r="3664" spans="4:4">
      <c r="D3664"/>
    </row>
    <row r="3665" spans="4:4">
      <c r="D3665"/>
    </row>
    <row r="3666" spans="4:4">
      <c r="D3666"/>
    </row>
    <row r="3667" spans="4:4">
      <c r="D3667"/>
    </row>
    <row r="3668" spans="4:4">
      <c r="D3668"/>
    </row>
    <row r="3669" spans="4:4">
      <c r="D3669"/>
    </row>
    <row r="3670" spans="4:4">
      <c r="D3670"/>
    </row>
    <row r="3671" spans="4:4">
      <c r="D3671"/>
    </row>
    <row r="3672" spans="4:4">
      <c r="D3672"/>
    </row>
    <row r="3673" spans="4:4">
      <c r="D3673"/>
    </row>
    <row r="3674" spans="4:4">
      <c r="D3674"/>
    </row>
    <row r="3675" spans="4:4">
      <c r="D3675"/>
    </row>
    <row r="3676" spans="4:4">
      <c r="D3676"/>
    </row>
    <row r="3677" spans="4:4">
      <c r="D3677"/>
    </row>
    <row r="3678" spans="4:4">
      <c r="D3678"/>
    </row>
    <row r="3679" spans="4:4">
      <c r="D3679"/>
    </row>
    <row r="3680" spans="4:4">
      <c r="D3680"/>
    </row>
    <row r="3681" spans="4:4">
      <c r="D3681"/>
    </row>
    <row r="3682" spans="4:4">
      <c r="D3682"/>
    </row>
    <row r="3683" spans="4:4">
      <c r="D3683"/>
    </row>
    <row r="3684" spans="4:4">
      <c r="D3684"/>
    </row>
    <row r="3685" spans="4:4">
      <c r="D3685"/>
    </row>
    <row r="3686" spans="4:4">
      <c r="D3686"/>
    </row>
    <row r="3687" spans="4:4">
      <c r="D3687"/>
    </row>
    <row r="3688" spans="4:4">
      <c r="D3688"/>
    </row>
    <row r="3689" spans="4:4">
      <c r="D3689"/>
    </row>
    <row r="3690" spans="4:4">
      <c r="D3690"/>
    </row>
    <row r="3691" spans="4:4">
      <c r="D3691"/>
    </row>
    <row r="3692" spans="4:4">
      <c r="D3692"/>
    </row>
    <row r="3693" spans="4:4">
      <c r="D3693"/>
    </row>
    <row r="3694" spans="4:4">
      <c r="D3694"/>
    </row>
    <row r="3695" spans="4:4">
      <c r="D3695"/>
    </row>
    <row r="3696" spans="4:4">
      <c r="D3696"/>
    </row>
    <row r="3697" spans="4:4">
      <c r="D3697"/>
    </row>
    <row r="3698" spans="4:4">
      <c r="D3698"/>
    </row>
    <row r="3699" spans="4:4">
      <c r="D3699"/>
    </row>
    <row r="3700" spans="4:4">
      <c r="D3700"/>
    </row>
    <row r="3701" spans="4:4">
      <c r="D3701"/>
    </row>
    <row r="3702" spans="4:4">
      <c r="D3702"/>
    </row>
    <row r="3703" spans="4:4">
      <c r="D3703"/>
    </row>
    <row r="3704" spans="4:4">
      <c r="D3704"/>
    </row>
    <row r="3705" spans="4:4">
      <c r="D3705"/>
    </row>
    <row r="3706" spans="4:4">
      <c r="D3706"/>
    </row>
    <row r="3707" spans="4:4">
      <c r="D3707"/>
    </row>
    <row r="3708" spans="4:4">
      <c r="D3708"/>
    </row>
    <row r="3709" spans="4:4">
      <c r="D3709"/>
    </row>
    <row r="3710" spans="4:4">
      <c r="D3710"/>
    </row>
    <row r="3711" spans="4:4">
      <c r="D3711"/>
    </row>
    <row r="3712" spans="4:4">
      <c r="D3712"/>
    </row>
    <row r="3713" spans="4:4">
      <c r="D3713"/>
    </row>
    <row r="3714" spans="4:4">
      <c r="D3714"/>
    </row>
    <row r="3715" spans="4:4">
      <c r="D3715"/>
    </row>
    <row r="3716" spans="4:4">
      <c r="D3716"/>
    </row>
    <row r="3717" spans="4:4">
      <c r="D3717"/>
    </row>
    <row r="3718" spans="4:4">
      <c r="D3718"/>
    </row>
    <row r="3719" spans="4:4">
      <c r="D3719"/>
    </row>
    <row r="3720" spans="4:4">
      <c r="D3720"/>
    </row>
    <row r="3721" spans="4:4">
      <c r="D3721"/>
    </row>
    <row r="3722" spans="4:4">
      <c r="D3722"/>
    </row>
    <row r="3723" spans="4:4">
      <c r="D3723"/>
    </row>
    <row r="3724" spans="4:4">
      <c r="D3724"/>
    </row>
    <row r="3725" spans="4:4">
      <c r="D3725"/>
    </row>
    <row r="3726" spans="4:4">
      <c r="D3726"/>
    </row>
    <row r="3727" spans="4:4">
      <c r="D3727"/>
    </row>
    <row r="3728" spans="4:4">
      <c r="D3728"/>
    </row>
    <row r="3729" spans="4:4">
      <c r="D3729"/>
    </row>
    <row r="3730" spans="4:4">
      <c r="D3730"/>
    </row>
    <row r="3731" spans="4:4">
      <c r="D3731"/>
    </row>
    <row r="3732" spans="4:4">
      <c r="D3732"/>
    </row>
    <row r="3733" spans="4:4">
      <c r="D3733"/>
    </row>
    <row r="3734" spans="4:4">
      <c r="D3734"/>
    </row>
    <row r="3735" spans="4:4">
      <c r="D3735"/>
    </row>
    <row r="3736" spans="4:4">
      <c r="D3736"/>
    </row>
    <row r="3737" spans="4:4">
      <c r="D3737"/>
    </row>
    <row r="3738" spans="4:4">
      <c r="D3738"/>
    </row>
    <row r="3739" spans="4:4">
      <c r="D3739"/>
    </row>
    <row r="3740" spans="4:4">
      <c r="D3740"/>
    </row>
    <row r="3741" spans="4:4">
      <c r="D3741"/>
    </row>
    <row r="3742" spans="4:4">
      <c r="D3742"/>
    </row>
    <row r="3743" spans="4:4">
      <c r="D3743"/>
    </row>
    <row r="3744" spans="4:4">
      <c r="D3744"/>
    </row>
    <row r="3745" spans="4:4">
      <c r="D3745"/>
    </row>
    <row r="3746" spans="4:4">
      <c r="D3746"/>
    </row>
    <row r="3747" spans="4:4">
      <c r="D3747"/>
    </row>
    <row r="3748" spans="4:4">
      <c r="D3748"/>
    </row>
    <row r="3749" spans="4:4">
      <c r="D3749"/>
    </row>
    <row r="3750" spans="4:4">
      <c r="D3750"/>
    </row>
    <row r="3751" spans="4:4">
      <c r="D3751"/>
    </row>
    <row r="3752" spans="4:4">
      <c r="D3752"/>
    </row>
    <row r="3753" spans="4:4">
      <c r="D3753"/>
    </row>
    <row r="3754" spans="4:4">
      <c r="D3754"/>
    </row>
    <row r="3755" spans="4:4">
      <c r="D3755"/>
    </row>
    <row r="3756" spans="4:4">
      <c r="D3756"/>
    </row>
    <row r="3757" spans="4:4">
      <c r="D3757"/>
    </row>
    <row r="3758" spans="4:4">
      <c r="D3758"/>
    </row>
    <row r="3759" spans="4:4">
      <c r="D3759"/>
    </row>
    <row r="3760" spans="4:4">
      <c r="D3760"/>
    </row>
    <row r="3761" spans="4:4">
      <c r="D3761"/>
    </row>
    <row r="3762" spans="4:4">
      <c r="D3762"/>
    </row>
    <row r="3763" spans="4:4">
      <c r="D3763"/>
    </row>
    <row r="3764" spans="4:4">
      <c r="D3764"/>
    </row>
    <row r="3765" spans="4:4">
      <c r="D3765"/>
    </row>
    <row r="3766" spans="4:4">
      <c r="D3766"/>
    </row>
    <row r="3767" spans="4:4">
      <c r="D3767"/>
    </row>
    <row r="3768" spans="4:4">
      <c r="D3768"/>
    </row>
    <row r="3769" spans="4:4">
      <c r="D3769"/>
    </row>
    <row r="3770" spans="4:4">
      <c r="D3770"/>
    </row>
    <row r="3771" spans="4:4">
      <c r="D3771"/>
    </row>
    <row r="3772" spans="4:4">
      <c r="D3772"/>
    </row>
    <row r="3773" spans="4:4">
      <c r="D3773"/>
    </row>
    <row r="3774" spans="4:4">
      <c r="D3774"/>
    </row>
    <row r="3775" spans="4:4">
      <c r="D3775"/>
    </row>
    <row r="3776" spans="4:4">
      <c r="D3776"/>
    </row>
    <row r="3777" spans="4:4">
      <c r="D3777"/>
    </row>
    <row r="3778" spans="4:4">
      <c r="D3778"/>
    </row>
    <row r="3779" spans="4:4">
      <c r="D3779"/>
    </row>
    <row r="3780" spans="4:4">
      <c r="D3780"/>
    </row>
    <row r="3781" spans="4:4">
      <c r="D3781"/>
    </row>
    <row r="3782" spans="4:4">
      <c r="D3782"/>
    </row>
    <row r="3783" spans="4:4">
      <c r="D3783"/>
    </row>
    <row r="3784" spans="4:4">
      <c r="D3784"/>
    </row>
    <row r="3785" spans="4:4">
      <c r="D3785"/>
    </row>
    <row r="3786" spans="4:4">
      <c r="D3786"/>
    </row>
    <row r="3787" spans="4:4">
      <c r="D3787"/>
    </row>
    <row r="3788" spans="4:4">
      <c r="D3788"/>
    </row>
    <row r="3789" spans="4:4">
      <c r="D3789"/>
    </row>
    <row r="3790" spans="4:4">
      <c r="D3790"/>
    </row>
    <row r="3791" spans="4:4">
      <c r="D3791"/>
    </row>
    <row r="3792" spans="4:4">
      <c r="D3792"/>
    </row>
    <row r="3793" spans="4:4">
      <c r="D3793"/>
    </row>
    <row r="3794" spans="4:4">
      <c r="D3794"/>
    </row>
    <row r="3795" spans="4:4">
      <c r="D3795"/>
    </row>
    <row r="3796" spans="4:4">
      <c r="D3796"/>
    </row>
    <row r="3797" spans="4:4">
      <c r="D3797"/>
    </row>
    <row r="3798" spans="4:4">
      <c r="D3798"/>
    </row>
    <row r="3799" spans="4:4">
      <c r="D3799"/>
    </row>
    <row r="3800" spans="4:4">
      <c r="D3800"/>
    </row>
    <row r="3801" spans="4:4">
      <c r="D3801"/>
    </row>
    <row r="3802" spans="4:4">
      <c r="D3802"/>
    </row>
    <row r="3803" spans="4:4">
      <c r="D3803"/>
    </row>
    <row r="3804" spans="4:4">
      <c r="D3804"/>
    </row>
    <row r="3805" spans="4:4">
      <c r="D3805"/>
    </row>
    <row r="3806" spans="4:4">
      <c r="D3806"/>
    </row>
    <row r="3807" spans="4:4">
      <c r="D3807"/>
    </row>
    <row r="3808" spans="4:4">
      <c r="D3808"/>
    </row>
    <row r="3809" spans="4:4">
      <c r="D3809"/>
    </row>
    <row r="3810" spans="4:4">
      <c r="D3810"/>
    </row>
    <row r="3811" spans="4:4">
      <c r="D3811"/>
    </row>
    <row r="3812" spans="4:4">
      <c r="D3812"/>
    </row>
    <row r="3813" spans="4:4">
      <c r="D3813"/>
    </row>
    <row r="3814" spans="4:4">
      <c r="D3814"/>
    </row>
    <row r="3815" spans="4:4">
      <c r="D3815"/>
    </row>
    <row r="3816" spans="4:4">
      <c r="D3816"/>
    </row>
    <row r="3817" spans="4:4">
      <c r="D3817"/>
    </row>
    <row r="3818" spans="4:4">
      <c r="D3818"/>
    </row>
    <row r="3819" spans="4:4">
      <c r="D3819"/>
    </row>
    <row r="3820" spans="4:4">
      <c r="D3820"/>
    </row>
    <row r="3821" spans="4:4">
      <c r="D3821"/>
    </row>
    <row r="3822" spans="4:4">
      <c r="D3822"/>
    </row>
    <row r="3823" spans="4:4">
      <c r="D3823"/>
    </row>
    <row r="3824" spans="4:4">
      <c r="D3824"/>
    </row>
    <row r="3825" spans="4:4">
      <c r="D3825"/>
    </row>
    <row r="3826" spans="4:4">
      <c r="D3826"/>
    </row>
    <row r="3827" spans="4:4">
      <c r="D3827"/>
    </row>
    <row r="3828" spans="4:4">
      <c r="D3828"/>
    </row>
    <row r="3829" spans="4:4">
      <c r="D3829"/>
    </row>
    <row r="3830" spans="4:4">
      <c r="D3830"/>
    </row>
    <row r="3831" spans="4:4">
      <c r="D3831"/>
    </row>
    <row r="3832" spans="4:4">
      <c r="D3832"/>
    </row>
    <row r="3833" spans="4:4">
      <c r="D3833"/>
    </row>
    <row r="3834" spans="4:4">
      <c r="D3834"/>
    </row>
    <row r="3835" spans="4:4">
      <c r="D3835"/>
    </row>
    <row r="3836" spans="4:4">
      <c r="D3836"/>
    </row>
    <row r="3837" spans="4:4">
      <c r="D3837"/>
    </row>
    <row r="3838" spans="4:4">
      <c r="D3838"/>
    </row>
    <row r="3839" spans="4:4">
      <c r="D3839"/>
    </row>
    <row r="3840" spans="4:4">
      <c r="D3840"/>
    </row>
    <row r="3841" spans="4:4">
      <c r="D3841"/>
    </row>
    <row r="3842" spans="4:4">
      <c r="D3842"/>
    </row>
    <row r="3843" spans="4:4">
      <c r="D3843"/>
    </row>
    <row r="3844" spans="4:4">
      <c r="D3844"/>
    </row>
    <row r="3845" spans="4:4">
      <c r="D3845"/>
    </row>
    <row r="3846" spans="4:4">
      <c r="D3846"/>
    </row>
    <row r="3847" spans="4:4">
      <c r="D3847"/>
    </row>
    <row r="3848" spans="4:4">
      <c r="D3848"/>
    </row>
    <row r="3849" spans="4:4">
      <c r="D3849"/>
    </row>
    <row r="3850" spans="4:4">
      <c r="D3850"/>
    </row>
    <row r="3851" spans="4:4">
      <c r="D3851"/>
    </row>
    <row r="3852" spans="4:4">
      <c r="D3852"/>
    </row>
    <row r="3853" spans="4:4">
      <c r="D3853"/>
    </row>
    <row r="3854" spans="4:4">
      <c r="D3854"/>
    </row>
    <row r="3855" spans="4:4">
      <c r="D3855"/>
    </row>
    <row r="3856" spans="4:4">
      <c r="D3856"/>
    </row>
    <row r="3857" spans="4:4">
      <c r="D3857"/>
    </row>
    <row r="3858" spans="4:4">
      <c r="D3858"/>
    </row>
    <row r="3859" spans="4:4">
      <c r="D3859"/>
    </row>
    <row r="3860" spans="4:4">
      <c r="D3860"/>
    </row>
    <row r="3861" spans="4:4">
      <c r="D3861"/>
    </row>
    <row r="3862" spans="4:4">
      <c r="D3862"/>
    </row>
    <row r="3863" spans="4:4">
      <c r="D3863"/>
    </row>
    <row r="3864" spans="4:4">
      <c r="D3864"/>
    </row>
    <row r="3865" spans="4:4">
      <c r="D3865"/>
    </row>
    <row r="3866" spans="4:4">
      <c r="D3866"/>
    </row>
    <row r="3867" spans="4:4">
      <c r="D3867"/>
    </row>
    <row r="3868" spans="4:4">
      <c r="D3868"/>
    </row>
    <row r="3869" spans="4:4">
      <c r="D3869"/>
    </row>
    <row r="3870" spans="4:4">
      <c r="D3870"/>
    </row>
    <row r="3871" spans="4:4">
      <c r="D3871"/>
    </row>
    <row r="3872" spans="4:4">
      <c r="D3872"/>
    </row>
    <row r="3873" spans="4:4">
      <c r="D3873"/>
    </row>
    <row r="3874" spans="4:4">
      <c r="D3874"/>
    </row>
    <row r="3875" spans="4:4">
      <c r="D3875"/>
    </row>
    <row r="3876" spans="4:4">
      <c r="D3876"/>
    </row>
    <row r="3877" spans="4:4">
      <c r="D3877"/>
    </row>
    <row r="3878" spans="4:4">
      <c r="D3878"/>
    </row>
    <row r="3879" spans="4:4">
      <c r="D3879"/>
    </row>
    <row r="3880" spans="4:4">
      <c r="D3880"/>
    </row>
    <row r="3881" spans="4:4">
      <c r="D3881"/>
    </row>
    <row r="3882" spans="4:4">
      <c r="D3882"/>
    </row>
    <row r="3883" spans="4:4">
      <c r="D3883"/>
    </row>
    <row r="3884" spans="4:4">
      <c r="D3884"/>
    </row>
    <row r="3885" spans="4:4">
      <c r="D3885"/>
    </row>
    <row r="3886" spans="4:4">
      <c r="D3886"/>
    </row>
    <row r="3887" spans="4:4">
      <c r="D3887"/>
    </row>
    <row r="3888" spans="4:4">
      <c r="D3888"/>
    </row>
    <row r="3889" spans="4:4">
      <c r="D3889"/>
    </row>
    <row r="3890" spans="4:4">
      <c r="D3890"/>
    </row>
    <row r="3891" spans="4:4">
      <c r="D3891"/>
    </row>
    <row r="3892" spans="4:4">
      <c r="D3892"/>
    </row>
    <row r="3893" spans="4:4">
      <c r="D3893"/>
    </row>
    <row r="3894" spans="4:4">
      <c r="D3894"/>
    </row>
    <row r="3895" spans="4:4">
      <c r="D3895"/>
    </row>
    <row r="3896" spans="4:4">
      <c r="D3896"/>
    </row>
    <row r="3897" spans="4:4">
      <c r="D3897"/>
    </row>
    <row r="3898" spans="4:4">
      <c r="D3898"/>
    </row>
    <row r="3899" spans="4:4">
      <c r="D3899"/>
    </row>
    <row r="3900" spans="4:4">
      <c r="D3900"/>
    </row>
    <row r="3901" spans="4:4">
      <c r="D3901"/>
    </row>
    <row r="3902" spans="4:4">
      <c r="D3902"/>
    </row>
    <row r="3903" spans="4:4">
      <c r="D3903"/>
    </row>
    <row r="3904" spans="4:4">
      <c r="D3904"/>
    </row>
    <row r="3905" spans="4:4">
      <c r="D3905"/>
    </row>
    <row r="3906" spans="4:4">
      <c r="D3906"/>
    </row>
    <row r="3907" spans="4:4">
      <c r="D3907"/>
    </row>
    <row r="3908" spans="4:4">
      <c r="D3908"/>
    </row>
    <row r="3909" spans="4:4">
      <c r="D3909"/>
    </row>
    <row r="3910" spans="4:4">
      <c r="D3910"/>
    </row>
    <row r="3911" spans="4:4">
      <c r="D3911"/>
    </row>
    <row r="3912" spans="4:4">
      <c r="D3912"/>
    </row>
    <row r="3913" spans="4:4">
      <c r="D3913"/>
    </row>
    <row r="3914" spans="4:4">
      <c r="D3914"/>
    </row>
    <row r="3915" spans="4:4">
      <c r="D3915"/>
    </row>
    <row r="3916" spans="4:4">
      <c r="D3916"/>
    </row>
    <row r="3917" spans="4:4">
      <c r="D3917"/>
    </row>
    <row r="3918" spans="4:4">
      <c r="D3918"/>
    </row>
    <row r="3919" spans="4:4">
      <c r="D3919"/>
    </row>
    <row r="3920" spans="4:4">
      <c r="D3920"/>
    </row>
    <row r="3921" spans="4:4">
      <c r="D3921"/>
    </row>
    <row r="3922" spans="4:4">
      <c r="D3922"/>
    </row>
    <row r="3923" spans="4:4">
      <c r="D3923"/>
    </row>
    <row r="3924" spans="4:4">
      <c r="D3924"/>
    </row>
    <row r="3925" spans="4:4">
      <c r="D3925"/>
    </row>
    <row r="3926" spans="4:4">
      <c r="D3926"/>
    </row>
    <row r="3927" spans="4:4">
      <c r="D3927"/>
    </row>
    <row r="3928" spans="4:4">
      <c r="D3928"/>
    </row>
    <row r="3929" spans="4:4">
      <c r="D3929"/>
    </row>
    <row r="3930" spans="4:4">
      <c r="D3930"/>
    </row>
    <row r="3931" spans="4:4">
      <c r="D3931"/>
    </row>
    <row r="3932" spans="4:4">
      <c r="D3932"/>
    </row>
    <row r="3933" spans="4:4">
      <c r="D3933"/>
    </row>
    <row r="3934" spans="4:4">
      <c r="D3934"/>
    </row>
    <row r="3935" spans="4:4">
      <c r="D3935"/>
    </row>
    <row r="3936" spans="4:4">
      <c r="D3936"/>
    </row>
    <row r="3937" spans="4:4">
      <c r="D3937"/>
    </row>
    <row r="3938" spans="4:4">
      <c r="D3938"/>
    </row>
    <row r="3939" spans="4:4">
      <c r="D3939"/>
    </row>
    <row r="3940" spans="4:4">
      <c r="D3940"/>
    </row>
    <row r="3941" spans="4:4">
      <c r="D3941"/>
    </row>
    <row r="3942" spans="4:4">
      <c r="D3942"/>
    </row>
    <row r="3943" spans="4:4">
      <c r="D3943"/>
    </row>
    <row r="3944" spans="4:4">
      <c r="D3944"/>
    </row>
    <row r="3945" spans="4:4">
      <c r="D3945"/>
    </row>
    <row r="3946" spans="4:4">
      <c r="D3946"/>
    </row>
    <row r="3947" spans="4:4">
      <c r="D3947"/>
    </row>
    <row r="3948" spans="4:4">
      <c r="D3948"/>
    </row>
    <row r="3949" spans="4:4">
      <c r="D3949"/>
    </row>
    <row r="3950" spans="4:4">
      <c r="D3950"/>
    </row>
    <row r="3951" spans="4:4">
      <c r="D3951"/>
    </row>
    <row r="3952" spans="4:4">
      <c r="D3952"/>
    </row>
    <row r="3953" spans="4:4">
      <c r="D3953"/>
    </row>
    <row r="3954" spans="4:4">
      <c r="D3954"/>
    </row>
    <row r="3955" spans="4:4">
      <c r="D3955"/>
    </row>
    <row r="3956" spans="4:4">
      <c r="D3956"/>
    </row>
    <row r="3957" spans="4:4">
      <c r="D3957"/>
    </row>
    <row r="3958" spans="4:4">
      <c r="D3958"/>
    </row>
    <row r="3959" spans="4:4">
      <c r="D3959"/>
    </row>
    <row r="3960" spans="4:4">
      <c r="D3960"/>
    </row>
    <row r="3961" spans="4:4">
      <c r="D3961"/>
    </row>
    <row r="3962" spans="4:4">
      <c r="D3962"/>
    </row>
    <row r="3963" spans="4:4">
      <c r="D3963"/>
    </row>
    <row r="3964" spans="4:4">
      <c r="D3964"/>
    </row>
    <row r="3965" spans="4:4">
      <c r="D3965"/>
    </row>
    <row r="3966" spans="4:4">
      <c r="D3966"/>
    </row>
    <row r="3967" spans="4:4">
      <c r="D3967"/>
    </row>
    <row r="3968" spans="4:4">
      <c r="D3968"/>
    </row>
    <row r="3969" spans="4:4">
      <c r="D3969"/>
    </row>
    <row r="3970" spans="4:4">
      <c r="D3970"/>
    </row>
    <row r="3971" spans="4:4">
      <c r="D3971"/>
    </row>
    <row r="3972" spans="4:4">
      <c r="D3972"/>
    </row>
    <row r="3973" spans="4:4">
      <c r="D3973"/>
    </row>
    <row r="3974" spans="4:4">
      <c r="D3974"/>
    </row>
    <row r="3975" spans="4:4">
      <c r="D3975"/>
    </row>
    <row r="3976" spans="4:4">
      <c r="D3976"/>
    </row>
    <row r="3977" spans="4:4">
      <c r="D3977"/>
    </row>
    <row r="3978" spans="4:4">
      <c r="D3978"/>
    </row>
    <row r="3979" spans="4:4">
      <c r="D3979"/>
    </row>
    <row r="3980" spans="4:4">
      <c r="D3980"/>
    </row>
    <row r="3981" spans="4:4">
      <c r="D3981"/>
    </row>
    <row r="3982" spans="4:4">
      <c r="D3982"/>
    </row>
    <row r="3983" spans="4:4">
      <c r="D3983"/>
    </row>
    <row r="3984" spans="4:4">
      <c r="D3984"/>
    </row>
    <row r="3985" spans="4:4">
      <c r="D3985"/>
    </row>
    <row r="3986" spans="4:4">
      <c r="D3986"/>
    </row>
    <row r="3987" spans="4:4">
      <c r="D3987"/>
    </row>
    <row r="3988" spans="4:4">
      <c r="D3988"/>
    </row>
    <row r="3989" spans="4:4">
      <c r="D3989"/>
    </row>
    <row r="3990" spans="4:4">
      <c r="D3990"/>
    </row>
    <row r="3991" spans="4:4">
      <c r="D3991"/>
    </row>
    <row r="3992" spans="4:4">
      <c r="D3992"/>
    </row>
    <row r="3993" spans="4:4">
      <c r="D3993"/>
    </row>
    <row r="3994" spans="4:4">
      <c r="D3994"/>
    </row>
    <row r="3995" spans="4:4">
      <c r="D3995"/>
    </row>
    <row r="3996" spans="4:4">
      <c r="D3996"/>
    </row>
    <row r="3997" spans="4:4">
      <c r="D3997"/>
    </row>
    <row r="3998" spans="4:4">
      <c r="D3998"/>
    </row>
    <row r="3999" spans="4:4">
      <c r="D3999"/>
    </row>
    <row r="4000" spans="4:4">
      <c r="D4000"/>
    </row>
    <row r="4001" spans="4:4">
      <c r="D4001"/>
    </row>
    <row r="4002" spans="4:4">
      <c r="D4002"/>
    </row>
    <row r="4003" spans="4:4">
      <c r="D4003"/>
    </row>
    <row r="4004" spans="4:4">
      <c r="D4004"/>
    </row>
    <row r="4005" spans="4:4">
      <c r="D4005"/>
    </row>
    <row r="4006" spans="4:4">
      <c r="D4006"/>
    </row>
    <row r="4007" spans="4:4">
      <c r="D4007"/>
    </row>
    <row r="4008" spans="4:4">
      <c r="D4008"/>
    </row>
    <row r="4009" spans="4:4">
      <c r="D4009"/>
    </row>
    <row r="4010" spans="4:4">
      <c r="D4010"/>
    </row>
    <row r="4011" spans="4:4">
      <c r="D4011"/>
    </row>
    <row r="4012" spans="4:4">
      <c r="D4012"/>
    </row>
    <row r="4013" spans="4:4">
      <c r="D4013"/>
    </row>
    <row r="4014" spans="4:4">
      <c r="D4014"/>
    </row>
    <row r="4015" spans="4:4">
      <c r="D4015"/>
    </row>
    <row r="4016" spans="4:4">
      <c r="D4016"/>
    </row>
    <row r="4017" spans="4:4">
      <c r="D4017"/>
    </row>
    <row r="4018" spans="4:4">
      <c r="D4018"/>
    </row>
    <row r="4019" spans="4:4">
      <c r="D4019"/>
    </row>
    <row r="4020" spans="4:4">
      <c r="D4020"/>
    </row>
    <row r="4021" spans="4:4">
      <c r="D4021"/>
    </row>
    <row r="4022" spans="4:4">
      <c r="D4022"/>
    </row>
    <row r="4023" spans="4:4">
      <c r="D4023"/>
    </row>
    <row r="4024" spans="4:4">
      <c r="D4024"/>
    </row>
    <row r="4025" spans="4:4">
      <c r="D4025"/>
    </row>
    <row r="4026" spans="4:4">
      <c r="D4026"/>
    </row>
    <row r="4027" spans="4:4">
      <c r="D4027"/>
    </row>
    <row r="4028" spans="4:4">
      <c r="D4028"/>
    </row>
    <row r="4029" spans="4:4">
      <c r="D4029"/>
    </row>
    <row r="4030" spans="4:4">
      <c r="D4030"/>
    </row>
    <row r="4031" spans="4:4">
      <c r="D4031"/>
    </row>
    <row r="4032" spans="4:4">
      <c r="D4032"/>
    </row>
    <row r="4033" spans="4:4">
      <c r="D4033"/>
    </row>
    <row r="4034" spans="4:4">
      <c r="D4034"/>
    </row>
    <row r="4035" spans="4:4">
      <c r="D4035"/>
    </row>
    <row r="4036" spans="4:4">
      <c r="D4036"/>
    </row>
    <row r="4037" spans="4:4">
      <c r="D4037"/>
    </row>
    <row r="4038" spans="4:4">
      <c r="D4038"/>
    </row>
    <row r="4039" spans="4:4">
      <c r="D4039"/>
    </row>
    <row r="4040" spans="4:4">
      <c r="D4040"/>
    </row>
    <row r="4041" spans="4:4">
      <c r="D4041"/>
    </row>
    <row r="4042" spans="4:4">
      <c r="D4042"/>
    </row>
    <row r="4043" spans="4:4">
      <c r="D4043"/>
    </row>
    <row r="4044" spans="4:4">
      <c r="D4044"/>
    </row>
    <row r="4045" spans="4:4">
      <c r="D4045"/>
    </row>
    <row r="4046" spans="4:4">
      <c r="D4046"/>
    </row>
    <row r="4047" spans="4:4">
      <c r="D4047"/>
    </row>
    <row r="4048" spans="4:4">
      <c r="D4048"/>
    </row>
    <row r="4049" spans="4:4">
      <c r="D4049"/>
    </row>
    <row r="4050" spans="4:4">
      <c r="D4050"/>
    </row>
    <row r="4051" spans="4:4">
      <c r="D4051"/>
    </row>
    <row r="4052" spans="4:4">
      <c r="D4052"/>
    </row>
    <row r="4053" spans="4:4">
      <c r="D4053"/>
    </row>
    <row r="4054" spans="4:4">
      <c r="D4054"/>
    </row>
    <row r="4055" spans="4:4">
      <c r="D4055"/>
    </row>
    <row r="4056" spans="4:4">
      <c r="D4056"/>
    </row>
    <row r="4057" spans="4:4">
      <c r="D4057"/>
    </row>
    <row r="4058" spans="4:4">
      <c r="D4058"/>
    </row>
    <row r="4059" spans="4:4">
      <c r="D4059"/>
    </row>
    <row r="4060" spans="4:4">
      <c r="D4060"/>
    </row>
    <row r="4061" spans="4:4">
      <c r="D4061"/>
    </row>
    <row r="4062" spans="4:4">
      <c r="D4062"/>
    </row>
    <row r="4063" spans="4:4">
      <c r="D4063"/>
    </row>
    <row r="4064" spans="4:4">
      <c r="D4064"/>
    </row>
    <row r="4065" spans="4:4">
      <c r="D4065"/>
    </row>
    <row r="4066" spans="4:4">
      <c r="D4066"/>
    </row>
    <row r="4067" spans="4:4">
      <c r="D4067"/>
    </row>
    <row r="4068" spans="4:4">
      <c r="D4068"/>
    </row>
    <row r="4069" spans="4:4">
      <c r="D4069"/>
    </row>
    <row r="4070" spans="4:4">
      <c r="D4070"/>
    </row>
    <row r="4071" spans="4:4">
      <c r="D4071"/>
    </row>
    <row r="4072" spans="4:4">
      <c r="D4072"/>
    </row>
    <row r="4073" spans="4:4">
      <c r="D4073"/>
    </row>
    <row r="4074" spans="4:4">
      <c r="D4074"/>
    </row>
    <row r="4075" spans="4:4">
      <c r="D4075"/>
    </row>
    <row r="4076" spans="4:4">
      <c r="D4076"/>
    </row>
    <row r="4077" spans="4:4">
      <c r="D4077"/>
    </row>
    <row r="4078" spans="4:4">
      <c r="D4078"/>
    </row>
    <row r="4079" spans="4:4">
      <c r="D4079"/>
    </row>
    <row r="4080" spans="4:4">
      <c r="D4080"/>
    </row>
    <row r="4081" spans="4:4">
      <c r="D4081"/>
    </row>
    <row r="4082" spans="4:4">
      <c r="D4082"/>
    </row>
    <row r="4083" spans="4:4">
      <c r="D4083"/>
    </row>
    <row r="4084" spans="4:4">
      <c r="D4084"/>
    </row>
    <row r="4085" spans="4:4">
      <c r="D4085"/>
    </row>
    <row r="4086" spans="4:4">
      <c r="D4086"/>
    </row>
    <row r="4087" spans="4:4">
      <c r="D4087"/>
    </row>
    <row r="4088" spans="4:4">
      <c r="D4088"/>
    </row>
    <row r="4089" spans="4:4">
      <c r="D4089"/>
    </row>
    <row r="4090" spans="4:4">
      <c r="D4090"/>
    </row>
    <row r="4091" spans="4:4">
      <c r="D4091"/>
    </row>
    <row r="4092" spans="4:4">
      <c r="D4092"/>
    </row>
    <row r="4093" spans="4:4">
      <c r="D4093"/>
    </row>
    <row r="4094" spans="4:4">
      <c r="D4094"/>
    </row>
    <row r="4095" spans="4:4">
      <c r="D4095"/>
    </row>
    <row r="4096" spans="4:4">
      <c r="D4096"/>
    </row>
    <row r="4097" spans="4:4">
      <c r="D4097"/>
    </row>
    <row r="4098" spans="4:4">
      <c r="D4098"/>
    </row>
    <row r="4099" spans="4:4">
      <c r="D4099"/>
    </row>
    <row r="4100" spans="4:4">
      <c r="D4100"/>
    </row>
    <row r="4101" spans="4:4">
      <c r="D4101"/>
    </row>
    <row r="4102" spans="4:4">
      <c r="D4102"/>
    </row>
    <row r="4103" spans="4:4">
      <c r="D4103"/>
    </row>
    <row r="4104" spans="4:4">
      <c r="D4104"/>
    </row>
    <row r="4105" spans="4:4">
      <c r="D4105"/>
    </row>
    <row r="4106" spans="4:4">
      <c r="D4106"/>
    </row>
    <row r="4107" spans="4:4">
      <c r="D4107"/>
    </row>
    <row r="4108" spans="4:4">
      <c r="D4108"/>
    </row>
    <row r="4109" spans="4:4">
      <c r="D4109"/>
    </row>
    <row r="4110" spans="4:4">
      <c r="D4110"/>
    </row>
    <row r="4111" spans="4:4">
      <c r="D4111"/>
    </row>
    <row r="4112" spans="4:4">
      <c r="D4112"/>
    </row>
    <row r="4113" spans="4:4">
      <c r="D4113"/>
    </row>
    <row r="4114" spans="4:4">
      <c r="D4114"/>
    </row>
    <row r="4115" spans="4:4">
      <c r="D4115"/>
    </row>
    <row r="4116" spans="4:4">
      <c r="D4116"/>
    </row>
    <row r="4117" spans="4:4">
      <c r="D4117"/>
    </row>
    <row r="4118" spans="4:4">
      <c r="D4118"/>
    </row>
    <row r="4119" spans="4:4">
      <c r="D4119"/>
    </row>
    <row r="4120" spans="4:4">
      <c r="D4120"/>
    </row>
    <row r="4121" spans="4:4">
      <c r="D4121"/>
    </row>
    <row r="4122" spans="4:4">
      <c r="D4122"/>
    </row>
    <row r="4123" spans="4:4">
      <c r="D4123"/>
    </row>
    <row r="4124" spans="4:4">
      <c r="D4124"/>
    </row>
    <row r="4125" spans="4:4">
      <c r="D4125"/>
    </row>
    <row r="4126" spans="4:4">
      <c r="D4126"/>
    </row>
    <row r="4127" spans="4:4">
      <c r="D4127"/>
    </row>
    <row r="4128" spans="4:4">
      <c r="D4128"/>
    </row>
    <row r="4129" spans="4:4">
      <c r="D4129"/>
    </row>
    <row r="4130" spans="4:4">
      <c r="D4130"/>
    </row>
    <row r="4131" spans="4:4">
      <c r="D4131"/>
    </row>
    <row r="4132" spans="4:4">
      <c r="D4132"/>
    </row>
    <row r="4133" spans="4:4">
      <c r="D4133"/>
    </row>
    <row r="4134" spans="4:4">
      <c r="D4134"/>
    </row>
    <row r="4135" spans="4:4">
      <c r="D4135"/>
    </row>
    <row r="4136" spans="4:4">
      <c r="D4136"/>
    </row>
    <row r="4137" spans="4:4">
      <c r="D4137"/>
    </row>
    <row r="4138" spans="4:4">
      <c r="D4138"/>
    </row>
    <row r="4139" spans="4:4">
      <c r="D4139"/>
    </row>
    <row r="4140" spans="4:4">
      <c r="D4140"/>
    </row>
    <row r="4141" spans="4:4">
      <c r="D4141"/>
    </row>
    <row r="4142" spans="4:4">
      <c r="D4142"/>
    </row>
    <row r="4143" spans="4:4">
      <c r="D4143"/>
    </row>
    <row r="4144" spans="4:4">
      <c r="D4144"/>
    </row>
    <row r="4145" spans="4:4">
      <c r="D4145"/>
    </row>
    <row r="4146" spans="4:4">
      <c r="D4146"/>
    </row>
    <row r="4147" spans="4:4">
      <c r="D4147"/>
    </row>
    <row r="4148" spans="4:4">
      <c r="D4148"/>
    </row>
    <row r="4149" spans="4:4">
      <c r="D4149"/>
    </row>
    <row r="4150" spans="4:4">
      <c r="D4150"/>
    </row>
    <row r="4151" spans="4:4">
      <c r="D4151"/>
    </row>
    <row r="4152" spans="4:4">
      <c r="D4152"/>
    </row>
    <row r="4153" spans="4:4">
      <c r="D4153"/>
    </row>
    <row r="4154" spans="4:4">
      <c r="D4154"/>
    </row>
    <row r="4155" spans="4:4">
      <c r="D4155"/>
    </row>
    <row r="4156" spans="4:4">
      <c r="D4156"/>
    </row>
    <row r="4157" spans="4:4">
      <c r="D4157"/>
    </row>
    <row r="4158" spans="4:4">
      <c r="D4158"/>
    </row>
    <row r="4159" spans="4:4">
      <c r="D4159"/>
    </row>
    <row r="4160" spans="4:4">
      <c r="D4160"/>
    </row>
    <row r="4161" spans="4:4">
      <c r="D4161"/>
    </row>
    <row r="4162" spans="4:4">
      <c r="D4162"/>
    </row>
    <row r="4163" spans="4:4">
      <c r="D4163"/>
    </row>
    <row r="4164" spans="4:4">
      <c r="D4164"/>
    </row>
    <row r="4165" spans="4:4">
      <c r="D4165"/>
    </row>
    <row r="4166" spans="4:4">
      <c r="D4166"/>
    </row>
    <row r="4167" spans="4:4">
      <c r="D4167"/>
    </row>
    <row r="4168" spans="4:4">
      <c r="D4168"/>
    </row>
    <row r="4169" spans="4:4">
      <c r="D4169"/>
    </row>
    <row r="4170" spans="4:4">
      <c r="D4170"/>
    </row>
    <row r="4171" spans="4:4">
      <c r="D4171"/>
    </row>
    <row r="4172" spans="4:4">
      <c r="D4172"/>
    </row>
    <row r="4173" spans="4:4">
      <c r="D4173"/>
    </row>
    <row r="4174" spans="4:4">
      <c r="D4174"/>
    </row>
    <row r="4175" spans="4:4">
      <c r="D4175"/>
    </row>
    <row r="4176" spans="4:4">
      <c r="D4176"/>
    </row>
    <row r="4177" spans="4:4">
      <c r="D4177"/>
    </row>
    <row r="4178" spans="4:4">
      <c r="D4178"/>
    </row>
    <row r="4179" spans="4:4">
      <c r="D4179"/>
    </row>
    <row r="4180" spans="4:4">
      <c r="D4180"/>
    </row>
    <row r="4181" spans="4:4">
      <c r="D4181"/>
    </row>
    <row r="4182" spans="4:4">
      <c r="D4182"/>
    </row>
    <row r="4183" spans="4:4">
      <c r="D4183"/>
    </row>
    <row r="4184" spans="4:4">
      <c r="D4184"/>
    </row>
    <row r="4185" spans="4:4">
      <c r="D4185"/>
    </row>
    <row r="4186" spans="4:4">
      <c r="D4186"/>
    </row>
    <row r="4187" spans="4:4">
      <c r="D4187"/>
    </row>
    <row r="4188" spans="4:4">
      <c r="D4188"/>
    </row>
    <row r="4189" spans="4:4">
      <c r="D4189"/>
    </row>
    <row r="4190" spans="4:4">
      <c r="D4190"/>
    </row>
    <row r="4191" spans="4:4">
      <c r="D4191"/>
    </row>
    <row r="4192" spans="4:4">
      <c r="D4192"/>
    </row>
    <row r="4193" spans="4:4">
      <c r="D4193"/>
    </row>
    <row r="4194" spans="4:4">
      <c r="D4194"/>
    </row>
    <row r="4195" spans="4:4">
      <c r="D4195"/>
    </row>
    <row r="4196" spans="4:4">
      <c r="D4196"/>
    </row>
    <row r="4197" spans="4:4">
      <c r="D4197"/>
    </row>
    <row r="4198" spans="4:4">
      <c r="D4198"/>
    </row>
    <row r="4199" spans="4:4">
      <c r="D4199"/>
    </row>
    <row r="4200" spans="4:4">
      <c r="D4200"/>
    </row>
    <row r="4201" spans="4:4">
      <c r="D4201"/>
    </row>
    <row r="4202" spans="4:4">
      <c r="D4202"/>
    </row>
    <row r="4203" spans="4:4">
      <c r="D4203"/>
    </row>
    <row r="4204" spans="4:4">
      <c r="D4204"/>
    </row>
    <row r="4205" spans="4:4">
      <c r="D4205"/>
    </row>
    <row r="4206" spans="4:4">
      <c r="D4206"/>
    </row>
    <row r="4207" spans="4:4">
      <c r="D4207"/>
    </row>
    <row r="4208" spans="4:4">
      <c r="D4208"/>
    </row>
    <row r="4209" spans="4:4">
      <c r="D4209"/>
    </row>
    <row r="4210" spans="4:4">
      <c r="D4210"/>
    </row>
    <row r="4211" spans="4:4">
      <c r="D4211"/>
    </row>
    <row r="4212" spans="4:4">
      <c r="D4212"/>
    </row>
    <row r="4213" spans="4:4">
      <c r="D4213"/>
    </row>
    <row r="4214" spans="4:4">
      <c r="D4214"/>
    </row>
    <row r="4215" spans="4:4">
      <c r="D4215"/>
    </row>
    <row r="4216" spans="4:4">
      <c r="D4216"/>
    </row>
    <row r="4217" spans="4:4">
      <c r="D4217"/>
    </row>
    <row r="4218" spans="4:4">
      <c r="D4218"/>
    </row>
    <row r="4219" spans="4:4">
      <c r="D4219"/>
    </row>
    <row r="4220" spans="4:4">
      <c r="D4220"/>
    </row>
    <row r="4221" spans="4:4">
      <c r="D4221"/>
    </row>
    <row r="4222" spans="4:4">
      <c r="D4222"/>
    </row>
    <row r="4223" spans="4:4">
      <c r="D4223"/>
    </row>
    <row r="4224" spans="4:4">
      <c r="D4224"/>
    </row>
    <row r="4225" spans="4:4">
      <c r="D4225"/>
    </row>
    <row r="4226" spans="4:4">
      <c r="D4226"/>
    </row>
    <row r="4227" spans="4:4">
      <c r="D4227"/>
    </row>
    <row r="4228" spans="4:4">
      <c r="D4228"/>
    </row>
    <row r="4229" spans="4:4">
      <c r="D4229"/>
    </row>
    <row r="4230" spans="4:4">
      <c r="D4230"/>
    </row>
    <row r="4231" spans="4:4">
      <c r="D4231"/>
    </row>
    <row r="4232" spans="4:4">
      <c r="D4232"/>
    </row>
    <row r="4233" spans="4:4">
      <c r="D4233"/>
    </row>
    <row r="4234" spans="4:4">
      <c r="D4234"/>
    </row>
    <row r="4235" spans="4:4">
      <c r="D4235"/>
    </row>
    <row r="4236" spans="4:4">
      <c r="D4236"/>
    </row>
    <row r="4237" spans="4:4">
      <c r="D4237"/>
    </row>
    <row r="4238" spans="4:4">
      <c r="D4238"/>
    </row>
    <row r="4239" spans="4:4">
      <c r="D4239"/>
    </row>
    <row r="4240" spans="4:4">
      <c r="D4240"/>
    </row>
    <row r="4241" spans="4:4">
      <c r="D4241"/>
    </row>
    <row r="4242" spans="4:4">
      <c r="D4242"/>
    </row>
    <row r="4243" spans="4:4">
      <c r="D4243"/>
    </row>
    <row r="4244" spans="4:4">
      <c r="D4244"/>
    </row>
    <row r="4245" spans="4:4">
      <c r="D4245"/>
    </row>
    <row r="4246" spans="4:4">
      <c r="D4246"/>
    </row>
    <row r="4247" spans="4:4">
      <c r="D4247"/>
    </row>
    <row r="4248" spans="4:4">
      <c r="D4248"/>
    </row>
    <row r="4249" spans="4:4">
      <c r="D4249"/>
    </row>
    <row r="4250" spans="4:4">
      <c r="D4250"/>
    </row>
    <row r="4251" spans="4:4">
      <c r="D4251"/>
    </row>
    <row r="4252" spans="4:4">
      <c r="D4252"/>
    </row>
    <row r="4253" spans="4:4">
      <c r="D4253"/>
    </row>
    <row r="4254" spans="4:4">
      <c r="D4254"/>
    </row>
    <row r="4255" spans="4:4">
      <c r="D4255"/>
    </row>
    <row r="4256" spans="4:4">
      <c r="D4256"/>
    </row>
    <row r="4257" spans="4:4">
      <c r="D4257"/>
    </row>
    <row r="4258" spans="4:4">
      <c r="D4258"/>
    </row>
    <row r="4259" spans="4:4">
      <c r="D4259"/>
    </row>
    <row r="4260" spans="4:4">
      <c r="D4260"/>
    </row>
    <row r="4261" spans="4:4">
      <c r="D4261"/>
    </row>
    <row r="4262" spans="4:4">
      <c r="D4262"/>
    </row>
    <row r="4263" spans="4:4">
      <c r="D4263"/>
    </row>
    <row r="4264" spans="4:4">
      <c r="D4264"/>
    </row>
    <row r="4265" spans="4:4">
      <c r="D4265"/>
    </row>
    <row r="4266" spans="4:4">
      <c r="D4266"/>
    </row>
    <row r="4267" spans="4:4">
      <c r="D4267"/>
    </row>
    <row r="4268" spans="4:4">
      <c r="D4268"/>
    </row>
    <row r="4269" spans="4:4">
      <c r="D4269"/>
    </row>
    <row r="4270" spans="4:4">
      <c r="D4270"/>
    </row>
    <row r="4271" spans="4:4">
      <c r="D4271"/>
    </row>
    <row r="4272" spans="4:4">
      <c r="D4272"/>
    </row>
    <row r="4273" spans="4:4">
      <c r="D4273"/>
    </row>
    <row r="4274" spans="4:4">
      <c r="D4274"/>
    </row>
    <row r="4275" spans="4:4">
      <c r="D4275"/>
    </row>
    <row r="4276" spans="4:4">
      <c r="D4276"/>
    </row>
    <row r="4277" spans="4:4">
      <c r="D4277"/>
    </row>
    <row r="4278" spans="4:4">
      <c r="D4278"/>
    </row>
    <row r="4279" spans="4:4">
      <c r="D4279"/>
    </row>
    <row r="4280" spans="4:4">
      <c r="D4280"/>
    </row>
    <row r="4281" spans="4:4">
      <c r="D4281"/>
    </row>
    <row r="4282" spans="4:4">
      <c r="D4282"/>
    </row>
    <row r="4283" spans="4:4">
      <c r="D4283"/>
    </row>
    <row r="4284" spans="4:4">
      <c r="D4284"/>
    </row>
    <row r="4285" spans="4:4">
      <c r="D4285"/>
    </row>
    <row r="4286" spans="4:4">
      <c r="D4286"/>
    </row>
    <row r="4287" spans="4:4">
      <c r="D4287"/>
    </row>
    <row r="4288" spans="4:4">
      <c r="D4288"/>
    </row>
    <row r="4289" spans="4:4">
      <c r="D4289"/>
    </row>
    <row r="4290" spans="4:4">
      <c r="D4290"/>
    </row>
    <row r="4291" spans="4:4">
      <c r="D4291"/>
    </row>
    <row r="4292" spans="4:4">
      <c r="D4292"/>
    </row>
    <row r="4293" spans="4:4">
      <c r="D4293"/>
    </row>
    <row r="4294" spans="4:4">
      <c r="D4294"/>
    </row>
    <row r="4295" spans="4:4">
      <c r="D4295"/>
    </row>
    <row r="4296" spans="4:4">
      <c r="D4296"/>
    </row>
    <row r="4297" spans="4:4">
      <c r="D4297"/>
    </row>
    <row r="4298" spans="4:4">
      <c r="D4298"/>
    </row>
    <row r="4299" spans="4:4">
      <c r="D4299"/>
    </row>
    <row r="4300" spans="4:4">
      <c r="D4300"/>
    </row>
    <row r="4301" spans="4:4">
      <c r="D4301"/>
    </row>
    <row r="4302" spans="4:4">
      <c r="D4302"/>
    </row>
    <row r="4303" spans="4:4">
      <c r="D4303"/>
    </row>
    <row r="4304" spans="4:4">
      <c r="D4304"/>
    </row>
    <row r="4305" spans="4:4">
      <c r="D4305"/>
    </row>
    <row r="4306" spans="4:4">
      <c r="D4306"/>
    </row>
    <row r="4307" spans="4:4">
      <c r="D4307"/>
    </row>
    <row r="4308" spans="4:4">
      <c r="D4308"/>
    </row>
    <row r="4309" spans="4:4">
      <c r="D4309"/>
    </row>
    <row r="4310" spans="4:4">
      <c r="D4310"/>
    </row>
    <row r="4311" spans="4:4">
      <c r="D4311"/>
    </row>
    <row r="4312" spans="4:4">
      <c r="D4312"/>
    </row>
    <row r="4313" spans="4:4">
      <c r="D4313"/>
    </row>
    <row r="4314" spans="4:4">
      <c r="D4314"/>
    </row>
    <row r="4315" spans="4:4">
      <c r="D4315"/>
    </row>
    <row r="4316" spans="4:4">
      <c r="D4316"/>
    </row>
    <row r="4317" spans="4:4">
      <c r="D4317"/>
    </row>
    <row r="4318" spans="4:4">
      <c r="D4318"/>
    </row>
    <row r="4319" spans="4:4">
      <c r="D4319"/>
    </row>
    <row r="4320" spans="4:4">
      <c r="D4320"/>
    </row>
    <row r="4321" spans="4:4">
      <c r="D4321"/>
    </row>
    <row r="4322" spans="4:4">
      <c r="D4322"/>
    </row>
    <row r="4323" spans="4:4">
      <c r="D4323"/>
    </row>
    <row r="4324" spans="4:4">
      <c r="D4324"/>
    </row>
    <row r="4325" spans="4:4">
      <c r="D4325"/>
    </row>
    <row r="4326" spans="4:4">
      <c r="D4326"/>
    </row>
    <row r="4327" spans="4:4">
      <c r="D4327"/>
    </row>
    <row r="4328" spans="4:4">
      <c r="D4328"/>
    </row>
    <row r="4329" spans="4:4">
      <c r="D4329"/>
    </row>
    <row r="4330" spans="4:4">
      <c r="D4330"/>
    </row>
    <row r="4331" spans="4:4">
      <c r="D4331"/>
    </row>
    <row r="4332" spans="4:4">
      <c r="D4332"/>
    </row>
    <row r="4333" spans="4:4">
      <c r="D4333"/>
    </row>
    <row r="4334" spans="4:4">
      <c r="D4334"/>
    </row>
    <row r="4335" spans="4:4">
      <c r="D4335"/>
    </row>
    <row r="4336" spans="4:4">
      <c r="D4336"/>
    </row>
    <row r="4337" spans="4:4">
      <c r="D4337"/>
    </row>
    <row r="4338" spans="4:4">
      <c r="D4338"/>
    </row>
    <row r="4339" spans="4:4">
      <c r="D4339"/>
    </row>
    <row r="4340" spans="4:4">
      <c r="D4340"/>
    </row>
    <row r="4341" spans="4:4">
      <c r="D4341"/>
    </row>
    <row r="4342" spans="4:4">
      <c r="D4342"/>
    </row>
    <row r="4343" spans="4:4">
      <c r="D4343"/>
    </row>
    <row r="4344" spans="4:4">
      <c r="D4344"/>
    </row>
    <row r="4345" spans="4:4">
      <c r="D4345"/>
    </row>
    <row r="4346" spans="4:4">
      <c r="D4346"/>
    </row>
    <row r="4347" spans="4:4">
      <c r="D4347"/>
    </row>
    <row r="4348" spans="4:4">
      <c r="D4348"/>
    </row>
    <row r="4349" spans="4:4">
      <c r="D4349"/>
    </row>
    <row r="4350" spans="4:4">
      <c r="D4350"/>
    </row>
    <row r="4351" spans="4:4">
      <c r="D4351"/>
    </row>
    <row r="4352" spans="4:4">
      <c r="D4352"/>
    </row>
    <row r="4353" spans="4:4">
      <c r="D4353"/>
    </row>
    <row r="4354" spans="4:4">
      <c r="D4354"/>
    </row>
    <row r="4355" spans="4:4">
      <c r="D4355"/>
    </row>
    <row r="4356" spans="4:4">
      <c r="D4356"/>
    </row>
    <row r="4357" spans="4:4">
      <c r="D4357"/>
    </row>
    <row r="4358" spans="4:4">
      <c r="D4358"/>
    </row>
    <row r="4359" spans="4:4">
      <c r="D4359"/>
    </row>
    <row r="4360" spans="4:4">
      <c r="D4360"/>
    </row>
    <row r="4361" spans="4:4">
      <c r="D4361"/>
    </row>
    <row r="4362" spans="4:4">
      <c r="D4362"/>
    </row>
    <row r="4363" spans="4:4">
      <c r="D4363"/>
    </row>
    <row r="4364" spans="4:4">
      <c r="D4364"/>
    </row>
    <row r="4365" spans="4:4">
      <c r="D4365"/>
    </row>
    <row r="4366" spans="4:4">
      <c r="D4366"/>
    </row>
    <row r="4367" spans="4:4">
      <c r="D4367"/>
    </row>
    <row r="4368" spans="4:4">
      <c r="D4368"/>
    </row>
    <row r="4369" spans="4:4">
      <c r="D4369"/>
    </row>
    <row r="4370" spans="4:4">
      <c r="D4370"/>
    </row>
    <row r="4371" spans="4:4">
      <c r="D4371"/>
    </row>
    <row r="4372" spans="4:4">
      <c r="D4372"/>
    </row>
    <row r="4373" spans="4:4">
      <c r="D4373"/>
    </row>
    <row r="4374" spans="4:4">
      <c r="D4374"/>
    </row>
    <row r="4375" spans="4:4">
      <c r="D4375"/>
    </row>
    <row r="4376" spans="4:4">
      <c r="D4376"/>
    </row>
    <row r="4377" spans="4:4">
      <c r="D4377"/>
    </row>
    <row r="4378" spans="4:4">
      <c r="D4378"/>
    </row>
    <row r="4379" spans="4:4">
      <c r="D4379"/>
    </row>
    <row r="4380" spans="4:4">
      <c r="D4380"/>
    </row>
    <row r="4381" spans="4:4">
      <c r="D4381"/>
    </row>
    <row r="4382" spans="4:4">
      <c r="D4382"/>
    </row>
    <row r="4383" spans="4:4">
      <c r="D4383"/>
    </row>
    <row r="4384" spans="4:4">
      <c r="D4384"/>
    </row>
    <row r="4385" spans="4:4">
      <c r="D4385"/>
    </row>
    <row r="4386" spans="4:4">
      <c r="D4386"/>
    </row>
    <row r="4387" spans="4:4">
      <c r="D4387"/>
    </row>
    <row r="4388" spans="4:4">
      <c r="D4388"/>
    </row>
    <row r="4389" spans="4:4">
      <c r="D4389"/>
    </row>
    <row r="4390" spans="4:4">
      <c r="D4390"/>
    </row>
    <row r="4391" spans="4:4">
      <c r="D4391"/>
    </row>
    <row r="4392" spans="4:4">
      <c r="D4392"/>
    </row>
    <row r="4393" spans="4:4">
      <c r="D4393"/>
    </row>
    <row r="4394" spans="4:4">
      <c r="D4394"/>
    </row>
    <row r="4395" spans="4:4">
      <c r="D4395"/>
    </row>
    <row r="4396" spans="4:4">
      <c r="D4396"/>
    </row>
    <row r="4397" spans="4:4">
      <c r="D4397"/>
    </row>
    <row r="4398" spans="4:4">
      <c r="D4398"/>
    </row>
    <row r="4399" spans="4:4">
      <c r="D4399"/>
    </row>
    <row r="4400" spans="4:4">
      <c r="D4400"/>
    </row>
    <row r="4401" spans="4:4">
      <c r="D4401"/>
    </row>
    <row r="4402" spans="4:4">
      <c r="D4402"/>
    </row>
    <row r="4403" spans="4:4">
      <c r="D4403"/>
    </row>
    <row r="4404" spans="4:4">
      <c r="D4404"/>
    </row>
    <row r="4405" spans="4:4">
      <c r="D4405"/>
    </row>
    <row r="4406" spans="4:4">
      <c r="D4406"/>
    </row>
    <row r="4407" spans="4:4">
      <c r="D4407"/>
    </row>
    <row r="4408" spans="4:4">
      <c r="D4408"/>
    </row>
    <row r="4409" spans="4:4">
      <c r="D4409"/>
    </row>
    <row r="4410" spans="4:4">
      <c r="D4410"/>
    </row>
    <row r="4411" spans="4:4">
      <c r="D4411"/>
    </row>
    <row r="4412" spans="4:4">
      <c r="D4412"/>
    </row>
    <row r="4413" spans="4:4">
      <c r="D4413"/>
    </row>
    <row r="4414" spans="4:4">
      <c r="D4414"/>
    </row>
    <row r="4415" spans="4:4">
      <c r="D4415"/>
    </row>
    <row r="4416" spans="4:4">
      <c r="D4416"/>
    </row>
    <row r="4417" spans="4:4">
      <c r="D4417"/>
    </row>
    <row r="4418" spans="4:4">
      <c r="D4418"/>
    </row>
    <row r="4419" spans="4:4">
      <c r="D4419"/>
    </row>
    <row r="4420" spans="4:4">
      <c r="D4420"/>
    </row>
    <row r="4421" spans="4:4">
      <c r="D4421"/>
    </row>
    <row r="4422" spans="4:4">
      <c r="D4422"/>
    </row>
    <row r="4423" spans="4:4">
      <c r="D4423"/>
    </row>
    <row r="4424" spans="4:4">
      <c r="D4424"/>
    </row>
    <row r="4425" spans="4:4">
      <c r="D4425"/>
    </row>
    <row r="4426" spans="4:4">
      <c r="D4426"/>
    </row>
    <row r="4427" spans="4:4">
      <c r="D4427"/>
    </row>
    <row r="4428" spans="4:4">
      <c r="D4428"/>
    </row>
    <row r="4429" spans="4:4">
      <c r="D4429"/>
    </row>
    <row r="4430" spans="4:4">
      <c r="D4430"/>
    </row>
    <row r="4431" spans="4:4">
      <c r="D4431"/>
    </row>
    <row r="4432" spans="4:4">
      <c r="D4432"/>
    </row>
    <row r="4433" spans="4:4">
      <c r="D4433"/>
    </row>
    <row r="4434" spans="4:4">
      <c r="D4434"/>
    </row>
    <row r="4435" spans="4:4">
      <c r="D4435"/>
    </row>
    <row r="4436" spans="4:4">
      <c r="D4436"/>
    </row>
    <row r="4437" spans="4:4">
      <c r="D4437"/>
    </row>
    <row r="4438" spans="4:4">
      <c r="D4438"/>
    </row>
    <row r="4439" spans="4:4">
      <c r="D4439"/>
    </row>
    <row r="4440" spans="4:4">
      <c r="D4440"/>
    </row>
    <row r="4441" spans="4:4">
      <c r="D4441"/>
    </row>
    <row r="4442" spans="4:4">
      <c r="D4442"/>
    </row>
    <row r="4443" spans="4:4">
      <c r="D4443"/>
    </row>
    <row r="4444" spans="4:4">
      <c r="D4444"/>
    </row>
    <row r="4445" spans="4:4">
      <c r="D4445"/>
    </row>
    <row r="4446" spans="4:4">
      <c r="D4446"/>
    </row>
    <row r="4447" spans="4:4">
      <c r="D4447"/>
    </row>
    <row r="4448" spans="4:4">
      <c r="D4448"/>
    </row>
    <row r="4449" spans="4:4">
      <c r="D4449"/>
    </row>
    <row r="4450" spans="4:4">
      <c r="D4450"/>
    </row>
    <row r="4451" spans="4:4">
      <c r="D4451"/>
    </row>
    <row r="4452" spans="4:4">
      <c r="D4452"/>
    </row>
    <row r="4453" spans="4:4">
      <c r="D4453"/>
    </row>
    <row r="4454" spans="4:4">
      <c r="D4454"/>
    </row>
    <row r="4455" spans="4:4">
      <c r="D4455"/>
    </row>
    <row r="4456" spans="4:4">
      <c r="D4456"/>
    </row>
    <row r="4457" spans="4:4">
      <c r="D4457"/>
    </row>
    <row r="4458" spans="4:4">
      <c r="D4458"/>
    </row>
    <row r="4459" spans="4:4">
      <c r="D4459"/>
    </row>
    <row r="4460" spans="4:4">
      <c r="D4460"/>
    </row>
    <row r="4461" spans="4:4">
      <c r="D4461"/>
    </row>
    <row r="4462" spans="4:4">
      <c r="D4462"/>
    </row>
    <row r="4463" spans="4:4">
      <c r="D4463"/>
    </row>
    <row r="4464" spans="4:4">
      <c r="D4464"/>
    </row>
    <row r="4465" spans="4:4">
      <c r="D4465"/>
    </row>
    <row r="4466" spans="4:4">
      <c r="D4466"/>
    </row>
    <row r="4467" spans="4:4">
      <c r="D4467"/>
    </row>
    <row r="4468" spans="4:4">
      <c r="D4468"/>
    </row>
    <row r="4469" spans="4:4">
      <c r="D4469"/>
    </row>
    <row r="4470" spans="4:4">
      <c r="D4470"/>
    </row>
    <row r="4471" spans="4:4">
      <c r="D4471"/>
    </row>
    <row r="4472" spans="4:4">
      <c r="D4472"/>
    </row>
    <row r="4473" spans="4:4">
      <c r="D4473"/>
    </row>
    <row r="4474" spans="4:4">
      <c r="D4474"/>
    </row>
    <row r="4475" spans="4:4">
      <c r="D4475"/>
    </row>
    <row r="4476" spans="4:4">
      <c r="D4476"/>
    </row>
    <row r="4477" spans="4:4">
      <c r="D4477"/>
    </row>
    <row r="4478" spans="4:4">
      <c r="D4478"/>
    </row>
    <row r="4479" spans="4:4">
      <c r="D4479"/>
    </row>
    <row r="4480" spans="4:4">
      <c r="D4480"/>
    </row>
    <row r="4481" spans="4:4">
      <c r="D4481"/>
    </row>
    <row r="4482" spans="4:4">
      <c r="D4482"/>
    </row>
    <row r="4483" spans="4:4">
      <c r="D4483"/>
    </row>
    <row r="4484" spans="4:4">
      <c r="D4484"/>
    </row>
    <row r="4485" spans="4:4">
      <c r="D4485"/>
    </row>
    <row r="4486" spans="4:4">
      <c r="D4486"/>
    </row>
    <row r="4487" spans="4:4">
      <c r="D4487"/>
    </row>
    <row r="4488" spans="4:4">
      <c r="D4488"/>
    </row>
    <row r="4489" spans="4:4">
      <c r="D4489"/>
    </row>
    <row r="4490" spans="4:4">
      <c r="D4490"/>
    </row>
    <row r="4491" spans="4:4">
      <c r="D4491"/>
    </row>
    <row r="4492" spans="4:4">
      <c r="D4492"/>
    </row>
    <row r="4493" spans="4:4">
      <c r="D4493"/>
    </row>
    <row r="4494" spans="4:4">
      <c r="D4494"/>
    </row>
    <row r="4495" spans="4:4">
      <c r="D4495"/>
    </row>
    <row r="4496" spans="4:4">
      <c r="D4496"/>
    </row>
    <row r="4497" spans="4:4">
      <c r="D4497"/>
    </row>
    <row r="4498" spans="4:4">
      <c r="D4498"/>
    </row>
    <row r="4499" spans="4:4">
      <c r="D4499"/>
    </row>
    <row r="4500" spans="4:4">
      <c r="D4500"/>
    </row>
    <row r="4501" spans="4:4">
      <c r="D4501"/>
    </row>
    <row r="4502" spans="4:4">
      <c r="D4502"/>
    </row>
    <row r="4503" spans="4:4">
      <c r="D4503"/>
    </row>
    <row r="4504" spans="4:4">
      <c r="D4504"/>
    </row>
    <row r="4505" spans="4:4">
      <c r="D4505"/>
    </row>
    <row r="4506" spans="4:4">
      <c r="D4506"/>
    </row>
    <row r="4507" spans="4:4">
      <c r="D4507"/>
    </row>
    <row r="4508" spans="4:4">
      <c r="D4508"/>
    </row>
    <row r="4509" spans="4:4">
      <c r="D4509"/>
    </row>
    <row r="4510" spans="4:4">
      <c r="D4510"/>
    </row>
    <row r="4511" spans="4:4">
      <c r="D4511"/>
    </row>
    <row r="4512" spans="4:4">
      <c r="D4512"/>
    </row>
    <row r="4513" spans="4:4">
      <c r="D4513"/>
    </row>
    <row r="4514" spans="4:4">
      <c r="D4514"/>
    </row>
    <row r="4515" spans="4:4">
      <c r="D4515"/>
    </row>
    <row r="4516" spans="4:4">
      <c r="D4516"/>
    </row>
    <row r="4517" spans="4:4">
      <c r="D4517"/>
    </row>
    <row r="4518" spans="4:4">
      <c r="D4518"/>
    </row>
    <row r="4519" spans="4:4">
      <c r="D4519"/>
    </row>
    <row r="4520" spans="4:4">
      <c r="D4520"/>
    </row>
    <row r="4521" spans="4:4">
      <c r="D4521"/>
    </row>
    <row r="4522" spans="4:4">
      <c r="D4522"/>
    </row>
    <row r="4523" spans="4:4">
      <c r="D4523"/>
    </row>
    <row r="4524" spans="4:4">
      <c r="D4524"/>
    </row>
    <row r="4525" spans="4:4">
      <c r="D4525"/>
    </row>
    <row r="4526" spans="4:4">
      <c r="D4526"/>
    </row>
    <row r="4527" spans="4:4">
      <c r="D4527"/>
    </row>
    <row r="4528" spans="4:4">
      <c r="D4528"/>
    </row>
    <row r="4529" spans="4:4">
      <c r="D4529"/>
    </row>
    <row r="4530" spans="4:4">
      <c r="D4530"/>
    </row>
    <row r="4531" spans="4:4">
      <c r="D4531"/>
    </row>
    <row r="4532" spans="4:4">
      <c r="D4532"/>
    </row>
    <row r="4533" spans="4:4">
      <c r="D4533"/>
    </row>
    <row r="4534" spans="4:4">
      <c r="D4534"/>
    </row>
    <row r="4535" spans="4:4">
      <c r="D4535"/>
    </row>
    <row r="4536" spans="4:4">
      <c r="D4536"/>
    </row>
    <row r="4537" spans="4:4">
      <c r="D4537"/>
    </row>
    <row r="4538" spans="4:4">
      <c r="D4538"/>
    </row>
    <row r="4539" spans="4:4">
      <c r="D4539"/>
    </row>
    <row r="4540" spans="4:4">
      <c r="D4540"/>
    </row>
    <row r="4541" spans="4:4">
      <c r="D4541"/>
    </row>
    <row r="4542" spans="4:4">
      <c r="D4542"/>
    </row>
    <row r="4543" spans="4:4">
      <c r="D4543"/>
    </row>
    <row r="4544" spans="4:4">
      <c r="D4544"/>
    </row>
    <row r="4545" spans="4:4">
      <c r="D4545"/>
    </row>
    <row r="4546" spans="4:4">
      <c r="D4546"/>
    </row>
    <row r="4547" spans="4:4">
      <c r="D4547"/>
    </row>
    <row r="4548" spans="4:4">
      <c r="D4548"/>
    </row>
    <row r="4549" spans="4:4">
      <c r="D4549"/>
    </row>
    <row r="4550" spans="4:4">
      <c r="D4550"/>
    </row>
    <row r="4551" spans="4:4">
      <c r="D4551"/>
    </row>
    <row r="4552" spans="4:4">
      <c r="D4552"/>
    </row>
    <row r="4553" spans="4:4">
      <c r="D4553"/>
    </row>
    <row r="4554" spans="4:4">
      <c r="D4554"/>
    </row>
    <row r="4555" spans="4:4">
      <c r="D4555"/>
    </row>
    <row r="4556" spans="4:4">
      <c r="D4556"/>
    </row>
    <row r="4557" spans="4:4">
      <c r="D4557"/>
    </row>
    <row r="4558" spans="4:4">
      <c r="D4558"/>
    </row>
    <row r="4559" spans="4:4">
      <c r="D4559"/>
    </row>
    <row r="4560" spans="4:4">
      <c r="D4560"/>
    </row>
    <row r="4561" spans="4:4">
      <c r="D4561"/>
    </row>
    <row r="4562" spans="4:4">
      <c r="D4562"/>
    </row>
    <row r="4563" spans="4:4">
      <c r="D4563"/>
    </row>
    <row r="4564" spans="4:4">
      <c r="D4564"/>
    </row>
    <row r="4565" spans="4:4">
      <c r="D4565"/>
    </row>
    <row r="4566" spans="4:4">
      <c r="D4566"/>
    </row>
    <row r="4567" spans="4:4">
      <c r="D4567"/>
    </row>
    <row r="4568" spans="4:4">
      <c r="D4568"/>
    </row>
    <row r="4569" spans="4:4">
      <c r="D4569"/>
    </row>
    <row r="4570" spans="4:4">
      <c r="D4570"/>
    </row>
    <row r="4571" spans="4:4">
      <c r="D4571"/>
    </row>
    <row r="4572" spans="4:4">
      <c r="D4572"/>
    </row>
    <row r="4573" spans="4:4">
      <c r="D4573"/>
    </row>
    <row r="4574" spans="4:4">
      <c r="D4574"/>
    </row>
    <row r="4575" spans="4:4">
      <c r="D4575"/>
    </row>
    <row r="4576" spans="4:4">
      <c r="D4576"/>
    </row>
    <row r="4577" spans="4:4">
      <c r="D4577"/>
    </row>
    <row r="4578" spans="4:4">
      <c r="D4578"/>
    </row>
    <row r="4579" spans="4:4">
      <c r="D4579"/>
    </row>
    <row r="4580" spans="4:4">
      <c r="D4580"/>
    </row>
    <row r="4581" spans="4:4">
      <c r="D4581"/>
    </row>
    <row r="4582" spans="4:4">
      <c r="D4582"/>
    </row>
    <row r="4583" spans="4:4">
      <c r="D4583"/>
    </row>
    <row r="4584" spans="4:4">
      <c r="D4584"/>
    </row>
    <row r="4585" spans="4:4">
      <c r="D4585"/>
    </row>
    <row r="4586" spans="4:4">
      <c r="D4586"/>
    </row>
    <row r="4587" spans="4:4">
      <c r="D4587"/>
    </row>
    <row r="4588" spans="4:4">
      <c r="D4588"/>
    </row>
    <row r="4589" spans="4:4">
      <c r="D4589"/>
    </row>
    <row r="4590" spans="4:4">
      <c r="D4590"/>
    </row>
    <row r="4591" spans="4:4">
      <c r="D4591"/>
    </row>
    <row r="4592" spans="4:4">
      <c r="D4592"/>
    </row>
    <row r="4593" spans="4:4">
      <c r="D4593"/>
    </row>
    <row r="4594" spans="4:4">
      <c r="D4594"/>
    </row>
    <row r="4595" spans="4:4">
      <c r="D4595"/>
    </row>
    <row r="4596" spans="4:4">
      <c r="D4596"/>
    </row>
    <row r="4597" spans="4:4">
      <c r="D4597"/>
    </row>
    <row r="4598" spans="4:4">
      <c r="D4598"/>
    </row>
    <row r="4599" spans="4:4">
      <c r="D4599"/>
    </row>
    <row r="4600" spans="4:4">
      <c r="D4600"/>
    </row>
    <row r="4601" spans="4:4">
      <c r="D4601"/>
    </row>
    <row r="4602" spans="4:4">
      <c r="D4602"/>
    </row>
    <row r="4603" spans="4:4">
      <c r="D4603"/>
    </row>
    <row r="4604" spans="4:4">
      <c r="D4604"/>
    </row>
    <row r="4605" spans="4:4">
      <c r="D4605"/>
    </row>
    <row r="4606" spans="4:4">
      <c r="D4606"/>
    </row>
    <row r="4607" spans="4:4">
      <c r="D4607"/>
    </row>
    <row r="4608" spans="4:4">
      <c r="D4608"/>
    </row>
    <row r="4609" spans="4:4">
      <c r="D4609"/>
    </row>
    <row r="4610" spans="4:4">
      <c r="D4610"/>
    </row>
    <row r="4611" spans="4:4">
      <c r="D4611"/>
    </row>
    <row r="4612" spans="4:4">
      <c r="D4612"/>
    </row>
    <row r="4613" spans="4:4">
      <c r="D4613"/>
    </row>
    <row r="4614" spans="4:4">
      <c r="D4614"/>
    </row>
    <row r="4615" spans="4:4">
      <c r="D4615"/>
    </row>
    <row r="4616" spans="4:4">
      <c r="D4616"/>
    </row>
    <row r="4617" spans="4:4">
      <c r="D4617"/>
    </row>
    <row r="4618" spans="4:4">
      <c r="D4618"/>
    </row>
    <row r="4619" spans="4:4">
      <c r="D4619"/>
    </row>
    <row r="4620" spans="4:4">
      <c r="D4620"/>
    </row>
    <row r="4621" spans="4:4">
      <c r="D4621"/>
    </row>
    <row r="4622" spans="4:4">
      <c r="D4622"/>
    </row>
    <row r="4623" spans="4:4">
      <c r="D4623"/>
    </row>
    <row r="4624" spans="4:4">
      <c r="D4624"/>
    </row>
    <row r="4625" spans="4:4">
      <c r="D4625"/>
    </row>
    <row r="4626" spans="4:4">
      <c r="D4626"/>
    </row>
    <row r="4627" spans="4:4">
      <c r="D4627"/>
    </row>
    <row r="4628" spans="4:4">
      <c r="D4628"/>
    </row>
    <row r="4629" spans="4:4">
      <c r="D4629"/>
    </row>
    <row r="4630" spans="4:4">
      <c r="D4630"/>
    </row>
    <row r="4631" spans="4:4">
      <c r="D4631"/>
    </row>
    <row r="4632" spans="4:4">
      <c r="D4632"/>
    </row>
    <row r="4633" spans="4:4">
      <c r="D4633"/>
    </row>
    <row r="4634" spans="4:4">
      <c r="D4634"/>
    </row>
    <row r="4635" spans="4:4">
      <c r="D4635"/>
    </row>
    <row r="4636" spans="4:4">
      <c r="D4636"/>
    </row>
    <row r="4637" spans="4:4">
      <c r="D4637"/>
    </row>
    <row r="4638" spans="4:4">
      <c r="D4638"/>
    </row>
    <row r="4639" spans="4:4">
      <c r="D4639"/>
    </row>
    <row r="4640" spans="4:4">
      <c r="D4640"/>
    </row>
    <row r="4641" spans="4:4">
      <c r="D4641"/>
    </row>
    <row r="4642" spans="4:4">
      <c r="D4642"/>
    </row>
    <row r="4643" spans="4:4">
      <c r="D4643"/>
    </row>
    <row r="4644" spans="4:4">
      <c r="D4644"/>
    </row>
    <row r="4645" spans="4:4">
      <c r="D4645"/>
    </row>
    <row r="4646" spans="4:4">
      <c r="D4646"/>
    </row>
    <row r="4647" spans="4:4">
      <c r="D4647"/>
    </row>
    <row r="4648" spans="4:4">
      <c r="D4648"/>
    </row>
    <row r="4649" spans="4:4">
      <c r="D4649"/>
    </row>
    <row r="4650" spans="4:4">
      <c r="D4650"/>
    </row>
    <row r="4651" spans="4:4">
      <c r="D4651"/>
    </row>
    <row r="4652" spans="4:4">
      <c r="D4652"/>
    </row>
    <row r="4653" spans="4:4">
      <c r="D4653"/>
    </row>
    <row r="4654" spans="4:4">
      <c r="D4654"/>
    </row>
    <row r="4655" spans="4:4">
      <c r="D4655"/>
    </row>
    <row r="4656" spans="4:4">
      <c r="D4656"/>
    </row>
    <row r="4657" spans="4:4">
      <c r="D4657"/>
    </row>
    <row r="4658" spans="4:4">
      <c r="D4658"/>
    </row>
    <row r="4659" spans="4:4">
      <c r="D4659"/>
    </row>
    <row r="4660" spans="4:4">
      <c r="D4660"/>
    </row>
    <row r="4661" spans="4:4">
      <c r="D4661"/>
    </row>
    <row r="4662" spans="4:4">
      <c r="D4662"/>
    </row>
    <row r="4663" spans="4:4">
      <c r="D4663"/>
    </row>
    <row r="4664" spans="4:4">
      <c r="D4664"/>
    </row>
    <row r="4665" spans="4:4">
      <c r="D4665"/>
    </row>
    <row r="4666" spans="4:4">
      <c r="D4666"/>
    </row>
    <row r="4667" spans="4:4">
      <c r="D4667"/>
    </row>
    <row r="4668" spans="4:4">
      <c r="D4668"/>
    </row>
    <row r="4669" spans="4:4">
      <c r="D4669"/>
    </row>
    <row r="4670" spans="4:4">
      <c r="D4670"/>
    </row>
    <row r="4671" spans="4:4">
      <c r="D4671"/>
    </row>
    <row r="4672" spans="4:4">
      <c r="D4672"/>
    </row>
    <row r="4673" spans="4:4">
      <c r="D4673"/>
    </row>
    <row r="4674" spans="4:4">
      <c r="D4674"/>
    </row>
    <row r="4675" spans="4:4">
      <c r="D4675"/>
    </row>
    <row r="4676" spans="4:4">
      <c r="D4676"/>
    </row>
    <row r="4677" spans="4:4">
      <c r="D4677"/>
    </row>
    <row r="4678" spans="4:4">
      <c r="D4678"/>
    </row>
    <row r="4679" spans="4:4">
      <c r="D4679"/>
    </row>
    <row r="4680" spans="4:4">
      <c r="D4680"/>
    </row>
    <row r="4681" spans="4:4">
      <c r="D4681"/>
    </row>
    <row r="4682" spans="4:4">
      <c r="D4682"/>
    </row>
    <row r="4683" spans="4:4">
      <c r="D4683"/>
    </row>
    <row r="4684" spans="4:4">
      <c r="D4684"/>
    </row>
    <row r="4685" spans="4:4">
      <c r="D4685"/>
    </row>
    <row r="4686" spans="4:4">
      <c r="D4686"/>
    </row>
    <row r="4687" spans="4:4">
      <c r="D4687"/>
    </row>
    <row r="4688" spans="4:4">
      <c r="D4688"/>
    </row>
    <row r="4689" spans="4:4">
      <c r="D4689"/>
    </row>
    <row r="4690" spans="4:4">
      <c r="D4690"/>
    </row>
    <row r="4691" spans="4:4">
      <c r="D4691"/>
    </row>
    <row r="4692" spans="4:4">
      <c r="D4692"/>
    </row>
    <row r="4693" spans="4:4">
      <c r="D4693"/>
    </row>
    <row r="4694" spans="4:4">
      <c r="D4694"/>
    </row>
    <row r="4695" spans="4:4">
      <c r="D4695"/>
    </row>
    <row r="4696" spans="4:4">
      <c r="D4696"/>
    </row>
    <row r="4697" spans="4:4">
      <c r="D4697"/>
    </row>
    <row r="4698" spans="4:4">
      <c r="D4698"/>
    </row>
    <row r="4699" spans="4:4">
      <c r="D4699"/>
    </row>
    <row r="4700" spans="4:4">
      <c r="D4700"/>
    </row>
    <row r="4701" spans="4:4">
      <c r="D4701"/>
    </row>
    <row r="4702" spans="4:4">
      <c r="D4702"/>
    </row>
    <row r="4703" spans="4:4">
      <c r="D4703"/>
    </row>
    <row r="4704" spans="4:4">
      <c r="D4704"/>
    </row>
    <row r="4705" spans="4:4">
      <c r="D4705"/>
    </row>
    <row r="4706" spans="4:4">
      <c r="D4706"/>
    </row>
    <row r="4707" spans="4:4">
      <c r="D4707"/>
    </row>
    <row r="4708" spans="4:4">
      <c r="D4708"/>
    </row>
    <row r="4709" spans="4:4">
      <c r="D4709"/>
    </row>
    <row r="4710" spans="4:4">
      <c r="D4710"/>
    </row>
    <row r="4711" spans="4:4">
      <c r="D4711"/>
    </row>
    <row r="4712" spans="4:4">
      <c r="D4712"/>
    </row>
    <row r="4713" spans="4:4">
      <c r="D4713"/>
    </row>
    <row r="4714" spans="4:4">
      <c r="D4714"/>
    </row>
    <row r="4715" spans="4:4">
      <c r="D4715"/>
    </row>
    <row r="4716" spans="4:4">
      <c r="D4716"/>
    </row>
    <row r="4717" spans="4:4">
      <c r="D4717"/>
    </row>
    <row r="4718" spans="4:4">
      <c r="D4718"/>
    </row>
    <row r="4719" spans="4:4">
      <c r="D4719"/>
    </row>
    <row r="4720" spans="4:4">
      <c r="D4720"/>
    </row>
    <row r="4721" spans="4:4">
      <c r="D472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9AA19-EDEE-47CC-92C3-B33DDF01984A}">
  <dimension ref="A1:B2"/>
  <sheetViews>
    <sheetView workbookViewId="0"/>
  </sheetViews>
  <sheetFormatPr defaultRowHeight="14.5"/>
  <cols>
    <col min="1" max="1" width="42.81640625" bestFit="1" customWidth="1"/>
    <col min="2" max="2" width="95.1796875" bestFit="1" customWidth="1"/>
  </cols>
  <sheetData>
    <row r="1" spans="1:2">
      <c r="A1" t="s">
        <v>27</v>
      </c>
      <c r="B1" t="s">
        <v>28</v>
      </c>
    </row>
    <row r="2" spans="1:2">
      <c r="A2" t="s">
        <v>25</v>
      </c>
      <c r="B2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BAC5F-97BE-4A46-9ED7-85D74FC123BB}">
  <dimension ref="A1:AI888"/>
  <sheetViews>
    <sheetView tabSelected="1" topLeftCell="AF1" workbookViewId="0">
      <selection activeCell="AH10" sqref="AH10"/>
    </sheetView>
  </sheetViews>
  <sheetFormatPr defaultRowHeight="14.5"/>
  <cols>
    <col min="1" max="1" width="11.26953125" customWidth="1"/>
    <col min="2" max="2" width="15.54296875" customWidth="1"/>
    <col min="3" max="3" width="12.08984375" customWidth="1"/>
    <col min="4" max="4" width="7" bestFit="1" customWidth="1"/>
    <col min="5" max="5" width="10.7265625" bestFit="1" customWidth="1"/>
    <col min="6" max="6" width="4.7265625" bestFit="1" customWidth="1"/>
    <col min="7" max="7" width="15.81640625" customWidth="1"/>
    <col min="8" max="8" width="10.08984375" bestFit="1" customWidth="1"/>
    <col min="9" max="9" width="12.36328125" customWidth="1"/>
    <col min="10" max="10" width="11.90625" customWidth="1"/>
    <col min="11" max="11" width="102.54296875" bestFit="1" customWidth="1"/>
    <col min="26" max="26" width="13.1796875" bestFit="1" customWidth="1"/>
    <col min="27" max="27" width="17.26953125" bestFit="1" customWidth="1"/>
    <col min="28" max="28" width="15.1796875" customWidth="1"/>
    <col min="29" max="29" width="13.1796875" bestFit="1" customWidth="1"/>
    <col min="30" max="30" width="59.6328125" bestFit="1" customWidth="1"/>
    <col min="31" max="31" width="147" bestFit="1" customWidth="1"/>
    <col min="32" max="33" width="20.08984375" bestFit="1" customWidth="1"/>
    <col min="34" max="34" width="19.6328125" bestFit="1" customWidth="1"/>
  </cols>
  <sheetData>
    <row r="1" spans="1:35">
      <c r="A1" t="s">
        <v>47</v>
      </c>
      <c r="B1" t="s">
        <v>48</v>
      </c>
      <c r="C1" t="s">
        <v>49</v>
      </c>
      <c r="D1" t="s">
        <v>13</v>
      </c>
      <c r="E1" t="s">
        <v>50</v>
      </c>
      <c r="F1" t="s">
        <v>51</v>
      </c>
      <c r="G1" t="s">
        <v>52</v>
      </c>
      <c r="H1" t="s">
        <v>14</v>
      </c>
      <c r="I1" t="s">
        <v>53</v>
      </c>
      <c r="J1" t="s">
        <v>54</v>
      </c>
      <c r="K1" t="s">
        <v>55</v>
      </c>
      <c r="Z1" t="s">
        <v>880</v>
      </c>
      <c r="AA1" t="s">
        <v>881</v>
      </c>
      <c r="AB1" t="s">
        <v>882</v>
      </c>
      <c r="AC1" t="s">
        <v>880</v>
      </c>
      <c r="AD1" s="33" t="s">
        <v>16</v>
      </c>
      <c r="AE1" t="s">
        <v>18</v>
      </c>
      <c r="AF1" t="s">
        <v>883</v>
      </c>
      <c r="AG1" t="s">
        <v>884</v>
      </c>
      <c r="AH1" s="33" t="s">
        <v>886</v>
      </c>
      <c r="AI1" s="33" t="s">
        <v>887</v>
      </c>
    </row>
    <row r="2" spans="1:35">
      <c r="A2" t="s">
        <v>56</v>
      </c>
      <c r="B2" t="s">
        <v>57</v>
      </c>
      <c r="C2" t="s">
        <v>58</v>
      </c>
      <c r="D2" t="s">
        <v>59</v>
      </c>
      <c r="E2">
        <v>1</v>
      </c>
      <c r="G2" t="s">
        <v>60</v>
      </c>
      <c r="I2" t="s">
        <v>61</v>
      </c>
      <c r="K2" t="s">
        <v>62</v>
      </c>
      <c r="Z2" t="str">
        <f>IFERROR(MID(AA2,FIND("-",H2,1)+1,20),_xlfn.IFNA(VLOOKUP(F2&amp;"-"&amp;AA2,Ref_Kontak!$A:$E,4,FALSE),Ref_Kontak!$H$2))</f>
        <v>628999007703</v>
      </c>
      <c r="AA2" t="str">
        <f t="shared" ref="AA2:AA65" si="0">CLEAN(SUBSTITUTE(H2," ",""))</f>
        <v/>
      </c>
      <c r="AB2" t="str">
        <f t="shared" ref="AB2:AB65" si="1">IFERROR(LEFT(AA2,FIND("-",H2,1)-1),CLEAN(SUBSTITUTE(SUBSTITUTE(H2," ",""),"-","")))</f>
        <v/>
      </c>
      <c r="AC2" t="str">
        <f t="shared" ref="AC2:AC65" si="2">IF(LEFT(Z2,1)="0","62"&amp; MID(Z2,2,999),Z2)</f>
        <v>628999007703</v>
      </c>
      <c r="AD2" t="str">
        <f>"Halo+"&amp;AB2&amp;","&amp;"+Visual+AI+5S+menditeksi+Violation%3A+"&amp;SUBSTITUTE(AH2," ","+")</f>
        <v>Halo+,+Visual+AI+5S+menditeksi+Violation%3A+GUDANGEXP1-LINE+1</v>
      </c>
      <c r="AE2" t="str">
        <f t="shared" ref="AE2:AE65" si="3">"https://web.whatsapp.com/send/?phone="&amp;AC2&amp;"&amp;text="&amp;AD2&amp;"&amp;type=phone_number&amp;app_absent=0"</f>
        <v>https://web.whatsapp.com/send/?phone=628999007703&amp;text=Halo+,+Visual+AI+5S+menditeksi+Violation%3A+GUDANGEXP1-LINE+1&amp;type=phone_number&amp;app_absent=0</v>
      </c>
      <c r="AF2" t="b">
        <f>IF(ISNA(VLOOKUP(D2&amp;"-"&amp;AB2, Ref_Kontak!$A:$E, 4, FALSE)), FALSE, TRUE)</f>
        <v>0</v>
      </c>
      <c r="AG2" t="str">
        <f>_xlfn.IFNA(VLOOKUP(Z2,Ref_Kontak!H:H,1,FALSE),"FALSE")</f>
        <v>628999007703</v>
      </c>
      <c r="AH2" t="str">
        <f>G2&amp;"-"&amp;D2</f>
        <v>GUDANGEXP1-LINE 1</v>
      </c>
      <c r="AI2">
        <f>COUNTIF($AH$1:AH2,AH2)</f>
        <v>1</v>
      </c>
    </row>
    <row r="3" spans="1:35">
      <c r="A3" t="s">
        <v>56</v>
      </c>
      <c r="B3" t="s">
        <v>57</v>
      </c>
      <c r="C3" t="s">
        <v>63</v>
      </c>
      <c r="D3" t="s">
        <v>59</v>
      </c>
      <c r="E3">
        <v>1</v>
      </c>
      <c r="G3" t="s">
        <v>60</v>
      </c>
      <c r="I3" t="s">
        <v>61</v>
      </c>
      <c r="Z3" t="str">
        <f>IFERROR(MID(AA3,FIND("-",H3,1)+1,20),_xlfn.IFNA(VLOOKUP(F3&amp;"-"&amp;AA3,Ref_Kontak!$A:$E,4,FALSE),Ref_Kontak!$H$2))</f>
        <v>628999007703</v>
      </c>
      <c r="AA3" t="str">
        <f t="shared" si="0"/>
        <v/>
      </c>
      <c r="AB3" t="str">
        <f t="shared" si="1"/>
        <v/>
      </c>
      <c r="AC3" t="str">
        <f t="shared" si="2"/>
        <v>628999007703</v>
      </c>
      <c r="AD3" t="str">
        <f t="shared" ref="AD3:AD66" si="4">"Halo+"&amp;AB3&amp;","&amp;"+Visual+AI+5S+menditeksi+Violation%3A+"&amp;SUBSTITUTE(AH3," ","+")</f>
        <v>Halo+,+Visual+AI+5S+menditeksi+Violation%3A+GUDANGEXP1-LINE+1</v>
      </c>
      <c r="AE3" t="str">
        <f t="shared" si="3"/>
        <v>https://web.whatsapp.com/send/?phone=628999007703&amp;text=Halo+,+Visual+AI+5S+menditeksi+Violation%3A+GUDANGEXP1-LINE+1&amp;type=phone_number&amp;app_absent=0</v>
      </c>
      <c r="AF3" t="b">
        <f>IF(ISNA(VLOOKUP(D3&amp;"-"&amp;AB3, Ref_Kontak!$A:$E, 4, FALSE)), FALSE, TRUE)</f>
        <v>0</v>
      </c>
      <c r="AG3" t="str">
        <f>_xlfn.IFNA(VLOOKUP(Z3,Ref_Kontak!H:H,1,FALSE),"FALSE")</f>
        <v>628999007703</v>
      </c>
      <c r="AH3" t="str">
        <f t="shared" ref="AH3:AH66" si="5">G3&amp;"-"&amp;D3</f>
        <v>GUDANGEXP1-LINE 1</v>
      </c>
      <c r="AI3">
        <f>COUNTIF($AH$1:AH3,AH3)</f>
        <v>2</v>
      </c>
    </row>
    <row r="4" spans="1:35">
      <c r="A4" t="s">
        <v>56</v>
      </c>
      <c r="B4" t="s">
        <v>57</v>
      </c>
      <c r="C4" t="s">
        <v>64</v>
      </c>
      <c r="D4" t="s">
        <v>59</v>
      </c>
      <c r="E4">
        <v>1</v>
      </c>
      <c r="G4" t="s">
        <v>60</v>
      </c>
      <c r="I4" t="s">
        <v>61</v>
      </c>
      <c r="Z4" t="str">
        <f>IFERROR(MID(AA4,FIND("-",H4,1)+1,20),_xlfn.IFNA(VLOOKUP(F4&amp;"-"&amp;AA4,Ref_Kontak!$A:$E,4,FALSE),Ref_Kontak!$H$2))</f>
        <v>628999007703</v>
      </c>
      <c r="AA4" t="str">
        <f t="shared" si="0"/>
        <v/>
      </c>
      <c r="AB4" t="str">
        <f t="shared" si="1"/>
        <v/>
      </c>
      <c r="AC4" t="str">
        <f t="shared" si="2"/>
        <v>628999007703</v>
      </c>
      <c r="AD4" t="str">
        <f t="shared" si="4"/>
        <v>Halo+,+Visual+AI+5S+menditeksi+Violation%3A+GUDANGEXP1-LINE+1</v>
      </c>
      <c r="AE4" t="str">
        <f t="shared" si="3"/>
        <v>https://web.whatsapp.com/send/?phone=628999007703&amp;text=Halo+,+Visual+AI+5S+menditeksi+Violation%3A+GUDANGEXP1-LINE+1&amp;type=phone_number&amp;app_absent=0</v>
      </c>
      <c r="AF4" t="b">
        <f>IF(ISNA(VLOOKUP(D4&amp;"-"&amp;AB4, Ref_Kontak!$A:$E, 4, FALSE)), FALSE, TRUE)</f>
        <v>0</v>
      </c>
      <c r="AG4" t="str">
        <f>_xlfn.IFNA(VLOOKUP(Z4,Ref_Kontak!H:H,1,FALSE),"FALSE")</f>
        <v>628999007703</v>
      </c>
      <c r="AH4" t="str">
        <f t="shared" si="5"/>
        <v>GUDANGEXP1-LINE 1</v>
      </c>
      <c r="AI4">
        <f>COUNTIF($AH$1:AH4,AH4)</f>
        <v>3</v>
      </c>
    </row>
    <row r="5" spans="1:35">
      <c r="A5" t="s">
        <v>56</v>
      </c>
      <c r="B5" t="s">
        <v>57</v>
      </c>
      <c r="C5" t="s">
        <v>65</v>
      </c>
      <c r="D5" t="s">
        <v>59</v>
      </c>
      <c r="E5">
        <v>1</v>
      </c>
      <c r="G5" t="s">
        <v>60</v>
      </c>
      <c r="I5" t="s">
        <v>61</v>
      </c>
      <c r="Z5" t="str">
        <f>IFERROR(MID(AA5,FIND("-",H5,1)+1,20),_xlfn.IFNA(VLOOKUP(F5&amp;"-"&amp;AA5,Ref_Kontak!$A:$E,4,FALSE),Ref_Kontak!$H$2))</f>
        <v>628999007703</v>
      </c>
      <c r="AA5" t="str">
        <f t="shared" si="0"/>
        <v/>
      </c>
      <c r="AB5" t="str">
        <f t="shared" si="1"/>
        <v/>
      </c>
      <c r="AC5" t="str">
        <f t="shared" si="2"/>
        <v>628999007703</v>
      </c>
      <c r="AD5" t="str">
        <f t="shared" si="4"/>
        <v>Halo+,+Visual+AI+5S+menditeksi+Violation%3A+GUDANGEXP1-LINE+1</v>
      </c>
      <c r="AE5" t="str">
        <f t="shared" si="3"/>
        <v>https://web.whatsapp.com/send/?phone=628999007703&amp;text=Halo+,+Visual+AI+5S+menditeksi+Violation%3A+GUDANGEXP1-LINE+1&amp;type=phone_number&amp;app_absent=0</v>
      </c>
      <c r="AF5" t="b">
        <f>IF(ISNA(VLOOKUP(D5&amp;"-"&amp;AB5, Ref_Kontak!$A:$E, 4, FALSE)), FALSE, TRUE)</f>
        <v>0</v>
      </c>
      <c r="AG5" t="str">
        <f>_xlfn.IFNA(VLOOKUP(Z5,Ref_Kontak!H:H,1,FALSE),"FALSE")</f>
        <v>628999007703</v>
      </c>
      <c r="AH5" t="str">
        <f t="shared" si="5"/>
        <v>GUDANGEXP1-LINE 1</v>
      </c>
      <c r="AI5">
        <f>COUNTIF($AH$1:AH5,AH5)</f>
        <v>4</v>
      </c>
    </row>
    <row r="6" spans="1:35">
      <c r="A6" t="s">
        <v>56</v>
      </c>
      <c r="B6" t="s">
        <v>57</v>
      </c>
      <c r="C6" t="s">
        <v>66</v>
      </c>
      <c r="D6" t="s">
        <v>59</v>
      </c>
      <c r="E6">
        <v>1</v>
      </c>
      <c r="G6" t="s">
        <v>60</v>
      </c>
      <c r="I6" t="s">
        <v>61</v>
      </c>
      <c r="Z6" t="str">
        <f>IFERROR(MID(AA6,FIND("-",H6,1)+1,20),_xlfn.IFNA(VLOOKUP(F6&amp;"-"&amp;AA6,Ref_Kontak!$A:$E,4,FALSE),Ref_Kontak!$H$2))</f>
        <v>628999007703</v>
      </c>
      <c r="AA6" t="str">
        <f t="shared" si="0"/>
        <v/>
      </c>
      <c r="AB6" t="str">
        <f t="shared" si="1"/>
        <v/>
      </c>
      <c r="AC6" t="str">
        <f t="shared" si="2"/>
        <v>628999007703</v>
      </c>
      <c r="AD6" t="str">
        <f t="shared" si="4"/>
        <v>Halo+,+Visual+AI+5S+menditeksi+Violation%3A+GUDANGEXP1-LINE+1</v>
      </c>
      <c r="AE6" t="str">
        <f t="shared" si="3"/>
        <v>https://web.whatsapp.com/send/?phone=628999007703&amp;text=Halo+,+Visual+AI+5S+menditeksi+Violation%3A+GUDANGEXP1-LINE+1&amp;type=phone_number&amp;app_absent=0</v>
      </c>
      <c r="AF6" t="b">
        <f>IF(ISNA(VLOOKUP(D6&amp;"-"&amp;AB6, Ref_Kontak!$A:$E, 4, FALSE)), FALSE, TRUE)</f>
        <v>0</v>
      </c>
      <c r="AG6" t="str">
        <f>_xlfn.IFNA(VLOOKUP(Z6,Ref_Kontak!H:H,1,FALSE),"FALSE")</f>
        <v>628999007703</v>
      </c>
      <c r="AH6" t="str">
        <f t="shared" si="5"/>
        <v>GUDANGEXP1-LINE 1</v>
      </c>
      <c r="AI6">
        <f>COUNTIF($AH$1:AH6,AH6)</f>
        <v>5</v>
      </c>
    </row>
    <row r="7" spans="1:35">
      <c r="A7" t="s">
        <v>56</v>
      </c>
      <c r="B7" t="s">
        <v>57</v>
      </c>
      <c r="C7" t="s">
        <v>67</v>
      </c>
      <c r="D7" t="s">
        <v>59</v>
      </c>
      <c r="E7">
        <v>1</v>
      </c>
      <c r="G7" t="s">
        <v>60</v>
      </c>
      <c r="I7" t="s">
        <v>61</v>
      </c>
      <c r="Z7" t="str">
        <f>IFERROR(MID(AA7,FIND("-",H7,1)+1,20),_xlfn.IFNA(VLOOKUP(F7&amp;"-"&amp;AA7,Ref_Kontak!$A:$E,4,FALSE),Ref_Kontak!$H$2))</f>
        <v>628999007703</v>
      </c>
      <c r="AA7" t="str">
        <f t="shared" si="0"/>
        <v/>
      </c>
      <c r="AB7" t="str">
        <f t="shared" si="1"/>
        <v/>
      </c>
      <c r="AC7" t="str">
        <f t="shared" si="2"/>
        <v>628999007703</v>
      </c>
      <c r="AD7" t="str">
        <f t="shared" si="4"/>
        <v>Halo+,+Visual+AI+5S+menditeksi+Violation%3A+GUDANGEXP1-LINE+1</v>
      </c>
      <c r="AE7" t="str">
        <f t="shared" si="3"/>
        <v>https://web.whatsapp.com/send/?phone=628999007703&amp;text=Halo+,+Visual+AI+5S+menditeksi+Violation%3A+GUDANGEXP1-LINE+1&amp;type=phone_number&amp;app_absent=0</v>
      </c>
      <c r="AF7" t="b">
        <f>IF(ISNA(VLOOKUP(D7&amp;"-"&amp;AB7, Ref_Kontak!$A:$E, 4, FALSE)), FALSE, TRUE)</f>
        <v>0</v>
      </c>
      <c r="AG7" t="str">
        <f>_xlfn.IFNA(VLOOKUP(Z7,Ref_Kontak!H:H,1,FALSE),"FALSE")</f>
        <v>628999007703</v>
      </c>
      <c r="AH7" t="str">
        <f t="shared" si="5"/>
        <v>GUDANGEXP1-LINE 1</v>
      </c>
      <c r="AI7">
        <f>COUNTIF($AH$1:AH7,AH7)</f>
        <v>6</v>
      </c>
    </row>
    <row r="8" spans="1:35">
      <c r="A8" t="s">
        <v>56</v>
      </c>
      <c r="B8" t="s">
        <v>57</v>
      </c>
      <c r="C8" t="s">
        <v>68</v>
      </c>
      <c r="D8" t="s">
        <v>59</v>
      </c>
      <c r="E8">
        <v>1</v>
      </c>
      <c r="G8" t="s">
        <v>60</v>
      </c>
      <c r="I8" t="s">
        <v>61</v>
      </c>
      <c r="Z8" t="str">
        <f>IFERROR(MID(AA8,FIND("-",H8,1)+1,20),_xlfn.IFNA(VLOOKUP(F8&amp;"-"&amp;AA8,Ref_Kontak!$A:$E,4,FALSE),Ref_Kontak!$H$2))</f>
        <v>628999007703</v>
      </c>
      <c r="AA8" t="str">
        <f t="shared" si="0"/>
        <v/>
      </c>
      <c r="AB8" t="str">
        <f t="shared" si="1"/>
        <v/>
      </c>
      <c r="AC8" t="str">
        <f t="shared" si="2"/>
        <v>628999007703</v>
      </c>
      <c r="AD8" t="str">
        <f t="shared" si="4"/>
        <v>Halo+,+Visual+AI+5S+menditeksi+Violation%3A+GUDANGEXP1-LINE+1</v>
      </c>
      <c r="AE8" t="str">
        <f t="shared" si="3"/>
        <v>https://web.whatsapp.com/send/?phone=628999007703&amp;text=Halo+,+Visual+AI+5S+menditeksi+Violation%3A+GUDANGEXP1-LINE+1&amp;type=phone_number&amp;app_absent=0</v>
      </c>
      <c r="AF8" t="b">
        <f>IF(ISNA(VLOOKUP(D8&amp;"-"&amp;AB8, Ref_Kontak!$A:$E, 4, FALSE)), FALSE, TRUE)</f>
        <v>0</v>
      </c>
      <c r="AG8" t="str">
        <f>_xlfn.IFNA(VLOOKUP(Z8,Ref_Kontak!H:H,1,FALSE),"FALSE")</f>
        <v>628999007703</v>
      </c>
      <c r="AH8" t="str">
        <f t="shared" si="5"/>
        <v>GUDANGEXP1-LINE 1</v>
      </c>
      <c r="AI8">
        <f>COUNTIF($AH$1:AH8,AH8)</f>
        <v>7</v>
      </c>
    </row>
    <row r="9" spans="1:35">
      <c r="A9" t="s">
        <v>56</v>
      </c>
      <c r="B9" t="s">
        <v>57</v>
      </c>
      <c r="C9" t="s">
        <v>69</v>
      </c>
      <c r="D9" t="s">
        <v>59</v>
      </c>
      <c r="E9">
        <v>1</v>
      </c>
      <c r="G9" t="s">
        <v>60</v>
      </c>
      <c r="I9" t="s">
        <v>61</v>
      </c>
      <c r="Z9" t="str">
        <f>IFERROR(MID(AA9,FIND("-",H9,1)+1,20),_xlfn.IFNA(VLOOKUP(F9&amp;"-"&amp;AA9,Ref_Kontak!$A:$E,4,FALSE),Ref_Kontak!$H$2))</f>
        <v>628999007703</v>
      </c>
      <c r="AA9" t="str">
        <f t="shared" si="0"/>
        <v/>
      </c>
      <c r="AB9" t="str">
        <f t="shared" si="1"/>
        <v/>
      </c>
      <c r="AC9" t="str">
        <f t="shared" si="2"/>
        <v>628999007703</v>
      </c>
      <c r="AD9" t="str">
        <f t="shared" si="4"/>
        <v>Halo+,+Visual+AI+5S+menditeksi+Violation%3A+GUDANGEXP1-LINE+1</v>
      </c>
      <c r="AE9" t="str">
        <f t="shared" si="3"/>
        <v>https://web.whatsapp.com/send/?phone=628999007703&amp;text=Halo+,+Visual+AI+5S+menditeksi+Violation%3A+GUDANGEXP1-LINE+1&amp;type=phone_number&amp;app_absent=0</v>
      </c>
      <c r="AF9" t="b">
        <f>IF(ISNA(VLOOKUP(D9&amp;"-"&amp;AB9, Ref_Kontak!$A:$E, 4, FALSE)), FALSE, TRUE)</f>
        <v>0</v>
      </c>
      <c r="AG9" t="str">
        <f>_xlfn.IFNA(VLOOKUP(Z9,Ref_Kontak!H:H,1,FALSE),"FALSE")</f>
        <v>628999007703</v>
      </c>
      <c r="AH9" t="str">
        <f t="shared" si="5"/>
        <v>GUDANGEXP1-LINE 1</v>
      </c>
      <c r="AI9">
        <f>COUNTIF($AH$1:AH9,AH9)</f>
        <v>8</v>
      </c>
    </row>
    <row r="10" spans="1:35">
      <c r="A10" t="s">
        <v>56</v>
      </c>
      <c r="B10" t="s">
        <v>57</v>
      </c>
      <c r="C10" t="s">
        <v>70</v>
      </c>
      <c r="D10" t="s">
        <v>59</v>
      </c>
      <c r="E10">
        <v>1</v>
      </c>
      <c r="G10" t="s">
        <v>60</v>
      </c>
      <c r="I10" t="s">
        <v>61</v>
      </c>
      <c r="Z10" t="str">
        <f>IFERROR(MID(AA10,FIND("-",H10,1)+1,20),_xlfn.IFNA(VLOOKUP(F10&amp;"-"&amp;AA10,Ref_Kontak!$A:$E,4,FALSE),Ref_Kontak!$H$2))</f>
        <v>628999007703</v>
      </c>
      <c r="AA10" t="str">
        <f t="shared" si="0"/>
        <v/>
      </c>
      <c r="AB10" t="str">
        <f t="shared" si="1"/>
        <v/>
      </c>
      <c r="AC10" t="str">
        <f t="shared" si="2"/>
        <v>628999007703</v>
      </c>
      <c r="AD10" t="str">
        <f t="shared" si="4"/>
        <v>Halo+,+Visual+AI+5S+menditeksi+Violation%3A+GUDANGEXP1-LINE+1</v>
      </c>
      <c r="AE10" t="str">
        <f t="shared" si="3"/>
        <v>https://web.whatsapp.com/send/?phone=628999007703&amp;text=Halo+,+Visual+AI+5S+menditeksi+Violation%3A+GUDANGEXP1-LINE+1&amp;type=phone_number&amp;app_absent=0</v>
      </c>
      <c r="AF10" t="b">
        <f>IF(ISNA(VLOOKUP(D10&amp;"-"&amp;AB10, Ref_Kontak!$A:$E, 4, FALSE)), FALSE, TRUE)</f>
        <v>0</v>
      </c>
      <c r="AG10" t="str">
        <f>_xlfn.IFNA(VLOOKUP(Z10,Ref_Kontak!H:H,1,FALSE),"FALSE")</f>
        <v>628999007703</v>
      </c>
      <c r="AH10" t="str">
        <f t="shared" si="5"/>
        <v>GUDANGEXP1-LINE 1</v>
      </c>
      <c r="AI10">
        <f>COUNTIF($AH$1:AH10,AH10)</f>
        <v>9</v>
      </c>
    </row>
    <row r="11" spans="1:35">
      <c r="A11" t="s">
        <v>56</v>
      </c>
      <c r="B11" t="s">
        <v>57</v>
      </c>
      <c r="C11" t="s">
        <v>71</v>
      </c>
      <c r="D11" t="s">
        <v>59</v>
      </c>
      <c r="E11">
        <v>1</v>
      </c>
      <c r="G11" t="s">
        <v>60</v>
      </c>
      <c r="I11" t="s">
        <v>61</v>
      </c>
      <c r="Z11" t="str">
        <f>IFERROR(MID(AA11,FIND("-",H11,1)+1,20),_xlfn.IFNA(VLOOKUP(F11&amp;"-"&amp;AA11,Ref_Kontak!$A:$E,4,FALSE),Ref_Kontak!$H$2))</f>
        <v>628999007703</v>
      </c>
      <c r="AA11" t="str">
        <f t="shared" si="0"/>
        <v/>
      </c>
      <c r="AB11" t="str">
        <f t="shared" si="1"/>
        <v/>
      </c>
      <c r="AC11" t="str">
        <f t="shared" si="2"/>
        <v>628999007703</v>
      </c>
      <c r="AD11" t="str">
        <f t="shared" si="4"/>
        <v>Halo+,+Visual+AI+5S+menditeksi+Violation%3A+GUDANGEXP1-LINE+1</v>
      </c>
      <c r="AE11" t="str">
        <f t="shared" si="3"/>
        <v>https://web.whatsapp.com/send/?phone=628999007703&amp;text=Halo+,+Visual+AI+5S+menditeksi+Violation%3A+GUDANGEXP1-LINE+1&amp;type=phone_number&amp;app_absent=0</v>
      </c>
      <c r="AF11" t="b">
        <f>IF(ISNA(VLOOKUP(D11&amp;"-"&amp;AB11, Ref_Kontak!$A:$E, 4, FALSE)), FALSE, TRUE)</f>
        <v>0</v>
      </c>
      <c r="AG11" t="str">
        <f>_xlfn.IFNA(VLOOKUP(Z11,Ref_Kontak!H:H,1,FALSE),"FALSE")</f>
        <v>628999007703</v>
      </c>
      <c r="AH11" t="str">
        <f t="shared" si="5"/>
        <v>GUDANGEXP1-LINE 1</v>
      </c>
      <c r="AI11">
        <f>COUNTIF($AH$1:AH11,AH11)</f>
        <v>10</v>
      </c>
    </row>
    <row r="12" spans="1:35">
      <c r="A12" t="s">
        <v>56</v>
      </c>
      <c r="B12" t="s">
        <v>57</v>
      </c>
      <c r="C12" t="s">
        <v>72</v>
      </c>
      <c r="D12" t="s">
        <v>59</v>
      </c>
      <c r="E12">
        <v>1</v>
      </c>
      <c r="G12" t="s">
        <v>60</v>
      </c>
      <c r="I12" t="s">
        <v>61</v>
      </c>
      <c r="Z12" t="str">
        <f>IFERROR(MID(AA12,FIND("-",H12,1)+1,20),_xlfn.IFNA(VLOOKUP(F12&amp;"-"&amp;AA12,Ref_Kontak!$A:$E,4,FALSE),Ref_Kontak!$H$2))</f>
        <v>628999007703</v>
      </c>
      <c r="AA12" t="str">
        <f t="shared" si="0"/>
        <v/>
      </c>
      <c r="AB12" t="str">
        <f t="shared" si="1"/>
        <v/>
      </c>
      <c r="AC12" t="str">
        <f t="shared" si="2"/>
        <v>628999007703</v>
      </c>
      <c r="AD12" t="str">
        <f t="shared" si="4"/>
        <v>Halo+,+Visual+AI+5S+menditeksi+Violation%3A+GUDANGEXP1-LINE+1</v>
      </c>
      <c r="AE12" t="str">
        <f t="shared" si="3"/>
        <v>https://web.whatsapp.com/send/?phone=628999007703&amp;text=Halo+,+Visual+AI+5S+menditeksi+Violation%3A+GUDANGEXP1-LINE+1&amp;type=phone_number&amp;app_absent=0</v>
      </c>
      <c r="AF12" t="b">
        <f>IF(ISNA(VLOOKUP(D12&amp;"-"&amp;AB12, Ref_Kontak!$A:$E, 4, FALSE)), FALSE, TRUE)</f>
        <v>0</v>
      </c>
      <c r="AG12" t="str">
        <f>_xlfn.IFNA(VLOOKUP(Z12,Ref_Kontak!H:H,1,FALSE),"FALSE")</f>
        <v>628999007703</v>
      </c>
      <c r="AH12" t="str">
        <f t="shared" si="5"/>
        <v>GUDANGEXP1-LINE 1</v>
      </c>
      <c r="AI12">
        <f>COUNTIF($AH$1:AH12,AH12)</f>
        <v>11</v>
      </c>
    </row>
    <row r="13" spans="1:35">
      <c r="A13" t="s">
        <v>56</v>
      </c>
      <c r="B13" t="s">
        <v>57</v>
      </c>
      <c r="C13" t="s">
        <v>73</v>
      </c>
      <c r="D13" t="s">
        <v>59</v>
      </c>
      <c r="E13">
        <v>1</v>
      </c>
      <c r="G13" t="s">
        <v>60</v>
      </c>
      <c r="I13" t="s">
        <v>61</v>
      </c>
      <c r="Z13" t="str">
        <f>IFERROR(MID(AA13,FIND("-",H13,1)+1,20),_xlfn.IFNA(VLOOKUP(F13&amp;"-"&amp;AA13,Ref_Kontak!$A:$E,4,FALSE),Ref_Kontak!$H$2))</f>
        <v>628999007703</v>
      </c>
      <c r="AA13" t="str">
        <f t="shared" si="0"/>
        <v/>
      </c>
      <c r="AB13" t="str">
        <f t="shared" si="1"/>
        <v/>
      </c>
      <c r="AC13" t="str">
        <f t="shared" si="2"/>
        <v>628999007703</v>
      </c>
      <c r="AD13" t="str">
        <f t="shared" si="4"/>
        <v>Halo+,+Visual+AI+5S+menditeksi+Violation%3A+GUDANGEXP1-LINE+1</v>
      </c>
      <c r="AE13" t="str">
        <f t="shared" si="3"/>
        <v>https://web.whatsapp.com/send/?phone=628999007703&amp;text=Halo+,+Visual+AI+5S+menditeksi+Violation%3A+GUDANGEXP1-LINE+1&amp;type=phone_number&amp;app_absent=0</v>
      </c>
      <c r="AF13" t="b">
        <f>IF(ISNA(VLOOKUP(D13&amp;"-"&amp;AB13, Ref_Kontak!$A:$E, 4, FALSE)), FALSE, TRUE)</f>
        <v>0</v>
      </c>
      <c r="AG13" t="str">
        <f>_xlfn.IFNA(VLOOKUP(Z13,Ref_Kontak!H:H,1,FALSE),"FALSE")</f>
        <v>628999007703</v>
      </c>
      <c r="AH13" t="str">
        <f t="shared" si="5"/>
        <v>GUDANGEXP1-LINE 1</v>
      </c>
      <c r="AI13">
        <f>COUNTIF($AH$1:AH13,AH13)</f>
        <v>12</v>
      </c>
    </row>
    <row r="14" spans="1:35">
      <c r="A14" t="s">
        <v>56</v>
      </c>
      <c r="B14" t="s">
        <v>57</v>
      </c>
      <c r="C14" t="s">
        <v>74</v>
      </c>
      <c r="D14" t="s">
        <v>59</v>
      </c>
      <c r="E14">
        <v>1</v>
      </c>
      <c r="G14" t="s">
        <v>60</v>
      </c>
      <c r="I14" t="s">
        <v>61</v>
      </c>
      <c r="Z14" t="str">
        <f>IFERROR(MID(AA14,FIND("-",H14,1)+1,20),_xlfn.IFNA(VLOOKUP(F14&amp;"-"&amp;AA14,Ref_Kontak!$A:$E,4,FALSE),Ref_Kontak!$H$2))</f>
        <v>628999007703</v>
      </c>
      <c r="AA14" t="str">
        <f t="shared" si="0"/>
        <v/>
      </c>
      <c r="AB14" t="str">
        <f t="shared" si="1"/>
        <v/>
      </c>
      <c r="AC14" t="str">
        <f t="shared" si="2"/>
        <v>628999007703</v>
      </c>
      <c r="AD14" t="str">
        <f t="shared" si="4"/>
        <v>Halo+,+Visual+AI+5S+menditeksi+Violation%3A+GUDANGEXP1-LINE+1</v>
      </c>
      <c r="AE14" t="str">
        <f t="shared" si="3"/>
        <v>https://web.whatsapp.com/send/?phone=628999007703&amp;text=Halo+,+Visual+AI+5S+menditeksi+Violation%3A+GUDANGEXP1-LINE+1&amp;type=phone_number&amp;app_absent=0</v>
      </c>
      <c r="AF14" t="b">
        <f>IF(ISNA(VLOOKUP(D14&amp;"-"&amp;AB14, Ref_Kontak!$A:$E, 4, FALSE)), FALSE, TRUE)</f>
        <v>0</v>
      </c>
      <c r="AG14" t="str">
        <f>_xlfn.IFNA(VLOOKUP(Z14,Ref_Kontak!H:H,1,FALSE),"FALSE")</f>
        <v>628999007703</v>
      </c>
      <c r="AH14" t="str">
        <f t="shared" si="5"/>
        <v>GUDANGEXP1-LINE 1</v>
      </c>
      <c r="AI14">
        <f>COUNTIF($AH$1:AH14,AH14)</f>
        <v>13</v>
      </c>
    </row>
    <row r="15" spans="1:35">
      <c r="A15" t="s">
        <v>56</v>
      </c>
      <c r="B15" t="s">
        <v>57</v>
      </c>
      <c r="C15" t="s">
        <v>75</v>
      </c>
      <c r="D15" t="s">
        <v>59</v>
      </c>
      <c r="E15">
        <v>1</v>
      </c>
      <c r="G15" t="s">
        <v>60</v>
      </c>
      <c r="I15" t="s">
        <v>61</v>
      </c>
      <c r="Z15" t="str">
        <f>IFERROR(MID(AA15,FIND("-",H15,1)+1,20),_xlfn.IFNA(VLOOKUP(F15&amp;"-"&amp;AA15,Ref_Kontak!$A:$E,4,FALSE),Ref_Kontak!$H$2))</f>
        <v>628999007703</v>
      </c>
      <c r="AA15" t="str">
        <f t="shared" si="0"/>
        <v/>
      </c>
      <c r="AB15" t="str">
        <f t="shared" si="1"/>
        <v/>
      </c>
      <c r="AC15" t="str">
        <f t="shared" si="2"/>
        <v>628999007703</v>
      </c>
      <c r="AD15" t="str">
        <f t="shared" si="4"/>
        <v>Halo+,+Visual+AI+5S+menditeksi+Violation%3A+GUDANGEXP1-LINE+1</v>
      </c>
      <c r="AE15" t="str">
        <f t="shared" si="3"/>
        <v>https://web.whatsapp.com/send/?phone=628999007703&amp;text=Halo+,+Visual+AI+5S+menditeksi+Violation%3A+GUDANGEXP1-LINE+1&amp;type=phone_number&amp;app_absent=0</v>
      </c>
      <c r="AF15" t="b">
        <f>IF(ISNA(VLOOKUP(D15&amp;"-"&amp;AB15, Ref_Kontak!$A:$E, 4, FALSE)), FALSE, TRUE)</f>
        <v>0</v>
      </c>
      <c r="AG15" t="str">
        <f>_xlfn.IFNA(VLOOKUP(Z15,Ref_Kontak!H:H,1,FALSE),"FALSE")</f>
        <v>628999007703</v>
      </c>
      <c r="AH15" t="str">
        <f t="shared" si="5"/>
        <v>GUDANGEXP1-LINE 1</v>
      </c>
      <c r="AI15">
        <f>COUNTIF($AH$1:AH15,AH15)</f>
        <v>14</v>
      </c>
    </row>
    <row r="16" spans="1:35">
      <c r="A16" t="s">
        <v>56</v>
      </c>
      <c r="B16" t="s">
        <v>57</v>
      </c>
      <c r="C16" t="s">
        <v>76</v>
      </c>
      <c r="D16" t="s">
        <v>59</v>
      </c>
      <c r="E16">
        <v>1</v>
      </c>
      <c r="G16" t="s">
        <v>60</v>
      </c>
      <c r="I16" t="s">
        <v>61</v>
      </c>
      <c r="Z16" t="str">
        <f>IFERROR(MID(AA16,FIND("-",H16,1)+1,20),_xlfn.IFNA(VLOOKUP(F16&amp;"-"&amp;AA16,Ref_Kontak!$A:$E,4,FALSE),Ref_Kontak!$H$2))</f>
        <v>628999007703</v>
      </c>
      <c r="AA16" t="str">
        <f t="shared" si="0"/>
        <v/>
      </c>
      <c r="AB16" t="str">
        <f t="shared" si="1"/>
        <v/>
      </c>
      <c r="AC16" t="str">
        <f t="shared" si="2"/>
        <v>628999007703</v>
      </c>
      <c r="AD16" t="str">
        <f t="shared" si="4"/>
        <v>Halo+,+Visual+AI+5S+menditeksi+Violation%3A+GUDANGEXP1-LINE+1</v>
      </c>
      <c r="AE16" t="str">
        <f t="shared" si="3"/>
        <v>https://web.whatsapp.com/send/?phone=628999007703&amp;text=Halo+,+Visual+AI+5S+menditeksi+Violation%3A+GUDANGEXP1-LINE+1&amp;type=phone_number&amp;app_absent=0</v>
      </c>
      <c r="AF16" t="b">
        <f>IF(ISNA(VLOOKUP(D16&amp;"-"&amp;AB16, Ref_Kontak!$A:$E, 4, FALSE)), FALSE, TRUE)</f>
        <v>0</v>
      </c>
      <c r="AG16" t="str">
        <f>_xlfn.IFNA(VLOOKUP(Z16,Ref_Kontak!H:H,1,FALSE),"FALSE")</f>
        <v>628999007703</v>
      </c>
      <c r="AH16" t="str">
        <f t="shared" si="5"/>
        <v>GUDANGEXP1-LINE 1</v>
      </c>
      <c r="AI16">
        <f>COUNTIF($AH$1:AH16,AH16)</f>
        <v>15</v>
      </c>
    </row>
    <row r="17" spans="1:35">
      <c r="A17" t="s">
        <v>56</v>
      </c>
      <c r="B17" t="s">
        <v>57</v>
      </c>
      <c r="C17" t="s">
        <v>77</v>
      </c>
      <c r="D17" t="s">
        <v>59</v>
      </c>
      <c r="E17">
        <v>1</v>
      </c>
      <c r="G17" t="s">
        <v>60</v>
      </c>
      <c r="I17" t="s">
        <v>61</v>
      </c>
      <c r="Z17" t="str">
        <f>IFERROR(MID(AA17,FIND("-",H17,1)+1,20),_xlfn.IFNA(VLOOKUP(F17&amp;"-"&amp;AA17,Ref_Kontak!$A:$E,4,FALSE),Ref_Kontak!$H$2))</f>
        <v>628999007703</v>
      </c>
      <c r="AA17" t="str">
        <f t="shared" si="0"/>
        <v/>
      </c>
      <c r="AB17" t="str">
        <f t="shared" si="1"/>
        <v/>
      </c>
      <c r="AC17" t="str">
        <f t="shared" si="2"/>
        <v>628999007703</v>
      </c>
      <c r="AD17" t="str">
        <f t="shared" si="4"/>
        <v>Halo+,+Visual+AI+5S+menditeksi+Violation%3A+GUDANGEXP1-LINE+1</v>
      </c>
      <c r="AE17" t="str">
        <f t="shared" si="3"/>
        <v>https://web.whatsapp.com/send/?phone=628999007703&amp;text=Halo+,+Visual+AI+5S+menditeksi+Violation%3A+GUDANGEXP1-LINE+1&amp;type=phone_number&amp;app_absent=0</v>
      </c>
      <c r="AF17" t="b">
        <f>IF(ISNA(VLOOKUP(D17&amp;"-"&amp;AB17, Ref_Kontak!$A:$E, 4, FALSE)), FALSE, TRUE)</f>
        <v>0</v>
      </c>
      <c r="AG17" t="str">
        <f>_xlfn.IFNA(VLOOKUP(Z17,Ref_Kontak!H:H,1,FALSE),"FALSE")</f>
        <v>628999007703</v>
      </c>
      <c r="AH17" t="str">
        <f t="shared" si="5"/>
        <v>GUDANGEXP1-LINE 1</v>
      </c>
      <c r="AI17">
        <f>COUNTIF($AH$1:AH17,AH17)</f>
        <v>16</v>
      </c>
    </row>
    <row r="18" spans="1:35">
      <c r="A18" t="s">
        <v>56</v>
      </c>
      <c r="B18" t="s">
        <v>57</v>
      </c>
      <c r="C18" t="s">
        <v>78</v>
      </c>
      <c r="D18" t="s">
        <v>59</v>
      </c>
      <c r="E18">
        <v>1</v>
      </c>
      <c r="G18" t="s">
        <v>60</v>
      </c>
      <c r="I18" t="s">
        <v>61</v>
      </c>
      <c r="Z18" t="str">
        <f>IFERROR(MID(AA18,FIND("-",H18,1)+1,20),_xlfn.IFNA(VLOOKUP(F18&amp;"-"&amp;AA18,Ref_Kontak!$A:$E,4,FALSE),Ref_Kontak!$H$2))</f>
        <v>628999007703</v>
      </c>
      <c r="AA18" t="str">
        <f t="shared" si="0"/>
        <v/>
      </c>
      <c r="AB18" t="str">
        <f t="shared" si="1"/>
        <v/>
      </c>
      <c r="AC18" t="str">
        <f t="shared" si="2"/>
        <v>628999007703</v>
      </c>
      <c r="AD18" t="str">
        <f t="shared" si="4"/>
        <v>Halo+,+Visual+AI+5S+menditeksi+Violation%3A+GUDANGEXP1-LINE+1</v>
      </c>
      <c r="AE18" t="str">
        <f t="shared" si="3"/>
        <v>https://web.whatsapp.com/send/?phone=628999007703&amp;text=Halo+,+Visual+AI+5S+menditeksi+Violation%3A+GUDANGEXP1-LINE+1&amp;type=phone_number&amp;app_absent=0</v>
      </c>
      <c r="AF18" t="b">
        <f>IF(ISNA(VLOOKUP(D18&amp;"-"&amp;AB18, Ref_Kontak!$A:$E, 4, FALSE)), FALSE, TRUE)</f>
        <v>0</v>
      </c>
      <c r="AG18" t="str">
        <f>_xlfn.IFNA(VLOOKUP(Z18,Ref_Kontak!H:H,1,FALSE),"FALSE")</f>
        <v>628999007703</v>
      </c>
      <c r="AH18" t="str">
        <f t="shared" si="5"/>
        <v>GUDANGEXP1-LINE 1</v>
      </c>
      <c r="AI18">
        <f>COUNTIF($AH$1:AH18,AH18)</f>
        <v>17</v>
      </c>
    </row>
    <row r="19" spans="1:35">
      <c r="A19" t="s">
        <v>56</v>
      </c>
      <c r="B19" t="s">
        <v>57</v>
      </c>
      <c r="C19" t="s">
        <v>79</v>
      </c>
      <c r="D19" t="s">
        <v>59</v>
      </c>
      <c r="E19">
        <v>1</v>
      </c>
      <c r="G19" t="s">
        <v>60</v>
      </c>
      <c r="I19" t="s">
        <v>61</v>
      </c>
      <c r="Z19" t="str">
        <f>IFERROR(MID(AA19,FIND("-",H19,1)+1,20),_xlfn.IFNA(VLOOKUP(F19&amp;"-"&amp;AA19,Ref_Kontak!$A:$E,4,FALSE),Ref_Kontak!$H$2))</f>
        <v>628999007703</v>
      </c>
      <c r="AA19" t="str">
        <f t="shared" si="0"/>
        <v/>
      </c>
      <c r="AB19" t="str">
        <f t="shared" si="1"/>
        <v/>
      </c>
      <c r="AC19" t="str">
        <f t="shared" si="2"/>
        <v>628999007703</v>
      </c>
      <c r="AD19" t="str">
        <f t="shared" si="4"/>
        <v>Halo+,+Visual+AI+5S+menditeksi+Violation%3A+GUDANGEXP1-LINE+1</v>
      </c>
      <c r="AE19" t="str">
        <f t="shared" si="3"/>
        <v>https://web.whatsapp.com/send/?phone=628999007703&amp;text=Halo+,+Visual+AI+5S+menditeksi+Violation%3A+GUDANGEXP1-LINE+1&amp;type=phone_number&amp;app_absent=0</v>
      </c>
      <c r="AF19" t="b">
        <f>IF(ISNA(VLOOKUP(D19&amp;"-"&amp;AB19, Ref_Kontak!$A:$E, 4, FALSE)), FALSE, TRUE)</f>
        <v>0</v>
      </c>
      <c r="AG19" t="str">
        <f>_xlfn.IFNA(VLOOKUP(Z19,Ref_Kontak!H:H,1,FALSE),"FALSE")</f>
        <v>628999007703</v>
      </c>
      <c r="AH19" t="str">
        <f t="shared" si="5"/>
        <v>GUDANGEXP1-LINE 1</v>
      </c>
      <c r="AI19">
        <f>COUNTIF($AH$1:AH19,AH19)</f>
        <v>18</v>
      </c>
    </row>
    <row r="20" spans="1:35">
      <c r="A20" t="s">
        <v>56</v>
      </c>
      <c r="B20" t="s">
        <v>57</v>
      </c>
      <c r="C20" t="s">
        <v>80</v>
      </c>
      <c r="D20" t="s">
        <v>59</v>
      </c>
      <c r="E20">
        <v>1</v>
      </c>
      <c r="G20" t="s">
        <v>60</v>
      </c>
      <c r="I20" t="s">
        <v>61</v>
      </c>
      <c r="Z20" t="str">
        <f>IFERROR(MID(AA20,FIND("-",H20,1)+1,20),_xlfn.IFNA(VLOOKUP(F20&amp;"-"&amp;AA20,Ref_Kontak!$A:$E,4,FALSE),Ref_Kontak!$H$2))</f>
        <v>628999007703</v>
      </c>
      <c r="AA20" t="str">
        <f t="shared" si="0"/>
        <v/>
      </c>
      <c r="AB20" t="str">
        <f t="shared" si="1"/>
        <v/>
      </c>
      <c r="AC20" t="str">
        <f t="shared" si="2"/>
        <v>628999007703</v>
      </c>
      <c r="AD20" t="str">
        <f t="shared" si="4"/>
        <v>Halo+,+Visual+AI+5S+menditeksi+Violation%3A+GUDANGEXP1-LINE+1</v>
      </c>
      <c r="AE20" t="str">
        <f t="shared" si="3"/>
        <v>https://web.whatsapp.com/send/?phone=628999007703&amp;text=Halo+,+Visual+AI+5S+menditeksi+Violation%3A+GUDANGEXP1-LINE+1&amp;type=phone_number&amp;app_absent=0</v>
      </c>
      <c r="AF20" t="b">
        <f>IF(ISNA(VLOOKUP(D20&amp;"-"&amp;AB20, Ref_Kontak!$A:$E, 4, FALSE)), FALSE, TRUE)</f>
        <v>0</v>
      </c>
      <c r="AG20" t="str">
        <f>_xlfn.IFNA(VLOOKUP(Z20,Ref_Kontak!H:H,1,FALSE),"FALSE")</f>
        <v>628999007703</v>
      </c>
      <c r="AH20" t="str">
        <f t="shared" si="5"/>
        <v>GUDANGEXP1-LINE 1</v>
      </c>
      <c r="AI20">
        <f>COUNTIF($AH$1:AH20,AH20)</f>
        <v>19</v>
      </c>
    </row>
    <row r="21" spans="1:35">
      <c r="A21" t="s">
        <v>56</v>
      </c>
      <c r="B21" t="s">
        <v>57</v>
      </c>
      <c r="C21" t="s">
        <v>81</v>
      </c>
      <c r="D21" t="s">
        <v>59</v>
      </c>
      <c r="E21">
        <v>1</v>
      </c>
      <c r="G21" t="s">
        <v>60</v>
      </c>
      <c r="I21" t="s">
        <v>61</v>
      </c>
      <c r="Z21" t="str">
        <f>IFERROR(MID(AA21,FIND("-",H21,1)+1,20),_xlfn.IFNA(VLOOKUP(F21&amp;"-"&amp;AA21,Ref_Kontak!$A:$E,4,FALSE),Ref_Kontak!$H$2))</f>
        <v>628999007703</v>
      </c>
      <c r="AA21" t="str">
        <f t="shared" si="0"/>
        <v/>
      </c>
      <c r="AB21" t="str">
        <f t="shared" si="1"/>
        <v/>
      </c>
      <c r="AC21" t="str">
        <f t="shared" si="2"/>
        <v>628999007703</v>
      </c>
      <c r="AD21" t="str">
        <f t="shared" si="4"/>
        <v>Halo+,+Visual+AI+5S+menditeksi+Violation%3A+GUDANGEXP1-LINE+1</v>
      </c>
      <c r="AE21" t="str">
        <f t="shared" si="3"/>
        <v>https://web.whatsapp.com/send/?phone=628999007703&amp;text=Halo+,+Visual+AI+5S+menditeksi+Violation%3A+GUDANGEXP1-LINE+1&amp;type=phone_number&amp;app_absent=0</v>
      </c>
      <c r="AF21" t="b">
        <f>IF(ISNA(VLOOKUP(D21&amp;"-"&amp;AB21, Ref_Kontak!$A:$E, 4, FALSE)), FALSE, TRUE)</f>
        <v>0</v>
      </c>
      <c r="AG21" t="str">
        <f>_xlfn.IFNA(VLOOKUP(Z21,Ref_Kontak!H:H,1,FALSE),"FALSE")</f>
        <v>628999007703</v>
      </c>
      <c r="AH21" t="str">
        <f t="shared" si="5"/>
        <v>GUDANGEXP1-LINE 1</v>
      </c>
      <c r="AI21">
        <f>COUNTIF($AH$1:AH21,AH21)</f>
        <v>20</v>
      </c>
    </row>
    <row r="22" spans="1:35">
      <c r="A22" t="s">
        <v>56</v>
      </c>
      <c r="B22" t="s">
        <v>57</v>
      </c>
      <c r="C22" t="s">
        <v>82</v>
      </c>
      <c r="D22" t="s">
        <v>59</v>
      </c>
      <c r="E22">
        <v>1</v>
      </c>
      <c r="G22" t="s">
        <v>60</v>
      </c>
      <c r="I22" t="s">
        <v>61</v>
      </c>
      <c r="Z22" t="str">
        <f>IFERROR(MID(AA22,FIND("-",H22,1)+1,20),_xlfn.IFNA(VLOOKUP(F22&amp;"-"&amp;AA22,Ref_Kontak!$A:$E,4,FALSE),Ref_Kontak!$H$2))</f>
        <v>628999007703</v>
      </c>
      <c r="AA22" t="str">
        <f t="shared" si="0"/>
        <v/>
      </c>
      <c r="AB22" t="str">
        <f t="shared" si="1"/>
        <v/>
      </c>
      <c r="AC22" t="str">
        <f t="shared" si="2"/>
        <v>628999007703</v>
      </c>
      <c r="AD22" t="str">
        <f t="shared" si="4"/>
        <v>Halo+,+Visual+AI+5S+menditeksi+Violation%3A+GUDANGEXP1-LINE+1</v>
      </c>
      <c r="AE22" t="str">
        <f t="shared" si="3"/>
        <v>https://web.whatsapp.com/send/?phone=628999007703&amp;text=Halo+,+Visual+AI+5S+menditeksi+Violation%3A+GUDANGEXP1-LINE+1&amp;type=phone_number&amp;app_absent=0</v>
      </c>
      <c r="AF22" t="b">
        <f>IF(ISNA(VLOOKUP(D22&amp;"-"&amp;AB22, Ref_Kontak!$A:$E, 4, FALSE)), FALSE, TRUE)</f>
        <v>0</v>
      </c>
      <c r="AG22" t="str">
        <f>_xlfn.IFNA(VLOOKUP(Z22,Ref_Kontak!H:H,1,FALSE),"FALSE")</f>
        <v>628999007703</v>
      </c>
      <c r="AH22" t="str">
        <f t="shared" si="5"/>
        <v>GUDANGEXP1-LINE 1</v>
      </c>
      <c r="AI22">
        <f>COUNTIF($AH$1:AH22,AH22)</f>
        <v>21</v>
      </c>
    </row>
    <row r="23" spans="1:35">
      <c r="A23" t="s">
        <v>56</v>
      </c>
      <c r="B23" t="s">
        <v>57</v>
      </c>
      <c r="C23" t="s">
        <v>83</v>
      </c>
      <c r="D23" t="s">
        <v>59</v>
      </c>
      <c r="E23">
        <v>1</v>
      </c>
      <c r="G23" t="s">
        <v>60</v>
      </c>
      <c r="I23" t="s">
        <v>61</v>
      </c>
      <c r="Z23" t="str">
        <f>IFERROR(MID(AA23,FIND("-",H23,1)+1,20),_xlfn.IFNA(VLOOKUP(F23&amp;"-"&amp;AA23,Ref_Kontak!$A:$E,4,FALSE),Ref_Kontak!$H$2))</f>
        <v>628999007703</v>
      </c>
      <c r="AA23" t="str">
        <f t="shared" si="0"/>
        <v/>
      </c>
      <c r="AB23" t="str">
        <f t="shared" si="1"/>
        <v/>
      </c>
      <c r="AC23" t="str">
        <f t="shared" si="2"/>
        <v>628999007703</v>
      </c>
      <c r="AD23" t="str">
        <f t="shared" si="4"/>
        <v>Halo+,+Visual+AI+5S+menditeksi+Violation%3A+GUDANGEXP1-LINE+1</v>
      </c>
      <c r="AE23" t="str">
        <f t="shared" si="3"/>
        <v>https://web.whatsapp.com/send/?phone=628999007703&amp;text=Halo+,+Visual+AI+5S+menditeksi+Violation%3A+GUDANGEXP1-LINE+1&amp;type=phone_number&amp;app_absent=0</v>
      </c>
      <c r="AF23" t="b">
        <f>IF(ISNA(VLOOKUP(D23&amp;"-"&amp;AB23, Ref_Kontak!$A:$E, 4, FALSE)), FALSE, TRUE)</f>
        <v>0</v>
      </c>
      <c r="AG23" t="str">
        <f>_xlfn.IFNA(VLOOKUP(Z23,Ref_Kontak!H:H,1,FALSE),"FALSE")</f>
        <v>628999007703</v>
      </c>
      <c r="AH23" t="str">
        <f t="shared" si="5"/>
        <v>GUDANGEXP1-LINE 1</v>
      </c>
      <c r="AI23">
        <f>COUNTIF($AH$1:AH23,AH23)</f>
        <v>22</v>
      </c>
    </row>
    <row r="24" spans="1:35">
      <c r="A24" t="s">
        <v>56</v>
      </c>
      <c r="B24" t="s">
        <v>57</v>
      </c>
      <c r="C24" t="s">
        <v>84</v>
      </c>
      <c r="D24" t="s">
        <v>59</v>
      </c>
      <c r="E24">
        <v>1</v>
      </c>
      <c r="G24" t="s">
        <v>60</v>
      </c>
      <c r="I24" t="s">
        <v>61</v>
      </c>
      <c r="Z24" t="str">
        <f>IFERROR(MID(AA24,FIND("-",H24,1)+1,20),_xlfn.IFNA(VLOOKUP(F24&amp;"-"&amp;AA24,Ref_Kontak!$A:$E,4,FALSE),Ref_Kontak!$H$2))</f>
        <v>628999007703</v>
      </c>
      <c r="AA24" t="str">
        <f t="shared" si="0"/>
        <v/>
      </c>
      <c r="AB24" t="str">
        <f t="shared" si="1"/>
        <v/>
      </c>
      <c r="AC24" t="str">
        <f t="shared" si="2"/>
        <v>628999007703</v>
      </c>
      <c r="AD24" t="str">
        <f t="shared" si="4"/>
        <v>Halo+,+Visual+AI+5S+menditeksi+Violation%3A+GUDANGEXP1-LINE+1</v>
      </c>
      <c r="AE24" t="str">
        <f t="shared" si="3"/>
        <v>https://web.whatsapp.com/send/?phone=628999007703&amp;text=Halo+,+Visual+AI+5S+menditeksi+Violation%3A+GUDANGEXP1-LINE+1&amp;type=phone_number&amp;app_absent=0</v>
      </c>
      <c r="AF24" t="b">
        <f>IF(ISNA(VLOOKUP(D24&amp;"-"&amp;AB24, Ref_Kontak!$A:$E, 4, FALSE)), FALSE, TRUE)</f>
        <v>0</v>
      </c>
      <c r="AG24" t="str">
        <f>_xlfn.IFNA(VLOOKUP(Z24,Ref_Kontak!H:H,1,FALSE),"FALSE")</f>
        <v>628999007703</v>
      </c>
      <c r="AH24" t="str">
        <f t="shared" si="5"/>
        <v>GUDANGEXP1-LINE 1</v>
      </c>
      <c r="AI24">
        <f>COUNTIF($AH$1:AH24,AH24)</f>
        <v>23</v>
      </c>
    </row>
    <row r="25" spans="1:35">
      <c r="A25" t="s">
        <v>56</v>
      </c>
      <c r="B25" t="s">
        <v>57</v>
      </c>
      <c r="C25" t="s">
        <v>85</v>
      </c>
      <c r="D25" t="s">
        <v>59</v>
      </c>
      <c r="E25">
        <v>1</v>
      </c>
      <c r="G25" t="s">
        <v>60</v>
      </c>
      <c r="I25" t="s">
        <v>61</v>
      </c>
      <c r="Z25" t="str">
        <f>IFERROR(MID(AA25,FIND("-",H25,1)+1,20),_xlfn.IFNA(VLOOKUP(F25&amp;"-"&amp;AA25,Ref_Kontak!$A:$E,4,FALSE),Ref_Kontak!$H$2))</f>
        <v>628999007703</v>
      </c>
      <c r="AA25" t="str">
        <f t="shared" si="0"/>
        <v/>
      </c>
      <c r="AB25" t="str">
        <f t="shared" si="1"/>
        <v/>
      </c>
      <c r="AC25" t="str">
        <f t="shared" si="2"/>
        <v>628999007703</v>
      </c>
      <c r="AD25" t="str">
        <f t="shared" si="4"/>
        <v>Halo+,+Visual+AI+5S+menditeksi+Violation%3A+GUDANGEXP1-LINE+1</v>
      </c>
      <c r="AE25" t="str">
        <f t="shared" si="3"/>
        <v>https://web.whatsapp.com/send/?phone=628999007703&amp;text=Halo+,+Visual+AI+5S+menditeksi+Violation%3A+GUDANGEXP1-LINE+1&amp;type=phone_number&amp;app_absent=0</v>
      </c>
      <c r="AF25" t="b">
        <f>IF(ISNA(VLOOKUP(D25&amp;"-"&amp;AB25, Ref_Kontak!$A:$E, 4, FALSE)), FALSE, TRUE)</f>
        <v>0</v>
      </c>
      <c r="AG25" t="str">
        <f>_xlfn.IFNA(VLOOKUP(Z25,Ref_Kontak!H:H,1,FALSE),"FALSE")</f>
        <v>628999007703</v>
      </c>
      <c r="AH25" t="str">
        <f t="shared" si="5"/>
        <v>GUDANGEXP1-LINE 1</v>
      </c>
      <c r="AI25">
        <f>COUNTIF($AH$1:AH25,AH25)</f>
        <v>24</v>
      </c>
    </row>
    <row r="26" spans="1:35">
      <c r="A26" t="s">
        <v>56</v>
      </c>
      <c r="B26" t="s">
        <v>57</v>
      </c>
      <c r="C26" t="s">
        <v>86</v>
      </c>
      <c r="D26" t="s">
        <v>59</v>
      </c>
      <c r="E26">
        <v>1</v>
      </c>
      <c r="G26" t="s">
        <v>60</v>
      </c>
      <c r="I26" t="s">
        <v>61</v>
      </c>
      <c r="Z26" t="str">
        <f>IFERROR(MID(AA26,FIND("-",H26,1)+1,20),_xlfn.IFNA(VLOOKUP(F26&amp;"-"&amp;AA26,Ref_Kontak!$A:$E,4,FALSE),Ref_Kontak!$H$2))</f>
        <v>628999007703</v>
      </c>
      <c r="AA26" t="str">
        <f t="shared" si="0"/>
        <v/>
      </c>
      <c r="AB26" t="str">
        <f t="shared" si="1"/>
        <v/>
      </c>
      <c r="AC26" t="str">
        <f t="shared" si="2"/>
        <v>628999007703</v>
      </c>
      <c r="AD26" t="str">
        <f t="shared" si="4"/>
        <v>Halo+,+Visual+AI+5S+menditeksi+Violation%3A+GUDANGEXP1-LINE+1</v>
      </c>
      <c r="AE26" t="str">
        <f t="shared" si="3"/>
        <v>https://web.whatsapp.com/send/?phone=628999007703&amp;text=Halo+,+Visual+AI+5S+menditeksi+Violation%3A+GUDANGEXP1-LINE+1&amp;type=phone_number&amp;app_absent=0</v>
      </c>
      <c r="AF26" t="b">
        <f>IF(ISNA(VLOOKUP(D26&amp;"-"&amp;AB26, Ref_Kontak!$A:$E, 4, FALSE)), FALSE, TRUE)</f>
        <v>0</v>
      </c>
      <c r="AG26" t="str">
        <f>_xlfn.IFNA(VLOOKUP(Z26,Ref_Kontak!H:H,1,FALSE),"FALSE")</f>
        <v>628999007703</v>
      </c>
      <c r="AH26" t="str">
        <f t="shared" si="5"/>
        <v>GUDANGEXP1-LINE 1</v>
      </c>
      <c r="AI26">
        <f>COUNTIF($AH$1:AH26,AH26)</f>
        <v>25</v>
      </c>
    </row>
    <row r="27" spans="1:35">
      <c r="A27" t="s">
        <v>56</v>
      </c>
      <c r="B27" t="s">
        <v>57</v>
      </c>
      <c r="C27" t="s">
        <v>87</v>
      </c>
      <c r="D27" t="s">
        <v>59</v>
      </c>
      <c r="E27">
        <v>1</v>
      </c>
      <c r="G27" t="s">
        <v>60</v>
      </c>
      <c r="I27" t="s">
        <v>61</v>
      </c>
      <c r="Z27" t="str">
        <f>IFERROR(MID(AA27,FIND("-",H27,1)+1,20),_xlfn.IFNA(VLOOKUP(F27&amp;"-"&amp;AA27,Ref_Kontak!$A:$E,4,FALSE),Ref_Kontak!$H$2))</f>
        <v>628999007703</v>
      </c>
      <c r="AA27" t="str">
        <f t="shared" si="0"/>
        <v/>
      </c>
      <c r="AB27" t="str">
        <f t="shared" si="1"/>
        <v/>
      </c>
      <c r="AC27" t="str">
        <f t="shared" si="2"/>
        <v>628999007703</v>
      </c>
      <c r="AD27" t="str">
        <f t="shared" si="4"/>
        <v>Halo+,+Visual+AI+5S+menditeksi+Violation%3A+GUDANGEXP1-LINE+1</v>
      </c>
      <c r="AE27" t="str">
        <f t="shared" si="3"/>
        <v>https://web.whatsapp.com/send/?phone=628999007703&amp;text=Halo+,+Visual+AI+5S+menditeksi+Violation%3A+GUDANGEXP1-LINE+1&amp;type=phone_number&amp;app_absent=0</v>
      </c>
      <c r="AF27" t="b">
        <f>IF(ISNA(VLOOKUP(D27&amp;"-"&amp;AB27, Ref_Kontak!$A:$E, 4, FALSE)), FALSE, TRUE)</f>
        <v>0</v>
      </c>
      <c r="AG27" t="str">
        <f>_xlfn.IFNA(VLOOKUP(Z27,Ref_Kontak!H:H,1,FALSE),"FALSE")</f>
        <v>628999007703</v>
      </c>
      <c r="AH27" t="str">
        <f t="shared" si="5"/>
        <v>GUDANGEXP1-LINE 1</v>
      </c>
      <c r="AI27">
        <f>COUNTIF($AH$1:AH27,AH27)</f>
        <v>26</v>
      </c>
    </row>
    <row r="28" spans="1:35">
      <c r="A28" t="s">
        <v>56</v>
      </c>
      <c r="B28" t="s">
        <v>57</v>
      </c>
      <c r="C28" t="s">
        <v>88</v>
      </c>
      <c r="D28" t="s">
        <v>59</v>
      </c>
      <c r="E28">
        <v>1</v>
      </c>
      <c r="G28" t="s">
        <v>60</v>
      </c>
      <c r="I28" t="s">
        <v>61</v>
      </c>
      <c r="Z28" t="str">
        <f>IFERROR(MID(AA28,FIND("-",H28,1)+1,20),_xlfn.IFNA(VLOOKUP(F28&amp;"-"&amp;AA28,Ref_Kontak!$A:$E,4,FALSE),Ref_Kontak!$H$2))</f>
        <v>628999007703</v>
      </c>
      <c r="AA28" t="str">
        <f t="shared" si="0"/>
        <v/>
      </c>
      <c r="AB28" t="str">
        <f t="shared" si="1"/>
        <v/>
      </c>
      <c r="AC28" t="str">
        <f t="shared" si="2"/>
        <v>628999007703</v>
      </c>
      <c r="AD28" t="str">
        <f t="shared" si="4"/>
        <v>Halo+,+Visual+AI+5S+menditeksi+Violation%3A+GUDANGEXP1-LINE+1</v>
      </c>
      <c r="AE28" t="str">
        <f t="shared" si="3"/>
        <v>https://web.whatsapp.com/send/?phone=628999007703&amp;text=Halo+,+Visual+AI+5S+menditeksi+Violation%3A+GUDANGEXP1-LINE+1&amp;type=phone_number&amp;app_absent=0</v>
      </c>
      <c r="AF28" t="b">
        <f>IF(ISNA(VLOOKUP(D28&amp;"-"&amp;AB28, Ref_Kontak!$A:$E, 4, FALSE)), FALSE, TRUE)</f>
        <v>0</v>
      </c>
      <c r="AG28" t="str">
        <f>_xlfn.IFNA(VLOOKUP(Z28,Ref_Kontak!H:H,1,FALSE),"FALSE")</f>
        <v>628999007703</v>
      </c>
      <c r="AH28" t="str">
        <f t="shared" si="5"/>
        <v>GUDANGEXP1-LINE 1</v>
      </c>
      <c r="AI28">
        <f>COUNTIF($AH$1:AH28,AH28)</f>
        <v>27</v>
      </c>
    </row>
    <row r="29" spans="1:35">
      <c r="A29" t="s">
        <v>56</v>
      </c>
      <c r="B29" t="s">
        <v>57</v>
      </c>
      <c r="C29" t="s">
        <v>89</v>
      </c>
      <c r="D29" t="s">
        <v>59</v>
      </c>
      <c r="E29">
        <v>1</v>
      </c>
      <c r="G29" t="s">
        <v>60</v>
      </c>
      <c r="I29" t="s">
        <v>61</v>
      </c>
      <c r="Z29" t="str">
        <f>IFERROR(MID(AA29,FIND("-",H29,1)+1,20),_xlfn.IFNA(VLOOKUP(F29&amp;"-"&amp;AA29,Ref_Kontak!$A:$E,4,FALSE),Ref_Kontak!$H$2))</f>
        <v>628999007703</v>
      </c>
      <c r="AA29" t="str">
        <f t="shared" si="0"/>
        <v/>
      </c>
      <c r="AB29" t="str">
        <f t="shared" si="1"/>
        <v/>
      </c>
      <c r="AC29" t="str">
        <f t="shared" si="2"/>
        <v>628999007703</v>
      </c>
      <c r="AD29" t="str">
        <f t="shared" si="4"/>
        <v>Halo+,+Visual+AI+5S+menditeksi+Violation%3A+GUDANGEXP1-LINE+1</v>
      </c>
      <c r="AE29" t="str">
        <f t="shared" si="3"/>
        <v>https://web.whatsapp.com/send/?phone=628999007703&amp;text=Halo+,+Visual+AI+5S+menditeksi+Violation%3A+GUDANGEXP1-LINE+1&amp;type=phone_number&amp;app_absent=0</v>
      </c>
      <c r="AF29" t="b">
        <f>IF(ISNA(VLOOKUP(D29&amp;"-"&amp;AB29, Ref_Kontak!$A:$E, 4, FALSE)), FALSE, TRUE)</f>
        <v>0</v>
      </c>
      <c r="AG29" t="str">
        <f>_xlfn.IFNA(VLOOKUP(Z29,Ref_Kontak!H:H,1,FALSE),"FALSE")</f>
        <v>628999007703</v>
      </c>
      <c r="AH29" t="str">
        <f t="shared" si="5"/>
        <v>GUDANGEXP1-LINE 1</v>
      </c>
      <c r="AI29">
        <f>COUNTIF($AH$1:AH29,AH29)</f>
        <v>28</v>
      </c>
    </row>
    <row r="30" spans="1:35">
      <c r="A30" t="s">
        <v>56</v>
      </c>
      <c r="B30" t="s">
        <v>57</v>
      </c>
      <c r="C30" t="s">
        <v>90</v>
      </c>
      <c r="D30" t="s">
        <v>59</v>
      </c>
      <c r="E30">
        <v>1</v>
      </c>
      <c r="G30" t="s">
        <v>60</v>
      </c>
      <c r="I30" t="s">
        <v>61</v>
      </c>
      <c r="Z30" t="str">
        <f>IFERROR(MID(AA30,FIND("-",H30,1)+1,20),_xlfn.IFNA(VLOOKUP(F30&amp;"-"&amp;AA30,Ref_Kontak!$A:$E,4,FALSE),Ref_Kontak!$H$2))</f>
        <v>628999007703</v>
      </c>
      <c r="AA30" t="str">
        <f t="shared" si="0"/>
        <v/>
      </c>
      <c r="AB30" t="str">
        <f t="shared" si="1"/>
        <v/>
      </c>
      <c r="AC30" t="str">
        <f t="shared" si="2"/>
        <v>628999007703</v>
      </c>
      <c r="AD30" t="str">
        <f t="shared" si="4"/>
        <v>Halo+,+Visual+AI+5S+menditeksi+Violation%3A+GUDANGEXP1-LINE+1</v>
      </c>
      <c r="AE30" t="str">
        <f t="shared" si="3"/>
        <v>https://web.whatsapp.com/send/?phone=628999007703&amp;text=Halo+,+Visual+AI+5S+menditeksi+Violation%3A+GUDANGEXP1-LINE+1&amp;type=phone_number&amp;app_absent=0</v>
      </c>
      <c r="AF30" t="b">
        <f>IF(ISNA(VLOOKUP(D30&amp;"-"&amp;AB30, Ref_Kontak!$A:$E, 4, FALSE)), FALSE, TRUE)</f>
        <v>0</v>
      </c>
      <c r="AG30" t="str">
        <f>_xlfn.IFNA(VLOOKUP(Z30,Ref_Kontak!H:H,1,FALSE),"FALSE")</f>
        <v>628999007703</v>
      </c>
      <c r="AH30" t="str">
        <f t="shared" si="5"/>
        <v>GUDANGEXP1-LINE 1</v>
      </c>
      <c r="AI30">
        <f>COUNTIF($AH$1:AH30,AH30)</f>
        <v>29</v>
      </c>
    </row>
    <row r="31" spans="1:35">
      <c r="A31" t="s">
        <v>56</v>
      </c>
      <c r="B31" t="s">
        <v>57</v>
      </c>
      <c r="C31" t="s">
        <v>91</v>
      </c>
      <c r="D31" t="s">
        <v>59</v>
      </c>
      <c r="E31">
        <v>1</v>
      </c>
      <c r="G31" t="s">
        <v>60</v>
      </c>
      <c r="I31" t="s">
        <v>61</v>
      </c>
      <c r="Z31" t="str">
        <f>IFERROR(MID(AA31,FIND("-",H31,1)+1,20),_xlfn.IFNA(VLOOKUP(F31&amp;"-"&amp;AA31,Ref_Kontak!$A:$E,4,FALSE),Ref_Kontak!$H$2))</f>
        <v>628999007703</v>
      </c>
      <c r="AA31" t="str">
        <f t="shared" si="0"/>
        <v/>
      </c>
      <c r="AB31" t="str">
        <f t="shared" si="1"/>
        <v/>
      </c>
      <c r="AC31" t="str">
        <f t="shared" si="2"/>
        <v>628999007703</v>
      </c>
      <c r="AD31" t="str">
        <f t="shared" si="4"/>
        <v>Halo+,+Visual+AI+5S+menditeksi+Violation%3A+GUDANGEXP1-LINE+1</v>
      </c>
      <c r="AE31" t="str">
        <f t="shared" si="3"/>
        <v>https://web.whatsapp.com/send/?phone=628999007703&amp;text=Halo+,+Visual+AI+5S+menditeksi+Violation%3A+GUDANGEXP1-LINE+1&amp;type=phone_number&amp;app_absent=0</v>
      </c>
      <c r="AF31" t="b">
        <f>IF(ISNA(VLOOKUP(D31&amp;"-"&amp;AB31, Ref_Kontak!$A:$E, 4, FALSE)), FALSE, TRUE)</f>
        <v>0</v>
      </c>
      <c r="AG31" t="str">
        <f>_xlfn.IFNA(VLOOKUP(Z31,Ref_Kontak!H:H,1,FALSE),"FALSE")</f>
        <v>628999007703</v>
      </c>
      <c r="AH31" t="str">
        <f t="shared" si="5"/>
        <v>GUDANGEXP1-LINE 1</v>
      </c>
      <c r="AI31">
        <f>COUNTIF($AH$1:AH31,AH31)</f>
        <v>30</v>
      </c>
    </row>
    <row r="32" spans="1:35">
      <c r="A32" t="s">
        <v>56</v>
      </c>
      <c r="B32" t="s">
        <v>57</v>
      </c>
      <c r="C32" t="s">
        <v>92</v>
      </c>
      <c r="D32" t="s">
        <v>59</v>
      </c>
      <c r="E32">
        <v>1</v>
      </c>
      <c r="G32" t="s">
        <v>60</v>
      </c>
      <c r="I32" t="s">
        <v>61</v>
      </c>
      <c r="Z32" t="str">
        <f>IFERROR(MID(AA32,FIND("-",H32,1)+1,20),_xlfn.IFNA(VLOOKUP(F32&amp;"-"&amp;AA32,Ref_Kontak!$A:$E,4,FALSE),Ref_Kontak!$H$2))</f>
        <v>628999007703</v>
      </c>
      <c r="AA32" t="str">
        <f t="shared" si="0"/>
        <v/>
      </c>
      <c r="AB32" t="str">
        <f t="shared" si="1"/>
        <v/>
      </c>
      <c r="AC32" t="str">
        <f t="shared" si="2"/>
        <v>628999007703</v>
      </c>
      <c r="AD32" t="str">
        <f t="shared" si="4"/>
        <v>Halo+,+Visual+AI+5S+menditeksi+Violation%3A+GUDANGEXP1-LINE+1</v>
      </c>
      <c r="AE32" t="str">
        <f t="shared" si="3"/>
        <v>https://web.whatsapp.com/send/?phone=628999007703&amp;text=Halo+,+Visual+AI+5S+menditeksi+Violation%3A+GUDANGEXP1-LINE+1&amp;type=phone_number&amp;app_absent=0</v>
      </c>
      <c r="AF32" t="b">
        <f>IF(ISNA(VLOOKUP(D32&amp;"-"&amp;AB32, Ref_Kontak!$A:$E, 4, FALSE)), FALSE, TRUE)</f>
        <v>0</v>
      </c>
      <c r="AG32" t="str">
        <f>_xlfn.IFNA(VLOOKUP(Z32,Ref_Kontak!H:H,1,FALSE),"FALSE")</f>
        <v>628999007703</v>
      </c>
      <c r="AH32" t="str">
        <f t="shared" si="5"/>
        <v>GUDANGEXP1-LINE 1</v>
      </c>
      <c r="AI32">
        <f>COUNTIF($AH$1:AH32,AH32)</f>
        <v>31</v>
      </c>
    </row>
    <row r="33" spans="1:35">
      <c r="A33" t="s">
        <v>56</v>
      </c>
      <c r="B33" t="s">
        <v>57</v>
      </c>
      <c r="C33" t="s">
        <v>93</v>
      </c>
      <c r="D33" t="s">
        <v>59</v>
      </c>
      <c r="E33">
        <v>1</v>
      </c>
      <c r="G33" t="s">
        <v>60</v>
      </c>
      <c r="I33" t="s">
        <v>61</v>
      </c>
      <c r="Z33" t="str">
        <f>IFERROR(MID(AA33,FIND("-",H33,1)+1,20),_xlfn.IFNA(VLOOKUP(F33&amp;"-"&amp;AA33,Ref_Kontak!$A:$E,4,FALSE),Ref_Kontak!$H$2))</f>
        <v>628999007703</v>
      </c>
      <c r="AA33" t="str">
        <f t="shared" si="0"/>
        <v/>
      </c>
      <c r="AB33" t="str">
        <f t="shared" si="1"/>
        <v/>
      </c>
      <c r="AC33" t="str">
        <f t="shared" si="2"/>
        <v>628999007703</v>
      </c>
      <c r="AD33" t="str">
        <f t="shared" si="4"/>
        <v>Halo+,+Visual+AI+5S+menditeksi+Violation%3A+GUDANGEXP1-LINE+1</v>
      </c>
      <c r="AE33" t="str">
        <f t="shared" si="3"/>
        <v>https://web.whatsapp.com/send/?phone=628999007703&amp;text=Halo+,+Visual+AI+5S+menditeksi+Violation%3A+GUDANGEXP1-LINE+1&amp;type=phone_number&amp;app_absent=0</v>
      </c>
      <c r="AF33" t="b">
        <f>IF(ISNA(VLOOKUP(D33&amp;"-"&amp;AB33, Ref_Kontak!$A:$E, 4, FALSE)), FALSE, TRUE)</f>
        <v>0</v>
      </c>
      <c r="AG33" t="str">
        <f>_xlfn.IFNA(VLOOKUP(Z33,Ref_Kontak!H:H,1,FALSE),"FALSE")</f>
        <v>628999007703</v>
      </c>
      <c r="AH33" t="str">
        <f t="shared" si="5"/>
        <v>GUDANGEXP1-LINE 1</v>
      </c>
      <c r="AI33">
        <f>COUNTIF($AH$1:AH33,AH33)</f>
        <v>32</v>
      </c>
    </row>
    <row r="34" spans="1:35">
      <c r="A34" t="s">
        <v>56</v>
      </c>
      <c r="B34" t="s">
        <v>57</v>
      </c>
      <c r="C34" t="s">
        <v>94</v>
      </c>
      <c r="D34" t="s">
        <v>59</v>
      </c>
      <c r="E34">
        <v>1</v>
      </c>
      <c r="G34" t="s">
        <v>60</v>
      </c>
      <c r="I34" t="s">
        <v>61</v>
      </c>
      <c r="Z34" t="str">
        <f>IFERROR(MID(AA34,FIND("-",H34,1)+1,20),_xlfn.IFNA(VLOOKUP(F34&amp;"-"&amp;AA34,Ref_Kontak!$A:$E,4,FALSE),Ref_Kontak!$H$2))</f>
        <v>628999007703</v>
      </c>
      <c r="AA34" t="str">
        <f t="shared" si="0"/>
        <v/>
      </c>
      <c r="AB34" t="str">
        <f t="shared" si="1"/>
        <v/>
      </c>
      <c r="AC34" t="str">
        <f t="shared" si="2"/>
        <v>628999007703</v>
      </c>
      <c r="AD34" t="str">
        <f t="shared" si="4"/>
        <v>Halo+,+Visual+AI+5S+menditeksi+Violation%3A+GUDANGEXP1-LINE+1</v>
      </c>
      <c r="AE34" t="str">
        <f t="shared" si="3"/>
        <v>https://web.whatsapp.com/send/?phone=628999007703&amp;text=Halo+,+Visual+AI+5S+menditeksi+Violation%3A+GUDANGEXP1-LINE+1&amp;type=phone_number&amp;app_absent=0</v>
      </c>
      <c r="AF34" t="b">
        <f>IF(ISNA(VLOOKUP(D34&amp;"-"&amp;AB34, Ref_Kontak!$A:$E, 4, FALSE)), FALSE, TRUE)</f>
        <v>0</v>
      </c>
      <c r="AG34" t="str">
        <f>_xlfn.IFNA(VLOOKUP(Z34,Ref_Kontak!H:H,1,FALSE),"FALSE")</f>
        <v>628999007703</v>
      </c>
      <c r="AH34" t="str">
        <f t="shared" si="5"/>
        <v>GUDANGEXP1-LINE 1</v>
      </c>
      <c r="AI34">
        <f>COUNTIF($AH$1:AH34,AH34)</f>
        <v>33</v>
      </c>
    </row>
    <row r="35" spans="1:35">
      <c r="A35" t="s">
        <v>56</v>
      </c>
      <c r="B35" t="s">
        <v>57</v>
      </c>
      <c r="C35" t="s">
        <v>95</v>
      </c>
      <c r="D35" t="s">
        <v>59</v>
      </c>
      <c r="E35">
        <v>1</v>
      </c>
      <c r="G35" t="s">
        <v>60</v>
      </c>
      <c r="I35" t="s">
        <v>61</v>
      </c>
      <c r="Z35" t="str">
        <f>IFERROR(MID(AA35,FIND("-",H35,1)+1,20),_xlfn.IFNA(VLOOKUP(F35&amp;"-"&amp;AA35,Ref_Kontak!$A:$E,4,FALSE),Ref_Kontak!$H$2))</f>
        <v>628999007703</v>
      </c>
      <c r="AA35" t="str">
        <f t="shared" si="0"/>
        <v/>
      </c>
      <c r="AB35" t="str">
        <f t="shared" si="1"/>
        <v/>
      </c>
      <c r="AC35" t="str">
        <f t="shared" si="2"/>
        <v>628999007703</v>
      </c>
      <c r="AD35" t="str">
        <f t="shared" si="4"/>
        <v>Halo+,+Visual+AI+5S+menditeksi+Violation%3A+GUDANGEXP1-LINE+1</v>
      </c>
      <c r="AE35" t="str">
        <f t="shared" si="3"/>
        <v>https://web.whatsapp.com/send/?phone=628999007703&amp;text=Halo+,+Visual+AI+5S+menditeksi+Violation%3A+GUDANGEXP1-LINE+1&amp;type=phone_number&amp;app_absent=0</v>
      </c>
      <c r="AF35" t="b">
        <f>IF(ISNA(VLOOKUP(D35&amp;"-"&amp;AB35, Ref_Kontak!$A:$E, 4, FALSE)), FALSE, TRUE)</f>
        <v>0</v>
      </c>
      <c r="AG35" t="str">
        <f>_xlfn.IFNA(VLOOKUP(Z35,Ref_Kontak!H:H,1,FALSE),"FALSE")</f>
        <v>628999007703</v>
      </c>
      <c r="AH35" t="str">
        <f t="shared" si="5"/>
        <v>GUDANGEXP1-LINE 1</v>
      </c>
      <c r="AI35">
        <f>COUNTIF($AH$1:AH35,AH35)</f>
        <v>34</v>
      </c>
    </row>
    <row r="36" spans="1:35">
      <c r="A36" t="s">
        <v>56</v>
      </c>
      <c r="B36" t="s">
        <v>57</v>
      </c>
      <c r="C36" t="s">
        <v>96</v>
      </c>
      <c r="D36" t="s">
        <v>59</v>
      </c>
      <c r="E36">
        <v>1</v>
      </c>
      <c r="G36" t="s">
        <v>60</v>
      </c>
      <c r="I36" t="s">
        <v>61</v>
      </c>
      <c r="Z36" t="str">
        <f>IFERROR(MID(AA36,FIND("-",H36,1)+1,20),_xlfn.IFNA(VLOOKUP(F36&amp;"-"&amp;AA36,Ref_Kontak!$A:$E,4,FALSE),Ref_Kontak!$H$2))</f>
        <v>628999007703</v>
      </c>
      <c r="AA36" t="str">
        <f t="shared" si="0"/>
        <v/>
      </c>
      <c r="AB36" t="str">
        <f t="shared" si="1"/>
        <v/>
      </c>
      <c r="AC36" t="str">
        <f t="shared" si="2"/>
        <v>628999007703</v>
      </c>
      <c r="AD36" t="str">
        <f t="shared" si="4"/>
        <v>Halo+,+Visual+AI+5S+menditeksi+Violation%3A+GUDANGEXP1-LINE+1</v>
      </c>
      <c r="AE36" t="str">
        <f t="shared" si="3"/>
        <v>https://web.whatsapp.com/send/?phone=628999007703&amp;text=Halo+,+Visual+AI+5S+menditeksi+Violation%3A+GUDANGEXP1-LINE+1&amp;type=phone_number&amp;app_absent=0</v>
      </c>
      <c r="AF36" t="b">
        <f>IF(ISNA(VLOOKUP(D36&amp;"-"&amp;AB36, Ref_Kontak!$A:$E, 4, FALSE)), FALSE, TRUE)</f>
        <v>0</v>
      </c>
      <c r="AG36" t="str">
        <f>_xlfn.IFNA(VLOOKUP(Z36,Ref_Kontak!H:H,1,FALSE),"FALSE")</f>
        <v>628999007703</v>
      </c>
      <c r="AH36" t="str">
        <f t="shared" si="5"/>
        <v>GUDANGEXP1-LINE 1</v>
      </c>
      <c r="AI36">
        <f>COUNTIF($AH$1:AH36,AH36)</f>
        <v>35</v>
      </c>
    </row>
    <row r="37" spans="1:35">
      <c r="A37" t="s">
        <v>56</v>
      </c>
      <c r="B37" t="s">
        <v>57</v>
      </c>
      <c r="C37" t="s">
        <v>97</v>
      </c>
      <c r="D37" t="s">
        <v>59</v>
      </c>
      <c r="E37">
        <v>1</v>
      </c>
      <c r="G37" t="s">
        <v>60</v>
      </c>
      <c r="I37" t="s">
        <v>61</v>
      </c>
      <c r="Z37" t="str">
        <f>IFERROR(MID(AA37,FIND("-",H37,1)+1,20),_xlfn.IFNA(VLOOKUP(F37&amp;"-"&amp;AA37,Ref_Kontak!$A:$E,4,FALSE),Ref_Kontak!$H$2))</f>
        <v>628999007703</v>
      </c>
      <c r="AA37" t="str">
        <f t="shared" si="0"/>
        <v/>
      </c>
      <c r="AB37" t="str">
        <f t="shared" si="1"/>
        <v/>
      </c>
      <c r="AC37" t="str">
        <f t="shared" si="2"/>
        <v>628999007703</v>
      </c>
      <c r="AD37" t="str">
        <f t="shared" si="4"/>
        <v>Halo+,+Visual+AI+5S+menditeksi+Violation%3A+GUDANGEXP1-LINE+1</v>
      </c>
      <c r="AE37" t="str">
        <f t="shared" si="3"/>
        <v>https://web.whatsapp.com/send/?phone=628999007703&amp;text=Halo+,+Visual+AI+5S+menditeksi+Violation%3A+GUDANGEXP1-LINE+1&amp;type=phone_number&amp;app_absent=0</v>
      </c>
      <c r="AF37" t="b">
        <f>IF(ISNA(VLOOKUP(D37&amp;"-"&amp;AB37, Ref_Kontak!$A:$E, 4, FALSE)), FALSE, TRUE)</f>
        <v>0</v>
      </c>
      <c r="AG37" t="str">
        <f>_xlfn.IFNA(VLOOKUP(Z37,Ref_Kontak!H:H,1,FALSE),"FALSE")</f>
        <v>628999007703</v>
      </c>
      <c r="AH37" t="str">
        <f t="shared" si="5"/>
        <v>GUDANGEXP1-LINE 1</v>
      </c>
      <c r="AI37">
        <f>COUNTIF($AH$1:AH37,AH37)</f>
        <v>36</v>
      </c>
    </row>
    <row r="38" spans="1:35">
      <c r="A38" t="s">
        <v>56</v>
      </c>
      <c r="B38" t="s">
        <v>57</v>
      </c>
      <c r="C38" t="s">
        <v>98</v>
      </c>
      <c r="D38" t="s">
        <v>59</v>
      </c>
      <c r="E38">
        <v>1</v>
      </c>
      <c r="G38" t="s">
        <v>60</v>
      </c>
      <c r="I38" t="s">
        <v>61</v>
      </c>
      <c r="Z38" t="str">
        <f>IFERROR(MID(AA38,FIND("-",H38,1)+1,20),_xlfn.IFNA(VLOOKUP(F38&amp;"-"&amp;AA38,Ref_Kontak!$A:$E,4,FALSE),Ref_Kontak!$H$2))</f>
        <v>628999007703</v>
      </c>
      <c r="AA38" t="str">
        <f t="shared" si="0"/>
        <v/>
      </c>
      <c r="AB38" t="str">
        <f t="shared" si="1"/>
        <v/>
      </c>
      <c r="AC38" t="str">
        <f t="shared" si="2"/>
        <v>628999007703</v>
      </c>
      <c r="AD38" t="str">
        <f t="shared" si="4"/>
        <v>Halo+,+Visual+AI+5S+menditeksi+Violation%3A+GUDANGEXP1-LINE+1</v>
      </c>
      <c r="AE38" t="str">
        <f t="shared" si="3"/>
        <v>https://web.whatsapp.com/send/?phone=628999007703&amp;text=Halo+,+Visual+AI+5S+menditeksi+Violation%3A+GUDANGEXP1-LINE+1&amp;type=phone_number&amp;app_absent=0</v>
      </c>
      <c r="AF38" t="b">
        <f>IF(ISNA(VLOOKUP(D38&amp;"-"&amp;AB38, Ref_Kontak!$A:$E, 4, FALSE)), FALSE, TRUE)</f>
        <v>0</v>
      </c>
      <c r="AG38" t="str">
        <f>_xlfn.IFNA(VLOOKUP(Z38,Ref_Kontak!H:H,1,FALSE),"FALSE")</f>
        <v>628999007703</v>
      </c>
      <c r="AH38" t="str">
        <f t="shared" si="5"/>
        <v>GUDANGEXP1-LINE 1</v>
      </c>
      <c r="AI38">
        <f>COUNTIF($AH$1:AH38,AH38)</f>
        <v>37</v>
      </c>
    </row>
    <row r="39" spans="1:35">
      <c r="A39" t="s">
        <v>56</v>
      </c>
      <c r="B39" t="s">
        <v>57</v>
      </c>
      <c r="C39" t="s">
        <v>99</v>
      </c>
      <c r="D39" t="s">
        <v>59</v>
      </c>
      <c r="E39">
        <v>1</v>
      </c>
      <c r="G39" t="s">
        <v>60</v>
      </c>
      <c r="I39" t="s">
        <v>61</v>
      </c>
      <c r="Z39" t="str">
        <f>IFERROR(MID(AA39,FIND("-",H39,1)+1,20),_xlfn.IFNA(VLOOKUP(F39&amp;"-"&amp;AA39,Ref_Kontak!$A:$E,4,FALSE),Ref_Kontak!$H$2))</f>
        <v>628999007703</v>
      </c>
      <c r="AA39" t="str">
        <f t="shared" si="0"/>
        <v/>
      </c>
      <c r="AB39" t="str">
        <f t="shared" si="1"/>
        <v/>
      </c>
      <c r="AC39" t="str">
        <f t="shared" si="2"/>
        <v>628999007703</v>
      </c>
      <c r="AD39" t="str">
        <f t="shared" si="4"/>
        <v>Halo+,+Visual+AI+5S+menditeksi+Violation%3A+GUDANGEXP1-LINE+1</v>
      </c>
      <c r="AE39" t="str">
        <f t="shared" si="3"/>
        <v>https://web.whatsapp.com/send/?phone=628999007703&amp;text=Halo+,+Visual+AI+5S+menditeksi+Violation%3A+GUDANGEXP1-LINE+1&amp;type=phone_number&amp;app_absent=0</v>
      </c>
      <c r="AF39" t="b">
        <f>IF(ISNA(VLOOKUP(D39&amp;"-"&amp;AB39, Ref_Kontak!$A:$E, 4, FALSE)), FALSE, TRUE)</f>
        <v>0</v>
      </c>
      <c r="AG39" t="str">
        <f>_xlfn.IFNA(VLOOKUP(Z39,Ref_Kontak!H:H,1,FALSE),"FALSE")</f>
        <v>628999007703</v>
      </c>
      <c r="AH39" t="str">
        <f t="shared" si="5"/>
        <v>GUDANGEXP1-LINE 1</v>
      </c>
      <c r="AI39">
        <f>COUNTIF($AH$1:AH39,AH39)</f>
        <v>38</v>
      </c>
    </row>
    <row r="40" spans="1:35">
      <c r="A40" t="s">
        <v>56</v>
      </c>
      <c r="B40" t="s">
        <v>57</v>
      </c>
      <c r="C40" t="s">
        <v>100</v>
      </c>
      <c r="D40" t="s">
        <v>59</v>
      </c>
      <c r="E40">
        <v>1</v>
      </c>
      <c r="G40" t="s">
        <v>60</v>
      </c>
      <c r="I40" t="s">
        <v>61</v>
      </c>
      <c r="Z40" t="str">
        <f>IFERROR(MID(AA40,FIND("-",H40,1)+1,20),_xlfn.IFNA(VLOOKUP(F40&amp;"-"&amp;AA40,Ref_Kontak!$A:$E,4,FALSE),Ref_Kontak!$H$2))</f>
        <v>628999007703</v>
      </c>
      <c r="AA40" t="str">
        <f t="shared" si="0"/>
        <v/>
      </c>
      <c r="AB40" t="str">
        <f t="shared" si="1"/>
        <v/>
      </c>
      <c r="AC40" t="str">
        <f t="shared" si="2"/>
        <v>628999007703</v>
      </c>
      <c r="AD40" t="str">
        <f t="shared" si="4"/>
        <v>Halo+,+Visual+AI+5S+menditeksi+Violation%3A+GUDANGEXP1-LINE+1</v>
      </c>
      <c r="AE40" t="str">
        <f t="shared" si="3"/>
        <v>https://web.whatsapp.com/send/?phone=628999007703&amp;text=Halo+,+Visual+AI+5S+menditeksi+Violation%3A+GUDANGEXP1-LINE+1&amp;type=phone_number&amp;app_absent=0</v>
      </c>
      <c r="AF40" t="b">
        <f>IF(ISNA(VLOOKUP(D40&amp;"-"&amp;AB40, Ref_Kontak!$A:$E, 4, FALSE)), FALSE, TRUE)</f>
        <v>0</v>
      </c>
      <c r="AG40" t="str">
        <f>_xlfn.IFNA(VLOOKUP(Z40,Ref_Kontak!H:H,1,FALSE),"FALSE")</f>
        <v>628999007703</v>
      </c>
      <c r="AH40" t="str">
        <f t="shared" si="5"/>
        <v>GUDANGEXP1-LINE 1</v>
      </c>
      <c r="AI40">
        <f>COUNTIF($AH$1:AH40,AH40)</f>
        <v>39</v>
      </c>
    </row>
    <row r="41" spans="1:35">
      <c r="A41" t="s">
        <v>56</v>
      </c>
      <c r="B41" t="s">
        <v>57</v>
      </c>
      <c r="C41" t="s">
        <v>101</v>
      </c>
      <c r="D41" t="s">
        <v>59</v>
      </c>
      <c r="E41">
        <v>1</v>
      </c>
      <c r="G41" t="s">
        <v>60</v>
      </c>
      <c r="I41" t="s">
        <v>61</v>
      </c>
      <c r="Z41" t="str">
        <f>IFERROR(MID(AA41,FIND("-",H41,1)+1,20),_xlfn.IFNA(VLOOKUP(F41&amp;"-"&amp;AA41,Ref_Kontak!$A:$E,4,FALSE),Ref_Kontak!$H$2))</f>
        <v>628999007703</v>
      </c>
      <c r="AA41" t="str">
        <f t="shared" si="0"/>
        <v/>
      </c>
      <c r="AB41" t="str">
        <f t="shared" si="1"/>
        <v/>
      </c>
      <c r="AC41" t="str">
        <f t="shared" si="2"/>
        <v>628999007703</v>
      </c>
      <c r="AD41" t="str">
        <f t="shared" si="4"/>
        <v>Halo+,+Visual+AI+5S+menditeksi+Violation%3A+GUDANGEXP1-LINE+1</v>
      </c>
      <c r="AE41" t="str">
        <f t="shared" si="3"/>
        <v>https://web.whatsapp.com/send/?phone=628999007703&amp;text=Halo+,+Visual+AI+5S+menditeksi+Violation%3A+GUDANGEXP1-LINE+1&amp;type=phone_number&amp;app_absent=0</v>
      </c>
      <c r="AF41" t="b">
        <f>IF(ISNA(VLOOKUP(D41&amp;"-"&amp;AB41, Ref_Kontak!$A:$E, 4, FALSE)), FALSE, TRUE)</f>
        <v>0</v>
      </c>
      <c r="AG41" t="str">
        <f>_xlfn.IFNA(VLOOKUP(Z41,Ref_Kontak!H:H,1,FALSE),"FALSE")</f>
        <v>628999007703</v>
      </c>
      <c r="AH41" t="str">
        <f t="shared" si="5"/>
        <v>GUDANGEXP1-LINE 1</v>
      </c>
      <c r="AI41">
        <f>COUNTIF($AH$1:AH41,AH41)</f>
        <v>40</v>
      </c>
    </row>
    <row r="42" spans="1:35">
      <c r="A42" t="s">
        <v>56</v>
      </c>
      <c r="B42" t="s">
        <v>57</v>
      </c>
      <c r="C42" t="s">
        <v>102</v>
      </c>
      <c r="D42" t="s">
        <v>59</v>
      </c>
      <c r="E42">
        <v>1</v>
      </c>
      <c r="G42" t="s">
        <v>60</v>
      </c>
      <c r="I42" t="s">
        <v>61</v>
      </c>
      <c r="Z42" t="str">
        <f>IFERROR(MID(AA42,FIND("-",H42,1)+1,20),_xlfn.IFNA(VLOOKUP(F42&amp;"-"&amp;AA42,Ref_Kontak!$A:$E,4,FALSE),Ref_Kontak!$H$2))</f>
        <v>628999007703</v>
      </c>
      <c r="AA42" t="str">
        <f t="shared" si="0"/>
        <v/>
      </c>
      <c r="AB42" t="str">
        <f t="shared" si="1"/>
        <v/>
      </c>
      <c r="AC42" t="str">
        <f t="shared" si="2"/>
        <v>628999007703</v>
      </c>
      <c r="AD42" t="str">
        <f t="shared" si="4"/>
        <v>Halo+,+Visual+AI+5S+menditeksi+Violation%3A+GUDANGEXP1-LINE+1</v>
      </c>
      <c r="AE42" t="str">
        <f t="shared" si="3"/>
        <v>https://web.whatsapp.com/send/?phone=628999007703&amp;text=Halo+,+Visual+AI+5S+menditeksi+Violation%3A+GUDANGEXP1-LINE+1&amp;type=phone_number&amp;app_absent=0</v>
      </c>
      <c r="AF42" t="b">
        <f>IF(ISNA(VLOOKUP(D42&amp;"-"&amp;AB42, Ref_Kontak!$A:$E, 4, FALSE)), FALSE, TRUE)</f>
        <v>0</v>
      </c>
      <c r="AG42" t="str">
        <f>_xlfn.IFNA(VLOOKUP(Z42,Ref_Kontak!H:H,1,FALSE),"FALSE")</f>
        <v>628999007703</v>
      </c>
      <c r="AH42" t="str">
        <f t="shared" si="5"/>
        <v>GUDANGEXP1-LINE 1</v>
      </c>
      <c r="AI42">
        <f>COUNTIF($AH$1:AH42,AH42)</f>
        <v>41</v>
      </c>
    </row>
    <row r="43" spans="1:35">
      <c r="A43" t="s">
        <v>56</v>
      </c>
      <c r="B43" t="s">
        <v>57</v>
      </c>
      <c r="C43" t="s">
        <v>103</v>
      </c>
      <c r="D43" t="s">
        <v>59</v>
      </c>
      <c r="E43">
        <v>1</v>
      </c>
      <c r="G43" t="s">
        <v>60</v>
      </c>
      <c r="I43" t="s">
        <v>61</v>
      </c>
      <c r="Z43" t="str">
        <f>IFERROR(MID(AA43,FIND("-",H43,1)+1,20),_xlfn.IFNA(VLOOKUP(F43&amp;"-"&amp;AA43,Ref_Kontak!$A:$E,4,FALSE),Ref_Kontak!$H$2))</f>
        <v>628999007703</v>
      </c>
      <c r="AA43" t="str">
        <f t="shared" si="0"/>
        <v/>
      </c>
      <c r="AB43" t="str">
        <f t="shared" si="1"/>
        <v/>
      </c>
      <c r="AC43" t="str">
        <f t="shared" si="2"/>
        <v>628999007703</v>
      </c>
      <c r="AD43" t="str">
        <f t="shared" si="4"/>
        <v>Halo+,+Visual+AI+5S+menditeksi+Violation%3A+GUDANGEXP1-LINE+1</v>
      </c>
      <c r="AE43" t="str">
        <f t="shared" si="3"/>
        <v>https://web.whatsapp.com/send/?phone=628999007703&amp;text=Halo+,+Visual+AI+5S+menditeksi+Violation%3A+GUDANGEXP1-LINE+1&amp;type=phone_number&amp;app_absent=0</v>
      </c>
      <c r="AF43" t="b">
        <f>IF(ISNA(VLOOKUP(D43&amp;"-"&amp;AB43, Ref_Kontak!$A:$E, 4, FALSE)), FALSE, TRUE)</f>
        <v>0</v>
      </c>
      <c r="AG43" t="str">
        <f>_xlfn.IFNA(VLOOKUP(Z43,Ref_Kontak!H:H,1,FALSE),"FALSE")</f>
        <v>628999007703</v>
      </c>
      <c r="AH43" t="str">
        <f t="shared" si="5"/>
        <v>GUDANGEXP1-LINE 1</v>
      </c>
      <c r="AI43">
        <f>COUNTIF($AH$1:AH43,AH43)</f>
        <v>42</v>
      </c>
    </row>
    <row r="44" spans="1:35">
      <c r="A44" t="s">
        <v>56</v>
      </c>
      <c r="B44" t="s">
        <v>57</v>
      </c>
      <c r="C44" t="s">
        <v>104</v>
      </c>
      <c r="D44" t="s">
        <v>59</v>
      </c>
      <c r="E44">
        <v>1</v>
      </c>
      <c r="G44" t="s">
        <v>60</v>
      </c>
      <c r="I44" t="s">
        <v>61</v>
      </c>
      <c r="Z44" t="str">
        <f>IFERROR(MID(AA44,FIND("-",H44,1)+1,20),_xlfn.IFNA(VLOOKUP(F44&amp;"-"&amp;AA44,Ref_Kontak!$A:$E,4,FALSE),Ref_Kontak!$H$2))</f>
        <v>628999007703</v>
      </c>
      <c r="AA44" t="str">
        <f t="shared" si="0"/>
        <v/>
      </c>
      <c r="AB44" t="str">
        <f t="shared" si="1"/>
        <v/>
      </c>
      <c r="AC44" t="str">
        <f t="shared" si="2"/>
        <v>628999007703</v>
      </c>
      <c r="AD44" t="str">
        <f t="shared" si="4"/>
        <v>Halo+,+Visual+AI+5S+menditeksi+Violation%3A+GUDANGEXP1-LINE+1</v>
      </c>
      <c r="AE44" t="str">
        <f t="shared" si="3"/>
        <v>https://web.whatsapp.com/send/?phone=628999007703&amp;text=Halo+,+Visual+AI+5S+menditeksi+Violation%3A+GUDANGEXP1-LINE+1&amp;type=phone_number&amp;app_absent=0</v>
      </c>
      <c r="AF44" t="b">
        <f>IF(ISNA(VLOOKUP(D44&amp;"-"&amp;AB44, Ref_Kontak!$A:$E, 4, FALSE)), FALSE, TRUE)</f>
        <v>0</v>
      </c>
      <c r="AG44" t="str">
        <f>_xlfn.IFNA(VLOOKUP(Z44,Ref_Kontak!H:H,1,FALSE),"FALSE")</f>
        <v>628999007703</v>
      </c>
      <c r="AH44" t="str">
        <f t="shared" si="5"/>
        <v>GUDANGEXP1-LINE 1</v>
      </c>
      <c r="AI44">
        <f>COUNTIF($AH$1:AH44,AH44)</f>
        <v>43</v>
      </c>
    </row>
    <row r="45" spans="1:35">
      <c r="A45" t="s">
        <v>56</v>
      </c>
      <c r="B45" t="s">
        <v>57</v>
      </c>
      <c r="C45" t="s">
        <v>105</v>
      </c>
      <c r="D45" t="s">
        <v>59</v>
      </c>
      <c r="E45">
        <v>1</v>
      </c>
      <c r="G45" t="s">
        <v>60</v>
      </c>
      <c r="I45" t="s">
        <v>61</v>
      </c>
      <c r="Z45" t="str">
        <f>IFERROR(MID(AA45,FIND("-",H45,1)+1,20),_xlfn.IFNA(VLOOKUP(F45&amp;"-"&amp;AA45,Ref_Kontak!$A:$E,4,FALSE),Ref_Kontak!$H$2))</f>
        <v>628999007703</v>
      </c>
      <c r="AA45" t="str">
        <f t="shared" si="0"/>
        <v/>
      </c>
      <c r="AB45" t="str">
        <f t="shared" si="1"/>
        <v/>
      </c>
      <c r="AC45" t="str">
        <f t="shared" si="2"/>
        <v>628999007703</v>
      </c>
      <c r="AD45" t="str">
        <f t="shared" si="4"/>
        <v>Halo+,+Visual+AI+5S+menditeksi+Violation%3A+GUDANGEXP1-LINE+1</v>
      </c>
      <c r="AE45" t="str">
        <f t="shared" si="3"/>
        <v>https://web.whatsapp.com/send/?phone=628999007703&amp;text=Halo+,+Visual+AI+5S+menditeksi+Violation%3A+GUDANGEXP1-LINE+1&amp;type=phone_number&amp;app_absent=0</v>
      </c>
      <c r="AF45" t="b">
        <f>IF(ISNA(VLOOKUP(D45&amp;"-"&amp;AB45, Ref_Kontak!$A:$E, 4, FALSE)), FALSE, TRUE)</f>
        <v>0</v>
      </c>
      <c r="AG45" t="str">
        <f>_xlfn.IFNA(VLOOKUP(Z45,Ref_Kontak!H:H,1,FALSE),"FALSE")</f>
        <v>628999007703</v>
      </c>
      <c r="AH45" t="str">
        <f t="shared" si="5"/>
        <v>GUDANGEXP1-LINE 1</v>
      </c>
      <c r="AI45">
        <f>COUNTIF($AH$1:AH45,AH45)</f>
        <v>44</v>
      </c>
    </row>
    <row r="46" spans="1:35">
      <c r="A46" t="s">
        <v>56</v>
      </c>
      <c r="B46" t="s">
        <v>57</v>
      </c>
      <c r="C46" t="s">
        <v>106</v>
      </c>
      <c r="D46" t="s">
        <v>59</v>
      </c>
      <c r="E46">
        <v>1</v>
      </c>
      <c r="G46" t="s">
        <v>60</v>
      </c>
      <c r="I46" t="s">
        <v>61</v>
      </c>
      <c r="Z46" t="str">
        <f>IFERROR(MID(AA46,FIND("-",H46,1)+1,20),_xlfn.IFNA(VLOOKUP(F46&amp;"-"&amp;AA46,Ref_Kontak!$A:$E,4,FALSE),Ref_Kontak!$H$2))</f>
        <v>628999007703</v>
      </c>
      <c r="AA46" t="str">
        <f t="shared" si="0"/>
        <v/>
      </c>
      <c r="AB46" t="str">
        <f t="shared" si="1"/>
        <v/>
      </c>
      <c r="AC46" t="str">
        <f t="shared" si="2"/>
        <v>628999007703</v>
      </c>
      <c r="AD46" t="str">
        <f t="shared" si="4"/>
        <v>Halo+,+Visual+AI+5S+menditeksi+Violation%3A+GUDANGEXP1-LINE+1</v>
      </c>
      <c r="AE46" t="str">
        <f t="shared" si="3"/>
        <v>https://web.whatsapp.com/send/?phone=628999007703&amp;text=Halo+,+Visual+AI+5S+menditeksi+Violation%3A+GUDANGEXP1-LINE+1&amp;type=phone_number&amp;app_absent=0</v>
      </c>
      <c r="AF46" t="b">
        <f>IF(ISNA(VLOOKUP(D46&amp;"-"&amp;AB46, Ref_Kontak!$A:$E, 4, FALSE)), FALSE, TRUE)</f>
        <v>0</v>
      </c>
      <c r="AG46" t="str">
        <f>_xlfn.IFNA(VLOOKUP(Z46,Ref_Kontak!H:H,1,FALSE),"FALSE")</f>
        <v>628999007703</v>
      </c>
      <c r="AH46" t="str">
        <f t="shared" si="5"/>
        <v>GUDANGEXP1-LINE 1</v>
      </c>
      <c r="AI46">
        <f>COUNTIF($AH$1:AH46,AH46)</f>
        <v>45</v>
      </c>
    </row>
    <row r="47" spans="1:35">
      <c r="A47" t="s">
        <v>56</v>
      </c>
      <c r="B47" t="s">
        <v>57</v>
      </c>
      <c r="C47" t="s">
        <v>107</v>
      </c>
      <c r="D47" t="s">
        <v>59</v>
      </c>
      <c r="E47">
        <v>1</v>
      </c>
      <c r="G47" t="s">
        <v>60</v>
      </c>
      <c r="I47" t="s">
        <v>61</v>
      </c>
      <c r="Z47" t="str">
        <f>IFERROR(MID(AA47,FIND("-",H47,1)+1,20),_xlfn.IFNA(VLOOKUP(F47&amp;"-"&amp;AA47,Ref_Kontak!$A:$E,4,FALSE),Ref_Kontak!$H$2))</f>
        <v>628999007703</v>
      </c>
      <c r="AA47" t="str">
        <f t="shared" si="0"/>
        <v/>
      </c>
      <c r="AB47" t="str">
        <f t="shared" si="1"/>
        <v/>
      </c>
      <c r="AC47" t="str">
        <f t="shared" si="2"/>
        <v>628999007703</v>
      </c>
      <c r="AD47" t="str">
        <f t="shared" si="4"/>
        <v>Halo+,+Visual+AI+5S+menditeksi+Violation%3A+GUDANGEXP1-LINE+1</v>
      </c>
      <c r="AE47" t="str">
        <f t="shared" si="3"/>
        <v>https://web.whatsapp.com/send/?phone=628999007703&amp;text=Halo+,+Visual+AI+5S+menditeksi+Violation%3A+GUDANGEXP1-LINE+1&amp;type=phone_number&amp;app_absent=0</v>
      </c>
      <c r="AF47" t="b">
        <f>IF(ISNA(VLOOKUP(D47&amp;"-"&amp;AB47, Ref_Kontak!$A:$E, 4, FALSE)), FALSE, TRUE)</f>
        <v>0</v>
      </c>
      <c r="AG47" t="str">
        <f>_xlfn.IFNA(VLOOKUP(Z47,Ref_Kontak!H:H,1,FALSE),"FALSE")</f>
        <v>628999007703</v>
      </c>
      <c r="AH47" t="str">
        <f t="shared" si="5"/>
        <v>GUDANGEXP1-LINE 1</v>
      </c>
      <c r="AI47">
        <f>COUNTIF($AH$1:AH47,AH47)</f>
        <v>46</v>
      </c>
    </row>
    <row r="48" spans="1:35">
      <c r="A48" t="s">
        <v>56</v>
      </c>
      <c r="B48" t="s">
        <v>57</v>
      </c>
      <c r="C48" t="s">
        <v>108</v>
      </c>
      <c r="D48" t="s">
        <v>59</v>
      </c>
      <c r="E48">
        <v>1</v>
      </c>
      <c r="G48" t="s">
        <v>60</v>
      </c>
      <c r="I48" t="s">
        <v>61</v>
      </c>
      <c r="Z48" t="str">
        <f>IFERROR(MID(AA48,FIND("-",H48,1)+1,20),_xlfn.IFNA(VLOOKUP(F48&amp;"-"&amp;AA48,Ref_Kontak!$A:$E,4,FALSE),Ref_Kontak!$H$2))</f>
        <v>628999007703</v>
      </c>
      <c r="AA48" t="str">
        <f t="shared" si="0"/>
        <v/>
      </c>
      <c r="AB48" t="str">
        <f t="shared" si="1"/>
        <v/>
      </c>
      <c r="AC48" t="str">
        <f t="shared" si="2"/>
        <v>628999007703</v>
      </c>
      <c r="AD48" t="str">
        <f t="shared" si="4"/>
        <v>Halo+,+Visual+AI+5S+menditeksi+Violation%3A+GUDANGEXP1-LINE+1</v>
      </c>
      <c r="AE48" t="str">
        <f t="shared" si="3"/>
        <v>https://web.whatsapp.com/send/?phone=628999007703&amp;text=Halo+,+Visual+AI+5S+menditeksi+Violation%3A+GUDANGEXP1-LINE+1&amp;type=phone_number&amp;app_absent=0</v>
      </c>
      <c r="AF48" t="b">
        <f>IF(ISNA(VLOOKUP(D48&amp;"-"&amp;AB48, Ref_Kontak!$A:$E, 4, FALSE)), FALSE, TRUE)</f>
        <v>0</v>
      </c>
      <c r="AG48" t="str">
        <f>_xlfn.IFNA(VLOOKUP(Z48,Ref_Kontak!H:H,1,FALSE),"FALSE")</f>
        <v>628999007703</v>
      </c>
      <c r="AH48" t="str">
        <f t="shared" si="5"/>
        <v>GUDANGEXP1-LINE 1</v>
      </c>
      <c r="AI48">
        <f>COUNTIF($AH$1:AH48,AH48)</f>
        <v>47</v>
      </c>
    </row>
    <row r="49" spans="1:35">
      <c r="A49" t="s">
        <v>56</v>
      </c>
      <c r="B49" t="s">
        <v>57</v>
      </c>
      <c r="C49" t="s">
        <v>109</v>
      </c>
      <c r="D49" t="s">
        <v>59</v>
      </c>
      <c r="E49">
        <v>1</v>
      </c>
      <c r="G49" t="s">
        <v>60</v>
      </c>
      <c r="I49" t="s">
        <v>61</v>
      </c>
      <c r="Z49" t="str">
        <f>IFERROR(MID(AA49,FIND("-",H49,1)+1,20),_xlfn.IFNA(VLOOKUP(F49&amp;"-"&amp;AA49,Ref_Kontak!$A:$E,4,FALSE),Ref_Kontak!$H$2))</f>
        <v>628999007703</v>
      </c>
      <c r="AA49" t="str">
        <f t="shared" si="0"/>
        <v/>
      </c>
      <c r="AB49" t="str">
        <f t="shared" si="1"/>
        <v/>
      </c>
      <c r="AC49" t="str">
        <f t="shared" si="2"/>
        <v>628999007703</v>
      </c>
      <c r="AD49" t="str">
        <f t="shared" si="4"/>
        <v>Halo+,+Visual+AI+5S+menditeksi+Violation%3A+GUDANGEXP1-LINE+1</v>
      </c>
      <c r="AE49" t="str">
        <f t="shared" si="3"/>
        <v>https://web.whatsapp.com/send/?phone=628999007703&amp;text=Halo+,+Visual+AI+5S+menditeksi+Violation%3A+GUDANGEXP1-LINE+1&amp;type=phone_number&amp;app_absent=0</v>
      </c>
      <c r="AF49" t="b">
        <f>IF(ISNA(VLOOKUP(D49&amp;"-"&amp;AB49, Ref_Kontak!$A:$E, 4, FALSE)), FALSE, TRUE)</f>
        <v>0</v>
      </c>
      <c r="AG49" t="str">
        <f>_xlfn.IFNA(VLOOKUP(Z49,Ref_Kontak!H:H,1,FALSE),"FALSE")</f>
        <v>628999007703</v>
      </c>
      <c r="AH49" t="str">
        <f t="shared" si="5"/>
        <v>GUDANGEXP1-LINE 1</v>
      </c>
      <c r="AI49">
        <f>COUNTIF($AH$1:AH49,AH49)</f>
        <v>48</v>
      </c>
    </row>
    <row r="50" spans="1:35">
      <c r="A50" t="s">
        <v>56</v>
      </c>
      <c r="B50" t="s">
        <v>57</v>
      </c>
      <c r="C50" t="s">
        <v>110</v>
      </c>
      <c r="D50" t="s">
        <v>59</v>
      </c>
      <c r="E50">
        <v>1</v>
      </c>
      <c r="G50" t="s">
        <v>60</v>
      </c>
      <c r="I50" t="s">
        <v>61</v>
      </c>
      <c r="Z50" t="str">
        <f>IFERROR(MID(AA50,FIND("-",H50,1)+1,20),_xlfn.IFNA(VLOOKUP(F50&amp;"-"&amp;AA50,Ref_Kontak!$A:$E,4,FALSE),Ref_Kontak!$H$2))</f>
        <v>628999007703</v>
      </c>
      <c r="AA50" t="str">
        <f t="shared" si="0"/>
        <v/>
      </c>
      <c r="AB50" t="str">
        <f t="shared" si="1"/>
        <v/>
      </c>
      <c r="AC50" t="str">
        <f t="shared" si="2"/>
        <v>628999007703</v>
      </c>
      <c r="AD50" t="str">
        <f t="shared" si="4"/>
        <v>Halo+,+Visual+AI+5S+menditeksi+Violation%3A+GUDANGEXP1-LINE+1</v>
      </c>
      <c r="AE50" t="str">
        <f t="shared" si="3"/>
        <v>https://web.whatsapp.com/send/?phone=628999007703&amp;text=Halo+,+Visual+AI+5S+menditeksi+Violation%3A+GUDANGEXP1-LINE+1&amp;type=phone_number&amp;app_absent=0</v>
      </c>
      <c r="AF50" t="b">
        <f>IF(ISNA(VLOOKUP(D50&amp;"-"&amp;AB50, Ref_Kontak!$A:$E, 4, FALSE)), FALSE, TRUE)</f>
        <v>0</v>
      </c>
      <c r="AG50" t="str">
        <f>_xlfn.IFNA(VLOOKUP(Z50,Ref_Kontak!H:H,1,FALSE),"FALSE")</f>
        <v>628999007703</v>
      </c>
      <c r="AH50" t="str">
        <f t="shared" si="5"/>
        <v>GUDANGEXP1-LINE 1</v>
      </c>
      <c r="AI50">
        <f>COUNTIF($AH$1:AH50,AH50)</f>
        <v>49</v>
      </c>
    </row>
    <row r="51" spans="1:35">
      <c r="A51" t="s">
        <v>56</v>
      </c>
      <c r="B51" t="s">
        <v>57</v>
      </c>
      <c r="C51" t="s">
        <v>111</v>
      </c>
      <c r="D51" t="s">
        <v>59</v>
      </c>
      <c r="E51">
        <v>1</v>
      </c>
      <c r="G51" t="s">
        <v>60</v>
      </c>
      <c r="I51" t="s">
        <v>61</v>
      </c>
      <c r="Z51" t="str">
        <f>IFERROR(MID(AA51,FIND("-",H51,1)+1,20),_xlfn.IFNA(VLOOKUP(F51&amp;"-"&amp;AA51,Ref_Kontak!$A:$E,4,FALSE),Ref_Kontak!$H$2))</f>
        <v>628999007703</v>
      </c>
      <c r="AA51" t="str">
        <f t="shared" si="0"/>
        <v/>
      </c>
      <c r="AB51" t="str">
        <f t="shared" si="1"/>
        <v/>
      </c>
      <c r="AC51" t="str">
        <f t="shared" si="2"/>
        <v>628999007703</v>
      </c>
      <c r="AD51" t="str">
        <f t="shared" si="4"/>
        <v>Halo+,+Visual+AI+5S+menditeksi+Violation%3A+GUDANGEXP1-LINE+1</v>
      </c>
      <c r="AE51" t="str">
        <f t="shared" si="3"/>
        <v>https://web.whatsapp.com/send/?phone=628999007703&amp;text=Halo+,+Visual+AI+5S+menditeksi+Violation%3A+GUDANGEXP1-LINE+1&amp;type=phone_number&amp;app_absent=0</v>
      </c>
      <c r="AF51" t="b">
        <f>IF(ISNA(VLOOKUP(D51&amp;"-"&amp;AB51, Ref_Kontak!$A:$E, 4, FALSE)), FALSE, TRUE)</f>
        <v>0</v>
      </c>
      <c r="AG51" t="str">
        <f>_xlfn.IFNA(VLOOKUP(Z51,Ref_Kontak!H:H,1,FALSE),"FALSE")</f>
        <v>628999007703</v>
      </c>
      <c r="AH51" t="str">
        <f t="shared" si="5"/>
        <v>GUDANGEXP1-LINE 1</v>
      </c>
      <c r="AI51">
        <f>COUNTIF($AH$1:AH51,AH51)</f>
        <v>50</v>
      </c>
    </row>
    <row r="52" spans="1:35">
      <c r="A52" t="s">
        <v>56</v>
      </c>
      <c r="B52" t="s">
        <v>57</v>
      </c>
      <c r="C52" t="s">
        <v>112</v>
      </c>
      <c r="D52" t="s">
        <v>59</v>
      </c>
      <c r="E52">
        <v>1</v>
      </c>
      <c r="G52" t="s">
        <v>60</v>
      </c>
      <c r="I52" t="s">
        <v>61</v>
      </c>
      <c r="Z52" t="str">
        <f>IFERROR(MID(AA52,FIND("-",H52,1)+1,20),_xlfn.IFNA(VLOOKUP(F52&amp;"-"&amp;AA52,Ref_Kontak!$A:$E,4,FALSE),Ref_Kontak!$H$2))</f>
        <v>628999007703</v>
      </c>
      <c r="AA52" t="str">
        <f t="shared" si="0"/>
        <v/>
      </c>
      <c r="AB52" t="str">
        <f t="shared" si="1"/>
        <v/>
      </c>
      <c r="AC52" t="str">
        <f t="shared" si="2"/>
        <v>628999007703</v>
      </c>
      <c r="AD52" t="str">
        <f t="shared" si="4"/>
        <v>Halo+,+Visual+AI+5S+menditeksi+Violation%3A+GUDANGEXP1-LINE+1</v>
      </c>
      <c r="AE52" t="str">
        <f t="shared" si="3"/>
        <v>https://web.whatsapp.com/send/?phone=628999007703&amp;text=Halo+,+Visual+AI+5S+menditeksi+Violation%3A+GUDANGEXP1-LINE+1&amp;type=phone_number&amp;app_absent=0</v>
      </c>
      <c r="AF52" t="b">
        <f>IF(ISNA(VLOOKUP(D52&amp;"-"&amp;AB52, Ref_Kontak!$A:$E, 4, FALSE)), FALSE, TRUE)</f>
        <v>0</v>
      </c>
      <c r="AG52" t="str">
        <f>_xlfn.IFNA(VLOOKUP(Z52,Ref_Kontak!H:H,1,FALSE),"FALSE")</f>
        <v>628999007703</v>
      </c>
      <c r="AH52" t="str">
        <f t="shared" si="5"/>
        <v>GUDANGEXP1-LINE 1</v>
      </c>
      <c r="AI52">
        <f>COUNTIF($AH$1:AH52,AH52)</f>
        <v>51</v>
      </c>
    </row>
    <row r="53" spans="1:35">
      <c r="A53" t="s">
        <v>56</v>
      </c>
      <c r="B53" t="s">
        <v>57</v>
      </c>
      <c r="C53" t="s">
        <v>113</v>
      </c>
      <c r="D53" t="s">
        <v>59</v>
      </c>
      <c r="E53">
        <v>1</v>
      </c>
      <c r="G53" t="s">
        <v>60</v>
      </c>
      <c r="I53" t="s">
        <v>61</v>
      </c>
      <c r="Z53" t="str">
        <f>IFERROR(MID(AA53,FIND("-",H53,1)+1,20),_xlfn.IFNA(VLOOKUP(F53&amp;"-"&amp;AA53,Ref_Kontak!$A:$E,4,FALSE),Ref_Kontak!$H$2))</f>
        <v>628999007703</v>
      </c>
      <c r="AA53" t="str">
        <f t="shared" si="0"/>
        <v/>
      </c>
      <c r="AB53" t="str">
        <f t="shared" si="1"/>
        <v/>
      </c>
      <c r="AC53" t="str">
        <f t="shared" si="2"/>
        <v>628999007703</v>
      </c>
      <c r="AD53" t="str">
        <f t="shared" si="4"/>
        <v>Halo+,+Visual+AI+5S+menditeksi+Violation%3A+GUDANGEXP1-LINE+1</v>
      </c>
      <c r="AE53" t="str">
        <f t="shared" si="3"/>
        <v>https://web.whatsapp.com/send/?phone=628999007703&amp;text=Halo+,+Visual+AI+5S+menditeksi+Violation%3A+GUDANGEXP1-LINE+1&amp;type=phone_number&amp;app_absent=0</v>
      </c>
      <c r="AF53" t="b">
        <f>IF(ISNA(VLOOKUP(D53&amp;"-"&amp;AB53, Ref_Kontak!$A:$E, 4, FALSE)), FALSE, TRUE)</f>
        <v>0</v>
      </c>
      <c r="AG53" t="str">
        <f>_xlfn.IFNA(VLOOKUP(Z53,Ref_Kontak!H:H,1,FALSE),"FALSE")</f>
        <v>628999007703</v>
      </c>
      <c r="AH53" t="str">
        <f t="shared" si="5"/>
        <v>GUDANGEXP1-LINE 1</v>
      </c>
      <c r="AI53">
        <f>COUNTIF($AH$1:AH53,AH53)</f>
        <v>52</v>
      </c>
    </row>
    <row r="54" spans="1:35">
      <c r="A54" t="s">
        <v>56</v>
      </c>
      <c r="B54" t="s">
        <v>57</v>
      </c>
      <c r="C54" t="s">
        <v>114</v>
      </c>
      <c r="D54" t="s">
        <v>59</v>
      </c>
      <c r="E54">
        <v>1</v>
      </c>
      <c r="G54" t="s">
        <v>60</v>
      </c>
      <c r="I54" t="s">
        <v>61</v>
      </c>
      <c r="Z54" t="str">
        <f>IFERROR(MID(AA54,FIND("-",H54,1)+1,20),_xlfn.IFNA(VLOOKUP(F54&amp;"-"&amp;AA54,Ref_Kontak!$A:$E,4,FALSE),Ref_Kontak!$H$2))</f>
        <v>628999007703</v>
      </c>
      <c r="AA54" t="str">
        <f t="shared" si="0"/>
        <v/>
      </c>
      <c r="AB54" t="str">
        <f t="shared" si="1"/>
        <v/>
      </c>
      <c r="AC54" t="str">
        <f t="shared" si="2"/>
        <v>628999007703</v>
      </c>
      <c r="AD54" t="str">
        <f t="shared" si="4"/>
        <v>Halo+,+Visual+AI+5S+menditeksi+Violation%3A+GUDANGEXP1-LINE+1</v>
      </c>
      <c r="AE54" t="str">
        <f t="shared" si="3"/>
        <v>https://web.whatsapp.com/send/?phone=628999007703&amp;text=Halo+,+Visual+AI+5S+menditeksi+Violation%3A+GUDANGEXP1-LINE+1&amp;type=phone_number&amp;app_absent=0</v>
      </c>
      <c r="AF54" t="b">
        <f>IF(ISNA(VLOOKUP(D54&amp;"-"&amp;AB54, Ref_Kontak!$A:$E, 4, FALSE)), FALSE, TRUE)</f>
        <v>0</v>
      </c>
      <c r="AG54" t="str">
        <f>_xlfn.IFNA(VLOOKUP(Z54,Ref_Kontak!H:H,1,FALSE),"FALSE")</f>
        <v>628999007703</v>
      </c>
      <c r="AH54" t="str">
        <f t="shared" si="5"/>
        <v>GUDANGEXP1-LINE 1</v>
      </c>
      <c r="AI54">
        <f>COUNTIF($AH$1:AH54,AH54)</f>
        <v>53</v>
      </c>
    </row>
    <row r="55" spans="1:35">
      <c r="A55" t="s">
        <v>56</v>
      </c>
      <c r="B55" t="s">
        <v>57</v>
      </c>
      <c r="C55" t="s">
        <v>115</v>
      </c>
      <c r="D55" t="s">
        <v>59</v>
      </c>
      <c r="E55">
        <v>1</v>
      </c>
      <c r="G55" t="s">
        <v>60</v>
      </c>
      <c r="I55" t="s">
        <v>61</v>
      </c>
      <c r="Z55" t="str">
        <f>IFERROR(MID(AA55,FIND("-",H55,1)+1,20),_xlfn.IFNA(VLOOKUP(F55&amp;"-"&amp;AA55,Ref_Kontak!$A:$E,4,FALSE),Ref_Kontak!$H$2))</f>
        <v>628999007703</v>
      </c>
      <c r="AA55" t="str">
        <f t="shared" si="0"/>
        <v/>
      </c>
      <c r="AB55" t="str">
        <f t="shared" si="1"/>
        <v/>
      </c>
      <c r="AC55" t="str">
        <f t="shared" si="2"/>
        <v>628999007703</v>
      </c>
      <c r="AD55" t="str">
        <f t="shared" si="4"/>
        <v>Halo+,+Visual+AI+5S+menditeksi+Violation%3A+GUDANGEXP1-LINE+1</v>
      </c>
      <c r="AE55" t="str">
        <f t="shared" si="3"/>
        <v>https://web.whatsapp.com/send/?phone=628999007703&amp;text=Halo+,+Visual+AI+5S+menditeksi+Violation%3A+GUDANGEXP1-LINE+1&amp;type=phone_number&amp;app_absent=0</v>
      </c>
      <c r="AF55" t="b">
        <f>IF(ISNA(VLOOKUP(D55&amp;"-"&amp;AB55, Ref_Kontak!$A:$E, 4, FALSE)), FALSE, TRUE)</f>
        <v>0</v>
      </c>
      <c r="AG55" t="str">
        <f>_xlfn.IFNA(VLOOKUP(Z55,Ref_Kontak!H:H,1,FALSE),"FALSE")</f>
        <v>628999007703</v>
      </c>
      <c r="AH55" t="str">
        <f t="shared" si="5"/>
        <v>GUDANGEXP1-LINE 1</v>
      </c>
      <c r="AI55">
        <f>COUNTIF($AH$1:AH55,AH55)</f>
        <v>54</v>
      </c>
    </row>
    <row r="56" spans="1:35">
      <c r="A56" t="s">
        <v>56</v>
      </c>
      <c r="B56" t="s">
        <v>57</v>
      </c>
      <c r="C56" t="s">
        <v>116</v>
      </c>
      <c r="D56" t="s">
        <v>59</v>
      </c>
      <c r="E56">
        <v>1</v>
      </c>
      <c r="G56" t="s">
        <v>60</v>
      </c>
      <c r="I56" t="s">
        <v>61</v>
      </c>
      <c r="Z56" t="str">
        <f>IFERROR(MID(AA56,FIND("-",H56,1)+1,20),_xlfn.IFNA(VLOOKUP(F56&amp;"-"&amp;AA56,Ref_Kontak!$A:$E,4,FALSE),Ref_Kontak!$H$2))</f>
        <v>628999007703</v>
      </c>
      <c r="AA56" t="str">
        <f t="shared" si="0"/>
        <v/>
      </c>
      <c r="AB56" t="str">
        <f t="shared" si="1"/>
        <v/>
      </c>
      <c r="AC56" t="str">
        <f t="shared" si="2"/>
        <v>628999007703</v>
      </c>
      <c r="AD56" t="str">
        <f t="shared" si="4"/>
        <v>Halo+,+Visual+AI+5S+menditeksi+Violation%3A+GUDANGEXP1-LINE+1</v>
      </c>
      <c r="AE56" t="str">
        <f t="shared" si="3"/>
        <v>https://web.whatsapp.com/send/?phone=628999007703&amp;text=Halo+,+Visual+AI+5S+menditeksi+Violation%3A+GUDANGEXP1-LINE+1&amp;type=phone_number&amp;app_absent=0</v>
      </c>
      <c r="AF56" t="b">
        <f>IF(ISNA(VLOOKUP(D56&amp;"-"&amp;AB56, Ref_Kontak!$A:$E, 4, FALSE)), FALSE, TRUE)</f>
        <v>0</v>
      </c>
      <c r="AG56" t="str">
        <f>_xlfn.IFNA(VLOOKUP(Z56,Ref_Kontak!H:H,1,FALSE),"FALSE")</f>
        <v>628999007703</v>
      </c>
      <c r="AH56" t="str">
        <f t="shared" si="5"/>
        <v>GUDANGEXP1-LINE 1</v>
      </c>
      <c r="AI56">
        <f>COUNTIF($AH$1:AH56,AH56)</f>
        <v>55</v>
      </c>
    </row>
    <row r="57" spans="1:35">
      <c r="A57" t="s">
        <v>56</v>
      </c>
      <c r="B57" t="s">
        <v>57</v>
      </c>
      <c r="C57" t="s">
        <v>117</v>
      </c>
      <c r="D57" t="s">
        <v>59</v>
      </c>
      <c r="E57">
        <v>1</v>
      </c>
      <c r="G57" t="s">
        <v>60</v>
      </c>
      <c r="I57" t="s">
        <v>61</v>
      </c>
      <c r="Z57" t="str">
        <f>IFERROR(MID(AA57,FIND("-",H57,1)+1,20),_xlfn.IFNA(VLOOKUP(F57&amp;"-"&amp;AA57,Ref_Kontak!$A:$E,4,FALSE),Ref_Kontak!$H$2))</f>
        <v>628999007703</v>
      </c>
      <c r="AA57" t="str">
        <f t="shared" si="0"/>
        <v/>
      </c>
      <c r="AB57" t="str">
        <f t="shared" si="1"/>
        <v/>
      </c>
      <c r="AC57" t="str">
        <f t="shared" si="2"/>
        <v>628999007703</v>
      </c>
      <c r="AD57" t="str">
        <f t="shared" si="4"/>
        <v>Halo+,+Visual+AI+5S+menditeksi+Violation%3A+GUDANGEXP1-LINE+1</v>
      </c>
      <c r="AE57" t="str">
        <f t="shared" si="3"/>
        <v>https://web.whatsapp.com/send/?phone=628999007703&amp;text=Halo+,+Visual+AI+5S+menditeksi+Violation%3A+GUDANGEXP1-LINE+1&amp;type=phone_number&amp;app_absent=0</v>
      </c>
      <c r="AF57" t="b">
        <f>IF(ISNA(VLOOKUP(D57&amp;"-"&amp;AB57, Ref_Kontak!$A:$E, 4, FALSE)), FALSE, TRUE)</f>
        <v>0</v>
      </c>
      <c r="AG57" t="str">
        <f>_xlfn.IFNA(VLOOKUP(Z57,Ref_Kontak!H:H,1,FALSE),"FALSE")</f>
        <v>628999007703</v>
      </c>
      <c r="AH57" t="str">
        <f t="shared" si="5"/>
        <v>GUDANGEXP1-LINE 1</v>
      </c>
      <c r="AI57">
        <f>COUNTIF($AH$1:AH57,AH57)</f>
        <v>56</v>
      </c>
    </row>
    <row r="58" spans="1:35">
      <c r="A58" t="s">
        <v>56</v>
      </c>
      <c r="B58" t="s">
        <v>57</v>
      </c>
      <c r="C58" t="s">
        <v>118</v>
      </c>
      <c r="D58" t="s">
        <v>59</v>
      </c>
      <c r="E58">
        <v>1</v>
      </c>
      <c r="G58" t="s">
        <v>60</v>
      </c>
      <c r="I58" t="s">
        <v>61</v>
      </c>
      <c r="Z58" t="str">
        <f>IFERROR(MID(AA58,FIND("-",H58,1)+1,20),_xlfn.IFNA(VLOOKUP(F58&amp;"-"&amp;AA58,Ref_Kontak!$A:$E,4,FALSE),Ref_Kontak!$H$2))</f>
        <v>628999007703</v>
      </c>
      <c r="AA58" t="str">
        <f t="shared" si="0"/>
        <v/>
      </c>
      <c r="AB58" t="str">
        <f t="shared" si="1"/>
        <v/>
      </c>
      <c r="AC58" t="str">
        <f t="shared" si="2"/>
        <v>628999007703</v>
      </c>
      <c r="AD58" t="str">
        <f t="shared" si="4"/>
        <v>Halo+,+Visual+AI+5S+menditeksi+Violation%3A+GUDANGEXP1-LINE+1</v>
      </c>
      <c r="AE58" t="str">
        <f t="shared" si="3"/>
        <v>https://web.whatsapp.com/send/?phone=628999007703&amp;text=Halo+,+Visual+AI+5S+menditeksi+Violation%3A+GUDANGEXP1-LINE+1&amp;type=phone_number&amp;app_absent=0</v>
      </c>
      <c r="AF58" t="b">
        <f>IF(ISNA(VLOOKUP(D58&amp;"-"&amp;AB58, Ref_Kontak!$A:$E, 4, FALSE)), FALSE, TRUE)</f>
        <v>0</v>
      </c>
      <c r="AG58" t="str">
        <f>_xlfn.IFNA(VLOOKUP(Z58,Ref_Kontak!H:H,1,FALSE),"FALSE")</f>
        <v>628999007703</v>
      </c>
      <c r="AH58" t="str">
        <f t="shared" si="5"/>
        <v>GUDANGEXP1-LINE 1</v>
      </c>
      <c r="AI58">
        <f>COUNTIF($AH$1:AH58,AH58)</f>
        <v>57</v>
      </c>
    </row>
    <row r="59" spans="1:35">
      <c r="A59" t="s">
        <v>56</v>
      </c>
      <c r="B59" t="s">
        <v>57</v>
      </c>
      <c r="C59" t="s">
        <v>119</v>
      </c>
      <c r="D59" t="s">
        <v>59</v>
      </c>
      <c r="E59">
        <v>1</v>
      </c>
      <c r="G59" t="s">
        <v>60</v>
      </c>
      <c r="I59" t="s">
        <v>61</v>
      </c>
      <c r="Z59" t="str">
        <f>IFERROR(MID(AA59,FIND("-",H59,1)+1,20),_xlfn.IFNA(VLOOKUP(F59&amp;"-"&amp;AA59,Ref_Kontak!$A:$E,4,FALSE),Ref_Kontak!$H$2))</f>
        <v>628999007703</v>
      </c>
      <c r="AA59" t="str">
        <f t="shared" si="0"/>
        <v/>
      </c>
      <c r="AB59" t="str">
        <f t="shared" si="1"/>
        <v/>
      </c>
      <c r="AC59" t="str">
        <f t="shared" si="2"/>
        <v>628999007703</v>
      </c>
      <c r="AD59" t="str">
        <f t="shared" si="4"/>
        <v>Halo+,+Visual+AI+5S+menditeksi+Violation%3A+GUDANGEXP1-LINE+1</v>
      </c>
      <c r="AE59" t="str">
        <f t="shared" si="3"/>
        <v>https://web.whatsapp.com/send/?phone=628999007703&amp;text=Halo+,+Visual+AI+5S+menditeksi+Violation%3A+GUDANGEXP1-LINE+1&amp;type=phone_number&amp;app_absent=0</v>
      </c>
      <c r="AF59" t="b">
        <f>IF(ISNA(VLOOKUP(D59&amp;"-"&amp;AB59, Ref_Kontak!$A:$E, 4, FALSE)), FALSE, TRUE)</f>
        <v>0</v>
      </c>
      <c r="AG59" t="str">
        <f>_xlfn.IFNA(VLOOKUP(Z59,Ref_Kontak!H:H,1,FALSE),"FALSE")</f>
        <v>628999007703</v>
      </c>
      <c r="AH59" t="str">
        <f t="shared" si="5"/>
        <v>GUDANGEXP1-LINE 1</v>
      </c>
      <c r="AI59">
        <f>COUNTIF($AH$1:AH59,AH59)</f>
        <v>58</v>
      </c>
    </row>
    <row r="60" spans="1:35">
      <c r="A60" t="s">
        <v>56</v>
      </c>
      <c r="B60" t="s">
        <v>57</v>
      </c>
      <c r="C60" t="s">
        <v>120</v>
      </c>
      <c r="D60" t="s">
        <v>59</v>
      </c>
      <c r="E60">
        <v>1</v>
      </c>
      <c r="G60" t="s">
        <v>60</v>
      </c>
      <c r="I60" t="s">
        <v>61</v>
      </c>
      <c r="Z60" t="str">
        <f>IFERROR(MID(AA60,FIND("-",H60,1)+1,20),_xlfn.IFNA(VLOOKUP(F60&amp;"-"&amp;AA60,Ref_Kontak!$A:$E,4,FALSE),Ref_Kontak!$H$2))</f>
        <v>628999007703</v>
      </c>
      <c r="AA60" t="str">
        <f t="shared" si="0"/>
        <v/>
      </c>
      <c r="AB60" t="str">
        <f t="shared" si="1"/>
        <v/>
      </c>
      <c r="AC60" t="str">
        <f t="shared" si="2"/>
        <v>628999007703</v>
      </c>
      <c r="AD60" t="str">
        <f t="shared" si="4"/>
        <v>Halo+,+Visual+AI+5S+menditeksi+Violation%3A+GUDANGEXP1-LINE+1</v>
      </c>
      <c r="AE60" t="str">
        <f t="shared" si="3"/>
        <v>https://web.whatsapp.com/send/?phone=628999007703&amp;text=Halo+,+Visual+AI+5S+menditeksi+Violation%3A+GUDANGEXP1-LINE+1&amp;type=phone_number&amp;app_absent=0</v>
      </c>
      <c r="AF60" t="b">
        <f>IF(ISNA(VLOOKUP(D60&amp;"-"&amp;AB60, Ref_Kontak!$A:$E, 4, FALSE)), FALSE, TRUE)</f>
        <v>0</v>
      </c>
      <c r="AG60" t="str">
        <f>_xlfn.IFNA(VLOOKUP(Z60,Ref_Kontak!H:H,1,FALSE),"FALSE")</f>
        <v>628999007703</v>
      </c>
      <c r="AH60" t="str">
        <f t="shared" si="5"/>
        <v>GUDANGEXP1-LINE 1</v>
      </c>
      <c r="AI60">
        <f>COUNTIF($AH$1:AH60,AH60)</f>
        <v>59</v>
      </c>
    </row>
    <row r="61" spans="1:35">
      <c r="A61" t="s">
        <v>56</v>
      </c>
      <c r="B61" t="s">
        <v>57</v>
      </c>
      <c r="C61" t="s">
        <v>121</v>
      </c>
      <c r="D61" t="s">
        <v>59</v>
      </c>
      <c r="E61">
        <v>1</v>
      </c>
      <c r="G61" t="s">
        <v>60</v>
      </c>
      <c r="I61" t="s">
        <v>61</v>
      </c>
      <c r="Z61" t="str">
        <f>IFERROR(MID(AA61,FIND("-",H61,1)+1,20),_xlfn.IFNA(VLOOKUP(F61&amp;"-"&amp;AA61,Ref_Kontak!$A:$E,4,FALSE),Ref_Kontak!$H$2))</f>
        <v>628999007703</v>
      </c>
      <c r="AA61" t="str">
        <f t="shared" si="0"/>
        <v/>
      </c>
      <c r="AB61" t="str">
        <f t="shared" si="1"/>
        <v/>
      </c>
      <c r="AC61" t="str">
        <f t="shared" si="2"/>
        <v>628999007703</v>
      </c>
      <c r="AD61" t="str">
        <f t="shared" si="4"/>
        <v>Halo+,+Visual+AI+5S+menditeksi+Violation%3A+GUDANGEXP1-LINE+1</v>
      </c>
      <c r="AE61" t="str">
        <f t="shared" si="3"/>
        <v>https://web.whatsapp.com/send/?phone=628999007703&amp;text=Halo+,+Visual+AI+5S+menditeksi+Violation%3A+GUDANGEXP1-LINE+1&amp;type=phone_number&amp;app_absent=0</v>
      </c>
      <c r="AF61" t="b">
        <f>IF(ISNA(VLOOKUP(D61&amp;"-"&amp;AB61, Ref_Kontak!$A:$E, 4, FALSE)), FALSE, TRUE)</f>
        <v>0</v>
      </c>
      <c r="AG61" t="str">
        <f>_xlfn.IFNA(VLOOKUP(Z61,Ref_Kontak!H:H,1,FALSE),"FALSE")</f>
        <v>628999007703</v>
      </c>
      <c r="AH61" t="str">
        <f t="shared" si="5"/>
        <v>GUDANGEXP1-LINE 1</v>
      </c>
      <c r="AI61">
        <f>COUNTIF($AH$1:AH61,AH61)</f>
        <v>60</v>
      </c>
    </row>
    <row r="62" spans="1:35">
      <c r="A62" t="s">
        <v>56</v>
      </c>
      <c r="B62" t="s">
        <v>57</v>
      </c>
      <c r="C62" t="s">
        <v>122</v>
      </c>
      <c r="D62" t="s">
        <v>59</v>
      </c>
      <c r="E62">
        <v>1</v>
      </c>
      <c r="G62" t="s">
        <v>60</v>
      </c>
      <c r="I62" t="s">
        <v>61</v>
      </c>
      <c r="Z62" t="str">
        <f>IFERROR(MID(AA62,FIND("-",H62,1)+1,20),_xlfn.IFNA(VLOOKUP(F62&amp;"-"&amp;AA62,Ref_Kontak!$A:$E,4,FALSE),Ref_Kontak!$H$2))</f>
        <v>628999007703</v>
      </c>
      <c r="AA62" t="str">
        <f t="shared" si="0"/>
        <v/>
      </c>
      <c r="AB62" t="str">
        <f t="shared" si="1"/>
        <v/>
      </c>
      <c r="AC62" t="str">
        <f t="shared" si="2"/>
        <v>628999007703</v>
      </c>
      <c r="AD62" t="str">
        <f t="shared" si="4"/>
        <v>Halo+,+Visual+AI+5S+menditeksi+Violation%3A+GUDANGEXP1-LINE+1</v>
      </c>
      <c r="AE62" t="str">
        <f t="shared" si="3"/>
        <v>https://web.whatsapp.com/send/?phone=628999007703&amp;text=Halo+,+Visual+AI+5S+menditeksi+Violation%3A+GUDANGEXP1-LINE+1&amp;type=phone_number&amp;app_absent=0</v>
      </c>
      <c r="AF62" t="b">
        <f>IF(ISNA(VLOOKUP(D62&amp;"-"&amp;AB62, Ref_Kontak!$A:$E, 4, FALSE)), FALSE, TRUE)</f>
        <v>0</v>
      </c>
      <c r="AG62" t="str">
        <f>_xlfn.IFNA(VLOOKUP(Z62,Ref_Kontak!H:H,1,FALSE),"FALSE")</f>
        <v>628999007703</v>
      </c>
      <c r="AH62" t="str">
        <f t="shared" si="5"/>
        <v>GUDANGEXP1-LINE 1</v>
      </c>
      <c r="AI62">
        <f>COUNTIF($AH$1:AH62,AH62)</f>
        <v>61</v>
      </c>
    </row>
    <row r="63" spans="1:35">
      <c r="A63" t="s">
        <v>56</v>
      </c>
      <c r="B63" t="s">
        <v>57</v>
      </c>
      <c r="C63" t="s">
        <v>123</v>
      </c>
      <c r="D63" t="s">
        <v>59</v>
      </c>
      <c r="E63">
        <v>1</v>
      </c>
      <c r="G63" t="s">
        <v>60</v>
      </c>
      <c r="I63" t="s">
        <v>61</v>
      </c>
      <c r="Z63" t="str">
        <f>IFERROR(MID(AA63,FIND("-",H63,1)+1,20),_xlfn.IFNA(VLOOKUP(F63&amp;"-"&amp;AA63,Ref_Kontak!$A:$E,4,FALSE),Ref_Kontak!$H$2))</f>
        <v>628999007703</v>
      </c>
      <c r="AA63" t="str">
        <f t="shared" si="0"/>
        <v/>
      </c>
      <c r="AB63" t="str">
        <f t="shared" si="1"/>
        <v/>
      </c>
      <c r="AC63" t="str">
        <f t="shared" si="2"/>
        <v>628999007703</v>
      </c>
      <c r="AD63" t="str">
        <f t="shared" si="4"/>
        <v>Halo+,+Visual+AI+5S+menditeksi+Violation%3A+GUDANGEXP1-LINE+1</v>
      </c>
      <c r="AE63" t="str">
        <f t="shared" si="3"/>
        <v>https://web.whatsapp.com/send/?phone=628999007703&amp;text=Halo+,+Visual+AI+5S+menditeksi+Violation%3A+GUDANGEXP1-LINE+1&amp;type=phone_number&amp;app_absent=0</v>
      </c>
      <c r="AF63" t="b">
        <f>IF(ISNA(VLOOKUP(D63&amp;"-"&amp;AB63, Ref_Kontak!$A:$E, 4, FALSE)), FALSE, TRUE)</f>
        <v>0</v>
      </c>
      <c r="AG63" t="str">
        <f>_xlfn.IFNA(VLOOKUP(Z63,Ref_Kontak!H:H,1,FALSE),"FALSE")</f>
        <v>628999007703</v>
      </c>
      <c r="AH63" t="str">
        <f t="shared" si="5"/>
        <v>GUDANGEXP1-LINE 1</v>
      </c>
      <c r="AI63">
        <f>COUNTIF($AH$1:AH63,AH63)</f>
        <v>62</v>
      </c>
    </row>
    <row r="64" spans="1:35">
      <c r="A64" t="s">
        <v>56</v>
      </c>
      <c r="B64" t="s">
        <v>57</v>
      </c>
      <c r="C64" t="s">
        <v>124</v>
      </c>
      <c r="D64" t="s">
        <v>59</v>
      </c>
      <c r="E64">
        <v>1</v>
      </c>
      <c r="G64" t="s">
        <v>60</v>
      </c>
      <c r="I64" t="s">
        <v>61</v>
      </c>
      <c r="Z64" t="str">
        <f>IFERROR(MID(AA64,FIND("-",H64,1)+1,20),_xlfn.IFNA(VLOOKUP(F64&amp;"-"&amp;AA64,Ref_Kontak!$A:$E,4,FALSE),Ref_Kontak!$H$2))</f>
        <v>628999007703</v>
      </c>
      <c r="AA64" t="str">
        <f t="shared" si="0"/>
        <v/>
      </c>
      <c r="AB64" t="str">
        <f t="shared" si="1"/>
        <v/>
      </c>
      <c r="AC64" t="str">
        <f t="shared" si="2"/>
        <v>628999007703</v>
      </c>
      <c r="AD64" t="str">
        <f t="shared" si="4"/>
        <v>Halo+,+Visual+AI+5S+menditeksi+Violation%3A+GUDANGEXP1-LINE+1</v>
      </c>
      <c r="AE64" t="str">
        <f t="shared" si="3"/>
        <v>https://web.whatsapp.com/send/?phone=628999007703&amp;text=Halo+,+Visual+AI+5S+menditeksi+Violation%3A+GUDANGEXP1-LINE+1&amp;type=phone_number&amp;app_absent=0</v>
      </c>
      <c r="AF64" t="b">
        <f>IF(ISNA(VLOOKUP(D64&amp;"-"&amp;AB64, Ref_Kontak!$A:$E, 4, FALSE)), FALSE, TRUE)</f>
        <v>0</v>
      </c>
      <c r="AG64" t="str">
        <f>_xlfn.IFNA(VLOOKUP(Z64,Ref_Kontak!H:H,1,FALSE),"FALSE")</f>
        <v>628999007703</v>
      </c>
      <c r="AH64" t="str">
        <f t="shared" si="5"/>
        <v>GUDANGEXP1-LINE 1</v>
      </c>
      <c r="AI64">
        <f>COUNTIF($AH$1:AH64,AH64)</f>
        <v>63</v>
      </c>
    </row>
    <row r="65" spans="1:35">
      <c r="A65" t="s">
        <v>56</v>
      </c>
      <c r="B65" t="s">
        <v>57</v>
      </c>
      <c r="C65" t="s">
        <v>125</v>
      </c>
      <c r="D65" t="s">
        <v>59</v>
      </c>
      <c r="E65">
        <v>1</v>
      </c>
      <c r="G65" t="s">
        <v>60</v>
      </c>
      <c r="I65" t="s">
        <v>61</v>
      </c>
      <c r="Z65" t="str">
        <f>IFERROR(MID(AA65,FIND("-",H65,1)+1,20),_xlfn.IFNA(VLOOKUP(F65&amp;"-"&amp;AA65,Ref_Kontak!$A:$E,4,FALSE),Ref_Kontak!$H$2))</f>
        <v>628999007703</v>
      </c>
      <c r="AA65" t="str">
        <f t="shared" si="0"/>
        <v/>
      </c>
      <c r="AB65" t="str">
        <f t="shared" si="1"/>
        <v/>
      </c>
      <c r="AC65" t="str">
        <f t="shared" si="2"/>
        <v>628999007703</v>
      </c>
      <c r="AD65" t="str">
        <f t="shared" si="4"/>
        <v>Halo+,+Visual+AI+5S+menditeksi+Violation%3A+GUDANGEXP1-LINE+1</v>
      </c>
      <c r="AE65" t="str">
        <f t="shared" si="3"/>
        <v>https://web.whatsapp.com/send/?phone=628999007703&amp;text=Halo+,+Visual+AI+5S+menditeksi+Violation%3A+GUDANGEXP1-LINE+1&amp;type=phone_number&amp;app_absent=0</v>
      </c>
      <c r="AF65" t="b">
        <f>IF(ISNA(VLOOKUP(D65&amp;"-"&amp;AB65, Ref_Kontak!$A:$E, 4, FALSE)), FALSE, TRUE)</f>
        <v>0</v>
      </c>
      <c r="AG65" t="str">
        <f>_xlfn.IFNA(VLOOKUP(Z65,Ref_Kontak!H:H,1,FALSE),"FALSE")</f>
        <v>628999007703</v>
      </c>
      <c r="AH65" t="str">
        <f t="shared" si="5"/>
        <v>GUDANGEXP1-LINE 1</v>
      </c>
      <c r="AI65">
        <f>COUNTIF($AH$1:AH65,AH65)</f>
        <v>64</v>
      </c>
    </row>
    <row r="66" spans="1:35">
      <c r="A66" t="s">
        <v>56</v>
      </c>
      <c r="B66" t="s">
        <v>57</v>
      </c>
      <c r="C66" t="s">
        <v>126</v>
      </c>
      <c r="D66" t="s">
        <v>59</v>
      </c>
      <c r="E66">
        <v>1</v>
      </c>
      <c r="G66" t="s">
        <v>60</v>
      </c>
      <c r="I66" t="s">
        <v>61</v>
      </c>
      <c r="Z66" t="str">
        <f>IFERROR(MID(AA66,FIND("-",H66,1)+1,20),_xlfn.IFNA(VLOOKUP(F66&amp;"-"&amp;AA66,Ref_Kontak!$A:$E,4,FALSE),Ref_Kontak!$H$2))</f>
        <v>628999007703</v>
      </c>
      <c r="AA66" t="str">
        <f t="shared" ref="AA66:AA129" si="6">CLEAN(SUBSTITUTE(H66," ",""))</f>
        <v/>
      </c>
      <c r="AB66" t="str">
        <f t="shared" ref="AB66:AB129" si="7">IFERROR(LEFT(AA66,FIND("-",H66,1)-1),CLEAN(SUBSTITUTE(SUBSTITUTE(H66," ",""),"-","")))</f>
        <v/>
      </c>
      <c r="AC66" t="str">
        <f t="shared" ref="AC66:AC129" si="8">IF(LEFT(Z66,1)="0","62"&amp; MID(Z66,2,999),Z66)</f>
        <v>628999007703</v>
      </c>
      <c r="AD66" t="str">
        <f t="shared" si="4"/>
        <v>Halo+,+Visual+AI+5S+menditeksi+Violation%3A+GUDANGEXP1-LINE+1</v>
      </c>
      <c r="AE66" t="str">
        <f t="shared" ref="AE66:AE129" si="9">"https://web.whatsapp.com/send/?phone="&amp;AC66&amp;"&amp;text="&amp;AD66&amp;"&amp;type=phone_number&amp;app_absent=0"</f>
        <v>https://web.whatsapp.com/send/?phone=628999007703&amp;text=Halo+,+Visual+AI+5S+menditeksi+Violation%3A+GUDANGEXP1-LINE+1&amp;type=phone_number&amp;app_absent=0</v>
      </c>
      <c r="AF66" t="b">
        <f>IF(ISNA(VLOOKUP(D66&amp;"-"&amp;AB66, Ref_Kontak!$A:$E, 4, FALSE)), FALSE, TRUE)</f>
        <v>0</v>
      </c>
      <c r="AG66" t="str">
        <f>_xlfn.IFNA(VLOOKUP(Z66,Ref_Kontak!H:H,1,FALSE),"FALSE")</f>
        <v>628999007703</v>
      </c>
      <c r="AH66" t="str">
        <f t="shared" si="5"/>
        <v>GUDANGEXP1-LINE 1</v>
      </c>
      <c r="AI66">
        <f>COUNTIF($AH$1:AH66,AH66)</f>
        <v>65</v>
      </c>
    </row>
    <row r="67" spans="1:35">
      <c r="A67" t="s">
        <v>56</v>
      </c>
      <c r="B67" t="s">
        <v>57</v>
      </c>
      <c r="C67" t="s">
        <v>127</v>
      </c>
      <c r="D67" t="s">
        <v>59</v>
      </c>
      <c r="E67">
        <v>1</v>
      </c>
      <c r="G67" t="s">
        <v>60</v>
      </c>
      <c r="I67" t="s">
        <v>61</v>
      </c>
      <c r="Z67" t="str">
        <f>IFERROR(MID(AA67,FIND("-",H67,1)+1,20),_xlfn.IFNA(VLOOKUP(F67&amp;"-"&amp;AA67,Ref_Kontak!$A:$E,4,FALSE),Ref_Kontak!$H$2))</f>
        <v>628999007703</v>
      </c>
      <c r="AA67" t="str">
        <f t="shared" si="6"/>
        <v/>
      </c>
      <c r="AB67" t="str">
        <f t="shared" si="7"/>
        <v/>
      </c>
      <c r="AC67" t="str">
        <f t="shared" si="8"/>
        <v>628999007703</v>
      </c>
      <c r="AD67" t="str">
        <f t="shared" ref="AD67:AD130" si="10">"Halo+"&amp;AB67&amp;","&amp;"+Visual+AI+5S+menditeksi+Violation%3A+"&amp;SUBSTITUTE(AH67," ","+")</f>
        <v>Halo+,+Visual+AI+5S+menditeksi+Violation%3A+GUDANGEXP1-LINE+1</v>
      </c>
      <c r="AE67" t="str">
        <f t="shared" si="9"/>
        <v>https://web.whatsapp.com/send/?phone=628999007703&amp;text=Halo+,+Visual+AI+5S+menditeksi+Violation%3A+GUDANGEXP1-LINE+1&amp;type=phone_number&amp;app_absent=0</v>
      </c>
      <c r="AF67" t="b">
        <f>IF(ISNA(VLOOKUP(D67&amp;"-"&amp;AB67, Ref_Kontak!$A:$E, 4, FALSE)), FALSE, TRUE)</f>
        <v>0</v>
      </c>
      <c r="AG67" t="str">
        <f>_xlfn.IFNA(VLOOKUP(Z67,Ref_Kontak!H:H,1,FALSE),"FALSE")</f>
        <v>628999007703</v>
      </c>
      <c r="AH67" t="str">
        <f t="shared" ref="AH67:AH130" si="11">G67&amp;"-"&amp;D67</f>
        <v>GUDANGEXP1-LINE 1</v>
      </c>
      <c r="AI67">
        <f>COUNTIF($AH$1:AH67,AH67)</f>
        <v>66</v>
      </c>
    </row>
    <row r="68" spans="1:35">
      <c r="A68" t="s">
        <v>56</v>
      </c>
      <c r="B68" t="s">
        <v>57</v>
      </c>
      <c r="C68" t="s">
        <v>128</v>
      </c>
      <c r="D68" t="s">
        <v>59</v>
      </c>
      <c r="E68">
        <v>1</v>
      </c>
      <c r="G68" t="s">
        <v>60</v>
      </c>
      <c r="I68" t="s">
        <v>61</v>
      </c>
      <c r="Z68" t="str">
        <f>IFERROR(MID(AA68,FIND("-",H68,1)+1,20),_xlfn.IFNA(VLOOKUP(F68&amp;"-"&amp;AA68,Ref_Kontak!$A:$E,4,FALSE),Ref_Kontak!$H$2))</f>
        <v>628999007703</v>
      </c>
      <c r="AA68" t="str">
        <f t="shared" si="6"/>
        <v/>
      </c>
      <c r="AB68" t="str">
        <f t="shared" si="7"/>
        <v/>
      </c>
      <c r="AC68" t="str">
        <f t="shared" si="8"/>
        <v>628999007703</v>
      </c>
      <c r="AD68" t="str">
        <f t="shared" si="10"/>
        <v>Halo+,+Visual+AI+5S+menditeksi+Violation%3A+GUDANGEXP1-LINE+1</v>
      </c>
      <c r="AE68" t="str">
        <f t="shared" si="9"/>
        <v>https://web.whatsapp.com/send/?phone=628999007703&amp;text=Halo+,+Visual+AI+5S+menditeksi+Violation%3A+GUDANGEXP1-LINE+1&amp;type=phone_number&amp;app_absent=0</v>
      </c>
      <c r="AF68" t="b">
        <f>IF(ISNA(VLOOKUP(D68&amp;"-"&amp;AB68, Ref_Kontak!$A:$E, 4, FALSE)), FALSE, TRUE)</f>
        <v>0</v>
      </c>
      <c r="AG68" t="str">
        <f>_xlfn.IFNA(VLOOKUP(Z68,Ref_Kontak!H:H,1,FALSE),"FALSE")</f>
        <v>628999007703</v>
      </c>
      <c r="AH68" t="str">
        <f t="shared" si="11"/>
        <v>GUDANGEXP1-LINE 1</v>
      </c>
      <c r="AI68">
        <f>COUNTIF($AH$1:AH68,AH68)</f>
        <v>67</v>
      </c>
    </row>
    <row r="69" spans="1:35">
      <c r="A69" t="s">
        <v>56</v>
      </c>
      <c r="B69" t="s">
        <v>57</v>
      </c>
      <c r="C69" t="s">
        <v>129</v>
      </c>
      <c r="D69" t="s">
        <v>59</v>
      </c>
      <c r="E69">
        <v>1</v>
      </c>
      <c r="G69" t="s">
        <v>60</v>
      </c>
      <c r="I69" t="s">
        <v>61</v>
      </c>
      <c r="Z69" t="str">
        <f>IFERROR(MID(AA69,FIND("-",H69,1)+1,20),_xlfn.IFNA(VLOOKUP(F69&amp;"-"&amp;AA69,Ref_Kontak!$A:$E,4,FALSE),Ref_Kontak!$H$2))</f>
        <v>628999007703</v>
      </c>
      <c r="AA69" t="str">
        <f t="shared" si="6"/>
        <v/>
      </c>
      <c r="AB69" t="str">
        <f t="shared" si="7"/>
        <v/>
      </c>
      <c r="AC69" t="str">
        <f t="shared" si="8"/>
        <v>628999007703</v>
      </c>
      <c r="AD69" t="str">
        <f t="shared" si="10"/>
        <v>Halo+,+Visual+AI+5S+menditeksi+Violation%3A+GUDANGEXP1-LINE+1</v>
      </c>
      <c r="AE69" t="str">
        <f t="shared" si="9"/>
        <v>https://web.whatsapp.com/send/?phone=628999007703&amp;text=Halo+,+Visual+AI+5S+menditeksi+Violation%3A+GUDANGEXP1-LINE+1&amp;type=phone_number&amp;app_absent=0</v>
      </c>
      <c r="AF69" t="b">
        <f>IF(ISNA(VLOOKUP(D69&amp;"-"&amp;AB69, Ref_Kontak!$A:$E, 4, FALSE)), FALSE, TRUE)</f>
        <v>0</v>
      </c>
      <c r="AG69" t="str">
        <f>_xlfn.IFNA(VLOOKUP(Z69,Ref_Kontak!H:H,1,FALSE),"FALSE")</f>
        <v>628999007703</v>
      </c>
      <c r="AH69" t="str">
        <f t="shared" si="11"/>
        <v>GUDANGEXP1-LINE 1</v>
      </c>
      <c r="AI69">
        <f>COUNTIF($AH$1:AH69,AH69)</f>
        <v>68</v>
      </c>
    </row>
    <row r="70" spans="1:35">
      <c r="A70" t="s">
        <v>56</v>
      </c>
      <c r="B70" t="s">
        <v>57</v>
      </c>
      <c r="C70" t="s">
        <v>130</v>
      </c>
      <c r="D70" t="s">
        <v>59</v>
      </c>
      <c r="E70">
        <v>1</v>
      </c>
      <c r="G70" t="s">
        <v>60</v>
      </c>
      <c r="I70" t="s">
        <v>61</v>
      </c>
      <c r="Z70" t="str">
        <f>IFERROR(MID(AA70,FIND("-",H70,1)+1,20),_xlfn.IFNA(VLOOKUP(F70&amp;"-"&amp;AA70,Ref_Kontak!$A:$E,4,FALSE),Ref_Kontak!$H$2))</f>
        <v>628999007703</v>
      </c>
      <c r="AA70" t="str">
        <f t="shared" si="6"/>
        <v/>
      </c>
      <c r="AB70" t="str">
        <f t="shared" si="7"/>
        <v/>
      </c>
      <c r="AC70" t="str">
        <f t="shared" si="8"/>
        <v>628999007703</v>
      </c>
      <c r="AD70" t="str">
        <f t="shared" si="10"/>
        <v>Halo+,+Visual+AI+5S+menditeksi+Violation%3A+GUDANGEXP1-LINE+1</v>
      </c>
      <c r="AE70" t="str">
        <f t="shared" si="9"/>
        <v>https://web.whatsapp.com/send/?phone=628999007703&amp;text=Halo+,+Visual+AI+5S+menditeksi+Violation%3A+GUDANGEXP1-LINE+1&amp;type=phone_number&amp;app_absent=0</v>
      </c>
      <c r="AF70" t="b">
        <f>IF(ISNA(VLOOKUP(D70&amp;"-"&amp;AB70, Ref_Kontak!$A:$E, 4, FALSE)), FALSE, TRUE)</f>
        <v>0</v>
      </c>
      <c r="AG70" t="str">
        <f>_xlfn.IFNA(VLOOKUP(Z70,Ref_Kontak!H:H,1,FALSE),"FALSE")</f>
        <v>628999007703</v>
      </c>
      <c r="AH70" t="str">
        <f t="shared" si="11"/>
        <v>GUDANGEXP1-LINE 1</v>
      </c>
      <c r="AI70">
        <f>COUNTIF($AH$1:AH70,AH70)</f>
        <v>69</v>
      </c>
    </row>
    <row r="71" spans="1:35">
      <c r="A71" t="s">
        <v>56</v>
      </c>
      <c r="B71" t="s">
        <v>57</v>
      </c>
      <c r="C71" t="s">
        <v>131</v>
      </c>
      <c r="D71" t="s">
        <v>59</v>
      </c>
      <c r="E71">
        <v>1</v>
      </c>
      <c r="G71" t="s">
        <v>60</v>
      </c>
      <c r="I71" t="s">
        <v>61</v>
      </c>
      <c r="Z71" t="str">
        <f>IFERROR(MID(AA71,FIND("-",H71,1)+1,20),_xlfn.IFNA(VLOOKUP(F71&amp;"-"&amp;AA71,Ref_Kontak!$A:$E,4,FALSE),Ref_Kontak!$H$2))</f>
        <v>628999007703</v>
      </c>
      <c r="AA71" t="str">
        <f t="shared" si="6"/>
        <v/>
      </c>
      <c r="AB71" t="str">
        <f t="shared" si="7"/>
        <v/>
      </c>
      <c r="AC71" t="str">
        <f t="shared" si="8"/>
        <v>628999007703</v>
      </c>
      <c r="AD71" t="str">
        <f t="shared" si="10"/>
        <v>Halo+,+Visual+AI+5S+menditeksi+Violation%3A+GUDANGEXP1-LINE+1</v>
      </c>
      <c r="AE71" t="str">
        <f t="shared" si="9"/>
        <v>https://web.whatsapp.com/send/?phone=628999007703&amp;text=Halo+,+Visual+AI+5S+menditeksi+Violation%3A+GUDANGEXP1-LINE+1&amp;type=phone_number&amp;app_absent=0</v>
      </c>
      <c r="AF71" t="b">
        <f>IF(ISNA(VLOOKUP(D71&amp;"-"&amp;AB71, Ref_Kontak!$A:$E, 4, FALSE)), FALSE, TRUE)</f>
        <v>0</v>
      </c>
      <c r="AG71" t="str">
        <f>_xlfn.IFNA(VLOOKUP(Z71,Ref_Kontak!H:H,1,FALSE),"FALSE")</f>
        <v>628999007703</v>
      </c>
      <c r="AH71" t="str">
        <f t="shared" si="11"/>
        <v>GUDANGEXP1-LINE 1</v>
      </c>
      <c r="AI71">
        <f>COUNTIF($AH$1:AH71,AH71)</f>
        <v>70</v>
      </c>
    </row>
    <row r="72" spans="1:35">
      <c r="A72" t="s">
        <v>56</v>
      </c>
      <c r="B72" t="s">
        <v>57</v>
      </c>
      <c r="C72" t="s">
        <v>132</v>
      </c>
      <c r="D72" t="s">
        <v>59</v>
      </c>
      <c r="E72">
        <v>1</v>
      </c>
      <c r="G72" t="s">
        <v>60</v>
      </c>
      <c r="I72" t="s">
        <v>61</v>
      </c>
      <c r="Z72" t="str">
        <f>IFERROR(MID(AA72,FIND("-",H72,1)+1,20),_xlfn.IFNA(VLOOKUP(F72&amp;"-"&amp;AA72,Ref_Kontak!$A:$E,4,FALSE),Ref_Kontak!$H$2))</f>
        <v>628999007703</v>
      </c>
      <c r="AA72" t="str">
        <f t="shared" si="6"/>
        <v/>
      </c>
      <c r="AB72" t="str">
        <f t="shared" si="7"/>
        <v/>
      </c>
      <c r="AC72" t="str">
        <f t="shared" si="8"/>
        <v>628999007703</v>
      </c>
      <c r="AD72" t="str">
        <f t="shared" si="10"/>
        <v>Halo+,+Visual+AI+5S+menditeksi+Violation%3A+GUDANGEXP1-LINE+1</v>
      </c>
      <c r="AE72" t="str">
        <f t="shared" si="9"/>
        <v>https://web.whatsapp.com/send/?phone=628999007703&amp;text=Halo+,+Visual+AI+5S+menditeksi+Violation%3A+GUDANGEXP1-LINE+1&amp;type=phone_number&amp;app_absent=0</v>
      </c>
      <c r="AF72" t="b">
        <f>IF(ISNA(VLOOKUP(D72&amp;"-"&amp;AB72, Ref_Kontak!$A:$E, 4, FALSE)), FALSE, TRUE)</f>
        <v>0</v>
      </c>
      <c r="AG72" t="str">
        <f>_xlfn.IFNA(VLOOKUP(Z72,Ref_Kontak!H:H,1,FALSE),"FALSE")</f>
        <v>628999007703</v>
      </c>
      <c r="AH72" t="str">
        <f t="shared" si="11"/>
        <v>GUDANGEXP1-LINE 1</v>
      </c>
      <c r="AI72">
        <f>COUNTIF($AH$1:AH72,AH72)</f>
        <v>71</v>
      </c>
    </row>
    <row r="73" spans="1:35">
      <c r="A73" t="s">
        <v>56</v>
      </c>
      <c r="B73" t="s">
        <v>57</v>
      </c>
      <c r="C73" t="s">
        <v>133</v>
      </c>
      <c r="D73" t="s">
        <v>59</v>
      </c>
      <c r="E73">
        <v>1</v>
      </c>
      <c r="G73" t="s">
        <v>60</v>
      </c>
      <c r="I73" t="s">
        <v>61</v>
      </c>
      <c r="Z73" t="str">
        <f>IFERROR(MID(AA73,FIND("-",H73,1)+1,20),_xlfn.IFNA(VLOOKUP(F73&amp;"-"&amp;AA73,Ref_Kontak!$A:$E,4,FALSE),Ref_Kontak!$H$2))</f>
        <v>628999007703</v>
      </c>
      <c r="AA73" t="str">
        <f t="shared" si="6"/>
        <v/>
      </c>
      <c r="AB73" t="str">
        <f t="shared" si="7"/>
        <v/>
      </c>
      <c r="AC73" t="str">
        <f t="shared" si="8"/>
        <v>628999007703</v>
      </c>
      <c r="AD73" t="str">
        <f t="shared" si="10"/>
        <v>Halo+,+Visual+AI+5S+menditeksi+Violation%3A+GUDANGEXP1-LINE+1</v>
      </c>
      <c r="AE73" t="str">
        <f t="shared" si="9"/>
        <v>https://web.whatsapp.com/send/?phone=628999007703&amp;text=Halo+,+Visual+AI+5S+menditeksi+Violation%3A+GUDANGEXP1-LINE+1&amp;type=phone_number&amp;app_absent=0</v>
      </c>
      <c r="AF73" t="b">
        <f>IF(ISNA(VLOOKUP(D73&amp;"-"&amp;AB73, Ref_Kontak!$A:$E, 4, FALSE)), FALSE, TRUE)</f>
        <v>0</v>
      </c>
      <c r="AG73" t="str">
        <f>_xlfn.IFNA(VLOOKUP(Z73,Ref_Kontak!H:H,1,FALSE),"FALSE")</f>
        <v>628999007703</v>
      </c>
      <c r="AH73" t="str">
        <f t="shared" si="11"/>
        <v>GUDANGEXP1-LINE 1</v>
      </c>
      <c r="AI73">
        <f>COUNTIF($AH$1:AH73,AH73)</f>
        <v>72</v>
      </c>
    </row>
    <row r="74" spans="1:35">
      <c r="A74" t="s">
        <v>56</v>
      </c>
      <c r="B74" t="s">
        <v>57</v>
      </c>
      <c r="C74" t="s">
        <v>134</v>
      </c>
      <c r="D74" t="s">
        <v>59</v>
      </c>
      <c r="E74">
        <v>1</v>
      </c>
      <c r="G74" t="s">
        <v>60</v>
      </c>
      <c r="I74" t="s">
        <v>61</v>
      </c>
      <c r="Z74" t="str">
        <f>IFERROR(MID(AA74,FIND("-",H74,1)+1,20),_xlfn.IFNA(VLOOKUP(F74&amp;"-"&amp;AA74,Ref_Kontak!$A:$E,4,FALSE),Ref_Kontak!$H$2))</f>
        <v>628999007703</v>
      </c>
      <c r="AA74" t="str">
        <f t="shared" si="6"/>
        <v/>
      </c>
      <c r="AB74" t="str">
        <f t="shared" si="7"/>
        <v/>
      </c>
      <c r="AC74" t="str">
        <f t="shared" si="8"/>
        <v>628999007703</v>
      </c>
      <c r="AD74" t="str">
        <f t="shared" si="10"/>
        <v>Halo+,+Visual+AI+5S+menditeksi+Violation%3A+GUDANGEXP1-LINE+1</v>
      </c>
      <c r="AE74" t="str">
        <f t="shared" si="9"/>
        <v>https://web.whatsapp.com/send/?phone=628999007703&amp;text=Halo+,+Visual+AI+5S+menditeksi+Violation%3A+GUDANGEXP1-LINE+1&amp;type=phone_number&amp;app_absent=0</v>
      </c>
      <c r="AF74" t="b">
        <f>IF(ISNA(VLOOKUP(D74&amp;"-"&amp;AB74, Ref_Kontak!$A:$E, 4, FALSE)), FALSE, TRUE)</f>
        <v>0</v>
      </c>
      <c r="AG74" t="str">
        <f>_xlfn.IFNA(VLOOKUP(Z74,Ref_Kontak!H:H,1,FALSE),"FALSE")</f>
        <v>628999007703</v>
      </c>
      <c r="AH74" t="str">
        <f t="shared" si="11"/>
        <v>GUDANGEXP1-LINE 1</v>
      </c>
      <c r="AI74">
        <f>COUNTIF($AH$1:AH74,AH74)</f>
        <v>73</v>
      </c>
    </row>
    <row r="75" spans="1:35">
      <c r="A75" t="s">
        <v>56</v>
      </c>
      <c r="B75" t="s">
        <v>57</v>
      </c>
      <c r="C75" t="s">
        <v>135</v>
      </c>
      <c r="D75" t="s">
        <v>59</v>
      </c>
      <c r="E75">
        <v>1</v>
      </c>
      <c r="G75" t="s">
        <v>60</v>
      </c>
      <c r="I75" t="s">
        <v>61</v>
      </c>
      <c r="Z75" t="str">
        <f>IFERROR(MID(AA75,FIND("-",H75,1)+1,20),_xlfn.IFNA(VLOOKUP(F75&amp;"-"&amp;AA75,Ref_Kontak!$A:$E,4,FALSE),Ref_Kontak!$H$2))</f>
        <v>628999007703</v>
      </c>
      <c r="AA75" t="str">
        <f t="shared" si="6"/>
        <v/>
      </c>
      <c r="AB75" t="str">
        <f t="shared" si="7"/>
        <v/>
      </c>
      <c r="AC75" t="str">
        <f t="shared" si="8"/>
        <v>628999007703</v>
      </c>
      <c r="AD75" t="str">
        <f t="shared" si="10"/>
        <v>Halo+,+Visual+AI+5S+menditeksi+Violation%3A+GUDANGEXP1-LINE+1</v>
      </c>
      <c r="AE75" t="str">
        <f t="shared" si="9"/>
        <v>https://web.whatsapp.com/send/?phone=628999007703&amp;text=Halo+,+Visual+AI+5S+menditeksi+Violation%3A+GUDANGEXP1-LINE+1&amp;type=phone_number&amp;app_absent=0</v>
      </c>
      <c r="AF75" t="b">
        <f>IF(ISNA(VLOOKUP(D75&amp;"-"&amp;AB75, Ref_Kontak!$A:$E, 4, FALSE)), FALSE, TRUE)</f>
        <v>0</v>
      </c>
      <c r="AG75" t="str">
        <f>_xlfn.IFNA(VLOOKUP(Z75,Ref_Kontak!H:H,1,FALSE),"FALSE")</f>
        <v>628999007703</v>
      </c>
      <c r="AH75" t="str">
        <f t="shared" si="11"/>
        <v>GUDANGEXP1-LINE 1</v>
      </c>
      <c r="AI75">
        <f>COUNTIF($AH$1:AH75,AH75)</f>
        <v>74</v>
      </c>
    </row>
    <row r="76" spans="1:35">
      <c r="A76" t="s">
        <v>56</v>
      </c>
      <c r="B76" t="s">
        <v>57</v>
      </c>
      <c r="C76" t="s">
        <v>136</v>
      </c>
      <c r="D76" t="s">
        <v>59</v>
      </c>
      <c r="E76">
        <v>1</v>
      </c>
      <c r="G76" t="s">
        <v>60</v>
      </c>
      <c r="I76" t="s">
        <v>61</v>
      </c>
      <c r="Z76" t="str">
        <f>IFERROR(MID(AA76,FIND("-",H76,1)+1,20),_xlfn.IFNA(VLOOKUP(F76&amp;"-"&amp;AA76,Ref_Kontak!$A:$E,4,FALSE),Ref_Kontak!$H$2))</f>
        <v>628999007703</v>
      </c>
      <c r="AA76" t="str">
        <f t="shared" si="6"/>
        <v/>
      </c>
      <c r="AB76" t="str">
        <f t="shared" si="7"/>
        <v/>
      </c>
      <c r="AC76" t="str">
        <f t="shared" si="8"/>
        <v>628999007703</v>
      </c>
      <c r="AD76" t="str">
        <f t="shared" si="10"/>
        <v>Halo+,+Visual+AI+5S+menditeksi+Violation%3A+GUDANGEXP1-LINE+1</v>
      </c>
      <c r="AE76" t="str">
        <f t="shared" si="9"/>
        <v>https://web.whatsapp.com/send/?phone=628999007703&amp;text=Halo+,+Visual+AI+5S+menditeksi+Violation%3A+GUDANGEXP1-LINE+1&amp;type=phone_number&amp;app_absent=0</v>
      </c>
      <c r="AF76" t="b">
        <f>IF(ISNA(VLOOKUP(D76&amp;"-"&amp;AB76, Ref_Kontak!$A:$E, 4, FALSE)), FALSE, TRUE)</f>
        <v>0</v>
      </c>
      <c r="AG76" t="str">
        <f>_xlfn.IFNA(VLOOKUP(Z76,Ref_Kontak!H:H,1,FALSE),"FALSE")</f>
        <v>628999007703</v>
      </c>
      <c r="AH76" t="str">
        <f t="shared" si="11"/>
        <v>GUDANGEXP1-LINE 1</v>
      </c>
      <c r="AI76">
        <f>COUNTIF($AH$1:AH76,AH76)</f>
        <v>75</v>
      </c>
    </row>
    <row r="77" spans="1:35">
      <c r="A77" t="s">
        <v>56</v>
      </c>
      <c r="B77" t="s">
        <v>57</v>
      </c>
      <c r="C77" t="s">
        <v>137</v>
      </c>
      <c r="D77" t="s">
        <v>59</v>
      </c>
      <c r="E77">
        <v>1</v>
      </c>
      <c r="G77" t="s">
        <v>60</v>
      </c>
      <c r="I77" t="s">
        <v>61</v>
      </c>
      <c r="Z77" t="str">
        <f>IFERROR(MID(AA77,FIND("-",H77,1)+1,20),_xlfn.IFNA(VLOOKUP(F77&amp;"-"&amp;AA77,Ref_Kontak!$A:$E,4,FALSE),Ref_Kontak!$H$2))</f>
        <v>628999007703</v>
      </c>
      <c r="AA77" t="str">
        <f t="shared" si="6"/>
        <v/>
      </c>
      <c r="AB77" t="str">
        <f t="shared" si="7"/>
        <v/>
      </c>
      <c r="AC77" t="str">
        <f t="shared" si="8"/>
        <v>628999007703</v>
      </c>
      <c r="AD77" t="str">
        <f t="shared" si="10"/>
        <v>Halo+,+Visual+AI+5S+menditeksi+Violation%3A+GUDANGEXP1-LINE+1</v>
      </c>
      <c r="AE77" t="str">
        <f t="shared" si="9"/>
        <v>https://web.whatsapp.com/send/?phone=628999007703&amp;text=Halo+,+Visual+AI+5S+menditeksi+Violation%3A+GUDANGEXP1-LINE+1&amp;type=phone_number&amp;app_absent=0</v>
      </c>
      <c r="AF77" t="b">
        <f>IF(ISNA(VLOOKUP(D77&amp;"-"&amp;AB77, Ref_Kontak!$A:$E, 4, FALSE)), FALSE, TRUE)</f>
        <v>0</v>
      </c>
      <c r="AG77" t="str">
        <f>_xlfn.IFNA(VLOOKUP(Z77,Ref_Kontak!H:H,1,FALSE),"FALSE")</f>
        <v>628999007703</v>
      </c>
      <c r="AH77" t="str">
        <f t="shared" si="11"/>
        <v>GUDANGEXP1-LINE 1</v>
      </c>
      <c r="AI77">
        <f>COUNTIF($AH$1:AH77,AH77)</f>
        <v>76</v>
      </c>
    </row>
    <row r="78" spans="1:35">
      <c r="A78" t="s">
        <v>56</v>
      </c>
      <c r="B78" t="s">
        <v>57</v>
      </c>
      <c r="C78" t="s">
        <v>138</v>
      </c>
      <c r="D78" t="s">
        <v>59</v>
      </c>
      <c r="E78">
        <v>1</v>
      </c>
      <c r="G78" t="s">
        <v>60</v>
      </c>
      <c r="I78" t="s">
        <v>61</v>
      </c>
      <c r="Z78" t="str">
        <f>IFERROR(MID(AA78,FIND("-",H78,1)+1,20),_xlfn.IFNA(VLOOKUP(F78&amp;"-"&amp;AA78,Ref_Kontak!$A:$E,4,FALSE),Ref_Kontak!$H$2))</f>
        <v>628999007703</v>
      </c>
      <c r="AA78" t="str">
        <f t="shared" si="6"/>
        <v/>
      </c>
      <c r="AB78" t="str">
        <f t="shared" si="7"/>
        <v/>
      </c>
      <c r="AC78" t="str">
        <f t="shared" si="8"/>
        <v>628999007703</v>
      </c>
      <c r="AD78" t="str">
        <f t="shared" si="10"/>
        <v>Halo+,+Visual+AI+5S+menditeksi+Violation%3A+GUDANGEXP1-LINE+1</v>
      </c>
      <c r="AE78" t="str">
        <f t="shared" si="9"/>
        <v>https://web.whatsapp.com/send/?phone=628999007703&amp;text=Halo+,+Visual+AI+5S+menditeksi+Violation%3A+GUDANGEXP1-LINE+1&amp;type=phone_number&amp;app_absent=0</v>
      </c>
      <c r="AF78" t="b">
        <f>IF(ISNA(VLOOKUP(D78&amp;"-"&amp;AB78, Ref_Kontak!$A:$E, 4, FALSE)), FALSE, TRUE)</f>
        <v>0</v>
      </c>
      <c r="AG78" t="str">
        <f>_xlfn.IFNA(VLOOKUP(Z78,Ref_Kontak!H:H,1,FALSE),"FALSE")</f>
        <v>628999007703</v>
      </c>
      <c r="AH78" t="str">
        <f t="shared" si="11"/>
        <v>GUDANGEXP1-LINE 1</v>
      </c>
      <c r="AI78">
        <f>COUNTIF($AH$1:AH78,AH78)</f>
        <v>77</v>
      </c>
    </row>
    <row r="79" spans="1:35">
      <c r="A79" t="s">
        <v>56</v>
      </c>
      <c r="B79" t="s">
        <v>57</v>
      </c>
      <c r="C79" t="s">
        <v>139</v>
      </c>
      <c r="D79" t="s">
        <v>59</v>
      </c>
      <c r="E79">
        <v>1</v>
      </c>
      <c r="G79" t="s">
        <v>60</v>
      </c>
      <c r="I79" t="s">
        <v>61</v>
      </c>
      <c r="Z79" t="str">
        <f>IFERROR(MID(AA79,FIND("-",H79,1)+1,20),_xlfn.IFNA(VLOOKUP(F79&amp;"-"&amp;AA79,Ref_Kontak!$A:$E,4,FALSE),Ref_Kontak!$H$2))</f>
        <v>628999007703</v>
      </c>
      <c r="AA79" t="str">
        <f t="shared" si="6"/>
        <v/>
      </c>
      <c r="AB79" t="str">
        <f t="shared" si="7"/>
        <v/>
      </c>
      <c r="AC79" t="str">
        <f t="shared" si="8"/>
        <v>628999007703</v>
      </c>
      <c r="AD79" t="str">
        <f t="shared" si="10"/>
        <v>Halo+,+Visual+AI+5S+menditeksi+Violation%3A+GUDANGEXP1-LINE+1</v>
      </c>
      <c r="AE79" t="str">
        <f t="shared" si="9"/>
        <v>https://web.whatsapp.com/send/?phone=628999007703&amp;text=Halo+,+Visual+AI+5S+menditeksi+Violation%3A+GUDANGEXP1-LINE+1&amp;type=phone_number&amp;app_absent=0</v>
      </c>
      <c r="AF79" t="b">
        <f>IF(ISNA(VLOOKUP(D79&amp;"-"&amp;AB79, Ref_Kontak!$A:$E, 4, FALSE)), FALSE, TRUE)</f>
        <v>0</v>
      </c>
      <c r="AG79" t="str">
        <f>_xlfn.IFNA(VLOOKUP(Z79,Ref_Kontak!H:H,1,FALSE),"FALSE")</f>
        <v>628999007703</v>
      </c>
      <c r="AH79" t="str">
        <f t="shared" si="11"/>
        <v>GUDANGEXP1-LINE 1</v>
      </c>
      <c r="AI79">
        <f>COUNTIF($AH$1:AH79,AH79)</f>
        <v>78</v>
      </c>
    </row>
    <row r="80" spans="1:35">
      <c r="A80" t="s">
        <v>56</v>
      </c>
      <c r="B80" t="s">
        <v>57</v>
      </c>
      <c r="C80" t="s">
        <v>140</v>
      </c>
      <c r="D80" t="s">
        <v>59</v>
      </c>
      <c r="E80">
        <v>1</v>
      </c>
      <c r="G80" t="s">
        <v>60</v>
      </c>
      <c r="I80" t="s">
        <v>61</v>
      </c>
      <c r="Z80" t="str">
        <f>IFERROR(MID(AA80,FIND("-",H80,1)+1,20),_xlfn.IFNA(VLOOKUP(F80&amp;"-"&amp;AA80,Ref_Kontak!$A:$E,4,FALSE),Ref_Kontak!$H$2))</f>
        <v>628999007703</v>
      </c>
      <c r="AA80" t="str">
        <f t="shared" si="6"/>
        <v/>
      </c>
      <c r="AB80" t="str">
        <f t="shared" si="7"/>
        <v/>
      </c>
      <c r="AC80" t="str">
        <f t="shared" si="8"/>
        <v>628999007703</v>
      </c>
      <c r="AD80" t="str">
        <f t="shared" si="10"/>
        <v>Halo+,+Visual+AI+5S+menditeksi+Violation%3A+GUDANGEXP1-LINE+1</v>
      </c>
      <c r="AE80" t="str">
        <f t="shared" si="9"/>
        <v>https://web.whatsapp.com/send/?phone=628999007703&amp;text=Halo+,+Visual+AI+5S+menditeksi+Violation%3A+GUDANGEXP1-LINE+1&amp;type=phone_number&amp;app_absent=0</v>
      </c>
      <c r="AF80" t="b">
        <f>IF(ISNA(VLOOKUP(D80&amp;"-"&amp;AB80, Ref_Kontak!$A:$E, 4, FALSE)), FALSE, TRUE)</f>
        <v>0</v>
      </c>
      <c r="AG80" t="str">
        <f>_xlfn.IFNA(VLOOKUP(Z80,Ref_Kontak!H:H,1,FALSE),"FALSE")</f>
        <v>628999007703</v>
      </c>
      <c r="AH80" t="str">
        <f t="shared" si="11"/>
        <v>GUDANGEXP1-LINE 1</v>
      </c>
      <c r="AI80">
        <f>COUNTIF($AH$1:AH80,AH80)</f>
        <v>79</v>
      </c>
    </row>
    <row r="81" spans="1:35">
      <c r="A81" t="s">
        <v>56</v>
      </c>
      <c r="B81" t="s">
        <v>57</v>
      </c>
      <c r="C81" t="s">
        <v>141</v>
      </c>
      <c r="D81" t="s">
        <v>59</v>
      </c>
      <c r="E81">
        <v>1</v>
      </c>
      <c r="G81" t="s">
        <v>60</v>
      </c>
      <c r="I81" t="s">
        <v>61</v>
      </c>
      <c r="Z81" t="str">
        <f>IFERROR(MID(AA81,FIND("-",H81,1)+1,20),_xlfn.IFNA(VLOOKUP(F81&amp;"-"&amp;AA81,Ref_Kontak!$A:$E,4,FALSE),Ref_Kontak!$H$2))</f>
        <v>628999007703</v>
      </c>
      <c r="AA81" t="str">
        <f t="shared" si="6"/>
        <v/>
      </c>
      <c r="AB81" t="str">
        <f t="shared" si="7"/>
        <v/>
      </c>
      <c r="AC81" t="str">
        <f t="shared" si="8"/>
        <v>628999007703</v>
      </c>
      <c r="AD81" t="str">
        <f t="shared" si="10"/>
        <v>Halo+,+Visual+AI+5S+menditeksi+Violation%3A+GUDANGEXP1-LINE+1</v>
      </c>
      <c r="AE81" t="str">
        <f t="shared" si="9"/>
        <v>https://web.whatsapp.com/send/?phone=628999007703&amp;text=Halo+,+Visual+AI+5S+menditeksi+Violation%3A+GUDANGEXP1-LINE+1&amp;type=phone_number&amp;app_absent=0</v>
      </c>
      <c r="AF81" t="b">
        <f>IF(ISNA(VLOOKUP(D81&amp;"-"&amp;AB81, Ref_Kontak!$A:$E, 4, FALSE)), FALSE, TRUE)</f>
        <v>0</v>
      </c>
      <c r="AG81" t="str">
        <f>_xlfn.IFNA(VLOOKUP(Z81,Ref_Kontak!H:H,1,FALSE),"FALSE")</f>
        <v>628999007703</v>
      </c>
      <c r="AH81" t="str">
        <f t="shared" si="11"/>
        <v>GUDANGEXP1-LINE 1</v>
      </c>
      <c r="AI81">
        <f>COUNTIF($AH$1:AH81,AH81)</f>
        <v>80</v>
      </c>
    </row>
    <row r="82" spans="1:35">
      <c r="A82" t="s">
        <v>56</v>
      </c>
      <c r="B82" t="s">
        <v>57</v>
      </c>
      <c r="C82" t="s">
        <v>142</v>
      </c>
      <c r="D82" t="s">
        <v>59</v>
      </c>
      <c r="E82">
        <v>1</v>
      </c>
      <c r="G82" t="s">
        <v>60</v>
      </c>
      <c r="I82" t="s">
        <v>61</v>
      </c>
      <c r="Z82" t="str">
        <f>IFERROR(MID(AA82,FIND("-",H82,1)+1,20),_xlfn.IFNA(VLOOKUP(F82&amp;"-"&amp;AA82,Ref_Kontak!$A:$E,4,FALSE),Ref_Kontak!$H$2))</f>
        <v>628999007703</v>
      </c>
      <c r="AA82" t="str">
        <f t="shared" si="6"/>
        <v/>
      </c>
      <c r="AB82" t="str">
        <f t="shared" si="7"/>
        <v/>
      </c>
      <c r="AC82" t="str">
        <f t="shared" si="8"/>
        <v>628999007703</v>
      </c>
      <c r="AD82" t="str">
        <f t="shared" si="10"/>
        <v>Halo+,+Visual+AI+5S+menditeksi+Violation%3A+GUDANGEXP1-LINE+1</v>
      </c>
      <c r="AE82" t="str">
        <f t="shared" si="9"/>
        <v>https://web.whatsapp.com/send/?phone=628999007703&amp;text=Halo+,+Visual+AI+5S+menditeksi+Violation%3A+GUDANGEXP1-LINE+1&amp;type=phone_number&amp;app_absent=0</v>
      </c>
      <c r="AF82" t="b">
        <f>IF(ISNA(VLOOKUP(D82&amp;"-"&amp;AB82, Ref_Kontak!$A:$E, 4, FALSE)), FALSE, TRUE)</f>
        <v>0</v>
      </c>
      <c r="AG82" t="str">
        <f>_xlfn.IFNA(VLOOKUP(Z82,Ref_Kontak!H:H,1,FALSE),"FALSE")</f>
        <v>628999007703</v>
      </c>
      <c r="AH82" t="str">
        <f t="shared" si="11"/>
        <v>GUDANGEXP1-LINE 1</v>
      </c>
      <c r="AI82">
        <f>COUNTIF($AH$1:AH82,AH82)</f>
        <v>81</v>
      </c>
    </row>
    <row r="83" spans="1:35">
      <c r="A83" t="s">
        <v>56</v>
      </c>
      <c r="B83" t="s">
        <v>57</v>
      </c>
      <c r="C83" t="s">
        <v>143</v>
      </c>
      <c r="D83" t="s">
        <v>59</v>
      </c>
      <c r="E83">
        <v>1</v>
      </c>
      <c r="G83" t="s">
        <v>60</v>
      </c>
      <c r="I83" t="s">
        <v>61</v>
      </c>
      <c r="Z83" t="str">
        <f>IFERROR(MID(AA83,FIND("-",H83,1)+1,20),_xlfn.IFNA(VLOOKUP(F83&amp;"-"&amp;AA83,Ref_Kontak!$A:$E,4,FALSE),Ref_Kontak!$H$2))</f>
        <v>628999007703</v>
      </c>
      <c r="AA83" t="str">
        <f t="shared" si="6"/>
        <v/>
      </c>
      <c r="AB83" t="str">
        <f t="shared" si="7"/>
        <v/>
      </c>
      <c r="AC83" t="str">
        <f t="shared" si="8"/>
        <v>628999007703</v>
      </c>
      <c r="AD83" t="str">
        <f t="shared" si="10"/>
        <v>Halo+,+Visual+AI+5S+menditeksi+Violation%3A+GUDANGEXP1-LINE+1</v>
      </c>
      <c r="AE83" t="str">
        <f t="shared" si="9"/>
        <v>https://web.whatsapp.com/send/?phone=628999007703&amp;text=Halo+,+Visual+AI+5S+menditeksi+Violation%3A+GUDANGEXP1-LINE+1&amp;type=phone_number&amp;app_absent=0</v>
      </c>
      <c r="AF83" t="b">
        <f>IF(ISNA(VLOOKUP(D83&amp;"-"&amp;AB83, Ref_Kontak!$A:$E, 4, FALSE)), FALSE, TRUE)</f>
        <v>0</v>
      </c>
      <c r="AG83" t="str">
        <f>_xlfn.IFNA(VLOOKUP(Z83,Ref_Kontak!H:H,1,FALSE),"FALSE")</f>
        <v>628999007703</v>
      </c>
      <c r="AH83" t="str">
        <f t="shared" si="11"/>
        <v>GUDANGEXP1-LINE 1</v>
      </c>
      <c r="AI83">
        <f>COUNTIF($AH$1:AH83,AH83)</f>
        <v>82</v>
      </c>
    </row>
    <row r="84" spans="1:35">
      <c r="A84" t="s">
        <v>56</v>
      </c>
      <c r="B84" t="s">
        <v>57</v>
      </c>
      <c r="C84" t="s">
        <v>144</v>
      </c>
      <c r="D84" t="s">
        <v>59</v>
      </c>
      <c r="E84">
        <v>1</v>
      </c>
      <c r="G84" t="s">
        <v>60</v>
      </c>
      <c r="I84" t="s">
        <v>61</v>
      </c>
      <c r="Z84" t="str">
        <f>IFERROR(MID(AA84,FIND("-",H84,1)+1,20),_xlfn.IFNA(VLOOKUP(F84&amp;"-"&amp;AA84,Ref_Kontak!$A:$E,4,FALSE),Ref_Kontak!$H$2))</f>
        <v>628999007703</v>
      </c>
      <c r="AA84" t="str">
        <f t="shared" si="6"/>
        <v/>
      </c>
      <c r="AB84" t="str">
        <f t="shared" si="7"/>
        <v/>
      </c>
      <c r="AC84" t="str">
        <f t="shared" si="8"/>
        <v>628999007703</v>
      </c>
      <c r="AD84" t="str">
        <f t="shared" si="10"/>
        <v>Halo+,+Visual+AI+5S+menditeksi+Violation%3A+GUDANGEXP1-LINE+1</v>
      </c>
      <c r="AE84" t="str">
        <f t="shared" si="9"/>
        <v>https://web.whatsapp.com/send/?phone=628999007703&amp;text=Halo+,+Visual+AI+5S+menditeksi+Violation%3A+GUDANGEXP1-LINE+1&amp;type=phone_number&amp;app_absent=0</v>
      </c>
      <c r="AF84" t="b">
        <f>IF(ISNA(VLOOKUP(D84&amp;"-"&amp;AB84, Ref_Kontak!$A:$E, 4, FALSE)), FALSE, TRUE)</f>
        <v>0</v>
      </c>
      <c r="AG84" t="str">
        <f>_xlfn.IFNA(VLOOKUP(Z84,Ref_Kontak!H:H,1,FALSE),"FALSE")</f>
        <v>628999007703</v>
      </c>
      <c r="AH84" t="str">
        <f t="shared" si="11"/>
        <v>GUDANGEXP1-LINE 1</v>
      </c>
      <c r="AI84">
        <f>COUNTIF($AH$1:AH84,AH84)</f>
        <v>83</v>
      </c>
    </row>
    <row r="85" spans="1:35">
      <c r="A85" t="s">
        <v>56</v>
      </c>
      <c r="B85" t="s">
        <v>57</v>
      </c>
      <c r="C85" t="s">
        <v>145</v>
      </c>
      <c r="D85" t="s">
        <v>59</v>
      </c>
      <c r="E85">
        <v>1</v>
      </c>
      <c r="G85" t="s">
        <v>60</v>
      </c>
      <c r="I85" t="s">
        <v>61</v>
      </c>
      <c r="Z85" t="str">
        <f>IFERROR(MID(AA85,FIND("-",H85,1)+1,20),_xlfn.IFNA(VLOOKUP(F85&amp;"-"&amp;AA85,Ref_Kontak!$A:$E,4,FALSE),Ref_Kontak!$H$2))</f>
        <v>628999007703</v>
      </c>
      <c r="AA85" t="str">
        <f t="shared" si="6"/>
        <v/>
      </c>
      <c r="AB85" t="str">
        <f t="shared" si="7"/>
        <v/>
      </c>
      <c r="AC85" t="str">
        <f t="shared" si="8"/>
        <v>628999007703</v>
      </c>
      <c r="AD85" t="str">
        <f t="shared" si="10"/>
        <v>Halo+,+Visual+AI+5S+menditeksi+Violation%3A+GUDANGEXP1-LINE+1</v>
      </c>
      <c r="AE85" t="str">
        <f t="shared" si="9"/>
        <v>https://web.whatsapp.com/send/?phone=628999007703&amp;text=Halo+,+Visual+AI+5S+menditeksi+Violation%3A+GUDANGEXP1-LINE+1&amp;type=phone_number&amp;app_absent=0</v>
      </c>
      <c r="AF85" t="b">
        <f>IF(ISNA(VLOOKUP(D85&amp;"-"&amp;AB85, Ref_Kontak!$A:$E, 4, FALSE)), FALSE, TRUE)</f>
        <v>0</v>
      </c>
      <c r="AG85" t="str">
        <f>_xlfn.IFNA(VLOOKUP(Z85,Ref_Kontak!H:H,1,FALSE),"FALSE")</f>
        <v>628999007703</v>
      </c>
      <c r="AH85" t="str">
        <f t="shared" si="11"/>
        <v>GUDANGEXP1-LINE 1</v>
      </c>
      <c r="AI85">
        <f>COUNTIF($AH$1:AH85,AH85)</f>
        <v>84</v>
      </c>
    </row>
    <row r="86" spans="1:35">
      <c r="A86" t="s">
        <v>56</v>
      </c>
      <c r="B86" t="s">
        <v>57</v>
      </c>
      <c r="C86" t="s">
        <v>146</v>
      </c>
      <c r="D86" t="s">
        <v>59</v>
      </c>
      <c r="E86">
        <v>1</v>
      </c>
      <c r="G86" t="s">
        <v>60</v>
      </c>
      <c r="I86" t="s">
        <v>61</v>
      </c>
      <c r="Z86" t="str">
        <f>IFERROR(MID(AA86,FIND("-",H86,1)+1,20),_xlfn.IFNA(VLOOKUP(F86&amp;"-"&amp;AA86,Ref_Kontak!$A:$E,4,FALSE),Ref_Kontak!$H$2))</f>
        <v>628999007703</v>
      </c>
      <c r="AA86" t="str">
        <f t="shared" si="6"/>
        <v/>
      </c>
      <c r="AB86" t="str">
        <f t="shared" si="7"/>
        <v/>
      </c>
      <c r="AC86" t="str">
        <f t="shared" si="8"/>
        <v>628999007703</v>
      </c>
      <c r="AD86" t="str">
        <f t="shared" si="10"/>
        <v>Halo+,+Visual+AI+5S+menditeksi+Violation%3A+GUDANGEXP1-LINE+1</v>
      </c>
      <c r="AE86" t="str">
        <f t="shared" si="9"/>
        <v>https://web.whatsapp.com/send/?phone=628999007703&amp;text=Halo+,+Visual+AI+5S+menditeksi+Violation%3A+GUDANGEXP1-LINE+1&amp;type=phone_number&amp;app_absent=0</v>
      </c>
      <c r="AF86" t="b">
        <f>IF(ISNA(VLOOKUP(D86&amp;"-"&amp;AB86, Ref_Kontak!$A:$E, 4, FALSE)), FALSE, TRUE)</f>
        <v>0</v>
      </c>
      <c r="AG86" t="str">
        <f>_xlfn.IFNA(VLOOKUP(Z86,Ref_Kontak!H:H,1,FALSE),"FALSE")</f>
        <v>628999007703</v>
      </c>
      <c r="AH86" t="str">
        <f t="shared" si="11"/>
        <v>GUDANGEXP1-LINE 1</v>
      </c>
      <c r="AI86">
        <f>COUNTIF($AH$1:AH86,AH86)</f>
        <v>85</v>
      </c>
    </row>
    <row r="87" spans="1:35">
      <c r="A87" t="s">
        <v>56</v>
      </c>
      <c r="B87" t="s">
        <v>57</v>
      </c>
      <c r="C87" t="s">
        <v>147</v>
      </c>
      <c r="D87" t="s">
        <v>59</v>
      </c>
      <c r="E87">
        <v>1</v>
      </c>
      <c r="G87" t="s">
        <v>60</v>
      </c>
      <c r="I87" t="s">
        <v>61</v>
      </c>
      <c r="Z87" t="str">
        <f>IFERROR(MID(AA87,FIND("-",H87,1)+1,20),_xlfn.IFNA(VLOOKUP(F87&amp;"-"&amp;AA87,Ref_Kontak!$A:$E,4,FALSE),Ref_Kontak!$H$2))</f>
        <v>628999007703</v>
      </c>
      <c r="AA87" t="str">
        <f t="shared" si="6"/>
        <v/>
      </c>
      <c r="AB87" t="str">
        <f t="shared" si="7"/>
        <v/>
      </c>
      <c r="AC87" t="str">
        <f t="shared" si="8"/>
        <v>628999007703</v>
      </c>
      <c r="AD87" t="str">
        <f t="shared" si="10"/>
        <v>Halo+,+Visual+AI+5S+menditeksi+Violation%3A+GUDANGEXP1-LINE+1</v>
      </c>
      <c r="AE87" t="str">
        <f t="shared" si="9"/>
        <v>https://web.whatsapp.com/send/?phone=628999007703&amp;text=Halo+,+Visual+AI+5S+menditeksi+Violation%3A+GUDANGEXP1-LINE+1&amp;type=phone_number&amp;app_absent=0</v>
      </c>
      <c r="AF87" t="b">
        <f>IF(ISNA(VLOOKUP(D87&amp;"-"&amp;AB87, Ref_Kontak!$A:$E, 4, FALSE)), FALSE, TRUE)</f>
        <v>0</v>
      </c>
      <c r="AG87" t="str">
        <f>_xlfn.IFNA(VLOOKUP(Z87,Ref_Kontak!H:H,1,FALSE),"FALSE")</f>
        <v>628999007703</v>
      </c>
      <c r="AH87" t="str">
        <f t="shared" si="11"/>
        <v>GUDANGEXP1-LINE 1</v>
      </c>
      <c r="AI87">
        <f>COUNTIF($AH$1:AH87,AH87)</f>
        <v>86</v>
      </c>
    </row>
    <row r="88" spans="1:35">
      <c r="A88" t="s">
        <v>56</v>
      </c>
      <c r="B88" t="s">
        <v>57</v>
      </c>
      <c r="C88" t="s">
        <v>148</v>
      </c>
      <c r="D88" t="s">
        <v>59</v>
      </c>
      <c r="E88">
        <v>1</v>
      </c>
      <c r="G88" t="s">
        <v>60</v>
      </c>
      <c r="I88" t="s">
        <v>61</v>
      </c>
      <c r="Z88" t="str">
        <f>IFERROR(MID(AA88,FIND("-",H88,1)+1,20),_xlfn.IFNA(VLOOKUP(F88&amp;"-"&amp;AA88,Ref_Kontak!$A:$E,4,FALSE),Ref_Kontak!$H$2))</f>
        <v>628999007703</v>
      </c>
      <c r="AA88" t="str">
        <f t="shared" si="6"/>
        <v/>
      </c>
      <c r="AB88" t="str">
        <f t="shared" si="7"/>
        <v/>
      </c>
      <c r="AC88" t="str">
        <f t="shared" si="8"/>
        <v>628999007703</v>
      </c>
      <c r="AD88" t="str">
        <f t="shared" si="10"/>
        <v>Halo+,+Visual+AI+5S+menditeksi+Violation%3A+GUDANGEXP1-LINE+1</v>
      </c>
      <c r="AE88" t="str">
        <f t="shared" si="9"/>
        <v>https://web.whatsapp.com/send/?phone=628999007703&amp;text=Halo+,+Visual+AI+5S+menditeksi+Violation%3A+GUDANGEXP1-LINE+1&amp;type=phone_number&amp;app_absent=0</v>
      </c>
      <c r="AF88" t="b">
        <f>IF(ISNA(VLOOKUP(D88&amp;"-"&amp;AB88, Ref_Kontak!$A:$E, 4, FALSE)), FALSE, TRUE)</f>
        <v>0</v>
      </c>
      <c r="AG88" t="str">
        <f>_xlfn.IFNA(VLOOKUP(Z88,Ref_Kontak!H:H,1,FALSE),"FALSE")</f>
        <v>628999007703</v>
      </c>
      <c r="AH88" t="str">
        <f t="shared" si="11"/>
        <v>GUDANGEXP1-LINE 1</v>
      </c>
      <c r="AI88">
        <f>COUNTIF($AH$1:AH88,AH88)</f>
        <v>87</v>
      </c>
    </row>
    <row r="89" spans="1:35">
      <c r="A89" t="s">
        <v>56</v>
      </c>
      <c r="B89" t="s">
        <v>57</v>
      </c>
      <c r="C89" t="s">
        <v>149</v>
      </c>
      <c r="D89" t="s">
        <v>59</v>
      </c>
      <c r="E89">
        <v>1</v>
      </c>
      <c r="G89" t="s">
        <v>60</v>
      </c>
      <c r="I89" t="s">
        <v>61</v>
      </c>
      <c r="Z89" t="str">
        <f>IFERROR(MID(AA89,FIND("-",H89,1)+1,20),_xlfn.IFNA(VLOOKUP(F89&amp;"-"&amp;AA89,Ref_Kontak!$A:$E,4,FALSE),Ref_Kontak!$H$2))</f>
        <v>628999007703</v>
      </c>
      <c r="AA89" t="str">
        <f t="shared" si="6"/>
        <v/>
      </c>
      <c r="AB89" t="str">
        <f t="shared" si="7"/>
        <v/>
      </c>
      <c r="AC89" t="str">
        <f t="shared" si="8"/>
        <v>628999007703</v>
      </c>
      <c r="AD89" t="str">
        <f t="shared" si="10"/>
        <v>Halo+,+Visual+AI+5S+menditeksi+Violation%3A+GUDANGEXP1-LINE+1</v>
      </c>
      <c r="AE89" t="str">
        <f t="shared" si="9"/>
        <v>https://web.whatsapp.com/send/?phone=628999007703&amp;text=Halo+,+Visual+AI+5S+menditeksi+Violation%3A+GUDANGEXP1-LINE+1&amp;type=phone_number&amp;app_absent=0</v>
      </c>
      <c r="AF89" t="b">
        <f>IF(ISNA(VLOOKUP(D89&amp;"-"&amp;AB89, Ref_Kontak!$A:$E, 4, FALSE)), FALSE, TRUE)</f>
        <v>0</v>
      </c>
      <c r="AG89" t="str">
        <f>_xlfn.IFNA(VLOOKUP(Z89,Ref_Kontak!H:H,1,FALSE),"FALSE")</f>
        <v>628999007703</v>
      </c>
      <c r="AH89" t="str">
        <f t="shared" si="11"/>
        <v>GUDANGEXP1-LINE 1</v>
      </c>
      <c r="AI89">
        <f>COUNTIF($AH$1:AH89,AH89)</f>
        <v>88</v>
      </c>
    </row>
    <row r="90" spans="1:35">
      <c r="A90" t="s">
        <v>56</v>
      </c>
      <c r="B90" t="s">
        <v>57</v>
      </c>
      <c r="C90" t="s">
        <v>150</v>
      </c>
      <c r="D90" t="s">
        <v>59</v>
      </c>
      <c r="E90">
        <v>1</v>
      </c>
      <c r="G90" t="s">
        <v>60</v>
      </c>
      <c r="I90" t="s">
        <v>61</v>
      </c>
      <c r="Z90" t="str">
        <f>IFERROR(MID(AA90,FIND("-",H90,1)+1,20),_xlfn.IFNA(VLOOKUP(F90&amp;"-"&amp;AA90,Ref_Kontak!$A:$E,4,FALSE),Ref_Kontak!$H$2))</f>
        <v>628999007703</v>
      </c>
      <c r="AA90" t="str">
        <f t="shared" si="6"/>
        <v/>
      </c>
      <c r="AB90" t="str">
        <f t="shared" si="7"/>
        <v/>
      </c>
      <c r="AC90" t="str">
        <f t="shared" si="8"/>
        <v>628999007703</v>
      </c>
      <c r="AD90" t="str">
        <f t="shared" si="10"/>
        <v>Halo+,+Visual+AI+5S+menditeksi+Violation%3A+GUDANGEXP1-LINE+1</v>
      </c>
      <c r="AE90" t="str">
        <f t="shared" si="9"/>
        <v>https://web.whatsapp.com/send/?phone=628999007703&amp;text=Halo+,+Visual+AI+5S+menditeksi+Violation%3A+GUDANGEXP1-LINE+1&amp;type=phone_number&amp;app_absent=0</v>
      </c>
      <c r="AF90" t="b">
        <f>IF(ISNA(VLOOKUP(D90&amp;"-"&amp;AB90, Ref_Kontak!$A:$E, 4, FALSE)), FALSE, TRUE)</f>
        <v>0</v>
      </c>
      <c r="AG90" t="str">
        <f>_xlfn.IFNA(VLOOKUP(Z90,Ref_Kontak!H:H,1,FALSE),"FALSE")</f>
        <v>628999007703</v>
      </c>
      <c r="AH90" t="str">
        <f t="shared" si="11"/>
        <v>GUDANGEXP1-LINE 1</v>
      </c>
      <c r="AI90">
        <f>COUNTIF($AH$1:AH90,AH90)</f>
        <v>89</v>
      </c>
    </row>
    <row r="91" spans="1:35">
      <c r="A91" t="s">
        <v>56</v>
      </c>
      <c r="B91" t="s">
        <v>57</v>
      </c>
      <c r="C91" t="s">
        <v>151</v>
      </c>
      <c r="D91" t="s">
        <v>59</v>
      </c>
      <c r="E91">
        <v>1</v>
      </c>
      <c r="G91" t="s">
        <v>60</v>
      </c>
      <c r="I91" t="s">
        <v>61</v>
      </c>
      <c r="Z91" t="str">
        <f>IFERROR(MID(AA91,FIND("-",H91,1)+1,20),_xlfn.IFNA(VLOOKUP(F91&amp;"-"&amp;AA91,Ref_Kontak!$A:$E,4,FALSE),Ref_Kontak!$H$2))</f>
        <v>628999007703</v>
      </c>
      <c r="AA91" t="str">
        <f t="shared" si="6"/>
        <v/>
      </c>
      <c r="AB91" t="str">
        <f t="shared" si="7"/>
        <v/>
      </c>
      <c r="AC91" t="str">
        <f t="shared" si="8"/>
        <v>628999007703</v>
      </c>
      <c r="AD91" t="str">
        <f t="shared" si="10"/>
        <v>Halo+,+Visual+AI+5S+menditeksi+Violation%3A+GUDANGEXP1-LINE+1</v>
      </c>
      <c r="AE91" t="str">
        <f t="shared" si="9"/>
        <v>https://web.whatsapp.com/send/?phone=628999007703&amp;text=Halo+,+Visual+AI+5S+menditeksi+Violation%3A+GUDANGEXP1-LINE+1&amp;type=phone_number&amp;app_absent=0</v>
      </c>
      <c r="AF91" t="b">
        <f>IF(ISNA(VLOOKUP(D91&amp;"-"&amp;AB91, Ref_Kontak!$A:$E, 4, FALSE)), FALSE, TRUE)</f>
        <v>0</v>
      </c>
      <c r="AG91" t="str">
        <f>_xlfn.IFNA(VLOOKUP(Z91,Ref_Kontak!H:H,1,FALSE),"FALSE")</f>
        <v>628999007703</v>
      </c>
      <c r="AH91" t="str">
        <f t="shared" si="11"/>
        <v>GUDANGEXP1-LINE 1</v>
      </c>
      <c r="AI91">
        <f>COUNTIF($AH$1:AH91,AH91)</f>
        <v>90</v>
      </c>
    </row>
    <row r="92" spans="1:35">
      <c r="A92" t="s">
        <v>56</v>
      </c>
      <c r="B92" t="s">
        <v>57</v>
      </c>
      <c r="C92" t="s">
        <v>152</v>
      </c>
      <c r="D92" t="s">
        <v>59</v>
      </c>
      <c r="E92">
        <v>1</v>
      </c>
      <c r="G92" t="s">
        <v>60</v>
      </c>
      <c r="I92" t="s">
        <v>61</v>
      </c>
      <c r="Z92" t="str">
        <f>IFERROR(MID(AA92,FIND("-",H92,1)+1,20),_xlfn.IFNA(VLOOKUP(F92&amp;"-"&amp;AA92,Ref_Kontak!$A:$E,4,FALSE),Ref_Kontak!$H$2))</f>
        <v>628999007703</v>
      </c>
      <c r="AA92" t="str">
        <f t="shared" si="6"/>
        <v/>
      </c>
      <c r="AB92" t="str">
        <f t="shared" si="7"/>
        <v/>
      </c>
      <c r="AC92" t="str">
        <f t="shared" si="8"/>
        <v>628999007703</v>
      </c>
      <c r="AD92" t="str">
        <f t="shared" si="10"/>
        <v>Halo+,+Visual+AI+5S+menditeksi+Violation%3A+GUDANGEXP1-LINE+1</v>
      </c>
      <c r="AE92" t="str">
        <f t="shared" si="9"/>
        <v>https://web.whatsapp.com/send/?phone=628999007703&amp;text=Halo+,+Visual+AI+5S+menditeksi+Violation%3A+GUDANGEXP1-LINE+1&amp;type=phone_number&amp;app_absent=0</v>
      </c>
      <c r="AF92" t="b">
        <f>IF(ISNA(VLOOKUP(D92&amp;"-"&amp;AB92, Ref_Kontak!$A:$E, 4, FALSE)), FALSE, TRUE)</f>
        <v>0</v>
      </c>
      <c r="AG92" t="str">
        <f>_xlfn.IFNA(VLOOKUP(Z92,Ref_Kontak!H:H,1,FALSE),"FALSE")</f>
        <v>628999007703</v>
      </c>
      <c r="AH92" t="str">
        <f t="shared" si="11"/>
        <v>GUDANGEXP1-LINE 1</v>
      </c>
      <c r="AI92">
        <f>COUNTIF($AH$1:AH92,AH92)</f>
        <v>91</v>
      </c>
    </row>
    <row r="93" spans="1:35">
      <c r="A93" t="s">
        <v>56</v>
      </c>
      <c r="B93" t="s">
        <v>57</v>
      </c>
      <c r="C93" t="s">
        <v>153</v>
      </c>
      <c r="D93" t="s">
        <v>59</v>
      </c>
      <c r="E93">
        <v>1</v>
      </c>
      <c r="G93" t="s">
        <v>60</v>
      </c>
      <c r="I93" t="s">
        <v>61</v>
      </c>
      <c r="Z93" t="str">
        <f>IFERROR(MID(AA93,FIND("-",H93,1)+1,20),_xlfn.IFNA(VLOOKUP(F93&amp;"-"&amp;AA93,Ref_Kontak!$A:$E,4,FALSE),Ref_Kontak!$H$2))</f>
        <v>628999007703</v>
      </c>
      <c r="AA93" t="str">
        <f t="shared" si="6"/>
        <v/>
      </c>
      <c r="AB93" t="str">
        <f t="shared" si="7"/>
        <v/>
      </c>
      <c r="AC93" t="str">
        <f t="shared" si="8"/>
        <v>628999007703</v>
      </c>
      <c r="AD93" t="str">
        <f t="shared" si="10"/>
        <v>Halo+,+Visual+AI+5S+menditeksi+Violation%3A+GUDANGEXP1-LINE+1</v>
      </c>
      <c r="AE93" t="str">
        <f t="shared" si="9"/>
        <v>https://web.whatsapp.com/send/?phone=628999007703&amp;text=Halo+,+Visual+AI+5S+menditeksi+Violation%3A+GUDANGEXP1-LINE+1&amp;type=phone_number&amp;app_absent=0</v>
      </c>
      <c r="AF93" t="b">
        <f>IF(ISNA(VLOOKUP(D93&amp;"-"&amp;AB93, Ref_Kontak!$A:$E, 4, FALSE)), FALSE, TRUE)</f>
        <v>0</v>
      </c>
      <c r="AG93" t="str">
        <f>_xlfn.IFNA(VLOOKUP(Z93,Ref_Kontak!H:H,1,FALSE),"FALSE")</f>
        <v>628999007703</v>
      </c>
      <c r="AH93" t="str">
        <f t="shared" si="11"/>
        <v>GUDANGEXP1-LINE 1</v>
      </c>
      <c r="AI93">
        <f>COUNTIF($AH$1:AH93,AH93)</f>
        <v>92</v>
      </c>
    </row>
    <row r="94" spans="1:35">
      <c r="A94" t="s">
        <v>56</v>
      </c>
      <c r="B94" t="s">
        <v>57</v>
      </c>
      <c r="C94" t="s">
        <v>154</v>
      </c>
      <c r="D94" t="s">
        <v>59</v>
      </c>
      <c r="E94">
        <v>1</v>
      </c>
      <c r="G94" t="s">
        <v>60</v>
      </c>
      <c r="I94" t="s">
        <v>61</v>
      </c>
      <c r="Z94" t="str">
        <f>IFERROR(MID(AA94,FIND("-",H94,1)+1,20),_xlfn.IFNA(VLOOKUP(F94&amp;"-"&amp;AA94,Ref_Kontak!$A:$E,4,FALSE),Ref_Kontak!$H$2))</f>
        <v>628999007703</v>
      </c>
      <c r="AA94" t="str">
        <f t="shared" si="6"/>
        <v/>
      </c>
      <c r="AB94" t="str">
        <f t="shared" si="7"/>
        <v/>
      </c>
      <c r="AC94" t="str">
        <f t="shared" si="8"/>
        <v>628999007703</v>
      </c>
      <c r="AD94" t="str">
        <f t="shared" si="10"/>
        <v>Halo+,+Visual+AI+5S+menditeksi+Violation%3A+GUDANGEXP1-LINE+1</v>
      </c>
      <c r="AE94" t="str">
        <f t="shared" si="9"/>
        <v>https://web.whatsapp.com/send/?phone=628999007703&amp;text=Halo+,+Visual+AI+5S+menditeksi+Violation%3A+GUDANGEXP1-LINE+1&amp;type=phone_number&amp;app_absent=0</v>
      </c>
      <c r="AF94" t="b">
        <f>IF(ISNA(VLOOKUP(D94&amp;"-"&amp;AB94, Ref_Kontak!$A:$E, 4, FALSE)), FALSE, TRUE)</f>
        <v>0</v>
      </c>
      <c r="AG94" t="str">
        <f>_xlfn.IFNA(VLOOKUP(Z94,Ref_Kontak!H:H,1,FALSE),"FALSE")</f>
        <v>628999007703</v>
      </c>
      <c r="AH94" t="str">
        <f t="shared" si="11"/>
        <v>GUDANGEXP1-LINE 1</v>
      </c>
      <c r="AI94">
        <f>COUNTIF($AH$1:AH94,AH94)</f>
        <v>93</v>
      </c>
    </row>
    <row r="95" spans="1:35">
      <c r="A95" t="s">
        <v>56</v>
      </c>
      <c r="B95" t="s">
        <v>57</v>
      </c>
      <c r="C95" t="s">
        <v>155</v>
      </c>
      <c r="D95" t="s">
        <v>59</v>
      </c>
      <c r="E95">
        <v>1</v>
      </c>
      <c r="G95" t="s">
        <v>60</v>
      </c>
      <c r="I95" t="s">
        <v>61</v>
      </c>
      <c r="Z95" t="str">
        <f>IFERROR(MID(AA95,FIND("-",H95,1)+1,20),_xlfn.IFNA(VLOOKUP(F95&amp;"-"&amp;AA95,Ref_Kontak!$A:$E,4,FALSE),Ref_Kontak!$H$2))</f>
        <v>628999007703</v>
      </c>
      <c r="AA95" t="str">
        <f t="shared" si="6"/>
        <v/>
      </c>
      <c r="AB95" t="str">
        <f t="shared" si="7"/>
        <v/>
      </c>
      <c r="AC95" t="str">
        <f t="shared" si="8"/>
        <v>628999007703</v>
      </c>
      <c r="AD95" t="str">
        <f t="shared" si="10"/>
        <v>Halo+,+Visual+AI+5S+menditeksi+Violation%3A+GUDANGEXP1-LINE+1</v>
      </c>
      <c r="AE95" t="str">
        <f t="shared" si="9"/>
        <v>https://web.whatsapp.com/send/?phone=628999007703&amp;text=Halo+,+Visual+AI+5S+menditeksi+Violation%3A+GUDANGEXP1-LINE+1&amp;type=phone_number&amp;app_absent=0</v>
      </c>
      <c r="AF95" t="b">
        <f>IF(ISNA(VLOOKUP(D95&amp;"-"&amp;AB95, Ref_Kontak!$A:$E, 4, FALSE)), FALSE, TRUE)</f>
        <v>0</v>
      </c>
      <c r="AG95" t="str">
        <f>_xlfn.IFNA(VLOOKUP(Z95,Ref_Kontak!H:H,1,FALSE),"FALSE")</f>
        <v>628999007703</v>
      </c>
      <c r="AH95" t="str">
        <f t="shared" si="11"/>
        <v>GUDANGEXP1-LINE 1</v>
      </c>
      <c r="AI95">
        <f>COUNTIF($AH$1:AH95,AH95)</f>
        <v>94</v>
      </c>
    </row>
    <row r="96" spans="1:35">
      <c r="A96" t="s">
        <v>56</v>
      </c>
      <c r="B96" t="s">
        <v>57</v>
      </c>
      <c r="C96" t="s">
        <v>156</v>
      </c>
      <c r="D96" t="s">
        <v>59</v>
      </c>
      <c r="E96">
        <v>1</v>
      </c>
      <c r="G96" t="s">
        <v>60</v>
      </c>
      <c r="I96" t="s">
        <v>61</v>
      </c>
      <c r="Z96" t="str">
        <f>IFERROR(MID(AA96,FIND("-",H96,1)+1,20),_xlfn.IFNA(VLOOKUP(F96&amp;"-"&amp;AA96,Ref_Kontak!$A:$E,4,FALSE),Ref_Kontak!$H$2))</f>
        <v>628999007703</v>
      </c>
      <c r="AA96" t="str">
        <f t="shared" si="6"/>
        <v/>
      </c>
      <c r="AB96" t="str">
        <f t="shared" si="7"/>
        <v/>
      </c>
      <c r="AC96" t="str">
        <f t="shared" si="8"/>
        <v>628999007703</v>
      </c>
      <c r="AD96" t="str">
        <f t="shared" si="10"/>
        <v>Halo+,+Visual+AI+5S+menditeksi+Violation%3A+GUDANGEXP1-LINE+1</v>
      </c>
      <c r="AE96" t="str">
        <f t="shared" si="9"/>
        <v>https://web.whatsapp.com/send/?phone=628999007703&amp;text=Halo+,+Visual+AI+5S+menditeksi+Violation%3A+GUDANGEXP1-LINE+1&amp;type=phone_number&amp;app_absent=0</v>
      </c>
      <c r="AF96" t="b">
        <f>IF(ISNA(VLOOKUP(D96&amp;"-"&amp;AB96, Ref_Kontak!$A:$E, 4, FALSE)), FALSE, TRUE)</f>
        <v>0</v>
      </c>
      <c r="AG96" t="str">
        <f>_xlfn.IFNA(VLOOKUP(Z96,Ref_Kontak!H:H,1,FALSE),"FALSE")</f>
        <v>628999007703</v>
      </c>
      <c r="AH96" t="str">
        <f t="shared" si="11"/>
        <v>GUDANGEXP1-LINE 1</v>
      </c>
      <c r="AI96">
        <f>COUNTIF($AH$1:AH96,AH96)</f>
        <v>95</v>
      </c>
    </row>
    <row r="97" spans="1:35">
      <c r="A97" t="s">
        <v>56</v>
      </c>
      <c r="B97" t="s">
        <v>57</v>
      </c>
      <c r="C97" t="s">
        <v>157</v>
      </c>
      <c r="D97" t="s">
        <v>59</v>
      </c>
      <c r="E97">
        <v>1</v>
      </c>
      <c r="G97" t="s">
        <v>60</v>
      </c>
      <c r="I97" t="s">
        <v>61</v>
      </c>
      <c r="Z97" t="str">
        <f>IFERROR(MID(AA97,FIND("-",H97,1)+1,20),_xlfn.IFNA(VLOOKUP(F97&amp;"-"&amp;AA97,Ref_Kontak!$A:$E,4,FALSE),Ref_Kontak!$H$2))</f>
        <v>628999007703</v>
      </c>
      <c r="AA97" t="str">
        <f t="shared" si="6"/>
        <v/>
      </c>
      <c r="AB97" t="str">
        <f t="shared" si="7"/>
        <v/>
      </c>
      <c r="AC97" t="str">
        <f t="shared" si="8"/>
        <v>628999007703</v>
      </c>
      <c r="AD97" t="str">
        <f t="shared" si="10"/>
        <v>Halo+,+Visual+AI+5S+menditeksi+Violation%3A+GUDANGEXP1-LINE+1</v>
      </c>
      <c r="AE97" t="str">
        <f t="shared" si="9"/>
        <v>https://web.whatsapp.com/send/?phone=628999007703&amp;text=Halo+,+Visual+AI+5S+menditeksi+Violation%3A+GUDANGEXP1-LINE+1&amp;type=phone_number&amp;app_absent=0</v>
      </c>
      <c r="AF97" t="b">
        <f>IF(ISNA(VLOOKUP(D97&amp;"-"&amp;AB97, Ref_Kontak!$A:$E, 4, FALSE)), FALSE, TRUE)</f>
        <v>0</v>
      </c>
      <c r="AG97" t="str">
        <f>_xlfn.IFNA(VLOOKUP(Z97,Ref_Kontak!H:H,1,FALSE),"FALSE")</f>
        <v>628999007703</v>
      </c>
      <c r="AH97" t="str">
        <f t="shared" si="11"/>
        <v>GUDANGEXP1-LINE 1</v>
      </c>
      <c r="AI97">
        <f>COUNTIF($AH$1:AH97,AH97)</f>
        <v>96</v>
      </c>
    </row>
    <row r="98" spans="1:35">
      <c r="A98" t="s">
        <v>56</v>
      </c>
      <c r="B98" t="s">
        <v>57</v>
      </c>
      <c r="C98" t="s">
        <v>158</v>
      </c>
      <c r="D98" t="s">
        <v>59</v>
      </c>
      <c r="E98">
        <v>1</v>
      </c>
      <c r="G98" t="s">
        <v>60</v>
      </c>
      <c r="I98" t="s">
        <v>61</v>
      </c>
      <c r="Z98" t="str">
        <f>IFERROR(MID(AA98,FIND("-",H98,1)+1,20),_xlfn.IFNA(VLOOKUP(F98&amp;"-"&amp;AA98,Ref_Kontak!$A:$E,4,FALSE),Ref_Kontak!$H$2))</f>
        <v>628999007703</v>
      </c>
      <c r="AA98" t="str">
        <f t="shared" si="6"/>
        <v/>
      </c>
      <c r="AB98" t="str">
        <f t="shared" si="7"/>
        <v/>
      </c>
      <c r="AC98" t="str">
        <f t="shared" si="8"/>
        <v>628999007703</v>
      </c>
      <c r="AD98" t="str">
        <f t="shared" si="10"/>
        <v>Halo+,+Visual+AI+5S+menditeksi+Violation%3A+GUDANGEXP1-LINE+1</v>
      </c>
      <c r="AE98" t="str">
        <f t="shared" si="9"/>
        <v>https://web.whatsapp.com/send/?phone=628999007703&amp;text=Halo+,+Visual+AI+5S+menditeksi+Violation%3A+GUDANGEXP1-LINE+1&amp;type=phone_number&amp;app_absent=0</v>
      </c>
      <c r="AF98" t="b">
        <f>IF(ISNA(VLOOKUP(D98&amp;"-"&amp;AB98, Ref_Kontak!$A:$E, 4, FALSE)), FALSE, TRUE)</f>
        <v>0</v>
      </c>
      <c r="AG98" t="str">
        <f>_xlfn.IFNA(VLOOKUP(Z98,Ref_Kontak!H:H,1,FALSE),"FALSE")</f>
        <v>628999007703</v>
      </c>
      <c r="AH98" t="str">
        <f t="shared" si="11"/>
        <v>GUDANGEXP1-LINE 1</v>
      </c>
      <c r="AI98">
        <f>COUNTIF($AH$1:AH98,AH98)</f>
        <v>97</v>
      </c>
    </row>
    <row r="99" spans="1:35">
      <c r="A99" t="s">
        <v>56</v>
      </c>
      <c r="B99" t="s">
        <v>57</v>
      </c>
      <c r="C99" t="s">
        <v>159</v>
      </c>
      <c r="D99" t="s">
        <v>59</v>
      </c>
      <c r="E99">
        <v>1</v>
      </c>
      <c r="G99" t="s">
        <v>60</v>
      </c>
      <c r="I99" t="s">
        <v>61</v>
      </c>
      <c r="Z99" t="str">
        <f>IFERROR(MID(AA99,FIND("-",H99,1)+1,20),_xlfn.IFNA(VLOOKUP(F99&amp;"-"&amp;AA99,Ref_Kontak!$A:$E,4,FALSE),Ref_Kontak!$H$2))</f>
        <v>628999007703</v>
      </c>
      <c r="AA99" t="str">
        <f t="shared" si="6"/>
        <v/>
      </c>
      <c r="AB99" t="str">
        <f t="shared" si="7"/>
        <v/>
      </c>
      <c r="AC99" t="str">
        <f t="shared" si="8"/>
        <v>628999007703</v>
      </c>
      <c r="AD99" t="str">
        <f t="shared" si="10"/>
        <v>Halo+,+Visual+AI+5S+menditeksi+Violation%3A+GUDANGEXP1-LINE+1</v>
      </c>
      <c r="AE99" t="str">
        <f t="shared" si="9"/>
        <v>https://web.whatsapp.com/send/?phone=628999007703&amp;text=Halo+,+Visual+AI+5S+menditeksi+Violation%3A+GUDANGEXP1-LINE+1&amp;type=phone_number&amp;app_absent=0</v>
      </c>
      <c r="AF99" t="b">
        <f>IF(ISNA(VLOOKUP(D99&amp;"-"&amp;AB99, Ref_Kontak!$A:$E, 4, FALSE)), FALSE, TRUE)</f>
        <v>0</v>
      </c>
      <c r="AG99" t="str">
        <f>_xlfn.IFNA(VLOOKUP(Z99,Ref_Kontak!H:H,1,FALSE),"FALSE")</f>
        <v>628999007703</v>
      </c>
      <c r="AH99" t="str">
        <f t="shared" si="11"/>
        <v>GUDANGEXP1-LINE 1</v>
      </c>
      <c r="AI99">
        <f>COUNTIF($AH$1:AH99,AH99)</f>
        <v>98</v>
      </c>
    </row>
    <row r="100" spans="1:35">
      <c r="A100" t="s">
        <v>56</v>
      </c>
      <c r="B100" t="s">
        <v>57</v>
      </c>
      <c r="C100" t="s">
        <v>160</v>
      </c>
      <c r="D100" t="s">
        <v>59</v>
      </c>
      <c r="E100">
        <v>1</v>
      </c>
      <c r="G100" t="s">
        <v>60</v>
      </c>
      <c r="I100" t="s">
        <v>61</v>
      </c>
      <c r="Z100" t="str">
        <f>IFERROR(MID(AA100,FIND("-",H100,1)+1,20),_xlfn.IFNA(VLOOKUP(F100&amp;"-"&amp;AA100,Ref_Kontak!$A:$E,4,FALSE),Ref_Kontak!$H$2))</f>
        <v>628999007703</v>
      </c>
      <c r="AA100" t="str">
        <f t="shared" si="6"/>
        <v/>
      </c>
      <c r="AB100" t="str">
        <f t="shared" si="7"/>
        <v/>
      </c>
      <c r="AC100" t="str">
        <f t="shared" si="8"/>
        <v>628999007703</v>
      </c>
      <c r="AD100" t="str">
        <f t="shared" si="10"/>
        <v>Halo+,+Visual+AI+5S+menditeksi+Violation%3A+GUDANGEXP1-LINE+1</v>
      </c>
      <c r="AE100" t="str">
        <f t="shared" si="9"/>
        <v>https://web.whatsapp.com/send/?phone=628999007703&amp;text=Halo+,+Visual+AI+5S+menditeksi+Violation%3A+GUDANGEXP1-LINE+1&amp;type=phone_number&amp;app_absent=0</v>
      </c>
      <c r="AF100" t="b">
        <f>IF(ISNA(VLOOKUP(D100&amp;"-"&amp;AB100, Ref_Kontak!$A:$E, 4, FALSE)), FALSE, TRUE)</f>
        <v>0</v>
      </c>
      <c r="AG100" t="str">
        <f>_xlfn.IFNA(VLOOKUP(Z100,Ref_Kontak!H:H,1,FALSE),"FALSE")</f>
        <v>628999007703</v>
      </c>
      <c r="AH100" t="str">
        <f t="shared" si="11"/>
        <v>GUDANGEXP1-LINE 1</v>
      </c>
      <c r="AI100">
        <f>COUNTIF($AH$1:AH100,AH100)</f>
        <v>99</v>
      </c>
    </row>
    <row r="101" spans="1:35">
      <c r="A101" t="s">
        <v>56</v>
      </c>
      <c r="B101" t="s">
        <v>57</v>
      </c>
      <c r="C101" t="s">
        <v>161</v>
      </c>
      <c r="D101" t="s">
        <v>59</v>
      </c>
      <c r="E101">
        <v>1</v>
      </c>
      <c r="G101" t="s">
        <v>60</v>
      </c>
      <c r="I101" t="s">
        <v>61</v>
      </c>
      <c r="Z101" t="str">
        <f>IFERROR(MID(AA101,FIND("-",H101,1)+1,20),_xlfn.IFNA(VLOOKUP(F101&amp;"-"&amp;AA101,Ref_Kontak!$A:$E,4,FALSE),Ref_Kontak!$H$2))</f>
        <v>628999007703</v>
      </c>
      <c r="AA101" t="str">
        <f t="shared" si="6"/>
        <v/>
      </c>
      <c r="AB101" t="str">
        <f t="shared" si="7"/>
        <v/>
      </c>
      <c r="AC101" t="str">
        <f t="shared" si="8"/>
        <v>628999007703</v>
      </c>
      <c r="AD101" t="str">
        <f t="shared" si="10"/>
        <v>Halo+,+Visual+AI+5S+menditeksi+Violation%3A+GUDANGEXP1-LINE+1</v>
      </c>
      <c r="AE101" t="str">
        <f t="shared" si="9"/>
        <v>https://web.whatsapp.com/send/?phone=628999007703&amp;text=Halo+,+Visual+AI+5S+menditeksi+Violation%3A+GUDANGEXP1-LINE+1&amp;type=phone_number&amp;app_absent=0</v>
      </c>
      <c r="AF101" t="b">
        <f>IF(ISNA(VLOOKUP(D101&amp;"-"&amp;AB101, Ref_Kontak!$A:$E, 4, FALSE)), FALSE, TRUE)</f>
        <v>0</v>
      </c>
      <c r="AG101" t="str">
        <f>_xlfn.IFNA(VLOOKUP(Z101,Ref_Kontak!H:H,1,FALSE),"FALSE")</f>
        <v>628999007703</v>
      </c>
      <c r="AH101" t="str">
        <f t="shared" si="11"/>
        <v>GUDANGEXP1-LINE 1</v>
      </c>
      <c r="AI101">
        <f>COUNTIF($AH$1:AH101,AH101)</f>
        <v>100</v>
      </c>
    </row>
    <row r="102" spans="1:35">
      <c r="A102" t="s">
        <v>56</v>
      </c>
      <c r="B102" t="s">
        <v>57</v>
      </c>
      <c r="C102" t="s">
        <v>162</v>
      </c>
      <c r="D102" t="s">
        <v>59</v>
      </c>
      <c r="E102">
        <v>1</v>
      </c>
      <c r="G102" t="s">
        <v>60</v>
      </c>
      <c r="I102" t="s">
        <v>61</v>
      </c>
      <c r="Z102" t="str">
        <f>IFERROR(MID(AA102,FIND("-",H102,1)+1,20),_xlfn.IFNA(VLOOKUP(F102&amp;"-"&amp;AA102,Ref_Kontak!$A:$E,4,FALSE),Ref_Kontak!$H$2))</f>
        <v>628999007703</v>
      </c>
      <c r="AA102" t="str">
        <f t="shared" si="6"/>
        <v/>
      </c>
      <c r="AB102" t="str">
        <f t="shared" si="7"/>
        <v/>
      </c>
      <c r="AC102" t="str">
        <f t="shared" si="8"/>
        <v>628999007703</v>
      </c>
      <c r="AD102" t="str">
        <f t="shared" si="10"/>
        <v>Halo+,+Visual+AI+5S+menditeksi+Violation%3A+GUDANGEXP1-LINE+1</v>
      </c>
      <c r="AE102" t="str">
        <f t="shared" si="9"/>
        <v>https://web.whatsapp.com/send/?phone=628999007703&amp;text=Halo+,+Visual+AI+5S+menditeksi+Violation%3A+GUDANGEXP1-LINE+1&amp;type=phone_number&amp;app_absent=0</v>
      </c>
      <c r="AF102" t="b">
        <f>IF(ISNA(VLOOKUP(D102&amp;"-"&amp;AB102, Ref_Kontak!$A:$E, 4, FALSE)), FALSE, TRUE)</f>
        <v>0</v>
      </c>
      <c r="AG102" t="str">
        <f>_xlfn.IFNA(VLOOKUP(Z102,Ref_Kontak!H:H,1,FALSE),"FALSE")</f>
        <v>628999007703</v>
      </c>
      <c r="AH102" t="str">
        <f t="shared" si="11"/>
        <v>GUDANGEXP1-LINE 1</v>
      </c>
      <c r="AI102">
        <f>COUNTIF($AH$1:AH102,AH102)</f>
        <v>101</v>
      </c>
    </row>
    <row r="103" spans="1:35">
      <c r="A103" t="s">
        <v>56</v>
      </c>
      <c r="B103" t="s">
        <v>57</v>
      </c>
      <c r="C103" t="s">
        <v>163</v>
      </c>
      <c r="D103" t="s">
        <v>59</v>
      </c>
      <c r="E103">
        <v>1</v>
      </c>
      <c r="G103" t="s">
        <v>60</v>
      </c>
      <c r="I103" t="s">
        <v>61</v>
      </c>
      <c r="Z103" t="str">
        <f>IFERROR(MID(AA103,FIND("-",H103,1)+1,20),_xlfn.IFNA(VLOOKUP(F103&amp;"-"&amp;AA103,Ref_Kontak!$A:$E,4,FALSE),Ref_Kontak!$H$2))</f>
        <v>628999007703</v>
      </c>
      <c r="AA103" t="str">
        <f t="shared" si="6"/>
        <v/>
      </c>
      <c r="AB103" t="str">
        <f t="shared" si="7"/>
        <v/>
      </c>
      <c r="AC103" t="str">
        <f t="shared" si="8"/>
        <v>628999007703</v>
      </c>
      <c r="AD103" t="str">
        <f t="shared" si="10"/>
        <v>Halo+,+Visual+AI+5S+menditeksi+Violation%3A+GUDANGEXP1-LINE+1</v>
      </c>
      <c r="AE103" t="str">
        <f t="shared" si="9"/>
        <v>https://web.whatsapp.com/send/?phone=628999007703&amp;text=Halo+,+Visual+AI+5S+menditeksi+Violation%3A+GUDANGEXP1-LINE+1&amp;type=phone_number&amp;app_absent=0</v>
      </c>
      <c r="AF103" t="b">
        <f>IF(ISNA(VLOOKUP(D103&amp;"-"&amp;AB103, Ref_Kontak!$A:$E, 4, FALSE)), FALSE, TRUE)</f>
        <v>0</v>
      </c>
      <c r="AG103" t="str">
        <f>_xlfn.IFNA(VLOOKUP(Z103,Ref_Kontak!H:H,1,FALSE),"FALSE")</f>
        <v>628999007703</v>
      </c>
      <c r="AH103" t="str">
        <f t="shared" si="11"/>
        <v>GUDANGEXP1-LINE 1</v>
      </c>
      <c r="AI103">
        <f>COUNTIF($AH$1:AH103,AH103)</f>
        <v>102</v>
      </c>
    </row>
    <row r="104" spans="1:35">
      <c r="A104" t="s">
        <v>56</v>
      </c>
      <c r="B104" t="s">
        <v>57</v>
      </c>
      <c r="C104" t="s">
        <v>164</v>
      </c>
      <c r="D104" t="s">
        <v>59</v>
      </c>
      <c r="E104">
        <v>1</v>
      </c>
      <c r="G104" t="s">
        <v>60</v>
      </c>
      <c r="I104" t="s">
        <v>61</v>
      </c>
      <c r="Z104" t="str">
        <f>IFERROR(MID(AA104,FIND("-",H104,1)+1,20),_xlfn.IFNA(VLOOKUP(F104&amp;"-"&amp;AA104,Ref_Kontak!$A:$E,4,FALSE),Ref_Kontak!$H$2))</f>
        <v>628999007703</v>
      </c>
      <c r="AA104" t="str">
        <f t="shared" si="6"/>
        <v/>
      </c>
      <c r="AB104" t="str">
        <f t="shared" si="7"/>
        <v/>
      </c>
      <c r="AC104" t="str">
        <f t="shared" si="8"/>
        <v>628999007703</v>
      </c>
      <c r="AD104" t="str">
        <f t="shared" si="10"/>
        <v>Halo+,+Visual+AI+5S+menditeksi+Violation%3A+GUDANGEXP1-LINE+1</v>
      </c>
      <c r="AE104" t="str">
        <f t="shared" si="9"/>
        <v>https://web.whatsapp.com/send/?phone=628999007703&amp;text=Halo+,+Visual+AI+5S+menditeksi+Violation%3A+GUDANGEXP1-LINE+1&amp;type=phone_number&amp;app_absent=0</v>
      </c>
      <c r="AF104" t="b">
        <f>IF(ISNA(VLOOKUP(D104&amp;"-"&amp;AB104, Ref_Kontak!$A:$E, 4, FALSE)), FALSE, TRUE)</f>
        <v>0</v>
      </c>
      <c r="AG104" t="str">
        <f>_xlfn.IFNA(VLOOKUP(Z104,Ref_Kontak!H:H,1,FALSE),"FALSE")</f>
        <v>628999007703</v>
      </c>
      <c r="AH104" t="str">
        <f t="shared" si="11"/>
        <v>GUDANGEXP1-LINE 1</v>
      </c>
      <c r="AI104">
        <f>COUNTIF($AH$1:AH104,AH104)</f>
        <v>103</v>
      </c>
    </row>
    <row r="105" spans="1:35">
      <c r="A105" t="s">
        <v>56</v>
      </c>
      <c r="B105" t="s">
        <v>57</v>
      </c>
      <c r="C105" t="s">
        <v>165</v>
      </c>
      <c r="D105" t="s">
        <v>59</v>
      </c>
      <c r="E105">
        <v>1</v>
      </c>
      <c r="G105" t="s">
        <v>60</v>
      </c>
      <c r="I105" t="s">
        <v>61</v>
      </c>
      <c r="Z105" t="str">
        <f>IFERROR(MID(AA105,FIND("-",H105,1)+1,20),_xlfn.IFNA(VLOOKUP(F105&amp;"-"&amp;AA105,Ref_Kontak!$A:$E,4,FALSE),Ref_Kontak!$H$2))</f>
        <v>628999007703</v>
      </c>
      <c r="AA105" t="str">
        <f t="shared" si="6"/>
        <v/>
      </c>
      <c r="AB105" t="str">
        <f t="shared" si="7"/>
        <v/>
      </c>
      <c r="AC105" t="str">
        <f t="shared" si="8"/>
        <v>628999007703</v>
      </c>
      <c r="AD105" t="str">
        <f t="shared" si="10"/>
        <v>Halo+,+Visual+AI+5S+menditeksi+Violation%3A+GUDANGEXP1-LINE+1</v>
      </c>
      <c r="AE105" t="str">
        <f t="shared" si="9"/>
        <v>https://web.whatsapp.com/send/?phone=628999007703&amp;text=Halo+,+Visual+AI+5S+menditeksi+Violation%3A+GUDANGEXP1-LINE+1&amp;type=phone_number&amp;app_absent=0</v>
      </c>
      <c r="AF105" t="b">
        <f>IF(ISNA(VLOOKUP(D105&amp;"-"&amp;AB105, Ref_Kontak!$A:$E, 4, FALSE)), FALSE, TRUE)</f>
        <v>0</v>
      </c>
      <c r="AG105" t="str">
        <f>_xlfn.IFNA(VLOOKUP(Z105,Ref_Kontak!H:H,1,FALSE),"FALSE")</f>
        <v>628999007703</v>
      </c>
      <c r="AH105" t="str">
        <f t="shared" si="11"/>
        <v>GUDANGEXP1-LINE 1</v>
      </c>
      <c r="AI105">
        <f>COUNTIF($AH$1:AH105,AH105)</f>
        <v>104</v>
      </c>
    </row>
    <row r="106" spans="1:35">
      <c r="A106" t="s">
        <v>56</v>
      </c>
      <c r="B106" t="s">
        <v>57</v>
      </c>
      <c r="C106" t="s">
        <v>166</v>
      </c>
      <c r="D106" t="s">
        <v>59</v>
      </c>
      <c r="E106">
        <v>1</v>
      </c>
      <c r="G106" t="s">
        <v>60</v>
      </c>
      <c r="I106" t="s">
        <v>61</v>
      </c>
      <c r="Z106" t="str">
        <f>IFERROR(MID(AA106,FIND("-",H106,1)+1,20),_xlfn.IFNA(VLOOKUP(F106&amp;"-"&amp;AA106,Ref_Kontak!$A:$E,4,FALSE),Ref_Kontak!$H$2))</f>
        <v>628999007703</v>
      </c>
      <c r="AA106" t="str">
        <f t="shared" si="6"/>
        <v/>
      </c>
      <c r="AB106" t="str">
        <f t="shared" si="7"/>
        <v/>
      </c>
      <c r="AC106" t="str">
        <f t="shared" si="8"/>
        <v>628999007703</v>
      </c>
      <c r="AD106" t="str">
        <f t="shared" si="10"/>
        <v>Halo+,+Visual+AI+5S+menditeksi+Violation%3A+GUDANGEXP1-LINE+1</v>
      </c>
      <c r="AE106" t="str">
        <f t="shared" si="9"/>
        <v>https://web.whatsapp.com/send/?phone=628999007703&amp;text=Halo+,+Visual+AI+5S+menditeksi+Violation%3A+GUDANGEXP1-LINE+1&amp;type=phone_number&amp;app_absent=0</v>
      </c>
      <c r="AF106" t="b">
        <f>IF(ISNA(VLOOKUP(D106&amp;"-"&amp;AB106, Ref_Kontak!$A:$E, 4, FALSE)), FALSE, TRUE)</f>
        <v>0</v>
      </c>
      <c r="AG106" t="str">
        <f>_xlfn.IFNA(VLOOKUP(Z106,Ref_Kontak!H:H,1,FALSE),"FALSE")</f>
        <v>628999007703</v>
      </c>
      <c r="AH106" t="str">
        <f t="shared" si="11"/>
        <v>GUDANGEXP1-LINE 1</v>
      </c>
      <c r="AI106">
        <f>COUNTIF($AH$1:AH106,AH106)</f>
        <v>105</v>
      </c>
    </row>
    <row r="107" spans="1:35">
      <c r="A107" t="s">
        <v>56</v>
      </c>
      <c r="B107" t="s">
        <v>57</v>
      </c>
      <c r="C107" t="s">
        <v>167</v>
      </c>
      <c r="D107" t="s">
        <v>59</v>
      </c>
      <c r="E107">
        <v>1</v>
      </c>
      <c r="G107" t="s">
        <v>60</v>
      </c>
      <c r="I107" t="s">
        <v>61</v>
      </c>
      <c r="Z107" t="str">
        <f>IFERROR(MID(AA107,FIND("-",H107,1)+1,20),_xlfn.IFNA(VLOOKUP(F107&amp;"-"&amp;AA107,Ref_Kontak!$A:$E,4,FALSE),Ref_Kontak!$H$2))</f>
        <v>628999007703</v>
      </c>
      <c r="AA107" t="str">
        <f t="shared" si="6"/>
        <v/>
      </c>
      <c r="AB107" t="str">
        <f t="shared" si="7"/>
        <v/>
      </c>
      <c r="AC107" t="str">
        <f t="shared" si="8"/>
        <v>628999007703</v>
      </c>
      <c r="AD107" t="str">
        <f t="shared" si="10"/>
        <v>Halo+,+Visual+AI+5S+menditeksi+Violation%3A+GUDANGEXP1-LINE+1</v>
      </c>
      <c r="AE107" t="str">
        <f t="shared" si="9"/>
        <v>https://web.whatsapp.com/send/?phone=628999007703&amp;text=Halo+,+Visual+AI+5S+menditeksi+Violation%3A+GUDANGEXP1-LINE+1&amp;type=phone_number&amp;app_absent=0</v>
      </c>
      <c r="AF107" t="b">
        <f>IF(ISNA(VLOOKUP(D107&amp;"-"&amp;AB107, Ref_Kontak!$A:$E, 4, FALSE)), FALSE, TRUE)</f>
        <v>0</v>
      </c>
      <c r="AG107" t="str">
        <f>_xlfn.IFNA(VLOOKUP(Z107,Ref_Kontak!H:H,1,FALSE),"FALSE")</f>
        <v>628999007703</v>
      </c>
      <c r="AH107" t="str">
        <f t="shared" si="11"/>
        <v>GUDANGEXP1-LINE 1</v>
      </c>
      <c r="AI107">
        <f>COUNTIF($AH$1:AH107,AH107)</f>
        <v>106</v>
      </c>
    </row>
    <row r="108" spans="1:35">
      <c r="A108" t="s">
        <v>56</v>
      </c>
      <c r="B108" t="s">
        <v>57</v>
      </c>
      <c r="C108" t="s">
        <v>168</v>
      </c>
      <c r="D108" t="s">
        <v>59</v>
      </c>
      <c r="E108">
        <v>1</v>
      </c>
      <c r="G108" t="s">
        <v>60</v>
      </c>
      <c r="I108" t="s">
        <v>61</v>
      </c>
      <c r="Z108" t="str">
        <f>IFERROR(MID(AA108,FIND("-",H108,1)+1,20),_xlfn.IFNA(VLOOKUP(F108&amp;"-"&amp;AA108,Ref_Kontak!$A:$E,4,FALSE),Ref_Kontak!$H$2))</f>
        <v>628999007703</v>
      </c>
      <c r="AA108" t="str">
        <f t="shared" si="6"/>
        <v/>
      </c>
      <c r="AB108" t="str">
        <f t="shared" si="7"/>
        <v/>
      </c>
      <c r="AC108" t="str">
        <f t="shared" si="8"/>
        <v>628999007703</v>
      </c>
      <c r="AD108" t="str">
        <f t="shared" si="10"/>
        <v>Halo+,+Visual+AI+5S+menditeksi+Violation%3A+GUDANGEXP1-LINE+1</v>
      </c>
      <c r="AE108" t="str">
        <f t="shared" si="9"/>
        <v>https://web.whatsapp.com/send/?phone=628999007703&amp;text=Halo+,+Visual+AI+5S+menditeksi+Violation%3A+GUDANGEXP1-LINE+1&amp;type=phone_number&amp;app_absent=0</v>
      </c>
      <c r="AF108" t="b">
        <f>IF(ISNA(VLOOKUP(D108&amp;"-"&amp;AB108, Ref_Kontak!$A:$E, 4, FALSE)), FALSE, TRUE)</f>
        <v>0</v>
      </c>
      <c r="AG108" t="str">
        <f>_xlfn.IFNA(VLOOKUP(Z108,Ref_Kontak!H:H,1,FALSE),"FALSE")</f>
        <v>628999007703</v>
      </c>
      <c r="AH108" t="str">
        <f t="shared" si="11"/>
        <v>GUDANGEXP1-LINE 1</v>
      </c>
      <c r="AI108">
        <f>COUNTIF($AH$1:AH108,AH108)</f>
        <v>107</v>
      </c>
    </row>
    <row r="109" spans="1:35">
      <c r="A109" t="s">
        <v>56</v>
      </c>
      <c r="B109" t="s">
        <v>57</v>
      </c>
      <c r="C109" t="s">
        <v>169</v>
      </c>
      <c r="D109" t="s">
        <v>59</v>
      </c>
      <c r="E109">
        <v>1</v>
      </c>
      <c r="G109" t="s">
        <v>60</v>
      </c>
      <c r="I109" t="s">
        <v>61</v>
      </c>
      <c r="Z109" t="str">
        <f>IFERROR(MID(AA109,FIND("-",H109,1)+1,20),_xlfn.IFNA(VLOOKUP(F109&amp;"-"&amp;AA109,Ref_Kontak!$A:$E,4,FALSE),Ref_Kontak!$H$2))</f>
        <v>628999007703</v>
      </c>
      <c r="AA109" t="str">
        <f t="shared" si="6"/>
        <v/>
      </c>
      <c r="AB109" t="str">
        <f t="shared" si="7"/>
        <v/>
      </c>
      <c r="AC109" t="str">
        <f t="shared" si="8"/>
        <v>628999007703</v>
      </c>
      <c r="AD109" t="str">
        <f t="shared" si="10"/>
        <v>Halo+,+Visual+AI+5S+menditeksi+Violation%3A+GUDANGEXP1-LINE+1</v>
      </c>
      <c r="AE109" t="str">
        <f t="shared" si="9"/>
        <v>https://web.whatsapp.com/send/?phone=628999007703&amp;text=Halo+,+Visual+AI+5S+menditeksi+Violation%3A+GUDANGEXP1-LINE+1&amp;type=phone_number&amp;app_absent=0</v>
      </c>
      <c r="AF109" t="b">
        <f>IF(ISNA(VLOOKUP(D109&amp;"-"&amp;AB109, Ref_Kontak!$A:$E, 4, FALSE)), FALSE, TRUE)</f>
        <v>0</v>
      </c>
      <c r="AG109" t="str">
        <f>_xlfn.IFNA(VLOOKUP(Z109,Ref_Kontak!H:H,1,FALSE),"FALSE")</f>
        <v>628999007703</v>
      </c>
      <c r="AH109" t="str">
        <f t="shared" si="11"/>
        <v>GUDANGEXP1-LINE 1</v>
      </c>
      <c r="AI109">
        <f>COUNTIF($AH$1:AH109,AH109)</f>
        <v>108</v>
      </c>
    </row>
    <row r="110" spans="1:35">
      <c r="A110" t="s">
        <v>56</v>
      </c>
      <c r="B110" t="s">
        <v>57</v>
      </c>
      <c r="C110" t="s">
        <v>170</v>
      </c>
      <c r="D110" t="s">
        <v>59</v>
      </c>
      <c r="E110">
        <v>1</v>
      </c>
      <c r="G110" t="s">
        <v>60</v>
      </c>
      <c r="I110" t="s">
        <v>61</v>
      </c>
      <c r="Z110" t="str">
        <f>IFERROR(MID(AA110,FIND("-",H110,1)+1,20),_xlfn.IFNA(VLOOKUP(F110&amp;"-"&amp;AA110,Ref_Kontak!$A:$E,4,FALSE),Ref_Kontak!$H$2))</f>
        <v>628999007703</v>
      </c>
      <c r="AA110" t="str">
        <f t="shared" si="6"/>
        <v/>
      </c>
      <c r="AB110" t="str">
        <f t="shared" si="7"/>
        <v/>
      </c>
      <c r="AC110" t="str">
        <f t="shared" si="8"/>
        <v>628999007703</v>
      </c>
      <c r="AD110" t="str">
        <f t="shared" si="10"/>
        <v>Halo+,+Visual+AI+5S+menditeksi+Violation%3A+GUDANGEXP1-LINE+1</v>
      </c>
      <c r="AE110" t="str">
        <f t="shared" si="9"/>
        <v>https://web.whatsapp.com/send/?phone=628999007703&amp;text=Halo+,+Visual+AI+5S+menditeksi+Violation%3A+GUDANGEXP1-LINE+1&amp;type=phone_number&amp;app_absent=0</v>
      </c>
      <c r="AF110" t="b">
        <f>IF(ISNA(VLOOKUP(D110&amp;"-"&amp;AB110, Ref_Kontak!$A:$E, 4, FALSE)), FALSE, TRUE)</f>
        <v>0</v>
      </c>
      <c r="AG110" t="str">
        <f>_xlfn.IFNA(VLOOKUP(Z110,Ref_Kontak!H:H,1,FALSE),"FALSE")</f>
        <v>628999007703</v>
      </c>
      <c r="AH110" t="str">
        <f t="shared" si="11"/>
        <v>GUDANGEXP1-LINE 1</v>
      </c>
      <c r="AI110">
        <f>COUNTIF($AH$1:AH110,AH110)</f>
        <v>109</v>
      </c>
    </row>
    <row r="111" spans="1:35">
      <c r="A111" t="s">
        <v>56</v>
      </c>
      <c r="B111" t="s">
        <v>57</v>
      </c>
      <c r="C111" t="s">
        <v>171</v>
      </c>
      <c r="D111" t="s">
        <v>59</v>
      </c>
      <c r="E111">
        <v>1</v>
      </c>
      <c r="G111" t="s">
        <v>60</v>
      </c>
      <c r="I111" t="s">
        <v>61</v>
      </c>
      <c r="Z111" t="str">
        <f>IFERROR(MID(AA111,FIND("-",H111,1)+1,20),_xlfn.IFNA(VLOOKUP(F111&amp;"-"&amp;AA111,Ref_Kontak!$A:$E,4,FALSE),Ref_Kontak!$H$2))</f>
        <v>628999007703</v>
      </c>
      <c r="AA111" t="str">
        <f t="shared" si="6"/>
        <v/>
      </c>
      <c r="AB111" t="str">
        <f t="shared" si="7"/>
        <v/>
      </c>
      <c r="AC111" t="str">
        <f t="shared" si="8"/>
        <v>628999007703</v>
      </c>
      <c r="AD111" t="str">
        <f t="shared" si="10"/>
        <v>Halo+,+Visual+AI+5S+menditeksi+Violation%3A+GUDANGEXP1-LINE+1</v>
      </c>
      <c r="AE111" t="str">
        <f t="shared" si="9"/>
        <v>https://web.whatsapp.com/send/?phone=628999007703&amp;text=Halo+,+Visual+AI+5S+menditeksi+Violation%3A+GUDANGEXP1-LINE+1&amp;type=phone_number&amp;app_absent=0</v>
      </c>
      <c r="AF111" t="b">
        <f>IF(ISNA(VLOOKUP(D111&amp;"-"&amp;AB111, Ref_Kontak!$A:$E, 4, FALSE)), FALSE, TRUE)</f>
        <v>0</v>
      </c>
      <c r="AG111" t="str">
        <f>_xlfn.IFNA(VLOOKUP(Z111,Ref_Kontak!H:H,1,FALSE),"FALSE")</f>
        <v>628999007703</v>
      </c>
      <c r="AH111" t="str">
        <f t="shared" si="11"/>
        <v>GUDANGEXP1-LINE 1</v>
      </c>
      <c r="AI111">
        <f>COUNTIF($AH$1:AH111,AH111)</f>
        <v>110</v>
      </c>
    </row>
    <row r="112" spans="1:35">
      <c r="A112" t="s">
        <v>56</v>
      </c>
      <c r="B112" t="s">
        <v>57</v>
      </c>
      <c r="C112" t="s">
        <v>172</v>
      </c>
      <c r="D112" t="s">
        <v>59</v>
      </c>
      <c r="E112">
        <v>1</v>
      </c>
      <c r="G112" t="s">
        <v>60</v>
      </c>
      <c r="I112" t="s">
        <v>61</v>
      </c>
      <c r="Z112" t="str">
        <f>IFERROR(MID(AA112,FIND("-",H112,1)+1,20),_xlfn.IFNA(VLOOKUP(F112&amp;"-"&amp;AA112,Ref_Kontak!$A:$E,4,FALSE),Ref_Kontak!$H$2))</f>
        <v>628999007703</v>
      </c>
      <c r="AA112" t="str">
        <f t="shared" si="6"/>
        <v/>
      </c>
      <c r="AB112" t="str">
        <f t="shared" si="7"/>
        <v/>
      </c>
      <c r="AC112" t="str">
        <f t="shared" si="8"/>
        <v>628999007703</v>
      </c>
      <c r="AD112" t="str">
        <f t="shared" si="10"/>
        <v>Halo+,+Visual+AI+5S+menditeksi+Violation%3A+GUDANGEXP1-LINE+1</v>
      </c>
      <c r="AE112" t="str">
        <f t="shared" si="9"/>
        <v>https://web.whatsapp.com/send/?phone=628999007703&amp;text=Halo+,+Visual+AI+5S+menditeksi+Violation%3A+GUDANGEXP1-LINE+1&amp;type=phone_number&amp;app_absent=0</v>
      </c>
      <c r="AF112" t="b">
        <f>IF(ISNA(VLOOKUP(D112&amp;"-"&amp;AB112, Ref_Kontak!$A:$E, 4, FALSE)), FALSE, TRUE)</f>
        <v>0</v>
      </c>
      <c r="AG112" t="str">
        <f>_xlfn.IFNA(VLOOKUP(Z112,Ref_Kontak!H:H,1,FALSE),"FALSE")</f>
        <v>628999007703</v>
      </c>
      <c r="AH112" t="str">
        <f t="shared" si="11"/>
        <v>GUDANGEXP1-LINE 1</v>
      </c>
      <c r="AI112">
        <f>COUNTIF($AH$1:AH112,AH112)</f>
        <v>111</v>
      </c>
    </row>
    <row r="113" spans="1:35">
      <c r="A113" t="s">
        <v>56</v>
      </c>
      <c r="B113" t="s">
        <v>57</v>
      </c>
      <c r="C113" t="s">
        <v>173</v>
      </c>
      <c r="D113" t="s">
        <v>59</v>
      </c>
      <c r="E113">
        <v>1</v>
      </c>
      <c r="G113" t="s">
        <v>60</v>
      </c>
      <c r="I113" t="s">
        <v>61</v>
      </c>
      <c r="Z113" t="str">
        <f>IFERROR(MID(AA113,FIND("-",H113,1)+1,20),_xlfn.IFNA(VLOOKUP(F113&amp;"-"&amp;AA113,Ref_Kontak!$A:$E,4,FALSE),Ref_Kontak!$H$2))</f>
        <v>628999007703</v>
      </c>
      <c r="AA113" t="str">
        <f t="shared" si="6"/>
        <v/>
      </c>
      <c r="AB113" t="str">
        <f t="shared" si="7"/>
        <v/>
      </c>
      <c r="AC113" t="str">
        <f t="shared" si="8"/>
        <v>628999007703</v>
      </c>
      <c r="AD113" t="str">
        <f t="shared" si="10"/>
        <v>Halo+,+Visual+AI+5S+menditeksi+Violation%3A+GUDANGEXP1-LINE+1</v>
      </c>
      <c r="AE113" t="str">
        <f t="shared" si="9"/>
        <v>https://web.whatsapp.com/send/?phone=628999007703&amp;text=Halo+,+Visual+AI+5S+menditeksi+Violation%3A+GUDANGEXP1-LINE+1&amp;type=phone_number&amp;app_absent=0</v>
      </c>
      <c r="AF113" t="b">
        <f>IF(ISNA(VLOOKUP(D113&amp;"-"&amp;AB113, Ref_Kontak!$A:$E, 4, FALSE)), FALSE, TRUE)</f>
        <v>0</v>
      </c>
      <c r="AG113" t="str">
        <f>_xlfn.IFNA(VLOOKUP(Z113,Ref_Kontak!H:H,1,FALSE),"FALSE")</f>
        <v>628999007703</v>
      </c>
      <c r="AH113" t="str">
        <f t="shared" si="11"/>
        <v>GUDANGEXP1-LINE 1</v>
      </c>
      <c r="AI113">
        <f>COUNTIF($AH$1:AH113,AH113)</f>
        <v>112</v>
      </c>
    </row>
    <row r="114" spans="1:35">
      <c r="A114" t="s">
        <v>56</v>
      </c>
      <c r="B114" t="s">
        <v>57</v>
      </c>
      <c r="C114" t="s">
        <v>174</v>
      </c>
      <c r="D114" t="s">
        <v>59</v>
      </c>
      <c r="E114">
        <v>1</v>
      </c>
      <c r="G114" t="s">
        <v>60</v>
      </c>
      <c r="I114" t="s">
        <v>61</v>
      </c>
      <c r="Z114" t="str">
        <f>IFERROR(MID(AA114,FIND("-",H114,1)+1,20),_xlfn.IFNA(VLOOKUP(F114&amp;"-"&amp;AA114,Ref_Kontak!$A:$E,4,FALSE),Ref_Kontak!$H$2))</f>
        <v>628999007703</v>
      </c>
      <c r="AA114" t="str">
        <f t="shared" si="6"/>
        <v/>
      </c>
      <c r="AB114" t="str">
        <f t="shared" si="7"/>
        <v/>
      </c>
      <c r="AC114" t="str">
        <f t="shared" si="8"/>
        <v>628999007703</v>
      </c>
      <c r="AD114" t="str">
        <f t="shared" si="10"/>
        <v>Halo+,+Visual+AI+5S+menditeksi+Violation%3A+GUDANGEXP1-LINE+1</v>
      </c>
      <c r="AE114" t="str">
        <f t="shared" si="9"/>
        <v>https://web.whatsapp.com/send/?phone=628999007703&amp;text=Halo+,+Visual+AI+5S+menditeksi+Violation%3A+GUDANGEXP1-LINE+1&amp;type=phone_number&amp;app_absent=0</v>
      </c>
      <c r="AF114" t="b">
        <f>IF(ISNA(VLOOKUP(D114&amp;"-"&amp;AB114, Ref_Kontak!$A:$E, 4, FALSE)), FALSE, TRUE)</f>
        <v>0</v>
      </c>
      <c r="AG114" t="str">
        <f>_xlfn.IFNA(VLOOKUP(Z114,Ref_Kontak!H:H,1,FALSE),"FALSE")</f>
        <v>628999007703</v>
      </c>
      <c r="AH114" t="str">
        <f t="shared" si="11"/>
        <v>GUDANGEXP1-LINE 1</v>
      </c>
      <c r="AI114">
        <f>COUNTIF($AH$1:AH114,AH114)</f>
        <v>113</v>
      </c>
    </row>
    <row r="115" spans="1:35">
      <c r="A115" t="s">
        <v>56</v>
      </c>
      <c r="B115" t="s">
        <v>57</v>
      </c>
      <c r="C115" t="s">
        <v>175</v>
      </c>
      <c r="D115" t="s">
        <v>59</v>
      </c>
      <c r="E115">
        <v>1</v>
      </c>
      <c r="G115" t="s">
        <v>60</v>
      </c>
      <c r="I115" t="s">
        <v>61</v>
      </c>
      <c r="Z115" t="str">
        <f>IFERROR(MID(AA115,FIND("-",H115,1)+1,20),_xlfn.IFNA(VLOOKUP(F115&amp;"-"&amp;AA115,Ref_Kontak!$A:$E,4,FALSE),Ref_Kontak!$H$2))</f>
        <v>628999007703</v>
      </c>
      <c r="AA115" t="str">
        <f t="shared" si="6"/>
        <v/>
      </c>
      <c r="AB115" t="str">
        <f t="shared" si="7"/>
        <v/>
      </c>
      <c r="AC115" t="str">
        <f t="shared" si="8"/>
        <v>628999007703</v>
      </c>
      <c r="AD115" t="str">
        <f t="shared" si="10"/>
        <v>Halo+,+Visual+AI+5S+menditeksi+Violation%3A+GUDANGEXP1-LINE+1</v>
      </c>
      <c r="AE115" t="str">
        <f t="shared" si="9"/>
        <v>https://web.whatsapp.com/send/?phone=628999007703&amp;text=Halo+,+Visual+AI+5S+menditeksi+Violation%3A+GUDANGEXP1-LINE+1&amp;type=phone_number&amp;app_absent=0</v>
      </c>
      <c r="AF115" t="b">
        <f>IF(ISNA(VLOOKUP(D115&amp;"-"&amp;AB115, Ref_Kontak!$A:$E, 4, FALSE)), FALSE, TRUE)</f>
        <v>0</v>
      </c>
      <c r="AG115" t="str">
        <f>_xlfn.IFNA(VLOOKUP(Z115,Ref_Kontak!H:H,1,FALSE),"FALSE")</f>
        <v>628999007703</v>
      </c>
      <c r="AH115" t="str">
        <f t="shared" si="11"/>
        <v>GUDANGEXP1-LINE 1</v>
      </c>
      <c r="AI115">
        <f>COUNTIF($AH$1:AH115,AH115)</f>
        <v>114</v>
      </c>
    </row>
    <row r="116" spans="1:35">
      <c r="A116" t="s">
        <v>56</v>
      </c>
      <c r="B116" t="s">
        <v>57</v>
      </c>
      <c r="C116" t="s">
        <v>176</v>
      </c>
      <c r="D116" t="s">
        <v>59</v>
      </c>
      <c r="E116">
        <v>1</v>
      </c>
      <c r="G116" t="s">
        <v>60</v>
      </c>
      <c r="I116" t="s">
        <v>61</v>
      </c>
      <c r="Z116" t="str">
        <f>IFERROR(MID(AA116,FIND("-",H116,1)+1,20),_xlfn.IFNA(VLOOKUP(F116&amp;"-"&amp;AA116,Ref_Kontak!$A:$E,4,FALSE),Ref_Kontak!$H$2))</f>
        <v>628999007703</v>
      </c>
      <c r="AA116" t="str">
        <f t="shared" si="6"/>
        <v/>
      </c>
      <c r="AB116" t="str">
        <f t="shared" si="7"/>
        <v/>
      </c>
      <c r="AC116" t="str">
        <f t="shared" si="8"/>
        <v>628999007703</v>
      </c>
      <c r="AD116" t="str">
        <f t="shared" si="10"/>
        <v>Halo+,+Visual+AI+5S+menditeksi+Violation%3A+GUDANGEXP1-LINE+1</v>
      </c>
      <c r="AE116" t="str">
        <f t="shared" si="9"/>
        <v>https://web.whatsapp.com/send/?phone=628999007703&amp;text=Halo+,+Visual+AI+5S+menditeksi+Violation%3A+GUDANGEXP1-LINE+1&amp;type=phone_number&amp;app_absent=0</v>
      </c>
      <c r="AF116" t="b">
        <f>IF(ISNA(VLOOKUP(D116&amp;"-"&amp;AB116, Ref_Kontak!$A:$E, 4, FALSE)), FALSE, TRUE)</f>
        <v>0</v>
      </c>
      <c r="AG116" t="str">
        <f>_xlfn.IFNA(VLOOKUP(Z116,Ref_Kontak!H:H,1,FALSE),"FALSE")</f>
        <v>628999007703</v>
      </c>
      <c r="AH116" t="str">
        <f t="shared" si="11"/>
        <v>GUDANGEXP1-LINE 1</v>
      </c>
      <c r="AI116">
        <f>COUNTIF($AH$1:AH116,AH116)</f>
        <v>115</v>
      </c>
    </row>
    <row r="117" spans="1:35">
      <c r="A117" t="s">
        <v>56</v>
      </c>
      <c r="B117" t="s">
        <v>57</v>
      </c>
      <c r="C117" t="s">
        <v>177</v>
      </c>
      <c r="D117" t="s">
        <v>59</v>
      </c>
      <c r="E117">
        <v>1</v>
      </c>
      <c r="G117" t="s">
        <v>60</v>
      </c>
      <c r="I117" t="s">
        <v>61</v>
      </c>
      <c r="Z117" t="str">
        <f>IFERROR(MID(AA117,FIND("-",H117,1)+1,20),_xlfn.IFNA(VLOOKUP(F117&amp;"-"&amp;AA117,Ref_Kontak!$A:$E,4,FALSE),Ref_Kontak!$H$2))</f>
        <v>628999007703</v>
      </c>
      <c r="AA117" t="str">
        <f t="shared" si="6"/>
        <v/>
      </c>
      <c r="AB117" t="str">
        <f t="shared" si="7"/>
        <v/>
      </c>
      <c r="AC117" t="str">
        <f t="shared" si="8"/>
        <v>628999007703</v>
      </c>
      <c r="AD117" t="str">
        <f t="shared" si="10"/>
        <v>Halo+,+Visual+AI+5S+menditeksi+Violation%3A+GUDANGEXP1-LINE+1</v>
      </c>
      <c r="AE117" t="str">
        <f t="shared" si="9"/>
        <v>https://web.whatsapp.com/send/?phone=628999007703&amp;text=Halo+,+Visual+AI+5S+menditeksi+Violation%3A+GUDANGEXP1-LINE+1&amp;type=phone_number&amp;app_absent=0</v>
      </c>
      <c r="AF117" t="b">
        <f>IF(ISNA(VLOOKUP(D117&amp;"-"&amp;AB117, Ref_Kontak!$A:$E, 4, FALSE)), FALSE, TRUE)</f>
        <v>0</v>
      </c>
      <c r="AG117" t="str">
        <f>_xlfn.IFNA(VLOOKUP(Z117,Ref_Kontak!H:H,1,FALSE),"FALSE")</f>
        <v>628999007703</v>
      </c>
      <c r="AH117" t="str">
        <f t="shared" si="11"/>
        <v>GUDANGEXP1-LINE 1</v>
      </c>
      <c r="AI117">
        <f>COUNTIF($AH$1:AH117,AH117)</f>
        <v>116</v>
      </c>
    </row>
    <row r="118" spans="1:35">
      <c r="A118" t="s">
        <v>56</v>
      </c>
      <c r="B118" t="s">
        <v>57</v>
      </c>
      <c r="C118" t="s">
        <v>178</v>
      </c>
      <c r="D118" t="s">
        <v>59</v>
      </c>
      <c r="E118">
        <v>1</v>
      </c>
      <c r="G118" t="s">
        <v>60</v>
      </c>
      <c r="I118" t="s">
        <v>61</v>
      </c>
      <c r="K118" t="s">
        <v>179</v>
      </c>
      <c r="Z118" t="str">
        <f>IFERROR(MID(AA118,FIND("-",H118,1)+1,20),_xlfn.IFNA(VLOOKUP(F118&amp;"-"&amp;AA118,Ref_Kontak!$A:$E,4,FALSE),Ref_Kontak!$H$2))</f>
        <v>628999007703</v>
      </c>
      <c r="AA118" t="str">
        <f t="shared" si="6"/>
        <v/>
      </c>
      <c r="AB118" t="str">
        <f t="shared" si="7"/>
        <v/>
      </c>
      <c r="AC118" t="str">
        <f t="shared" si="8"/>
        <v>628999007703</v>
      </c>
      <c r="AD118" t="str">
        <f t="shared" si="10"/>
        <v>Halo+,+Visual+AI+5S+menditeksi+Violation%3A+GUDANGEXP1-LINE+1</v>
      </c>
      <c r="AE118" t="str">
        <f t="shared" si="9"/>
        <v>https://web.whatsapp.com/send/?phone=628999007703&amp;text=Halo+,+Visual+AI+5S+menditeksi+Violation%3A+GUDANGEXP1-LINE+1&amp;type=phone_number&amp;app_absent=0</v>
      </c>
      <c r="AF118" t="b">
        <f>IF(ISNA(VLOOKUP(D118&amp;"-"&amp;AB118, Ref_Kontak!$A:$E, 4, FALSE)), FALSE, TRUE)</f>
        <v>0</v>
      </c>
      <c r="AG118" t="str">
        <f>_xlfn.IFNA(VLOOKUP(Z118,Ref_Kontak!H:H,1,FALSE),"FALSE")</f>
        <v>628999007703</v>
      </c>
      <c r="AH118" t="str">
        <f t="shared" si="11"/>
        <v>GUDANGEXP1-LINE 1</v>
      </c>
      <c r="AI118">
        <f>COUNTIF($AH$1:AH118,AH118)</f>
        <v>117</v>
      </c>
    </row>
    <row r="119" spans="1:35">
      <c r="A119" t="s">
        <v>56</v>
      </c>
      <c r="B119" t="s">
        <v>57</v>
      </c>
      <c r="C119" t="s">
        <v>180</v>
      </c>
      <c r="D119" t="s">
        <v>59</v>
      </c>
      <c r="E119">
        <v>1</v>
      </c>
      <c r="G119" t="s">
        <v>60</v>
      </c>
      <c r="I119" t="s">
        <v>61</v>
      </c>
      <c r="Z119" t="str">
        <f>IFERROR(MID(AA119,FIND("-",H119,1)+1,20),_xlfn.IFNA(VLOOKUP(F119&amp;"-"&amp;AA119,Ref_Kontak!$A:$E,4,FALSE),Ref_Kontak!$H$2))</f>
        <v>628999007703</v>
      </c>
      <c r="AA119" t="str">
        <f t="shared" si="6"/>
        <v/>
      </c>
      <c r="AB119" t="str">
        <f t="shared" si="7"/>
        <v/>
      </c>
      <c r="AC119" t="str">
        <f t="shared" si="8"/>
        <v>628999007703</v>
      </c>
      <c r="AD119" t="str">
        <f t="shared" si="10"/>
        <v>Halo+,+Visual+AI+5S+menditeksi+Violation%3A+GUDANGEXP1-LINE+1</v>
      </c>
      <c r="AE119" t="str">
        <f t="shared" si="9"/>
        <v>https://web.whatsapp.com/send/?phone=628999007703&amp;text=Halo+,+Visual+AI+5S+menditeksi+Violation%3A+GUDANGEXP1-LINE+1&amp;type=phone_number&amp;app_absent=0</v>
      </c>
      <c r="AF119" t="b">
        <f>IF(ISNA(VLOOKUP(D119&amp;"-"&amp;AB119, Ref_Kontak!$A:$E, 4, FALSE)), FALSE, TRUE)</f>
        <v>0</v>
      </c>
      <c r="AG119" t="str">
        <f>_xlfn.IFNA(VLOOKUP(Z119,Ref_Kontak!H:H,1,FALSE),"FALSE")</f>
        <v>628999007703</v>
      </c>
      <c r="AH119" t="str">
        <f t="shared" si="11"/>
        <v>GUDANGEXP1-LINE 1</v>
      </c>
      <c r="AI119">
        <f>COUNTIF($AH$1:AH119,AH119)</f>
        <v>118</v>
      </c>
    </row>
    <row r="120" spans="1:35">
      <c r="A120" t="s">
        <v>56</v>
      </c>
      <c r="B120" t="s">
        <v>57</v>
      </c>
      <c r="C120" t="s">
        <v>181</v>
      </c>
      <c r="D120" t="s">
        <v>59</v>
      </c>
      <c r="E120">
        <v>1</v>
      </c>
      <c r="G120" t="s">
        <v>60</v>
      </c>
      <c r="I120" t="s">
        <v>61</v>
      </c>
      <c r="Z120" t="str">
        <f>IFERROR(MID(AA120,FIND("-",H120,1)+1,20),_xlfn.IFNA(VLOOKUP(F120&amp;"-"&amp;AA120,Ref_Kontak!$A:$E,4,FALSE),Ref_Kontak!$H$2))</f>
        <v>628999007703</v>
      </c>
      <c r="AA120" t="str">
        <f t="shared" si="6"/>
        <v/>
      </c>
      <c r="AB120" t="str">
        <f t="shared" si="7"/>
        <v/>
      </c>
      <c r="AC120" t="str">
        <f t="shared" si="8"/>
        <v>628999007703</v>
      </c>
      <c r="AD120" t="str">
        <f t="shared" si="10"/>
        <v>Halo+,+Visual+AI+5S+menditeksi+Violation%3A+GUDANGEXP1-LINE+1</v>
      </c>
      <c r="AE120" t="str">
        <f t="shared" si="9"/>
        <v>https://web.whatsapp.com/send/?phone=628999007703&amp;text=Halo+,+Visual+AI+5S+menditeksi+Violation%3A+GUDANGEXP1-LINE+1&amp;type=phone_number&amp;app_absent=0</v>
      </c>
      <c r="AF120" t="b">
        <f>IF(ISNA(VLOOKUP(D120&amp;"-"&amp;AB120, Ref_Kontak!$A:$E, 4, FALSE)), FALSE, TRUE)</f>
        <v>0</v>
      </c>
      <c r="AG120" t="str">
        <f>_xlfn.IFNA(VLOOKUP(Z120,Ref_Kontak!H:H,1,FALSE),"FALSE")</f>
        <v>628999007703</v>
      </c>
      <c r="AH120" t="str">
        <f t="shared" si="11"/>
        <v>GUDANGEXP1-LINE 1</v>
      </c>
      <c r="AI120">
        <f>COUNTIF($AH$1:AH120,AH120)</f>
        <v>119</v>
      </c>
    </row>
    <row r="121" spans="1:35">
      <c r="A121" t="s">
        <v>56</v>
      </c>
      <c r="B121" t="s">
        <v>57</v>
      </c>
      <c r="C121" t="s">
        <v>182</v>
      </c>
      <c r="D121" t="s">
        <v>59</v>
      </c>
      <c r="E121">
        <v>1</v>
      </c>
      <c r="G121" t="s">
        <v>60</v>
      </c>
      <c r="I121" t="s">
        <v>61</v>
      </c>
      <c r="Z121" t="str">
        <f>IFERROR(MID(AA121,FIND("-",H121,1)+1,20),_xlfn.IFNA(VLOOKUP(F121&amp;"-"&amp;AA121,Ref_Kontak!$A:$E,4,FALSE),Ref_Kontak!$H$2))</f>
        <v>628999007703</v>
      </c>
      <c r="AA121" t="str">
        <f t="shared" si="6"/>
        <v/>
      </c>
      <c r="AB121" t="str">
        <f t="shared" si="7"/>
        <v/>
      </c>
      <c r="AC121" t="str">
        <f t="shared" si="8"/>
        <v>628999007703</v>
      </c>
      <c r="AD121" t="str">
        <f t="shared" si="10"/>
        <v>Halo+,+Visual+AI+5S+menditeksi+Violation%3A+GUDANGEXP1-LINE+1</v>
      </c>
      <c r="AE121" t="str">
        <f t="shared" si="9"/>
        <v>https://web.whatsapp.com/send/?phone=628999007703&amp;text=Halo+,+Visual+AI+5S+menditeksi+Violation%3A+GUDANGEXP1-LINE+1&amp;type=phone_number&amp;app_absent=0</v>
      </c>
      <c r="AF121" t="b">
        <f>IF(ISNA(VLOOKUP(D121&amp;"-"&amp;AB121, Ref_Kontak!$A:$E, 4, FALSE)), FALSE, TRUE)</f>
        <v>0</v>
      </c>
      <c r="AG121" t="str">
        <f>_xlfn.IFNA(VLOOKUP(Z121,Ref_Kontak!H:H,1,FALSE),"FALSE")</f>
        <v>628999007703</v>
      </c>
      <c r="AH121" t="str">
        <f t="shared" si="11"/>
        <v>GUDANGEXP1-LINE 1</v>
      </c>
      <c r="AI121">
        <f>COUNTIF($AH$1:AH121,AH121)</f>
        <v>120</v>
      </c>
    </row>
    <row r="122" spans="1:35">
      <c r="A122" t="s">
        <v>56</v>
      </c>
      <c r="B122" t="s">
        <v>57</v>
      </c>
      <c r="C122" t="s">
        <v>183</v>
      </c>
      <c r="D122" t="s">
        <v>59</v>
      </c>
      <c r="E122">
        <v>1</v>
      </c>
      <c r="G122" t="s">
        <v>60</v>
      </c>
      <c r="I122" t="s">
        <v>61</v>
      </c>
      <c r="Z122" t="str">
        <f>IFERROR(MID(AA122,FIND("-",H122,1)+1,20),_xlfn.IFNA(VLOOKUP(F122&amp;"-"&amp;AA122,Ref_Kontak!$A:$E,4,FALSE),Ref_Kontak!$H$2))</f>
        <v>628999007703</v>
      </c>
      <c r="AA122" t="str">
        <f t="shared" si="6"/>
        <v/>
      </c>
      <c r="AB122" t="str">
        <f t="shared" si="7"/>
        <v/>
      </c>
      <c r="AC122" t="str">
        <f t="shared" si="8"/>
        <v>628999007703</v>
      </c>
      <c r="AD122" t="str">
        <f t="shared" si="10"/>
        <v>Halo+,+Visual+AI+5S+menditeksi+Violation%3A+GUDANGEXP1-LINE+1</v>
      </c>
      <c r="AE122" t="str">
        <f t="shared" si="9"/>
        <v>https://web.whatsapp.com/send/?phone=628999007703&amp;text=Halo+,+Visual+AI+5S+menditeksi+Violation%3A+GUDANGEXP1-LINE+1&amp;type=phone_number&amp;app_absent=0</v>
      </c>
      <c r="AF122" t="b">
        <f>IF(ISNA(VLOOKUP(D122&amp;"-"&amp;AB122, Ref_Kontak!$A:$E, 4, FALSE)), FALSE, TRUE)</f>
        <v>0</v>
      </c>
      <c r="AG122" t="str">
        <f>_xlfn.IFNA(VLOOKUP(Z122,Ref_Kontak!H:H,1,FALSE),"FALSE")</f>
        <v>628999007703</v>
      </c>
      <c r="AH122" t="str">
        <f t="shared" si="11"/>
        <v>GUDANGEXP1-LINE 1</v>
      </c>
      <c r="AI122">
        <f>COUNTIF($AH$1:AH122,AH122)</f>
        <v>121</v>
      </c>
    </row>
    <row r="123" spans="1:35">
      <c r="A123" t="s">
        <v>56</v>
      </c>
      <c r="B123" t="s">
        <v>57</v>
      </c>
      <c r="C123" t="s">
        <v>184</v>
      </c>
      <c r="D123" t="s">
        <v>59</v>
      </c>
      <c r="E123">
        <v>1</v>
      </c>
      <c r="G123" t="s">
        <v>60</v>
      </c>
      <c r="I123" t="s">
        <v>61</v>
      </c>
      <c r="Z123" t="str">
        <f>IFERROR(MID(AA123,FIND("-",H123,1)+1,20),_xlfn.IFNA(VLOOKUP(F123&amp;"-"&amp;AA123,Ref_Kontak!$A:$E,4,FALSE),Ref_Kontak!$H$2))</f>
        <v>628999007703</v>
      </c>
      <c r="AA123" t="str">
        <f t="shared" si="6"/>
        <v/>
      </c>
      <c r="AB123" t="str">
        <f t="shared" si="7"/>
        <v/>
      </c>
      <c r="AC123" t="str">
        <f t="shared" si="8"/>
        <v>628999007703</v>
      </c>
      <c r="AD123" t="str">
        <f t="shared" si="10"/>
        <v>Halo+,+Visual+AI+5S+menditeksi+Violation%3A+GUDANGEXP1-LINE+1</v>
      </c>
      <c r="AE123" t="str">
        <f t="shared" si="9"/>
        <v>https://web.whatsapp.com/send/?phone=628999007703&amp;text=Halo+,+Visual+AI+5S+menditeksi+Violation%3A+GUDANGEXP1-LINE+1&amp;type=phone_number&amp;app_absent=0</v>
      </c>
      <c r="AF123" t="b">
        <f>IF(ISNA(VLOOKUP(D123&amp;"-"&amp;AB123, Ref_Kontak!$A:$E, 4, FALSE)), FALSE, TRUE)</f>
        <v>0</v>
      </c>
      <c r="AG123" t="str">
        <f>_xlfn.IFNA(VLOOKUP(Z123,Ref_Kontak!H:H,1,FALSE),"FALSE")</f>
        <v>628999007703</v>
      </c>
      <c r="AH123" t="str">
        <f t="shared" si="11"/>
        <v>GUDANGEXP1-LINE 1</v>
      </c>
      <c r="AI123">
        <f>COUNTIF($AH$1:AH123,AH123)</f>
        <v>122</v>
      </c>
    </row>
    <row r="124" spans="1:35">
      <c r="A124" t="s">
        <v>56</v>
      </c>
      <c r="B124" t="s">
        <v>57</v>
      </c>
      <c r="C124" t="s">
        <v>185</v>
      </c>
      <c r="D124" t="s">
        <v>59</v>
      </c>
      <c r="E124">
        <v>1</v>
      </c>
      <c r="G124" t="s">
        <v>60</v>
      </c>
      <c r="I124" t="s">
        <v>61</v>
      </c>
      <c r="Z124" t="str">
        <f>IFERROR(MID(AA124,FIND("-",H124,1)+1,20),_xlfn.IFNA(VLOOKUP(F124&amp;"-"&amp;AA124,Ref_Kontak!$A:$E,4,FALSE),Ref_Kontak!$H$2))</f>
        <v>628999007703</v>
      </c>
      <c r="AA124" t="str">
        <f t="shared" si="6"/>
        <v/>
      </c>
      <c r="AB124" t="str">
        <f t="shared" si="7"/>
        <v/>
      </c>
      <c r="AC124" t="str">
        <f t="shared" si="8"/>
        <v>628999007703</v>
      </c>
      <c r="AD124" t="str">
        <f t="shared" si="10"/>
        <v>Halo+,+Visual+AI+5S+menditeksi+Violation%3A+GUDANGEXP1-LINE+1</v>
      </c>
      <c r="AE124" t="str">
        <f t="shared" si="9"/>
        <v>https://web.whatsapp.com/send/?phone=628999007703&amp;text=Halo+,+Visual+AI+5S+menditeksi+Violation%3A+GUDANGEXP1-LINE+1&amp;type=phone_number&amp;app_absent=0</v>
      </c>
      <c r="AF124" t="b">
        <f>IF(ISNA(VLOOKUP(D124&amp;"-"&amp;AB124, Ref_Kontak!$A:$E, 4, FALSE)), FALSE, TRUE)</f>
        <v>0</v>
      </c>
      <c r="AG124" t="str">
        <f>_xlfn.IFNA(VLOOKUP(Z124,Ref_Kontak!H:H,1,FALSE),"FALSE")</f>
        <v>628999007703</v>
      </c>
      <c r="AH124" t="str">
        <f t="shared" si="11"/>
        <v>GUDANGEXP1-LINE 1</v>
      </c>
      <c r="AI124">
        <f>COUNTIF($AH$1:AH124,AH124)</f>
        <v>123</v>
      </c>
    </row>
    <row r="125" spans="1:35">
      <c r="A125" t="s">
        <v>56</v>
      </c>
      <c r="B125" t="s">
        <v>57</v>
      </c>
      <c r="C125" t="s">
        <v>186</v>
      </c>
      <c r="D125" t="s">
        <v>59</v>
      </c>
      <c r="E125">
        <v>1</v>
      </c>
      <c r="G125" t="s">
        <v>60</v>
      </c>
      <c r="I125" t="s">
        <v>61</v>
      </c>
      <c r="Z125" t="str">
        <f>IFERROR(MID(AA125,FIND("-",H125,1)+1,20),_xlfn.IFNA(VLOOKUP(F125&amp;"-"&amp;AA125,Ref_Kontak!$A:$E,4,FALSE),Ref_Kontak!$H$2))</f>
        <v>628999007703</v>
      </c>
      <c r="AA125" t="str">
        <f t="shared" si="6"/>
        <v/>
      </c>
      <c r="AB125" t="str">
        <f t="shared" si="7"/>
        <v/>
      </c>
      <c r="AC125" t="str">
        <f t="shared" si="8"/>
        <v>628999007703</v>
      </c>
      <c r="AD125" t="str">
        <f t="shared" si="10"/>
        <v>Halo+,+Visual+AI+5S+menditeksi+Violation%3A+GUDANGEXP1-LINE+1</v>
      </c>
      <c r="AE125" t="str">
        <f t="shared" si="9"/>
        <v>https://web.whatsapp.com/send/?phone=628999007703&amp;text=Halo+,+Visual+AI+5S+menditeksi+Violation%3A+GUDANGEXP1-LINE+1&amp;type=phone_number&amp;app_absent=0</v>
      </c>
      <c r="AF125" t="b">
        <f>IF(ISNA(VLOOKUP(D125&amp;"-"&amp;AB125, Ref_Kontak!$A:$E, 4, FALSE)), FALSE, TRUE)</f>
        <v>0</v>
      </c>
      <c r="AG125" t="str">
        <f>_xlfn.IFNA(VLOOKUP(Z125,Ref_Kontak!H:H,1,FALSE),"FALSE")</f>
        <v>628999007703</v>
      </c>
      <c r="AH125" t="str">
        <f t="shared" si="11"/>
        <v>GUDANGEXP1-LINE 1</v>
      </c>
      <c r="AI125">
        <f>COUNTIF($AH$1:AH125,AH125)</f>
        <v>124</v>
      </c>
    </row>
    <row r="126" spans="1:35">
      <c r="A126" t="s">
        <v>56</v>
      </c>
      <c r="B126" t="s">
        <v>57</v>
      </c>
      <c r="C126" t="s">
        <v>187</v>
      </c>
      <c r="D126" t="s">
        <v>59</v>
      </c>
      <c r="E126">
        <v>1</v>
      </c>
      <c r="G126" t="s">
        <v>60</v>
      </c>
      <c r="I126" t="s">
        <v>61</v>
      </c>
      <c r="Z126" t="str">
        <f>IFERROR(MID(AA126,FIND("-",H126,1)+1,20),_xlfn.IFNA(VLOOKUP(F126&amp;"-"&amp;AA126,Ref_Kontak!$A:$E,4,FALSE),Ref_Kontak!$H$2))</f>
        <v>628999007703</v>
      </c>
      <c r="AA126" t="str">
        <f t="shared" si="6"/>
        <v/>
      </c>
      <c r="AB126" t="str">
        <f t="shared" si="7"/>
        <v/>
      </c>
      <c r="AC126" t="str">
        <f t="shared" si="8"/>
        <v>628999007703</v>
      </c>
      <c r="AD126" t="str">
        <f t="shared" si="10"/>
        <v>Halo+,+Visual+AI+5S+menditeksi+Violation%3A+GUDANGEXP1-LINE+1</v>
      </c>
      <c r="AE126" t="str">
        <f t="shared" si="9"/>
        <v>https://web.whatsapp.com/send/?phone=628999007703&amp;text=Halo+,+Visual+AI+5S+menditeksi+Violation%3A+GUDANGEXP1-LINE+1&amp;type=phone_number&amp;app_absent=0</v>
      </c>
      <c r="AF126" t="b">
        <f>IF(ISNA(VLOOKUP(D126&amp;"-"&amp;AB126, Ref_Kontak!$A:$E, 4, FALSE)), FALSE, TRUE)</f>
        <v>0</v>
      </c>
      <c r="AG126" t="str">
        <f>_xlfn.IFNA(VLOOKUP(Z126,Ref_Kontak!H:H,1,FALSE),"FALSE")</f>
        <v>628999007703</v>
      </c>
      <c r="AH126" t="str">
        <f t="shared" si="11"/>
        <v>GUDANGEXP1-LINE 1</v>
      </c>
      <c r="AI126">
        <f>COUNTIF($AH$1:AH126,AH126)</f>
        <v>125</v>
      </c>
    </row>
    <row r="127" spans="1:35">
      <c r="A127" t="s">
        <v>56</v>
      </c>
      <c r="B127" t="s">
        <v>57</v>
      </c>
      <c r="C127" t="s">
        <v>188</v>
      </c>
      <c r="D127" t="s">
        <v>59</v>
      </c>
      <c r="E127">
        <v>1</v>
      </c>
      <c r="G127" t="s">
        <v>60</v>
      </c>
      <c r="I127" t="s">
        <v>61</v>
      </c>
      <c r="Z127" t="str">
        <f>IFERROR(MID(AA127,FIND("-",H127,1)+1,20),_xlfn.IFNA(VLOOKUP(F127&amp;"-"&amp;AA127,Ref_Kontak!$A:$E,4,FALSE),Ref_Kontak!$H$2))</f>
        <v>628999007703</v>
      </c>
      <c r="AA127" t="str">
        <f t="shared" si="6"/>
        <v/>
      </c>
      <c r="AB127" t="str">
        <f t="shared" si="7"/>
        <v/>
      </c>
      <c r="AC127" t="str">
        <f t="shared" si="8"/>
        <v>628999007703</v>
      </c>
      <c r="AD127" t="str">
        <f t="shared" si="10"/>
        <v>Halo+,+Visual+AI+5S+menditeksi+Violation%3A+GUDANGEXP1-LINE+1</v>
      </c>
      <c r="AE127" t="str">
        <f t="shared" si="9"/>
        <v>https://web.whatsapp.com/send/?phone=628999007703&amp;text=Halo+,+Visual+AI+5S+menditeksi+Violation%3A+GUDANGEXP1-LINE+1&amp;type=phone_number&amp;app_absent=0</v>
      </c>
      <c r="AF127" t="b">
        <f>IF(ISNA(VLOOKUP(D127&amp;"-"&amp;AB127, Ref_Kontak!$A:$E, 4, FALSE)), FALSE, TRUE)</f>
        <v>0</v>
      </c>
      <c r="AG127" t="str">
        <f>_xlfn.IFNA(VLOOKUP(Z127,Ref_Kontak!H:H,1,FALSE),"FALSE")</f>
        <v>628999007703</v>
      </c>
      <c r="AH127" t="str">
        <f t="shared" si="11"/>
        <v>GUDANGEXP1-LINE 1</v>
      </c>
      <c r="AI127">
        <f>COUNTIF($AH$1:AH127,AH127)</f>
        <v>126</v>
      </c>
    </row>
    <row r="128" spans="1:35">
      <c r="A128" t="s">
        <v>56</v>
      </c>
      <c r="B128" t="s">
        <v>57</v>
      </c>
      <c r="C128" t="s">
        <v>189</v>
      </c>
      <c r="D128" t="s">
        <v>59</v>
      </c>
      <c r="E128">
        <v>1</v>
      </c>
      <c r="G128" t="s">
        <v>60</v>
      </c>
      <c r="I128" t="s">
        <v>61</v>
      </c>
      <c r="Z128" t="str">
        <f>IFERROR(MID(AA128,FIND("-",H128,1)+1,20),_xlfn.IFNA(VLOOKUP(F128&amp;"-"&amp;AA128,Ref_Kontak!$A:$E,4,FALSE),Ref_Kontak!$H$2))</f>
        <v>628999007703</v>
      </c>
      <c r="AA128" t="str">
        <f t="shared" si="6"/>
        <v/>
      </c>
      <c r="AB128" t="str">
        <f t="shared" si="7"/>
        <v/>
      </c>
      <c r="AC128" t="str">
        <f t="shared" si="8"/>
        <v>628999007703</v>
      </c>
      <c r="AD128" t="str">
        <f t="shared" si="10"/>
        <v>Halo+,+Visual+AI+5S+menditeksi+Violation%3A+GUDANGEXP1-LINE+1</v>
      </c>
      <c r="AE128" t="str">
        <f t="shared" si="9"/>
        <v>https://web.whatsapp.com/send/?phone=628999007703&amp;text=Halo+,+Visual+AI+5S+menditeksi+Violation%3A+GUDANGEXP1-LINE+1&amp;type=phone_number&amp;app_absent=0</v>
      </c>
      <c r="AF128" t="b">
        <f>IF(ISNA(VLOOKUP(D128&amp;"-"&amp;AB128, Ref_Kontak!$A:$E, 4, FALSE)), FALSE, TRUE)</f>
        <v>0</v>
      </c>
      <c r="AG128" t="str">
        <f>_xlfn.IFNA(VLOOKUP(Z128,Ref_Kontak!H:H,1,FALSE),"FALSE")</f>
        <v>628999007703</v>
      </c>
      <c r="AH128" t="str">
        <f t="shared" si="11"/>
        <v>GUDANGEXP1-LINE 1</v>
      </c>
      <c r="AI128">
        <f>COUNTIF($AH$1:AH128,AH128)</f>
        <v>127</v>
      </c>
    </row>
    <row r="129" spans="1:35">
      <c r="A129" t="s">
        <v>56</v>
      </c>
      <c r="B129" t="s">
        <v>57</v>
      </c>
      <c r="C129" t="s">
        <v>190</v>
      </c>
      <c r="D129" t="s">
        <v>59</v>
      </c>
      <c r="E129">
        <v>1</v>
      </c>
      <c r="G129" t="s">
        <v>60</v>
      </c>
      <c r="I129" t="s">
        <v>61</v>
      </c>
      <c r="Z129" t="str">
        <f>IFERROR(MID(AA129,FIND("-",H129,1)+1,20),_xlfn.IFNA(VLOOKUP(F129&amp;"-"&amp;AA129,Ref_Kontak!$A:$E,4,FALSE),Ref_Kontak!$H$2))</f>
        <v>628999007703</v>
      </c>
      <c r="AA129" t="str">
        <f t="shared" si="6"/>
        <v/>
      </c>
      <c r="AB129" t="str">
        <f t="shared" si="7"/>
        <v/>
      </c>
      <c r="AC129" t="str">
        <f t="shared" si="8"/>
        <v>628999007703</v>
      </c>
      <c r="AD129" t="str">
        <f t="shared" si="10"/>
        <v>Halo+,+Visual+AI+5S+menditeksi+Violation%3A+GUDANGEXP1-LINE+1</v>
      </c>
      <c r="AE129" t="str">
        <f t="shared" si="9"/>
        <v>https://web.whatsapp.com/send/?phone=628999007703&amp;text=Halo+,+Visual+AI+5S+menditeksi+Violation%3A+GUDANGEXP1-LINE+1&amp;type=phone_number&amp;app_absent=0</v>
      </c>
      <c r="AF129" t="b">
        <f>IF(ISNA(VLOOKUP(D129&amp;"-"&amp;AB129, Ref_Kontak!$A:$E, 4, FALSE)), FALSE, TRUE)</f>
        <v>0</v>
      </c>
      <c r="AG129" t="str">
        <f>_xlfn.IFNA(VLOOKUP(Z129,Ref_Kontak!H:H,1,FALSE),"FALSE")</f>
        <v>628999007703</v>
      </c>
      <c r="AH129" t="str">
        <f t="shared" si="11"/>
        <v>GUDANGEXP1-LINE 1</v>
      </c>
      <c r="AI129">
        <f>COUNTIF($AH$1:AH129,AH129)</f>
        <v>128</v>
      </c>
    </row>
    <row r="130" spans="1:35">
      <c r="A130" t="s">
        <v>56</v>
      </c>
      <c r="B130" t="s">
        <v>57</v>
      </c>
      <c r="C130" t="s">
        <v>191</v>
      </c>
      <c r="D130" t="s">
        <v>59</v>
      </c>
      <c r="E130">
        <v>1</v>
      </c>
      <c r="G130" t="s">
        <v>60</v>
      </c>
      <c r="I130" t="s">
        <v>61</v>
      </c>
      <c r="Z130" t="str">
        <f>IFERROR(MID(AA130,FIND("-",H130,1)+1,20),_xlfn.IFNA(VLOOKUP(F130&amp;"-"&amp;AA130,Ref_Kontak!$A:$E,4,FALSE),Ref_Kontak!$H$2))</f>
        <v>628999007703</v>
      </c>
      <c r="AA130" t="str">
        <f t="shared" ref="AA130:AA193" si="12">CLEAN(SUBSTITUTE(H130," ",""))</f>
        <v/>
      </c>
      <c r="AB130" t="str">
        <f t="shared" ref="AB130:AB193" si="13">IFERROR(LEFT(AA130,FIND("-",H130,1)-1),CLEAN(SUBSTITUTE(SUBSTITUTE(H130," ",""),"-","")))</f>
        <v/>
      </c>
      <c r="AC130" t="str">
        <f t="shared" ref="AC130:AC193" si="14">IF(LEFT(Z130,1)="0","62"&amp; MID(Z130,2,999),Z130)</f>
        <v>628999007703</v>
      </c>
      <c r="AD130" t="str">
        <f t="shared" si="10"/>
        <v>Halo+,+Visual+AI+5S+menditeksi+Violation%3A+GUDANGEXP1-LINE+1</v>
      </c>
      <c r="AE130" t="str">
        <f t="shared" ref="AE130:AE193" si="15">"https://web.whatsapp.com/send/?phone="&amp;AC130&amp;"&amp;text="&amp;AD130&amp;"&amp;type=phone_number&amp;app_absent=0"</f>
        <v>https://web.whatsapp.com/send/?phone=628999007703&amp;text=Halo+,+Visual+AI+5S+menditeksi+Violation%3A+GUDANGEXP1-LINE+1&amp;type=phone_number&amp;app_absent=0</v>
      </c>
      <c r="AF130" t="b">
        <f>IF(ISNA(VLOOKUP(D130&amp;"-"&amp;AB130, Ref_Kontak!$A:$E, 4, FALSE)), FALSE, TRUE)</f>
        <v>0</v>
      </c>
      <c r="AG130" t="str">
        <f>_xlfn.IFNA(VLOOKUP(Z130,Ref_Kontak!H:H,1,FALSE),"FALSE")</f>
        <v>628999007703</v>
      </c>
      <c r="AH130" t="str">
        <f t="shared" si="11"/>
        <v>GUDANGEXP1-LINE 1</v>
      </c>
      <c r="AI130">
        <f>COUNTIF($AH$1:AH130,AH130)</f>
        <v>129</v>
      </c>
    </row>
    <row r="131" spans="1:35">
      <c r="A131" t="s">
        <v>56</v>
      </c>
      <c r="B131" t="s">
        <v>57</v>
      </c>
      <c r="C131" t="s">
        <v>192</v>
      </c>
      <c r="D131" t="s">
        <v>59</v>
      </c>
      <c r="E131">
        <v>1</v>
      </c>
      <c r="G131" t="s">
        <v>60</v>
      </c>
      <c r="I131" t="s">
        <v>61</v>
      </c>
      <c r="Z131" t="str">
        <f>IFERROR(MID(AA131,FIND("-",H131,1)+1,20),_xlfn.IFNA(VLOOKUP(F131&amp;"-"&amp;AA131,Ref_Kontak!$A:$E,4,FALSE),Ref_Kontak!$H$2))</f>
        <v>628999007703</v>
      </c>
      <c r="AA131" t="str">
        <f t="shared" si="12"/>
        <v/>
      </c>
      <c r="AB131" t="str">
        <f t="shared" si="13"/>
        <v/>
      </c>
      <c r="AC131" t="str">
        <f t="shared" si="14"/>
        <v>628999007703</v>
      </c>
      <c r="AD131" t="str">
        <f t="shared" ref="AD131:AD194" si="16">"Halo+"&amp;AB131&amp;","&amp;"+Visual+AI+5S+menditeksi+Violation%3A+"&amp;SUBSTITUTE(AH131," ","+")</f>
        <v>Halo+,+Visual+AI+5S+menditeksi+Violation%3A+GUDANGEXP1-LINE+1</v>
      </c>
      <c r="AE131" t="str">
        <f t="shared" si="15"/>
        <v>https://web.whatsapp.com/send/?phone=628999007703&amp;text=Halo+,+Visual+AI+5S+menditeksi+Violation%3A+GUDANGEXP1-LINE+1&amp;type=phone_number&amp;app_absent=0</v>
      </c>
      <c r="AF131" t="b">
        <f>IF(ISNA(VLOOKUP(D131&amp;"-"&amp;AB131, Ref_Kontak!$A:$E, 4, FALSE)), FALSE, TRUE)</f>
        <v>0</v>
      </c>
      <c r="AG131" t="str">
        <f>_xlfn.IFNA(VLOOKUP(Z131,Ref_Kontak!H:H,1,FALSE),"FALSE")</f>
        <v>628999007703</v>
      </c>
      <c r="AH131" t="str">
        <f t="shared" ref="AH131:AH194" si="17">G131&amp;"-"&amp;D131</f>
        <v>GUDANGEXP1-LINE 1</v>
      </c>
      <c r="AI131">
        <f>COUNTIF($AH$1:AH131,AH131)</f>
        <v>130</v>
      </c>
    </row>
    <row r="132" spans="1:35">
      <c r="A132" t="s">
        <v>56</v>
      </c>
      <c r="B132" t="s">
        <v>57</v>
      </c>
      <c r="C132" t="s">
        <v>193</v>
      </c>
      <c r="D132" t="s">
        <v>59</v>
      </c>
      <c r="E132">
        <v>1</v>
      </c>
      <c r="G132" t="s">
        <v>60</v>
      </c>
      <c r="I132" t="s">
        <v>61</v>
      </c>
      <c r="Z132" t="str">
        <f>IFERROR(MID(AA132,FIND("-",H132,1)+1,20),_xlfn.IFNA(VLOOKUP(F132&amp;"-"&amp;AA132,Ref_Kontak!$A:$E,4,FALSE),Ref_Kontak!$H$2))</f>
        <v>628999007703</v>
      </c>
      <c r="AA132" t="str">
        <f t="shared" si="12"/>
        <v/>
      </c>
      <c r="AB132" t="str">
        <f t="shared" si="13"/>
        <v/>
      </c>
      <c r="AC132" t="str">
        <f t="shared" si="14"/>
        <v>628999007703</v>
      </c>
      <c r="AD132" t="str">
        <f t="shared" si="16"/>
        <v>Halo+,+Visual+AI+5S+menditeksi+Violation%3A+GUDANGEXP1-LINE+1</v>
      </c>
      <c r="AE132" t="str">
        <f t="shared" si="15"/>
        <v>https://web.whatsapp.com/send/?phone=628999007703&amp;text=Halo+,+Visual+AI+5S+menditeksi+Violation%3A+GUDANGEXP1-LINE+1&amp;type=phone_number&amp;app_absent=0</v>
      </c>
      <c r="AF132" t="b">
        <f>IF(ISNA(VLOOKUP(D132&amp;"-"&amp;AB132, Ref_Kontak!$A:$E, 4, FALSE)), FALSE, TRUE)</f>
        <v>0</v>
      </c>
      <c r="AG132" t="str">
        <f>_xlfn.IFNA(VLOOKUP(Z132,Ref_Kontak!H:H,1,FALSE),"FALSE")</f>
        <v>628999007703</v>
      </c>
      <c r="AH132" t="str">
        <f t="shared" si="17"/>
        <v>GUDANGEXP1-LINE 1</v>
      </c>
      <c r="AI132">
        <f>COUNTIF($AH$1:AH132,AH132)</f>
        <v>131</v>
      </c>
    </row>
    <row r="133" spans="1:35">
      <c r="A133" t="s">
        <v>56</v>
      </c>
      <c r="B133" t="s">
        <v>57</v>
      </c>
      <c r="C133" t="s">
        <v>194</v>
      </c>
      <c r="D133" t="s">
        <v>59</v>
      </c>
      <c r="E133">
        <v>1</v>
      </c>
      <c r="G133" t="s">
        <v>60</v>
      </c>
      <c r="I133" t="s">
        <v>61</v>
      </c>
      <c r="Z133" t="str">
        <f>IFERROR(MID(AA133,FIND("-",H133,1)+1,20),_xlfn.IFNA(VLOOKUP(F133&amp;"-"&amp;AA133,Ref_Kontak!$A:$E,4,FALSE),Ref_Kontak!$H$2))</f>
        <v>628999007703</v>
      </c>
      <c r="AA133" t="str">
        <f t="shared" si="12"/>
        <v/>
      </c>
      <c r="AB133" t="str">
        <f t="shared" si="13"/>
        <v/>
      </c>
      <c r="AC133" t="str">
        <f t="shared" si="14"/>
        <v>628999007703</v>
      </c>
      <c r="AD133" t="str">
        <f t="shared" si="16"/>
        <v>Halo+,+Visual+AI+5S+menditeksi+Violation%3A+GUDANGEXP1-LINE+1</v>
      </c>
      <c r="AE133" t="str">
        <f t="shared" si="15"/>
        <v>https://web.whatsapp.com/send/?phone=628999007703&amp;text=Halo+,+Visual+AI+5S+menditeksi+Violation%3A+GUDANGEXP1-LINE+1&amp;type=phone_number&amp;app_absent=0</v>
      </c>
      <c r="AF133" t="b">
        <f>IF(ISNA(VLOOKUP(D133&amp;"-"&amp;AB133, Ref_Kontak!$A:$E, 4, FALSE)), FALSE, TRUE)</f>
        <v>0</v>
      </c>
      <c r="AG133" t="str">
        <f>_xlfn.IFNA(VLOOKUP(Z133,Ref_Kontak!H:H,1,FALSE),"FALSE")</f>
        <v>628999007703</v>
      </c>
      <c r="AH133" t="str">
        <f t="shared" si="17"/>
        <v>GUDANGEXP1-LINE 1</v>
      </c>
      <c r="AI133">
        <f>COUNTIF($AH$1:AH133,AH133)</f>
        <v>132</v>
      </c>
    </row>
    <row r="134" spans="1:35">
      <c r="A134" t="s">
        <v>56</v>
      </c>
      <c r="B134" t="s">
        <v>57</v>
      </c>
      <c r="C134" t="s">
        <v>195</v>
      </c>
      <c r="D134" t="s">
        <v>59</v>
      </c>
      <c r="E134">
        <v>1</v>
      </c>
      <c r="G134" t="s">
        <v>60</v>
      </c>
      <c r="I134" t="s">
        <v>61</v>
      </c>
      <c r="Z134" t="str">
        <f>IFERROR(MID(AA134,FIND("-",H134,1)+1,20),_xlfn.IFNA(VLOOKUP(F134&amp;"-"&amp;AA134,Ref_Kontak!$A:$E,4,FALSE),Ref_Kontak!$H$2))</f>
        <v>628999007703</v>
      </c>
      <c r="AA134" t="str">
        <f t="shared" si="12"/>
        <v/>
      </c>
      <c r="AB134" t="str">
        <f t="shared" si="13"/>
        <v/>
      </c>
      <c r="AC134" t="str">
        <f t="shared" si="14"/>
        <v>628999007703</v>
      </c>
      <c r="AD134" t="str">
        <f t="shared" si="16"/>
        <v>Halo+,+Visual+AI+5S+menditeksi+Violation%3A+GUDANGEXP1-LINE+1</v>
      </c>
      <c r="AE134" t="str">
        <f t="shared" si="15"/>
        <v>https://web.whatsapp.com/send/?phone=628999007703&amp;text=Halo+,+Visual+AI+5S+menditeksi+Violation%3A+GUDANGEXP1-LINE+1&amp;type=phone_number&amp;app_absent=0</v>
      </c>
      <c r="AF134" t="b">
        <f>IF(ISNA(VLOOKUP(D134&amp;"-"&amp;AB134, Ref_Kontak!$A:$E, 4, FALSE)), FALSE, TRUE)</f>
        <v>0</v>
      </c>
      <c r="AG134" t="str">
        <f>_xlfn.IFNA(VLOOKUP(Z134,Ref_Kontak!H:H,1,FALSE),"FALSE")</f>
        <v>628999007703</v>
      </c>
      <c r="AH134" t="str">
        <f t="shared" si="17"/>
        <v>GUDANGEXP1-LINE 1</v>
      </c>
      <c r="AI134">
        <f>COUNTIF($AH$1:AH134,AH134)</f>
        <v>133</v>
      </c>
    </row>
    <row r="135" spans="1:35">
      <c r="A135" t="s">
        <v>56</v>
      </c>
      <c r="B135" t="s">
        <v>57</v>
      </c>
      <c r="C135" t="s">
        <v>196</v>
      </c>
      <c r="D135" t="s">
        <v>59</v>
      </c>
      <c r="E135">
        <v>1</v>
      </c>
      <c r="G135" t="s">
        <v>60</v>
      </c>
      <c r="I135" t="s">
        <v>61</v>
      </c>
      <c r="Z135" t="str">
        <f>IFERROR(MID(AA135,FIND("-",H135,1)+1,20),_xlfn.IFNA(VLOOKUP(F135&amp;"-"&amp;AA135,Ref_Kontak!$A:$E,4,FALSE),Ref_Kontak!$H$2))</f>
        <v>628999007703</v>
      </c>
      <c r="AA135" t="str">
        <f t="shared" si="12"/>
        <v/>
      </c>
      <c r="AB135" t="str">
        <f t="shared" si="13"/>
        <v/>
      </c>
      <c r="AC135" t="str">
        <f t="shared" si="14"/>
        <v>628999007703</v>
      </c>
      <c r="AD135" t="str">
        <f t="shared" si="16"/>
        <v>Halo+,+Visual+AI+5S+menditeksi+Violation%3A+GUDANGEXP1-LINE+1</v>
      </c>
      <c r="AE135" t="str">
        <f t="shared" si="15"/>
        <v>https://web.whatsapp.com/send/?phone=628999007703&amp;text=Halo+,+Visual+AI+5S+menditeksi+Violation%3A+GUDANGEXP1-LINE+1&amp;type=phone_number&amp;app_absent=0</v>
      </c>
      <c r="AF135" t="b">
        <f>IF(ISNA(VLOOKUP(D135&amp;"-"&amp;AB135, Ref_Kontak!$A:$E, 4, FALSE)), FALSE, TRUE)</f>
        <v>0</v>
      </c>
      <c r="AG135" t="str">
        <f>_xlfn.IFNA(VLOOKUP(Z135,Ref_Kontak!H:H,1,FALSE),"FALSE")</f>
        <v>628999007703</v>
      </c>
      <c r="AH135" t="str">
        <f t="shared" si="17"/>
        <v>GUDANGEXP1-LINE 1</v>
      </c>
      <c r="AI135">
        <f>COUNTIF($AH$1:AH135,AH135)</f>
        <v>134</v>
      </c>
    </row>
    <row r="136" spans="1:35">
      <c r="A136" t="s">
        <v>56</v>
      </c>
      <c r="B136" t="s">
        <v>57</v>
      </c>
      <c r="C136" t="s">
        <v>197</v>
      </c>
      <c r="D136" t="s">
        <v>59</v>
      </c>
      <c r="E136">
        <v>1</v>
      </c>
      <c r="G136" t="s">
        <v>60</v>
      </c>
      <c r="I136" t="s">
        <v>61</v>
      </c>
      <c r="Z136" t="str">
        <f>IFERROR(MID(AA136,FIND("-",H136,1)+1,20),_xlfn.IFNA(VLOOKUP(F136&amp;"-"&amp;AA136,Ref_Kontak!$A:$E,4,FALSE),Ref_Kontak!$H$2))</f>
        <v>628999007703</v>
      </c>
      <c r="AA136" t="str">
        <f t="shared" si="12"/>
        <v/>
      </c>
      <c r="AB136" t="str">
        <f t="shared" si="13"/>
        <v/>
      </c>
      <c r="AC136" t="str">
        <f t="shared" si="14"/>
        <v>628999007703</v>
      </c>
      <c r="AD136" t="str">
        <f t="shared" si="16"/>
        <v>Halo+,+Visual+AI+5S+menditeksi+Violation%3A+GUDANGEXP1-LINE+1</v>
      </c>
      <c r="AE136" t="str">
        <f t="shared" si="15"/>
        <v>https://web.whatsapp.com/send/?phone=628999007703&amp;text=Halo+,+Visual+AI+5S+menditeksi+Violation%3A+GUDANGEXP1-LINE+1&amp;type=phone_number&amp;app_absent=0</v>
      </c>
      <c r="AF136" t="b">
        <f>IF(ISNA(VLOOKUP(D136&amp;"-"&amp;AB136, Ref_Kontak!$A:$E, 4, FALSE)), FALSE, TRUE)</f>
        <v>0</v>
      </c>
      <c r="AG136" t="str">
        <f>_xlfn.IFNA(VLOOKUP(Z136,Ref_Kontak!H:H,1,FALSE),"FALSE")</f>
        <v>628999007703</v>
      </c>
      <c r="AH136" t="str">
        <f t="shared" si="17"/>
        <v>GUDANGEXP1-LINE 1</v>
      </c>
      <c r="AI136">
        <f>COUNTIF($AH$1:AH136,AH136)</f>
        <v>135</v>
      </c>
    </row>
    <row r="137" spans="1:35">
      <c r="A137" t="s">
        <v>56</v>
      </c>
      <c r="B137" t="s">
        <v>57</v>
      </c>
      <c r="C137" t="s">
        <v>198</v>
      </c>
      <c r="D137" t="s">
        <v>59</v>
      </c>
      <c r="E137">
        <v>1</v>
      </c>
      <c r="G137" t="s">
        <v>60</v>
      </c>
      <c r="I137" t="s">
        <v>61</v>
      </c>
      <c r="Z137" t="str">
        <f>IFERROR(MID(AA137,FIND("-",H137,1)+1,20),_xlfn.IFNA(VLOOKUP(F137&amp;"-"&amp;AA137,Ref_Kontak!$A:$E,4,FALSE),Ref_Kontak!$H$2))</f>
        <v>628999007703</v>
      </c>
      <c r="AA137" t="str">
        <f t="shared" si="12"/>
        <v/>
      </c>
      <c r="AB137" t="str">
        <f t="shared" si="13"/>
        <v/>
      </c>
      <c r="AC137" t="str">
        <f t="shared" si="14"/>
        <v>628999007703</v>
      </c>
      <c r="AD137" t="str">
        <f t="shared" si="16"/>
        <v>Halo+,+Visual+AI+5S+menditeksi+Violation%3A+GUDANGEXP1-LINE+1</v>
      </c>
      <c r="AE137" t="str">
        <f t="shared" si="15"/>
        <v>https://web.whatsapp.com/send/?phone=628999007703&amp;text=Halo+,+Visual+AI+5S+menditeksi+Violation%3A+GUDANGEXP1-LINE+1&amp;type=phone_number&amp;app_absent=0</v>
      </c>
      <c r="AF137" t="b">
        <f>IF(ISNA(VLOOKUP(D137&amp;"-"&amp;AB137, Ref_Kontak!$A:$E, 4, FALSE)), FALSE, TRUE)</f>
        <v>0</v>
      </c>
      <c r="AG137" t="str">
        <f>_xlfn.IFNA(VLOOKUP(Z137,Ref_Kontak!H:H,1,FALSE),"FALSE")</f>
        <v>628999007703</v>
      </c>
      <c r="AH137" t="str">
        <f t="shared" si="17"/>
        <v>GUDANGEXP1-LINE 1</v>
      </c>
      <c r="AI137">
        <f>COUNTIF($AH$1:AH137,AH137)</f>
        <v>136</v>
      </c>
    </row>
    <row r="138" spans="1:35">
      <c r="A138" t="s">
        <v>56</v>
      </c>
      <c r="B138" t="s">
        <v>57</v>
      </c>
      <c r="C138" t="s">
        <v>199</v>
      </c>
      <c r="D138" t="s">
        <v>59</v>
      </c>
      <c r="E138">
        <v>1</v>
      </c>
      <c r="G138" t="s">
        <v>60</v>
      </c>
      <c r="I138" t="s">
        <v>61</v>
      </c>
      <c r="Z138" t="str">
        <f>IFERROR(MID(AA138,FIND("-",H138,1)+1,20),_xlfn.IFNA(VLOOKUP(F138&amp;"-"&amp;AA138,Ref_Kontak!$A:$E,4,FALSE),Ref_Kontak!$H$2))</f>
        <v>628999007703</v>
      </c>
      <c r="AA138" t="str">
        <f t="shared" si="12"/>
        <v/>
      </c>
      <c r="AB138" t="str">
        <f t="shared" si="13"/>
        <v/>
      </c>
      <c r="AC138" t="str">
        <f t="shared" si="14"/>
        <v>628999007703</v>
      </c>
      <c r="AD138" t="str">
        <f t="shared" si="16"/>
        <v>Halo+,+Visual+AI+5S+menditeksi+Violation%3A+GUDANGEXP1-LINE+1</v>
      </c>
      <c r="AE138" t="str">
        <f t="shared" si="15"/>
        <v>https://web.whatsapp.com/send/?phone=628999007703&amp;text=Halo+,+Visual+AI+5S+menditeksi+Violation%3A+GUDANGEXP1-LINE+1&amp;type=phone_number&amp;app_absent=0</v>
      </c>
      <c r="AF138" t="b">
        <f>IF(ISNA(VLOOKUP(D138&amp;"-"&amp;AB138, Ref_Kontak!$A:$E, 4, FALSE)), FALSE, TRUE)</f>
        <v>0</v>
      </c>
      <c r="AG138" t="str">
        <f>_xlfn.IFNA(VLOOKUP(Z138,Ref_Kontak!H:H,1,FALSE),"FALSE")</f>
        <v>628999007703</v>
      </c>
      <c r="AH138" t="str">
        <f t="shared" si="17"/>
        <v>GUDANGEXP1-LINE 1</v>
      </c>
      <c r="AI138">
        <f>COUNTIF($AH$1:AH138,AH138)</f>
        <v>137</v>
      </c>
    </row>
    <row r="139" spans="1:35">
      <c r="A139" t="s">
        <v>56</v>
      </c>
      <c r="B139" t="s">
        <v>57</v>
      </c>
      <c r="C139" t="s">
        <v>200</v>
      </c>
      <c r="D139" t="s">
        <v>59</v>
      </c>
      <c r="E139">
        <v>1</v>
      </c>
      <c r="G139" t="s">
        <v>60</v>
      </c>
      <c r="I139" t="s">
        <v>61</v>
      </c>
      <c r="Z139" t="str">
        <f>IFERROR(MID(AA139,FIND("-",H139,1)+1,20),_xlfn.IFNA(VLOOKUP(F139&amp;"-"&amp;AA139,Ref_Kontak!$A:$E,4,FALSE),Ref_Kontak!$H$2))</f>
        <v>628999007703</v>
      </c>
      <c r="AA139" t="str">
        <f t="shared" si="12"/>
        <v/>
      </c>
      <c r="AB139" t="str">
        <f t="shared" si="13"/>
        <v/>
      </c>
      <c r="AC139" t="str">
        <f t="shared" si="14"/>
        <v>628999007703</v>
      </c>
      <c r="AD139" t="str">
        <f t="shared" si="16"/>
        <v>Halo+,+Visual+AI+5S+menditeksi+Violation%3A+GUDANGEXP1-LINE+1</v>
      </c>
      <c r="AE139" t="str">
        <f t="shared" si="15"/>
        <v>https://web.whatsapp.com/send/?phone=628999007703&amp;text=Halo+,+Visual+AI+5S+menditeksi+Violation%3A+GUDANGEXP1-LINE+1&amp;type=phone_number&amp;app_absent=0</v>
      </c>
      <c r="AF139" t="b">
        <f>IF(ISNA(VLOOKUP(D139&amp;"-"&amp;AB139, Ref_Kontak!$A:$E, 4, FALSE)), FALSE, TRUE)</f>
        <v>0</v>
      </c>
      <c r="AG139" t="str">
        <f>_xlfn.IFNA(VLOOKUP(Z139,Ref_Kontak!H:H,1,FALSE),"FALSE")</f>
        <v>628999007703</v>
      </c>
      <c r="AH139" t="str">
        <f t="shared" si="17"/>
        <v>GUDANGEXP1-LINE 1</v>
      </c>
      <c r="AI139">
        <f>COUNTIF($AH$1:AH139,AH139)</f>
        <v>138</v>
      </c>
    </row>
    <row r="140" spans="1:35">
      <c r="A140" t="s">
        <v>56</v>
      </c>
      <c r="B140" t="s">
        <v>57</v>
      </c>
      <c r="C140" t="s">
        <v>201</v>
      </c>
      <c r="D140" t="s">
        <v>59</v>
      </c>
      <c r="E140">
        <v>1</v>
      </c>
      <c r="G140" t="s">
        <v>60</v>
      </c>
      <c r="I140" t="s">
        <v>61</v>
      </c>
      <c r="Z140" t="str">
        <f>IFERROR(MID(AA140,FIND("-",H140,1)+1,20),_xlfn.IFNA(VLOOKUP(F140&amp;"-"&amp;AA140,Ref_Kontak!$A:$E,4,FALSE),Ref_Kontak!$H$2))</f>
        <v>628999007703</v>
      </c>
      <c r="AA140" t="str">
        <f t="shared" si="12"/>
        <v/>
      </c>
      <c r="AB140" t="str">
        <f t="shared" si="13"/>
        <v/>
      </c>
      <c r="AC140" t="str">
        <f t="shared" si="14"/>
        <v>628999007703</v>
      </c>
      <c r="AD140" t="str">
        <f t="shared" si="16"/>
        <v>Halo+,+Visual+AI+5S+menditeksi+Violation%3A+GUDANGEXP1-LINE+1</v>
      </c>
      <c r="AE140" t="str">
        <f t="shared" si="15"/>
        <v>https://web.whatsapp.com/send/?phone=628999007703&amp;text=Halo+,+Visual+AI+5S+menditeksi+Violation%3A+GUDANGEXP1-LINE+1&amp;type=phone_number&amp;app_absent=0</v>
      </c>
      <c r="AF140" t="b">
        <f>IF(ISNA(VLOOKUP(D140&amp;"-"&amp;AB140, Ref_Kontak!$A:$E, 4, FALSE)), FALSE, TRUE)</f>
        <v>0</v>
      </c>
      <c r="AG140" t="str">
        <f>_xlfn.IFNA(VLOOKUP(Z140,Ref_Kontak!H:H,1,FALSE),"FALSE")</f>
        <v>628999007703</v>
      </c>
      <c r="AH140" t="str">
        <f t="shared" si="17"/>
        <v>GUDANGEXP1-LINE 1</v>
      </c>
      <c r="AI140">
        <f>COUNTIF($AH$1:AH140,AH140)</f>
        <v>139</v>
      </c>
    </row>
    <row r="141" spans="1:35">
      <c r="A141" t="s">
        <v>56</v>
      </c>
      <c r="B141" t="s">
        <v>57</v>
      </c>
      <c r="C141" t="s">
        <v>202</v>
      </c>
      <c r="D141" t="s">
        <v>59</v>
      </c>
      <c r="E141">
        <v>1</v>
      </c>
      <c r="G141" t="s">
        <v>60</v>
      </c>
      <c r="I141" t="s">
        <v>61</v>
      </c>
      <c r="Z141" t="str">
        <f>IFERROR(MID(AA141,FIND("-",H141,1)+1,20),_xlfn.IFNA(VLOOKUP(F141&amp;"-"&amp;AA141,Ref_Kontak!$A:$E,4,FALSE),Ref_Kontak!$H$2))</f>
        <v>628999007703</v>
      </c>
      <c r="AA141" t="str">
        <f t="shared" si="12"/>
        <v/>
      </c>
      <c r="AB141" t="str">
        <f t="shared" si="13"/>
        <v/>
      </c>
      <c r="AC141" t="str">
        <f t="shared" si="14"/>
        <v>628999007703</v>
      </c>
      <c r="AD141" t="str">
        <f t="shared" si="16"/>
        <v>Halo+,+Visual+AI+5S+menditeksi+Violation%3A+GUDANGEXP1-LINE+1</v>
      </c>
      <c r="AE141" t="str">
        <f t="shared" si="15"/>
        <v>https://web.whatsapp.com/send/?phone=628999007703&amp;text=Halo+,+Visual+AI+5S+menditeksi+Violation%3A+GUDANGEXP1-LINE+1&amp;type=phone_number&amp;app_absent=0</v>
      </c>
      <c r="AF141" t="b">
        <f>IF(ISNA(VLOOKUP(D141&amp;"-"&amp;AB141, Ref_Kontak!$A:$E, 4, FALSE)), FALSE, TRUE)</f>
        <v>0</v>
      </c>
      <c r="AG141" t="str">
        <f>_xlfn.IFNA(VLOOKUP(Z141,Ref_Kontak!H:H,1,FALSE),"FALSE")</f>
        <v>628999007703</v>
      </c>
      <c r="AH141" t="str">
        <f t="shared" si="17"/>
        <v>GUDANGEXP1-LINE 1</v>
      </c>
      <c r="AI141">
        <f>COUNTIF($AH$1:AH141,AH141)</f>
        <v>140</v>
      </c>
    </row>
    <row r="142" spans="1:35">
      <c r="A142" t="s">
        <v>56</v>
      </c>
      <c r="B142" t="s">
        <v>57</v>
      </c>
      <c r="C142" t="s">
        <v>203</v>
      </c>
      <c r="D142" t="s">
        <v>59</v>
      </c>
      <c r="E142">
        <v>1</v>
      </c>
      <c r="G142" t="s">
        <v>60</v>
      </c>
      <c r="I142" t="s">
        <v>61</v>
      </c>
      <c r="Z142" t="str">
        <f>IFERROR(MID(AA142,FIND("-",H142,1)+1,20),_xlfn.IFNA(VLOOKUP(F142&amp;"-"&amp;AA142,Ref_Kontak!$A:$E,4,FALSE),Ref_Kontak!$H$2))</f>
        <v>628999007703</v>
      </c>
      <c r="AA142" t="str">
        <f t="shared" si="12"/>
        <v/>
      </c>
      <c r="AB142" t="str">
        <f t="shared" si="13"/>
        <v/>
      </c>
      <c r="AC142" t="str">
        <f t="shared" si="14"/>
        <v>628999007703</v>
      </c>
      <c r="AD142" t="str">
        <f t="shared" si="16"/>
        <v>Halo+,+Visual+AI+5S+menditeksi+Violation%3A+GUDANGEXP1-LINE+1</v>
      </c>
      <c r="AE142" t="str">
        <f t="shared" si="15"/>
        <v>https://web.whatsapp.com/send/?phone=628999007703&amp;text=Halo+,+Visual+AI+5S+menditeksi+Violation%3A+GUDANGEXP1-LINE+1&amp;type=phone_number&amp;app_absent=0</v>
      </c>
      <c r="AF142" t="b">
        <f>IF(ISNA(VLOOKUP(D142&amp;"-"&amp;AB142, Ref_Kontak!$A:$E, 4, FALSE)), FALSE, TRUE)</f>
        <v>0</v>
      </c>
      <c r="AG142" t="str">
        <f>_xlfn.IFNA(VLOOKUP(Z142,Ref_Kontak!H:H,1,FALSE),"FALSE")</f>
        <v>628999007703</v>
      </c>
      <c r="AH142" t="str">
        <f t="shared" si="17"/>
        <v>GUDANGEXP1-LINE 1</v>
      </c>
      <c r="AI142">
        <f>COUNTIF($AH$1:AH142,AH142)</f>
        <v>141</v>
      </c>
    </row>
    <row r="143" spans="1:35">
      <c r="A143" t="s">
        <v>56</v>
      </c>
      <c r="B143" t="s">
        <v>57</v>
      </c>
      <c r="C143" t="s">
        <v>204</v>
      </c>
      <c r="D143" t="s">
        <v>59</v>
      </c>
      <c r="E143">
        <v>1</v>
      </c>
      <c r="G143" t="s">
        <v>60</v>
      </c>
      <c r="I143" t="s">
        <v>61</v>
      </c>
      <c r="Z143" t="str">
        <f>IFERROR(MID(AA143,FIND("-",H143,1)+1,20),_xlfn.IFNA(VLOOKUP(F143&amp;"-"&amp;AA143,Ref_Kontak!$A:$E,4,FALSE),Ref_Kontak!$H$2))</f>
        <v>628999007703</v>
      </c>
      <c r="AA143" t="str">
        <f t="shared" si="12"/>
        <v/>
      </c>
      <c r="AB143" t="str">
        <f t="shared" si="13"/>
        <v/>
      </c>
      <c r="AC143" t="str">
        <f t="shared" si="14"/>
        <v>628999007703</v>
      </c>
      <c r="AD143" t="str">
        <f t="shared" si="16"/>
        <v>Halo+,+Visual+AI+5S+menditeksi+Violation%3A+GUDANGEXP1-LINE+1</v>
      </c>
      <c r="AE143" t="str">
        <f t="shared" si="15"/>
        <v>https://web.whatsapp.com/send/?phone=628999007703&amp;text=Halo+,+Visual+AI+5S+menditeksi+Violation%3A+GUDANGEXP1-LINE+1&amp;type=phone_number&amp;app_absent=0</v>
      </c>
      <c r="AF143" t="b">
        <f>IF(ISNA(VLOOKUP(D143&amp;"-"&amp;AB143, Ref_Kontak!$A:$E, 4, FALSE)), FALSE, TRUE)</f>
        <v>0</v>
      </c>
      <c r="AG143" t="str">
        <f>_xlfn.IFNA(VLOOKUP(Z143,Ref_Kontak!H:H,1,FALSE),"FALSE")</f>
        <v>628999007703</v>
      </c>
      <c r="AH143" t="str">
        <f t="shared" si="17"/>
        <v>GUDANGEXP1-LINE 1</v>
      </c>
      <c r="AI143">
        <f>COUNTIF($AH$1:AH143,AH143)</f>
        <v>142</v>
      </c>
    </row>
    <row r="144" spans="1:35">
      <c r="A144" t="s">
        <v>56</v>
      </c>
      <c r="B144" t="s">
        <v>57</v>
      </c>
      <c r="C144" t="s">
        <v>205</v>
      </c>
      <c r="D144" t="s">
        <v>59</v>
      </c>
      <c r="E144">
        <v>1</v>
      </c>
      <c r="G144" t="s">
        <v>60</v>
      </c>
      <c r="I144" t="s">
        <v>61</v>
      </c>
      <c r="Z144" t="str">
        <f>IFERROR(MID(AA144,FIND("-",H144,1)+1,20),_xlfn.IFNA(VLOOKUP(F144&amp;"-"&amp;AA144,Ref_Kontak!$A:$E,4,FALSE),Ref_Kontak!$H$2))</f>
        <v>628999007703</v>
      </c>
      <c r="AA144" t="str">
        <f t="shared" si="12"/>
        <v/>
      </c>
      <c r="AB144" t="str">
        <f t="shared" si="13"/>
        <v/>
      </c>
      <c r="AC144" t="str">
        <f t="shared" si="14"/>
        <v>628999007703</v>
      </c>
      <c r="AD144" t="str">
        <f t="shared" si="16"/>
        <v>Halo+,+Visual+AI+5S+menditeksi+Violation%3A+GUDANGEXP1-LINE+1</v>
      </c>
      <c r="AE144" t="str">
        <f t="shared" si="15"/>
        <v>https://web.whatsapp.com/send/?phone=628999007703&amp;text=Halo+,+Visual+AI+5S+menditeksi+Violation%3A+GUDANGEXP1-LINE+1&amp;type=phone_number&amp;app_absent=0</v>
      </c>
      <c r="AF144" t="b">
        <f>IF(ISNA(VLOOKUP(D144&amp;"-"&amp;AB144, Ref_Kontak!$A:$E, 4, FALSE)), FALSE, TRUE)</f>
        <v>0</v>
      </c>
      <c r="AG144" t="str">
        <f>_xlfn.IFNA(VLOOKUP(Z144,Ref_Kontak!H:H,1,FALSE),"FALSE")</f>
        <v>628999007703</v>
      </c>
      <c r="AH144" t="str">
        <f t="shared" si="17"/>
        <v>GUDANGEXP1-LINE 1</v>
      </c>
      <c r="AI144">
        <f>COUNTIF($AH$1:AH144,AH144)</f>
        <v>143</v>
      </c>
    </row>
    <row r="145" spans="1:35">
      <c r="A145" t="s">
        <v>56</v>
      </c>
      <c r="B145" t="s">
        <v>57</v>
      </c>
      <c r="C145" t="s">
        <v>206</v>
      </c>
      <c r="D145" t="s">
        <v>59</v>
      </c>
      <c r="E145">
        <v>1</v>
      </c>
      <c r="G145" t="s">
        <v>60</v>
      </c>
      <c r="I145" t="s">
        <v>61</v>
      </c>
      <c r="Z145" t="str">
        <f>IFERROR(MID(AA145,FIND("-",H145,1)+1,20),_xlfn.IFNA(VLOOKUP(F145&amp;"-"&amp;AA145,Ref_Kontak!$A:$E,4,FALSE),Ref_Kontak!$H$2))</f>
        <v>628999007703</v>
      </c>
      <c r="AA145" t="str">
        <f t="shared" si="12"/>
        <v/>
      </c>
      <c r="AB145" t="str">
        <f t="shared" si="13"/>
        <v/>
      </c>
      <c r="AC145" t="str">
        <f t="shared" si="14"/>
        <v>628999007703</v>
      </c>
      <c r="AD145" t="str">
        <f t="shared" si="16"/>
        <v>Halo+,+Visual+AI+5S+menditeksi+Violation%3A+GUDANGEXP1-LINE+1</v>
      </c>
      <c r="AE145" t="str">
        <f t="shared" si="15"/>
        <v>https://web.whatsapp.com/send/?phone=628999007703&amp;text=Halo+,+Visual+AI+5S+menditeksi+Violation%3A+GUDANGEXP1-LINE+1&amp;type=phone_number&amp;app_absent=0</v>
      </c>
      <c r="AF145" t="b">
        <f>IF(ISNA(VLOOKUP(D145&amp;"-"&amp;AB145, Ref_Kontak!$A:$E, 4, FALSE)), FALSE, TRUE)</f>
        <v>0</v>
      </c>
      <c r="AG145" t="str">
        <f>_xlfn.IFNA(VLOOKUP(Z145,Ref_Kontak!H:H,1,FALSE),"FALSE")</f>
        <v>628999007703</v>
      </c>
      <c r="AH145" t="str">
        <f t="shared" si="17"/>
        <v>GUDANGEXP1-LINE 1</v>
      </c>
      <c r="AI145">
        <f>COUNTIF($AH$1:AH145,AH145)</f>
        <v>144</v>
      </c>
    </row>
    <row r="146" spans="1:35">
      <c r="A146" t="s">
        <v>56</v>
      </c>
      <c r="B146" t="s">
        <v>57</v>
      </c>
      <c r="C146" t="s">
        <v>207</v>
      </c>
      <c r="D146" t="s">
        <v>59</v>
      </c>
      <c r="E146">
        <v>1</v>
      </c>
      <c r="G146" t="s">
        <v>60</v>
      </c>
      <c r="I146" t="s">
        <v>61</v>
      </c>
      <c r="Z146" t="str">
        <f>IFERROR(MID(AA146,FIND("-",H146,1)+1,20),_xlfn.IFNA(VLOOKUP(F146&amp;"-"&amp;AA146,Ref_Kontak!$A:$E,4,FALSE),Ref_Kontak!$H$2))</f>
        <v>628999007703</v>
      </c>
      <c r="AA146" t="str">
        <f t="shared" si="12"/>
        <v/>
      </c>
      <c r="AB146" t="str">
        <f t="shared" si="13"/>
        <v/>
      </c>
      <c r="AC146" t="str">
        <f t="shared" si="14"/>
        <v>628999007703</v>
      </c>
      <c r="AD146" t="str">
        <f t="shared" si="16"/>
        <v>Halo+,+Visual+AI+5S+menditeksi+Violation%3A+GUDANGEXP1-LINE+1</v>
      </c>
      <c r="AE146" t="str">
        <f t="shared" si="15"/>
        <v>https://web.whatsapp.com/send/?phone=628999007703&amp;text=Halo+,+Visual+AI+5S+menditeksi+Violation%3A+GUDANGEXP1-LINE+1&amp;type=phone_number&amp;app_absent=0</v>
      </c>
      <c r="AF146" t="b">
        <f>IF(ISNA(VLOOKUP(D146&amp;"-"&amp;AB146, Ref_Kontak!$A:$E, 4, FALSE)), FALSE, TRUE)</f>
        <v>0</v>
      </c>
      <c r="AG146" t="str">
        <f>_xlfn.IFNA(VLOOKUP(Z146,Ref_Kontak!H:H,1,FALSE),"FALSE")</f>
        <v>628999007703</v>
      </c>
      <c r="AH146" t="str">
        <f t="shared" si="17"/>
        <v>GUDANGEXP1-LINE 1</v>
      </c>
      <c r="AI146">
        <f>COUNTIF($AH$1:AH146,AH146)</f>
        <v>145</v>
      </c>
    </row>
    <row r="147" spans="1:35">
      <c r="A147" t="s">
        <v>56</v>
      </c>
      <c r="B147" t="s">
        <v>57</v>
      </c>
      <c r="C147" t="s">
        <v>208</v>
      </c>
      <c r="D147" t="s">
        <v>59</v>
      </c>
      <c r="E147">
        <v>1</v>
      </c>
      <c r="G147" t="s">
        <v>60</v>
      </c>
      <c r="I147" t="s">
        <v>61</v>
      </c>
      <c r="K147" t="s">
        <v>209</v>
      </c>
      <c r="Z147" t="str">
        <f>IFERROR(MID(AA147,FIND("-",H147,1)+1,20),_xlfn.IFNA(VLOOKUP(F147&amp;"-"&amp;AA147,Ref_Kontak!$A:$E,4,FALSE),Ref_Kontak!$H$2))</f>
        <v>628999007703</v>
      </c>
      <c r="AA147" t="str">
        <f t="shared" si="12"/>
        <v/>
      </c>
      <c r="AB147" t="str">
        <f t="shared" si="13"/>
        <v/>
      </c>
      <c r="AC147" t="str">
        <f t="shared" si="14"/>
        <v>628999007703</v>
      </c>
      <c r="AD147" t="str">
        <f t="shared" si="16"/>
        <v>Halo+,+Visual+AI+5S+menditeksi+Violation%3A+GUDANGEXP1-LINE+1</v>
      </c>
      <c r="AE147" t="str">
        <f t="shared" si="15"/>
        <v>https://web.whatsapp.com/send/?phone=628999007703&amp;text=Halo+,+Visual+AI+5S+menditeksi+Violation%3A+GUDANGEXP1-LINE+1&amp;type=phone_number&amp;app_absent=0</v>
      </c>
      <c r="AF147" t="b">
        <f>IF(ISNA(VLOOKUP(D147&amp;"-"&amp;AB147, Ref_Kontak!$A:$E, 4, FALSE)), FALSE, TRUE)</f>
        <v>0</v>
      </c>
      <c r="AG147" t="str">
        <f>_xlfn.IFNA(VLOOKUP(Z147,Ref_Kontak!H:H,1,FALSE),"FALSE")</f>
        <v>628999007703</v>
      </c>
      <c r="AH147" t="str">
        <f t="shared" si="17"/>
        <v>GUDANGEXP1-LINE 1</v>
      </c>
      <c r="AI147">
        <f>COUNTIF($AH$1:AH147,AH147)</f>
        <v>146</v>
      </c>
    </row>
    <row r="148" spans="1:35">
      <c r="A148" t="s">
        <v>56</v>
      </c>
      <c r="B148" t="s">
        <v>57</v>
      </c>
      <c r="C148" t="s">
        <v>210</v>
      </c>
      <c r="D148" t="s">
        <v>59</v>
      </c>
      <c r="E148">
        <v>1</v>
      </c>
      <c r="G148" t="s">
        <v>60</v>
      </c>
      <c r="I148" t="s">
        <v>61</v>
      </c>
      <c r="Z148" t="str">
        <f>IFERROR(MID(AA148,FIND("-",H148,1)+1,20),_xlfn.IFNA(VLOOKUP(F148&amp;"-"&amp;AA148,Ref_Kontak!$A:$E,4,FALSE),Ref_Kontak!$H$2))</f>
        <v>628999007703</v>
      </c>
      <c r="AA148" t="str">
        <f t="shared" si="12"/>
        <v/>
      </c>
      <c r="AB148" t="str">
        <f t="shared" si="13"/>
        <v/>
      </c>
      <c r="AC148" t="str">
        <f t="shared" si="14"/>
        <v>628999007703</v>
      </c>
      <c r="AD148" t="str">
        <f t="shared" si="16"/>
        <v>Halo+,+Visual+AI+5S+menditeksi+Violation%3A+GUDANGEXP1-LINE+1</v>
      </c>
      <c r="AE148" t="str">
        <f t="shared" si="15"/>
        <v>https://web.whatsapp.com/send/?phone=628999007703&amp;text=Halo+,+Visual+AI+5S+menditeksi+Violation%3A+GUDANGEXP1-LINE+1&amp;type=phone_number&amp;app_absent=0</v>
      </c>
      <c r="AF148" t="b">
        <f>IF(ISNA(VLOOKUP(D148&amp;"-"&amp;AB148, Ref_Kontak!$A:$E, 4, FALSE)), FALSE, TRUE)</f>
        <v>0</v>
      </c>
      <c r="AG148" t="str">
        <f>_xlfn.IFNA(VLOOKUP(Z148,Ref_Kontak!H:H,1,FALSE),"FALSE")</f>
        <v>628999007703</v>
      </c>
      <c r="AH148" t="str">
        <f t="shared" si="17"/>
        <v>GUDANGEXP1-LINE 1</v>
      </c>
      <c r="AI148">
        <f>COUNTIF($AH$1:AH148,AH148)</f>
        <v>147</v>
      </c>
    </row>
    <row r="149" spans="1:35">
      <c r="A149" t="s">
        <v>56</v>
      </c>
      <c r="B149" t="s">
        <v>57</v>
      </c>
      <c r="C149" t="s">
        <v>211</v>
      </c>
      <c r="D149" t="s">
        <v>59</v>
      </c>
      <c r="E149">
        <v>1</v>
      </c>
      <c r="G149" t="s">
        <v>60</v>
      </c>
      <c r="I149" t="s">
        <v>61</v>
      </c>
      <c r="Z149" t="str">
        <f>IFERROR(MID(AA149,FIND("-",H149,1)+1,20),_xlfn.IFNA(VLOOKUP(F149&amp;"-"&amp;AA149,Ref_Kontak!$A:$E,4,FALSE),Ref_Kontak!$H$2))</f>
        <v>628999007703</v>
      </c>
      <c r="AA149" t="str">
        <f t="shared" si="12"/>
        <v/>
      </c>
      <c r="AB149" t="str">
        <f t="shared" si="13"/>
        <v/>
      </c>
      <c r="AC149" t="str">
        <f t="shared" si="14"/>
        <v>628999007703</v>
      </c>
      <c r="AD149" t="str">
        <f t="shared" si="16"/>
        <v>Halo+,+Visual+AI+5S+menditeksi+Violation%3A+GUDANGEXP1-LINE+1</v>
      </c>
      <c r="AE149" t="str">
        <f t="shared" si="15"/>
        <v>https://web.whatsapp.com/send/?phone=628999007703&amp;text=Halo+,+Visual+AI+5S+menditeksi+Violation%3A+GUDANGEXP1-LINE+1&amp;type=phone_number&amp;app_absent=0</v>
      </c>
      <c r="AF149" t="b">
        <f>IF(ISNA(VLOOKUP(D149&amp;"-"&amp;AB149, Ref_Kontak!$A:$E, 4, FALSE)), FALSE, TRUE)</f>
        <v>0</v>
      </c>
      <c r="AG149" t="str">
        <f>_xlfn.IFNA(VLOOKUP(Z149,Ref_Kontak!H:H,1,FALSE),"FALSE")</f>
        <v>628999007703</v>
      </c>
      <c r="AH149" t="str">
        <f t="shared" si="17"/>
        <v>GUDANGEXP1-LINE 1</v>
      </c>
      <c r="AI149">
        <f>COUNTIF($AH$1:AH149,AH149)</f>
        <v>148</v>
      </c>
    </row>
    <row r="150" spans="1:35">
      <c r="A150" t="s">
        <v>56</v>
      </c>
      <c r="B150" t="s">
        <v>57</v>
      </c>
      <c r="C150" t="s">
        <v>212</v>
      </c>
      <c r="D150" t="s">
        <v>59</v>
      </c>
      <c r="E150">
        <v>1</v>
      </c>
      <c r="G150" t="s">
        <v>60</v>
      </c>
      <c r="I150" t="s">
        <v>61</v>
      </c>
      <c r="Z150" t="str">
        <f>IFERROR(MID(AA150,FIND("-",H150,1)+1,20),_xlfn.IFNA(VLOOKUP(F150&amp;"-"&amp;AA150,Ref_Kontak!$A:$E,4,FALSE),Ref_Kontak!$H$2))</f>
        <v>628999007703</v>
      </c>
      <c r="AA150" t="str">
        <f t="shared" si="12"/>
        <v/>
      </c>
      <c r="AB150" t="str">
        <f t="shared" si="13"/>
        <v/>
      </c>
      <c r="AC150" t="str">
        <f t="shared" si="14"/>
        <v>628999007703</v>
      </c>
      <c r="AD150" t="str">
        <f t="shared" si="16"/>
        <v>Halo+,+Visual+AI+5S+menditeksi+Violation%3A+GUDANGEXP1-LINE+1</v>
      </c>
      <c r="AE150" t="str">
        <f t="shared" si="15"/>
        <v>https://web.whatsapp.com/send/?phone=628999007703&amp;text=Halo+,+Visual+AI+5S+menditeksi+Violation%3A+GUDANGEXP1-LINE+1&amp;type=phone_number&amp;app_absent=0</v>
      </c>
      <c r="AF150" t="b">
        <f>IF(ISNA(VLOOKUP(D150&amp;"-"&amp;AB150, Ref_Kontak!$A:$E, 4, FALSE)), FALSE, TRUE)</f>
        <v>0</v>
      </c>
      <c r="AG150" t="str">
        <f>_xlfn.IFNA(VLOOKUP(Z150,Ref_Kontak!H:H,1,FALSE),"FALSE")</f>
        <v>628999007703</v>
      </c>
      <c r="AH150" t="str">
        <f t="shared" si="17"/>
        <v>GUDANGEXP1-LINE 1</v>
      </c>
      <c r="AI150">
        <f>COUNTIF($AH$1:AH150,AH150)</f>
        <v>149</v>
      </c>
    </row>
    <row r="151" spans="1:35">
      <c r="A151" t="s">
        <v>56</v>
      </c>
      <c r="B151" t="s">
        <v>57</v>
      </c>
      <c r="C151" t="s">
        <v>213</v>
      </c>
      <c r="D151" t="s">
        <v>59</v>
      </c>
      <c r="E151">
        <v>1</v>
      </c>
      <c r="G151" t="s">
        <v>60</v>
      </c>
      <c r="I151" t="s">
        <v>61</v>
      </c>
      <c r="Z151" t="str">
        <f>IFERROR(MID(AA151,FIND("-",H151,1)+1,20),_xlfn.IFNA(VLOOKUP(F151&amp;"-"&amp;AA151,Ref_Kontak!$A:$E,4,FALSE),Ref_Kontak!$H$2))</f>
        <v>628999007703</v>
      </c>
      <c r="AA151" t="str">
        <f t="shared" si="12"/>
        <v/>
      </c>
      <c r="AB151" t="str">
        <f t="shared" si="13"/>
        <v/>
      </c>
      <c r="AC151" t="str">
        <f t="shared" si="14"/>
        <v>628999007703</v>
      </c>
      <c r="AD151" t="str">
        <f t="shared" si="16"/>
        <v>Halo+,+Visual+AI+5S+menditeksi+Violation%3A+GUDANGEXP1-LINE+1</v>
      </c>
      <c r="AE151" t="str">
        <f t="shared" si="15"/>
        <v>https://web.whatsapp.com/send/?phone=628999007703&amp;text=Halo+,+Visual+AI+5S+menditeksi+Violation%3A+GUDANGEXP1-LINE+1&amp;type=phone_number&amp;app_absent=0</v>
      </c>
      <c r="AF151" t="b">
        <f>IF(ISNA(VLOOKUP(D151&amp;"-"&amp;AB151, Ref_Kontak!$A:$E, 4, FALSE)), FALSE, TRUE)</f>
        <v>0</v>
      </c>
      <c r="AG151" t="str">
        <f>_xlfn.IFNA(VLOOKUP(Z151,Ref_Kontak!H:H,1,FALSE),"FALSE")</f>
        <v>628999007703</v>
      </c>
      <c r="AH151" t="str">
        <f t="shared" si="17"/>
        <v>GUDANGEXP1-LINE 1</v>
      </c>
      <c r="AI151">
        <f>COUNTIF($AH$1:AH151,AH151)</f>
        <v>150</v>
      </c>
    </row>
    <row r="152" spans="1:35">
      <c r="A152" t="s">
        <v>56</v>
      </c>
      <c r="B152" t="s">
        <v>57</v>
      </c>
      <c r="C152" t="s">
        <v>214</v>
      </c>
      <c r="D152" t="s">
        <v>59</v>
      </c>
      <c r="E152">
        <v>1</v>
      </c>
      <c r="G152" t="s">
        <v>60</v>
      </c>
      <c r="I152" t="s">
        <v>61</v>
      </c>
      <c r="Z152" t="str">
        <f>IFERROR(MID(AA152,FIND("-",H152,1)+1,20),_xlfn.IFNA(VLOOKUP(F152&amp;"-"&amp;AA152,Ref_Kontak!$A:$E,4,FALSE),Ref_Kontak!$H$2))</f>
        <v>628999007703</v>
      </c>
      <c r="AA152" t="str">
        <f t="shared" si="12"/>
        <v/>
      </c>
      <c r="AB152" t="str">
        <f t="shared" si="13"/>
        <v/>
      </c>
      <c r="AC152" t="str">
        <f t="shared" si="14"/>
        <v>628999007703</v>
      </c>
      <c r="AD152" t="str">
        <f t="shared" si="16"/>
        <v>Halo+,+Visual+AI+5S+menditeksi+Violation%3A+GUDANGEXP1-LINE+1</v>
      </c>
      <c r="AE152" t="str">
        <f t="shared" si="15"/>
        <v>https://web.whatsapp.com/send/?phone=628999007703&amp;text=Halo+,+Visual+AI+5S+menditeksi+Violation%3A+GUDANGEXP1-LINE+1&amp;type=phone_number&amp;app_absent=0</v>
      </c>
      <c r="AF152" t="b">
        <f>IF(ISNA(VLOOKUP(D152&amp;"-"&amp;AB152, Ref_Kontak!$A:$E, 4, FALSE)), FALSE, TRUE)</f>
        <v>0</v>
      </c>
      <c r="AG152" t="str">
        <f>_xlfn.IFNA(VLOOKUP(Z152,Ref_Kontak!H:H,1,FALSE),"FALSE")</f>
        <v>628999007703</v>
      </c>
      <c r="AH152" t="str">
        <f t="shared" si="17"/>
        <v>GUDANGEXP1-LINE 1</v>
      </c>
      <c r="AI152">
        <f>COUNTIF($AH$1:AH152,AH152)</f>
        <v>151</v>
      </c>
    </row>
    <row r="153" spans="1:35">
      <c r="A153" t="s">
        <v>56</v>
      </c>
      <c r="B153" t="s">
        <v>57</v>
      </c>
      <c r="C153" t="s">
        <v>215</v>
      </c>
      <c r="D153" t="s">
        <v>59</v>
      </c>
      <c r="E153">
        <v>1</v>
      </c>
      <c r="G153" t="s">
        <v>60</v>
      </c>
      <c r="I153" t="s">
        <v>61</v>
      </c>
      <c r="Z153" t="str">
        <f>IFERROR(MID(AA153,FIND("-",H153,1)+1,20),_xlfn.IFNA(VLOOKUP(F153&amp;"-"&amp;AA153,Ref_Kontak!$A:$E,4,FALSE),Ref_Kontak!$H$2))</f>
        <v>628999007703</v>
      </c>
      <c r="AA153" t="str">
        <f t="shared" si="12"/>
        <v/>
      </c>
      <c r="AB153" t="str">
        <f t="shared" si="13"/>
        <v/>
      </c>
      <c r="AC153" t="str">
        <f t="shared" si="14"/>
        <v>628999007703</v>
      </c>
      <c r="AD153" t="str">
        <f t="shared" si="16"/>
        <v>Halo+,+Visual+AI+5S+menditeksi+Violation%3A+GUDANGEXP1-LINE+1</v>
      </c>
      <c r="AE153" t="str">
        <f t="shared" si="15"/>
        <v>https://web.whatsapp.com/send/?phone=628999007703&amp;text=Halo+,+Visual+AI+5S+menditeksi+Violation%3A+GUDANGEXP1-LINE+1&amp;type=phone_number&amp;app_absent=0</v>
      </c>
      <c r="AF153" t="b">
        <f>IF(ISNA(VLOOKUP(D153&amp;"-"&amp;AB153, Ref_Kontak!$A:$E, 4, FALSE)), FALSE, TRUE)</f>
        <v>0</v>
      </c>
      <c r="AG153" t="str">
        <f>_xlfn.IFNA(VLOOKUP(Z153,Ref_Kontak!H:H,1,FALSE),"FALSE")</f>
        <v>628999007703</v>
      </c>
      <c r="AH153" t="str">
        <f t="shared" si="17"/>
        <v>GUDANGEXP1-LINE 1</v>
      </c>
      <c r="AI153">
        <f>COUNTIF($AH$1:AH153,AH153)</f>
        <v>152</v>
      </c>
    </row>
    <row r="154" spans="1:35">
      <c r="A154" t="s">
        <v>56</v>
      </c>
      <c r="B154" t="s">
        <v>57</v>
      </c>
      <c r="C154" t="s">
        <v>216</v>
      </c>
      <c r="D154" t="s">
        <v>59</v>
      </c>
      <c r="E154">
        <v>1</v>
      </c>
      <c r="G154" t="s">
        <v>60</v>
      </c>
      <c r="I154" t="s">
        <v>61</v>
      </c>
      <c r="Z154" t="str">
        <f>IFERROR(MID(AA154,FIND("-",H154,1)+1,20),_xlfn.IFNA(VLOOKUP(F154&amp;"-"&amp;AA154,Ref_Kontak!$A:$E,4,FALSE),Ref_Kontak!$H$2))</f>
        <v>628999007703</v>
      </c>
      <c r="AA154" t="str">
        <f t="shared" si="12"/>
        <v/>
      </c>
      <c r="AB154" t="str">
        <f t="shared" si="13"/>
        <v/>
      </c>
      <c r="AC154" t="str">
        <f t="shared" si="14"/>
        <v>628999007703</v>
      </c>
      <c r="AD154" t="str">
        <f t="shared" si="16"/>
        <v>Halo+,+Visual+AI+5S+menditeksi+Violation%3A+GUDANGEXP1-LINE+1</v>
      </c>
      <c r="AE154" t="str">
        <f t="shared" si="15"/>
        <v>https://web.whatsapp.com/send/?phone=628999007703&amp;text=Halo+,+Visual+AI+5S+menditeksi+Violation%3A+GUDANGEXP1-LINE+1&amp;type=phone_number&amp;app_absent=0</v>
      </c>
      <c r="AF154" t="b">
        <f>IF(ISNA(VLOOKUP(D154&amp;"-"&amp;AB154, Ref_Kontak!$A:$E, 4, FALSE)), FALSE, TRUE)</f>
        <v>0</v>
      </c>
      <c r="AG154" t="str">
        <f>_xlfn.IFNA(VLOOKUP(Z154,Ref_Kontak!H:H,1,FALSE),"FALSE")</f>
        <v>628999007703</v>
      </c>
      <c r="AH154" t="str">
        <f t="shared" si="17"/>
        <v>GUDANGEXP1-LINE 1</v>
      </c>
      <c r="AI154">
        <f>COUNTIF($AH$1:AH154,AH154)</f>
        <v>153</v>
      </c>
    </row>
    <row r="155" spans="1:35">
      <c r="A155" t="s">
        <v>56</v>
      </c>
      <c r="B155" t="s">
        <v>57</v>
      </c>
      <c r="C155" t="s">
        <v>217</v>
      </c>
      <c r="D155" t="s">
        <v>59</v>
      </c>
      <c r="E155">
        <v>1</v>
      </c>
      <c r="G155" t="s">
        <v>60</v>
      </c>
      <c r="I155" t="s">
        <v>61</v>
      </c>
      <c r="Z155" t="str">
        <f>IFERROR(MID(AA155,FIND("-",H155,1)+1,20),_xlfn.IFNA(VLOOKUP(F155&amp;"-"&amp;AA155,Ref_Kontak!$A:$E,4,FALSE),Ref_Kontak!$H$2))</f>
        <v>628999007703</v>
      </c>
      <c r="AA155" t="str">
        <f t="shared" si="12"/>
        <v/>
      </c>
      <c r="AB155" t="str">
        <f t="shared" si="13"/>
        <v/>
      </c>
      <c r="AC155" t="str">
        <f t="shared" si="14"/>
        <v>628999007703</v>
      </c>
      <c r="AD155" t="str">
        <f t="shared" si="16"/>
        <v>Halo+,+Visual+AI+5S+menditeksi+Violation%3A+GUDANGEXP1-LINE+1</v>
      </c>
      <c r="AE155" t="str">
        <f t="shared" si="15"/>
        <v>https://web.whatsapp.com/send/?phone=628999007703&amp;text=Halo+,+Visual+AI+5S+menditeksi+Violation%3A+GUDANGEXP1-LINE+1&amp;type=phone_number&amp;app_absent=0</v>
      </c>
      <c r="AF155" t="b">
        <f>IF(ISNA(VLOOKUP(D155&amp;"-"&amp;AB155, Ref_Kontak!$A:$E, 4, FALSE)), FALSE, TRUE)</f>
        <v>0</v>
      </c>
      <c r="AG155" t="str">
        <f>_xlfn.IFNA(VLOOKUP(Z155,Ref_Kontak!H:H,1,FALSE),"FALSE")</f>
        <v>628999007703</v>
      </c>
      <c r="AH155" t="str">
        <f t="shared" si="17"/>
        <v>GUDANGEXP1-LINE 1</v>
      </c>
      <c r="AI155">
        <f>COUNTIF($AH$1:AH155,AH155)</f>
        <v>154</v>
      </c>
    </row>
    <row r="156" spans="1:35">
      <c r="A156" t="s">
        <v>56</v>
      </c>
      <c r="B156" t="s">
        <v>57</v>
      </c>
      <c r="C156" t="s">
        <v>218</v>
      </c>
      <c r="D156" t="s">
        <v>59</v>
      </c>
      <c r="E156">
        <v>1</v>
      </c>
      <c r="G156" t="s">
        <v>60</v>
      </c>
      <c r="I156" t="s">
        <v>61</v>
      </c>
      <c r="Z156" t="str">
        <f>IFERROR(MID(AA156,FIND("-",H156,1)+1,20),_xlfn.IFNA(VLOOKUP(F156&amp;"-"&amp;AA156,Ref_Kontak!$A:$E,4,FALSE),Ref_Kontak!$H$2))</f>
        <v>628999007703</v>
      </c>
      <c r="AA156" t="str">
        <f t="shared" si="12"/>
        <v/>
      </c>
      <c r="AB156" t="str">
        <f t="shared" si="13"/>
        <v/>
      </c>
      <c r="AC156" t="str">
        <f t="shared" si="14"/>
        <v>628999007703</v>
      </c>
      <c r="AD156" t="str">
        <f t="shared" si="16"/>
        <v>Halo+,+Visual+AI+5S+menditeksi+Violation%3A+GUDANGEXP1-LINE+1</v>
      </c>
      <c r="AE156" t="str">
        <f t="shared" si="15"/>
        <v>https://web.whatsapp.com/send/?phone=628999007703&amp;text=Halo+,+Visual+AI+5S+menditeksi+Violation%3A+GUDANGEXP1-LINE+1&amp;type=phone_number&amp;app_absent=0</v>
      </c>
      <c r="AF156" t="b">
        <f>IF(ISNA(VLOOKUP(D156&amp;"-"&amp;AB156, Ref_Kontak!$A:$E, 4, FALSE)), FALSE, TRUE)</f>
        <v>0</v>
      </c>
      <c r="AG156" t="str">
        <f>_xlfn.IFNA(VLOOKUP(Z156,Ref_Kontak!H:H,1,FALSE),"FALSE")</f>
        <v>628999007703</v>
      </c>
      <c r="AH156" t="str">
        <f t="shared" si="17"/>
        <v>GUDANGEXP1-LINE 1</v>
      </c>
      <c r="AI156">
        <f>COUNTIF($AH$1:AH156,AH156)</f>
        <v>155</v>
      </c>
    </row>
    <row r="157" spans="1:35">
      <c r="A157" t="s">
        <v>56</v>
      </c>
      <c r="B157" t="s">
        <v>57</v>
      </c>
      <c r="C157" t="s">
        <v>219</v>
      </c>
      <c r="D157" t="s">
        <v>59</v>
      </c>
      <c r="E157">
        <v>1</v>
      </c>
      <c r="G157" t="s">
        <v>60</v>
      </c>
      <c r="I157" t="s">
        <v>61</v>
      </c>
      <c r="Z157" t="str">
        <f>IFERROR(MID(AA157,FIND("-",H157,1)+1,20),_xlfn.IFNA(VLOOKUP(F157&amp;"-"&amp;AA157,Ref_Kontak!$A:$E,4,FALSE),Ref_Kontak!$H$2))</f>
        <v>628999007703</v>
      </c>
      <c r="AA157" t="str">
        <f t="shared" si="12"/>
        <v/>
      </c>
      <c r="AB157" t="str">
        <f t="shared" si="13"/>
        <v/>
      </c>
      <c r="AC157" t="str">
        <f t="shared" si="14"/>
        <v>628999007703</v>
      </c>
      <c r="AD157" t="str">
        <f t="shared" si="16"/>
        <v>Halo+,+Visual+AI+5S+menditeksi+Violation%3A+GUDANGEXP1-LINE+1</v>
      </c>
      <c r="AE157" t="str">
        <f t="shared" si="15"/>
        <v>https://web.whatsapp.com/send/?phone=628999007703&amp;text=Halo+,+Visual+AI+5S+menditeksi+Violation%3A+GUDANGEXP1-LINE+1&amp;type=phone_number&amp;app_absent=0</v>
      </c>
      <c r="AF157" t="b">
        <f>IF(ISNA(VLOOKUP(D157&amp;"-"&amp;AB157, Ref_Kontak!$A:$E, 4, FALSE)), FALSE, TRUE)</f>
        <v>0</v>
      </c>
      <c r="AG157" t="str">
        <f>_xlfn.IFNA(VLOOKUP(Z157,Ref_Kontak!H:H,1,FALSE),"FALSE")</f>
        <v>628999007703</v>
      </c>
      <c r="AH157" t="str">
        <f t="shared" si="17"/>
        <v>GUDANGEXP1-LINE 1</v>
      </c>
      <c r="AI157">
        <f>COUNTIF($AH$1:AH157,AH157)</f>
        <v>156</v>
      </c>
    </row>
    <row r="158" spans="1:35">
      <c r="A158" t="s">
        <v>56</v>
      </c>
      <c r="B158" t="s">
        <v>57</v>
      </c>
      <c r="C158" t="s">
        <v>220</v>
      </c>
      <c r="D158" t="s">
        <v>59</v>
      </c>
      <c r="E158">
        <v>1</v>
      </c>
      <c r="G158" t="s">
        <v>60</v>
      </c>
      <c r="I158" t="s">
        <v>61</v>
      </c>
      <c r="Z158" t="str">
        <f>IFERROR(MID(AA158,FIND("-",H158,1)+1,20),_xlfn.IFNA(VLOOKUP(F158&amp;"-"&amp;AA158,Ref_Kontak!$A:$E,4,FALSE),Ref_Kontak!$H$2))</f>
        <v>628999007703</v>
      </c>
      <c r="AA158" t="str">
        <f t="shared" si="12"/>
        <v/>
      </c>
      <c r="AB158" t="str">
        <f t="shared" si="13"/>
        <v/>
      </c>
      <c r="AC158" t="str">
        <f t="shared" si="14"/>
        <v>628999007703</v>
      </c>
      <c r="AD158" t="str">
        <f t="shared" si="16"/>
        <v>Halo+,+Visual+AI+5S+menditeksi+Violation%3A+GUDANGEXP1-LINE+1</v>
      </c>
      <c r="AE158" t="str">
        <f t="shared" si="15"/>
        <v>https://web.whatsapp.com/send/?phone=628999007703&amp;text=Halo+,+Visual+AI+5S+menditeksi+Violation%3A+GUDANGEXP1-LINE+1&amp;type=phone_number&amp;app_absent=0</v>
      </c>
      <c r="AF158" t="b">
        <f>IF(ISNA(VLOOKUP(D158&amp;"-"&amp;AB158, Ref_Kontak!$A:$E, 4, FALSE)), FALSE, TRUE)</f>
        <v>0</v>
      </c>
      <c r="AG158" t="str">
        <f>_xlfn.IFNA(VLOOKUP(Z158,Ref_Kontak!H:H,1,FALSE),"FALSE")</f>
        <v>628999007703</v>
      </c>
      <c r="AH158" t="str">
        <f t="shared" si="17"/>
        <v>GUDANGEXP1-LINE 1</v>
      </c>
      <c r="AI158">
        <f>COUNTIF($AH$1:AH158,AH158)</f>
        <v>157</v>
      </c>
    </row>
    <row r="159" spans="1:35">
      <c r="A159" t="s">
        <v>56</v>
      </c>
      <c r="B159" t="s">
        <v>57</v>
      </c>
      <c r="C159" t="s">
        <v>221</v>
      </c>
      <c r="D159" t="s">
        <v>59</v>
      </c>
      <c r="E159">
        <v>1</v>
      </c>
      <c r="G159" t="s">
        <v>60</v>
      </c>
      <c r="I159" t="s">
        <v>61</v>
      </c>
      <c r="Z159" t="str">
        <f>IFERROR(MID(AA159,FIND("-",H159,1)+1,20),_xlfn.IFNA(VLOOKUP(F159&amp;"-"&amp;AA159,Ref_Kontak!$A:$E,4,FALSE),Ref_Kontak!$H$2))</f>
        <v>628999007703</v>
      </c>
      <c r="AA159" t="str">
        <f t="shared" si="12"/>
        <v/>
      </c>
      <c r="AB159" t="str">
        <f t="shared" si="13"/>
        <v/>
      </c>
      <c r="AC159" t="str">
        <f t="shared" si="14"/>
        <v>628999007703</v>
      </c>
      <c r="AD159" t="str">
        <f t="shared" si="16"/>
        <v>Halo+,+Visual+AI+5S+menditeksi+Violation%3A+GUDANGEXP1-LINE+1</v>
      </c>
      <c r="AE159" t="str">
        <f t="shared" si="15"/>
        <v>https://web.whatsapp.com/send/?phone=628999007703&amp;text=Halo+,+Visual+AI+5S+menditeksi+Violation%3A+GUDANGEXP1-LINE+1&amp;type=phone_number&amp;app_absent=0</v>
      </c>
      <c r="AF159" t="b">
        <f>IF(ISNA(VLOOKUP(D159&amp;"-"&amp;AB159, Ref_Kontak!$A:$E, 4, FALSE)), FALSE, TRUE)</f>
        <v>0</v>
      </c>
      <c r="AG159" t="str">
        <f>_xlfn.IFNA(VLOOKUP(Z159,Ref_Kontak!H:H,1,FALSE),"FALSE")</f>
        <v>628999007703</v>
      </c>
      <c r="AH159" t="str">
        <f t="shared" si="17"/>
        <v>GUDANGEXP1-LINE 1</v>
      </c>
      <c r="AI159">
        <f>COUNTIF($AH$1:AH159,AH159)</f>
        <v>158</v>
      </c>
    </row>
    <row r="160" spans="1:35">
      <c r="A160" t="s">
        <v>56</v>
      </c>
      <c r="B160" t="s">
        <v>57</v>
      </c>
      <c r="C160" t="s">
        <v>222</v>
      </c>
      <c r="D160" t="s">
        <v>59</v>
      </c>
      <c r="E160">
        <v>1</v>
      </c>
      <c r="G160" t="s">
        <v>60</v>
      </c>
      <c r="I160" t="s">
        <v>61</v>
      </c>
      <c r="Z160" t="str">
        <f>IFERROR(MID(AA160,FIND("-",H160,1)+1,20),_xlfn.IFNA(VLOOKUP(F160&amp;"-"&amp;AA160,Ref_Kontak!$A:$E,4,FALSE),Ref_Kontak!$H$2))</f>
        <v>628999007703</v>
      </c>
      <c r="AA160" t="str">
        <f t="shared" si="12"/>
        <v/>
      </c>
      <c r="AB160" t="str">
        <f t="shared" si="13"/>
        <v/>
      </c>
      <c r="AC160" t="str">
        <f t="shared" si="14"/>
        <v>628999007703</v>
      </c>
      <c r="AD160" t="str">
        <f t="shared" si="16"/>
        <v>Halo+,+Visual+AI+5S+menditeksi+Violation%3A+GUDANGEXP1-LINE+1</v>
      </c>
      <c r="AE160" t="str">
        <f t="shared" si="15"/>
        <v>https://web.whatsapp.com/send/?phone=628999007703&amp;text=Halo+,+Visual+AI+5S+menditeksi+Violation%3A+GUDANGEXP1-LINE+1&amp;type=phone_number&amp;app_absent=0</v>
      </c>
      <c r="AF160" t="b">
        <f>IF(ISNA(VLOOKUP(D160&amp;"-"&amp;AB160, Ref_Kontak!$A:$E, 4, FALSE)), FALSE, TRUE)</f>
        <v>0</v>
      </c>
      <c r="AG160" t="str">
        <f>_xlfn.IFNA(VLOOKUP(Z160,Ref_Kontak!H:H,1,FALSE),"FALSE")</f>
        <v>628999007703</v>
      </c>
      <c r="AH160" t="str">
        <f t="shared" si="17"/>
        <v>GUDANGEXP1-LINE 1</v>
      </c>
      <c r="AI160">
        <f>COUNTIF($AH$1:AH160,AH160)</f>
        <v>159</v>
      </c>
    </row>
    <row r="161" spans="1:35">
      <c r="A161" t="s">
        <v>56</v>
      </c>
      <c r="B161" t="s">
        <v>57</v>
      </c>
      <c r="C161" t="s">
        <v>223</v>
      </c>
      <c r="D161" t="s">
        <v>59</v>
      </c>
      <c r="E161">
        <v>1</v>
      </c>
      <c r="G161" t="s">
        <v>60</v>
      </c>
      <c r="I161" t="s">
        <v>61</v>
      </c>
      <c r="Z161" t="str">
        <f>IFERROR(MID(AA161,FIND("-",H161,1)+1,20),_xlfn.IFNA(VLOOKUP(F161&amp;"-"&amp;AA161,Ref_Kontak!$A:$E,4,FALSE),Ref_Kontak!$H$2))</f>
        <v>628999007703</v>
      </c>
      <c r="AA161" t="str">
        <f t="shared" si="12"/>
        <v/>
      </c>
      <c r="AB161" t="str">
        <f t="shared" si="13"/>
        <v/>
      </c>
      <c r="AC161" t="str">
        <f t="shared" si="14"/>
        <v>628999007703</v>
      </c>
      <c r="AD161" t="str">
        <f t="shared" si="16"/>
        <v>Halo+,+Visual+AI+5S+menditeksi+Violation%3A+GUDANGEXP1-LINE+1</v>
      </c>
      <c r="AE161" t="str">
        <f t="shared" si="15"/>
        <v>https://web.whatsapp.com/send/?phone=628999007703&amp;text=Halo+,+Visual+AI+5S+menditeksi+Violation%3A+GUDANGEXP1-LINE+1&amp;type=phone_number&amp;app_absent=0</v>
      </c>
      <c r="AF161" t="b">
        <f>IF(ISNA(VLOOKUP(D161&amp;"-"&amp;AB161, Ref_Kontak!$A:$E, 4, FALSE)), FALSE, TRUE)</f>
        <v>0</v>
      </c>
      <c r="AG161" t="str">
        <f>_xlfn.IFNA(VLOOKUP(Z161,Ref_Kontak!H:H,1,FALSE),"FALSE")</f>
        <v>628999007703</v>
      </c>
      <c r="AH161" t="str">
        <f t="shared" si="17"/>
        <v>GUDANGEXP1-LINE 1</v>
      </c>
      <c r="AI161">
        <f>COUNTIF($AH$1:AH161,AH161)</f>
        <v>160</v>
      </c>
    </row>
    <row r="162" spans="1:35">
      <c r="A162" t="s">
        <v>56</v>
      </c>
      <c r="B162" t="s">
        <v>57</v>
      </c>
      <c r="C162" t="s">
        <v>224</v>
      </c>
      <c r="D162" t="s">
        <v>59</v>
      </c>
      <c r="E162">
        <v>1</v>
      </c>
      <c r="G162" t="s">
        <v>60</v>
      </c>
      <c r="I162" t="s">
        <v>61</v>
      </c>
      <c r="Z162" t="str">
        <f>IFERROR(MID(AA162,FIND("-",H162,1)+1,20),_xlfn.IFNA(VLOOKUP(F162&amp;"-"&amp;AA162,Ref_Kontak!$A:$E,4,FALSE),Ref_Kontak!$H$2))</f>
        <v>628999007703</v>
      </c>
      <c r="AA162" t="str">
        <f t="shared" si="12"/>
        <v/>
      </c>
      <c r="AB162" t="str">
        <f t="shared" si="13"/>
        <v/>
      </c>
      <c r="AC162" t="str">
        <f t="shared" si="14"/>
        <v>628999007703</v>
      </c>
      <c r="AD162" t="str">
        <f t="shared" si="16"/>
        <v>Halo+,+Visual+AI+5S+menditeksi+Violation%3A+GUDANGEXP1-LINE+1</v>
      </c>
      <c r="AE162" t="str">
        <f t="shared" si="15"/>
        <v>https://web.whatsapp.com/send/?phone=628999007703&amp;text=Halo+,+Visual+AI+5S+menditeksi+Violation%3A+GUDANGEXP1-LINE+1&amp;type=phone_number&amp;app_absent=0</v>
      </c>
      <c r="AF162" t="b">
        <f>IF(ISNA(VLOOKUP(D162&amp;"-"&amp;AB162, Ref_Kontak!$A:$E, 4, FALSE)), FALSE, TRUE)</f>
        <v>0</v>
      </c>
      <c r="AG162" t="str">
        <f>_xlfn.IFNA(VLOOKUP(Z162,Ref_Kontak!H:H,1,FALSE),"FALSE")</f>
        <v>628999007703</v>
      </c>
      <c r="AH162" t="str">
        <f t="shared" si="17"/>
        <v>GUDANGEXP1-LINE 1</v>
      </c>
      <c r="AI162">
        <f>COUNTIF($AH$1:AH162,AH162)</f>
        <v>161</v>
      </c>
    </row>
    <row r="163" spans="1:35">
      <c r="A163" t="s">
        <v>56</v>
      </c>
      <c r="B163" t="s">
        <v>57</v>
      </c>
      <c r="C163" t="s">
        <v>225</v>
      </c>
      <c r="D163" t="s">
        <v>59</v>
      </c>
      <c r="E163">
        <v>1</v>
      </c>
      <c r="G163" t="s">
        <v>60</v>
      </c>
      <c r="I163" t="s">
        <v>61</v>
      </c>
      <c r="Z163" t="str">
        <f>IFERROR(MID(AA163,FIND("-",H163,1)+1,20),_xlfn.IFNA(VLOOKUP(F163&amp;"-"&amp;AA163,Ref_Kontak!$A:$E,4,FALSE),Ref_Kontak!$H$2))</f>
        <v>628999007703</v>
      </c>
      <c r="AA163" t="str">
        <f t="shared" si="12"/>
        <v/>
      </c>
      <c r="AB163" t="str">
        <f t="shared" si="13"/>
        <v/>
      </c>
      <c r="AC163" t="str">
        <f t="shared" si="14"/>
        <v>628999007703</v>
      </c>
      <c r="AD163" t="str">
        <f t="shared" si="16"/>
        <v>Halo+,+Visual+AI+5S+menditeksi+Violation%3A+GUDANGEXP1-LINE+1</v>
      </c>
      <c r="AE163" t="str">
        <f t="shared" si="15"/>
        <v>https://web.whatsapp.com/send/?phone=628999007703&amp;text=Halo+,+Visual+AI+5S+menditeksi+Violation%3A+GUDANGEXP1-LINE+1&amp;type=phone_number&amp;app_absent=0</v>
      </c>
      <c r="AF163" t="b">
        <f>IF(ISNA(VLOOKUP(D163&amp;"-"&amp;AB163, Ref_Kontak!$A:$E, 4, FALSE)), FALSE, TRUE)</f>
        <v>0</v>
      </c>
      <c r="AG163" t="str">
        <f>_xlfn.IFNA(VLOOKUP(Z163,Ref_Kontak!H:H,1,FALSE),"FALSE")</f>
        <v>628999007703</v>
      </c>
      <c r="AH163" t="str">
        <f t="shared" si="17"/>
        <v>GUDANGEXP1-LINE 1</v>
      </c>
      <c r="AI163">
        <f>COUNTIF($AH$1:AH163,AH163)</f>
        <v>162</v>
      </c>
    </row>
    <row r="164" spans="1:35">
      <c r="A164" t="s">
        <v>56</v>
      </c>
      <c r="B164" t="s">
        <v>57</v>
      </c>
      <c r="C164" t="s">
        <v>226</v>
      </c>
      <c r="D164" t="s">
        <v>59</v>
      </c>
      <c r="E164">
        <v>1</v>
      </c>
      <c r="G164" t="s">
        <v>60</v>
      </c>
      <c r="I164" t="s">
        <v>61</v>
      </c>
      <c r="Z164" t="str">
        <f>IFERROR(MID(AA164,FIND("-",H164,1)+1,20),_xlfn.IFNA(VLOOKUP(F164&amp;"-"&amp;AA164,Ref_Kontak!$A:$E,4,FALSE),Ref_Kontak!$H$2))</f>
        <v>628999007703</v>
      </c>
      <c r="AA164" t="str">
        <f t="shared" si="12"/>
        <v/>
      </c>
      <c r="AB164" t="str">
        <f t="shared" si="13"/>
        <v/>
      </c>
      <c r="AC164" t="str">
        <f t="shared" si="14"/>
        <v>628999007703</v>
      </c>
      <c r="AD164" t="str">
        <f t="shared" si="16"/>
        <v>Halo+,+Visual+AI+5S+menditeksi+Violation%3A+GUDANGEXP1-LINE+1</v>
      </c>
      <c r="AE164" t="str">
        <f t="shared" si="15"/>
        <v>https://web.whatsapp.com/send/?phone=628999007703&amp;text=Halo+,+Visual+AI+5S+menditeksi+Violation%3A+GUDANGEXP1-LINE+1&amp;type=phone_number&amp;app_absent=0</v>
      </c>
      <c r="AF164" t="b">
        <f>IF(ISNA(VLOOKUP(D164&amp;"-"&amp;AB164, Ref_Kontak!$A:$E, 4, FALSE)), FALSE, TRUE)</f>
        <v>0</v>
      </c>
      <c r="AG164" t="str">
        <f>_xlfn.IFNA(VLOOKUP(Z164,Ref_Kontak!H:H,1,FALSE),"FALSE")</f>
        <v>628999007703</v>
      </c>
      <c r="AH164" t="str">
        <f t="shared" si="17"/>
        <v>GUDANGEXP1-LINE 1</v>
      </c>
      <c r="AI164">
        <f>COUNTIF($AH$1:AH164,AH164)</f>
        <v>163</v>
      </c>
    </row>
    <row r="165" spans="1:35">
      <c r="A165" t="s">
        <v>56</v>
      </c>
      <c r="B165" t="s">
        <v>57</v>
      </c>
      <c r="C165" t="s">
        <v>227</v>
      </c>
      <c r="D165" t="s">
        <v>59</v>
      </c>
      <c r="E165">
        <v>1</v>
      </c>
      <c r="G165" t="s">
        <v>60</v>
      </c>
      <c r="I165" t="s">
        <v>61</v>
      </c>
      <c r="Z165" t="str">
        <f>IFERROR(MID(AA165,FIND("-",H165,1)+1,20),_xlfn.IFNA(VLOOKUP(F165&amp;"-"&amp;AA165,Ref_Kontak!$A:$E,4,FALSE),Ref_Kontak!$H$2))</f>
        <v>628999007703</v>
      </c>
      <c r="AA165" t="str">
        <f t="shared" si="12"/>
        <v/>
      </c>
      <c r="AB165" t="str">
        <f t="shared" si="13"/>
        <v/>
      </c>
      <c r="AC165" t="str">
        <f t="shared" si="14"/>
        <v>628999007703</v>
      </c>
      <c r="AD165" t="str">
        <f t="shared" si="16"/>
        <v>Halo+,+Visual+AI+5S+menditeksi+Violation%3A+GUDANGEXP1-LINE+1</v>
      </c>
      <c r="AE165" t="str">
        <f t="shared" si="15"/>
        <v>https://web.whatsapp.com/send/?phone=628999007703&amp;text=Halo+,+Visual+AI+5S+menditeksi+Violation%3A+GUDANGEXP1-LINE+1&amp;type=phone_number&amp;app_absent=0</v>
      </c>
      <c r="AF165" t="b">
        <f>IF(ISNA(VLOOKUP(D165&amp;"-"&amp;AB165, Ref_Kontak!$A:$E, 4, FALSE)), FALSE, TRUE)</f>
        <v>0</v>
      </c>
      <c r="AG165" t="str">
        <f>_xlfn.IFNA(VLOOKUP(Z165,Ref_Kontak!H:H,1,FALSE),"FALSE")</f>
        <v>628999007703</v>
      </c>
      <c r="AH165" t="str">
        <f t="shared" si="17"/>
        <v>GUDANGEXP1-LINE 1</v>
      </c>
      <c r="AI165">
        <f>COUNTIF($AH$1:AH165,AH165)</f>
        <v>164</v>
      </c>
    </row>
    <row r="166" spans="1:35">
      <c r="A166" t="s">
        <v>56</v>
      </c>
      <c r="B166" t="s">
        <v>57</v>
      </c>
      <c r="C166" t="s">
        <v>228</v>
      </c>
      <c r="D166" t="s">
        <v>59</v>
      </c>
      <c r="E166">
        <v>1</v>
      </c>
      <c r="G166" t="s">
        <v>60</v>
      </c>
      <c r="I166" t="s">
        <v>61</v>
      </c>
      <c r="Z166" t="str">
        <f>IFERROR(MID(AA166,FIND("-",H166,1)+1,20),_xlfn.IFNA(VLOOKUP(F166&amp;"-"&amp;AA166,Ref_Kontak!$A:$E,4,FALSE),Ref_Kontak!$H$2))</f>
        <v>628999007703</v>
      </c>
      <c r="AA166" t="str">
        <f t="shared" si="12"/>
        <v/>
      </c>
      <c r="AB166" t="str">
        <f t="shared" si="13"/>
        <v/>
      </c>
      <c r="AC166" t="str">
        <f t="shared" si="14"/>
        <v>628999007703</v>
      </c>
      <c r="AD166" t="str">
        <f t="shared" si="16"/>
        <v>Halo+,+Visual+AI+5S+menditeksi+Violation%3A+GUDANGEXP1-LINE+1</v>
      </c>
      <c r="AE166" t="str">
        <f t="shared" si="15"/>
        <v>https://web.whatsapp.com/send/?phone=628999007703&amp;text=Halo+,+Visual+AI+5S+menditeksi+Violation%3A+GUDANGEXP1-LINE+1&amp;type=phone_number&amp;app_absent=0</v>
      </c>
      <c r="AF166" t="b">
        <f>IF(ISNA(VLOOKUP(D166&amp;"-"&amp;AB166, Ref_Kontak!$A:$E, 4, FALSE)), FALSE, TRUE)</f>
        <v>0</v>
      </c>
      <c r="AG166" t="str">
        <f>_xlfn.IFNA(VLOOKUP(Z166,Ref_Kontak!H:H,1,FALSE),"FALSE")</f>
        <v>628999007703</v>
      </c>
      <c r="AH166" t="str">
        <f t="shared" si="17"/>
        <v>GUDANGEXP1-LINE 1</v>
      </c>
      <c r="AI166">
        <f>COUNTIF($AH$1:AH166,AH166)</f>
        <v>165</v>
      </c>
    </row>
    <row r="167" spans="1:35">
      <c r="A167" t="s">
        <v>56</v>
      </c>
      <c r="B167" t="s">
        <v>57</v>
      </c>
      <c r="C167" t="s">
        <v>229</v>
      </c>
      <c r="D167" t="s">
        <v>59</v>
      </c>
      <c r="E167">
        <v>1</v>
      </c>
      <c r="G167" t="s">
        <v>60</v>
      </c>
      <c r="I167" t="s">
        <v>61</v>
      </c>
      <c r="Z167" t="str">
        <f>IFERROR(MID(AA167,FIND("-",H167,1)+1,20),_xlfn.IFNA(VLOOKUP(F167&amp;"-"&amp;AA167,Ref_Kontak!$A:$E,4,FALSE),Ref_Kontak!$H$2))</f>
        <v>628999007703</v>
      </c>
      <c r="AA167" t="str">
        <f t="shared" si="12"/>
        <v/>
      </c>
      <c r="AB167" t="str">
        <f t="shared" si="13"/>
        <v/>
      </c>
      <c r="AC167" t="str">
        <f t="shared" si="14"/>
        <v>628999007703</v>
      </c>
      <c r="AD167" t="str">
        <f t="shared" si="16"/>
        <v>Halo+,+Visual+AI+5S+menditeksi+Violation%3A+GUDANGEXP1-LINE+1</v>
      </c>
      <c r="AE167" t="str">
        <f t="shared" si="15"/>
        <v>https://web.whatsapp.com/send/?phone=628999007703&amp;text=Halo+,+Visual+AI+5S+menditeksi+Violation%3A+GUDANGEXP1-LINE+1&amp;type=phone_number&amp;app_absent=0</v>
      </c>
      <c r="AF167" t="b">
        <f>IF(ISNA(VLOOKUP(D167&amp;"-"&amp;AB167, Ref_Kontak!$A:$E, 4, FALSE)), FALSE, TRUE)</f>
        <v>0</v>
      </c>
      <c r="AG167" t="str">
        <f>_xlfn.IFNA(VLOOKUP(Z167,Ref_Kontak!H:H,1,FALSE),"FALSE")</f>
        <v>628999007703</v>
      </c>
      <c r="AH167" t="str">
        <f t="shared" si="17"/>
        <v>GUDANGEXP1-LINE 1</v>
      </c>
      <c r="AI167">
        <f>COUNTIF($AH$1:AH167,AH167)</f>
        <v>166</v>
      </c>
    </row>
    <row r="168" spans="1:35">
      <c r="A168" t="s">
        <v>56</v>
      </c>
      <c r="B168" t="s">
        <v>57</v>
      </c>
      <c r="C168" t="s">
        <v>230</v>
      </c>
      <c r="D168" t="s">
        <v>59</v>
      </c>
      <c r="E168">
        <v>1</v>
      </c>
      <c r="G168" t="s">
        <v>60</v>
      </c>
      <c r="I168" t="s">
        <v>61</v>
      </c>
      <c r="Z168" t="str">
        <f>IFERROR(MID(AA168,FIND("-",H168,1)+1,20),_xlfn.IFNA(VLOOKUP(F168&amp;"-"&amp;AA168,Ref_Kontak!$A:$E,4,FALSE),Ref_Kontak!$H$2))</f>
        <v>628999007703</v>
      </c>
      <c r="AA168" t="str">
        <f t="shared" si="12"/>
        <v/>
      </c>
      <c r="AB168" t="str">
        <f t="shared" si="13"/>
        <v/>
      </c>
      <c r="AC168" t="str">
        <f t="shared" si="14"/>
        <v>628999007703</v>
      </c>
      <c r="AD168" t="str">
        <f t="shared" si="16"/>
        <v>Halo+,+Visual+AI+5S+menditeksi+Violation%3A+GUDANGEXP1-LINE+1</v>
      </c>
      <c r="AE168" t="str">
        <f t="shared" si="15"/>
        <v>https://web.whatsapp.com/send/?phone=628999007703&amp;text=Halo+,+Visual+AI+5S+menditeksi+Violation%3A+GUDANGEXP1-LINE+1&amp;type=phone_number&amp;app_absent=0</v>
      </c>
      <c r="AF168" t="b">
        <f>IF(ISNA(VLOOKUP(D168&amp;"-"&amp;AB168, Ref_Kontak!$A:$E, 4, FALSE)), FALSE, TRUE)</f>
        <v>0</v>
      </c>
      <c r="AG168" t="str">
        <f>_xlfn.IFNA(VLOOKUP(Z168,Ref_Kontak!H:H,1,FALSE),"FALSE")</f>
        <v>628999007703</v>
      </c>
      <c r="AH168" t="str">
        <f t="shared" si="17"/>
        <v>GUDANGEXP1-LINE 1</v>
      </c>
      <c r="AI168">
        <f>COUNTIF($AH$1:AH168,AH168)</f>
        <v>167</v>
      </c>
    </row>
    <row r="169" spans="1:35">
      <c r="A169" t="s">
        <v>56</v>
      </c>
      <c r="B169" t="s">
        <v>57</v>
      </c>
      <c r="C169" t="s">
        <v>231</v>
      </c>
      <c r="D169" t="s">
        <v>59</v>
      </c>
      <c r="E169">
        <v>1</v>
      </c>
      <c r="G169" t="s">
        <v>60</v>
      </c>
      <c r="I169" t="s">
        <v>61</v>
      </c>
      <c r="Z169" t="str">
        <f>IFERROR(MID(AA169,FIND("-",H169,1)+1,20),_xlfn.IFNA(VLOOKUP(F169&amp;"-"&amp;AA169,Ref_Kontak!$A:$E,4,FALSE),Ref_Kontak!$H$2))</f>
        <v>628999007703</v>
      </c>
      <c r="AA169" t="str">
        <f t="shared" si="12"/>
        <v/>
      </c>
      <c r="AB169" t="str">
        <f t="shared" si="13"/>
        <v/>
      </c>
      <c r="AC169" t="str">
        <f t="shared" si="14"/>
        <v>628999007703</v>
      </c>
      <c r="AD169" t="str">
        <f t="shared" si="16"/>
        <v>Halo+,+Visual+AI+5S+menditeksi+Violation%3A+GUDANGEXP1-LINE+1</v>
      </c>
      <c r="AE169" t="str">
        <f t="shared" si="15"/>
        <v>https://web.whatsapp.com/send/?phone=628999007703&amp;text=Halo+,+Visual+AI+5S+menditeksi+Violation%3A+GUDANGEXP1-LINE+1&amp;type=phone_number&amp;app_absent=0</v>
      </c>
      <c r="AF169" t="b">
        <f>IF(ISNA(VLOOKUP(D169&amp;"-"&amp;AB169, Ref_Kontak!$A:$E, 4, FALSE)), FALSE, TRUE)</f>
        <v>0</v>
      </c>
      <c r="AG169" t="str">
        <f>_xlfn.IFNA(VLOOKUP(Z169,Ref_Kontak!H:H,1,FALSE),"FALSE")</f>
        <v>628999007703</v>
      </c>
      <c r="AH169" t="str">
        <f t="shared" si="17"/>
        <v>GUDANGEXP1-LINE 1</v>
      </c>
      <c r="AI169">
        <f>COUNTIF($AH$1:AH169,AH169)</f>
        <v>168</v>
      </c>
    </row>
    <row r="170" spans="1:35">
      <c r="A170" t="s">
        <v>56</v>
      </c>
      <c r="B170" t="s">
        <v>57</v>
      </c>
      <c r="C170" t="s">
        <v>232</v>
      </c>
      <c r="D170" t="s">
        <v>59</v>
      </c>
      <c r="E170">
        <v>1</v>
      </c>
      <c r="G170" t="s">
        <v>60</v>
      </c>
      <c r="I170" t="s">
        <v>61</v>
      </c>
      <c r="Z170" t="str">
        <f>IFERROR(MID(AA170,FIND("-",H170,1)+1,20),_xlfn.IFNA(VLOOKUP(F170&amp;"-"&amp;AA170,Ref_Kontak!$A:$E,4,FALSE),Ref_Kontak!$H$2))</f>
        <v>628999007703</v>
      </c>
      <c r="AA170" t="str">
        <f t="shared" si="12"/>
        <v/>
      </c>
      <c r="AB170" t="str">
        <f t="shared" si="13"/>
        <v/>
      </c>
      <c r="AC170" t="str">
        <f t="shared" si="14"/>
        <v>628999007703</v>
      </c>
      <c r="AD170" t="str">
        <f t="shared" si="16"/>
        <v>Halo+,+Visual+AI+5S+menditeksi+Violation%3A+GUDANGEXP1-LINE+1</v>
      </c>
      <c r="AE170" t="str">
        <f t="shared" si="15"/>
        <v>https://web.whatsapp.com/send/?phone=628999007703&amp;text=Halo+,+Visual+AI+5S+menditeksi+Violation%3A+GUDANGEXP1-LINE+1&amp;type=phone_number&amp;app_absent=0</v>
      </c>
      <c r="AF170" t="b">
        <f>IF(ISNA(VLOOKUP(D170&amp;"-"&amp;AB170, Ref_Kontak!$A:$E, 4, FALSE)), FALSE, TRUE)</f>
        <v>0</v>
      </c>
      <c r="AG170" t="str">
        <f>_xlfn.IFNA(VLOOKUP(Z170,Ref_Kontak!H:H,1,FALSE),"FALSE")</f>
        <v>628999007703</v>
      </c>
      <c r="AH170" t="str">
        <f t="shared" si="17"/>
        <v>GUDANGEXP1-LINE 1</v>
      </c>
      <c r="AI170">
        <f>COUNTIF($AH$1:AH170,AH170)</f>
        <v>169</v>
      </c>
    </row>
    <row r="171" spans="1:35">
      <c r="A171" t="s">
        <v>56</v>
      </c>
      <c r="B171" t="s">
        <v>57</v>
      </c>
      <c r="C171" t="s">
        <v>233</v>
      </c>
      <c r="D171" t="s">
        <v>59</v>
      </c>
      <c r="E171">
        <v>1</v>
      </c>
      <c r="G171" t="s">
        <v>60</v>
      </c>
      <c r="I171" t="s">
        <v>61</v>
      </c>
      <c r="Z171" t="str">
        <f>IFERROR(MID(AA171,FIND("-",H171,1)+1,20),_xlfn.IFNA(VLOOKUP(F171&amp;"-"&amp;AA171,Ref_Kontak!$A:$E,4,FALSE),Ref_Kontak!$H$2))</f>
        <v>628999007703</v>
      </c>
      <c r="AA171" t="str">
        <f t="shared" si="12"/>
        <v/>
      </c>
      <c r="AB171" t="str">
        <f t="shared" si="13"/>
        <v/>
      </c>
      <c r="AC171" t="str">
        <f t="shared" si="14"/>
        <v>628999007703</v>
      </c>
      <c r="AD171" t="str">
        <f t="shared" si="16"/>
        <v>Halo+,+Visual+AI+5S+menditeksi+Violation%3A+GUDANGEXP1-LINE+1</v>
      </c>
      <c r="AE171" t="str">
        <f t="shared" si="15"/>
        <v>https://web.whatsapp.com/send/?phone=628999007703&amp;text=Halo+,+Visual+AI+5S+menditeksi+Violation%3A+GUDANGEXP1-LINE+1&amp;type=phone_number&amp;app_absent=0</v>
      </c>
      <c r="AF171" t="b">
        <f>IF(ISNA(VLOOKUP(D171&amp;"-"&amp;AB171, Ref_Kontak!$A:$E, 4, FALSE)), FALSE, TRUE)</f>
        <v>0</v>
      </c>
      <c r="AG171" t="str">
        <f>_xlfn.IFNA(VLOOKUP(Z171,Ref_Kontak!H:H,1,FALSE),"FALSE")</f>
        <v>628999007703</v>
      </c>
      <c r="AH171" t="str">
        <f t="shared" si="17"/>
        <v>GUDANGEXP1-LINE 1</v>
      </c>
      <c r="AI171">
        <f>COUNTIF($AH$1:AH171,AH171)</f>
        <v>170</v>
      </c>
    </row>
    <row r="172" spans="1:35">
      <c r="A172" t="s">
        <v>56</v>
      </c>
      <c r="B172" t="s">
        <v>57</v>
      </c>
      <c r="C172" t="s">
        <v>234</v>
      </c>
      <c r="D172" t="s">
        <v>59</v>
      </c>
      <c r="E172">
        <v>1</v>
      </c>
      <c r="G172" t="s">
        <v>60</v>
      </c>
      <c r="I172" t="s">
        <v>61</v>
      </c>
      <c r="Z172" t="str">
        <f>IFERROR(MID(AA172,FIND("-",H172,1)+1,20),_xlfn.IFNA(VLOOKUP(F172&amp;"-"&amp;AA172,Ref_Kontak!$A:$E,4,FALSE),Ref_Kontak!$H$2))</f>
        <v>628999007703</v>
      </c>
      <c r="AA172" t="str">
        <f t="shared" si="12"/>
        <v/>
      </c>
      <c r="AB172" t="str">
        <f t="shared" si="13"/>
        <v/>
      </c>
      <c r="AC172" t="str">
        <f t="shared" si="14"/>
        <v>628999007703</v>
      </c>
      <c r="AD172" t="str">
        <f t="shared" si="16"/>
        <v>Halo+,+Visual+AI+5S+menditeksi+Violation%3A+GUDANGEXP1-LINE+1</v>
      </c>
      <c r="AE172" t="str">
        <f t="shared" si="15"/>
        <v>https://web.whatsapp.com/send/?phone=628999007703&amp;text=Halo+,+Visual+AI+5S+menditeksi+Violation%3A+GUDANGEXP1-LINE+1&amp;type=phone_number&amp;app_absent=0</v>
      </c>
      <c r="AF172" t="b">
        <f>IF(ISNA(VLOOKUP(D172&amp;"-"&amp;AB172, Ref_Kontak!$A:$E, 4, FALSE)), FALSE, TRUE)</f>
        <v>0</v>
      </c>
      <c r="AG172" t="str">
        <f>_xlfn.IFNA(VLOOKUP(Z172,Ref_Kontak!H:H,1,FALSE),"FALSE")</f>
        <v>628999007703</v>
      </c>
      <c r="AH172" t="str">
        <f t="shared" si="17"/>
        <v>GUDANGEXP1-LINE 1</v>
      </c>
      <c r="AI172">
        <f>COUNTIF($AH$1:AH172,AH172)</f>
        <v>171</v>
      </c>
    </row>
    <row r="173" spans="1:35">
      <c r="A173" t="s">
        <v>56</v>
      </c>
      <c r="B173" t="s">
        <v>57</v>
      </c>
      <c r="C173" t="s">
        <v>235</v>
      </c>
      <c r="D173" t="s">
        <v>59</v>
      </c>
      <c r="E173">
        <v>1</v>
      </c>
      <c r="G173" t="s">
        <v>60</v>
      </c>
      <c r="I173" t="s">
        <v>61</v>
      </c>
      <c r="Z173" t="str">
        <f>IFERROR(MID(AA173,FIND("-",H173,1)+1,20),_xlfn.IFNA(VLOOKUP(F173&amp;"-"&amp;AA173,Ref_Kontak!$A:$E,4,FALSE),Ref_Kontak!$H$2))</f>
        <v>628999007703</v>
      </c>
      <c r="AA173" t="str">
        <f t="shared" si="12"/>
        <v/>
      </c>
      <c r="AB173" t="str">
        <f t="shared" si="13"/>
        <v/>
      </c>
      <c r="AC173" t="str">
        <f t="shared" si="14"/>
        <v>628999007703</v>
      </c>
      <c r="AD173" t="str">
        <f t="shared" si="16"/>
        <v>Halo+,+Visual+AI+5S+menditeksi+Violation%3A+GUDANGEXP1-LINE+1</v>
      </c>
      <c r="AE173" t="str">
        <f t="shared" si="15"/>
        <v>https://web.whatsapp.com/send/?phone=628999007703&amp;text=Halo+,+Visual+AI+5S+menditeksi+Violation%3A+GUDANGEXP1-LINE+1&amp;type=phone_number&amp;app_absent=0</v>
      </c>
      <c r="AF173" t="b">
        <f>IF(ISNA(VLOOKUP(D173&amp;"-"&amp;AB173, Ref_Kontak!$A:$E, 4, FALSE)), FALSE, TRUE)</f>
        <v>0</v>
      </c>
      <c r="AG173" t="str">
        <f>_xlfn.IFNA(VLOOKUP(Z173,Ref_Kontak!H:H,1,FALSE),"FALSE")</f>
        <v>628999007703</v>
      </c>
      <c r="AH173" t="str">
        <f t="shared" si="17"/>
        <v>GUDANGEXP1-LINE 1</v>
      </c>
      <c r="AI173">
        <f>COUNTIF($AH$1:AH173,AH173)</f>
        <v>172</v>
      </c>
    </row>
    <row r="174" spans="1:35">
      <c r="A174" t="s">
        <v>56</v>
      </c>
      <c r="B174" t="s">
        <v>57</v>
      </c>
      <c r="C174" t="s">
        <v>236</v>
      </c>
      <c r="D174" t="s">
        <v>59</v>
      </c>
      <c r="E174">
        <v>1</v>
      </c>
      <c r="G174" t="s">
        <v>60</v>
      </c>
      <c r="I174" t="s">
        <v>61</v>
      </c>
      <c r="Z174" t="str">
        <f>IFERROR(MID(AA174,FIND("-",H174,1)+1,20),_xlfn.IFNA(VLOOKUP(F174&amp;"-"&amp;AA174,Ref_Kontak!$A:$E,4,FALSE),Ref_Kontak!$H$2))</f>
        <v>628999007703</v>
      </c>
      <c r="AA174" t="str">
        <f t="shared" si="12"/>
        <v/>
      </c>
      <c r="AB174" t="str">
        <f t="shared" si="13"/>
        <v/>
      </c>
      <c r="AC174" t="str">
        <f t="shared" si="14"/>
        <v>628999007703</v>
      </c>
      <c r="AD174" t="str">
        <f t="shared" si="16"/>
        <v>Halo+,+Visual+AI+5S+menditeksi+Violation%3A+GUDANGEXP1-LINE+1</v>
      </c>
      <c r="AE174" t="str">
        <f t="shared" si="15"/>
        <v>https://web.whatsapp.com/send/?phone=628999007703&amp;text=Halo+,+Visual+AI+5S+menditeksi+Violation%3A+GUDANGEXP1-LINE+1&amp;type=phone_number&amp;app_absent=0</v>
      </c>
      <c r="AF174" t="b">
        <f>IF(ISNA(VLOOKUP(D174&amp;"-"&amp;AB174, Ref_Kontak!$A:$E, 4, FALSE)), FALSE, TRUE)</f>
        <v>0</v>
      </c>
      <c r="AG174" t="str">
        <f>_xlfn.IFNA(VLOOKUP(Z174,Ref_Kontak!H:H,1,FALSE),"FALSE")</f>
        <v>628999007703</v>
      </c>
      <c r="AH174" t="str">
        <f t="shared" si="17"/>
        <v>GUDANGEXP1-LINE 1</v>
      </c>
      <c r="AI174">
        <f>COUNTIF($AH$1:AH174,AH174)</f>
        <v>173</v>
      </c>
    </row>
    <row r="175" spans="1:35">
      <c r="A175" t="s">
        <v>56</v>
      </c>
      <c r="B175" t="s">
        <v>57</v>
      </c>
      <c r="C175" t="s">
        <v>237</v>
      </c>
      <c r="D175" t="s">
        <v>59</v>
      </c>
      <c r="E175">
        <v>1</v>
      </c>
      <c r="G175" t="s">
        <v>60</v>
      </c>
      <c r="I175" t="s">
        <v>61</v>
      </c>
      <c r="Z175" t="str">
        <f>IFERROR(MID(AA175,FIND("-",H175,1)+1,20),_xlfn.IFNA(VLOOKUP(F175&amp;"-"&amp;AA175,Ref_Kontak!$A:$E,4,FALSE),Ref_Kontak!$H$2))</f>
        <v>628999007703</v>
      </c>
      <c r="AA175" t="str">
        <f t="shared" si="12"/>
        <v/>
      </c>
      <c r="AB175" t="str">
        <f t="shared" si="13"/>
        <v/>
      </c>
      <c r="AC175" t="str">
        <f t="shared" si="14"/>
        <v>628999007703</v>
      </c>
      <c r="AD175" t="str">
        <f t="shared" si="16"/>
        <v>Halo+,+Visual+AI+5S+menditeksi+Violation%3A+GUDANGEXP1-LINE+1</v>
      </c>
      <c r="AE175" t="str">
        <f t="shared" si="15"/>
        <v>https://web.whatsapp.com/send/?phone=628999007703&amp;text=Halo+,+Visual+AI+5S+menditeksi+Violation%3A+GUDANGEXP1-LINE+1&amp;type=phone_number&amp;app_absent=0</v>
      </c>
      <c r="AF175" t="b">
        <f>IF(ISNA(VLOOKUP(D175&amp;"-"&amp;AB175, Ref_Kontak!$A:$E, 4, FALSE)), FALSE, TRUE)</f>
        <v>0</v>
      </c>
      <c r="AG175" t="str">
        <f>_xlfn.IFNA(VLOOKUP(Z175,Ref_Kontak!H:H,1,FALSE),"FALSE")</f>
        <v>628999007703</v>
      </c>
      <c r="AH175" t="str">
        <f t="shared" si="17"/>
        <v>GUDANGEXP1-LINE 1</v>
      </c>
      <c r="AI175">
        <f>COUNTIF($AH$1:AH175,AH175)</f>
        <v>174</v>
      </c>
    </row>
    <row r="176" spans="1:35">
      <c r="A176" t="s">
        <v>56</v>
      </c>
      <c r="B176" t="s">
        <v>57</v>
      </c>
      <c r="C176" t="s">
        <v>238</v>
      </c>
      <c r="D176" t="s">
        <v>59</v>
      </c>
      <c r="E176">
        <v>1</v>
      </c>
      <c r="G176" t="s">
        <v>60</v>
      </c>
      <c r="I176" t="s">
        <v>61</v>
      </c>
      <c r="Z176" t="str">
        <f>IFERROR(MID(AA176,FIND("-",H176,1)+1,20),_xlfn.IFNA(VLOOKUP(F176&amp;"-"&amp;AA176,Ref_Kontak!$A:$E,4,FALSE),Ref_Kontak!$H$2))</f>
        <v>628999007703</v>
      </c>
      <c r="AA176" t="str">
        <f t="shared" si="12"/>
        <v/>
      </c>
      <c r="AB176" t="str">
        <f t="shared" si="13"/>
        <v/>
      </c>
      <c r="AC176" t="str">
        <f t="shared" si="14"/>
        <v>628999007703</v>
      </c>
      <c r="AD176" t="str">
        <f t="shared" si="16"/>
        <v>Halo+,+Visual+AI+5S+menditeksi+Violation%3A+GUDANGEXP1-LINE+1</v>
      </c>
      <c r="AE176" t="str">
        <f t="shared" si="15"/>
        <v>https://web.whatsapp.com/send/?phone=628999007703&amp;text=Halo+,+Visual+AI+5S+menditeksi+Violation%3A+GUDANGEXP1-LINE+1&amp;type=phone_number&amp;app_absent=0</v>
      </c>
      <c r="AF176" t="b">
        <f>IF(ISNA(VLOOKUP(D176&amp;"-"&amp;AB176, Ref_Kontak!$A:$E, 4, FALSE)), FALSE, TRUE)</f>
        <v>0</v>
      </c>
      <c r="AG176" t="str">
        <f>_xlfn.IFNA(VLOOKUP(Z176,Ref_Kontak!H:H,1,FALSE),"FALSE")</f>
        <v>628999007703</v>
      </c>
      <c r="AH176" t="str">
        <f t="shared" si="17"/>
        <v>GUDANGEXP1-LINE 1</v>
      </c>
      <c r="AI176">
        <f>COUNTIF($AH$1:AH176,AH176)</f>
        <v>175</v>
      </c>
    </row>
    <row r="177" spans="1:35">
      <c r="A177" t="s">
        <v>56</v>
      </c>
      <c r="B177" t="s">
        <v>57</v>
      </c>
      <c r="C177" t="s">
        <v>239</v>
      </c>
      <c r="D177" t="s">
        <v>59</v>
      </c>
      <c r="E177">
        <v>1</v>
      </c>
      <c r="G177" t="s">
        <v>60</v>
      </c>
      <c r="I177" t="s">
        <v>61</v>
      </c>
      <c r="Z177" t="str">
        <f>IFERROR(MID(AA177,FIND("-",H177,1)+1,20),_xlfn.IFNA(VLOOKUP(F177&amp;"-"&amp;AA177,Ref_Kontak!$A:$E,4,FALSE),Ref_Kontak!$H$2))</f>
        <v>628999007703</v>
      </c>
      <c r="AA177" t="str">
        <f t="shared" si="12"/>
        <v/>
      </c>
      <c r="AB177" t="str">
        <f t="shared" si="13"/>
        <v/>
      </c>
      <c r="AC177" t="str">
        <f t="shared" si="14"/>
        <v>628999007703</v>
      </c>
      <c r="AD177" t="str">
        <f t="shared" si="16"/>
        <v>Halo+,+Visual+AI+5S+menditeksi+Violation%3A+GUDANGEXP1-LINE+1</v>
      </c>
      <c r="AE177" t="str">
        <f t="shared" si="15"/>
        <v>https://web.whatsapp.com/send/?phone=628999007703&amp;text=Halo+,+Visual+AI+5S+menditeksi+Violation%3A+GUDANGEXP1-LINE+1&amp;type=phone_number&amp;app_absent=0</v>
      </c>
      <c r="AF177" t="b">
        <f>IF(ISNA(VLOOKUP(D177&amp;"-"&amp;AB177, Ref_Kontak!$A:$E, 4, FALSE)), FALSE, TRUE)</f>
        <v>0</v>
      </c>
      <c r="AG177" t="str">
        <f>_xlfn.IFNA(VLOOKUP(Z177,Ref_Kontak!H:H,1,FALSE),"FALSE")</f>
        <v>628999007703</v>
      </c>
      <c r="AH177" t="str">
        <f t="shared" si="17"/>
        <v>GUDANGEXP1-LINE 1</v>
      </c>
      <c r="AI177">
        <f>COUNTIF($AH$1:AH177,AH177)</f>
        <v>176</v>
      </c>
    </row>
    <row r="178" spans="1:35">
      <c r="A178" t="s">
        <v>56</v>
      </c>
      <c r="B178" t="s">
        <v>57</v>
      </c>
      <c r="C178" t="s">
        <v>240</v>
      </c>
      <c r="D178" t="s">
        <v>59</v>
      </c>
      <c r="E178">
        <v>1</v>
      </c>
      <c r="G178" t="s">
        <v>60</v>
      </c>
      <c r="I178" t="s">
        <v>61</v>
      </c>
      <c r="Z178" t="str">
        <f>IFERROR(MID(AA178,FIND("-",H178,1)+1,20),_xlfn.IFNA(VLOOKUP(F178&amp;"-"&amp;AA178,Ref_Kontak!$A:$E,4,FALSE),Ref_Kontak!$H$2))</f>
        <v>628999007703</v>
      </c>
      <c r="AA178" t="str">
        <f t="shared" si="12"/>
        <v/>
      </c>
      <c r="AB178" t="str">
        <f t="shared" si="13"/>
        <v/>
      </c>
      <c r="AC178" t="str">
        <f t="shared" si="14"/>
        <v>628999007703</v>
      </c>
      <c r="AD178" t="str">
        <f t="shared" si="16"/>
        <v>Halo+,+Visual+AI+5S+menditeksi+Violation%3A+GUDANGEXP1-LINE+1</v>
      </c>
      <c r="AE178" t="str">
        <f t="shared" si="15"/>
        <v>https://web.whatsapp.com/send/?phone=628999007703&amp;text=Halo+,+Visual+AI+5S+menditeksi+Violation%3A+GUDANGEXP1-LINE+1&amp;type=phone_number&amp;app_absent=0</v>
      </c>
      <c r="AF178" t="b">
        <f>IF(ISNA(VLOOKUP(D178&amp;"-"&amp;AB178, Ref_Kontak!$A:$E, 4, FALSE)), FALSE, TRUE)</f>
        <v>0</v>
      </c>
      <c r="AG178" t="str">
        <f>_xlfn.IFNA(VLOOKUP(Z178,Ref_Kontak!H:H,1,FALSE),"FALSE")</f>
        <v>628999007703</v>
      </c>
      <c r="AH178" t="str">
        <f t="shared" si="17"/>
        <v>GUDANGEXP1-LINE 1</v>
      </c>
      <c r="AI178">
        <f>COUNTIF($AH$1:AH178,AH178)</f>
        <v>177</v>
      </c>
    </row>
    <row r="179" spans="1:35">
      <c r="A179" t="s">
        <v>56</v>
      </c>
      <c r="B179" t="s">
        <v>57</v>
      </c>
      <c r="C179" t="s">
        <v>241</v>
      </c>
      <c r="D179" t="s">
        <v>59</v>
      </c>
      <c r="E179">
        <v>1</v>
      </c>
      <c r="G179" t="s">
        <v>60</v>
      </c>
      <c r="I179" t="s">
        <v>61</v>
      </c>
      <c r="Z179" t="str">
        <f>IFERROR(MID(AA179,FIND("-",H179,1)+1,20),_xlfn.IFNA(VLOOKUP(F179&amp;"-"&amp;AA179,Ref_Kontak!$A:$E,4,FALSE),Ref_Kontak!$H$2))</f>
        <v>628999007703</v>
      </c>
      <c r="AA179" t="str">
        <f t="shared" si="12"/>
        <v/>
      </c>
      <c r="AB179" t="str">
        <f t="shared" si="13"/>
        <v/>
      </c>
      <c r="AC179" t="str">
        <f t="shared" si="14"/>
        <v>628999007703</v>
      </c>
      <c r="AD179" t="str">
        <f t="shared" si="16"/>
        <v>Halo+,+Visual+AI+5S+menditeksi+Violation%3A+GUDANGEXP1-LINE+1</v>
      </c>
      <c r="AE179" t="str">
        <f t="shared" si="15"/>
        <v>https://web.whatsapp.com/send/?phone=628999007703&amp;text=Halo+,+Visual+AI+5S+menditeksi+Violation%3A+GUDANGEXP1-LINE+1&amp;type=phone_number&amp;app_absent=0</v>
      </c>
      <c r="AF179" t="b">
        <f>IF(ISNA(VLOOKUP(D179&amp;"-"&amp;AB179, Ref_Kontak!$A:$E, 4, FALSE)), FALSE, TRUE)</f>
        <v>0</v>
      </c>
      <c r="AG179" t="str">
        <f>_xlfn.IFNA(VLOOKUP(Z179,Ref_Kontak!H:H,1,FALSE),"FALSE")</f>
        <v>628999007703</v>
      </c>
      <c r="AH179" t="str">
        <f t="shared" si="17"/>
        <v>GUDANGEXP1-LINE 1</v>
      </c>
      <c r="AI179">
        <f>COUNTIF($AH$1:AH179,AH179)</f>
        <v>178</v>
      </c>
    </row>
    <row r="180" spans="1:35">
      <c r="A180" t="s">
        <v>56</v>
      </c>
      <c r="B180" t="s">
        <v>57</v>
      </c>
      <c r="C180" t="s">
        <v>242</v>
      </c>
      <c r="D180" t="s">
        <v>59</v>
      </c>
      <c r="E180">
        <v>1</v>
      </c>
      <c r="G180" t="s">
        <v>60</v>
      </c>
      <c r="I180" t="s">
        <v>61</v>
      </c>
      <c r="Z180" t="str">
        <f>IFERROR(MID(AA180,FIND("-",H180,1)+1,20),_xlfn.IFNA(VLOOKUP(F180&amp;"-"&amp;AA180,Ref_Kontak!$A:$E,4,FALSE),Ref_Kontak!$H$2))</f>
        <v>628999007703</v>
      </c>
      <c r="AA180" t="str">
        <f t="shared" si="12"/>
        <v/>
      </c>
      <c r="AB180" t="str">
        <f t="shared" si="13"/>
        <v/>
      </c>
      <c r="AC180" t="str">
        <f t="shared" si="14"/>
        <v>628999007703</v>
      </c>
      <c r="AD180" t="str">
        <f t="shared" si="16"/>
        <v>Halo+,+Visual+AI+5S+menditeksi+Violation%3A+GUDANGEXP1-LINE+1</v>
      </c>
      <c r="AE180" t="str">
        <f t="shared" si="15"/>
        <v>https://web.whatsapp.com/send/?phone=628999007703&amp;text=Halo+,+Visual+AI+5S+menditeksi+Violation%3A+GUDANGEXP1-LINE+1&amp;type=phone_number&amp;app_absent=0</v>
      </c>
      <c r="AF180" t="b">
        <f>IF(ISNA(VLOOKUP(D180&amp;"-"&amp;AB180, Ref_Kontak!$A:$E, 4, FALSE)), FALSE, TRUE)</f>
        <v>0</v>
      </c>
      <c r="AG180" t="str">
        <f>_xlfn.IFNA(VLOOKUP(Z180,Ref_Kontak!H:H,1,FALSE),"FALSE")</f>
        <v>628999007703</v>
      </c>
      <c r="AH180" t="str">
        <f t="shared" si="17"/>
        <v>GUDANGEXP1-LINE 1</v>
      </c>
      <c r="AI180">
        <f>COUNTIF($AH$1:AH180,AH180)</f>
        <v>179</v>
      </c>
    </row>
    <row r="181" spans="1:35">
      <c r="A181" t="s">
        <v>56</v>
      </c>
      <c r="B181" t="s">
        <v>57</v>
      </c>
      <c r="C181" t="s">
        <v>243</v>
      </c>
      <c r="D181" t="s">
        <v>59</v>
      </c>
      <c r="E181">
        <v>1</v>
      </c>
      <c r="G181" t="s">
        <v>60</v>
      </c>
      <c r="I181" t="s">
        <v>61</v>
      </c>
      <c r="Z181" t="str">
        <f>IFERROR(MID(AA181,FIND("-",H181,1)+1,20),_xlfn.IFNA(VLOOKUP(F181&amp;"-"&amp;AA181,Ref_Kontak!$A:$E,4,FALSE),Ref_Kontak!$H$2))</f>
        <v>628999007703</v>
      </c>
      <c r="AA181" t="str">
        <f t="shared" si="12"/>
        <v/>
      </c>
      <c r="AB181" t="str">
        <f t="shared" si="13"/>
        <v/>
      </c>
      <c r="AC181" t="str">
        <f t="shared" si="14"/>
        <v>628999007703</v>
      </c>
      <c r="AD181" t="str">
        <f t="shared" si="16"/>
        <v>Halo+,+Visual+AI+5S+menditeksi+Violation%3A+GUDANGEXP1-LINE+1</v>
      </c>
      <c r="AE181" t="str">
        <f t="shared" si="15"/>
        <v>https://web.whatsapp.com/send/?phone=628999007703&amp;text=Halo+,+Visual+AI+5S+menditeksi+Violation%3A+GUDANGEXP1-LINE+1&amp;type=phone_number&amp;app_absent=0</v>
      </c>
      <c r="AF181" t="b">
        <f>IF(ISNA(VLOOKUP(D181&amp;"-"&amp;AB181, Ref_Kontak!$A:$E, 4, FALSE)), FALSE, TRUE)</f>
        <v>0</v>
      </c>
      <c r="AG181" t="str">
        <f>_xlfn.IFNA(VLOOKUP(Z181,Ref_Kontak!H:H,1,FALSE),"FALSE")</f>
        <v>628999007703</v>
      </c>
      <c r="AH181" t="str">
        <f t="shared" si="17"/>
        <v>GUDANGEXP1-LINE 1</v>
      </c>
      <c r="AI181">
        <f>COUNTIF($AH$1:AH181,AH181)</f>
        <v>180</v>
      </c>
    </row>
    <row r="182" spans="1:35">
      <c r="A182" t="s">
        <v>56</v>
      </c>
      <c r="B182" t="s">
        <v>57</v>
      </c>
      <c r="C182" t="s">
        <v>244</v>
      </c>
      <c r="D182" t="s">
        <v>59</v>
      </c>
      <c r="E182">
        <v>1</v>
      </c>
      <c r="G182" t="s">
        <v>60</v>
      </c>
      <c r="I182" t="s">
        <v>61</v>
      </c>
      <c r="Z182" t="str">
        <f>IFERROR(MID(AA182,FIND("-",H182,1)+1,20),_xlfn.IFNA(VLOOKUP(F182&amp;"-"&amp;AA182,Ref_Kontak!$A:$E,4,FALSE),Ref_Kontak!$H$2))</f>
        <v>628999007703</v>
      </c>
      <c r="AA182" t="str">
        <f t="shared" si="12"/>
        <v/>
      </c>
      <c r="AB182" t="str">
        <f t="shared" si="13"/>
        <v/>
      </c>
      <c r="AC182" t="str">
        <f t="shared" si="14"/>
        <v>628999007703</v>
      </c>
      <c r="AD182" t="str">
        <f t="shared" si="16"/>
        <v>Halo+,+Visual+AI+5S+menditeksi+Violation%3A+GUDANGEXP1-LINE+1</v>
      </c>
      <c r="AE182" t="str">
        <f t="shared" si="15"/>
        <v>https://web.whatsapp.com/send/?phone=628999007703&amp;text=Halo+,+Visual+AI+5S+menditeksi+Violation%3A+GUDANGEXP1-LINE+1&amp;type=phone_number&amp;app_absent=0</v>
      </c>
      <c r="AF182" t="b">
        <f>IF(ISNA(VLOOKUP(D182&amp;"-"&amp;AB182, Ref_Kontak!$A:$E, 4, FALSE)), FALSE, TRUE)</f>
        <v>0</v>
      </c>
      <c r="AG182" t="str">
        <f>_xlfn.IFNA(VLOOKUP(Z182,Ref_Kontak!H:H,1,FALSE),"FALSE")</f>
        <v>628999007703</v>
      </c>
      <c r="AH182" t="str">
        <f t="shared" si="17"/>
        <v>GUDANGEXP1-LINE 1</v>
      </c>
      <c r="AI182">
        <f>COUNTIF($AH$1:AH182,AH182)</f>
        <v>181</v>
      </c>
    </row>
    <row r="183" spans="1:35">
      <c r="A183" t="s">
        <v>56</v>
      </c>
      <c r="B183" t="s">
        <v>57</v>
      </c>
      <c r="C183" t="s">
        <v>245</v>
      </c>
      <c r="D183" t="s">
        <v>59</v>
      </c>
      <c r="E183">
        <v>1</v>
      </c>
      <c r="G183" t="s">
        <v>60</v>
      </c>
      <c r="I183" t="s">
        <v>61</v>
      </c>
      <c r="Z183" t="str">
        <f>IFERROR(MID(AA183,FIND("-",H183,1)+1,20),_xlfn.IFNA(VLOOKUP(F183&amp;"-"&amp;AA183,Ref_Kontak!$A:$E,4,FALSE),Ref_Kontak!$H$2))</f>
        <v>628999007703</v>
      </c>
      <c r="AA183" t="str">
        <f t="shared" si="12"/>
        <v/>
      </c>
      <c r="AB183" t="str">
        <f t="shared" si="13"/>
        <v/>
      </c>
      <c r="AC183" t="str">
        <f t="shared" si="14"/>
        <v>628999007703</v>
      </c>
      <c r="AD183" t="str">
        <f t="shared" si="16"/>
        <v>Halo+,+Visual+AI+5S+menditeksi+Violation%3A+GUDANGEXP1-LINE+1</v>
      </c>
      <c r="AE183" t="str">
        <f t="shared" si="15"/>
        <v>https://web.whatsapp.com/send/?phone=628999007703&amp;text=Halo+,+Visual+AI+5S+menditeksi+Violation%3A+GUDANGEXP1-LINE+1&amp;type=phone_number&amp;app_absent=0</v>
      </c>
      <c r="AF183" t="b">
        <f>IF(ISNA(VLOOKUP(D183&amp;"-"&amp;AB183, Ref_Kontak!$A:$E, 4, FALSE)), FALSE, TRUE)</f>
        <v>0</v>
      </c>
      <c r="AG183" t="str">
        <f>_xlfn.IFNA(VLOOKUP(Z183,Ref_Kontak!H:H,1,FALSE),"FALSE")</f>
        <v>628999007703</v>
      </c>
      <c r="AH183" t="str">
        <f t="shared" si="17"/>
        <v>GUDANGEXP1-LINE 1</v>
      </c>
      <c r="AI183">
        <f>COUNTIF($AH$1:AH183,AH183)</f>
        <v>182</v>
      </c>
    </row>
    <row r="184" spans="1:35">
      <c r="A184" t="s">
        <v>56</v>
      </c>
      <c r="B184" t="s">
        <v>57</v>
      </c>
      <c r="C184" t="s">
        <v>246</v>
      </c>
      <c r="D184" t="s">
        <v>59</v>
      </c>
      <c r="E184">
        <v>1</v>
      </c>
      <c r="G184" t="s">
        <v>60</v>
      </c>
      <c r="I184" t="s">
        <v>61</v>
      </c>
      <c r="Z184" t="str">
        <f>IFERROR(MID(AA184,FIND("-",H184,1)+1,20),_xlfn.IFNA(VLOOKUP(F184&amp;"-"&amp;AA184,Ref_Kontak!$A:$E,4,FALSE),Ref_Kontak!$H$2))</f>
        <v>628999007703</v>
      </c>
      <c r="AA184" t="str">
        <f t="shared" si="12"/>
        <v/>
      </c>
      <c r="AB184" t="str">
        <f t="shared" si="13"/>
        <v/>
      </c>
      <c r="AC184" t="str">
        <f t="shared" si="14"/>
        <v>628999007703</v>
      </c>
      <c r="AD184" t="str">
        <f t="shared" si="16"/>
        <v>Halo+,+Visual+AI+5S+menditeksi+Violation%3A+GUDANGEXP1-LINE+1</v>
      </c>
      <c r="AE184" t="str">
        <f t="shared" si="15"/>
        <v>https://web.whatsapp.com/send/?phone=628999007703&amp;text=Halo+,+Visual+AI+5S+menditeksi+Violation%3A+GUDANGEXP1-LINE+1&amp;type=phone_number&amp;app_absent=0</v>
      </c>
      <c r="AF184" t="b">
        <f>IF(ISNA(VLOOKUP(D184&amp;"-"&amp;AB184, Ref_Kontak!$A:$E, 4, FALSE)), FALSE, TRUE)</f>
        <v>0</v>
      </c>
      <c r="AG184" t="str">
        <f>_xlfn.IFNA(VLOOKUP(Z184,Ref_Kontak!H:H,1,FALSE),"FALSE")</f>
        <v>628999007703</v>
      </c>
      <c r="AH184" t="str">
        <f t="shared" si="17"/>
        <v>GUDANGEXP1-LINE 1</v>
      </c>
      <c r="AI184">
        <f>COUNTIF($AH$1:AH184,AH184)</f>
        <v>183</v>
      </c>
    </row>
    <row r="185" spans="1:35">
      <c r="A185" t="s">
        <v>56</v>
      </c>
      <c r="B185" t="s">
        <v>57</v>
      </c>
      <c r="C185" t="s">
        <v>247</v>
      </c>
      <c r="D185" t="s">
        <v>59</v>
      </c>
      <c r="E185">
        <v>1</v>
      </c>
      <c r="G185" t="s">
        <v>60</v>
      </c>
      <c r="I185" t="s">
        <v>61</v>
      </c>
      <c r="Z185" t="str">
        <f>IFERROR(MID(AA185,FIND("-",H185,1)+1,20),_xlfn.IFNA(VLOOKUP(F185&amp;"-"&amp;AA185,Ref_Kontak!$A:$E,4,FALSE),Ref_Kontak!$H$2))</f>
        <v>628999007703</v>
      </c>
      <c r="AA185" t="str">
        <f t="shared" si="12"/>
        <v/>
      </c>
      <c r="AB185" t="str">
        <f t="shared" si="13"/>
        <v/>
      </c>
      <c r="AC185" t="str">
        <f t="shared" si="14"/>
        <v>628999007703</v>
      </c>
      <c r="AD185" t="str">
        <f t="shared" si="16"/>
        <v>Halo+,+Visual+AI+5S+menditeksi+Violation%3A+GUDANGEXP1-LINE+1</v>
      </c>
      <c r="AE185" t="str">
        <f t="shared" si="15"/>
        <v>https://web.whatsapp.com/send/?phone=628999007703&amp;text=Halo+,+Visual+AI+5S+menditeksi+Violation%3A+GUDANGEXP1-LINE+1&amp;type=phone_number&amp;app_absent=0</v>
      </c>
      <c r="AF185" t="b">
        <f>IF(ISNA(VLOOKUP(D185&amp;"-"&amp;AB185, Ref_Kontak!$A:$E, 4, FALSE)), FALSE, TRUE)</f>
        <v>0</v>
      </c>
      <c r="AG185" t="str">
        <f>_xlfn.IFNA(VLOOKUP(Z185,Ref_Kontak!H:H,1,FALSE),"FALSE")</f>
        <v>628999007703</v>
      </c>
      <c r="AH185" t="str">
        <f t="shared" si="17"/>
        <v>GUDANGEXP1-LINE 1</v>
      </c>
      <c r="AI185">
        <f>COUNTIF($AH$1:AH185,AH185)</f>
        <v>184</v>
      </c>
    </row>
    <row r="186" spans="1:35">
      <c r="A186" t="s">
        <v>56</v>
      </c>
      <c r="B186" t="s">
        <v>57</v>
      </c>
      <c r="C186" t="s">
        <v>248</v>
      </c>
      <c r="D186" t="s">
        <v>59</v>
      </c>
      <c r="E186">
        <v>1</v>
      </c>
      <c r="G186" t="s">
        <v>60</v>
      </c>
      <c r="I186" t="s">
        <v>61</v>
      </c>
      <c r="Z186" t="str">
        <f>IFERROR(MID(AA186,FIND("-",H186,1)+1,20),_xlfn.IFNA(VLOOKUP(F186&amp;"-"&amp;AA186,Ref_Kontak!$A:$E,4,FALSE),Ref_Kontak!$H$2))</f>
        <v>628999007703</v>
      </c>
      <c r="AA186" t="str">
        <f t="shared" si="12"/>
        <v/>
      </c>
      <c r="AB186" t="str">
        <f t="shared" si="13"/>
        <v/>
      </c>
      <c r="AC186" t="str">
        <f t="shared" si="14"/>
        <v>628999007703</v>
      </c>
      <c r="AD186" t="str">
        <f t="shared" si="16"/>
        <v>Halo+,+Visual+AI+5S+menditeksi+Violation%3A+GUDANGEXP1-LINE+1</v>
      </c>
      <c r="AE186" t="str">
        <f t="shared" si="15"/>
        <v>https://web.whatsapp.com/send/?phone=628999007703&amp;text=Halo+,+Visual+AI+5S+menditeksi+Violation%3A+GUDANGEXP1-LINE+1&amp;type=phone_number&amp;app_absent=0</v>
      </c>
      <c r="AF186" t="b">
        <f>IF(ISNA(VLOOKUP(D186&amp;"-"&amp;AB186, Ref_Kontak!$A:$E, 4, FALSE)), FALSE, TRUE)</f>
        <v>0</v>
      </c>
      <c r="AG186" t="str">
        <f>_xlfn.IFNA(VLOOKUP(Z186,Ref_Kontak!H:H,1,FALSE),"FALSE")</f>
        <v>628999007703</v>
      </c>
      <c r="AH186" t="str">
        <f t="shared" si="17"/>
        <v>GUDANGEXP1-LINE 1</v>
      </c>
      <c r="AI186">
        <f>COUNTIF($AH$1:AH186,AH186)</f>
        <v>185</v>
      </c>
    </row>
    <row r="187" spans="1:35">
      <c r="A187" t="s">
        <v>56</v>
      </c>
      <c r="B187" t="s">
        <v>57</v>
      </c>
      <c r="C187" t="s">
        <v>249</v>
      </c>
      <c r="D187" t="s">
        <v>59</v>
      </c>
      <c r="E187">
        <v>1</v>
      </c>
      <c r="G187" t="s">
        <v>60</v>
      </c>
      <c r="I187" t="s">
        <v>61</v>
      </c>
      <c r="Z187" t="str">
        <f>IFERROR(MID(AA187,FIND("-",H187,1)+1,20),_xlfn.IFNA(VLOOKUP(F187&amp;"-"&amp;AA187,Ref_Kontak!$A:$E,4,FALSE),Ref_Kontak!$H$2))</f>
        <v>628999007703</v>
      </c>
      <c r="AA187" t="str">
        <f t="shared" si="12"/>
        <v/>
      </c>
      <c r="AB187" t="str">
        <f t="shared" si="13"/>
        <v/>
      </c>
      <c r="AC187" t="str">
        <f t="shared" si="14"/>
        <v>628999007703</v>
      </c>
      <c r="AD187" t="str">
        <f t="shared" si="16"/>
        <v>Halo+,+Visual+AI+5S+menditeksi+Violation%3A+GUDANGEXP1-LINE+1</v>
      </c>
      <c r="AE187" t="str">
        <f t="shared" si="15"/>
        <v>https://web.whatsapp.com/send/?phone=628999007703&amp;text=Halo+,+Visual+AI+5S+menditeksi+Violation%3A+GUDANGEXP1-LINE+1&amp;type=phone_number&amp;app_absent=0</v>
      </c>
      <c r="AF187" t="b">
        <f>IF(ISNA(VLOOKUP(D187&amp;"-"&amp;AB187, Ref_Kontak!$A:$E, 4, FALSE)), FALSE, TRUE)</f>
        <v>0</v>
      </c>
      <c r="AG187" t="str">
        <f>_xlfn.IFNA(VLOOKUP(Z187,Ref_Kontak!H:H,1,FALSE),"FALSE")</f>
        <v>628999007703</v>
      </c>
      <c r="AH187" t="str">
        <f t="shared" si="17"/>
        <v>GUDANGEXP1-LINE 1</v>
      </c>
      <c r="AI187">
        <f>COUNTIF($AH$1:AH187,AH187)</f>
        <v>186</v>
      </c>
    </row>
    <row r="188" spans="1:35">
      <c r="A188" t="s">
        <v>56</v>
      </c>
      <c r="B188" t="s">
        <v>57</v>
      </c>
      <c r="C188" t="s">
        <v>250</v>
      </c>
      <c r="D188" t="s">
        <v>59</v>
      </c>
      <c r="E188">
        <v>1</v>
      </c>
      <c r="G188" t="s">
        <v>60</v>
      </c>
      <c r="I188" t="s">
        <v>61</v>
      </c>
      <c r="Z188" t="str">
        <f>IFERROR(MID(AA188,FIND("-",H188,1)+1,20),_xlfn.IFNA(VLOOKUP(F188&amp;"-"&amp;AA188,Ref_Kontak!$A:$E,4,FALSE),Ref_Kontak!$H$2))</f>
        <v>628999007703</v>
      </c>
      <c r="AA188" t="str">
        <f t="shared" si="12"/>
        <v/>
      </c>
      <c r="AB188" t="str">
        <f t="shared" si="13"/>
        <v/>
      </c>
      <c r="AC188" t="str">
        <f t="shared" si="14"/>
        <v>628999007703</v>
      </c>
      <c r="AD188" t="str">
        <f t="shared" si="16"/>
        <v>Halo+,+Visual+AI+5S+menditeksi+Violation%3A+GUDANGEXP1-LINE+1</v>
      </c>
      <c r="AE188" t="str">
        <f t="shared" si="15"/>
        <v>https://web.whatsapp.com/send/?phone=628999007703&amp;text=Halo+,+Visual+AI+5S+menditeksi+Violation%3A+GUDANGEXP1-LINE+1&amp;type=phone_number&amp;app_absent=0</v>
      </c>
      <c r="AF188" t="b">
        <f>IF(ISNA(VLOOKUP(D188&amp;"-"&amp;AB188, Ref_Kontak!$A:$E, 4, FALSE)), FALSE, TRUE)</f>
        <v>0</v>
      </c>
      <c r="AG188" t="str">
        <f>_xlfn.IFNA(VLOOKUP(Z188,Ref_Kontak!H:H,1,FALSE),"FALSE")</f>
        <v>628999007703</v>
      </c>
      <c r="AH188" t="str">
        <f t="shared" si="17"/>
        <v>GUDANGEXP1-LINE 1</v>
      </c>
      <c r="AI188">
        <f>COUNTIF($AH$1:AH188,AH188)</f>
        <v>187</v>
      </c>
    </row>
    <row r="189" spans="1:35">
      <c r="A189" t="s">
        <v>56</v>
      </c>
      <c r="B189" t="s">
        <v>57</v>
      </c>
      <c r="C189" t="s">
        <v>251</v>
      </c>
      <c r="D189" t="s">
        <v>59</v>
      </c>
      <c r="E189">
        <v>1</v>
      </c>
      <c r="G189" t="s">
        <v>60</v>
      </c>
      <c r="I189" t="s">
        <v>61</v>
      </c>
      <c r="Z189" t="str">
        <f>IFERROR(MID(AA189,FIND("-",H189,1)+1,20),_xlfn.IFNA(VLOOKUP(F189&amp;"-"&amp;AA189,Ref_Kontak!$A:$E,4,FALSE),Ref_Kontak!$H$2))</f>
        <v>628999007703</v>
      </c>
      <c r="AA189" t="str">
        <f t="shared" si="12"/>
        <v/>
      </c>
      <c r="AB189" t="str">
        <f t="shared" si="13"/>
        <v/>
      </c>
      <c r="AC189" t="str">
        <f t="shared" si="14"/>
        <v>628999007703</v>
      </c>
      <c r="AD189" t="str">
        <f t="shared" si="16"/>
        <v>Halo+,+Visual+AI+5S+menditeksi+Violation%3A+GUDANGEXP1-LINE+1</v>
      </c>
      <c r="AE189" t="str">
        <f t="shared" si="15"/>
        <v>https://web.whatsapp.com/send/?phone=628999007703&amp;text=Halo+,+Visual+AI+5S+menditeksi+Violation%3A+GUDANGEXP1-LINE+1&amp;type=phone_number&amp;app_absent=0</v>
      </c>
      <c r="AF189" t="b">
        <f>IF(ISNA(VLOOKUP(D189&amp;"-"&amp;AB189, Ref_Kontak!$A:$E, 4, FALSE)), FALSE, TRUE)</f>
        <v>0</v>
      </c>
      <c r="AG189" t="str">
        <f>_xlfn.IFNA(VLOOKUP(Z189,Ref_Kontak!H:H,1,FALSE),"FALSE")</f>
        <v>628999007703</v>
      </c>
      <c r="AH189" t="str">
        <f t="shared" si="17"/>
        <v>GUDANGEXP1-LINE 1</v>
      </c>
      <c r="AI189">
        <f>COUNTIF($AH$1:AH189,AH189)</f>
        <v>188</v>
      </c>
    </row>
    <row r="190" spans="1:35">
      <c r="A190" t="s">
        <v>56</v>
      </c>
      <c r="B190" t="s">
        <v>57</v>
      </c>
      <c r="C190" t="s">
        <v>252</v>
      </c>
      <c r="D190" t="s">
        <v>59</v>
      </c>
      <c r="E190">
        <v>1</v>
      </c>
      <c r="G190" t="s">
        <v>60</v>
      </c>
      <c r="I190" t="s">
        <v>61</v>
      </c>
      <c r="Z190" t="str">
        <f>IFERROR(MID(AA190,FIND("-",H190,1)+1,20),_xlfn.IFNA(VLOOKUP(F190&amp;"-"&amp;AA190,Ref_Kontak!$A:$E,4,FALSE),Ref_Kontak!$H$2))</f>
        <v>628999007703</v>
      </c>
      <c r="AA190" t="str">
        <f t="shared" si="12"/>
        <v/>
      </c>
      <c r="AB190" t="str">
        <f t="shared" si="13"/>
        <v/>
      </c>
      <c r="AC190" t="str">
        <f t="shared" si="14"/>
        <v>628999007703</v>
      </c>
      <c r="AD190" t="str">
        <f t="shared" si="16"/>
        <v>Halo+,+Visual+AI+5S+menditeksi+Violation%3A+GUDANGEXP1-LINE+1</v>
      </c>
      <c r="AE190" t="str">
        <f t="shared" si="15"/>
        <v>https://web.whatsapp.com/send/?phone=628999007703&amp;text=Halo+,+Visual+AI+5S+menditeksi+Violation%3A+GUDANGEXP1-LINE+1&amp;type=phone_number&amp;app_absent=0</v>
      </c>
      <c r="AF190" t="b">
        <f>IF(ISNA(VLOOKUP(D190&amp;"-"&amp;AB190, Ref_Kontak!$A:$E, 4, FALSE)), FALSE, TRUE)</f>
        <v>0</v>
      </c>
      <c r="AG190" t="str">
        <f>_xlfn.IFNA(VLOOKUP(Z190,Ref_Kontak!H:H,1,FALSE),"FALSE")</f>
        <v>628999007703</v>
      </c>
      <c r="AH190" t="str">
        <f t="shared" si="17"/>
        <v>GUDANGEXP1-LINE 1</v>
      </c>
      <c r="AI190">
        <f>COUNTIF($AH$1:AH190,AH190)</f>
        <v>189</v>
      </c>
    </row>
    <row r="191" spans="1:35">
      <c r="A191" t="s">
        <v>56</v>
      </c>
      <c r="B191" t="s">
        <v>57</v>
      </c>
      <c r="C191" t="s">
        <v>253</v>
      </c>
      <c r="D191" t="s">
        <v>59</v>
      </c>
      <c r="E191">
        <v>1</v>
      </c>
      <c r="G191" t="s">
        <v>60</v>
      </c>
      <c r="I191" t="s">
        <v>61</v>
      </c>
      <c r="Z191" t="str">
        <f>IFERROR(MID(AA191,FIND("-",H191,1)+1,20),_xlfn.IFNA(VLOOKUP(F191&amp;"-"&amp;AA191,Ref_Kontak!$A:$E,4,FALSE),Ref_Kontak!$H$2))</f>
        <v>628999007703</v>
      </c>
      <c r="AA191" t="str">
        <f t="shared" si="12"/>
        <v/>
      </c>
      <c r="AB191" t="str">
        <f t="shared" si="13"/>
        <v/>
      </c>
      <c r="AC191" t="str">
        <f t="shared" si="14"/>
        <v>628999007703</v>
      </c>
      <c r="AD191" t="str">
        <f t="shared" si="16"/>
        <v>Halo+,+Visual+AI+5S+menditeksi+Violation%3A+GUDANGEXP1-LINE+1</v>
      </c>
      <c r="AE191" t="str">
        <f t="shared" si="15"/>
        <v>https://web.whatsapp.com/send/?phone=628999007703&amp;text=Halo+,+Visual+AI+5S+menditeksi+Violation%3A+GUDANGEXP1-LINE+1&amp;type=phone_number&amp;app_absent=0</v>
      </c>
      <c r="AF191" t="b">
        <f>IF(ISNA(VLOOKUP(D191&amp;"-"&amp;AB191, Ref_Kontak!$A:$E, 4, FALSE)), FALSE, TRUE)</f>
        <v>0</v>
      </c>
      <c r="AG191" t="str">
        <f>_xlfn.IFNA(VLOOKUP(Z191,Ref_Kontak!H:H,1,FALSE),"FALSE")</f>
        <v>628999007703</v>
      </c>
      <c r="AH191" t="str">
        <f t="shared" si="17"/>
        <v>GUDANGEXP1-LINE 1</v>
      </c>
      <c r="AI191">
        <f>COUNTIF($AH$1:AH191,AH191)</f>
        <v>190</v>
      </c>
    </row>
    <row r="192" spans="1:35">
      <c r="A192" t="s">
        <v>56</v>
      </c>
      <c r="B192" t="s">
        <v>57</v>
      </c>
      <c r="C192" t="s">
        <v>254</v>
      </c>
      <c r="D192" t="s">
        <v>59</v>
      </c>
      <c r="E192">
        <v>1</v>
      </c>
      <c r="G192" t="s">
        <v>60</v>
      </c>
      <c r="I192" t="s">
        <v>61</v>
      </c>
      <c r="Z192" t="str">
        <f>IFERROR(MID(AA192,FIND("-",H192,1)+1,20),_xlfn.IFNA(VLOOKUP(F192&amp;"-"&amp;AA192,Ref_Kontak!$A:$E,4,FALSE),Ref_Kontak!$H$2))</f>
        <v>628999007703</v>
      </c>
      <c r="AA192" t="str">
        <f t="shared" si="12"/>
        <v/>
      </c>
      <c r="AB192" t="str">
        <f t="shared" si="13"/>
        <v/>
      </c>
      <c r="AC192" t="str">
        <f t="shared" si="14"/>
        <v>628999007703</v>
      </c>
      <c r="AD192" t="str">
        <f t="shared" si="16"/>
        <v>Halo+,+Visual+AI+5S+menditeksi+Violation%3A+GUDANGEXP1-LINE+1</v>
      </c>
      <c r="AE192" t="str">
        <f t="shared" si="15"/>
        <v>https://web.whatsapp.com/send/?phone=628999007703&amp;text=Halo+,+Visual+AI+5S+menditeksi+Violation%3A+GUDANGEXP1-LINE+1&amp;type=phone_number&amp;app_absent=0</v>
      </c>
      <c r="AF192" t="b">
        <f>IF(ISNA(VLOOKUP(D192&amp;"-"&amp;AB192, Ref_Kontak!$A:$E, 4, FALSE)), FALSE, TRUE)</f>
        <v>0</v>
      </c>
      <c r="AG192" t="str">
        <f>_xlfn.IFNA(VLOOKUP(Z192,Ref_Kontak!H:H,1,FALSE),"FALSE")</f>
        <v>628999007703</v>
      </c>
      <c r="AH192" t="str">
        <f t="shared" si="17"/>
        <v>GUDANGEXP1-LINE 1</v>
      </c>
      <c r="AI192">
        <f>COUNTIF($AH$1:AH192,AH192)</f>
        <v>191</v>
      </c>
    </row>
    <row r="193" spans="1:35">
      <c r="A193" t="s">
        <v>56</v>
      </c>
      <c r="B193" t="s">
        <v>57</v>
      </c>
      <c r="C193" t="s">
        <v>255</v>
      </c>
      <c r="D193" t="s">
        <v>59</v>
      </c>
      <c r="E193">
        <v>1</v>
      </c>
      <c r="G193" t="s">
        <v>60</v>
      </c>
      <c r="I193" t="s">
        <v>61</v>
      </c>
      <c r="Z193" t="str">
        <f>IFERROR(MID(AA193,FIND("-",H193,1)+1,20),_xlfn.IFNA(VLOOKUP(F193&amp;"-"&amp;AA193,Ref_Kontak!$A:$E,4,FALSE),Ref_Kontak!$H$2))</f>
        <v>628999007703</v>
      </c>
      <c r="AA193" t="str">
        <f t="shared" si="12"/>
        <v/>
      </c>
      <c r="AB193" t="str">
        <f t="shared" si="13"/>
        <v/>
      </c>
      <c r="AC193" t="str">
        <f t="shared" si="14"/>
        <v>628999007703</v>
      </c>
      <c r="AD193" t="str">
        <f t="shared" si="16"/>
        <v>Halo+,+Visual+AI+5S+menditeksi+Violation%3A+GUDANGEXP1-LINE+1</v>
      </c>
      <c r="AE193" t="str">
        <f t="shared" si="15"/>
        <v>https://web.whatsapp.com/send/?phone=628999007703&amp;text=Halo+,+Visual+AI+5S+menditeksi+Violation%3A+GUDANGEXP1-LINE+1&amp;type=phone_number&amp;app_absent=0</v>
      </c>
      <c r="AF193" t="b">
        <f>IF(ISNA(VLOOKUP(D193&amp;"-"&amp;AB193, Ref_Kontak!$A:$E, 4, FALSE)), FALSE, TRUE)</f>
        <v>0</v>
      </c>
      <c r="AG193" t="str">
        <f>_xlfn.IFNA(VLOOKUP(Z193,Ref_Kontak!H:H,1,FALSE),"FALSE")</f>
        <v>628999007703</v>
      </c>
      <c r="AH193" t="str">
        <f t="shared" si="17"/>
        <v>GUDANGEXP1-LINE 1</v>
      </c>
      <c r="AI193">
        <f>COUNTIF($AH$1:AH193,AH193)</f>
        <v>192</v>
      </c>
    </row>
    <row r="194" spans="1:35">
      <c r="A194" t="s">
        <v>56</v>
      </c>
      <c r="B194" t="s">
        <v>57</v>
      </c>
      <c r="C194" t="s">
        <v>256</v>
      </c>
      <c r="D194" t="s">
        <v>59</v>
      </c>
      <c r="E194">
        <v>1</v>
      </c>
      <c r="G194" t="s">
        <v>60</v>
      </c>
      <c r="I194" t="s">
        <v>61</v>
      </c>
      <c r="Z194" t="str">
        <f>IFERROR(MID(AA194,FIND("-",H194,1)+1,20),_xlfn.IFNA(VLOOKUP(F194&amp;"-"&amp;AA194,Ref_Kontak!$A:$E,4,FALSE),Ref_Kontak!$H$2))</f>
        <v>628999007703</v>
      </c>
      <c r="AA194" t="str">
        <f t="shared" ref="AA194:AA257" si="18">CLEAN(SUBSTITUTE(H194," ",""))</f>
        <v/>
      </c>
      <c r="AB194" t="str">
        <f t="shared" ref="AB194:AB257" si="19">IFERROR(LEFT(AA194,FIND("-",H194,1)-1),CLEAN(SUBSTITUTE(SUBSTITUTE(H194," ",""),"-","")))</f>
        <v/>
      </c>
      <c r="AC194" t="str">
        <f t="shared" ref="AC194:AC257" si="20">IF(LEFT(Z194,1)="0","62"&amp; MID(Z194,2,999),Z194)</f>
        <v>628999007703</v>
      </c>
      <c r="AD194" t="str">
        <f t="shared" si="16"/>
        <v>Halo+,+Visual+AI+5S+menditeksi+Violation%3A+GUDANGEXP1-LINE+1</v>
      </c>
      <c r="AE194" t="str">
        <f t="shared" ref="AE194:AE257" si="21">"https://web.whatsapp.com/send/?phone="&amp;AC194&amp;"&amp;text="&amp;AD194&amp;"&amp;type=phone_number&amp;app_absent=0"</f>
        <v>https://web.whatsapp.com/send/?phone=628999007703&amp;text=Halo+,+Visual+AI+5S+menditeksi+Violation%3A+GUDANGEXP1-LINE+1&amp;type=phone_number&amp;app_absent=0</v>
      </c>
      <c r="AF194" t="b">
        <f>IF(ISNA(VLOOKUP(D194&amp;"-"&amp;AB194, Ref_Kontak!$A:$E, 4, FALSE)), FALSE, TRUE)</f>
        <v>0</v>
      </c>
      <c r="AG194" t="str">
        <f>_xlfn.IFNA(VLOOKUP(Z194,Ref_Kontak!H:H,1,FALSE),"FALSE")</f>
        <v>628999007703</v>
      </c>
      <c r="AH194" t="str">
        <f t="shared" si="17"/>
        <v>GUDANGEXP1-LINE 1</v>
      </c>
      <c r="AI194">
        <f>COUNTIF($AH$1:AH194,AH194)</f>
        <v>193</v>
      </c>
    </row>
    <row r="195" spans="1:35">
      <c r="A195" t="s">
        <v>56</v>
      </c>
      <c r="B195" t="s">
        <v>57</v>
      </c>
      <c r="C195" t="s">
        <v>257</v>
      </c>
      <c r="D195" t="s">
        <v>59</v>
      </c>
      <c r="E195">
        <v>1</v>
      </c>
      <c r="G195" t="s">
        <v>60</v>
      </c>
      <c r="I195" t="s">
        <v>61</v>
      </c>
      <c r="Z195" t="str">
        <f>IFERROR(MID(AA195,FIND("-",H195,1)+1,20),_xlfn.IFNA(VLOOKUP(F195&amp;"-"&amp;AA195,Ref_Kontak!$A:$E,4,FALSE),Ref_Kontak!$H$2))</f>
        <v>628999007703</v>
      </c>
      <c r="AA195" t="str">
        <f t="shared" si="18"/>
        <v/>
      </c>
      <c r="AB195" t="str">
        <f t="shared" si="19"/>
        <v/>
      </c>
      <c r="AC195" t="str">
        <f t="shared" si="20"/>
        <v>628999007703</v>
      </c>
      <c r="AD195" t="str">
        <f t="shared" ref="AD195:AD258" si="22">"Halo+"&amp;AB195&amp;","&amp;"+Visual+AI+5S+menditeksi+Violation%3A+"&amp;SUBSTITUTE(AH195," ","+")</f>
        <v>Halo+,+Visual+AI+5S+menditeksi+Violation%3A+GUDANGEXP1-LINE+1</v>
      </c>
      <c r="AE195" t="str">
        <f t="shared" si="21"/>
        <v>https://web.whatsapp.com/send/?phone=628999007703&amp;text=Halo+,+Visual+AI+5S+menditeksi+Violation%3A+GUDANGEXP1-LINE+1&amp;type=phone_number&amp;app_absent=0</v>
      </c>
      <c r="AF195" t="b">
        <f>IF(ISNA(VLOOKUP(D195&amp;"-"&amp;AB195, Ref_Kontak!$A:$E, 4, FALSE)), FALSE, TRUE)</f>
        <v>0</v>
      </c>
      <c r="AG195" t="str">
        <f>_xlfn.IFNA(VLOOKUP(Z195,Ref_Kontak!H:H,1,FALSE),"FALSE")</f>
        <v>628999007703</v>
      </c>
      <c r="AH195" t="str">
        <f t="shared" ref="AH195:AH258" si="23">G195&amp;"-"&amp;D195</f>
        <v>GUDANGEXP1-LINE 1</v>
      </c>
      <c r="AI195">
        <f>COUNTIF($AH$1:AH195,AH195)</f>
        <v>194</v>
      </c>
    </row>
    <row r="196" spans="1:35">
      <c r="A196" t="s">
        <v>56</v>
      </c>
      <c r="B196" t="s">
        <v>57</v>
      </c>
      <c r="C196" t="s">
        <v>258</v>
      </c>
      <c r="D196" t="s">
        <v>59</v>
      </c>
      <c r="E196">
        <v>1</v>
      </c>
      <c r="G196" t="s">
        <v>60</v>
      </c>
      <c r="I196" t="s">
        <v>61</v>
      </c>
      <c r="Z196" t="str">
        <f>IFERROR(MID(AA196,FIND("-",H196,1)+1,20),_xlfn.IFNA(VLOOKUP(F196&amp;"-"&amp;AA196,Ref_Kontak!$A:$E,4,FALSE),Ref_Kontak!$H$2))</f>
        <v>628999007703</v>
      </c>
      <c r="AA196" t="str">
        <f t="shared" si="18"/>
        <v/>
      </c>
      <c r="AB196" t="str">
        <f t="shared" si="19"/>
        <v/>
      </c>
      <c r="AC196" t="str">
        <f t="shared" si="20"/>
        <v>628999007703</v>
      </c>
      <c r="AD196" t="str">
        <f t="shared" si="22"/>
        <v>Halo+,+Visual+AI+5S+menditeksi+Violation%3A+GUDANGEXP1-LINE+1</v>
      </c>
      <c r="AE196" t="str">
        <f t="shared" si="21"/>
        <v>https://web.whatsapp.com/send/?phone=628999007703&amp;text=Halo+,+Visual+AI+5S+menditeksi+Violation%3A+GUDANGEXP1-LINE+1&amp;type=phone_number&amp;app_absent=0</v>
      </c>
      <c r="AF196" t="b">
        <f>IF(ISNA(VLOOKUP(D196&amp;"-"&amp;AB196, Ref_Kontak!$A:$E, 4, FALSE)), FALSE, TRUE)</f>
        <v>0</v>
      </c>
      <c r="AG196" t="str">
        <f>_xlfn.IFNA(VLOOKUP(Z196,Ref_Kontak!H:H,1,FALSE),"FALSE")</f>
        <v>628999007703</v>
      </c>
      <c r="AH196" t="str">
        <f t="shared" si="23"/>
        <v>GUDANGEXP1-LINE 1</v>
      </c>
      <c r="AI196">
        <f>COUNTIF($AH$1:AH196,AH196)</f>
        <v>195</v>
      </c>
    </row>
    <row r="197" spans="1:35">
      <c r="A197" t="s">
        <v>56</v>
      </c>
      <c r="B197" t="s">
        <v>57</v>
      </c>
      <c r="C197" t="s">
        <v>259</v>
      </c>
      <c r="D197" t="s">
        <v>59</v>
      </c>
      <c r="E197">
        <v>1</v>
      </c>
      <c r="G197" t="s">
        <v>60</v>
      </c>
      <c r="I197" t="s">
        <v>61</v>
      </c>
      <c r="Z197" t="str">
        <f>IFERROR(MID(AA197,FIND("-",H197,1)+1,20),_xlfn.IFNA(VLOOKUP(F197&amp;"-"&amp;AA197,Ref_Kontak!$A:$E,4,FALSE),Ref_Kontak!$H$2))</f>
        <v>628999007703</v>
      </c>
      <c r="AA197" t="str">
        <f t="shared" si="18"/>
        <v/>
      </c>
      <c r="AB197" t="str">
        <f t="shared" si="19"/>
        <v/>
      </c>
      <c r="AC197" t="str">
        <f t="shared" si="20"/>
        <v>628999007703</v>
      </c>
      <c r="AD197" t="str">
        <f t="shared" si="22"/>
        <v>Halo+,+Visual+AI+5S+menditeksi+Violation%3A+GUDANGEXP1-LINE+1</v>
      </c>
      <c r="AE197" t="str">
        <f t="shared" si="21"/>
        <v>https://web.whatsapp.com/send/?phone=628999007703&amp;text=Halo+,+Visual+AI+5S+menditeksi+Violation%3A+GUDANGEXP1-LINE+1&amp;type=phone_number&amp;app_absent=0</v>
      </c>
      <c r="AF197" t="b">
        <f>IF(ISNA(VLOOKUP(D197&amp;"-"&amp;AB197, Ref_Kontak!$A:$E, 4, FALSE)), FALSE, TRUE)</f>
        <v>0</v>
      </c>
      <c r="AG197" t="str">
        <f>_xlfn.IFNA(VLOOKUP(Z197,Ref_Kontak!H:H,1,FALSE),"FALSE")</f>
        <v>628999007703</v>
      </c>
      <c r="AH197" t="str">
        <f t="shared" si="23"/>
        <v>GUDANGEXP1-LINE 1</v>
      </c>
      <c r="AI197">
        <f>COUNTIF($AH$1:AH197,AH197)</f>
        <v>196</v>
      </c>
    </row>
    <row r="198" spans="1:35">
      <c r="A198" t="s">
        <v>56</v>
      </c>
      <c r="B198" t="s">
        <v>57</v>
      </c>
      <c r="C198" t="s">
        <v>260</v>
      </c>
      <c r="D198" t="s">
        <v>59</v>
      </c>
      <c r="E198">
        <v>1</v>
      </c>
      <c r="G198" t="s">
        <v>60</v>
      </c>
      <c r="I198" t="s">
        <v>61</v>
      </c>
      <c r="Z198" t="str">
        <f>IFERROR(MID(AA198,FIND("-",H198,1)+1,20),_xlfn.IFNA(VLOOKUP(F198&amp;"-"&amp;AA198,Ref_Kontak!$A:$E,4,FALSE),Ref_Kontak!$H$2))</f>
        <v>628999007703</v>
      </c>
      <c r="AA198" t="str">
        <f t="shared" si="18"/>
        <v/>
      </c>
      <c r="AB198" t="str">
        <f t="shared" si="19"/>
        <v/>
      </c>
      <c r="AC198" t="str">
        <f t="shared" si="20"/>
        <v>628999007703</v>
      </c>
      <c r="AD198" t="str">
        <f t="shared" si="22"/>
        <v>Halo+,+Visual+AI+5S+menditeksi+Violation%3A+GUDANGEXP1-LINE+1</v>
      </c>
      <c r="AE198" t="str">
        <f t="shared" si="21"/>
        <v>https://web.whatsapp.com/send/?phone=628999007703&amp;text=Halo+,+Visual+AI+5S+menditeksi+Violation%3A+GUDANGEXP1-LINE+1&amp;type=phone_number&amp;app_absent=0</v>
      </c>
      <c r="AF198" t="b">
        <f>IF(ISNA(VLOOKUP(D198&amp;"-"&amp;AB198, Ref_Kontak!$A:$E, 4, FALSE)), FALSE, TRUE)</f>
        <v>0</v>
      </c>
      <c r="AG198" t="str">
        <f>_xlfn.IFNA(VLOOKUP(Z198,Ref_Kontak!H:H,1,FALSE),"FALSE")</f>
        <v>628999007703</v>
      </c>
      <c r="AH198" t="str">
        <f t="shared" si="23"/>
        <v>GUDANGEXP1-LINE 1</v>
      </c>
      <c r="AI198">
        <f>COUNTIF($AH$1:AH198,AH198)</f>
        <v>197</v>
      </c>
    </row>
    <row r="199" spans="1:35">
      <c r="A199" t="s">
        <v>56</v>
      </c>
      <c r="B199" t="s">
        <v>57</v>
      </c>
      <c r="C199" t="s">
        <v>261</v>
      </c>
      <c r="D199" t="s">
        <v>59</v>
      </c>
      <c r="E199">
        <v>1</v>
      </c>
      <c r="G199" t="s">
        <v>60</v>
      </c>
      <c r="I199" t="s">
        <v>61</v>
      </c>
      <c r="Z199" t="str">
        <f>IFERROR(MID(AA199,FIND("-",H199,1)+1,20),_xlfn.IFNA(VLOOKUP(F199&amp;"-"&amp;AA199,Ref_Kontak!$A:$E,4,FALSE),Ref_Kontak!$H$2))</f>
        <v>628999007703</v>
      </c>
      <c r="AA199" t="str">
        <f t="shared" si="18"/>
        <v/>
      </c>
      <c r="AB199" t="str">
        <f t="shared" si="19"/>
        <v/>
      </c>
      <c r="AC199" t="str">
        <f t="shared" si="20"/>
        <v>628999007703</v>
      </c>
      <c r="AD199" t="str">
        <f t="shared" si="22"/>
        <v>Halo+,+Visual+AI+5S+menditeksi+Violation%3A+GUDANGEXP1-LINE+1</v>
      </c>
      <c r="AE199" t="str">
        <f t="shared" si="21"/>
        <v>https://web.whatsapp.com/send/?phone=628999007703&amp;text=Halo+,+Visual+AI+5S+menditeksi+Violation%3A+GUDANGEXP1-LINE+1&amp;type=phone_number&amp;app_absent=0</v>
      </c>
      <c r="AF199" t="b">
        <f>IF(ISNA(VLOOKUP(D199&amp;"-"&amp;AB199, Ref_Kontak!$A:$E, 4, FALSE)), FALSE, TRUE)</f>
        <v>0</v>
      </c>
      <c r="AG199" t="str">
        <f>_xlfn.IFNA(VLOOKUP(Z199,Ref_Kontak!H:H,1,FALSE),"FALSE")</f>
        <v>628999007703</v>
      </c>
      <c r="AH199" t="str">
        <f t="shared" si="23"/>
        <v>GUDANGEXP1-LINE 1</v>
      </c>
      <c r="AI199">
        <f>COUNTIF($AH$1:AH199,AH199)</f>
        <v>198</v>
      </c>
    </row>
    <row r="200" spans="1:35">
      <c r="A200" t="s">
        <v>56</v>
      </c>
      <c r="B200" t="s">
        <v>57</v>
      </c>
      <c r="C200" t="s">
        <v>262</v>
      </c>
      <c r="D200" t="s">
        <v>59</v>
      </c>
      <c r="E200">
        <v>1</v>
      </c>
      <c r="G200" t="s">
        <v>60</v>
      </c>
      <c r="I200" t="s">
        <v>61</v>
      </c>
      <c r="Z200" t="str">
        <f>IFERROR(MID(AA200,FIND("-",H200,1)+1,20),_xlfn.IFNA(VLOOKUP(F200&amp;"-"&amp;AA200,Ref_Kontak!$A:$E,4,FALSE),Ref_Kontak!$H$2))</f>
        <v>628999007703</v>
      </c>
      <c r="AA200" t="str">
        <f t="shared" si="18"/>
        <v/>
      </c>
      <c r="AB200" t="str">
        <f t="shared" si="19"/>
        <v/>
      </c>
      <c r="AC200" t="str">
        <f t="shared" si="20"/>
        <v>628999007703</v>
      </c>
      <c r="AD200" t="str">
        <f t="shared" si="22"/>
        <v>Halo+,+Visual+AI+5S+menditeksi+Violation%3A+GUDANGEXP1-LINE+1</v>
      </c>
      <c r="AE200" t="str">
        <f t="shared" si="21"/>
        <v>https://web.whatsapp.com/send/?phone=628999007703&amp;text=Halo+,+Visual+AI+5S+menditeksi+Violation%3A+GUDANGEXP1-LINE+1&amp;type=phone_number&amp;app_absent=0</v>
      </c>
      <c r="AF200" t="b">
        <f>IF(ISNA(VLOOKUP(D200&amp;"-"&amp;AB200, Ref_Kontak!$A:$E, 4, FALSE)), FALSE, TRUE)</f>
        <v>0</v>
      </c>
      <c r="AG200" t="str">
        <f>_xlfn.IFNA(VLOOKUP(Z200,Ref_Kontak!H:H,1,FALSE),"FALSE")</f>
        <v>628999007703</v>
      </c>
      <c r="AH200" t="str">
        <f t="shared" si="23"/>
        <v>GUDANGEXP1-LINE 1</v>
      </c>
      <c r="AI200">
        <f>COUNTIF($AH$1:AH200,AH200)</f>
        <v>199</v>
      </c>
    </row>
    <row r="201" spans="1:35">
      <c r="A201" t="s">
        <v>56</v>
      </c>
      <c r="B201" t="s">
        <v>57</v>
      </c>
      <c r="C201" t="s">
        <v>263</v>
      </c>
      <c r="D201" t="s">
        <v>59</v>
      </c>
      <c r="E201">
        <v>1</v>
      </c>
      <c r="G201" t="s">
        <v>60</v>
      </c>
      <c r="I201" t="s">
        <v>61</v>
      </c>
      <c r="Z201" t="str">
        <f>IFERROR(MID(AA201,FIND("-",H201,1)+1,20),_xlfn.IFNA(VLOOKUP(F201&amp;"-"&amp;AA201,Ref_Kontak!$A:$E,4,FALSE),Ref_Kontak!$H$2))</f>
        <v>628999007703</v>
      </c>
      <c r="AA201" t="str">
        <f t="shared" si="18"/>
        <v/>
      </c>
      <c r="AB201" t="str">
        <f t="shared" si="19"/>
        <v/>
      </c>
      <c r="AC201" t="str">
        <f t="shared" si="20"/>
        <v>628999007703</v>
      </c>
      <c r="AD201" t="str">
        <f t="shared" si="22"/>
        <v>Halo+,+Visual+AI+5S+menditeksi+Violation%3A+GUDANGEXP1-LINE+1</v>
      </c>
      <c r="AE201" t="str">
        <f t="shared" si="21"/>
        <v>https://web.whatsapp.com/send/?phone=628999007703&amp;text=Halo+,+Visual+AI+5S+menditeksi+Violation%3A+GUDANGEXP1-LINE+1&amp;type=phone_number&amp;app_absent=0</v>
      </c>
      <c r="AF201" t="b">
        <f>IF(ISNA(VLOOKUP(D201&amp;"-"&amp;AB201, Ref_Kontak!$A:$E, 4, FALSE)), FALSE, TRUE)</f>
        <v>0</v>
      </c>
      <c r="AG201" t="str">
        <f>_xlfn.IFNA(VLOOKUP(Z201,Ref_Kontak!H:H,1,FALSE),"FALSE")</f>
        <v>628999007703</v>
      </c>
      <c r="AH201" t="str">
        <f t="shared" si="23"/>
        <v>GUDANGEXP1-LINE 1</v>
      </c>
      <c r="AI201">
        <f>COUNTIF($AH$1:AH201,AH201)</f>
        <v>200</v>
      </c>
    </row>
    <row r="202" spans="1:35">
      <c r="A202" t="s">
        <v>56</v>
      </c>
      <c r="B202" t="s">
        <v>57</v>
      </c>
      <c r="C202" t="s">
        <v>264</v>
      </c>
      <c r="D202" t="s">
        <v>59</v>
      </c>
      <c r="E202">
        <v>1</v>
      </c>
      <c r="G202" t="s">
        <v>60</v>
      </c>
      <c r="I202" t="s">
        <v>61</v>
      </c>
      <c r="Z202" t="str">
        <f>IFERROR(MID(AA202,FIND("-",H202,1)+1,20),_xlfn.IFNA(VLOOKUP(F202&amp;"-"&amp;AA202,Ref_Kontak!$A:$E,4,FALSE),Ref_Kontak!$H$2))</f>
        <v>628999007703</v>
      </c>
      <c r="AA202" t="str">
        <f t="shared" si="18"/>
        <v/>
      </c>
      <c r="AB202" t="str">
        <f t="shared" si="19"/>
        <v/>
      </c>
      <c r="AC202" t="str">
        <f t="shared" si="20"/>
        <v>628999007703</v>
      </c>
      <c r="AD202" t="str">
        <f t="shared" si="22"/>
        <v>Halo+,+Visual+AI+5S+menditeksi+Violation%3A+GUDANGEXP1-LINE+1</v>
      </c>
      <c r="AE202" t="str">
        <f t="shared" si="21"/>
        <v>https://web.whatsapp.com/send/?phone=628999007703&amp;text=Halo+,+Visual+AI+5S+menditeksi+Violation%3A+GUDANGEXP1-LINE+1&amp;type=phone_number&amp;app_absent=0</v>
      </c>
      <c r="AF202" t="b">
        <f>IF(ISNA(VLOOKUP(D202&amp;"-"&amp;AB202, Ref_Kontak!$A:$E, 4, FALSE)), FALSE, TRUE)</f>
        <v>0</v>
      </c>
      <c r="AG202" t="str">
        <f>_xlfn.IFNA(VLOOKUP(Z202,Ref_Kontak!H:H,1,FALSE),"FALSE")</f>
        <v>628999007703</v>
      </c>
      <c r="AH202" t="str">
        <f t="shared" si="23"/>
        <v>GUDANGEXP1-LINE 1</v>
      </c>
      <c r="AI202">
        <f>COUNTIF($AH$1:AH202,AH202)</f>
        <v>201</v>
      </c>
    </row>
    <row r="203" spans="1:35">
      <c r="A203" t="s">
        <v>56</v>
      </c>
      <c r="B203" t="s">
        <v>57</v>
      </c>
      <c r="C203" t="s">
        <v>265</v>
      </c>
      <c r="D203" t="s">
        <v>59</v>
      </c>
      <c r="E203">
        <v>1</v>
      </c>
      <c r="G203" t="s">
        <v>60</v>
      </c>
      <c r="I203" t="s">
        <v>61</v>
      </c>
      <c r="Z203" t="str">
        <f>IFERROR(MID(AA203,FIND("-",H203,1)+1,20),_xlfn.IFNA(VLOOKUP(F203&amp;"-"&amp;AA203,Ref_Kontak!$A:$E,4,FALSE),Ref_Kontak!$H$2))</f>
        <v>628999007703</v>
      </c>
      <c r="AA203" t="str">
        <f t="shared" si="18"/>
        <v/>
      </c>
      <c r="AB203" t="str">
        <f t="shared" si="19"/>
        <v/>
      </c>
      <c r="AC203" t="str">
        <f t="shared" si="20"/>
        <v>628999007703</v>
      </c>
      <c r="AD203" t="str">
        <f t="shared" si="22"/>
        <v>Halo+,+Visual+AI+5S+menditeksi+Violation%3A+GUDANGEXP1-LINE+1</v>
      </c>
      <c r="AE203" t="str">
        <f t="shared" si="21"/>
        <v>https://web.whatsapp.com/send/?phone=628999007703&amp;text=Halo+,+Visual+AI+5S+menditeksi+Violation%3A+GUDANGEXP1-LINE+1&amp;type=phone_number&amp;app_absent=0</v>
      </c>
      <c r="AF203" t="b">
        <f>IF(ISNA(VLOOKUP(D203&amp;"-"&amp;AB203, Ref_Kontak!$A:$E, 4, FALSE)), FALSE, TRUE)</f>
        <v>0</v>
      </c>
      <c r="AG203" t="str">
        <f>_xlfn.IFNA(VLOOKUP(Z203,Ref_Kontak!H:H,1,FALSE),"FALSE")</f>
        <v>628999007703</v>
      </c>
      <c r="AH203" t="str">
        <f t="shared" si="23"/>
        <v>GUDANGEXP1-LINE 1</v>
      </c>
      <c r="AI203">
        <f>COUNTIF($AH$1:AH203,AH203)</f>
        <v>202</v>
      </c>
    </row>
    <row r="204" spans="1:35">
      <c r="A204" t="s">
        <v>56</v>
      </c>
      <c r="B204" t="s">
        <v>57</v>
      </c>
      <c r="C204" t="s">
        <v>266</v>
      </c>
      <c r="D204" t="s">
        <v>59</v>
      </c>
      <c r="E204">
        <v>1</v>
      </c>
      <c r="G204" t="s">
        <v>60</v>
      </c>
      <c r="I204" t="s">
        <v>61</v>
      </c>
      <c r="Z204" t="str">
        <f>IFERROR(MID(AA204,FIND("-",H204,1)+1,20),_xlfn.IFNA(VLOOKUP(F204&amp;"-"&amp;AA204,Ref_Kontak!$A:$E,4,FALSE),Ref_Kontak!$H$2))</f>
        <v>628999007703</v>
      </c>
      <c r="AA204" t="str">
        <f t="shared" si="18"/>
        <v/>
      </c>
      <c r="AB204" t="str">
        <f t="shared" si="19"/>
        <v/>
      </c>
      <c r="AC204" t="str">
        <f t="shared" si="20"/>
        <v>628999007703</v>
      </c>
      <c r="AD204" t="str">
        <f t="shared" si="22"/>
        <v>Halo+,+Visual+AI+5S+menditeksi+Violation%3A+GUDANGEXP1-LINE+1</v>
      </c>
      <c r="AE204" t="str">
        <f t="shared" si="21"/>
        <v>https://web.whatsapp.com/send/?phone=628999007703&amp;text=Halo+,+Visual+AI+5S+menditeksi+Violation%3A+GUDANGEXP1-LINE+1&amp;type=phone_number&amp;app_absent=0</v>
      </c>
      <c r="AF204" t="b">
        <f>IF(ISNA(VLOOKUP(D204&amp;"-"&amp;AB204, Ref_Kontak!$A:$E, 4, FALSE)), FALSE, TRUE)</f>
        <v>0</v>
      </c>
      <c r="AG204" t="str">
        <f>_xlfn.IFNA(VLOOKUP(Z204,Ref_Kontak!H:H,1,FALSE),"FALSE")</f>
        <v>628999007703</v>
      </c>
      <c r="AH204" t="str">
        <f t="shared" si="23"/>
        <v>GUDANGEXP1-LINE 1</v>
      </c>
      <c r="AI204">
        <f>COUNTIF($AH$1:AH204,AH204)</f>
        <v>203</v>
      </c>
    </row>
    <row r="205" spans="1:35">
      <c r="A205" t="s">
        <v>56</v>
      </c>
      <c r="B205" t="s">
        <v>57</v>
      </c>
      <c r="C205" t="s">
        <v>267</v>
      </c>
      <c r="D205" t="s">
        <v>59</v>
      </c>
      <c r="E205">
        <v>1</v>
      </c>
      <c r="G205" t="s">
        <v>60</v>
      </c>
      <c r="I205" t="s">
        <v>61</v>
      </c>
      <c r="Z205" t="str">
        <f>IFERROR(MID(AA205,FIND("-",H205,1)+1,20),_xlfn.IFNA(VLOOKUP(F205&amp;"-"&amp;AA205,Ref_Kontak!$A:$E,4,FALSE),Ref_Kontak!$H$2))</f>
        <v>628999007703</v>
      </c>
      <c r="AA205" t="str">
        <f t="shared" si="18"/>
        <v/>
      </c>
      <c r="AB205" t="str">
        <f t="shared" si="19"/>
        <v/>
      </c>
      <c r="AC205" t="str">
        <f t="shared" si="20"/>
        <v>628999007703</v>
      </c>
      <c r="AD205" t="str">
        <f t="shared" si="22"/>
        <v>Halo+,+Visual+AI+5S+menditeksi+Violation%3A+GUDANGEXP1-LINE+1</v>
      </c>
      <c r="AE205" t="str">
        <f t="shared" si="21"/>
        <v>https://web.whatsapp.com/send/?phone=628999007703&amp;text=Halo+,+Visual+AI+5S+menditeksi+Violation%3A+GUDANGEXP1-LINE+1&amp;type=phone_number&amp;app_absent=0</v>
      </c>
      <c r="AF205" t="b">
        <f>IF(ISNA(VLOOKUP(D205&amp;"-"&amp;AB205, Ref_Kontak!$A:$E, 4, FALSE)), FALSE, TRUE)</f>
        <v>0</v>
      </c>
      <c r="AG205" t="str">
        <f>_xlfn.IFNA(VLOOKUP(Z205,Ref_Kontak!H:H,1,FALSE),"FALSE")</f>
        <v>628999007703</v>
      </c>
      <c r="AH205" t="str">
        <f t="shared" si="23"/>
        <v>GUDANGEXP1-LINE 1</v>
      </c>
      <c r="AI205">
        <f>COUNTIF($AH$1:AH205,AH205)</f>
        <v>204</v>
      </c>
    </row>
    <row r="206" spans="1:35">
      <c r="A206" t="s">
        <v>56</v>
      </c>
      <c r="B206" t="s">
        <v>57</v>
      </c>
      <c r="C206" t="s">
        <v>268</v>
      </c>
      <c r="D206" t="s">
        <v>59</v>
      </c>
      <c r="E206">
        <v>1</v>
      </c>
      <c r="G206" t="s">
        <v>60</v>
      </c>
      <c r="I206" t="s">
        <v>61</v>
      </c>
      <c r="Z206" t="str">
        <f>IFERROR(MID(AA206,FIND("-",H206,1)+1,20),_xlfn.IFNA(VLOOKUP(F206&amp;"-"&amp;AA206,Ref_Kontak!$A:$E,4,FALSE),Ref_Kontak!$H$2))</f>
        <v>628999007703</v>
      </c>
      <c r="AA206" t="str">
        <f t="shared" si="18"/>
        <v/>
      </c>
      <c r="AB206" t="str">
        <f t="shared" si="19"/>
        <v/>
      </c>
      <c r="AC206" t="str">
        <f t="shared" si="20"/>
        <v>628999007703</v>
      </c>
      <c r="AD206" t="str">
        <f t="shared" si="22"/>
        <v>Halo+,+Visual+AI+5S+menditeksi+Violation%3A+GUDANGEXP1-LINE+1</v>
      </c>
      <c r="AE206" t="str">
        <f t="shared" si="21"/>
        <v>https://web.whatsapp.com/send/?phone=628999007703&amp;text=Halo+,+Visual+AI+5S+menditeksi+Violation%3A+GUDANGEXP1-LINE+1&amp;type=phone_number&amp;app_absent=0</v>
      </c>
      <c r="AF206" t="b">
        <f>IF(ISNA(VLOOKUP(D206&amp;"-"&amp;AB206, Ref_Kontak!$A:$E, 4, FALSE)), FALSE, TRUE)</f>
        <v>0</v>
      </c>
      <c r="AG206" t="str">
        <f>_xlfn.IFNA(VLOOKUP(Z206,Ref_Kontak!H:H,1,FALSE),"FALSE")</f>
        <v>628999007703</v>
      </c>
      <c r="AH206" t="str">
        <f t="shared" si="23"/>
        <v>GUDANGEXP1-LINE 1</v>
      </c>
      <c r="AI206">
        <f>COUNTIF($AH$1:AH206,AH206)</f>
        <v>205</v>
      </c>
    </row>
    <row r="207" spans="1:35">
      <c r="A207" t="s">
        <v>56</v>
      </c>
      <c r="B207" t="s">
        <v>57</v>
      </c>
      <c r="C207" t="s">
        <v>269</v>
      </c>
      <c r="D207" t="s">
        <v>59</v>
      </c>
      <c r="E207">
        <v>1</v>
      </c>
      <c r="G207" t="s">
        <v>60</v>
      </c>
      <c r="I207" t="s">
        <v>61</v>
      </c>
      <c r="Z207" t="str">
        <f>IFERROR(MID(AA207,FIND("-",H207,1)+1,20),_xlfn.IFNA(VLOOKUP(F207&amp;"-"&amp;AA207,Ref_Kontak!$A:$E,4,FALSE),Ref_Kontak!$H$2))</f>
        <v>628999007703</v>
      </c>
      <c r="AA207" t="str">
        <f t="shared" si="18"/>
        <v/>
      </c>
      <c r="AB207" t="str">
        <f t="shared" si="19"/>
        <v/>
      </c>
      <c r="AC207" t="str">
        <f t="shared" si="20"/>
        <v>628999007703</v>
      </c>
      <c r="AD207" t="str">
        <f t="shared" si="22"/>
        <v>Halo+,+Visual+AI+5S+menditeksi+Violation%3A+GUDANGEXP1-LINE+1</v>
      </c>
      <c r="AE207" t="str">
        <f t="shared" si="21"/>
        <v>https://web.whatsapp.com/send/?phone=628999007703&amp;text=Halo+,+Visual+AI+5S+menditeksi+Violation%3A+GUDANGEXP1-LINE+1&amp;type=phone_number&amp;app_absent=0</v>
      </c>
      <c r="AF207" t="b">
        <f>IF(ISNA(VLOOKUP(D207&amp;"-"&amp;AB207, Ref_Kontak!$A:$E, 4, FALSE)), FALSE, TRUE)</f>
        <v>0</v>
      </c>
      <c r="AG207" t="str">
        <f>_xlfn.IFNA(VLOOKUP(Z207,Ref_Kontak!H:H,1,FALSE),"FALSE")</f>
        <v>628999007703</v>
      </c>
      <c r="AH207" t="str">
        <f t="shared" si="23"/>
        <v>GUDANGEXP1-LINE 1</v>
      </c>
      <c r="AI207">
        <f>COUNTIF($AH$1:AH207,AH207)</f>
        <v>206</v>
      </c>
    </row>
    <row r="208" spans="1:35">
      <c r="A208" t="s">
        <v>56</v>
      </c>
      <c r="B208" t="s">
        <v>57</v>
      </c>
      <c r="C208" t="s">
        <v>270</v>
      </c>
      <c r="D208" t="s">
        <v>59</v>
      </c>
      <c r="E208">
        <v>1</v>
      </c>
      <c r="G208" t="s">
        <v>60</v>
      </c>
      <c r="I208" t="s">
        <v>61</v>
      </c>
      <c r="Z208" t="str">
        <f>IFERROR(MID(AA208,FIND("-",H208,1)+1,20),_xlfn.IFNA(VLOOKUP(F208&amp;"-"&amp;AA208,Ref_Kontak!$A:$E,4,FALSE),Ref_Kontak!$H$2))</f>
        <v>628999007703</v>
      </c>
      <c r="AA208" t="str">
        <f t="shared" si="18"/>
        <v/>
      </c>
      <c r="AB208" t="str">
        <f t="shared" si="19"/>
        <v/>
      </c>
      <c r="AC208" t="str">
        <f t="shared" si="20"/>
        <v>628999007703</v>
      </c>
      <c r="AD208" t="str">
        <f t="shared" si="22"/>
        <v>Halo+,+Visual+AI+5S+menditeksi+Violation%3A+GUDANGEXP1-LINE+1</v>
      </c>
      <c r="AE208" t="str">
        <f t="shared" si="21"/>
        <v>https://web.whatsapp.com/send/?phone=628999007703&amp;text=Halo+,+Visual+AI+5S+menditeksi+Violation%3A+GUDANGEXP1-LINE+1&amp;type=phone_number&amp;app_absent=0</v>
      </c>
      <c r="AF208" t="b">
        <f>IF(ISNA(VLOOKUP(D208&amp;"-"&amp;AB208, Ref_Kontak!$A:$E, 4, FALSE)), FALSE, TRUE)</f>
        <v>0</v>
      </c>
      <c r="AG208" t="str">
        <f>_xlfn.IFNA(VLOOKUP(Z208,Ref_Kontak!H:H,1,FALSE),"FALSE")</f>
        <v>628999007703</v>
      </c>
      <c r="AH208" t="str">
        <f t="shared" si="23"/>
        <v>GUDANGEXP1-LINE 1</v>
      </c>
      <c r="AI208">
        <f>COUNTIF($AH$1:AH208,AH208)</f>
        <v>207</v>
      </c>
    </row>
    <row r="209" spans="1:35">
      <c r="A209" t="s">
        <v>56</v>
      </c>
      <c r="B209" t="s">
        <v>57</v>
      </c>
      <c r="C209" t="s">
        <v>271</v>
      </c>
      <c r="D209" t="s">
        <v>59</v>
      </c>
      <c r="E209">
        <v>1</v>
      </c>
      <c r="G209" t="s">
        <v>60</v>
      </c>
      <c r="I209" t="s">
        <v>61</v>
      </c>
      <c r="Z209" t="str">
        <f>IFERROR(MID(AA209,FIND("-",H209,1)+1,20),_xlfn.IFNA(VLOOKUP(F209&amp;"-"&amp;AA209,Ref_Kontak!$A:$E,4,FALSE),Ref_Kontak!$H$2))</f>
        <v>628999007703</v>
      </c>
      <c r="AA209" t="str">
        <f t="shared" si="18"/>
        <v/>
      </c>
      <c r="AB209" t="str">
        <f t="shared" si="19"/>
        <v/>
      </c>
      <c r="AC209" t="str">
        <f t="shared" si="20"/>
        <v>628999007703</v>
      </c>
      <c r="AD209" t="str">
        <f t="shared" si="22"/>
        <v>Halo+,+Visual+AI+5S+menditeksi+Violation%3A+GUDANGEXP1-LINE+1</v>
      </c>
      <c r="AE209" t="str">
        <f t="shared" si="21"/>
        <v>https://web.whatsapp.com/send/?phone=628999007703&amp;text=Halo+,+Visual+AI+5S+menditeksi+Violation%3A+GUDANGEXP1-LINE+1&amp;type=phone_number&amp;app_absent=0</v>
      </c>
      <c r="AF209" t="b">
        <f>IF(ISNA(VLOOKUP(D209&amp;"-"&amp;AB209, Ref_Kontak!$A:$E, 4, FALSE)), FALSE, TRUE)</f>
        <v>0</v>
      </c>
      <c r="AG209" t="str">
        <f>_xlfn.IFNA(VLOOKUP(Z209,Ref_Kontak!H:H,1,FALSE),"FALSE")</f>
        <v>628999007703</v>
      </c>
      <c r="AH209" t="str">
        <f t="shared" si="23"/>
        <v>GUDANGEXP1-LINE 1</v>
      </c>
      <c r="AI209">
        <f>COUNTIF($AH$1:AH209,AH209)</f>
        <v>208</v>
      </c>
    </row>
    <row r="210" spans="1:35">
      <c r="A210" t="s">
        <v>56</v>
      </c>
      <c r="B210" t="s">
        <v>57</v>
      </c>
      <c r="C210" t="s">
        <v>272</v>
      </c>
      <c r="D210" t="s">
        <v>59</v>
      </c>
      <c r="E210">
        <v>1</v>
      </c>
      <c r="G210" t="s">
        <v>60</v>
      </c>
      <c r="I210" t="s">
        <v>61</v>
      </c>
      <c r="Z210" t="str">
        <f>IFERROR(MID(AA210,FIND("-",H210,1)+1,20),_xlfn.IFNA(VLOOKUP(F210&amp;"-"&amp;AA210,Ref_Kontak!$A:$E,4,FALSE),Ref_Kontak!$H$2))</f>
        <v>628999007703</v>
      </c>
      <c r="AA210" t="str">
        <f t="shared" si="18"/>
        <v/>
      </c>
      <c r="AB210" t="str">
        <f t="shared" si="19"/>
        <v/>
      </c>
      <c r="AC210" t="str">
        <f t="shared" si="20"/>
        <v>628999007703</v>
      </c>
      <c r="AD210" t="str">
        <f t="shared" si="22"/>
        <v>Halo+,+Visual+AI+5S+menditeksi+Violation%3A+GUDANGEXP1-LINE+1</v>
      </c>
      <c r="AE210" t="str">
        <f t="shared" si="21"/>
        <v>https://web.whatsapp.com/send/?phone=628999007703&amp;text=Halo+,+Visual+AI+5S+menditeksi+Violation%3A+GUDANGEXP1-LINE+1&amp;type=phone_number&amp;app_absent=0</v>
      </c>
      <c r="AF210" t="b">
        <f>IF(ISNA(VLOOKUP(D210&amp;"-"&amp;AB210, Ref_Kontak!$A:$E, 4, FALSE)), FALSE, TRUE)</f>
        <v>0</v>
      </c>
      <c r="AG210" t="str">
        <f>_xlfn.IFNA(VLOOKUP(Z210,Ref_Kontak!H:H,1,FALSE),"FALSE")</f>
        <v>628999007703</v>
      </c>
      <c r="AH210" t="str">
        <f t="shared" si="23"/>
        <v>GUDANGEXP1-LINE 1</v>
      </c>
      <c r="AI210">
        <f>COUNTIF($AH$1:AH210,AH210)</f>
        <v>209</v>
      </c>
    </row>
    <row r="211" spans="1:35">
      <c r="A211" t="s">
        <v>56</v>
      </c>
      <c r="B211" t="s">
        <v>57</v>
      </c>
      <c r="C211" t="s">
        <v>273</v>
      </c>
      <c r="D211" t="s">
        <v>59</v>
      </c>
      <c r="E211">
        <v>1</v>
      </c>
      <c r="G211" t="s">
        <v>60</v>
      </c>
      <c r="I211" t="s">
        <v>61</v>
      </c>
      <c r="Z211" t="str">
        <f>IFERROR(MID(AA211,FIND("-",H211,1)+1,20),_xlfn.IFNA(VLOOKUP(F211&amp;"-"&amp;AA211,Ref_Kontak!$A:$E,4,FALSE),Ref_Kontak!$H$2))</f>
        <v>628999007703</v>
      </c>
      <c r="AA211" t="str">
        <f t="shared" si="18"/>
        <v/>
      </c>
      <c r="AB211" t="str">
        <f t="shared" si="19"/>
        <v/>
      </c>
      <c r="AC211" t="str">
        <f t="shared" si="20"/>
        <v>628999007703</v>
      </c>
      <c r="AD211" t="str">
        <f t="shared" si="22"/>
        <v>Halo+,+Visual+AI+5S+menditeksi+Violation%3A+GUDANGEXP1-LINE+1</v>
      </c>
      <c r="AE211" t="str">
        <f t="shared" si="21"/>
        <v>https://web.whatsapp.com/send/?phone=628999007703&amp;text=Halo+,+Visual+AI+5S+menditeksi+Violation%3A+GUDANGEXP1-LINE+1&amp;type=phone_number&amp;app_absent=0</v>
      </c>
      <c r="AF211" t="b">
        <f>IF(ISNA(VLOOKUP(D211&amp;"-"&amp;AB211, Ref_Kontak!$A:$E, 4, FALSE)), FALSE, TRUE)</f>
        <v>0</v>
      </c>
      <c r="AG211" t="str">
        <f>_xlfn.IFNA(VLOOKUP(Z211,Ref_Kontak!H:H,1,FALSE),"FALSE")</f>
        <v>628999007703</v>
      </c>
      <c r="AH211" t="str">
        <f t="shared" si="23"/>
        <v>GUDANGEXP1-LINE 1</v>
      </c>
      <c r="AI211">
        <f>COUNTIF($AH$1:AH211,AH211)</f>
        <v>210</v>
      </c>
    </row>
    <row r="212" spans="1:35">
      <c r="A212" t="s">
        <v>56</v>
      </c>
      <c r="B212" t="s">
        <v>57</v>
      </c>
      <c r="C212" t="s">
        <v>274</v>
      </c>
      <c r="D212" t="s">
        <v>59</v>
      </c>
      <c r="E212">
        <v>1</v>
      </c>
      <c r="G212" t="s">
        <v>60</v>
      </c>
      <c r="I212" t="s">
        <v>61</v>
      </c>
      <c r="Z212" t="str">
        <f>IFERROR(MID(AA212,FIND("-",H212,1)+1,20),_xlfn.IFNA(VLOOKUP(F212&amp;"-"&amp;AA212,Ref_Kontak!$A:$E,4,FALSE),Ref_Kontak!$H$2))</f>
        <v>628999007703</v>
      </c>
      <c r="AA212" t="str">
        <f t="shared" si="18"/>
        <v/>
      </c>
      <c r="AB212" t="str">
        <f t="shared" si="19"/>
        <v/>
      </c>
      <c r="AC212" t="str">
        <f t="shared" si="20"/>
        <v>628999007703</v>
      </c>
      <c r="AD212" t="str">
        <f t="shared" si="22"/>
        <v>Halo+,+Visual+AI+5S+menditeksi+Violation%3A+GUDANGEXP1-LINE+1</v>
      </c>
      <c r="AE212" t="str">
        <f t="shared" si="21"/>
        <v>https://web.whatsapp.com/send/?phone=628999007703&amp;text=Halo+,+Visual+AI+5S+menditeksi+Violation%3A+GUDANGEXP1-LINE+1&amp;type=phone_number&amp;app_absent=0</v>
      </c>
      <c r="AF212" t="b">
        <f>IF(ISNA(VLOOKUP(D212&amp;"-"&amp;AB212, Ref_Kontak!$A:$E, 4, FALSE)), FALSE, TRUE)</f>
        <v>0</v>
      </c>
      <c r="AG212" t="str">
        <f>_xlfn.IFNA(VLOOKUP(Z212,Ref_Kontak!H:H,1,FALSE),"FALSE")</f>
        <v>628999007703</v>
      </c>
      <c r="AH212" t="str">
        <f t="shared" si="23"/>
        <v>GUDANGEXP1-LINE 1</v>
      </c>
      <c r="AI212">
        <f>COUNTIF($AH$1:AH212,AH212)</f>
        <v>211</v>
      </c>
    </row>
    <row r="213" spans="1:35">
      <c r="A213" t="s">
        <v>56</v>
      </c>
      <c r="B213" t="s">
        <v>57</v>
      </c>
      <c r="C213" t="s">
        <v>275</v>
      </c>
      <c r="D213" t="s">
        <v>59</v>
      </c>
      <c r="E213">
        <v>1</v>
      </c>
      <c r="G213" t="s">
        <v>60</v>
      </c>
      <c r="I213" t="s">
        <v>61</v>
      </c>
      <c r="Z213" t="str">
        <f>IFERROR(MID(AA213,FIND("-",H213,1)+1,20),_xlfn.IFNA(VLOOKUP(F213&amp;"-"&amp;AA213,Ref_Kontak!$A:$E,4,FALSE),Ref_Kontak!$H$2))</f>
        <v>628999007703</v>
      </c>
      <c r="AA213" t="str">
        <f t="shared" si="18"/>
        <v/>
      </c>
      <c r="AB213" t="str">
        <f t="shared" si="19"/>
        <v/>
      </c>
      <c r="AC213" t="str">
        <f t="shared" si="20"/>
        <v>628999007703</v>
      </c>
      <c r="AD213" t="str">
        <f t="shared" si="22"/>
        <v>Halo+,+Visual+AI+5S+menditeksi+Violation%3A+GUDANGEXP1-LINE+1</v>
      </c>
      <c r="AE213" t="str">
        <f t="shared" si="21"/>
        <v>https://web.whatsapp.com/send/?phone=628999007703&amp;text=Halo+,+Visual+AI+5S+menditeksi+Violation%3A+GUDANGEXP1-LINE+1&amp;type=phone_number&amp;app_absent=0</v>
      </c>
      <c r="AF213" t="b">
        <f>IF(ISNA(VLOOKUP(D213&amp;"-"&amp;AB213, Ref_Kontak!$A:$E, 4, FALSE)), FALSE, TRUE)</f>
        <v>0</v>
      </c>
      <c r="AG213" t="str">
        <f>_xlfn.IFNA(VLOOKUP(Z213,Ref_Kontak!H:H,1,FALSE),"FALSE")</f>
        <v>628999007703</v>
      </c>
      <c r="AH213" t="str">
        <f t="shared" si="23"/>
        <v>GUDANGEXP1-LINE 1</v>
      </c>
      <c r="AI213">
        <f>COUNTIF($AH$1:AH213,AH213)</f>
        <v>212</v>
      </c>
    </row>
    <row r="214" spans="1:35">
      <c r="A214" t="s">
        <v>56</v>
      </c>
      <c r="B214" t="s">
        <v>57</v>
      </c>
      <c r="C214" t="s">
        <v>276</v>
      </c>
      <c r="D214" t="s">
        <v>59</v>
      </c>
      <c r="E214">
        <v>1</v>
      </c>
      <c r="G214" t="s">
        <v>60</v>
      </c>
      <c r="I214" t="s">
        <v>61</v>
      </c>
      <c r="Z214" t="str">
        <f>IFERROR(MID(AA214,FIND("-",H214,1)+1,20),_xlfn.IFNA(VLOOKUP(F214&amp;"-"&amp;AA214,Ref_Kontak!$A:$E,4,FALSE),Ref_Kontak!$H$2))</f>
        <v>628999007703</v>
      </c>
      <c r="AA214" t="str">
        <f t="shared" si="18"/>
        <v/>
      </c>
      <c r="AB214" t="str">
        <f t="shared" si="19"/>
        <v/>
      </c>
      <c r="AC214" t="str">
        <f t="shared" si="20"/>
        <v>628999007703</v>
      </c>
      <c r="AD214" t="str">
        <f t="shared" si="22"/>
        <v>Halo+,+Visual+AI+5S+menditeksi+Violation%3A+GUDANGEXP1-LINE+1</v>
      </c>
      <c r="AE214" t="str">
        <f t="shared" si="21"/>
        <v>https://web.whatsapp.com/send/?phone=628999007703&amp;text=Halo+,+Visual+AI+5S+menditeksi+Violation%3A+GUDANGEXP1-LINE+1&amp;type=phone_number&amp;app_absent=0</v>
      </c>
      <c r="AF214" t="b">
        <f>IF(ISNA(VLOOKUP(D214&amp;"-"&amp;AB214, Ref_Kontak!$A:$E, 4, FALSE)), FALSE, TRUE)</f>
        <v>0</v>
      </c>
      <c r="AG214" t="str">
        <f>_xlfn.IFNA(VLOOKUP(Z214,Ref_Kontak!H:H,1,FALSE),"FALSE")</f>
        <v>628999007703</v>
      </c>
      <c r="AH214" t="str">
        <f t="shared" si="23"/>
        <v>GUDANGEXP1-LINE 1</v>
      </c>
      <c r="AI214">
        <f>COUNTIF($AH$1:AH214,AH214)</f>
        <v>213</v>
      </c>
    </row>
    <row r="215" spans="1:35">
      <c r="A215" t="s">
        <v>56</v>
      </c>
      <c r="B215" t="s">
        <v>57</v>
      </c>
      <c r="C215" t="s">
        <v>277</v>
      </c>
      <c r="D215" t="s">
        <v>59</v>
      </c>
      <c r="E215">
        <v>1</v>
      </c>
      <c r="G215" t="s">
        <v>60</v>
      </c>
      <c r="I215" t="s">
        <v>61</v>
      </c>
      <c r="Z215" t="str">
        <f>IFERROR(MID(AA215,FIND("-",H215,1)+1,20),_xlfn.IFNA(VLOOKUP(F215&amp;"-"&amp;AA215,Ref_Kontak!$A:$E,4,FALSE),Ref_Kontak!$H$2))</f>
        <v>628999007703</v>
      </c>
      <c r="AA215" t="str">
        <f t="shared" si="18"/>
        <v/>
      </c>
      <c r="AB215" t="str">
        <f t="shared" si="19"/>
        <v/>
      </c>
      <c r="AC215" t="str">
        <f t="shared" si="20"/>
        <v>628999007703</v>
      </c>
      <c r="AD215" t="str">
        <f t="shared" si="22"/>
        <v>Halo+,+Visual+AI+5S+menditeksi+Violation%3A+GUDANGEXP1-LINE+1</v>
      </c>
      <c r="AE215" t="str">
        <f t="shared" si="21"/>
        <v>https://web.whatsapp.com/send/?phone=628999007703&amp;text=Halo+,+Visual+AI+5S+menditeksi+Violation%3A+GUDANGEXP1-LINE+1&amp;type=phone_number&amp;app_absent=0</v>
      </c>
      <c r="AF215" t="b">
        <f>IF(ISNA(VLOOKUP(D215&amp;"-"&amp;AB215, Ref_Kontak!$A:$E, 4, FALSE)), FALSE, TRUE)</f>
        <v>0</v>
      </c>
      <c r="AG215" t="str">
        <f>_xlfn.IFNA(VLOOKUP(Z215,Ref_Kontak!H:H,1,FALSE),"FALSE")</f>
        <v>628999007703</v>
      </c>
      <c r="AH215" t="str">
        <f t="shared" si="23"/>
        <v>GUDANGEXP1-LINE 1</v>
      </c>
      <c r="AI215">
        <f>COUNTIF($AH$1:AH215,AH215)</f>
        <v>214</v>
      </c>
    </row>
    <row r="216" spans="1:35">
      <c r="A216" t="s">
        <v>56</v>
      </c>
      <c r="B216" t="s">
        <v>57</v>
      </c>
      <c r="C216" t="s">
        <v>278</v>
      </c>
      <c r="D216" t="s">
        <v>59</v>
      </c>
      <c r="E216">
        <v>1</v>
      </c>
      <c r="G216" t="s">
        <v>60</v>
      </c>
      <c r="I216" t="s">
        <v>61</v>
      </c>
      <c r="Z216" t="str">
        <f>IFERROR(MID(AA216,FIND("-",H216,1)+1,20),_xlfn.IFNA(VLOOKUP(F216&amp;"-"&amp;AA216,Ref_Kontak!$A:$E,4,FALSE),Ref_Kontak!$H$2))</f>
        <v>628999007703</v>
      </c>
      <c r="AA216" t="str">
        <f t="shared" si="18"/>
        <v/>
      </c>
      <c r="AB216" t="str">
        <f t="shared" si="19"/>
        <v/>
      </c>
      <c r="AC216" t="str">
        <f t="shared" si="20"/>
        <v>628999007703</v>
      </c>
      <c r="AD216" t="str">
        <f t="shared" si="22"/>
        <v>Halo+,+Visual+AI+5S+menditeksi+Violation%3A+GUDANGEXP1-LINE+1</v>
      </c>
      <c r="AE216" t="str">
        <f t="shared" si="21"/>
        <v>https://web.whatsapp.com/send/?phone=628999007703&amp;text=Halo+,+Visual+AI+5S+menditeksi+Violation%3A+GUDANGEXP1-LINE+1&amp;type=phone_number&amp;app_absent=0</v>
      </c>
      <c r="AF216" t="b">
        <f>IF(ISNA(VLOOKUP(D216&amp;"-"&amp;AB216, Ref_Kontak!$A:$E, 4, FALSE)), FALSE, TRUE)</f>
        <v>0</v>
      </c>
      <c r="AG216" t="str">
        <f>_xlfn.IFNA(VLOOKUP(Z216,Ref_Kontak!H:H,1,FALSE),"FALSE")</f>
        <v>628999007703</v>
      </c>
      <c r="AH216" t="str">
        <f t="shared" si="23"/>
        <v>GUDANGEXP1-LINE 1</v>
      </c>
      <c r="AI216">
        <f>COUNTIF($AH$1:AH216,AH216)</f>
        <v>215</v>
      </c>
    </row>
    <row r="217" spans="1:35">
      <c r="A217" t="s">
        <v>56</v>
      </c>
      <c r="B217" t="s">
        <v>57</v>
      </c>
      <c r="C217" t="s">
        <v>279</v>
      </c>
      <c r="D217" t="s">
        <v>59</v>
      </c>
      <c r="E217">
        <v>1</v>
      </c>
      <c r="G217" t="s">
        <v>60</v>
      </c>
      <c r="I217" t="s">
        <v>61</v>
      </c>
      <c r="Z217" t="str">
        <f>IFERROR(MID(AA217,FIND("-",H217,1)+1,20),_xlfn.IFNA(VLOOKUP(F217&amp;"-"&amp;AA217,Ref_Kontak!$A:$E,4,FALSE),Ref_Kontak!$H$2))</f>
        <v>628999007703</v>
      </c>
      <c r="AA217" t="str">
        <f t="shared" si="18"/>
        <v/>
      </c>
      <c r="AB217" t="str">
        <f t="shared" si="19"/>
        <v/>
      </c>
      <c r="AC217" t="str">
        <f t="shared" si="20"/>
        <v>628999007703</v>
      </c>
      <c r="AD217" t="str">
        <f t="shared" si="22"/>
        <v>Halo+,+Visual+AI+5S+menditeksi+Violation%3A+GUDANGEXP1-LINE+1</v>
      </c>
      <c r="AE217" t="str">
        <f t="shared" si="21"/>
        <v>https://web.whatsapp.com/send/?phone=628999007703&amp;text=Halo+,+Visual+AI+5S+menditeksi+Violation%3A+GUDANGEXP1-LINE+1&amp;type=phone_number&amp;app_absent=0</v>
      </c>
      <c r="AF217" t="b">
        <f>IF(ISNA(VLOOKUP(D217&amp;"-"&amp;AB217, Ref_Kontak!$A:$E, 4, FALSE)), FALSE, TRUE)</f>
        <v>0</v>
      </c>
      <c r="AG217" t="str">
        <f>_xlfn.IFNA(VLOOKUP(Z217,Ref_Kontak!H:H,1,FALSE),"FALSE")</f>
        <v>628999007703</v>
      </c>
      <c r="AH217" t="str">
        <f t="shared" si="23"/>
        <v>GUDANGEXP1-LINE 1</v>
      </c>
      <c r="AI217">
        <f>COUNTIF($AH$1:AH217,AH217)</f>
        <v>216</v>
      </c>
    </row>
    <row r="218" spans="1:35">
      <c r="A218" t="s">
        <v>56</v>
      </c>
      <c r="B218" t="s">
        <v>57</v>
      </c>
      <c r="C218" t="s">
        <v>280</v>
      </c>
      <c r="D218" t="s">
        <v>59</v>
      </c>
      <c r="E218">
        <v>1</v>
      </c>
      <c r="G218" t="s">
        <v>60</v>
      </c>
      <c r="I218" t="s">
        <v>61</v>
      </c>
      <c r="Z218" t="str">
        <f>IFERROR(MID(AA218,FIND("-",H218,1)+1,20),_xlfn.IFNA(VLOOKUP(F218&amp;"-"&amp;AA218,Ref_Kontak!$A:$E,4,FALSE),Ref_Kontak!$H$2))</f>
        <v>628999007703</v>
      </c>
      <c r="AA218" t="str">
        <f t="shared" si="18"/>
        <v/>
      </c>
      <c r="AB218" t="str">
        <f t="shared" si="19"/>
        <v/>
      </c>
      <c r="AC218" t="str">
        <f t="shared" si="20"/>
        <v>628999007703</v>
      </c>
      <c r="AD218" t="str">
        <f t="shared" si="22"/>
        <v>Halo+,+Visual+AI+5S+menditeksi+Violation%3A+GUDANGEXP1-LINE+1</v>
      </c>
      <c r="AE218" t="str">
        <f t="shared" si="21"/>
        <v>https://web.whatsapp.com/send/?phone=628999007703&amp;text=Halo+,+Visual+AI+5S+menditeksi+Violation%3A+GUDANGEXP1-LINE+1&amp;type=phone_number&amp;app_absent=0</v>
      </c>
      <c r="AF218" t="b">
        <f>IF(ISNA(VLOOKUP(D218&amp;"-"&amp;AB218, Ref_Kontak!$A:$E, 4, FALSE)), FALSE, TRUE)</f>
        <v>0</v>
      </c>
      <c r="AG218" t="str">
        <f>_xlfn.IFNA(VLOOKUP(Z218,Ref_Kontak!H:H,1,FALSE),"FALSE")</f>
        <v>628999007703</v>
      </c>
      <c r="AH218" t="str">
        <f t="shared" si="23"/>
        <v>GUDANGEXP1-LINE 1</v>
      </c>
      <c r="AI218">
        <f>COUNTIF($AH$1:AH218,AH218)</f>
        <v>217</v>
      </c>
    </row>
    <row r="219" spans="1:35">
      <c r="A219" t="s">
        <v>56</v>
      </c>
      <c r="B219" t="s">
        <v>57</v>
      </c>
      <c r="C219" t="s">
        <v>281</v>
      </c>
      <c r="D219" t="s">
        <v>59</v>
      </c>
      <c r="E219">
        <v>1</v>
      </c>
      <c r="G219" t="s">
        <v>60</v>
      </c>
      <c r="I219" t="s">
        <v>61</v>
      </c>
      <c r="Z219" t="str">
        <f>IFERROR(MID(AA219,FIND("-",H219,1)+1,20),_xlfn.IFNA(VLOOKUP(F219&amp;"-"&amp;AA219,Ref_Kontak!$A:$E,4,FALSE),Ref_Kontak!$H$2))</f>
        <v>628999007703</v>
      </c>
      <c r="AA219" t="str">
        <f t="shared" si="18"/>
        <v/>
      </c>
      <c r="AB219" t="str">
        <f t="shared" si="19"/>
        <v/>
      </c>
      <c r="AC219" t="str">
        <f t="shared" si="20"/>
        <v>628999007703</v>
      </c>
      <c r="AD219" t="str">
        <f t="shared" si="22"/>
        <v>Halo+,+Visual+AI+5S+menditeksi+Violation%3A+GUDANGEXP1-LINE+1</v>
      </c>
      <c r="AE219" t="str">
        <f t="shared" si="21"/>
        <v>https://web.whatsapp.com/send/?phone=628999007703&amp;text=Halo+,+Visual+AI+5S+menditeksi+Violation%3A+GUDANGEXP1-LINE+1&amp;type=phone_number&amp;app_absent=0</v>
      </c>
      <c r="AF219" t="b">
        <f>IF(ISNA(VLOOKUP(D219&amp;"-"&amp;AB219, Ref_Kontak!$A:$E, 4, FALSE)), FALSE, TRUE)</f>
        <v>0</v>
      </c>
      <c r="AG219" t="str">
        <f>_xlfn.IFNA(VLOOKUP(Z219,Ref_Kontak!H:H,1,FALSE),"FALSE")</f>
        <v>628999007703</v>
      </c>
      <c r="AH219" t="str">
        <f t="shared" si="23"/>
        <v>GUDANGEXP1-LINE 1</v>
      </c>
      <c r="AI219">
        <f>COUNTIF($AH$1:AH219,AH219)</f>
        <v>218</v>
      </c>
    </row>
    <row r="220" spans="1:35">
      <c r="A220" t="s">
        <v>56</v>
      </c>
      <c r="B220" t="s">
        <v>57</v>
      </c>
      <c r="C220" t="s">
        <v>282</v>
      </c>
      <c r="D220" t="s">
        <v>59</v>
      </c>
      <c r="E220">
        <v>1</v>
      </c>
      <c r="G220" t="s">
        <v>60</v>
      </c>
      <c r="I220" t="s">
        <v>61</v>
      </c>
      <c r="Z220" t="str">
        <f>IFERROR(MID(AA220,FIND("-",H220,1)+1,20),_xlfn.IFNA(VLOOKUP(F220&amp;"-"&amp;AA220,Ref_Kontak!$A:$E,4,FALSE),Ref_Kontak!$H$2))</f>
        <v>628999007703</v>
      </c>
      <c r="AA220" t="str">
        <f t="shared" si="18"/>
        <v/>
      </c>
      <c r="AB220" t="str">
        <f t="shared" si="19"/>
        <v/>
      </c>
      <c r="AC220" t="str">
        <f t="shared" si="20"/>
        <v>628999007703</v>
      </c>
      <c r="AD220" t="str">
        <f t="shared" si="22"/>
        <v>Halo+,+Visual+AI+5S+menditeksi+Violation%3A+GUDANGEXP1-LINE+1</v>
      </c>
      <c r="AE220" t="str">
        <f t="shared" si="21"/>
        <v>https://web.whatsapp.com/send/?phone=628999007703&amp;text=Halo+,+Visual+AI+5S+menditeksi+Violation%3A+GUDANGEXP1-LINE+1&amp;type=phone_number&amp;app_absent=0</v>
      </c>
      <c r="AF220" t="b">
        <f>IF(ISNA(VLOOKUP(D220&amp;"-"&amp;AB220, Ref_Kontak!$A:$E, 4, FALSE)), FALSE, TRUE)</f>
        <v>0</v>
      </c>
      <c r="AG220" t="str">
        <f>_xlfn.IFNA(VLOOKUP(Z220,Ref_Kontak!H:H,1,FALSE),"FALSE")</f>
        <v>628999007703</v>
      </c>
      <c r="AH220" t="str">
        <f t="shared" si="23"/>
        <v>GUDANGEXP1-LINE 1</v>
      </c>
      <c r="AI220">
        <f>COUNTIF($AH$1:AH220,AH220)</f>
        <v>219</v>
      </c>
    </row>
    <row r="221" spans="1:35">
      <c r="A221" t="s">
        <v>56</v>
      </c>
      <c r="B221" t="s">
        <v>57</v>
      </c>
      <c r="C221" t="s">
        <v>283</v>
      </c>
      <c r="D221" t="s">
        <v>59</v>
      </c>
      <c r="E221">
        <v>1</v>
      </c>
      <c r="G221" t="s">
        <v>60</v>
      </c>
      <c r="I221" t="s">
        <v>61</v>
      </c>
      <c r="Z221" t="str">
        <f>IFERROR(MID(AA221,FIND("-",H221,1)+1,20),_xlfn.IFNA(VLOOKUP(F221&amp;"-"&amp;AA221,Ref_Kontak!$A:$E,4,FALSE),Ref_Kontak!$H$2))</f>
        <v>628999007703</v>
      </c>
      <c r="AA221" t="str">
        <f t="shared" si="18"/>
        <v/>
      </c>
      <c r="AB221" t="str">
        <f t="shared" si="19"/>
        <v/>
      </c>
      <c r="AC221" t="str">
        <f t="shared" si="20"/>
        <v>628999007703</v>
      </c>
      <c r="AD221" t="str">
        <f t="shared" si="22"/>
        <v>Halo+,+Visual+AI+5S+menditeksi+Violation%3A+GUDANGEXP1-LINE+1</v>
      </c>
      <c r="AE221" t="str">
        <f t="shared" si="21"/>
        <v>https://web.whatsapp.com/send/?phone=628999007703&amp;text=Halo+,+Visual+AI+5S+menditeksi+Violation%3A+GUDANGEXP1-LINE+1&amp;type=phone_number&amp;app_absent=0</v>
      </c>
      <c r="AF221" t="b">
        <f>IF(ISNA(VLOOKUP(D221&amp;"-"&amp;AB221, Ref_Kontak!$A:$E, 4, FALSE)), FALSE, TRUE)</f>
        <v>0</v>
      </c>
      <c r="AG221" t="str">
        <f>_xlfn.IFNA(VLOOKUP(Z221,Ref_Kontak!H:H,1,FALSE),"FALSE")</f>
        <v>628999007703</v>
      </c>
      <c r="AH221" t="str">
        <f t="shared" si="23"/>
        <v>GUDANGEXP1-LINE 1</v>
      </c>
      <c r="AI221">
        <f>COUNTIF($AH$1:AH221,AH221)</f>
        <v>220</v>
      </c>
    </row>
    <row r="222" spans="1:35">
      <c r="A222" t="s">
        <v>56</v>
      </c>
      <c r="B222" t="s">
        <v>57</v>
      </c>
      <c r="C222" t="s">
        <v>284</v>
      </c>
      <c r="D222" t="s">
        <v>59</v>
      </c>
      <c r="E222">
        <v>1</v>
      </c>
      <c r="G222" t="s">
        <v>60</v>
      </c>
      <c r="I222" t="s">
        <v>61</v>
      </c>
      <c r="Z222" t="str">
        <f>IFERROR(MID(AA222,FIND("-",H222,1)+1,20),_xlfn.IFNA(VLOOKUP(F222&amp;"-"&amp;AA222,Ref_Kontak!$A:$E,4,FALSE),Ref_Kontak!$H$2))</f>
        <v>628999007703</v>
      </c>
      <c r="AA222" t="str">
        <f t="shared" si="18"/>
        <v/>
      </c>
      <c r="AB222" t="str">
        <f t="shared" si="19"/>
        <v/>
      </c>
      <c r="AC222" t="str">
        <f t="shared" si="20"/>
        <v>628999007703</v>
      </c>
      <c r="AD222" t="str">
        <f t="shared" si="22"/>
        <v>Halo+,+Visual+AI+5S+menditeksi+Violation%3A+GUDANGEXP1-LINE+1</v>
      </c>
      <c r="AE222" t="str">
        <f t="shared" si="21"/>
        <v>https://web.whatsapp.com/send/?phone=628999007703&amp;text=Halo+,+Visual+AI+5S+menditeksi+Violation%3A+GUDANGEXP1-LINE+1&amp;type=phone_number&amp;app_absent=0</v>
      </c>
      <c r="AF222" t="b">
        <f>IF(ISNA(VLOOKUP(D222&amp;"-"&amp;AB222, Ref_Kontak!$A:$E, 4, FALSE)), FALSE, TRUE)</f>
        <v>0</v>
      </c>
      <c r="AG222" t="str">
        <f>_xlfn.IFNA(VLOOKUP(Z222,Ref_Kontak!H:H,1,FALSE),"FALSE")</f>
        <v>628999007703</v>
      </c>
      <c r="AH222" t="str">
        <f t="shared" si="23"/>
        <v>GUDANGEXP1-LINE 1</v>
      </c>
      <c r="AI222">
        <f>COUNTIF($AH$1:AH222,AH222)</f>
        <v>221</v>
      </c>
    </row>
    <row r="223" spans="1:35">
      <c r="A223" t="s">
        <v>56</v>
      </c>
      <c r="B223" t="s">
        <v>57</v>
      </c>
      <c r="C223" t="s">
        <v>285</v>
      </c>
      <c r="D223" t="s">
        <v>59</v>
      </c>
      <c r="E223">
        <v>1</v>
      </c>
      <c r="G223" t="s">
        <v>60</v>
      </c>
      <c r="I223" t="s">
        <v>61</v>
      </c>
      <c r="Z223" t="str">
        <f>IFERROR(MID(AA223,FIND("-",H223,1)+1,20),_xlfn.IFNA(VLOOKUP(F223&amp;"-"&amp;AA223,Ref_Kontak!$A:$E,4,FALSE),Ref_Kontak!$H$2))</f>
        <v>628999007703</v>
      </c>
      <c r="AA223" t="str">
        <f t="shared" si="18"/>
        <v/>
      </c>
      <c r="AB223" t="str">
        <f t="shared" si="19"/>
        <v/>
      </c>
      <c r="AC223" t="str">
        <f t="shared" si="20"/>
        <v>628999007703</v>
      </c>
      <c r="AD223" t="str">
        <f t="shared" si="22"/>
        <v>Halo+,+Visual+AI+5S+menditeksi+Violation%3A+GUDANGEXP1-LINE+1</v>
      </c>
      <c r="AE223" t="str">
        <f t="shared" si="21"/>
        <v>https://web.whatsapp.com/send/?phone=628999007703&amp;text=Halo+,+Visual+AI+5S+menditeksi+Violation%3A+GUDANGEXP1-LINE+1&amp;type=phone_number&amp;app_absent=0</v>
      </c>
      <c r="AF223" t="b">
        <f>IF(ISNA(VLOOKUP(D223&amp;"-"&amp;AB223, Ref_Kontak!$A:$E, 4, FALSE)), FALSE, TRUE)</f>
        <v>0</v>
      </c>
      <c r="AG223" t="str">
        <f>_xlfn.IFNA(VLOOKUP(Z223,Ref_Kontak!H:H,1,FALSE),"FALSE")</f>
        <v>628999007703</v>
      </c>
      <c r="AH223" t="str">
        <f t="shared" si="23"/>
        <v>GUDANGEXP1-LINE 1</v>
      </c>
      <c r="AI223">
        <f>COUNTIF($AH$1:AH223,AH223)</f>
        <v>222</v>
      </c>
    </row>
    <row r="224" spans="1:35">
      <c r="A224" t="s">
        <v>56</v>
      </c>
      <c r="B224" t="s">
        <v>57</v>
      </c>
      <c r="C224" t="s">
        <v>286</v>
      </c>
      <c r="D224" t="s">
        <v>59</v>
      </c>
      <c r="E224">
        <v>1</v>
      </c>
      <c r="G224" t="s">
        <v>60</v>
      </c>
      <c r="I224" t="s">
        <v>61</v>
      </c>
      <c r="Z224" t="str">
        <f>IFERROR(MID(AA224,FIND("-",H224,1)+1,20),_xlfn.IFNA(VLOOKUP(F224&amp;"-"&amp;AA224,Ref_Kontak!$A:$E,4,FALSE),Ref_Kontak!$H$2))</f>
        <v>628999007703</v>
      </c>
      <c r="AA224" t="str">
        <f t="shared" si="18"/>
        <v/>
      </c>
      <c r="AB224" t="str">
        <f t="shared" si="19"/>
        <v/>
      </c>
      <c r="AC224" t="str">
        <f t="shared" si="20"/>
        <v>628999007703</v>
      </c>
      <c r="AD224" t="str">
        <f t="shared" si="22"/>
        <v>Halo+,+Visual+AI+5S+menditeksi+Violation%3A+GUDANGEXP1-LINE+1</v>
      </c>
      <c r="AE224" t="str">
        <f t="shared" si="21"/>
        <v>https://web.whatsapp.com/send/?phone=628999007703&amp;text=Halo+,+Visual+AI+5S+menditeksi+Violation%3A+GUDANGEXP1-LINE+1&amp;type=phone_number&amp;app_absent=0</v>
      </c>
      <c r="AF224" t="b">
        <f>IF(ISNA(VLOOKUP(D224&amp;"-"&amp;AB224, Ref_Kontak!$A:$E, 4, FALSE)), FALSE, TRUE)</f>
        <v>0</v>
      </c>
      <c r="AG224" t="str">
        <f>_xlfn.IFNA(VLOOKUP(Z224,Ref_Kontak!H:H,1,FALSE),"FALSE")</f>
        <v>628999007703</v>
      </c>
      <c r="AH224" t="str">
        <f t="shared" si="23"/>
        <v>GUDANGEXP1-LINE 1</v>
      </c>
      <c r="AI224">
        <f>COUNTIF($AH$1:AH224,AH224)</f>
        <v>223</v>
      </c>
    </row>
    <row r="225" spans="1:35">
      <c r="A225" t="s">
        <v>56</v>
      </c>
      <c r="B225" t="s">
        <v>57</v>
      </c>
      <c r="C225" t="s">
        <v>287</v>
      </c>
      <c r="D225" t="s">
        <v>59</v>
      </c>
      <c r="E225">
        <v>1</v>
      </c>
      <c r="G225" t="s">
        <v>60</v>
      </c>
      <c r="I225" t="s">
        <v>61</v>
      </c>
      <c r="Z225" t="str">
        <f>IFERROR(MID(AA225,FIND("-",H225,1)+1,20),_xlfn.IFNA(VLOOKUP(F225&amp;"-"&amp;AA225,Ref_Kontak!$A:$E,4,FALSE),Ref_Kontak!$H$2))</f>
        <v>628999007703</v>
      </c>
      <c r="AA225" t="str">
        <f t="shared" si="18"/>
        <v/>
      </c>
      <c r="AB225" t="str">
        <f t="shared" si="19"/>
        <v/>
      </c>
      <c r="AC225" t="str">
        <f t="shared" si="20"/>
        <v>628999007703</v>
      </c>
      <c r="AD225" t="str">
        <f t="shared" si="22"/>
        <v>Halo+,+Visual+AI+5S+menditeksi+Violation%3A+GUDANGEXP1-LINE+1</v>
      </c>
      <c r="AE225" t="str">
        <f t="shared" si="21"/>
        <v>https://web.whatsapp.com/send/?phone=628999007703&amp;text=Halo+,+Visual+AI+5S+menditeksi+Violation%3A+GUDANGEXP1-LINE+1&amp;type=phone_number&amp;app_absent=0</v>
      </c>
      <c r="AF225" t="b">
        <f>IF(ISNA(VLOOKUP(D225&amp;"-"&amp;AB225, Ref_Kontak!$A:$E, 4, FALSE)), FALSE, TRUE)</f>
        <v>0</v>
      </c>
      <c r="AG225" t="str">
        <f>_xlfn.IFNA(VLOOKUP(Z225,Ref_Kontak!H:H,1,FALSE),"FALSE")</f>
        <v>628999007703</v>
      </c>
      <c r="AH225" t="str">
        <f t="shared" si="23"/>
        <v>GUDANGEXP1-LINE 1</v>
      </c>
      <c r="AI225">
        <f>COUNTIF($AH$1:AH225,AH225)</f>
        <v>224</v>
      </c>
    </row>
    <row r="226" spans="1:35">
      <c r="A226" t="s">
        <v>56</v>
      </c>
      <c r="B226" t="s">
        <v>57</v>
      </c>
      <c r="C226" t="s">
        <v>288</v>
      </c>
      <c r="D226" t="s">
        <v>59</v>
      </c>
      <c r="E226">
        <v>1</v>
      </c>
      <c r="G226" t="s">
        <v>60</v>
      </c>
      <c r="I226" t="s">
        <v>61</v>
      </c>
      <c r="Z226" t="str">
        <f>IFERROR(MID(AA226,FIND("-",H226,1)+1,20),_xlfn.IFNA(VLOOKUP(F226&amp;"-"&amp;AA226,Ref_Kontak!$A:$E,4,FALSE),Ref_Kontak!$H$2))</f>
        <v>628999007703</v>
      </c>
      <c r="AA226" t="str">
        <f t="shared" si="18"/>
        <v/>
      </c>
      <c r="AB226" t="str">
        <f t="shared" si="19"/>
        <v/>
      </c>
      <c r="AC226" t="str">
        <f t="shared" si="20"/>
        <v>628999007703</v>
      </c>
      <c r="AD226" t="str">
        <f t="shared" si="22"/>
        <v>Halo+,+Visual+AI+5S+menditeksi+Violation%3A+GUDANGEXP1-LINE+1</v>
      </c>
      <c r="AE226" t="str">
        <f t="shared" si="21"/>
        <v>https://web.whatsapp.com/send/?phone=628999007703&amp;text=Halo+,+Visual+AI+5S+menditeksi+Violation%3A+GUDANGEXP1-LINE+1&amp;type=phone_number&amp;app_absent=0</v>
      </c>
      <c r="AF226" t="b">
        <f>IF(ISNA(VLOOKUP(D226&amp;"-"&amp;AB226, Ref_Kontak!$A:$E, 4, FALSE)), FALSE, TRUE)</f>
        <v>0</v>
      </c>
      <c r="AG226" t="str">
        <f>_xlfn.IFNA(VLOOKUP(Z226,Ref_Kontak!H:H,1,FALSE),"FALSE")</f>
        <v>628999007703</v>
      </c>
      <c r="AH226" t="str">
        <f t="shared" si="23"/>
        <v>GUDANGEXP1-LINE 1</v>
      </c>
      <c r="AI226">
        <f>COUNTIF($AH$1:AH226,AH226)</f>
        <v>225</v>
      </c>
    </row>
    <row r="227" spans="1:35">
      <c r="A227" t="s">
        <v>56</v>
      </c>
      <c r="B227" t="s">
        <v>57</v>
      </c>
      <c r="C227" t="s">
        <v>289</v>
      </c>
      <c r="D227" t="s">
        <v>59</v>
      </c>
      <c r="E227">
        <v>1</v>
      </c>
      <c r="G227" t="s">
        <v>60</v>
      </c>
      <c r="I227" t="s">
        <v>61</v>
      </c>
      <c r="Z227" t="str">
        <f>IFERROR(MID(AA227,FIND("-",H227,1)+1,20),_xlfn.IFNA(VLOOKUP(F227&amp;"-"&amp;AA227,Ref_Kontak!$A:$E,4,FALSE),Ref_Kontak!$H$2))</f>
        <v>628999007703</v>
      </c>
      <c r="AA227" t="str">
        <f t="shared" si="18"/>
        <v/>
      </c>
      <c r="AB227" t="str">
        <f t="shared" si="19"/>
        <v/>
      </c>
      <c r="AC227" t="str">
        <f t="shared" si="20"/>
        <v>628999007703</v>
      </c>
      <c r="AD227" t="str">
        <f t="shared" si="22"/>
        <v>Halo+,+Visual+AI+5S+menditeksi+Violation%3A+GUDANGEXP1-LINE+1</v>
      </c>
      <c r="AE227" t="str">
        <f t="shared" si="21"/>
        <v>https://web.whatsapp.com/send/?phone=628999007703&amp;text=Halo+,+Visual+AI+5S+menditeksi+Violation%3A+GUDANGEXP1-LINE+1&amp;type=phone_number&amp;app_absent=0</v>
      </c>
      <c r="AF227" t="b">
        <f>IF(ISNA(VLOOKUP(D227&amp;"-"&amp;AB227, Ref_Kontak!$A:$E, 4, FALSE)), FALSE, TRUE)</f>
        <v>0</v>
      </c>
      <c r="AG227" t="str">
        <f>_xlfn.IFNA(VLOOKUP(Z227,Ref_Kontak!H:H,1,FALSE),"FALSE")</f>
        <v>628999007703</v>
      </c>
      <c r="AH227" t="str">
        <f t="shared" si="23"/>
        <v>GUDANGEXP1-LINE 1</v>
      </c>
      <c r="AI227">
        <f>COUNTIF($AH$1:AH227,AH227)</f>
        <v>226</v>
      </c>
    </row>
    <row r="228" spans="1:35">
      <c r="A228" t="s">
        <v>56</v>
      </c>
      <c r="B228" t="s">
        <v>57</v>
      </c>
      <c r="C228" t="s">
        <v>290</v>
      </c>
      <c r="D228" t="s">
        <v>59</v>
      </c>
      <c r="E228">
        <v>1</v>
      </c>
      <c r="G228" t="s">
        <v>60</v>
      </c>
      <c r="I228" t="s">
        <v>61</v>
      </c>
      <c r="Z228" t="str">
        <f>IFERROR(MID(AA228,FIND("-",H228,1)+1,20),_xlfn.IFNA(VLOOKUP(F228&amp;"-"&amp;AA228,Ref_Kontak!$A:$E,4,FALSE),Ref_Kontak!$H$2))</f>
        <v>628999007703</v>
      </c>
      <c r="AA228" t="str">
        <f t="shared" si="18"/>
        <v/>
      </c>
      <c r="AB228" t="str">
        <f t="shared" si="19"/>
        <v/>
      </c>
      <c r="AC228" t="str">
        <f t="shared" si="20"/>
        <v>628999007703</v>
      </c>
      <c r="AD228" t="str">
        <f t="shared" si="22"/>
        <v>Halo+,+Visual+AI+5S+menditeksi+Violation%3A+GUDANGEXP1-LINE+1</v>
      </c>
      <c r="AE228" t="str">
        <f t="shared" si="21"/>
        <v>https://web.whatsapp.com/send/?phone=628999007703&amp;text=Halo+,+Visual+AI+5S+menditeksi+Violation%3A+GUDANGEXP1-LINE+1&amp;type=phone_number&amp;app_absent=0</v>
      </c>
      <c r="AF228" t="b">
        <f>IF(ISNA(VLOOKUP(D228&amp;"-"&amp;AB228, Ref_Kontak!$A:$E, 4, FALSE)), FALSE, TRUE)</f>
        <v>0</v>
      </c>
      <c r="AG228" t="str">
        <f>_xlfn.IFNA(VLOOKUP(Z228,Ref_Kontak!H:H,1,FALSE),"FALSE")</f>
        <v>628999007703</v>
      </c>
      <c r="AH228" t="str">
        <f t="shared" si="23"/>
        <v>GUDANGEXP1-LINE 1</v>
      </c>
      <c r="AI228">
        <f>COUNTIF($AH$1:AH228,AH228)</f>
        <v>227</v>
      </c>
    </row>
    <row r="229" spans="1:35">
      <c r="A229" t="s">
        <v>56</v>
      </c>
      <c r="B229" t="s">
        <v>57</v>
      </c>
      <c r="C229" t="s">
        <v>291</v>
      </c>
      <c r="D229" t="s">
        <v>59</v>
      </c>
      <c r="E229">
        <v>1</v>
      </c>
      <c r="G229" t="s">
        <v>60</v>
      </c>
      <c r="I229" t="s">
        <v>61</v>
      </c>
      <c r="Z229" t="str">
        <f>IFERROR(MID(AA229,FIND("-",H229,1)+1,20),_xlfn.IFNA(VLOOKUP(F229&amp;"-"&amp;AA229,Ref_Kontak!$A:$E,4,FALSE),Ref_Kontak!$H$2))</f>
        <v>628999007703</v>
      </c>
      <c r="AA229" t="str">
        <f t="shared" si="18"/>
        <v/>
      </c>
      <c r="AB229" t="str">
        <f t="shared" si="19"/>
        <v/>
      </c>
      <c r="AC229" t="str">
        <f t="shared" si="20"/>
        <v>628999007703</v>
      </c>
      <c r="AD229" t="str">
        <f t="shared" si="22"/>
        <v>Halo+,+Visual+AI+5S+menditeksi+Violation%3A+GUDANGEXP1-LINE+1</v>
      </c>
      <c r="AE229" t="str">
        <f t="shared" si="21"/>
        <v>https://web.whatsapp.com/send/?phone=628999007703&amp;text=Halo+,+Visual+AI+5S+menditeksi+Violation%3A+GUDANGEXP1-LINE+1&amp;type=phone_number&amp;app_absent=0</v>
      </c>
      <c r="AF229" t="b">
        <f>IF(ISNA(VLOOKUP(D229&amp;"-"&amp;AB229, Ref_Kontak!$A:$E, 4, FALSE)), FALSE, TRUE)</f>
        <v>0</v>
      </c>
      <c r="AG229" t="str">
        <f>_xlfn.IFNA(VLOOKUP(Z229,Ref_Kontak!H:H,1,FALSE),"FALSE")</f>
        <v>628999007703</v>
      </c>
      <c r="AH229" t="str">
        <f t="shared" si="23"/>
        <v>GUDANGEXP1-LINE 1</v>
      </c>
      <c r="AI229">
        <f>COUNTIF($AH$1:AH229,AH229)</f>
        <v>228</v>
      </c>
    </row>
    <row r="230" spans="1:35">
      <c r="A230" t="s">
        <v>56</v>
      </c>
      <c r="B230" t="s">
        <v>57</v>
      </c>
      <c r="C230" t="s">
        <v>292</v>
      </c>
      <c r="D230" t="s">
        <v>59</v>
      </c>
      <c r="E230">
        <v>1</v>
      </c>
      <c r="G230" t="s">
        <v>60</v>
      </c>
      <c r="I230" t="s">
        <v>61</v>
      </c>
      <c r="Z230" t="str">
        <f>IFERROR(MID(AA230,FIND("-",H230,1)+1,20),_xlfn.IFNA(VLOOKUP(F230&amp;"-"&amp;AA230,Ref_Kontak!$A:$E,4,FALSE),Ref_Kontak!$H$2))</f>
        <v>628999007703</v>
      </c>
      <c r="AA230" t="str">
        <f t="shared" si="18"/>
        <v/>
      </c>
      <c r="AB230" t="str">
        <f t="shared" si="19"/>
        <v/>
      </c>
      <c r="AC230" t="str">
        <f t="shared" si="20"/>
        <v>628999007703</v>
      </c>
      <c r="AD230" t="str">
        <f t="shared" si="22"/>
        <v>Halo+,+Visual+AI+5S+menditeksi+Violation%3A+GUDANGEXP1-LINE+1</v>
      </c>
      <c r="AE230" t="str">
        <f t="shared" si="21"/>
        <v>https://web.whatsapp.com/send/?phone=628999007703&amp;text=Halo+,+Visual+AI+5S+menditeksi+Violation%3A+GUDANGEXP1-LINE+1&amp;type=phone_number&amp;app_absent=0</v>
      </c>
      <c r="AF230" t="b">
        <f>IF(ISNA(VLOOKUP(D230&amp;"-"&amp;AB230, Ref_Kontak!$A:$E, 4, FALSE)), FALSE, TRUE)</f>
        <v>0</v>
      </c>
      <c r="AG230" t="str">
        <f>_xlfn.IFNA(VLOOKUP(Z230,Ref_Kontak!H:H,1,FALSE),"FALSE")</f>
        <v>628999007703</v>
      </c>
      <c r="AH230" t="str">
        <f t="shared" si="23"/>
        <v>GUDANGEXP1-LINE 1</v>
      </c>
      <c r="AI230">
        <f>COUNTIF($AH$1:AH230,AH230)</f>
        <v>229</v>
      </c>
    </row>
    <row r="231" spans="1:35">
      <c r="A231" t="s">
        <v>56</v>
      </c>
      <c r="B231" t="s">
        <v>57</v>
      </c>
      <c r="C231" t="s">
        <v>293</v>
      </c>
      <c r="D231" t="s">
        <v>59</v>
      </c>
      <c r="E231">
        <v>1</v>
      </c>
      <c r="G231" t="s">
        <v>60</v>
      </c>
      <c r="I231" t="s">
        <v>61</v>
      </c>
      <c r="Z231" t="str">
        <f>IFERROR(MID(AA231,FIND("-",H231,1)+1,20),_xlfn.IFNA(VLOOKUP(F231&amp;"-"&amp;AA231,Ref_Kontak!$A:$E,4,FALSE),Ref_Kontak!$H$2))</f>
        <v>628999007703</v>
      </c>
      <c r="AA231" t="str">
        <f t="shared" si="18"/>
        <v/>
      </c>
      <c r="AB231" t="str">
        <f t="shared" si="19"/>
        <v/>
      </c>
      <c r="AC231" t="str">
        <f t="shared" si="20"/>
        <v>628999007703</v>
      </c>
      <c r="AD231" t="str">
        <f t="shared" si="22"/>
        <v>Halo+,+Visual+AI+5S+menditeksi+Violation%3A+GUDANGEXP1-LINE+1</v>
      </c>
      <c r="AE231" t="str">
        <f t="shared" si="21"/>
        <v>https://web.whatsapp.com/send/?phone=628999007703&amp;text=Halo+,+Visual+AI+5S+menditeksi+Violation%3A+GUDANGEXP1-LINE+1&amp;type=phone_number&amp;app_absent=0</v>
      </c>
      <c r="AF231" t="b">
        <f>IF(ISNA(VLOOKUP(D231&amp;"-"&amp;AB231, Ref_Kontak!$A:$E, 4, FALSE)), FALSE, TRUE)</f>
        <v>0</v>
      </c>
      <c r="AG231" t="str">
        <f>_xlfn.IFNA(VLOOKUP(Z231,Ref_Kontak!H:H,1,FALSE),"FALSE")</f>
        <v>628999007703</v>
      </c>
      <c r="AH231" t="str">
        <f t="shared" si="23"/>
        <v>GUDANGEXP1-LINE 1</v>
      </c>
      <c r="AI231">
        <f>COUNTIF($AH$1:AH231,AH231)</f>
        <v>230</v>
      </c>
    </row>
    <row r="232" spans="1:35">
      <c r="A232" t="s">
        <v>56</v>
      </c>
      <c r="B232" t="s">
        <v>57</v>
      </c>
      <c r="C232" t="s">
        <v>294</v>
      </c>
      <c r="D232" t="s">
        <v>59</v>
      </c>
      <c r="E232">
        <v>1</v>
      </c>
      <c r="G232" t="s">
        <v>60</v>
      </c>
      <c r="I232" t="s">
        <v>61</v>
      </c>
      <c r="Z232" t="str">
        <f>IFERROR(MID(AA232,FIND("-",H232,1)+1,20),_xlfn.IFNA(VLOOKUP(F232&amp;"-"&amp;AA232,Ref_Kontak!$A:$E,4,FALSE),Ref_Kontak!$H$2))</f>
        <v>628999007703</v>
      </c>
      <c r="AA232" t="str">
        <f t="shared" si="18"/>
        <v/>
      </c>
      <c r="AB232" t="str">
        <f t="shared" si="19"/>
        <v/>
      </c>
      <c r="AC232" t="str">
        <f t="shared" si="20"/>
        <v>628999007703</v>
      </c>
      <c r="AD232" t="str">
        <f t="shared" si="22"/>
        <v>Halo+,+Visual+AI+5S+menditeksi+Violation%3A+GUDANGEXP1-LINE+1</v>
      </c>
      <c r="AE232" t="str">
        <f t="shared" si="21"/>
        <v>https://web.whatsapp.com/send/?phone=628999007703&amp;text=Halo+,+Visual+AI+5S+menditeksi+Violation%3A+GUDANGEXP1-LINE+1&amp;type=phone_number&amp;app_absent=0</v>
      </c>
      <c r="AF232" t="b">
        <f>IF(ISNA(VLOOKUP(D232&amp;"-"&amp;AB232, Ref_Kontak!$A:$E, 4, FALSE)), FALSE, TRUE)</f>
        <v>0</v>
      </c>
      <c r="AG232" t="str">
        <f>_xlfn.IFNA(VLOOKUP(Z232,Ref_Kontak!H:H,1,FALSE),"FALSE")</f>
        <v>628999007703</v>
      </c>
      <c r="AH232" t="str">
        <f t="shared" si="23"/>
        <v>GUDANGEXP1-LINE 1</v>
      </c>
      <c r="AI232">
        <f>COUNTIF($AH$1:AH232,AH232)</f>
        <v>231</v>
      </c>
    </row>
    <row r="233" spans="1:35">
      <c r="A233" t="s">
        <v>56</v>
      </c>
      <c r="B233" t="s">
        <v>57</v>
      </c>
      <c r="C233" t="s">
        <v>295</v>
      </c>
      <c r="D233" t="s">
        <v>59</v>
      </c>
      <c r="E233">
        <v>1</v>
      </c>
      <c r="G233" t="s">
        <v>60</v>
      </c>
      <c r="I233" t="s">
        <v>61</v>
      </c>
      <c r="Z233" t="str">
        <f>IFERROR(MID(AA233,FIND("-",H233,1)+1,20),_xlfn.IFNA(VLOOKUP(F233&amp;"-"&amp;AA233,Ref_Kontak!$A:$E,4,FALSE),Ref_Kontak!$H$2))</f>
        <v>628999007703</v>
      </c>
      <c r="AA233" t="str">
        <f t="shared" si="18"/>
        <v/>
      </c>
      <c r="AB233" t="str">
        <f t="shared" si="19"/>
        <v/>
      </c>
      <c r="AC233" t="str">
        <f t="shared" si="20"/>
        <v>628999007703</v>
      </c>
      <c r="AD233" t="str">
        <f t="shared" si="22"/>
        <v>Halo+,+Visual+AI+5S+menditeksi+Violation%3A+GUDANGEXP1-LINE+1</v>
      </c>
      <c r="AE233" t="str">
        <f t="shared" si="21"/>
        <v>https://web.whatsapp.com/send/?phone=628999007703&amp;text=Halo+,+Visual+AI+5S+menditeksi+Violation%3A+GUDANGEXP1-LINE+1&amp;type=phone_number&amp;app_absent=0</v>
      </c>
      <c r="AF233" t="b">
        <f>IF(ISNA(VLOOKUP(D233&amp;"-"&amp;AB233, Ref_Kontak!$A:$E, 4, FALSE)), FALSE, TRUE)</f>
        <v>0</v>
      </c>
      <c r="AG233" t="str">
        <f>_xlfn.IFNA(VLOOKUP(Z233,Ref_Kontak!H:H,1,FALSE),"FALSE")</f>
        <v>628999007703</v>
      </c>
      <c r="AH233" t="str">
        <f t="shared" si="23"/>
        <v>GUDANGEXP1-LINE 1</v>
      </c>
      <c r="AI233">
        <f>COUNTIF($AH$1:AH233,AH233)</f>
        <v>232</v>
      </c>
    </row>
    <row r="234" spans="1:35">
      <c r="A234" t="s">
        <v>56</v>
      </c>
      <c r="B234" t="s">
        <v>57</v>
      </c>
      <c r="C234" t="s">
        <v>296</v>
      </c>
      <c r="D234" t="s">
        <v>59</v>
      </c>
      <c r="E234">
        <v>1</v>
      </c>
      <c r="G234" t="s">
        <v>60</v>
      </c>
      <c r="I234" t="s">
        <v>61</v>
      </c>
      <c r="Z234" t="str">
        <f>IFERROR(MID(AA234,FIND("-",H234,1)+1,20),_xlfn.IFNA(VLOOKUP(F234&amp;"-"&amp;AA234,Ref_Kontak!$A:$E,4,FALSE),Ref_Kontak!$H$2))</f>
        <v>628999007703</v>
      </c>
      <c r="AA234" t="str">
        <f t="shared" si="18"/>
        <v/>
      </c>
      <c r="AB234" t="str">
        <f t="shared" si="19"/>
        <v/>
      </c>
      <c r="AC234" t="str">
        <f t="shared" si="20"/>
        <v>628999007703</v>
      </c>
      <c r="AD234" t="str">
        <f t="shared" si="22"/>
        <v>Halo+,+Visual+AI+5S+menditeksi+Violation%3A+GUDANGEXP1-LINE+1</v>
      </c>
      <c r="AE234" t="str">
        <f t="shared" si="21"/>
        <v>https://web.whatsapp.com/send/?phone=628999007703&amp;text=Halo+,+Visual+AI+5S+menditeksi+Violation%3A+GUDANGEXP1-LINE+1&amp;type=phone_number&amp;app_absent=0</v>
      </c>
      <c r="AF234" t="b">
        <f>IF(ISNA(VLOOKUP(D234&amp;"-"&amp;AB234, Ref_Kontak!$A:$E, 4, FALSE)), FALSE, TRUE)</f>
        <v>0</v>
      </c>
      <c r="AG234" t="str">
        <f>_xlfn.IFNA(VLOOKUP(Z234,Ref_Kontak!H:H,1,FALSE),"FALSE")</f>
        <v>628999007703</v>
      </c>
      <c r="AH234" t="str">
        <f t="shared" si="23"/>
        <v>GUDANGEXP1-LINE 1</v>
      </c>
      <c r="AI234">
        <f>COUNTIF($AH$1:AH234,AH234)</f>
        <v>233</v>
      </c>
    </row>
    <row r="235" spans="1:35">
      <c r="A235" t="s">
        <v>56</v>
      </c>
      <c r="B235" t="s">
        <v>57</v>
      </c>
      <c r="C235" t="s">
        <v>297</v>
      </c>
      <c r="D235" t="s">
        <v>59</v>
      </c>
      <c r="E235">
        <v>1</v>
      </c>
      <c r="G235" t="s">
        <v>60</v>
      </c>
      <c r="I235" t="s">
        <v>61</v>
      </c>
      <c r="Z235" t="str">
        <f>IFERROR(MID(AA235,FIND("-",H235,1)+1,20),_xlfn.IFNA(VLOOKUP(F235&amp;"-"&amp;AA235,Ref_Kontak!$A:$E,4,FALSE),Ref_Kontak!$H$2))</f>
        <v>628999007703</v>
      </c>
      <c r="AA235" t="str">
        <f t="shared" si="18"/>
        <v/>
      </c>
      <c r="AB235" t="str">
        <f t="shared" si="19"/>
        <v/>
      </c>
      <c r="AC235" t="str">
        <f t="shared" si="20"/>
        <v>628999007703</v>
      </c>
      <c r="AD235" t="str">
        <f t="shared" si="22"/>
        <v>Halo+,+Visual+AI+5S+menditeksi+Violation%3A+GUDANGEXP1-LINE+1</v>
      </c>
      <c r="AE235" t="str">
        <f t="shared" si="21"/>
        <v>https://web.whatsapp.com/send/?phone=628999007703&amp;text=Halo+,+Visual+AI+5S+menditeksi+Violation%3A+GUDANGEXP1-LINE+1&amp;type=phone_number&amp;app_absent=0</v>
      </c>
      <c r="AF235" t="b">
        <f>IF(ISNA(VLOOKUP(D235&amp;"-"&amp;AB235, Ref_Kontak!$A:$E, 4, FALSE)), FALSE, TRUE)</f>
        <v>0</v>
      </c>
      <c r="AG235" t="str">
        <f>_xlfn.IFNA(VLOOKUP(Z235,Ref_Kontak!H:H,1,FALSE),"FALSE")</f>
        <v>628999007703</v>
      </c>
      <c r="AH235" t="str">
        <f t="shared" si="23"/>
        <v>GUDANGEXP1-LINE 1</v>
      </c>
      <c r="AI235">
        <f>COUNTIF($AH$1:AH235,AH235)</f>
        <v>234</v>
      </c>
    </row>
    <row r="236" spans="1:35">
      <c r="A236" t="s">
        <v>56</v>
      </c>
      <c r="B236" t="s">
        <v>57</v>
      </c>
      <c r="C236" t="s">
        <v>298</v>
      </c>
      <c r="D236" t="s">
        <v>59</v>
      </c>
      <c r="E236">
        <v>1</v>
      </c>
      <c r="G236" t="s">
        <v>60</v>
      </c>
      <c r="I236" t="s">
        <v>61</v>
      </c>
      <c r="Z236" t="str">
        <f>IFERROR(MID(AA236,FIND("-",H236,1)+1,20),_xlfn.IFNA(VLOOKUP(F236&amp;"-"&amp;AA236,Ref_Kontak!$A:$E,4,FALSE),Ref_Kontak!$H$2))</f>
        <v>628999007703</v>
      </c>
      <c r="AA236" t="str">
        <f t="shared" si="18"/>
        <v/>
      </c>
      <c r="AB236" t="str">
        <f t="shared" si="19"/>
        <v/>
      </c>
      <c r="AC236" t="str">
        <f t="shared" si="20"/>
        <v>628999007703</v>
      </c>
      <c r="AD236" t="str">
        <f t="shared" si="22"/>
        <v>Halo+,+Visual+AI+5S+menditeksi+Violation%3A+GUDANGEXP1-LINE+1</v>
      </c>
      <c r="AE236" t="str">
        <f t="shared" si="21"/>
        <v>https://web.whatsapp.com/send/?phone=628999007703&amp;text=Halo+,+Visual+AI+5S+menditeksi+Violation%3A+GUDANGEXP1-LINE+1&amp;type=phone_number&amp;app_absent=0</v>
      </c>
      <c r="AF236" t="b">
        <f>IF(ISNA(VLOOKUP(D236&amp;"-"&amp;AB236, Ref_Kontak!$A:$E, 4, FALSE)), FALSE, TRUE)</f>
        <v>0</v>
      </c>
      <c r="AG236" t="str">
        <f>_xlfn.IFNA(VLOOKUP(Z236,Ref_Kontak!H:H,1,FALSE),"FALSE")</f>
        <v>628999007703</v>
      </c>
      <c r="AH236" t="str">
        <f t="shared" si="23"/>
        <v>GUDANGEXP1-LINE 1</v>
      </c>
      <c r="AI236">
        <f>COUNTIF($AH$1:AH236,AH236)</f>
        <v>235</v>
      </c>
    </row>
    <row r="237" spans="1:35">
      <c r="A237" t="s">
        <v>56</v>
      </c>
      <c r="B237" t="s">
        <v>57</v>
      </c>
      <c r="C237" t="s">
        <v>299</v>
      </c>
      <c r="D237" t="s">
        <v>59</v>
      </c>
      <c r="E237">
        <v>1</v>
      </c>
      <c r="G237" t="s">
        <v>60</v>
      </c>
      <c r="I237" t="s">
        <v>61</v>
      </c>
      <c r="Z237" t="str">
        <f>IFERROR(MID(AA237,FIND("-",H237,1)+1,20),_xlfn.IFNA(VLOOKUP(F237&amp;"-"&amp;AA237,Ref_Kontak!$A:$E,4,FALSE),Ref_Kontak!$H$2))</f>
        <v>628999007703</v>
      </c>
      <c r="AA237" t="str">
        <f t="shared" si="18"/>
        <v/>
      </c>
      <c r="AB237" t="str">
        <f t="shared" si="19"/>
        <v/>
      </c>
      <c r="AC237" t="str">
        <f t="shared" si="20"/>
        <v>628999007703</v>
      </c>
      <c r="AD237" t="str">
        <f t="shared" si="22"/>
        <v>Halo+,+Visual+AI+5S+menditeksi+Violation%3A+GUDANGEXP1-LINE+1</v>
      </c>
      <c r="AE237" t="str">
        <f t="shared" si="21"/>
        <v>https://web.whatsapp.com/send/?phone=628999007703&amp;text=Halo+,+Visual+AI+5S+menditeksi+Violation%3A+GUDANGEXP1-LINE+1&amp;type=phone_number&amp;app_absent=0</v>
      </c>
      <c r="AF237" t="b">
        <f>IF(ISNA(VLOOKUP(D237&amp;"-"&amp;AB237, Ref_Kontak!$A:$E, 4, FALSE)), FALSE, TRUE)</f>
        <v>0</v>
      </c>
      <c r="AG237" t="str">
        <f>_xlfn.IFNA(VLOOKUP(Z237,Ref_Kontak!H:H,1,FALSE),"FALSE")</f>
        <v>628999007703</v>
      </c>
      <c r="AH237" t="str">
        <f t="shared" si="23"/>
        <v>GUDANGEXP1-LINE 1</v>
      </c>
      <c r="AI237">
        <f>COUNTIF($AH$1:AH237,AH237)</f>
        <v>236</v>
      </c>
    </row>
    <row r="238" spans="1:35">
      <c r="A238" t="s">
        <v>56</v>
      </c>
      <c r="B238" t="s">
        <v>57</v>
      </c>
      <c r="C238" t="s">
        <v>300</v>
      </c>
      <c r="D238" t="s">
        <v>59</v>
      </c>
      <c r="E238">
        <v>1</v>
      </c>
      <c r="G238" t="s">
        <v>60</v>
      </c>
      <c r="I238" t="s">
        <v>61</v>
      </c>
      <c r="Z238" t="str">
        <f>IFERROR(MID(AA238,FIND("-",H238,1)+1,20),_xlfn.IFNA(VLOOKUP(F238&amp;"-"&amp;AA238,Ref_Kontak!$A:$E,4,FALSE),Ref_Kontak!$H$2))</f>
        <v>628999007703</v>
      </c>
      <c r="AA238" t="str">
        <f t="shared" si="18"/>
        <v/>
      </c>
      <c r="AB238" t="str">
        <f t="shared" si="19"/>
        <v/>
      </c>
      <c r="AC238" t="str">
        <f t="shared" si="20"/>
        <v>628999007703</v>
      </c>
      <c r="AD238" t="str">
        <f t="shared" si="22"/>
        <v>Halo+,+Visual+AI+5S+menditeksi+Violation%3A+GUDANGEXP1-LINE+1</v>
      </c>
      <c r="AE238" t="str">
        <f t="shared" si="21"/>
        <v>https://web.whatsapp.com/send/?phone=628999007703&amp;text=Halo+,+Visual+AI+5S+menditeksi+Violation%3A+GUDANGEXP1-LINE+1&amp;type=phone_number&amp;app_absent=0</v>
      </c>
      <c r="AF238" t="b">
        <f>IF(ISNA(VLOOKUP(D238&amp;"-"&amp;AB238, Ref_Kontak!$A:$E, 4, FALSE)), FALSE, TRUE)</f>
        <v>0</v>
      </c>
      <c r="AG238" t="str">
        <f>_xlfn.IFNA(VLOOKUP(Z238,Ref_Kontak!H:H,1,FALSE),"FALSE")</f>
        <v>628999007703</v>
      </c>
      <c r="AH238" t="str">
        <f t="shared" si="23"/>
        <v>GUDANGEXP1-LINE 1</v>
      </c>
      <c r="AI238">
        <f>COUNTIF($AH$1:AH238,AH238)</f>
        <v>237</v>
      </c>
    </row>
    <row r="239" spans="1:35">
      <c r="A239" t="s">
        <v>56</v>
      </c>
      <c r="B239" t="s">
        <v>57</v>
      </c>
      <c r="C239" t="s">
        <v>301</v>
      </c>
      <c r="D239" t="s">
        <v>59</v>
      </c>
      <c r="E239">
        <v>1</v>
      </c>
      <c r="G239" t="s">
        <v>60</v>
      </c>
      <c r="I239" t="s">
        <v>61</v>
      </c>
      <c r="Z239" t="str">
        <f>IFERROR(MID(AA239,FIND("-",H239,1)+1,20),_xlfn.IFNA(VLOOKUP(F239&amp;"-"&amp;AA239,Ref_Kontak!$A:$E,4,FALSE),Ref_Kontak!$H$2))</f>
        <v>628999007703</v>
      </c>
      <c r="AA239" t="str">
        <f t="shared" si="18"/>
        <v/>
      </c>
      <c r="AB239" t="str">
        <f t="shared" si="19"/>
        <v/>
      </c>
      <c r="AC239" t="str">
        <f t="shared" si="20"/>
        <v>628999007703</v>
      </c>
      <c r="AD239" t="str">
        <f t="shared" si="22"/>
        <v>Halo+,+Visual+AI+5S+menditeksi+Violation%3A+GUDANGEXP1-LINE+1</v>
      </c>
      <c r="AE239" t="str">
        <f t="shared" si="21"/>
        <v>https://web.whatsapp.com/send/?phone=628999007703&amp;text=Halo+,+Visual+AI+5S+menditeksi+Violation%3A+GUDANGEXP1-LINE+1&amp;type=phone_number&amp;app_absent=0</v>
      </c>
      <c r="AF239" t="b">
        <f>IF(ISNA(VLOOKUP(D239&amp;"-"&amp;AB239, Ref_Kontak!$A:$E, 4, FALSE)), FALSE, TRUE)</f>
        <v>0</v>
      </c>
      <c r="AG239" t="str">
        <f>_xlfn.IFNA(VLOOKUP(Z239,Ref_Kontak!H:H,1,FALSE),"FALSE")</f>
        <v>628999007703</v>
      </c>
      <c r="AH239" t="str">
        <f t="shared" si="23"/>
        <v>GUDANGEXP1-LINE 1</v>
      </c>
      <c r="AI239">
        <f>COUNTIF($AH$1:AH239,AH239)</f>
        <v>238</v>
      </c>
    </row>
    <row r="240" spans="1:35">
      <c r="A240" t="s">
        <v>56</v>
      </c>
      <c r="B240" t="s">
        <v>57</v>
      </c>
      <c r="C240" t="s">
        <v>302</v>
      </c>
      <c r="D240" t="s">
        <v>59</v>
      </c>
      <c r="E240">
        <v>1</v>
      </c>
      <c r="G240" t="s">
        <v>60</v>
      </c>
      <c r="I240" t="s">
        <v>61</v>
      </c>
      <c r="Z240" t="str">
        <f>IFERROR(MID(AA240,FIND("-",H240,1)+1,20),_xlfn.IFNA(VLOOKUP(F240&amp;"-"&amp;AA240,Ref_Kontak!$A:$E,4,FALSE),Ref_Kontak!$H$2))</f>
        <v>628999007703</v>
      </c>
      <c r="AA240" t="str">
        <f t="shared" si="18"/>
        <v/>
      </c>
      <c r="AB240" t="str">
        <f t="shared" si="19"/>
        <v/>
      </c>
      <c r="AC240" t="str">
        <f t="shared" si="20"/>
        <v>628999007703</v>
      </c>
      <c r="AD240" t="str">
        <f t="shared" si="22"/>
        <v>Halo+,+Visual+AI+5S+menditeksi+Violation%3A+GUDANGEXP1-LINE+1</v>
      </c>
      <c r="AE240" t="str">
        <f t="shared" si="21"/>
        <v>https://web.whatsapp.com/send/?phone=628999007703&amp;text=Halo+,+Visual+AI+5S+menditeksi+Violation%3A+GUDANGEXP1-LINE+1&amp;type=phone_number&amp;app_absent=0</v>
      </c>
      <c r="AF240" t="b">
        <f>IF(ISNA(VLOOKUP(D240&amp;"-"&amp;AB240, Ref_Kontak!$A:$E, 4, FALSE)), FALSE, TRUE)</f>
        <v>0</v>
      </c>
      <c r="AG240" t="str">
        <f>_xlfn.IFNA(VLOOKUP(Z240,Ref_Kontak!H:H,1,FALSE),"FALSE")</f>
        <v>628999007703</v>
      </c>
      <c r="AH240" t="str">
        <f t="shared" si="23"/>
        <v>GUDANGEXP1-LINE 1</v>
      </c>
      <c r="AI240">
        <f>COUNTIF($AH$1:AH240,AH240)</f>
        <v>239</v>
      </c>
    </row>
    <row r="241" spans="1:35">
      <c r="A241" t="s">
        <v>56</v>
      </c>
      <c r="B241" t="s">
        <v>57</v>
      </c>
      <c r="C241" t="s">
        <v>303</v>
      </c>
      <c r="D241" t="s">
        <v>59</v>
      </c>
      <c r="E241">
        <v>1</v>
      </c>
      <c r="G241" t="s">
        <v>60</v>
      </c>
      <c r="I241" t="s">
        <v>61</v>
      </c>
      <c r="Z241" t="str">
        <f>IFERROR(MID(AA241,FIND("-",H241,1)+1,20),_xlfn.IFNA(VLOOKUP(F241&amp;"-"&amp;AA241,Ref_Kontak!$A:$E,4,FALSE),Ref_Kontak!$H$2))</f>
        <v>628999007703</v>
      </c>
      <c r="AA241" t="str">
        <f t="shared" si="18"/>
        <v/>
      </c>
      <c r="AB241" t="str">
        <f t="shared" si="19"/>
        <v/>
      </c>
      <c r="AC241" t="str">
        <f t="shared" si="20"/>
        <v>628999007703</v>
      </c>
      <c r="AD241" t="str">
        <f t="shared" si="22"/>
        <v>Halo+,+Visual+AI+5S+menditeksi+Violation%3A+GUDANGEXP1-LINE+1</v>
      </c>
      <c r="AE241" t="str">
        <f t="shared" si="21"/>
        <v>https://web.whatsapp.com/send/?phone=628999007703&amp;text=Halo+,+Visual+AI+5S+menditeksi+Violation%3A+GUDANGEXP1-LINE+1&amp;type=phone_number&amp;app_absent=0</v>
      </c>
      <c r="AF241" t="b">
        <f>IF(ISNA(VLOOKUP(D241&amp;"-"&amp;AB241, Ref_Kontak!$A:$E, 4, FALSE)), FALSE, TRUE)</f>
        <v>0</v>
      </c>
      <c r="AG241" t="str">
        <f>_xlfn.IFNA(VLOOKUP(Z241,Ref_Kontak!H:H,1,FALSE),"FALSE")</f>
        <v>628999007703</v>
      </c>
      <c r="AH241" t="str">
        <f t="shared" si="23"/>
        <v>GUDANGEXP1-LINE 1</v>
      </c>
      <c r="AI241">
        <f>COUNTIF($AH$1:AH241,AH241)</f>
        <v>240</v>
      </c>
    </row>
    <row r="242" spans="1:35">
      <c r="A242" t="s">
        <v>56</v>
      </c>
      <c r="B242" t="s">
        <v>57</v>
      </c>
      <c r="C242" t="s">
        <v>304</v>
      </c>
      <c r="D242" t="s">
        <v>59</v>
      </c>
      <c r="E242">
        <v>1</v>
      </c>
      <c r="G242" t="s">
        <v>60</v>
      </c>
      <c r="I242" t="s">
        <v>61</v>
      </c>
      <c r="Z242" t="str">
        <f>IFERROR(MID(AA242,FIND("-",H242,1)+1,20),_xlfn.IFNA(VLOOKUP(F242&amp;"-"&amp;AA242,Ref_Kontak!$A:$E,4,FALSE),Ref_Kontak!$H$2))</f>
        <v>628999007703</v>
      </c>
      <c r="AA242" t="str">
        <f t="shared" si="18"/>
        <v/>
      </c>
      <c r="AB242" t="str">
        <f t="shared" si="19"/>
        <v/>
      </c>
      <c r="AC242" t="str">
        <f t="shared" si="20"/>
        <v>628999007703</v>
      </c>
      <c r="AD242" t="str">
        <f t="shared" si="22"/>
        <v>Halo+,+Visual+AI+5S+menditeksi+Violation%3A+GUDANGEXP1-LINE+1</v>
      </c>
      <c r="AE242" t="str">
        <f t="shared" si="21"/>
        <v>https://web.whatsapp.com/send/?phone=628999007703&amp;text=Halo+,+Visual+AI+5S+menditeksi+Violation%3A+GUDANGEXP1-LINE+1&amp;type=phone_number&amp;app_absent=0</v>
      </c>
      <c r="AF242" t="b">
        <f>IF(ISNA(VLOOKUP(D242&amp;"-"&amp;AB242, Ref_Kontak!$A:$E, 4, FALSE)), FALSE, TRUE)</f>
        <v>0</v>
      </c>
      <c r="AG242" t="str">
        <f>_xlfn.IFNA(VLOOKUP(Z242,Ref_Kontak!H:H,1,FALSE),"FALSE")</f>
        <v>628999007703</v>
      </c>
      <c r="AH242" t="str">
        <f t="shared" si="23"/>
        <v>GUDANGEXP1-LINE 1</v>
      </c>
      <c r="AI242">
        <f>COUNTIF($AH$1:AH242,AH242)</f>
        <v>241</v>
      </c>
    </row>
    <row r="243" spans="1:35">
      <c r="A243" t="s">
        <v>56</v>
      </c>
      <c r="B243" t="s">
        <v>57</v>
      </c>
      <c r="C243" t="s">
        <v>305</v>
      </c>
      <c r="D243" t="s">
        <v>59</v>
      </c>
      <c r="E243">
        <v>1</v>
      </c>
      <c r="G243" t="s">
        <v>60</v>
      </c>
      <c r="I243" t="s">
        <v>61</v>
      </c>
      <c r="Z243" t="str">
        <f>IFERROR(MID(AA243,FIND("-",H243,1)+1,20),_xlfn.IFNA(VLOOKUP(F243&amp;"-"&amp;AA243,Ref_Kontak!$A:$E,4,FALSE),Ref_Kontak!$H$2))</f>
        <v>628999007703</v>
      </c>
      <c r="AA243" t="str">
        <f t="shared" si="18"/>
        <v/>
      </c>
      <c r="AB243" t="str">
        <f t="shared" si="19"/>
        <v/>
      </c>
      <c r="AC243" t="str">
        <f t="shared" si="20"/>
        <v>628999007703</v>
      </c>
      <c r="AD243" t="str">
        <f t="shared" si="22"/>
        <v>Halo+,+Visual+AI+5S+menditeksi+Violation%3A+GUDANGEXP1-LINE+1</v>
      </c>
      <c r="AE243" t="str">
        <f t="shared" si="21"/>
        <v>https://web.whatsapp.com/send/?phone=628999007703&amp;text=Halo+,+Visual+AI+5S+menditeksi+Violation%3A+GUDANGEXP1-LINE+1&amp;type=phone_number&amp;app_absent=0</v>
      </c>
      <c r="AF243" t="b">
        <f>IF(ISNA(VLOOKUP(D243&amp;"-"&amp;AB243, Ref_Kontak!$A:$E, 4, FALSE)), FALSE, TRUE)</f>
        <v>0</v>
      </c>
      <c r="AG243" t="str">
        <f>_xlfn.IFNA(VLOOKUP(Z243,Ref_Kontak!H:H,1,FALSE),"FALSE")</f>
        <v>628999007703</v>
      </c>
      <c r="AH243" t="str">
        <f t="shared" si="23"/>
        <v>GUDANGEXP1-LINE 1</v>
      </c>
      <c r="AI243">
        <f>COUNTIF($AH$1:AH243,AH243)</f>
        <v>242</v>
      </c>
    </row>
    <row r="244" spans="1:35">
      <c r="A244" t="s">
        <v>56</v>
      </c>
      <c r="B244" t="s">
        <v>57</v>
      </c>
      <c r="C244" t="s">
        <v>306</v>
      </c>
      <c r="D244" t="s">
        <v>59</v>
      </c>
      <c r="E244">
        <v>1</v>
      </c>
      <c r="G244" t="s">
        <v>60</v>
      </c>
      <c r="I244" t="s">
        <v>61</v>
      </c>
      <c r="Z244" t="str">
        <f>IFERROR(MID(AA244,FIND("-",H244,1)+1,20),_xlfn.IFNA(VLOOKUP(F244&amp;"-"&amp;AA244,Ref_Kontak!$A:$E,4,FALSE),Ref_Kontak!$H$2))</f>
        <v>628999007703</v>
      </c>
      <c r="AA244" t="str">
        <f t="shared" si="18"/>
        <v/>
      </c>
      <c r="AB244" t="str">
        <f t="shared" si="19"/>
        <v/>
      </c>
      <c r="AC244" t="str">
        <f t="shared" si="20"/>
        <v>628999007703</v>
      </c>
      <c r="AD244" t="str">
        <f t="shared" si="22"/>
        <v>Halo+,+Visual+AI+5S+menditeksi+Violation%3A+GUDANGEXP1-LINE+1</v>
      </c>
      <c r="AE244" t="str">
        <f t="shared" si="21"/>
        <v>https://web.whatsapp.com/send/?phone=628999007703&amp;text=Halo+,+Visual+AI+5S+menditeksi+Violation%3A+GUDANGEXP1-LINE+1&amp;type=phone_number&amp;app_absent=0</v>
      </c>
      <c r="AF244" t="b">
        <f>IF(ISNA(VLOOKUP(D244&amp;"-"&amp;AB244, Ref_Kontak!$A:$E, 4, FALSE)), FALSE, TRUE)</f>
        <v>0</v>
      </c>
      <c r="AG244" t="str">
        <f>_xlfn.IFNA(VLOOKUP(Z244,Ref_Kontak!H:H,1,FALSE),"FALSE")</f>
        <v>628999007703</v>
      </c>
      <c r="AH244" t="str">
        <f t="shared" si="23"/>
        <v>GUDANGEXP1-LINE 1</v>
      </c>
      <c r="AI244">
        <f>COUNTIF($AH$1:AH244,AH244)</f>
        <v>243</v>
      </c>
    </row>
    <row r="245" spans="1:35">
      <c r="A245" t="s">
        <v>56</v>
      </c>
      <c r="B245" t="s">
        <v>57</v>
      </c>
      <c r="C245" t="s">
        <v>307</v>
      </c>
      <c r="D245" t="s">
        <v>59</v>
      </c>
      <c r="E245">
        <v>1</v>
      </c>
      <c r="G245" t="s">
        <v>60</v>
      </c>
      <c r="I245" t="s">
        <v>61</v>
      </c>
      <c r="Z245" t="str">
        <f>IFERROR(MID(AA245,FIND("-",H245,1)+1,20),_xlfn.IFNA(VLOOKUP(F245&amp;"-"&amp;AA245,Ref_Kontak!$A:$E,4,FALSE),Ref_Kontak!$H$2))</f>
        <v>628999007703</v>
      </c>
      <c r="AA245" t="str">
        <f t="shared" si="18"/>
        <v/>
      </c>
      <c r="AB245" t="str">
        <f t="shared" si="19"/>
        <v/>
      </c>
      <c r="AC245" t="str">
        <f t="shared" si="20"/>
        <v>628999007703</v>
      </c>
      <c r="AD245" t="str">
        <f t="shared" si="22"/>
        <v>Halo+,+Visual+AI+5S+menditeksi+Violation%3A+GUDANGEXP1-LINE+1</v>
      </c>
      <c r="AE245" t="str">
        <f t="shared" si="21"/>
        <v>https://web.whatsapp.com/send/?phone=628999007703&amp;text=Halo+,+Visual+AI+5S+menditeksi+Violation%3A+GUDANGEXP1-LINE+1&amp;type=phone_number&amp;app_absent=0</v>
      </c>
      <c r="AF245" t="b">
        <f>IF(ISNA(VLOOKUP(D245&amp;"-"&amp;AB245, Ref_Kontak!$A:$E, 4, FALSE)), FALSE, TRUE)</f>
        <v>0</v>
      </c>
      <c r="AG245" t="str">
        <f>_xlfn.IFNA(VLOOKUP(Z245,Ref_Kontak!H:H,1,FALSE),"FALSE")</f>
        <v>628999007703</v>
      </c>
      <c r="AH245" t="str">
        <f t="shared" si="23"/>
        <v>GUDANGEXP1-LINE 1</v>
      </c>
      <c r="AI245">
        <f>COUNTIF($AH$1:AH245,AH245)</f>
        <v>244</v>
      </c>
    </row>
    <row r="246" spans="1:35">
      <c r="A246" t="s">
        <v>56</v>
      </c>
      <c r="B246" t="s">
        <v>57</v>
      </c>
      <c r="C246" t="s">
        <v>308</v>
      </c>
      <c r="D246" t="s">
        <v>59</v>
      </c>
      <c r="E246">
        <v>1</v>
      </c>
      <c r="G246" t="s">
        <v>60</v>
      </c>
      <c r="I246" t="s">
        <v>61</v>
      </c>
      <c r="Z246" t="str">
        <f>IFERROR(MID(AA246,FIND("-",H246,1)+1,20),_xlfn.IFNA(VLOOKUP(F246&amp;"-"&amp;AA246,Ref_Kontak!$A:$E,4,FALSE),Ref_Kontak!$H$2))</f>
        <v>628999007703</v>
      </c>
      <c r="AA246" t="str">
        <f t="shared" si="18"/>
        <v/>
      </c>
      <c r="AB246" t="str">
        <f t="shared" si="19"/>
        <v/>
      </c>
      <c r="AC246" t="str">
        <f t="shared" si="20"/>
        <v>628999007703</v>
      </c>
      <c r="AD246" t="str">
        <f t="shared" si="22"/>
        <v>Halo+,+Visual+AI+5S+menditeksi+Violation%3A+GUDANGEXP1-LINE+1</v>
      </c>
      <c r="AE246" t="str">
        <f t="shared" si="21"/>
        <v>https://web.whatsapp.com/send/?phone=628999007703&amp;text=Halo+,+Visual+AI+5S+menditeksi+Violation%3A+GUDANGEXP1-LINE+1&amp;type=phone_number&amp;app_absent=0</v>
      </c>
      <c r="AF246" t="b">
        <f>IF(ISNA(VLOOKUP(D246&amp;"-"&amp;AB246, Ref_Kontak!$A:$E, 4, FALSE)), FALSE, TRUE)</f>
        <v>0</v>
      </c>
      <c r="AG246" t="str">
        <f>_xlfn.IFNA(VLOOKUP(Z246,Ref_Kontak!H:H,1,FALSE),"FALSE")</f>
        <v>628999007703</v>
      </c>
      <c r="AH246" t="str">
        <f t="shared" si="23"/>
        <v>GUDANGEXP1-LINE 1</v>
      </c>
      <c r="AI246">
        <f>COUNTIF($AH$1:AH246,AH246)</f>
        <v>245</v>
      </c>
    </row>
    <row r="247" spans="1:35">
      <c r="A247" t="s">
        <v>56</v>
      </c>
      <c r="B247" t="s">
        <v>57</v>
      </c>
      <c r="C247" t="s">
        <v>309</v>
      </c>
      <c r="D247" t="s">
        <v>59</v>
      </c>
      <c r="E247">
        <v>1</v>
      </c>
      <c r="G247" t="s">
        <v>60</v>
      </c>
      <c r="I247" t="s">
        <v>61</v>
      </c>
      <c r="Z247" t="str">
        <f>IFERROR(MID(AA247,FIND("-",H247,1)+1,20),_xlfn.IFNA(VLOOKUP(F247&amp;"-"&amp;AA247,Ref_Kontak!$A:$E,4,FALSE),Ref_Kontak!$H$2))</f>
        <v>628999007703</v>
      </c>
      <c r="AA247" t="str">
        <f t="shared" si="18"/>
        <v/>
      </c>
      <c r="AB247" t="str">
        <f t="shared" si="19"/>
        <v/>
      </c>
      <c r="AC247" t="str">
        <f t="shared" si="20"/>
        <v>628999007703</v>
      </c>
      <c r="AD247" t="str">
        <f t="shared" si="22"/>
        <v>Halo+,+Visual+AI+5S+menditeksi+Violation%3A+GUDANGEXP1-LINE+1</v>
      </c>
      <c r="AE247" t="str">
        <f t="shared" si="21"/>
        <v>https://web.whatsapp.com/send/?phone=628999007703&amp;text=Halo+,+Visual+AI+5S+menditeksi+Violation%3A+GUDANGEXP1-LINE+1&amp;type=phone_number&amp;app_absent=0</v>
      </c>
      <c r="AF247" t="b">
        <f>IF(ISNA(VLOOKUP(D247&amp;"-"&amp;AB247, Ref_Kontak!$A:$E, 4, FALSE)), FALSE, TRUE)</f>
        <v>0</v>
      </c>
      <c r="AG247" t="str">
        <f>_xlfn.IFNA(VLOOKUP(Z247,Ref_Kontak!H:H,1,FALSE),"FALSE")</f>
        <v>628999007703</v>
      </c>
      <c r="AH247" t="str">
        <f t="shared" si="23"/>
        <v>GUDANGEXP1-LINE 1</v>
      </c>
      <c r="AI247">
        <f>COUNTIF($AH$1:AH247,AH247)</f>
        <v>246</v>
      </c>
    </row>
    <row r="248" spans="1:35">
      <c r="A248" t="s">
        <v>56</v>
      </c>
      <c r="B248" t="s">
        <v>57</v>
      </c>
      <c r="C248" t="s">
        <v>310</v>
      </c>
      <c r="D248" t="s">
        <v>59</v>
      </c>
      <c r="E248">
        <v>1</v>
      </c>
      <c r="G248" t="s">
        <v>60</v>
      </c>
      <c r="I248" t="s">
        <v>61</v>
      </c>
      <c r="Z248" t="str">
        <f>IFERROR(MID(AA248,FIND("-",H248,1)+1,20),_xlfn.IFNA(VLOOKUP(F248&amp;"-"&amp;AA248,Ref_Kontak!$A:$E,4,FALSE),Ref_Kontak!$H$2))</f>
        <v>628999007703</v>
      </c>
      <c r="AA248" t="str">
        <f t="shared" si="18"/>
        <v/>
      </c>
      <c r="AB248" t="str">
        <f t="shared" si="19"/>
        <v/>
      </c>
      <c r="AC248" t="str">
        <f t="shared" si="20"/>
        <v>628999007703</v>
      </c>
      <c r="AD248" t="str">
        <f t="shared" si="22"/>
        <v>Halo+,+Visual+AI+5S+menditeksi+Violation%3A+GUDANGEXP1-LINE+1</v>
      </c>
      <c r="AE248" t="str">
        <f t="shared" si="21"/>
        <v>https://web.whatsapp.com/send/?phone=628999007703&amp;text=Halo+,+Visual+AI+5S+menditeksi+Violation%3A+GUDANGEXP1-LINE+1&amp;type=phone_number&amp;app_absent=0</v>
      </c>
      <c r="AF248" t="b">
        <f>IF(ISNA(VLOOKUP(D248&amp;"-"&amp;AB248, Ref_Kontak!$A:$E, 4, FALSE)), FALSE, TRUE)</f>
        <v>0</v>
      </c>
      <c r="AG248" t="str">
        <f>_xlfn.IFNA(VLOOKUP(Z248,Ref_Kontak!H:H,1,FALSE),"FALSE")</f>
        <v>628999007703</v>
      </c>
      <c r="AH248" t="str">
        <f t="shared" si="23"/>
        <v>GUDANGEXP1-LINE 1</v>
      </c>
      <c r="AI248">
        <f>COUNTIF($AH$1:AH248,AH248)</f>
        <v>247</v>
      </c>
    </row>
    <row r="249" spans="1:35">
      <c r="A249" t="s">
        <v>56</v>
      </c>
      <c r="B249" t="s">
        <v>57</v>
      </c>
      <c r="C249" t="s">
        <v>311</v>
      </c>
      <c r="D249" t="s">
        <v>59</v>
      </c>
      <c r="E249">
        <v>1</v>
      </c>
      <c r="G249" t="s">
        <v>60</v>
      </c>
      <c r="I249" t="s">
        <v>61</v>
      </c>
      <c r="Z249" t="str">
        <f>IFERROR(MID(AA249,FIND("-",H249,1)+1,20),_xlfn.IFNA(VLOOKUP(F249&amp;"-"&amp;AA249,Ref_Kontak!$A:$E,4,FALSE),Ref_Kontak!$H$2))</f>
        <v>628999007703</v>
      </c>
      <c r="AA249" t="str">
        <f t="shared" si="18"/>
        <v/>
      </c>
      <c r="AB249" t="str">
        <f t="shared" si="19"/>
        <v/>
      </c>
      <c r="AC249" t="str">
        <f t="shared" si="20"/>
        <v>628999007703</v>
      </c>
      <c r="AD249" t="str">
        <f t="shared" si="22"/>
        <v>Halo+,+Visual+AI+5S+menditeksi+Violation%3A+GUDANGEXP1-LINE+1</v>
      </c>
      <c r="AE249" t="str">
        <f t="shared" si="21"/>
        <v>https://web.whatsapp.com/send/?phone=628999007703&amp;text=Halo+,+Visual+AI+5S+menditeksi+Violation%3A+GUDANGEXP1-LINE+1&amp;type=phone_number&amp;app_absent=0</v>
      </c>
      <c r="AF249" t="b">
        <f>IF(ISNA(VLOOKUP(D249&amp;"-"&amp;AB249, Ref_Kontak!$A:$E, 4, FALSE)), FALSE, TRUE)</f>
        <v>0</v>
      </c>
      <c r="AG249" t="str">
        <f>_xlfn.IFNA(VLOOKUP(Z249,Ref_Kontak!H:H,1,FALSE),"FALSE")</f>
        <v>628999007703</v>
      </c>
      <c r="AH249" t="str">
        <f t="shared" si="23"/>
        <v>GUDANGEXP1-LINE 1</v>
      </c>
      <c r="AI249">
        <f>COUNTIF($AH$1:AH249,AH249)</f>
        <v>248</v>
      </c>
    </row>
    <row r="250" spans="1:35">
      <c r="A250" t="s">
        <v>56</v>
      </c>
      <c r="B250" t="s">
        <v>57</v>
      </c>
      <c r="C250" t="s">
        <v>312</v>
      </c>
      <c r="D250" t="s">
        <v>59</v>
      </c>
      <c r="E250">
        <v>1</v>
      </c>
      <c r="G250" t="s">
        <v>60</v>
      </c>
      <c r="I250" t="s">
        <v>61</v>
      </c>
      <c r="Z250" t="str">
        <f>IFERROR(MID(AA250,FIND("-",H250,1)+1,20),_xlfn.IFNA(VLOOKUP(F250&amp;"-"&amp;AA250,Ref_Kontak!$A:$E,4,FALSE),Ref_Kontak!$H$2))</f>
        <v>628999007703</v>
      </c>
      <c r="AA250" t="str">
        <f t="shared" si="18"/>
        <v/>
      </c>
      <c r="AB250" t="str">
        <f t="shared" si="19"/>
        <v/>
      </c>
      <c r="AC250" t="str">
        <f t="shared" si="20"/>
        <v>628999007703</v>
      </c>
      <c r="AD250" t="str">
        <f t="shared" si="22"/>
        <v>Halo+,+Visual+AI+5S+menditeksi+Violation%3A+GUDANGEXP1-LINE+1</v>
      </c>
      <c r="AE250" t="str">
        <f t="shared" si="21"/>
        <v>https://web.whatsapp.com/send/?phone=628999007703&amp;text=Halo+,+Visual+AI+5S+menditeksi+Violation%3A+GUDANGEXP1-LINE+1&amp;type=phone_number&amp;app_absent=0</v>
      </c>
      <c r="AF250" t="b">
        <f>IF(ISNA(VLOOKUP(D250&amp;"-"&amp;AB250, Ref_Kontak!$A:$E, 4, FALSE)), FALSE, TRUE)</f>
        <v>0</v>
      </c>
      <c r="AG250" t="str">
        <f>_xlfn.IFNA(VLOOKUP(Z250,Ref_Kontak!H:H,1,FALSE),"FALSE")</f>
        <v>628999007703</v>
      </c>
      <c r="AH250" t="str">
        <f t="shared" si="23"/>
        <v>GUDANGEXP1-LINE 1</v>
      </c>
      <c r="AI250">
        <f>COUNTIF($AH$1:AH250,AH250)</f>
        <v>249</v>
      </c>
    </row>
    <row r="251" spans="1:35">
      <c r="A251" t="s">
        <v>56</v>
      </c>
      <c r="B251" t="s">
        <v>57</v>
      </c>
      <c r="C251" t="s">
        <v>313</v>
      </c>
      <c r="D251" t="s">
        <v>59</v>
      </c>
      <c r="E251">
        <v>1</v>
      </c>
      <c r="G251" t="s">
        <v>60</v>
      </c>
      <c r="I251" t="s">
        <v>61</v>
      </c>
      <c r="Z251" t="str">
        <f>IFERROR(MID(AA251,FIND("-",H251,1)+1,20),_xlfn.IFNA(VLOOKUP(F251&amp;"-"&amp;AA251,Ref_Kontak!$A:$E,4,FALSE),Ref_Kontak!$H$2))</f>
        <v>628999007703</v>
      </c>
      <c r="AA251" t="str">
        <f t="shared" si="18"/>
        <v/>
      </c>
      <c r="AB251" t="str">
        <f t="shared" si="19"/>
        <v/>
      </c>
      <c r="AC251" t="str">
        <f t="shared" si="20"/>
        <v>628999007703</v>
      </c>
      <c r="AD251" t="str">
        <f t="shared" si="22"/>
        <v>Halo+,+Visual+AI+5S+menditeksi+Violation%3A+GUDANGEXP1-LINE+1</v>
      </c>
      <c r="AE251" t="str">
        <f t="shared" si="21"/>
        <v>https://web.whatsapp.com/send/?phone=628999007703&amp;text=Halo+,+Visual+AI+5S+menditeksi+Violation%3A+GUDANGEXP1-LINE+1&amp;type=phone_number&amp;app_absent=0</v>
      </c>
      <c r="AF251" t="b">
        <f>IF(ISNA(VLOOKUP(D251&amp;"-"&amp;AB251, Ref_Kontak!$A:$E, 4, FALSE)), FALSE, TRUE)</f>
        <v>0</v>
      </c>
      <c r="AG251" t="str">
        <f>_xlfn.IFNA(VLOOKUP(Z251,Ref_Kontak!H:H,1,FALSE),"FALSE")</f>
        <v>628999007703</v>
      </c>
      <c r="AH251" t="str">
        <f t="shared" si="23"/>
        <v>GUDANGEXP1-LINE 1</v>
      </c>
      <c r="AI251">
        <f>COUNTIF($AH$1:AH251,AH251)</f>
        <v>250</v>
      </c>
    </row>
    <row r="252" spans="1:35">
      <c r="A252" t="s">
        <v>56</v>
      </c>
      <c r="B252" t="s">
        <v>57</v>
      </c>
      <c r="C252" t="s">
        <v>314</v>
      </c>
      <c r="D252" t="s">
        <v>59</v>
      </c>
      <c r="E252">
        <v>1</v>
      </c>
      <c r="G252" t="s">
        <v>60</v>
      </c>
      <c r="I252" t="s">
        <v>61</v>
      </c>
      <c r="Z252" t="str">
        <f>IFERROR(MID(AA252,FIND("-",H252,1)+1,20),_xlfn.IFNA(VLOOKUP(F252&amp;"-"&amp;AA252,Ref_Kontak!$A:$E,4,FALSE),Ref_Kontak!$H$2))</f>
        <v>628999007703</v>
      </c>
      <c r="AA252" t="str">
        <f t="shared" si="18"/>
        <v/>
      </c>
      <c r="AB252" t="str">
        <f t="shared" si="19"/>
        <v/>
      </c>
      <c r="AC252" t="str">
        <f t="shared" si="20"/>
        <v>628999007703</v>
      </c>
      <c r="AD252" t="str">
        <f t="shared" si="22"/>
        <v>Halo+,+Visual+AI+5S+menditeksi+Violation%3A+GUDANGEXP1-LINE+1</v>
      </c>
      <c r="AE252" t="str">
        <f t="shared" si="21"/>
        <v>https://web.whatsapp.com/send/?phone=628999007703&amp;text=Halo+,+Visual+AI+5S+menditeksi+Violation%3A+GUDANGEXP1-LINE+1&amp;type=phone_number&amp;app_absent=0</v>
      </c>
      <c r="AF252" t="b">
        <f>IF(ISNA(VLOOKUP(D252&amp;"-"&amp;AB252, Ref_Kontak!$A:$E, 4, FALSE)), FALSE, TRUE)</f>
        <v>0</v>
      </c>
      <c r="AG252" t="str">
        <f>_xlfn.IFNA(VLOOKUP(Z252,Ref_Kontak!H:H,1,FALSE),"FALSE")</f>
        <v>628999007703</v>
      </c>
      <c r="AH252" t="str">
        <f t="shared" si="23"/>
        <v>GUDANGEXP1-LINE 1</v>
      </c>
      <c r="AI252">
        <f>COUNTIF($AH$1:AH252,AH252)</f>
        <v>251</v>
      </c>
    </row>
    <row r="253" spans="1:35">
      <c r="A253" t="s">
        <v>56</v>
      </c>
      <c r="B253" t="s">
        <v>57</v>
      </c>
      <c r="C253" t="s">
        <v>315</v>
      </c>
      <c r="D253" t="s">
        <v>59</v>
      </c>
      <c r="E253">
        <v>1</v>
      </c>
      <c r="G253" t="s">
        <v>60</v>
      </c>
      <c r="I253" t="s">
        <v>61</v>
      </c>
      <c r="Z253" t="str">
        <f>IFERROR(MID(AA253,FIND("-",H253,1)+1,20),_xlfn.IFNA(VLOOKUP(F253&amp;"-"&amp;AA253,Ref_Kontak!$A:$E,4,FALSE),Ref_Kontak!$H$2))</f>
        <v>628999007703</v>
      </c>
      <c r="AA253" t="str">
        <f t="shared" si="18"/>
        <v/>
      </c>
      <c r="AB253" t="str">
        <f t="shared" si="19"/>
        <v/>
      </c>
      <c r="AC253" t="str">
        <f t="shared" si="20"/>
        <v>628999007703</v>
      </c>
      <c r="AD253" t="str">
        <f t="shared" si="22"/>
        <v>Halo+,+Visual+AI+5S+menditeksi+Violation%3A+GUDANGEXP1-LINE+1</v>
      </c>
      <c r="AE253" t="str">
        <f t="shared" si="21"/>
        <v>https://web.whatsapp.com/send/?phone=628999007703&amp;text=Halo+,+Visual+AI+5S+menditeksi+Violation%3A+GUDANGEXP1-LINE+1&amp;type=phone_number&amp;app_absent=0</v>
      </c>
      <c r="AF253" t="b">
        <f>IF(ISNA(VLOOKUP(D253&amp;"-"&amp;AB253, Ref_Kontak!$A:$E, 4, FALSE)), FALSE, TRUE)</f>
        <v>0</v>
      </c>
      <c r="AG253" t="str">
        <f>_xlfn.IFNA(VLOOKUP(Z253,Ref_Kontak!H:H,1,FALSE),"FALSE")</f>
        <v>628999007703</v>
      </c>
      <c r="AH253" t="str">
        <f t="shared" si="23"/>
        <v>GUDANGEXP1-LINE 1</v>
      </c>
      <c r="AI253">
        <f>COUNTIF($AH$1:AH253,AH253)</f>
        <v>252</v>
      </c>
    </row>
    <row r="254" spans="1:35">
      <c r="A254" t="s">
        <v>56</v>
      </c>
      <c r="B254" t="s">
        <v>57</v>
      </c>
      <c r="C254" t="s">
        <v>316</v>
      </c>
      <c r="D254" t="s">
        <v>59</v>
      </c>
      <c r="E254">
        <v>1</v>
      </c>
      <c r="G254" t="s">
        <v>60</v>
      </c>
      <c r="I254" t="s">
        <v>61</v>
      </c>
      <c r="Z254" t="str">
        <f>IFERROR(MID(AA254,FIND("-",H254,1)+1,20),_xlfn.IFNA(VLOOKUP(F254&amp;"-"&amp;AA254,Ref_Kontak!$A:$E,4,FALSE),Ref_Kontak!$H$2))</f>
        <v>628999007703</v>
      </c>
      <c r="AA254" t="str">
        <f t="shared" si="18"/>
        <v/>
      </c>
      <c r="AB254" t="str">
        <f t="shared" si="19"/>
        <v/>
      </c>
      <c r="AC254" t="str">
        <f t="shared" si="20"/>
        <v>628999007703</v>
      </c>
      <c r="AD254" t="str">
        <f t="shared" si="22"/>
        <v>Halo+,+Visual+AI+5S+menditeksi+Violation%3A+GUDANGEXP1-LINE+1</v>
      </c>
      <c r="AE254" t="str">
        <f t="shared" si="21"/>
        <v>https://web.whatsapp.com/send/?phone=628999007703&amp;text=Halo+,+Visual+AI+5S+menditeksi+Violation%3A+GUDANGEXP1-LINE+1&amp;type=phone_number&amp;app_absent=0</v>
      </c>
      <c r="AF254" t="b">
        <f>IF(ISNA(VLOOKUP(D254&amp;"-"&amp;AB254, Ref_Kontak!$A:$E, 4, FALSE)), FALSE, TRUE)</f>
        <v>0</v>
      </c>
      <c r="AG254" t="str">
        <f>_xlfn.IFNA(VLOOKUP(Z254,Ref_Kontak!H:H,1,FALSE),"FALSE")</f>
        <v>628999007703</v>
      </c>
      <c r="AH254" t="str">
        <f t="shared" si="23"/>
        <v>GUDANGEXP1-LINE 1</v>
      </c>
      <c r="AI254">
        <f>COUNTIF($AH$1:AH254,AH254)</f>
        <v>253</v>
      </c>
    </row>
    <row r="255" spans="1:35">
      <c r="A255" t="s">
        <v>56</v>
      </c>
      <c r="B255" t="s">
        <v>57</v>
      </c>
      <c r="C255" t="s">
        <v>317</v>
      </c>
      <c r="D255" t="s">
        <v>59</v>
      </c>
      <c r="E255">
        <v>1</v>
      </c>
      <c r="G255" t="s">
        <v>60</v>
      </c>
      <c r="I255" t="s">
        <v>61</v>
      </c>
      <c r="Z255" t="str">
        <f>IFERROR(MID(AA255,FIND("-",H255,1)+1,20),_xlfn.IFNA(VLOOKUP(F255&amp;"-"&amp;AA255,Ref_Kontak!$A:$E,4,FALSE),Ref_Kontak!$H$2))</f>
        <v>628999007703</v>
      </c>
      <c r="AA255" t="str">
        <f t="shared" si="18"/>
        <v/>
      </c>
      <c r="AB255" t="str">
        <f t="shared" si="19"/>
        <v/>
      </c>
      <c r="AC255" t="str">
        <f t="shared" si="20"/>
        <v>628999007703</v>
      </c>
      <c r="AD255" t="str">
        <f t="shared" si="22"/>
        <v>Halo+,+Visual+AI+5S+menditeksi+Violation%3A+GUDANGEXP1-LINE+1</v>
      </c>
      <c r="AE255" t="str">
        <f t="shared" si="21"/>
        <v>https://web.whatsapp.com/send/?phone=628999007703&amp;text=Halo+,+Visual+AI+5S+menditeksi+Violation%3A+GUDANGEXP1-LINE+1&amp;type=phone_number&amp;app_absent=0</v>
      </c>
      <c r="AF255" t="b">
        <f>IF(ISNA(VLOOKUP(D255&amp;"-"&amp;AB255, Ref_Kontak!$A:$E, 4, FALSE)), FALSE, TRUE)</f>
        <v>0</v>
      </c>
      <c r="AG255" t="str">
        <f>_xlfn.IFNA(VLOOKUP(Z255,Ref_Kontak!H:H,1,FALSE),"FALSE")</f>
        <v>628999007703</v>
      </c>
      <c r="AH255" t="str">
        <f t="shared" si="23"/>
        <v>GUDANGEXP1-LINE 1</v>
      </c>
      <c r="AI255">
        <f>COUNTIF($AH$1:AH255,AH255)</f>
        <v>254</v>
      </c>
    </row>
    <row r="256" spans="1:35">
      <c r="A256" t="s">
        <v>56</v>
      </c>
      <c r="B256" t="s">
        <v>57</v>
      </c>
      <c r="C256" t="s">
        <v>318</v>
      </c>
      <c r="D256" t="s">
        <v>59</v>
      </c>
      <c r="E256">
        <v>1</v>
      </c>
      <c r="G256" t="s">
        <v>60</v>
      </c>
      <c r="I256" t="s">
        <v>61</v>
      </c>
      <c r="Z256" t="str">
        <f>IFERROR(MID(AA256,FIND("-",H256,1)+1,20),_xlfn.IFNA(VLOOKUP(F256&amp;"-"&amp;AA256,Ref_Kontak!$A:$E,4,FALSE),Ref_Kontak!$H$2))</f>
        <v>628999007703</v>
      </c>
      <c r="AA256" t="str">
        <f t="shared" si="18"/>
        <v/>
      </c>
      <c r="AB256" t="str">
        <f t="shared" si="19"/>
        <v/>
      </c>
      <c r="AC256" t="str">
        <f t="shared" si="20"/>
        <v>628999007703</v>
      </c>
      <c r="AD256" t="str">
        <f t="shared" si="22"/>
        <v>Halo+,+Visual+AI+5S+menditeksi+Violation%3A+GUDANGEXP1-LINE+1</v>
      </c>
      <c r="AE256" t="str">
        <f t="shared" si="21"/>
        <v>https://web.whatsapp.com/send/?phone=628999007703&amp;text=Halo+,+Visual+AI+5S+menditeksi+Violation%3A+GUDANGEXP1-LINE+1&amp;type=phone_number&amp;app_absent=0</v>
      </c>
      <c r="AF256" t="b">
        <f>IF(ISNA(VLOOKUP(D256&amp;"-"&amp;AB256, Ref_Kontak!$A:$E, 4, FALSE)), FALSE, TRUE)</f>
        <v>0</v>
      </c>
      <c r="AG256" t="str">
        <f>_xlfn.IFNA(VLOOKUP(Z256,Ref_Kontak!H:H,1,FALSE),"FALSE")</f>
        <v>628999007703</v>
      </c>
      <c r="AH256" t="str">
        <f t="shared" si="23"/>
        <v>GUDANGEXP1-LINE 1</v>
      </c>
      <c r="AI256">
        <f>COUNTIF($AH$1:AH256,AH256)</f>
        <v>255</v>
      </c>
    </row>
    <row r="257" spans="1:35">
      <c r="A257" t="s">
        <v>56</v>
      </c>
      <c r="B257" t="s">
        <v>57</v>
      </c>
      <c r="C257" t="s">
        <v>319</v>
      </c>
      <c r="D257" t="s">
        <v>59</v>
      </c>
      <c r="E257">
        <v>1</v>
      </c>
      <c r="G257" t="s">
        <v>60</v>
      </c>
      <c r="I257" t="s">
        <v>61</v>
      </c>
      <c r="Z257" t="str">
        <f>IFERROR(MID(AA257,FIND("-",H257,1)+1,20),_xlfn.IFNA(VLOOKUP(F257&amp;"-"&amp;AA257,Ref_Kontak!$A:$E,4,FALSE),Ref_Kontak!$H$2))</f>
        <v>628999007703</v>
      </c>
      <c r="AA257" t="str">
        <f t="shared" si="18"/>
        <v/>
      </c>
      <c r="AB257" t="str">
        <f t="shared" si="19"/>
        <v/>
      </c>
      <c r="AC257" t="str">
        <f t="shared" si="20"/>
        <v>628999007703</v>
      </c>
      <c r="AD257" t="str">
        <f t="shared" si="22"/>
        <v>Halo+,+Visual+AI+5S+menditeksi+Violation%3A+GUDANGEXP1-LINE+1</v>
      </c>
      <c r="AE257" t="str">
        <f t="shared" si="21"/>
        <v>https://web.whatsapp.com/send/?phone=628999007703&amp;text=Halo+,+Visual+AI+5S+menditeksi+Violation%3A+GUDANGEXP1-LINE+1&amp;type=phone_number&amp;app_absent=0</v>
      </c>
      <c r="AF257" t="b">
        <f>IF(ISNA(VLOOKUP(D257&amp;"-"&amp;AB257, Ref_Kontak!$A:$E, 4, FALSE)), FALSE, TRUE)</f>
        <v>0</v>
      </c>
      <c r="AG257" t="str">
        <f>_xlfn.IFNA(VLOOKUP(Z257,Ref_Kontak!H:H,1,FALSE),"FALSE")</f>
        <v>628999007703</v>
      </c>
      <c r="AH257" t="str">
        <f t="shared" si="23"/>
        <v>GUDANGEXP1-LINE 1</v>
      </c>
      <c r="AI257">
        <f>COUNTIF($AH$1:AH257,AH257)</f>
        <v>256</v>
      </c>
    </row>
    <row r="258" spans="1:35">
      <c r="A258" t="s">
        <v>56</v>
      </c>
      <c r="B258" t="s">
        <v>57</v>
      </c>
      <c r="C258" t="s">
        <v>320</v>
      </c>
      <c r="D258" t="s">
        <v>59</v>
      </c>
      <c r="E258">
        <v>1</v>
      </c>
      <c r="G258" t="s">
        <v>60</v>
      </c>
      <c r="I258" t="s">
        <v>61</v>
      </c>
      <c r="Z258" t="str">
        <f>IFERROR(MID(AA258,FIND("-",H258,1)+1,20),_xlfn.IFNA(VLOOKUP(F258&amp;"-"&amp;AA258,Ref_Kontak!$A:$E,4,FALSE),Ref_Kontak!$H$2))</f>
        <v>628999007703</v>
      </c>
      <c r="AA258" t="str">
        <f t="shared" ref="AA258:AA321" si="24">CLEAN(SUBSTITUTE(H258," ",""))</f>
        <v/>
      </c>
      <c r="AB258" t="str">
        <f t="shared" ref="AB258:AB321" si="25">IFERROR(LEFT(AA258,FIND("-",H258,1)-1),CLEAN(SUBSTITUTE(SUBSTITUTE(H258," ",""),"-","")))</f>
        <v/>
      </c>
      <c r="AC258" t="str">
        <f t="shared" ref="AC258:AC321" si="26">IF(LEFT(Z258,1)="0","62"&amp; MID(Z258,2,999),Z258)</f>
        <v>628999007703</v>
      </c>
      <c r="AD258" t="str">
        <f t="shared" si="22"/>
        <v>Halo+,+Visual+AI+5S+menditeksi+Violation%3A+GUDANGEXP1-LINE+1</v>
      </c>
      <c r="AE258" t="str">
        <f t="shared" ref="AE258:AE321" si="27">"https://web.whatsapp.com/send/?phone="&amp;AC258&amp;"&amp;text="&amp;AD258&amp;"&amp;type=phone_number&amp;app_absent=0"</f>
        <v>https://web.whatsapp.com/send/?phone=628999007703&amp;text=Halo+,+Visual+AI+5S+menditeksi+Violation%3A+GUDANGEXP1-LINE+1&amp;type=phone_number&amp;app_absent=0</v>
      </c>
      <c r="AF258" t="b">
        <f>IF(ISNA(VLOOKUP(D258&amp;"-"&amp;AB258, Ref_Kontak!$A:$E, 4, FALSE)), FALSE, TRUE)</f>
        <v>0</v>
      </c>
      <c r="AG258" t="str">
        <f>_xlfn.IFNA(VLOOKUP(Z258,Ref_Kontak!H:H,1,FALSE),"FALSE")</f>
        <v>628999007703</v>
      </c>
      <c r="AH258" t="str">
        <f t="shared" si="23"/>
        <v>GUDANGEXP1-LINE 1</v>
      </c>
      <c r="AI258">
        <f>COUNTIF($AH$1:AH258,AH258)</f>
        <v>257</v>
      </c>
    </row>
    <row r="259" spans="1:35">
      <c r="A259" t="s">
        <v>56</v>
      </c>
      <c r="B259" t="s">
        <v>57</v>
      </c>
      <c r="C259" t="s">
        <v>321</v>
      </c>
      <c r="D259" t="s">
        <v>59</v>
      </c>
      <c r="E259">
        <v>1</v>
      </c>
      <c r="G259" t="s">
        <v>60</v>
      </c>
      <c r="I259" t="s">
        <v>61</v>
      </c>
      <c r="Z259" t="str">
        <f>IFERROR(MID(AA259,FIND("-",H259,1)+1,20),_xlfn.IFNA(VLOOKUP(F259&amp;"-"&amp;AA259,Ref_Kontak!$A:$E,4,FALSE),Ref_Kontak!$H$2))</f>
        <v>628999007703</v>
      </c>
      <c r="AA259" t="str">
        <f t="shared" si="24"/>
        <v/>
      </c>
      <c r="AB259" t="str">
        <f t="shared" si="25"/>
        <v/>
      </c>
      <c r="AC259" t="str">
        <f t="shared" si="26"/>
        <v>628999007703</v>
      </c>
      <c r="AD259" t="str">
        <f t="shared" ref="AD259:AD322" si="28">"Halo+"&amp;AB259&amp;","&amp;"+Visual+AI+5S+menditeksi+Violation%3A+"&amp;SUBSTITUTE(AH259," ","+")</f>
        <v>Halo+,+Visual+AI+5S+menditeksi+Violation%3A+GUDANGEXP1-LINE+1</v>
      </c>
      <c r="AE259" t="str">
        <f t="shared" si="27"/>
        <v>https://web.whatsapp.com/send/?phone=628999007703&amp;text=Halo+,+Visual+AI+5S+menditeksi+Violation%3A+GUDANGEXP1-LINE+1&amp;type=phone_number&amp;app_absent=0</v>
      </c>
      <c r="AF259" t="b">
        <f>IF(ISNA(VLOOKUP(D259&amp;"-"&amp;AB259, Ref_Kontak!$A:$E, 4, FALSE)), FALSE, TRUE)</f>
        <v>0</v>
      </c>
      <c r="AG259" t="str">
        <f>_xlfn.IFNA(VLOOKUP(Z259,Ref_Kontak!H:H,1,FALSE),"FALSE")</f>
        <v>628999007703</v>
      </c>
      <c r="AH259" t="str">
        <f t="shared" ref="AH259:AH322" si="29">G259&amp;"-"&amp;D259</f>
        <v>GUDANGEXP1-LINE 1</v>
      </c>
      <c r="AI259">
        <f>COUNTIF($AH$1:AH259,AH259)</f>
        <v>258</v>
      </c>
    </row>
    <row r="260" spans="1:35">
      <c r="A260" t="s">
        <v>56</v>
      </c>
      <c r="B260" t="s">
        <v>57</v>
      </c>
      <c r="C260" t="s">
        <v>322</v>
      </c>
      <c r="D260" t="s">
        <v>59</v>
      </c>
      <c r="E260">
        <v>1</v>
      </c>
      <c r="G260" t="s">
        <v>60</v>
      </c>
      <c r="I260" t="s">
        <v>61</v>
      </c>
      <c r="Z260" t="str">
        <f>IFERROR(MID(AA260,FIND("-",H260,1)+1,20),_xlfn.IFNA(VLOOKUP(F260&amp;"-"&amp;AA260,Ref_Kontak!$A:$E,4,FALSE),Ref_Kontak!$H$2))</f>
        <v>628999007703</v>
      </c>
      <c r="AA260" t="str">
        <f t="shared" si="24"/>
        <v/>
      </c>
      <c r="AB260" t="str">
        <f t="shared" si="25"/>
        <v/>
      </c>
      <c r="AC260" t="str">
        <f t="shared" si="26"/>
        <v>628999007703</v>
      </c>
      <c r="AD260" t="str">
        <f t="shared" si="28"/>
        <v>Halo+,+Visual+AI+5S+menditeksi+Violation%3A+GUDANGEXP1-LINE+1</v>
      </c>
      <c r="AE260" t="str">
        <f t="shared" si="27"/>
        <v>https://web.whatsapp.com/send/?phone=628999007703&amp;text=Halo+,+Visual+AI+5S+menditeksi+Violation%3A+GUDANGEXP1-LINE+1&amp;type=phone_number&amp;app_absent=0</v>
      </c>
      <c r="AF260" t="b">
        <f>IF(ISNA(VLOOKUP(D260&amp;"-"&amp;AB260, Ref_Kontak!$A:$E, 4, FALSE)), FALSE, TRUE)</f>
        <v>0</v>
      </c>
      <c r="AG260" t="str">
        <f>_xlfn.IFNA(VLOOKUP(Z260,Ref_Kontak!H:H,1,FALSE),"FALSE")</f>
        <v>628999007703</v>
      </c>
      <c r="AH260" t="str">
        <f t="shared" si="29"/>
        <v>GUDANGEXP1-LINE 1</v>
      </c>
      <c r="AI260">
        <f>COUNTIF($AH$1:AH260,AH260)</f>
        <v>259</v>
      </c>
    </row>
    <row r="261" spans="1:35">
      <c r="A261" t="s">
        <v>56</v>
      </c>
      <c r="B261" t="s">
        <v>57</v>
      </c>
      <c r="C261" t="s">
        <v>323</v>
      </c>
      <c r="D261" t="s">
        <v>59</v>
      </c>
      <c r="E261">
        <v>1</v>
      </c>
      <c r="G261" t="s">
        <v>60</v>
      </c>
      <c r="I261" t="s">
        <v>61</v>
      </c>
      <c r="Z261" t="str">
        <f>IFERROR(MID(AA261,FIND("-",H261,1)+1,20),_xlfn.IFNA(VLOOKUP(F261&amp;"-"&amp;AA261,Ref_Kontak!$A:$E,4,FALSE),Ref_Kontak!$H$2))</f>
        <v>628999007703</v>
      </c>
      <c r="AA261" t="str">
        <f t="shared" si="24"/>
        <v/>
      </c>
      <c r="AB261" t="str">
        <f t="shared" si="25"/>
        <v/>
      </c>
      <c r="AC261" t="str">
        <f t="shared" si="26"/>
        <v>628999007703</v>
      </c>
      <c r="AD261" t="str">
        <f t="shared" si="28"/>
        <v>Halo+,+Visual+AI+5S+menditeksi+Violation%3A+GUDANGEXP1-LINE+1</v>
      </c>
      <c r="AE261" t="str">
        <f t="shared" si="27"/>
        <v>https://web.whatsapp.com/send/?phone=628999007703&amp;text=Halo+,+Visual+AI+5S+menditeksi+Violation%3A+GUDANGEXP1-LINE+1&amp;type=phone_number&amp;app_absent=0</v>
      </c>
      <c r="AF261" t="b">
        <f>IF(ISNA(VLOOKUP(D261&amp;"-"&amp;AB261, Ref_Kontak!$A:$E, 4, FALSE)), FALSE, TRUE)</f>
        <v>0</v>
      </c>
      <c r="AG261" t="str">
        <f>_xlfn.IFNA(VLOOKUP(Z261,Ref_Kontak!H:H,1,FALSE),"FALSE")</f>
        <v>628999007703</v>
      </c>
      <c r="AH261" t="str">
        <f t="shared" si="29"/>
        <v>GUDANGEXP1-LINE 1</v>
      </c>
      <c r="AI261">
        <f>COUNTIF($AH$1:AH261,AH261)</f>
        <v>260</v>
      </c>
    </row>
    <row r="262" spans="1:35">
      <c r="A262" t="s">
        <v>56</v>
      </c>
      <c r="B262" t="s">
        <v>57</v>
      </c>
      <c r="C262" t="s">
        <v>324</v>
      </c>
      <c r="D262" t="s">
        <v>59</v>
      </c>
      <c r="E262">
        <v>1</v>
      </c>
      <c r="G262" t="s">
        <v>60</v>
      </c>
      <c r="I262" t="s">
        <v>61</v>
      </c>
      <c r="Z262" t="str">
        <f>IFERROR(MID(AA262,FIND("-",H262,1)+1,20),_xlfn.IFNA(VLOOKUP(F262&amp;"-"&amp;AA262,Ref_Kontak!$A:$E,4,FALSE),Ref_Kontak!$H$2))</f>
        <v>628999007703</v>
      </c>
      <c r="AA262" t="str">
        <f t="shared" si="24"/>
        <v/>
      </c>
      <c r="AB262" t="str">
        <f t="shared" si="25"/>
        <v/>
      </c>
      <c r="AC262" t="str">
        <f t="shared" si="26"/>
        <v>628999007703</v>
      </c>
      <c r="AD262" t="str">
        <f t="shared" si="28"/>
        <v>Halo+,+Visual+AI+5S+menditeksi+Violation%3A+GUDANGEXP1-LINE+1</v>
      </c>
      <c r="AE262" t="str">
        <f t="shared" si="27"/>
        <v>https://web.whatsapp.com/send/?phone=628999007703&amp;text=Halo+,+Visual+AI+5S+menditeksi+Violation%3A+GUDANGEXP1-LINE+1&amp;type=phone_number&amp;app_absent=0</v>
      </c>
      <c r="AF262" t="b">
        <f>IF(ISNA(VLOOKUP(D262&amp;"-"&amp;AB262, Ref_Kontak!$A:$E, 4, FALSE)), FALSE, TRUE)</f>
        <v>0</v>
      </c>
      <c r="AG262" t="str">
        <f>_xlfn.IFNA(VLOOKUP(Z262,Ref_Kontak!H:H,1,FALSE),"FALSE")</f>
        <v>628999007703</v>
      </c>
      <c r="AH262" t="str">
        <f t="shared" si="29"/>
        <v>GUDANGEXP1-LINE 1</v>
      </c>
      <c r="AI262">
        <f>COUNTIF($AH$1:AH262,AH262)</f>
        <v>261</v>
      </c>
    </row>
    <row r="263" spans="1:35">
      <c r="A263" t="s">
        <v>56</v>
      </c>
      <c r="B263" t="s">
        <v>57</v>
      </c>
      <c r="C263" t="s">
        <v>325</v>
      </c>
      <c r="D263" t="s">
        <v>59</v>
      </c>
      <c r="E263">
        <v>1</v>
      </c>
      <c r="G263" t="s">
        <v>60</v>
      </c>
      <c r="I263" t="s">
        <v>61</v>
      </c>
      <c r="Z263" t="str">
        <f>IFERROR(MID(AA263,FIND("-",H263,1)+1,20),_xlfn.IFNA(VLOOKUP(F263&amp;"-"&amp;AA263,Ref_Kontak!$A:$E,4,FALSE),Ref_Kontak!$H$2))</f>
        <v>628999007703</v>
      </c>
      <c r="AA263" t="str">
        <f t="shared" si="24"/>
        <v/>
      </c>
      <c r="AB263" t="str">
        <f t="shared" si="25"/>
        <v/>
      </c>
      <c r="AC263" t="str">
        <f t="shared" si="26"/>
        <v>628999007703</v>
      </c>
      <c r="AD263" t="str">
        <f t="shared" si="28"/>
        <v>Halo+,+Visual+AI+5S+menditeksi+Violation%3A+GUDANGEXP1-LINE+1</v>
      </c>
      <c r="AE263" t="str">
        <f t="shared" si="27"/>
        <v>https://web.whatsapp.com/send/?phone=628999007703&amp;text=Halo+,+Visual+AI+5S+menditeksi+Violation%3A+GUDANGEXP1-LINE+1&amp;type=phone_number&amp;app_absent=0</v>
      </c>
      <c r="AF263" t="b">
        <f>IF(ISNA(VLOOKUP(D263&amp;"-"&amp;AB263, Ref_Kontak!$A:$E, 4, FALSE)), FALSE, TRUE)</f>
        <v>0</v>
      </c>
      <c r="AG263" t="str">
        <f>_xlfn.IFNA(VLOOKUP(Z263,Ref_Kontak!H:H,1,FALSE),"FALSE")</f>
        <v>628999007703</v>
      </c>
      <c r="AH263" t="str">
        <f t="shared" si="29"/>
        <v>GUDANGEXP1-LINE 1</v>
      </c>
      <c r="AI263">
        <f>COUNTIF($AH$1:AH263,AH263)</f>
        <v>262</v>
      </c>
    </row>
    <row r="264" spans="1:35">
      <c r="A264" t="s">
        <v>56</v>
      </c>
      <c r="B264" t="s">
        <v>57</v>
      </c>
      <c r="C264" t="s">
        <v>326</v>
      </c>
      <c r="D264" t="s">
        <v>59</v>
      </c>
      <c r="E264">
        <v>1</v>
      </c>
      <c r="G264" t="s">
        <v>60</v>
      </c>
      <c r="I264" t="s">
        <v>61</v>
      </c>
      <c r="Z264" t="str">
        <f>IFERROR(MID(AA264,FIND("-",H264,1)+1,20),_xlfn.IFNA(VLOOKUP(F264&amp;"-"&amp;AA264,Ref_Kontak!$A:$E,4,FALSE),Ref_Kontak!$H$2))</f>
        <v>628999007703</v>
      </c>
      <c r="AA264" t="str">
        <f t="shared" si="24"/>
        <v/>
      </c>
      <c r="AB264" t="str">
        <f t="shared" si="25"/>
        <v/>
      </c>
      <c r="AC264" t="str">
        <f t="shared" si="26"/>
        <v>628999007703</v>
      </c>
      <c r="AD264" t="str">
        <f t="shared" si="28"/>
        <v>Halo+,+Visual+AI+5S+menditeksi+Violation%3A+GUDANGEXP1-LINE+1</v>
      </c>
      <c r="AE264" t="str">
        <f t="shared" si="27"/>
        <v>https://web.whatsapp.com/send/?phone=628999007703&amp;text=Halo+,+Visual+AI+5S+menditeksi+Violation%3A+GUDANGEXP1-LINE+1&amp;type=phone_number&amp;app_absent=0</v>
      </c>
      <c r="AF264" t="b">
        <f>IF(ISNA(VLOOKUP(D264&amp;"-"&amp;AB264, Ref_Kontak!$A:$E, 4, FALSE)), FALSE, TRUE)</f>
        <v>0</v>
      </c>
      <c r="AG264" t="str">
        <f>_xlfn.IFNA(VLOOKUP(Z264,Ref_Kontak!H:H,1,FALSE),"FALSE")</f>
        <v>628999007703</v>
      </c>
      <c r="AH264" t="str">
        <f t="shared" si="29"/>
        <v>GUDANGEXP1-LINE 1</v>
      </c>
      <c r="AI264">
        <f>COUNTIF($AH$1:AH264,AH264)</f>
        <v>263</v>
      </c>
    </row>
    <row r="265" spans="1:35">
      <c r="A265" t="s">
        <v>56</v>
      </c>
      <c r="B265" t="s">
        <v>57</v>
      </c>
      <c r="C265" t="s">
        <v>327</v>
      </c>
      <c r="D265" t="s">
        <v>59</v>
      </c>
      <c r="E265">
        <v>1</v>
      </c>
      <c r="G265" t="s">
        <v>60</v>
      </c>
      <c r="I265" t="s">
        <v>61</v>
      </c>
      <c r="Z265" t="str">
        <f>IFERROR(MID(AA265,FIND("-",H265,1)+1,20),_xlfn.IFNA(VLOOKUP(F265&amp;"-"&amp;AA265,Ref_Kontak!$A:$E,4,FALSE),Ref_Kontak!$H$2))</f>
        <v>628999007703</v>
      </c>
      <c r="AA265" t="str">
        <f t="shared" si="24"/>
        <v/>
      </c>
      <c r="AB265" t="str">
        <f t="shared" si="25"/>
        <v/>
      </c>
      <c r="AC265" t="str">
        <f t="shared" si="26"/>
        <v>628999007703</v>
      </c>
      <c r="AD265" t="str">
        <f t="shared" si="28"/>
        <v>Halo+,+Visual+AI+5S+menditeksi+Violation%3A+GUDANGEXP1-LINE+1</v>
      </c>
      <c r="AE265" t="str">
        <f t="shared" si="27"/>
        <v>https://web.whatsapp.com/send/?phone=628999007703&amp;text=Halo+,+Visual+AI+5S+menditeksi+Violation%3A+GUDANGEXP1-LINE+1&amp;type=phone_number&amp;app_absent=0</v>
      </c>
      <c r="AF265" t="b">
        <f>IF(ISNA(VLOOKUP(D265&amp;"-"&amp;AB265, Ref_Kontak!$A:$E, 4, FALSE)), FALSE, TRUE)</f>
        <v>0</v>
      </c>
      <c r="AG265" t="str">
        <f>_xlfn.IFNA(VLOOKUP(Z265,Ref_Kontak!H:H,1,FALSE),"FALSE")</f>
        <v>628999007703</v>
      </c>
      <c r="AH265" t="str">
        <f t="shared" si="29"/>
        <v>GUDANGEXP1-LINE 1</v>
      </c>
      <c r="AI265">
        <f>COUNTIF($AH$1:AH265,AH265)</f>
        <v>264</v>
      </c>
    </row>
    <row r="266" spans="1:35">
      <c r="A266" t="s">
        <v>56</v>
      </c>
      <c r="B266" t="s">
        <v>57</v>
      </c>
      <c r="C266" t="s">
        <v>328</v>
      </c>
      <c r="D266" t="s">
        <v>59</v>
      </c>
      <c r="E266">
        <v>1</v>
      </c>
      <c r="G266" t="s">
        <v>60</v>
      </c>
      <c r="I266" t="s">
        <v>61</v>
      </c>
      <c r="Z266" t="str">
        <f>IFERROR(MID(AA266,FIND("-",H266,1)+1,20),_xlfn.IFNA(VLOOKUP(F266&amp;"-"&amp;AA266,Ref_Kontak!$A:$E,4,FALSE),Ref_Kontak!$H$2))</f>
        <v>628999007703</v>
      </c>
      <c r="AA266" t="str">
        <f t="shared" si="24"/>
        <v/>
      </c>
      <c r="AB266" t="str">
        <f t="shared" si="25"/>
        <v/>
      </c>
      <c r="AC266" t="str">
        <f t="shared" si="26"/>
        <v>628999007703</v>
      </c>
      <c r="AD266" t="str">
        <f t="shared" si="28"/>
        <v>Halo+,+Visual+AI+5S+menditeksi+Violation%3A+GUDANGEXP1-LINE+1</v>
      </c>
      <c r="AE266" t="str">
        <f t="shared" si="27"/>
        <v>https://web.whatsapp.com/send/?phone=628999007703&amp;text=Halo+,+Visual+AI+5S+menditeksi+Violation%3A+GUDANGEXP1-LINE+1&amp;type=phone_number&amp;app_absent=0</v>
      </c>
      <c r="AF266" t="b">
        <f>IF(ISNA(VLOOKUP(D266&amp;"-"&amp;AB266, Ref_Kontak!$A:$E, 4, FALSE)), FALSE, TRUE)</f>
        <v>0</v>
      </c>
      <c r="AG266" t="str">
        <f>_xlfn.IFNA(VLOOKUP(Z266,Ref_Kontak!H:H,1,FALSE),"FALSE")</f>
        <v>628999007703</v>
      </c>
      <c r="AH266" t="str">
        <f t="shared" si="29"/>
        <v>GUDANGEXP1-LINE 1</v>
      </c>
      <c r="AI266">
        <f>COUNTIF($AH$1:AH266,AH266)</f>
        <v>265</v>
      </c>
    </row>
    <row r="267" spans="1:35">
      <c r="A267" t="s">
        <v>56</v>
      </c>
      <c r="B267" t="s">
        <v>57</v>
      </c>
      <c r="C267" t="s">
        <v>329</v>
      </c>
      <c r="D267" t="s">
        <v>59</v>
      </c>
      <c r="E267">
        <v>1</v>
      </c>
      <c r="G267" t="s">
        <v>60</v>
      </c>
      <c r="I267" t="s">
        <v>61</v>
      </c>
      <c r="Z267" t="str">
        <f>IFERROR(MID(AA267,FIND("-",H267,1)+1,20),_xlfn.IFNA(VLOOKUP(F267&amp;"-"&amp;AA267,Ref_Kontak!$A:$E,4,FALSE),Ref_Kontak!$H$2))</f>
        <v>628999007703</v>
      </c>
      <c r="AA267" t="str">
        <f t="shared" si="24"/>
        <v/>
      </c>
      <c r="AB267" t="str">
        <f t="shared" si="25"/>
        <v/>
      </c>
      <c r="AC267" t="str">
        <f t="shared" si="26"/>
        <v>628999007703</v>
      </c>
      <c r="AD267" t="str">
        <f t="shared" si="28"/>
        <v>Halo+,+Visual+AI+5S+menditeksi+Violation%3A+GUDANGEXP1-LINE+1</v>
      </c>
      <c r="AE267" t="str">
        <f t="shared" si="27"/>
        <v>https://web.whatsapp.com/send/?phone=628999007703&amp;text=Halo+,+Visual+AI+5S+menditeksi+Violation%3A+GUDANGEXP1-LINE+1&amp;type=phone_number&amp;app_absent=0</v>
      </c>
      <c r="AF267" t="b">
        <f>IF(ISNA(VLOOKUP(D267&amp;"-"&amp;AB267, Ref_Kontak!$A:$E, 4, FALSE)), FALSE, TRUE)</f>
        <v>0</v>
      </c>
      <c r="AG267" t="str">
        <f>_xlfn.IFNA(VLOOKUP(Z267,Ref_Kontak!H:H,1,FALSE),"FALSE")</f>
        <v>628999007703</v>
      </c>
      <c r="AH267" t="str">
        <f t="shared" si="29"/>
        <v>GUDANGEXP1-LINE 1</v>
      </c>
      <c r="AI267">
        <f>COUNTIF($AH$1:AH267,AH267)</f>
        <v>266</v>
      </c>
    </row>
    <row r="268" spans="1:35">
      <c r="A268" t="s">
        <v>56</v>
      </c>
      <c r="B268" t="s">
        <v>57</v>
      </c>
      <c r="C268" t="s">
        <v>330</v>
      </c>
      <c r="D268" t="s">
        <v>59</v>
      </c>
      <c r="E268">
        <v>1</v>
      </c>
      <c r="G268" t="s">
        <v>60</v>
      </c>
      <c r="I268" t="s">
        <v>61</v>
      </c>
      <c r="Z268" t="str">
        <f>IFERROR(MID(AA268,FIND("-",H268,1)+1,20),_xlfn.IFNA(VLOOKUP(F268&amp;"-"&amp;AA268,Ref_Kontak!$A:$E,4,FALSE),Ref_Kontak!$H$2))</f>
        <v>628999007703</v>
      </c>
      <c r="AA268" t="str">
        <f t="shared" si="24"/>
        <v/>
      </c>
      <c r="AB268" t="str">
        <f t="shared" si="25"/>
        <v/>
      </c>
      <c r="AC268" t="str">
        <f t="shared" si="26"/>
        <v>628999007703</v>
      </c>
      <c r="AD268" t="str">
        <f t="shared" si="28"/>
        <v>Halo+,+Visual+AI+5S+menditeksi+Violation%3A+GUDANGEXP1-LINE+1</v>
      </c>
      <c r="AE268" t="str">
        <f t="shared" si="27"/>
        <v>https://web.whatsapp.com/send/?phone=628999007703&amp;text=Halo+,+Visual+AI+5S+menditeksi+Violation%3A+GUDANGEXP1-LINE+1&amp;type=phone_number&amp;app_absent=0</v>
      </c>
      <c r="AF268" t="b">
        <f>IF(ISNA(VLOOKUP(D268&amp;"-"&amp;AB268, Ref_Kontak!$A:$E, 4, FALSE)), FALSE, TRUE)</f>
        <v>0</v>
      </c>
      <c r="AG268" t="str">
        <f>_xlfn.IFNA(VLOOKUP(Z268,Ref_Kontak!H:H,1,FALSE),"FALSE")</f>
        <v>628999007703</v>
      </c>
      <c r="AH268" t="str">
        <f t="shared" si="29"/>
        <v>GUDANGEXP1-LINE 1</v>
      </c>
      <c r="AI268">
        <f>COUNTIF($AH$1:AH268,AH268)</f>
        <v>267</v>
      </c>
    </row>
    <row r="269" spans="1:35">
      <c r="A269" t="s">
        <v>56</v>
      </c>
      <c r="B269" t="s">
        <v>57</v>
      </c>
      <c r="C269" t="s">
        <v>331</v>
      </c>
      <c r="D269" t="s">
        <v>59</v>
      </c>
      <c r="E269">
        <v>1</v>
      </c>
      <c r="G269" t="s">
        <v>60</v>
      </c>
      <c r="I269" t="s">
        <v>61</v>
      </c>
      <c r="Z269" t="str">
        <f>IFERROR(MID(AA269,FIND("-",H269,1)+1,20),_xlfn.IFNA(VLOOKUP(F269&amp;"-"&amp;AA269,Ref_Kontak!$A:$E,4,FALSE),Ref_Kontak!$H$2))</f>
        <v>628999007703</v>
      </c>
      <c r="AA269" t="str">
        <f t="shared" si="24"/>
        <v/>
      </c>
      <c r="AB269" t="str">
        <f t="shared" si="25"/>
        <v/>
      </c>
      <c r="AC269" t="str">
        <f t="shared" si="26"/>
        <v>628999007703</v>
      </c>
      <c r="AD269" t="str">
        <f t="shared" si="28"/>
        <v>Halo+,+Visual+AI+5S+menditeksi+Violation%3A+GUDANGEXP1-LINE+1</v>
      </c>
      <c r="AE269" t="str">
        <f t="shared" si="27"/>
        <v>https://web.whatsapp.com/send/?phone=628999007703&amp;text=Halo+,+Visual+AI+5S+menditeksi+Violation%3A+GUDANGEXP1-LINE+1&amp;type=phone_number&amp;app_absent=0</v>
      </c>
      <c r="AF269" t="b">
        <f>IF(ISNA(VLOOKUP(D269&amp;"-"&amp;AB269, Ref_Kontak!$A:$E, 4, FALSE)), FALSE, TRUE)</f>
        <v>0</v>
      </c>
      <c r="AG269" t="str">
        <f>_xlfn.IFNA(VLOOKUP(Z269,Ref_Kontak!H:H,1,FALSE),"FALSE")</f>
        <v>628999007703</v>
      </c>
      <c r="AH269" t="str">
        <f t="shared" si="29"/>
        <v>GUDANGEXP1-LINE 1</v>
      </c>
      <c r="AI269">
        <f>COUNTIF($AH$1:AH269,AH269)</f>
        <v>268</v>
      </c>
    </row>
    <row r="270" spans="1:35">
      <c r="A270" t="s">
        <v>56</v>
      </c>
      <c r="B270" t="s">
        <v>57</v>
      </c>
      <c r="C270" t="s">
        <v>332</v>
      </c>
      <c r="D270" t="s">
        <v>59</v>
      </c>
      <c r="E270">
        <v>1</v>
      </c>
      <c r="G270" t="s">
        <v>60</v>
      </c>
      <c r="I270" t="s">
        <v>61</v>
      </c>
      <c r="Z270" t="str">
        <f>IFERROR(MID(AA270,FIND("-",H270,1)+1,20),_xlfn.IFNA(VLOOKUP(F270&amp;"-"&amp;AA270,Ref_Kontak!$A:$E,4,FALSE),Ref_Kontak!$H$2))</f>
        <v>628999007703</v>
      </c>
      <c r="AA270" t="str">
        <f t="shared" si="24"/>
        <v/>
      </c>
      <c r="AB270" t="str">
        <f t="shared" si="25"/>
        <v/>
      </c>
      <c r="AC270" t="str">
        <f t="shared" si="26"/>
        <v>628999007703</v>
      </c>
      <c r="AD270" t="str">
        <f t="shared" si="28"/>
        <v>Halo+,+Visual+AI+5S+menditeksi+Violation%3A+GUDANGEXP1-LINE+1</v>
      </c>
      <c r="AE270" t="str">
        <f t="shared" si="27"/>
        <v>https://web.whatsapp.com/send/?phone=628999007703&amp;text=Halo+,+Visual+AI+5S+menditeksi+Violation%3A+GUDANGEXP1-LINE+1&amp;type=phone_number&amp;app_absent=0</v>
      </c>
      <c r="AF270" t="b">
        <f>IF(ISNA(VLOOKUP(D270&amp;"-"&amp;AB270, Ref_Kontak!$A:$E, 4, FALSE)), FALSE, TRUE)</f>
        <v>0</v>
      </c>
      <c r="AG270" t="str">
        <f>_xlfn.IFNA(VLOOKUP(Z270,Ref_Kontak!H:H,1,FALSE),"FALSE")</f>
        <v>628999007703</v>
      </c>
      <c r="AH270" t="str">
        <f t="shared" si="29"/>
        <v>GUDANGEXP1-LINE 1</v>
      </c>
      <c r="AI270">
        <f>COUNTIF($AH$1:AH270,AH270)</f>
        <v>269</v>
      </c>
    </row>
    <row r="271" spans="1:35">
      <c r="A271" t="s">
        <v>56</v>
      </c>
      <c r="B271" t="s">
        <v>57</v>
      </c>
      <c r="C271" t="s">
        <v>333</v>
      </c>
      <c r="D271" t="s">
        <v>59</v>
      </c>
      <c r="E271">
        <v>1</v>
      </c>
      <c r="G271" t="s">
        <v>60</v>
      </c>
      <c r="I271" t="s">
        <v>61</v>
      </c>
      <c r="Z271" t="str">
        <f>IFERROR(MID(AA271,FIND("-",H271,1)+1,20),_xlfn.IFNA(VLOOKUP(F271&amp;"-"&amp;AA271,Ref_Kontak!$A:$E,4,FALSE),Ref_Kontak!$H$2))</f>
        <v>628999007703</v>
      </c>
      <c r="AA271" t="str">
        <f t="shared" si="24"/>
        <v/>
      </c>
      <c r="AB271" t="str">
        <f t="shared" si="25"/>
        <v/>
      </c>
      <c r="AC271" t="str">
        <f t="shared" si="26"/>
        <v>628999007703</v>
      </c>
      <c r="AD271" t="str">
        <f t="shared" si="28"/>
        <v>Halo+,+Visual+AI+5S+menditeksi+Violation%3A+GUDANGEXP1-LINE+1</v>
      </c>
      <c r="AE271" t="str">
        <f t="shared" si="27"/>
        <v>https://web.whatsapp.com/send/?phone=628999007703&amp;text=Halo+,+Visual+AI+5S+menditeksi+Violation%3A+GUDANGEXP1-LINE+1&amp;type=phone_number&amp;app_absent=0</v>
      </c>
      <c r="AF271" t="b">
        <f>IF(ISNA(VLOOKUP(D271&amp;"-"&amp;AB271, Ref_Kontak!$A:$E, 4, FALSE)), FALSE, TRUE)</f>
        <v>0</v>
      </c>
      <c r="AG271" t="str">
        <f>_xlfn.IFNA(VLOOKUP(Z271,Ref_Kontak!H:H,1,FALSE),"FALSE")</f>
        <v>628999007703</v>
      </c>
      <c r="AH271" t="str">
        <f t="shared" si="29"/>
        <v>GUDANGEXP1-LINE 1</v>
      </c>
      <c r="AI271">
        <f>COUNTIF($AH$1:AH271,AH271)</f>
        <v>270</v>
      </c>
    </row>
    <row r="272" spans="1:35">
      <c r="A272" t="s">
        <v>56</v>
      </c>
      <c r="B272" t="s">
        <v>57</v>
      </c>
      <c r="C272" t="s">
        <v>334</v>
      </c>
      <c r="D272" t="s">
        <v>59</v>
      </c>
      <c r="E272">
        <v>1</v>
      </c>
      <c r="G272" t="s">
        <v>60</v>
      </c>
      <c r="I272" t="s">
        <v>61</v>
      </c>
      <c r="Z272" t="str">
        <f>IFERROR(MID(AA272,FIND("-",H272,1)+1,20),_xlfn.IFNA(VLOOKUP(F272&amp;"-"&amp;AA272,Ref_Kontak!$A:$E,4,FALSE),Ref_Kontak!$H$2))</f>
        <v>628999007703</v>
      </c>
      <c r="AA272" t="str">
        <f t="shared" si="24"/>
        <v/>
      </c>
      <c r="AB272" t="str">
        <f t="shared" si="25"/>
        <v/>
      </c>
      <c r="AC272" t="str">
        <f t="shared" si="26"/>
        <v>628999007703</v>
      </c>
      <c r="AD272" t="str">
        <f t="shared" si="28"/>
        <v>Halo+,+Visual+AI+5S+menditeksi+Violation%3A+GUDANGEXP1-LINE+1</v>
      </c>
      <c r="AE272" t="str">
        <f t="shared" si="27"/>
        <v>https://web.whatsapp.com/send/?phone=628999007703&amp;text=Halo+,+Visual+AI+5S+menditeksi+Violation%3A+GUDANGEXP1-LINE+1&amp;type=phone_number&amp;app_absent=0</v>
      </c>
      <c r="AF272" t="b">
        <f>IF(ISNA(VLOOKUP(D272&amp;"-"&amp;AB272, Ref_Kontak!$A:$E, 4, FALSE)), FALSE, TRUE)</f>
        <v>0</v>
      </c>
      <c r="AG272" t="str">
        <f>_xlfn.IFNA(VLOOKUP(Z272,Ref_Kontak!H:H,1,FALSE),"FALSE")</f>
        <v>628999007703</v>
      </c>
      <c r="AH272" t="str">
        <f t="shared" si="29"/>
        <v>GUDANGEXP1-LINE 1</v>
      </c>
      <c r="AI272">
        <f>COUNTIF($AH$1:AH272,AH272)</f>
        <v>271</v>
      </c>
    </row>
    <row r="273" spans="1:35">
      <c r="A273" t="s">
        <v>56</v>
      </c>
      <c r="B273" t="s">
        <v>57</v>
      </c>
      <c r="C273" t="s">
        <v>335</v>
      </c>
      <c r="D273" t="s">
        <v>59</v>
      </c>
      <c r="E273">
        <v>1</v>
      </c>
      <c r="G273" t="s">
        <v>60</v>
      </c>
      <c r="I273" t="s">
        <v>61</v>
      </c>
      <c r="Z273" t="str">
        <f>IFERROR(MID(AA273,FIND("-",H273,1)+1,20),_xlfn.IFNA(VLOOKUP(F273&amp;"-"&amp;AA273,Ref_Kontak!$A:$E,4,FALSE),Ref_Kontak!$H$2))</f>
        <v>628999007703</v>
      </c>
      <c r="AA273" t="str">
        <f t="shared" si="24"/>
        <v/>
      </c>
      <c r="AB273" t="str">
        <f t="shared" si="25"/>
        <v/>
      </c>
      <c r="AC273" t="str">
        <f t="shared" si="26"/>
        <v>628999007703</v>
      </c>
      <c r="AD273" t="str">
        <f t="shared" si="28"/>
        <v>Halo+,+Visual+AI+5S+menditeksi+Violation%3A+GUDANGEXP1-LINE+1</v>
      </c>
      <c r="AE273" t="str">
        <f t="shared" si="27"/>
        <v>https://web.whatsapp.com/send/?phone=628999007703&amp;text=Halo+,+Visual+AI+5S+menditeksi+Violation%3A+GUDANGEXP1-LINE+1&amp;type=phone_number&amp;app_absent=0</v>
      </c>
      <c r="AF273" t="b">
        <f>IF(ISNA(VLOOKUP(D273&amp;"-"&amp;AB273, Ref_Kontak!$A:$E, 4, FALSE)), FALSE, TRUE)</f>
        <v>0</v>
      </c>
      <c r="AG273" t="str">
        <f>_xlfn.IFNA(VLOOKUP(Z273,Ref_Kontak!H:H,1,FALSE),"FALSE")</f>
        <v>628999007703</v>
      </c>
      <c r="AH273" t="str">
        <f t="shared" si="29"/>
        <v>GUDANGEXP1-LINE 1</v>
      </c>
      <c r="AI273">
        <f>COUNTIF($AH$1:AH273,AH273)</f>
        <v>272</v>
      </c>
    </row>
    <row r="274" spans="1:35">
      <c r="A274" t="s">
        <v>56</v>
      </c>
      <c r="B274" t="s">
        <v>57</v>
      </c>
      <c r="C274" t="s">
        <v>336</v>
      </c>
      <c r="D274" t="s">
        <v>59</v>
      </c>
      <c r="E274">
        <v>1</v>
      </c>
      <c r="G274" t="s">
        <v>60</v>
      </c>
      <c r="I274" t="s">
        <v>61</v>
      </c>
      <c r="Z274" t="str">
        <f>IFERROR(MID(AA274,FIND("-",H274,1)+1,20),_xlfn.IFNA(VLOOKUP(F274&amp;"-"&amp;AA274,Ref_Kontak!$A:$E,4,FALSE),Ref_Kontak!$H$2))</f>
        <v>628999007703</v>
      </c>
      <c r="AA274" t="str">
        <f t="shared" si="24"/>
        <v/>
      </c>
      <c r="AB274" t="str">
        <f t="shared" si="25"/>
        <v/>
      </c>
      <c r="AC274" t="str">
        <f t="shared" si="26"/>
        <v>628999007703</v>
      </c>
      <c r="AD274" t="str">
        <f t="shared" si="28"/>
        <v>Halo+,+Visual+AI+5S+menditeksi+Violation%3A+GUDANGEXP1-LINE+1</v>
      </c>
      <c r="AE274" t="str">
        <f t="shared" si="27"/>
        <v>https://web.whatsapp.com/send/?phone=628999007703&amp;text=Halo+,+Visual+AI+5S+menditeksi+Violation%3A+GUDANGEXP1-LINE+1&amp;type=phone_number&amp;app_absent=0</v>
      </c>
      <c r="AF274" t="b">
        <f>IF(ISNA(VLOOKUP(D274&amp;"-"&amp;AB274, Ref_Kontak!$A:$E, 4, FALSE)), FALSE, TRUE)</f>
        <v>0</v>
      </c>
      <c r="AG274" t="str">
        <f>_xlfn.IFNA(VLOOKUP(Z274,Ref_Kontak!H:H,1,FALSE),"FALSE")</f>
        <v>628999007703</v>
      </c>
      <c r="AH274" t="str">
        <f t="shared" si="29"/>
        <v>GUDANGEXP1-LINE 1</v>
      </c>
      <c r="AI274">
        <f>COUNTIF($AH$1:AH274,AH274)</f>
        <v>273</v>
      </c>
    </row>
    <row r="275" spans="1:35">
      <c r="A275" t="s">
        <v>56</v>
      </c>
      <c r="B275" t="s">
        <v>57</v>
      </c>
      <c r="C275" t="s">
        <v>337</v>
      </c>
      <c r="D275" t="s">
        <v>59</v>
      </c>
      <c r="E275">
        <v>1</v>
      </c>
      <c r="G275" t="s">
        <v>60</v>
      </c>
      <c r="I275" t="s">
        <v>61</v>
      </c>
      <c r="Z275" t="str">
        <f>IFERROR(MID(AA275,FIND("-",H275,1)+1,20),_xlfn.IFNA(VLOOKUP(F275&amp;"-"&amp;AA275,Ref_Kontak!$A:$E,4,FALSE),Ref_Kontak!$H$2))</f>
        <v>628999007703</v>
      </c>
      <c r="AA275" t="str">
        <f t="shared" si="24"/>
        <v/>
      </c>
      <c r="AB275" t="str">
        <f t="shared" si="25"/>
        <v/>
      </c>
      <c r="AC275" t="str">
        <f t="shared" si="26"/>
        <v>628999007703</v>
      </c>
      <c r="AD275" t="str">
        <f t="shared" si="28"/>
        <v>Halo+,+Visual+AI+5S+menditeksi+Violation%3A+GUDANGEXP1-LINE+1</v>
      </c>
      <c r="AE275" t="str">
        <f t="shared" si="27"/>
        <v>https://web.whatsapp.com/send/?phone=628999007703&amp;text=Halo+,+Visual+AI+5S+menditeksi+Violation%3A+GUDANGEXP1-LINE+1&amp;type=phone_number&amp;app_absent=0</v>
      </c>
      <c r="AF275" t="b">
        <f>IF(ISNA(VLOOKUP(D275&amp;"-"&amp;AB275, Ref_Kontak!$A:$E, 4, FALSE)), FALSE, TRUE)</f>
        <v>0</v>
      </c>
      <c r="AG275" t="str">
        <f>_xlfn.IFNA(VLOOKUP(Z275,Ref_Kontak!H:H,1,FALSE),"FALSE")</f>
        <v>628999007703</v>
      </c>
      <c r="AH275" t="str">
        <f t="shared" si="29"/>
        <v>GUDANGEXP1-LINE 1</v>
      </c>
      <c r="AI275">
        <f>COUNTIF($AH$1:AH275,AH275)</f>
        <v>274</v>
      </c>
    </row>
    <row r="276" spans="1:35">
      <c r="A276" t="s">
        <v>56</v>
      </c>
      <c r="B276" t="s">
        <v>57</v>
      </c>
      <c r="C276" t="s">
        <v>338</v>
      </c>
      <c r="D276" t="s">
        <v>59</v>
      </c>
      <c r="E276">
        <v>1</v>
      </c>
      <c r="G276" t="s">
        <v>60</v>
      </c>
      <c r="I276" t="s">
        <v>61</v>
      </c>
      <c r="Z276" t="str">
        <f>IFERROR(MID(AA276,FIND("-",H276,1)+1,20),_xlfn.IFNA(VLOOKUP(F276&amp;"-"&amp;AA276,Ref_Kontak!$A:$E,4,FALSE),Ref_Kontak!$H$2))</f>
        <v>628999007703</v>
      </c>
      <c r="AA276" t="str">
        <f t="shared" si="24"/>
        <v/>
      </c>
      <c r="AB276" t="str">
        <f t="shared" si="25"/>
        <v/>
      </c>
      <c r="AC276" t="str">
        <f t="shared" si="26"/>
        <v>628999007703</v>
      </c>
      <c r="AD276" t="str">
        <f t="shared" si="28"/>
        <v>Halo+,+Visual+AI+5S+menditeksi+Violation%3A+GUDANGEXP1-LINE+1</v>
      </c>
      <c r="AE276" t="str">
        <f t="shared" si="27"/>
        <v>https://web.whatsapp.com/send/?phone=628999007703&amp;text=Halo+,+Visual+AI+5S+menditeksi+Violation%3A+GUDANGEXP1-LINE+1&amp;type=phone_number&amp;app_absent=0</v>
      </c>
      <c r="AF276" t="b">
        <f>IF(ISNA(VLOOKUP(D276&amp;"-"&amp;AB276, Ref_Kontak!$A:$E, 4, FALSE)), FALSE, TRUE)</f>
        <v>0</v>
      </c>
      <c r="AG276" t="str">
        <f>_xlfn.IFNA(VLOOKUP(Z276,Ref_Kontak!H:H,1,FALSE),"FALSE")</f>
        <v>628999007703</v>
      </c>
      <c r="AH276" t="str">
        <f t="shared" si="29"/>
        <v>GUDANGEXP1-LINE 1</v>
      </c>
      <c r="AI276">
        <f>COUNTIF($AH$1:AH276,AH276)</f>
        <v>275</v>
      </c>
    </row>
    <row r="277" spans="1:35">
      <c r="A277" t="s">
        <v>56</v>
      </c>
      <c r="B277" t="s">
        <v>57</v>
      </c>
      <c r="C277" t="s">
        <v>339</v>
      </c>
      <c r="D277" t="s">
        <v>59</v>
      </c>
      <c r="E277">
        <v>1</v>
      </c>
      <c r="G277" t="s">
        <v>60</v>
      </c>
      <c r="I277" t="s">
        <v>61</v>
      </c>
      <c r="Z277" t="str">
        <f>IFERROR(MID(AA277,FIND("-",H277,1)+1,20),_xlfn.IFNA(VLOOKUP(F277&amp;"-"&amp;AA277,Ref_Kontak!$A:$E,4,FALSE),Ref_Kontak!$H$2))</f>
        <v>628999007703</v>
      </c>
      <c r="AA277" t="str">
        <f t="shared" si="24"/>
        <v/>
      </c>
      <c r="AB277" t="str">
        <f t="shared" si="25"/>
        <v/>
      </c>
      <c r="AC277" t="str">
        <f t="shared" si="26"/>
        <v>628999007703</v>
      </c>
      <c r="AD277" t="str">
        <f t="shared" si="28"/>
        <v>Halo+,+Visual+AI+5S+menditeksi+Violation%3A+GUDANGEXP1-LINE+1</v>
      </c>
      <c r="AE277" t="str">
        <f t="shared" si="27"/>
        <v>https://web.whatsapp.com/send/?phone=628999007703&amp;text=Halo+,+Visual+AI+5S+menditeksi+Violation%3A+GUDANGEXP1-LINE+1&amp;type=phone_number&amp;app_absent=0</v>
      </c>
      <c r="AF277" t="b">
        <f>IF(ISNA(VLOOKUP(D277&amp;"-"&amp;AB277, Ref_Kontak!$A:$E, 4, FALSE)), FALSE, TRUE)</f>
        <v>0</v>
      </c>
      <c r="AG277" t="str">
        <f>_xlfn.IFNA(VLOOKUP(Z277,Ref_Kontak!H:H,1,FALSE),"FALSE")</f>
        <v>628999007703</v>
      </c>
      <c r="AH277" t="str">
        <f t="shared" si="29"/>
        <v>GUDANGEXP1-LINE 1</v>
      </c>
      <c r="AI277">
        <f>COUNTIF($AH$1:AH277,AH277)</f>
        <v>276</v>
      </c>
    </row>
    <row r="278" spans="1:35">
      <c r="A278" t="s">
        <v>56</v>
      </c>
      <c r="B278" t="s">
        <v>57</v>
      </c>
      <c r="C278" t="s">
        <v>340</v>
      </c>
      <c r="D278" t="s">
        <v>59</v>
      </c>
      <c r="E278">
        <v>1</v>
      </c>
      <c r="G278" t="s">
        <v>60</v>
      </c>
      <c r="I278" t="s">
        <v>61</v>
      </c>
      <c r="Z278" t="str">
        <f>IFERROR(MID(AA278,FIND("-",H278,1)+1,20),_xlfn.IFNA(VLOOKUP(F278&amp;"-"&amp;AA278,Ref_Kontak!$A:$E,4,FALSE),Ref_Kontak!$H$2))</f>
        <v>628999007703</v>
      </c>
      <c r="AA278" t="str">
        <f t="shared" si="24"/>
        <v/>
      </c>
      <c r="AB278" t="str">
        <f t="shared" si="25"/>
        <v/>
      </c>
      <c r="AC278" t="str">
        <f t="shared" si="26"/>
        <v>628999007703</v>
      </c>
      <c r="AD278" t="str">
        <f t="shared" si="28"/>
        <v>Halo+,+Visual+AI+5S+menditeksi+Violation%3A+GUDANGEXP1-LINE+1</v>
      </c>
      <c r="AE278" t="str">
        <f t="shared" si="27"/>
        <v>https://web.whatsapp.com/send/?phone=628999007703&amp;text=Halo+,+Visual+AI+5S+menditeksi+Violation%3A+GUDANGEXP1-LINE+1&amp;type=phone_number&amp;app_absent=0</v>
      </c>
      <c r="AF278" t="b">
        <f>IF(ISNA(VLOOKUP(D278&amp;"-"&amp;AB278, Ref_Kontak!$A:$E, 4, FALSE)), FALSE, TRUE)</f>
        <v>0</v>
      </c>
      <c r="AG278" t="str">
        <f>_xlfn.IFNA(VLOOKUP(Z278,Ref_Kontak!H:H,1,FALSE),"FALSE")</f>
        <v>628999007703</v>
      </c>
      <c r="AH278" t="str">
        <f t="shared" si="29"/>
        <v>GUDANGEXP1-LINE 1</v>
      </c>
      <c r="AI278">
        <f>COUNTIF($AH$1:AH278,AH278)</f>
        <v>277</v>
      </c>
    </row>
    <row r="279" spans="1:35">
      <c r="A279" t="s">
        <v>56</v>
      </c>
      <c r="B279" t="s">
        <v>57</v>
      </c>
      <c r="C279" t="s">
        <v>341</v>
      </c>
      <c r="D279" t="s">
        <v>59</v>
      </c>
      <c r="E279">
        <v>1</v>
      </c>
      <c r="G279" t="s">
        <v>60</v>
      </c>
      <c r="I279" t="s">
        <v>61</v>
      </c>
      <c r="Z279" t="str">
        <f>IFERROR(MID(AA279,FIND("-",H279,1)+1,20),_xlfn.IFNA(VLOOKUP(F279&amp;"-"&amp;AA279,Ref_Kontak!$A:$E,4,FALSE),Ref_Kontak!$H$2))</f>
        <v>628999007703</v>
      </c>
      <c r="AA279" t="str">
        <f t="shared" si="24"/>
        <v/>
      </c>
      <c r="AB279" t="str">
        <f t="shared" si="25"/>
        <v/>
      </c>
      <c r="AC279" t="str">
        <f t="shared" si="26"/>
        <v>628999007703</v>
      </c>
      <c r="AD279" t="str">
        <f t="shared" si="28"/>
        <v>Halo+,+Visual+AI+5S+menditeksi+Violation%3A+GUDANGEXP1-LINE+1</v>
      </c>
      <c r="AE279" t="str">
        <f t="shared" si="27"/>
        <v>https://web.whatsapp.com/send/?phone=628999007703&amp;text=Halo+,+Visual+AI+5S+menditeksi+Violation%3A+GUDANGEXP1-LINE+1&amp;type=phone_number&amp;app_absent=0</v>
      </c>
      <c r="AF279" t="b">
        <f>IF(ISNA(VLOOKUP(D279&amp;"-"&amp;AB279, Ref_Kontak!$A:$E, 4, FALSE)), FALSE, TRUE)</f>
        <v>0</v>
      </c>
      <c r="AG279" t="str">
        <f>_xlfn.IFNA(VLOOKUP(Z279,Ref_Kontak!H:H,1,FALSE),"FALSE")</f>
        <v>628999007703</v>
      </c>
      <c r="AH279" t="str">
        <f t="shared" si="29"/>
        <v>GUDANGEXP1-LINE 1</v>
      </c>
      <c r="AI279">
        <f>COUNTIF($AH$1:AH279,AH279)</f>
        <v>278</v>
      </c>
    </row>
    <row r="280" spans="1:35">
      <c r="A280" t="s">
        <v>56</v>
      </c>
      <c r="B280" t="s">
        <v>57</v>
      </c>
      <c r="C280" t="s">
        <v>342</v>
      </c>
      <c r="D280" t="s">
        <v>59</v>
      </c>
      <c r="E280">
        <v>1</v>
      </c>
      <c r="G280" t="s">
        <v>60</v>
      </c>
      <c r="I280" t="s">
        <v>61</v>
      </c>
      <c r="Z280" t="str">
        <f>IFERROR(MID(AA280,FIND("-",H280,1)+1,20),_xlfn.IFNA(VLOOKUP(F280&amp;"-"&amp;AA280,Ref_Kontak!$A:$E,4,FALSE),Ref_Kontak!$H$2))</f>
        <v>628999007703</v>
      </c>
      <c r="AA280" t="str">
        <f t="shared" si="24"/>
        <v/>
      </c>
      <c r="AB280" t="str">
        <f t="shared" si="25"/>
        <v/>
      </c>
      <c r="AC280" t="str">
        <f t="shared" si="26"/>
        <v>628999007703</v>
      </c>
      <c r="AD280" t="str">
        <f t="shared" si="28"/>
        <v>Halo+,+Visual+AI+5S+menditeksi+Violation%3A+GUDANGEXP1-LINE+1</v>
      </c>
      <c r="AE280" t="str">
        <f t="shared" si="27"/>
        <v>https://web.whatsapp.com/send/?phone=628999007703&amp;text=Halo+,+Visual+AI+5S+menditeksi+Violation%3A+GUDANGEXP1-LINE+1&amp;type=phone_number&amp;app_absent=0</v>
      </c>
      <c r="AF280" t="b">
        <f>IF(ISNA(VLOOKUP(D280&amp;"-"&amp;AB280, Ref_Kontak!$A:$E, 4, FALSE)), FALSE, TRUE)</f>
        <v>0</v>
      </c>
      <c r="AG280" t="str">
        <f>_xlfn.IFNA(VLOOKUP(Z280,Ref_Kontak!H:H,1,FALSE),"FALSE")</f>
        <v>628999007703</v>
      </c>
      <c r="AH280" t="str">
        <f t="shared" si="29"/>
        <v>GUDANGEXP1-LINE 1</v>
      </c>
      <c r="AI280">
        <f>COUNTIF($AH$1:AH280,AH280)</f>
        <v>279</v>
      </c>
    </row>
    <row r="281" spans="1:35">
      <c r="A281" t="s">
        <v>56</v>
      </c>
      <c r="B281" t="s">
        <v>57</v>
      </c>
      <c r="C281" t="s">
        <v>343</v>
      </c>
      <c r="D281" t="s">
        <v>59</v>
      </c>
      <c r="E281">
        <v>1</v>
      </c>
      <c r="G281" t="s">
        <v>60</v>
      </c>
      <c r="I281" t="s">
        <v>61</v>
      </c>
      <c r="Z281" t="str">
        <f>IFERROR(MID(AA281,FIND("-",H281,1)+1,20),_xlfn.IFNA(VLOOKUP(F281&amp;"-"&amp;AA281,Ref_Kontak!$A:$E,4,FALSE),Ref_Kontak!$H$2))</f>
        <v>628999007703</v>
      </c>
      <c r="AA281" t="str">
        <f t="shared" si="24"/>
        <v/>
      </c>
      <c r="AB281" t="str">
        <f t="shared" si="25"/>
        <v/>
      </c>
      <c r="AC281" t="str">
        <f t="shared" si="26"/>
        <v>628999007703</v>
      </c>
      <c r="AD281" t="str">
        <f t="shared" si="28"/>
        <v>Halo+,+Visual+AI+5S+menditeksi+Violation%3A+GUDANGEXP1-LINE+1</v>
      </c>
      <c r="AE281" t="str">
        <f t="shared" si="27"/>
        <v>https://web.whatsapp.com/send/?phone=628999007703&amp;text=Halo+,+Visual+AI+5S+menditeksi+Violation%3A+GUDANGEXP1-LINE+1&amp;type=phone_number&amp;app_absent=0</v>
      </c>
      <c r="AF281" t="b">
        <f>IF(ISNA(VLOOKUP(D281&amp;"-"&amp;AB281, Ref_Kontak!$A:$E, 4, FALSE)), FALSE, TRUE)</f>
        <v>0</v>
      </c>
      <c r="AG281" t="str">
        <f>_xlfn.IFNA(VLOOKUP(Z281,Ref_Kontak!H:H,1,FALSE),"FALSE")</f>
        <v>628999007703</v>
      </c>
      <c r="AH281" t="str">
        <f t="shared" si="29"/>
        <v>GUDANGEXP1-LINE 1</v>
      </c>
      <c r="AI281">
        <f>COUNTIF($AH$1:AH281,AH281)</f>
        <v>280</v>
      </c>
    </row>
    <row r="282" spans="1:35">
      <c r="A282" t="s">
        <v>56</v>
      </c>
      <c r="B282" t="s">
        <v>57</v>
      </c>
      <c r="C282" t="s">
        <v>344</v>
      </c>
      <c r="D282" t="s">
        <v>59</v>
      </c>
      <c r="E282">
        <v>1</v>
      </c>
      <c r="G282" t="s">
        <v>60</v>
      </c>
      <c r="I282" t="s">
        <v>61</v>
      </c>
      <c r="Z282" t="str">
        <f>IFERROR(MID(AA282,FIND("-",H282,1)+1,20),_xlfn.IFNA(VLOOKUP(F282&amp;"-"&amp;AA282,Ref_Kontak!$A:$E,4,FALSE),Ref_Kontak!$H$2))</f>
        <v>628999007703</v>
      </c>
      <c r="AA282" t="str">
        <f t="shared" si="24"/>
        <v/>
      </c>
      <c r="AB282" t="str">
        <f t="shared" si="25"/>
        <v/>
      </c>
      <c r="AC282" t="str">
        <f t="shared" si="26"/>
        <v>628999007703</v>
      </c>
      <c r="AD282" t="str">
        <f t="shared" si="28"/>
        <v>Halo+,+Visual+AI+5S+menditeksi+Violation%3A+GUDANGEXP1-LINE+1</v>
      </c>
      <c r="AE282" t="str">
        <f t="shared" si="27"/>
        <v>https://web.whatsapp.com/send/?phone=628999007703&amp;text=Halo+,+Visual+AI+5S+menditeksi+Violation%3A+GUDANGEXP1-LINE+1&amp;type=phone_number&amp;app_absent=0</v>
      </c>
      <c r="AF282" t="b">
        <f>IF(ISNA(VLOOKUP(D282&amp;"-"&amp;AB282, Ref_Kontak!$A:$E, 4, FALSE)), FALSE, TRUE)</f>
        <v>0</v>
      </c>
      <c r="AG282" t="str">
        <f>_xlfn.IFNA(VLOOKUP(Z282,Ref_Kontak!H:H,1,FALSE),"FALSE")</f>
        <v>628999007703</v>
      </c>
      <c r="AH282" t="str">
        <f t="shared" si="29"/>
        <v>GUDANGEXP1-LINE 1</v>
      </c>
      <c r="AI282">
        <f>COUNTIF($AH$1:AH282,AH282)</f>
        <v>281</v>
      </c>
    </row>
    <row r="283" spans="1:35">
      <c r="A283" t="s">
        <v>56</v>
      </c>
      <c r="B283" t="s">
        <v>57</v>
      </c>
      <c r="C283" t="s">
        <v>345</v>
      </c>
      <c r="D283" t="s">
        <v>59</v>
      </c>
      <c r="E283">
        <v>1</v>
      </c>
      <c r="G283" t="s">
        <v>60</v>
      </c>
      <c r="I283" t="s">
        <v>61</v>
      </c>
      <c r="Z283" t="str">
        <f>IFERROR(MID(AA283,FIND("-",H283,1)+1,20),_xlfn.IFNA(VLOOKUP(F283&amp;"-"&amp;AA283,Ref_Kontak!$A:$E,4,FALSE),Ref_Kontak!$H$2))</f>
        <v>628999007703</v>
      </c>
      <c r="AA283" t="str">
        <f t="shared" si="24"/>
        <v/>
      </c>
      <c r="AB283" t="str">
        <f t="shared" si="25"/>
        <v/>
      </c>
      <c r="AC283" t="str">
        <f t="shared" si="26"/>
        <v>628999007703</v>
      </c>
      <c r="AD283" t="str">
        <f t="shared" si="28"/>
        <v>Halo+,+Visual+AI+5S+menditeksi+Violation%3A+GUDANGEXP1-LINE+1</v>
      </c>
      <c r="AE283" t="str">
        <f t="shared" si="27"/>
        <v>https://web.whatsapp.com/send/?phone=628999007703&amp;text=Halo+,+Visual+AI+5S+menditeksi+Violation%3A+GUDANGEXP1-LINE+1&amp;type=phone_number&amp;app_absent=0</v>
      </c>
      <c r="AF283" t="b">
        <f>IF(ISNA(VLOOKUP(D283&amp;"-"&amp;AB283, Ref_Kontak!$A:$E, 4, FALSE)), FALSE, TRUE)</f>
        <v>0</v>
      </c>
      <c r="AG283" t="str">
        <f>_xlfn.IFNA(VLOOKUP(Z283,Ref_Kontak!H:H,1,FALSE),"FALSE")</f>
        <v>628999007703</v>
      </c>
      <c r="AH283" t="str">
        <f t="shared" si="29"/>
        <v>GUDANGEXP1-LINE 1</v>
      </c>
      <c r="AI283">
        <f>COUNTIF($AH$1:AH283,AH283)</f>
        <v>282</v>
      </c>
    </row>
    <row r="284" spans="1:35">
      <c r="A284" t="s">
        <v>56</v>
      </c>
      <c r="B284" t="s">
        <v>57</v>
      </c>
      <c r="C284" t="s">
        <v>346</v>
      </c>
      <c r="D284" t="s">
        <v>59</v>
      </c>
      <c r="E284">
        <v>1</v>
      </c>
      <c r="G284" t="s">
        <v>60</v>
      </c>
      <c r="I284" t="s">
        <v>61</v>
      </c>
      <c r="Z284" t="str">
        <f>IFERROR(MID(AA284,FIND("-",H284,1)+1,20),_xlfn.IFNA(VLOOKUP(F284&amp;"-"&amp;AA284,Ref_Kontak!$A:$E,4,FALSE),Ref_Kontak!$H$2))</f>
        <v>628999007703</v>
      </c>
      <c r="AA284" t="str">
        <f t="shared" si="24"/>
        <v/>
      </c>
      <c r="AB284" t="str">
        <f t="shared" si="25"/>
        <v/>
      </c>
      <c r="AC284" t="str">
        <f t="shared" si="26"/>
        <v>628999007703</v>
      </c>
      <c r="AD284" t="str">
        <f t="shared" si="28"/>
        <v>Halo+,+Visual+AI+5S+menditeksi+Violation%3A+GUDANGEXP1-LINE+1</v>
      </c>
      <c r="AE284" t="str">
        <f t="shared" si="27"/>
        <v>https://web.whatsapp.com/send/?phone=628999007703&amp;text=Halo+,+Visual+AI+5S+menditeksi+Violation%3A+GUDANGEXP1-LINE+1&amp;type=phone_number&amp;app_absent=0</v>
      </c>
      <c r="AF284" t="b">
        <f>IF(ISNA(VLOOKUP(D284&amp;"-"&amp;AB284, Ref_Kontak!$A:$E, 4, FALSE)), FALSE, TRUE)</f>
        <v>0</v>
      </c>
      <c r="AG284" t="str">
        <f>_xlfn.IFNA(VLOOKUP(Z284,Ref_Kontak!H:H,1,FALSE),"FALSE")</f>
        <v>628999007703</v>
      </c>
      <c r="AH284" t="str">
        <f t="shared" si="29"/>
        <v>GUDANGEXP1-LINE 1</v>
      </c>
      <c r="AI284">
        <f>COUNTIF($AH$1:AH284,AH284)</f>
        <v>283</v>
      </c>
    </row>
    <row r="285" spans="1:35">
      <c r="A285" t="s">
        <v>56</v>
      </c>
      <c r="B285" t="s">
        <v>57</v>
      </c>
      <c r="C285" t="s">
        <v>347</v>
      </c>
      <c r="D285" t="s">
        <v>59</v>
      </c>
      <c r="E285">
        <v>1</v>
      </c>
      <c r="G285" t="s">
        <v>60</v>
      </c>
      <c r="I285" t="s">
        <v>61</v>
      </c>
      <c r="Z285" t="str">
        <f>IFERROR(MID(AA285,FIND("-",H285,1)+1,20),_xlfn.IFNA(VLOOKUP(F285&amp;"-"&amp;AA285,Ref_Kontak!$A:$E,4,FALSE),Ref_Kontak!$H$2))</f>
        <v>628999007703</v>
      </c>
      <c r="AA285" t="str">
        <f t="shared" si="24"/>
        <v/>
      </c>
      <c r="AB285" t="str">
        <f t="shared" si="25"/>
        <v/>
      </c>
      <c r="AC285" t="str">
        <f t="shared" si="26"/>
        <v>628999007703</v>
      </c>
      <c r="AD285" t="str">
        <f t="shared" si="28"/>
        <v>Halo+,+Visual+AI+5S+menditeksi+Violation%3A+GUDANGEXP1-LINE+1</v>
      </c>
      <c r="AE285" t="str">
        <f t="shared" si="27"/>
        <v>https://web.whatsapp.com/send/?phone=628999007703&amp;text=Halo+,+Visual+AI+5S+menditeksi+Violation%3A+GUDANGEXP1-LINE+1&amp;type=phone_number&amp;app_absent=0</v>
      </c>
      <c r="AF285" t="b">
        <f>IF(ISNA(VLOOKUP(D285&amp;"-"&amp;AB285, Ref_Kontak!$A:$E, 4, FALSE)), FALSE, TRUE)</f>
        <v>0</v>
      </c>
      <c r="AG285" t="str">
        <f>_xlfn.IFNA(VLOOKUP(Z285,Ref_Kontak!H:H,1,FALSE),"FALSE")</f>
        <v>628999007703</v>
      </c>
      <c r="AH285" t="str">
        <f t="shared" si="29"/>
        <v>GUDANGEXP1-LINE 1</v>
      </c>
      <c r="AI285">
        <f>COUNTIF($AH$1:AH285,AH285)</f>
        <v>284</v>
      </c>
    </row>
    <row r="286" spans="1:35">
      <c r="A286" t="s">
        <v>56</v>
      </c>
      <c r="B286" t="s">
        <v>57</v>
      </c>
      <c r="C286" t="s">
        <v>348</v>
      </c>
      <c r="D286" t="s">
        <v>59</v>
      </c>
      <c r="E286">
        <v>1</v>
      </c>
      <c r="G286" t="s">
        <v>60</v>
      </c>
      <c r="I286" t="s">
        <v>61</v>
      </c>
      <c r="Z286" t="str">
        <f>IFERROR(MID(AA286,FIND("-",H286,1)+1,20),_xlfn.IFNA(VLOOKUP(F286&amp;"-"&amp;AA286,Ref_Kontak!$A:$E,4,FALSE),Ref_Kontak!$H$2))</f>
        <v>628999007703</v>
      </c>
      <c r="AA286" t="str">
        <f t="shared" si="24"/>
        <v/>
      </c>
      <c r="AB286" t="str">
        <f t="shared" si="25"/>
        <v/>
      </c>
      <c r="AC286" t="str">
        <f t="shared" si="26"/>
        <v>628999007703</v>
      </c>
      <c r="AD286" t="str">
        <f t="shared" si="28"/>
        <v>Halo+,+Visual+AI+5S+menditeksi+Violation%3A+GUDANGEXP1-LINE+1</v>
      </c>
      <c r="AE286" t="str">
        <f t="shared" si="27"/>
        <v>https://web.whatsapp.com/send/?phone=628999007703&amp;text=Halo+,+Visual+AI+5S+menditeksi+Violation%3A+GUDANGEXP1-LINE+1&amp;type=phone_number&amp;app_absent=0</v>
      </c>
      <c r="AF286" t="b">
        <f>IF(ISNA(VLOOKUP(D286&amp;"-"&amp;AB286, Ref_Kontak!$A:$E, 4, FALSE)), FALSE, TRUE)</f>
        <v>0</v>
      </c>
      <c r="AG286" t="str">
        <f>_xlfn.IFNA(VLOOKUP(Z286,Ref_Kontak!H:H,1,FALSE),"FALSE")</f>
        <v>628999007703</v>
      </c>
      <c r="AH286" t="str">
        <f t="shared" si="29"/>
        <v>GUDANGEXP1-LINE 1</v>
      </c>
      <c r="AI286">
        <f>COUNTIF($AH$1:AH286,AH286)</f>
        <v>285</v>
      </c>
    </row>
    <row r="287" spans="1:35">
      <c r="A287" t="s">
        <v>56</v>
      </c>
      <c r="B287" t="s">
        <v>57</v>
      </c>
      <c r="C287" t="s">
        <v>349</v>
      </c>
      <c r="D287" t="s">
        <v>59</v>
      </c>
      <c r="E287">
        <v>1</v>
      </c>
      <c r="G287" t="s">
        <v>60</v>
      </c>
      <c r="I287" t="s">
        <v>61</v>
      </c>
      <c r="Z287" t="str">
        <f>IFERROR(MID(AA287,FIND("-",H287,1)+1,20),_xlfn.IFNA(VLOOKUP(F287&amp;"-"&amp;AA287,Ref_Kontak!$A:$E,4,FALSE),Ref_Kontak!$H$2))</f>
        <v>628999007703</v>
      </c>
      <c r="AA287" t="str">
        <f t="shared" si="24"/>
        <v/>
      </c>
      <c r="AB287" t="str">
        <f t="shared" si="25"/>
        <v/>
      </c>
      <c r="AC287" t="str">
        <f t="shared" si="26"/>
        <v>628999007703</v>
      </c>
      <c r="AD287" t="str">
        <f t="shared" si="28"/>
        <v>Halo+,+Visual+AI+5S+menditeksi+Violation%3A+GUDANGEXP1-LINE+1</v>
      </c>
      <c r="AE287" t="str">
        <f t="shared" si="27"/>
        <v>https://web.whatsapp.com/send/?phone=628999007703&amp;text=Halo+,+Visual+AI+5S+menditeksi+Violation%3A+GUDANGEXP1-LINE+1&amp;type=phone_number&amp;app_absent=0</v>
      </c>
      <c r="AF287" t="b">
        <f>IF(ISNA(VLOOKUP(D287&amp;"-"&amp;AB287, Ref_Kontak!$A:$E, 4, FALSE)), FALSE, TRUE)</f>
        <v>0</v>
      </c>
      <c r="AG287" t="str">
        <f>_xlfn.IFNA(VLOOKUP(Z287,Ref_Kontak!H:H,1,FALSE),"FALSE")</f>
        <v>628999007703</v>
      </c>
      <c r="AH287" t="str">
        <f t="shared" si="29"/>
        <v>GUDANGEXP1-LINE 1</v>
      </c>
      <c r="AI287">
        <f>COUNTIF($AH$1:AH287,AH287)</f>
        <v>286</v>
      </c>
    </row>
    <row r="288" spans="1:35">
      <c r="A288" t="s">
        <v>56</v>
      </c>
      <c r="B288" t="s">
        <v>57</v>
      </c>
      <c r="C288" t="s">
        <v>350</v>
      </c>
      <c r="D288" t="s">
        <v>59</v>
      </c>
      <c r="E288">
        <v>1</v>
      </c>
      <c r="G288" t="s">
        <v>60</v>
      </c>
      <c r="I288" t="s">
        <v>61</v>
      </c>
      <c r="Z288" t="str">
        <f>IFERROR(MID(AA288,FIND("-",H288,1)+1,20),_xlfn.IFNA(VLOOKUP(F288&amp;"-"&amp;AA288,Ref_Kontak!$A:$E,4,FALSE),Ref_Kontak!$H$2))</f>
        <v>628999007703</v>
      </c>
      <c r="AA288" t="str">
        <f t="shared" si="24"/>
        <v/>
      </c>
      <c r="AB288" t="str">
        <f t="shared" si="25"/>
        <v/>
      </c>
      <c r="AC288" t="str">
        <f t="shared" si="26"/>
        <v>628999007703</v>
      </c>
      <c r="AD288" t="str">
        <f t="shared" si="28"/>
        <v>Halo+,+Visual+AI+5S+menditeksi+Violation%3A+GUDANGEXP1-LINE+1</v>
      </c>
      <c r="AE288" t="str">
        <f t="shared" si="27"/>
        <v>https://web.whatsapp.com/send/?phone=628999007703&amp;text=Halo+,+Visual+AI+5S+menditeksi+Violation%3A+GUDANGEXP1-LINE+1&amp;type=phone_number&amp;app_absent=0</v>
      </c>
      <c r="AF288" t="b">
        <f>IF(ISNA(VLOOKUP(D288&amp;"-"&amp;AB288, Ref_Kontak!$A:$E, 4, FALSE)), FALSE, TRUE)</f>
        <v>0</v>
      </c>
      <c r="AG288" t="str">
        <f>_xlfn.IFNA(VLOOKUP(Z288,Ref_Kontak!H:H,1,FALSE),"FALSE")</f>
        <v>628999007703</v>
      </c>
      <c r="AH288" t="str">
        <f t="shared" si="29"/>
        <v>GUDANGEXP1-LINE 1</v>
      </c>
      <c r="AI288">
        <f>COUNTIF($AH$1:AH288,AH288)</f>
        <v>287</v>
      </c>
    </row>
    <row r="289" spans="1:35">
      <c r="A289" t="s">
        <v>56</v>
      </c>
      <c r="B289" t="s">
        <v>57</v>
      </c>
      <c r="C289" t="s">
        <v>351</v>
      </c>
      <c r="D289" t="s">
        <v>59</v>
      </c>
      <c r="E289">
        <v>1</v>
      </c>
      <c r="G289" t="s">
        <v>60</v>
      </c>
      <c r="I289" t="s">
        <v>61</v>
      </c>
      <c r="Z289" t="str">
        <f>IFERROR(MID(AA289,FIND("-",H289,1)+1,20),_xlfn.IFNA(VLOOKUP(F289&amp;"-"&amp;AA289,Ref_Kontak!$A:$E,4,FALSE),Ref_Kontak!$H$2))</f>
        <v>628999007703</v>
      </c>
      <c r="AA289" t="str">
        <f t="shared" si="24"/>
        <v/>
      </c>
      <c r="AB289" t="str">
        <f t="shared" si="25"/>
        <v/>
      </c>
      <c r="AC289" t="str">
        <f t="shared" si="26"/>
        <v>628999007703</v>
      </c>
      <c r="AD289" t="str">
        <f t="shared" si="28"/>
        <v>Halo+,+Visual+AI+5S+menditeksi+Violation%3A+GUDANGEXP1-LINE+1</v>
      </c>
      <c r="AE289" t="str">
        <f t="shared" si="27"/>
        <v>https://web.whatsapp.com/send/?phone=628999007703&amp;text=Halo+,+Visual+AI+5S+menditeksi+Violation%3A+GUDANGEXP1-LINE+1&amp;type=phone_number&amp;app_absent=0</v>
      </c>
      <c r="AF289" t="b">
        <f>IF(ISNA(VLOOKUP(D289&amp;"-"&amp;AB289, Ref_Kontak!$A:$E, 4, FALSE)), FALSE, TRUE)</f>
        <v>0</v>
      </c>
      <c r="AG289" t="str">
        <f>_xlfn.IFNA(VLOOKUP(Z289,Ref_Kontak!H:H,1,FALSE),"FALSE")</f>
        <v>628999007703</v>
      </c>
      <c r="AH289" t="str">
        <f t="shared" si="29"/>
        <v>GUDANGEXP1-LINE 1</v>
      </c>
      <c r="AI289">
        <f>COUNTIF($AH$1:AH289,AH289)</f>
        <v>288</v>
      </c>
    </row>
    <row r="290" spans="1:35">
      <c r="A290" t="s">
        <v>56</v>
      </c>
      <c r="B290" t="s">
        <v>57</v>
      </c>
      <c r="C290" t="s">
        <v>352</v>
      </c>
      <c r="D290" t="s">
        <v>59</v>
      </c>
      <c r="E290">
        <v>1</v>
      </c>
      <c r="G290" t="s">
        <v>60</v>
      </c>
      <c r="I290" t="s">
        <v>61</v>
      </c>
      <c r="Z290" t="str">
        <f>IFERROR(MID(AA290,FIND("-",H290,1)+1,20),_xlfn.IFNA(VLOOKUP(F290&amp;"-"&amp;AA290,Ref_Kontak!$A:$E,4,FALSE),Ref_Kontak!$H$2))</f>
        <v>628999007703</v>
      </c>
      <c r="AA290" t="str">
        <f t="shared" si="24"/>
        <v/>
      </c>
      <c r="AB290" t="str">
        <f t="shared" si="25"/>
        <v/>
      </c>
      <c r="AC290" t="str">
        <f t="shared" si="26"/>
        <v>628999007703</v>
      </c>
      <c r="AD290" t="str">
        <f t="shared" si="28"/>
        <v>Halo+,+Visual+AI+5S+menditeksi+Violation%3A+GUDANGEXP1-LINE+1</v>
      </c>
      <c r="AE290" t="str">
        <f t="shared" si="27"/>
        <v>https://web.whatsapp.com/send/?phone=628999007703&amp;text=Halo+,+Visual+AI+5S+menditeksi+Violation%3A+GUDANGEXP1-LINE+1&amp;type=phone_number&amp;app_absent=0</v>
      </c>
      <c r="AF290" t="b">
        <f>IF(ISNA(VLOOKUP(D290&amp;"-"&amp;AB290, Ref_Kontak!$A:$E, 4, FALSE)), FALSE, TRUE)</f>
        <v>0</v>
      </c>
      <c r="AG290" t="str">
        <f>_xlfn.IFNA(VLOOKUP(Z290,Ref_Kontak!H:H,1,FALSE),"FALSE")</f>
        <v>628999007703</v>
      </c>
      <c r="AH290" t="str">
        <f t="shared" si="29"/>
        <v>GUDANGEXP1-LINE 1</v>
      </c>
      <c r="AI290">
        <f>COUNTIF($AH$1:AH290,AH290)</f>
        <v>289</v>
      </c>
    </row>
    <row r="291" spans="1:35">
      <c r="A291" t="s">
        <v>56</v>
      </c>
      <c r="B291" t="s">
        <v>57</v>
      </c>
      <c r="C291" t="s">
        <v>353</v>
      </c>
      <c r="D291" t="s">
        <v>59</v>
      </c>
      <c r="E291">
        <v>1</v>
      </c>
      <c r="G291" t="s">
        <v>60</v>
      </c>
      <c r="I291" t="s">
        <v>61</v>
      </c>
      <c r="Z291" t="str">
        <f>IFERROR(MID(AA291,FIND("-",H291,1)+1,20),_xlfn.IFNA(VLOOKUP(F291&amp;"-"&amp;AA291,Ref_Kontak!$A:$E,4,FALSE),Ref_Kontak!$H$2))</f>
        <v>628999007703</v>
      </c>
      <c r="AA291" t="str">
        <f t="shared" si="24"/>
        <v/>
      </c>
      <c r="AB291" t="str">
        <f t="shared" si="25"/>
        <v/>
      </c>
      <c r="AC291" t="str">
        <f t="shared" si="26"/>
        <v>628999007703</v>
      </c>
      <c r="AD291" t="str">
        <f t="shared" si="28"/>
        <v>Halo+,+Visual+AI+5S+menditeksi+Violation%3A+GUDANGEXP1-LINE+1</v>
      </c>
      <c r="AE291" t="str">
        <f t="shared" si="27"/>
        <v>https://web.whatsapp.com/send/?phone=628999007703&amp;text=Halo+,+Visual+AI+5S+menditeksi+Violation%3A+GUDANGEXP1-LINE+1&amp;type=phone_number&amp;app_absent=0</v>
      </c>
      <c r="AF291" t="b">
        <f>IF(ISNA(VLOOKUP(D291&amp;"-"&amp;AB291, Ref_Kontak!$A:$E, 4, FALSE)), FALSE, TRUE)</f>
        <v>0</v>
      </c>
      <c r="AG291" t="str">
        <f>_xlfn.IFNA(VLOOKUP(Z291,Ref_Kontak!H:H,1,FALSE),"FALSE")</f>
        <v>628999007703</v>
      </c>
      <c r="AH291" t="str">
        <f t="shared" si="29"/>
        <v>GUDANGEXP1-LINE 1</v>
      </c>
      <c r="AI291">
        <f>COUNTIF($AH$1:AH291,AH291)</f>
        <v>290</v>
      </c>
    </row>
    <row r="292" spans="1:35">
      <c r="A292" t="s">
        <v>56</v>
      </c>
      <c r="B292" t="s">
        <v>57</v>
      </c>
      <c r="C292" t="s">
        <v>354</v>
      </c>
      <c r="D292" t="s">
        <v>59</v>
      </c>
      <c r="E292">
        <v>1</v>
      </c>
      <c r="G292" t="s">
        <v>60</v>
      </c>
      <c r="I292" t="s">
        <v>61</v>
      </c>
      <c r="Z292" t="str">
        <f>IFERROR(MID(AA292,FIND("-",H292,1)+1,20),_xlfn.IFNA(VLOOKUP(F292&amp;"-"&amp;AA292,Ref_Kontak!$A:$E,4,FALSE),Ref_Kontak!$H$2))</f>
        <v>628999007703</v>
      </c>
      <c r="AA292" t="str">
        <f t="shared" si="24"/>
        <v/>
      </c>
      <c r="AB292" t="str">
        <f t="shared" si="25"/>
        <v/>
      </c>
      <c r="AC292" t="str">
        <f t="shared" si="26"/>
        <v>628999007703</v>
      </c>
      <c r="AD292" t="str">
        <f t="shared" si="28"/>
        <v>Halo+,+Visual+AI+5S+menditeksi+Violation%3A+GUDANGEXP1-LINE+1</v>
      </c>
      <c r="AE292" t="str">
        <f t="shared" si="27"/>
        <v>https://web.whatsapp.com/send/?phone=628999007703&amp;text=Halo+,+Visual+AI+5S+menditeksi+Violation%3A+GUDANGEXP1-LINE+1&amp;type=phone_number&amp;app_absent=0</v>
      </c>
      <c r="AF292" t="b">
        <f>IF(ISNA(VLOOKUP(D292&amp;"-"&amp;AB292, Ref_Kontak!$A:$E, 4, FALSE)), FALSE, TRUE)</f>
        <v>0</v>
      </c>
      <c r="AG292" t="str">
        <f>_xlfn.IFNA(VLOOKUP(Z292,Ref_Kontak!H:H,1,FALSE),"FALSE")</f>
        <v>628999007703</v>
      </c>
      <c r="AH292" t="str">
        <f t="shared" si="29"/>
        <v>GUDANGEXP1-LINE 1</v>
      </c>
      <c r="AI292">
        <f>COUNTIF($AH$1:AH292,AH292)</f>
        <v>291</v>
      </c>
    </row>
    <row r="293" spans="1:35">
      <c r="A293" t="s">
        <v>56</v>
      </c>
      <c r="B293" t="s">
        <v>57</v>
      </c>
      <c r="C293" t="s">
        <v>355</v>
      </c>
      <c r="D293" t="s">
        <v>59</v>
      </c>
      <c r="E293">
        <v>1</v>
      </c>
      <c r="G293" t="s">
        <v>60</v>
      </c>
      <c r="I293" t="s">
        <v>61</v>
      </c>
      <c r="Z293" t="str">
        <f>IFERROR(MID(AA293,FIND("-",H293,1)+1,20),_xlfn.IFNA(VLOOKUP(F293&amp;"-"&amp;AA293,Ref_Kontak!$A:$E,4,FALSE),Ref_Kontak!$H$2))</f>
        <v>628999007703</v>
      </c>
      <c r="AA293" t="str">
        <f t="shared" si="24"/>
        <v/>
      </c>
      <c r="AB293" t="str">
        <f t="shared" si="25"/>
        <v/>
      </c>
      <c r="AC293" t="str">
        <f t="shared" si="26"/>
        <v>628999007703</v>
      </c>
      <c r="AD293" t="str">
        <f t="shared" si="28"/>
        <v>Halo+,+Visual+AI+5S+menditeksi+Violation%3A+GUDANGEXP1-LINE+1</v>
      </c>
      <c r="AE293" t="str">
        <f t="shared" si="27"/>
        <v>https://web.whatsapp.com/send/?phone=628999007703&amp;text=Halo+,+Visual+AI+5S+menditeksi+Violation%3A+GUDANGEXP1-LINE+1&amp;type=phone_number&amp;app_absent=0</v>
      </c>
      <c r="AF293" t="b">
        <f>IF(ISNA(VLOOKUP(D293&amp;"-"&amp;AB293, Ref_Kontak!$A:$E, 4, FALSE)), FALSE, TRUE)</f>
        <v>0</v>
      </c>
      <c r="AG293" t="str">
        <f>_xlfn.IFNA(VLOOKUP(Z293,Ref_Kontak!H:H,1,FALSE),"FALSE")</f>
        <v>628999007703</v>
      </c>
      <c r="AH293" t="str">
        <f t="shared" si="29"/>
        <v>GUDANGEXP1-LINE 1</v>
      </c>
      <c r="AI293">
        <f>COUNTIF($AH$1:AH293,AH293)</f>
        <v>292</v>
      </c>
    </row>
    <row r="294" spans="1:35">
      <c r="A294" t="s">
        <v>56</v>
      </c>
      <c r="B294" t="s">
        <v>57</v>
      </c>
      <c r="C294" t="s">
        <v>356</v>
      </c>
      <c r="D294" t="s">
        <v>59</v>
      </c>
      <c r="E294">
        <v>1</v>
      </c>
      <c r="G294" t="s">
        <v>60</v>
      </c>
      <c r="I294" t="s">
        <v>61</v>
      </c>
      <c r="Z294" t="str">
        <f>IFERROR(MID(AA294,FIND("-",H294,1)+1,20),_xlfn.IFNA(VLOOKUP(F294&amp;"-"&amp;AA294,Ref_Kontak!$A:$E,4,FALSE),Ref_Kontak!$H$2))</f>
        <v>628999007703</v>
      </c>
      <c r="AA294" t="str">
        <f t="shared" si="24"/>
        <v/>
      </c>
      <c r="AB294" t="str">
        <f t="shared" si="25"/>
        <v/>
      </c>
      <c r="AC294" t="str">
        <f t="shared" si="26"/>
        <v>628999007703</v>
      </c>
      <c r="AD294" t="str">
        <f t="shared" si="28"/>
        <v>Halo+,+Visual+AI+5S+menditeksi+Violation%3A+GUDANGEXP1-LINE+1</v>
      </c>
      <c r="AE294" t="str">
        <f t="shared" si="27"/>
        <v>https://web.whatsapp.com/send/?phone=628999007703&amp;text=Halo+,+Visual+AI+5S+menditeksi+Violation%3A+GUDANGEXP1-LINE+1&amp;type=phone_number&amp;app_absent=0</v>
      </c>
      <c r="AF294" t="b">
        <f>IF(ISNA(VLOOKUP(D294&amp;"-"&amp;AB294, Ref_Kontak!$A:$E, 4, FALSE)), FALSE, TRUE)</f>
        <v>0</v>
      </c>
      <c r="AG294" t="str">
        <f>_xlfn.IFNA(VLOOKUP(Z294,Ref_Kontak!H:H,1,FALSE),"FALSE")</f>
        <v>628999007703</v>
      </c>
      <c r="AH294" t="str">
        <f t="shared" si="29"/>
        <v>GUDANGEXP1-LINE 1</v>
      </c>
      <c r="AI294">
        <f>COUNTIF($AH$1:AH294,AH294)</f>
        <v>293</v>
      </c>
    </row>
    <row r="295" spans="1:35">
      <c r="A295" t="s">
        <v>56</v>
      </c>
      <c r="B295" t="s">
        <v>57</v>
      </c>
      <c r="C295" t="s">
        <v>357</v>
      </c>
      <c r="D295" t="s">
        <v>59</v>
      </c>
      <c r="E295">
        <v>1</v>
      </c>
      <c r="G295" t="s">
        <v>60</v>
      </c>
      <c r="I295" t="s">
        <v>61</v>
      </c>
      <c r="Z295" t="str">
        <f>IFERROR(MID(AA295,FIND("-",H295,1)+1,20),_xlfn.IFNA(VLOOKUP(F295&amp;"-"&amp;AA295,Ref_Kontak!$A:$E,4,FALSE),Ref_Kontak!$H$2))</f>
        <v>628999007703</v>
      </c>
      <c r="AA295" t="str">
        <f t="shared" si="24"/>
        <v/>
      </c>
      <c r="AB295" t="str">
        <f t="shared" si="25"/>
        <v/>
      </c>
      <c r="AC295" t="str">
        <f t="shared" si="26"/>
        <v>628999007703</v>
      </c>
      <c r="AD295" t="str">
        <f t="shared" si="28"/>
        <v>Halo+,+Visual+AI+5S+menditeksi+Violation%3A+GUDANGEXP1-LINE+1</v>
      </c>
      <c r="AE295" t="str">
        <f t="shared" si="27"/>
        <v>https://web.whatsapp.com/send/?phone=628999007703&amp;text=Halo+,+Visual+AI+5S+menditeksi+Violation%3A+GUDANGEXP1-LINE+1&amp;type=phone_number&amp;app_absent=0</v>
      </c>
      <c r="AF295" t="b">
        <f>IF(ISNA(VLOOKUP(D295&amp;"-"&amp;AB295, Ref_Kontak!$A:$E, 4, FALSE)), FALSE, TRUE)</f>
        <v>0</v>
      </c>
      <c r="AG295" t="str">
        <f>_xlfn.IFNA(VLOOKUP(Z295,Ref_Kontak!H:H,1,FALSE),"FALSE")</f>
        <v>628999007703</v>
      </c>
      <c r="AH295" t="str">
        <f t="shared" si="29"/>
        <v>GUDANGEXP1-LINE 1</v>
      </c>
      <c r="AI295">
        <f>COUNTIF($AH$1:AH295,AH295)</f>
        <v>294</v>
      </c>
    </row>
    <row r="296" spans="1:35">
      <c r="A296" t="s">
        <v>56</v>
      </c>
      <c r="B296" t="s">
        <v>57</v>
      </c>
      <c r="C296" t="s">
        <v>358</v>
      </c>
      <c r="D296" t="s">
        <v>59</v>
      </c>
      <c r="E296">
        <v>1</v>
      </c>
      <c r="G296" t="s">
        <v>60</v>
      </c>
      <c r="I296" t="s">
        <v>61</v>
      </c>
      <c r="Z296" t="str">
        <f>IFERROR(MID(AA296,FIND("-",H296,1)+1,20),_xlfn.IFNA(VLOOKUP(F296&amp;"-"&amp;AA296,Ref_Kontak!$A:$E,4,FALSE),Ref_Kontak!$H$2))</f>
        <v>628999007703</v>
      </c>
      <c r="AA296" t="str">
        <f t="shared" si="24"/>
        <v/>
      </c>
      <c r="AB296" t="str">
        <f t="shared" si="25"/>
        <v/>
      </c>
      <c r="AC296" t="str">
        <f t="shared" si="26"/>
        <v>628999007703</v>
      </c>
      <c r="AD296" t="str">
        <f t="shared" si="28"/>
        <v>Halo+,+Visual+AI+5S+menditeksi+Violation%3A+GUDANGEXP1-LINE+1</v>
      </c>
      <c r="AE296" t="str">
        <f t="shared" si="27"/>
        <v>https://web.whatsapp.com/send/?phone=628999007703&amp;text=Halo+,+Visual+AI+5S+menditeksi+Violation%3A+GUDANGEXP1-LINE+1&amp;type=phone_number&amp;app_absent=0</v>
      </c>
      <c r="AF296" t="b">
        <f>IF(ISNA(VLOOKUP(D296&amp;"-"&amp;AB296, Ref_Kontak!$A:$E, 4, FALSE)), FALSE, TRUE)</f>
        <v>0</v>
      </c>
      <c r="AG296" t="str">
        <f>_xlfn.IFNA(VLOOKUP(Z296,Ref_Kontak!H:H,1,FALSE),"FALSE")</f>
        <v>628999007703</v>
      </c>
      <c r="AH296" t="str">
        <f t="shared" si="29"/>
        <v>GUDANGEXP1-LINE 1</v>
      </c>
      <c r="AI296">
        <f>COUNTIF($AH$1:AH296,AH296)</f>
        <v>295</v>
      </c>
    </row>
    <row r="297" spans="1:35">
      <c r="A297" t="s">
        <v>56</v>
      </c>
      <c r="B297" t="s">
        <v>57</v>
      </c>
      <c r="C297" t="s">
        <v>359</v>
      </c>
      <c r="D297" t="s">
        <v>59</v>
      </c>
      <c r="E297">
        <v>1</v>
      </c>
      <c r="G297" t="s">
        <v>60</v>
      </c>
      <c r="I297" t="s">
        <v>61</v>
      </c>
      <c r="Z297" t="str">
        <f>IFERROR(MID(AA297,FIND("-",H297,1)+1,20),_xlfn.IFNA(VLOOKUP(F297&amp;"-"&amp;AA297,Ref_Kontak!$A:$E,4,FALSE),Ref_Kontak!$H$2))</f>
        <v>628999007703</v>
      </c>
      <c r="AA297" t="str">
        <f t="shared" si="24"/>
        <v/>
      </c>
      <c r="AB297" t="str">
        <f t="shared" si="25"/>
        <v/>
      </c>
      <c r="AC297" t="str">
        <f t="shared" si="26"/>
        <v>628999007703</v>
      </c>
      <c r="AD297" t="str">
        <f t="shared" si="28"/>
        <v>Halo+,+Visual+AI+5S+menditeksi+Violation%3A+GUDANGEXP1-LINE+1</v>
      </c>
      <c r="AE297" t="str">
        <f t="shared" si="27"/>
        <v>https://web.whatsapp.com/send/?phone=628999007703&amp;text=Halo+,+Visual+AI+5S+menditeksi+Violation%3A+GUDANGEXP1-LINE+1&amp;type=phone_number&amp;app_absent=0</v>
      </c>
      <c r="AF297" t="b">
        <f>IF(ISNA(VLOOKUP(D297&amp;"-"&amp;AB297, Ref_Kontak!$A:$E, 4, FALSE)), FALSE, TRUE)</f>
        <v>0</v>
      </c>
      <c r="AG297" t="str">
        <f>_xlfn.IFNA(VLOOKUP(Z297,Ref_Kontak!H:H,1,FALSE),"FALSE")</f>
        <v>628999007703</v>
      </c>
      <c r="AH297" t="str">
        <f t="shared" si="29"/>
        <v>GUDANGEXP1-LINE 1</v>
      </c>
      <c r="AI297">
        <f>COUNTIF($AH$1:AH297,AH297)</f>
        <v>296</v>
      </c>
    </row>
    <row r="298" spans="1:35">
      <c r="A298" t="s">
        <v>56</v>
      </c>
      <c r="B298" t="s">
        <v>57</v>
      </c>
      <c r="C298" t="s">
        <v>360</v>
      </c>
      <c r="D298" t="s">
        <v>59</v>
      </c>
      <c r="E298">
        <v>1</v>
      </c>
      <c r="G298" t="s">
        <v>60</v>
      </c>
      <c r="I298" t="s">
        <v>61</v>
      </c>
      <c r="Z298" t="str">
        <f>IFERROR(MID(AA298,FIND("-",H298,1)+1,20),_xlfn.IFNA(VLOOKUP(F298&amp;"-"&amp;AA298,Ref_Kontak!$A:$E,4,FALSE),Ref_Kontak!$H$2))</f>
        <v>628999007703</v>
      </c>
      <c r="AA298" t="str">
        <f t="shared" si="24"/>
        <v/>
      </c>
      <c r="AB298" t="str">
        <f t="shared" si="25"/>
        <v/>
      </c>
      <c r="AC298" t="str">
        <f t="shared" si="26"/>
        <v>628999007703</v>
      </c>
      <c r="AD298" t="str">
        <f t="shared" si="28"/>
        <v>Halo+,+Visual+AI+5S+menditeksi+Violation%3A+GUDANGEXP1-LINE+1</v>
      </c>
      <c r="AE298" t="str">
        <f t="shared" si="27"/>
        <v>https://web.whatsapp.com/send/?phone=628999007703&amp;text=Halo+,+Visual+AI+5S+menditeksi+Violation%3A+GUDANGEXP1-LINE+1&amp;type=phone_number&amp;app_absent=0</v>
      </c>
      <c r="AF298" t="b">
        <f>IF(ISNA(VLOOKUP(D298&amp;"-"&amp;AB298, Ref_Kontak!$A:$E, 4, FALSE)), FALSE, TRUE)</f>
        <v>0</v>
      </c>
      <c r="AG298" t="str">
        <f>_xlfn.IFNA(VLOOKUP(Z298,Ref_Kontak!H:H,1,FALSE),"FALSE")</f>
        <v>628999007703</v>
      </c>
      <c r="AH298" t="str">
        <f t="shared" si="29"/>
        <v>GUDANGEXP1-LINE 1</v>
      </c>
      <c r="AI298">
        <f>COUNTIF($AH$1:AH298,AH298)</f>
        <v>297</v>
      </c>
    </row>
    <row r="299" spans="1:35">
      <c r="A299" t="s">
        <v>56</v>
      </c>
      <c r="B299" t="s">
        <v>57</v>
      </c>
      <c r="C299" t="s">
        <v>361</v>
      </c>
      <c r="D299" t="s">
        <v>59</v>
      </c>
      <c r="E299">
        <v>1</v>
      </c>
      <c r="G299" t="s">
        <v>60</v>
      </c>
      <c r="I299" t="s">
        <v>61</v>
      </c>
      <c r="Z299" t="str">
        <f>IFERROR(MID(AA299,FIND("-",H299,1)+1,20),_xlfn.IFNA(VLOOKUP(F299&amp;"-"&amp;AA299,Ref_Kontak!$A:$E,4,FALSE),Ref_Kontak!$H$2))</f>
        <v>628999007703</v>
      </c>
      <c r="AA299" t="str">
        <f t="shared" si="24"/>
        <v/>
      </c>
      <c r="AB299" t="str">
        <f t="shared" si="25"/>
        <v/>
      </c>
      <c r="AC299" t="str">
        <f t="shared" si="26"/>
        <v>628999007703</v>
      </c>
      <c r="AD299" t="str">
        <f t="shared" si="28"/>
        <v>Halo+,+Visual+AI+5S+menditeksi+Violation%3A+GUDANGEXP1-LINE+1</v>
      </c>
      <c r="AE299" t="str">
        <f t="shared" si="27"/>
        <v>https://web.whatsapp.com/send/?phone=628999007703&amp;text=Halo+,+Visual+AI+5S+menditeksi+Violation%3A+GUDANGEXP1-LINE+1&amp;type=phone_number&amp;app_absent=0</v>
      </c>
      <c r="AF299" t="b">
        <f>IF(ISNA(VLOOKUP(D299&amp;"-"&amp;AB299, Ref_Kontak!$A:$E, 4, FALSE)), FALSE, TRUE)</f>
        <v>0</v>
      </c>
      <c r="AG299" t="str">
        <f>_xlfn.IFNA(VLOOKUP(Z299,Ref_Kontak!H:H,1,FALSE),"FALSE")</f>
        <v>628999007703</v>
      </c>
      <c r="AH299" t="str">
        <f t="shared" si="29"/>
        <v>GUDANGEXP1-LINE 1</v>
      </c>
      <c r="AI299">
        <f>COUNTIF($AH$1:AH299,AH299)</f>
        <v>298</v>
      </c>
    </row>
    <row r="300" spans="1:35">
      <c r="A300" t="s">
        <v>56</v>
      </c>
      <c r="B300" t="s">
        <v>57</v>
      </c>
      <c r="C300" t="s">
        <v>362</v>
      </c>
      <c r="D300" t="s">
        <v>59</v>
      </c>
      <c r="E300">
        <v>1</v>
      </c>
      <c r="G300" t="s">
        <v>60</v>
      </c>
      <c r="I300" t="s">
        <v>61</v>
      </c>
      <c r="Z300" t="str">
        <f>IFERROR(MID(AA300,FIND("-",H300,1)+1,20),_xlfn.IFNA(VLOOKUP(F300&amp;"-"&amp;AA300,Ref_Kontak!$A:$E,4,FALSE),Ref_Kontak!$H$2))</f>
        <v>628999007703</v>
      </c>
      <c r="AA300" t="str">
        <f t="shared" si="24"/>
        <v/>
      </c>
      <c r="AB300" t="str">
        <f t="shared" si="25"/>
        <v/>
      </c>
      <c r="AC300" t="str">
        <f t="shared" si="26"/>
        <v>628999007703</v>
      </c>
      <c r="AD300" t="str">
        <f t="shared" si="28"/>
        <v>Halo+,+Visual+AI+5S+menditeksi+Violation%3A+GUDANGEXP1-LINE+1</v>
      </c>
      <c r="AE300" t="str">
        <f t="shared" si="27"/>
        <v>https://web.whatsapp.com/send/?phone=628999007703&amp;text=Halo+,+Visual+AI+5S+menditeksi+Violation%3A+GUDANGEXP1-LINE+1&amp;type=phone_number&amp;app_absent=0</v>
      </c>
      <c r="AF300" t="b">
        <f>IF(ISNA(VLOOKUP(D300&amp;"-"&amp;AB300, Ref_Kontak!$A:$E, 4, FALSE)), FALSE, TRUE)</f>
        <v>0</v>
      </c>
      <c r="AG300" t="str">
        <f>_xlfn.IFNA(VLOOKUP(Z300,Ref_Kontak!H:H,1,FALSE),"FALSE")</f>
        <v>628999007703</v>
      </c>
      <c r="AH300" t="str">
        <f t="shared" si="29"/>
        <v>GUDANGEXP1-LINE 1</v>
      </c>
      <c r="AI300">
        <f>COUNTIF($AH$1:AH300,AH300)</f>
        <v>299</v>
      </c>
    </row>
    <row r="301" spans="1:35">
      <c r="A301" t="s">
        <v>56</v>
      </c>
      <c r="B301" t="s">
        <v>57</v>
      </c>
      <c r="C301" t="s">
        <v>363</v>
      </c>
      <c r="D301" t="s">
        <v>59</v>
      </c>
      <c r="E301">
        <v>1</v>
      </c>
      <c r="G301" t="s">
        <v>60</v>
      </c>
      <c r="I301" t="s">
        <v>61</v>
      </c>
      <c r="Z301" t="str">
        <f>IFERROR(MID(AA301,FIND("-",H301,1)+1,20),_xlfn.IFNA(VLOOKUP(F301&amp;"-"&amp;AA301,Ref_Kontak!$A:$E,4,FALSE),Ref_Kontak!$H$2))</f>
        <v>628999007703</v>
      </c>
      <c r="AA301" t="str">
        <f t="shared" si="24"/>
        <v/>
      </c>
      <c r="AB301" t="str">
        <f t="shared" si="25"/>
        <v/>
      </c>
      <c r="AC301" t="str">
        <f t="shared" si="26"/>
        <v>628999007703</v>
      </c>
      <c r="AD301" t="str">
        <f t="shared" si="28"/>
        <v>Halo+,+Visual+AI+5S+menditeksi+Violation%3A+GUDANGEXP1-LINE+1</v>
      </c>
      <c r="AE301" t="str">
        <f t="shared" si="27"/>
        <v>https://web.whatsapp.com/send/?phone=628999007703&amp;text=Halo+,+Visual+AI+5S+menditeksi+Violation%3A+GUDANGEXP1-LINE+1&amp;type=phone_number&amp;app_absent=0</v>
      </c>
      <c r="AF301" t="b">
        <f>IF(ISNA(VLOOKUP(D301&amp;"-"&amp;AB301, Ref_Kontak!$A:$E, 4, FALSE)), FALSE, TRUE)</f>
        <v>0</v>
      </c>
      <c r="AG301" t="str">
        <f>_xlfn.IFNA(VLOOKUP(Z301,Ref_Kontak!H:H,1,FALSE),"FALSE")</f>
        <v>628999007703</v>
      </c>
      <c r="AH301" t="str">
        <f t="shared" si="29"/>
        <v>GUDANGEXP1-LINE 1</v>
      </c>
      <c r="AI301">
        <f>COUNTIF($AH$1:AH301,AH301)</f>
        <v>300</v>
      </c>
    </row>
    <row r="302" spans="1:35">
      <c r="A302" t="s">
        <v>56</v>
      </c>
      <c r="B302" t="s">
        <v>57</v>
      </c>
      <c r="C302" t="s">
        <v>364</v>
      </c>
      <c r="D302" t="s">
        <v>59</v>
      </c>
      <c r="E302">
        <v>1</v>
      </c>
      <c r="G302" t="s">
        <v>60</v>
      </c>
      <c r="I302" t="s">
        <v>61</v>
      </c>
      <c r="Z302" t="str">
        <f>IFERROR(MID(AA302,FIND("-",H302,1)+1,20),_xlfn.IFNA(VLOOKUP(F302&amp;"-"&amp;AA302,Ref_Kontak!$A:$E,4,FALSE),Ref_Kontak!$H$2))</f>
        <v>628999007703</v>
      </c>
      <c r="AA302" t="str">
        <f t="shared" si="24"/>
        <v/>
      </c>
      <c r="AB302" t="str">
        <f t="shared" si="25"/>
        <v/>
      </c>
      <c r="AC302" t="str">
        <f t="shared" si="26"/>
        <v>628999007703</v>
      </c>
      <c r="AD302" t="str">
        <f t="shared" si="28"/>
        <v>Halo+,+Visual+AI+5S+menditeksi+Violation%3A+GUDANGEXP1-LINE+1</v>
      </c>
      <c r="AE302" t="str">
        <f t="shared" si="27"/>
        <v>https://web.whatsapp.com/send/?phone=628999007703&amp;text=Halo+,+Visual+AI+5S+menditeksi+Violation%3A+GUDANGEXP1-LINE+1&amp;type=phone_number&amp;app_absent=0</v>
      </c>
      <c r="AF302" t="b">
        <f>IF(ISNA(VLOOKUP(D302&amp;"-"&amp;AB302, Ref_Kontak!$A:$E, 4, FALSE)), FALSE, TRUE)</f>
        <v>0</v>
      </c>
      <c r="AG302" t="str">
        <f>_xlfn.IFNA(VLOOKUP(Z302,Ref_Kontak!H:H,1,FALSE),"FALSE")</f>
        <v>628999007703</v>
      </c>
      <c r="AH302" t="str">
        <f t="shared" si="29"/>
        <v>GUDANGEXP1-LINE 1</v>
      </c>
      <c r="AI302">
        <f>COUNTIF($AH$1:AH302,AH302)</f>
        <v>301</v>
      </c>
    </row>
    <row r="303" spans="1:35">
      <c r="A303" t="s">
        <v>56</v>
      </c>
      <c r="B303" t="s">
        <v>57</v>
      </c>
      <c r="C303" t="s">
        <v>365</v>
      </c>
      <c r="D303" t="s">
        <v>59</v>
      </c>
      <c r="E303">
        <v>1</v>
      </c>
      <c r="G303" t="s">
        <v>60</v>
      </c>
      <c r="I303" t="s">
        <v>61</v>
      </c>
      <c r="Z303" t="str">
        <f>IFERROR(MID(AA303,FIND("-",H303,1)+1,20),_xlfn.IFNA(VLOOKUP(F303&amp;"-"&amp;AA303,Ref_Kontak!$A:$E,4,FALSE),Ref_Kontak!$H$2))</f>
        <v>628999007703</v>
      </c>
      <c r="AA303" t="str">
        <f t="shared" si="24"/>
        <v/>
      </c>
      <c r="AB303" t="str">
        <f t="shared" si="25"/>
        <v/>
      </c>
      <c r="AC303" t="str">
        <f t="shared" si="26"/>
        <v>628999007703</v>
      </c>
      <c r="AD303" t="str">
        <f t="shared" si="28"/>
        <v>Halo+,+Visual+AI+5S+menditeksi+Violation%3A+GUDANGEXP1-LINE+1</v>
      </c>
      <c r="AE303" t="str">
        <f t="shared" si="27"/>
        <v>https://web.whatsapp.com/send/?phone=628999007703&amp;text=Halo+,+Visual+AI+5S+menditeksi+Violation%3A+GUDANGEXP1-LINE+1&amp;type=phone_number&amp;app_absent=0</v>
      </c>
      <c r="AF303" t="b">
        <f>IF(ISNA(VLOOKUP(D303&amp;"-"&amp;AB303, Ref_Kontak!$A:$E, 4, FALSE)), FALSE, TRUE)</f>
        <v>0</v>
      </c>
      <c r="AG303" t="str">
        <f>_xlfn.IFNA(VLOOKUP(Z303,Ref_Kontak!H:H,1,FALSE),"FALSE")</f>
        <v>628999007703</v>
      </c>
      <c r="AH303" t="str">
        <f t="shared" si="29"/>
        <v>GUDANGEXP1-LINE 1</v>
      </c>
      <c r="AI303">
        <f>COUNTIF($AH$1:AH303,AH303)</f>
        <v>302</v>
      </c>
    </row>
    <row r="304" spans="1:35">
      <c r="A304" t="s">
        <v>56</v>
      </c>
      <c r="B304" t="s">
        <v>57</v>
      </c>
      <c r="C304" t="s">
        <v>366</v>
      </c>
      <c r="D304" t="s">
        <v>59</v>
      </c>
      <c r="E304">
        <v>1</v>
      </c>
      <c r="G304" t="s">
        <v>60</v>
      </c>
      <c r="I304" t="s">
        <v>61</v>
      </c>
      <c r="Z304" t="str">
        <f>IFERROR(MID(AA304,FIND("-",H304,1)+1,20),_xlfn.IFNA(VLOOKUP(F304&amp;"-"&amp;AA304,Ref_Kontak!$A:$E,4,FALSE),Ref_Kontak!$H$2))</f>
        <v>628999007703</v>
      </c>
      <c r="AA304" t="str">
        <f t="shared" si="24"/>
        <v/>
      </c>
      <c r="AB304" t="str">
        <f t="shared" si="25"/>
        <v/>
      </c>
      <c r="AC304" t="str">
        <f t="shared" si="26"/>
        <v>628999007703</v>
      </c>
      <c r="AD304" t="str">
        <f t="shared" si="28"/>
        <v>Halo+,+Visual+AI+5S+menditeksi+Violation%3A+GUDANGEXP1-LINE+1</v>
      </c>
      <c r="AE304" t="str">
        <f t="shared" si="27"/>
        <v>https://web.whatsapp.com/send/?phone=628999007703&amp;text=Halo+,+Visual+AI+5S+menditeksi+Violation%3A+GUDANGEXP1-LINE+1&amp;type=phone_number&amp;app_absent=0</v>
      </c>
      <c r="AF304" t="b">
        <f>IF(ISNA(VLOOKUP(D304&amp;"-"&amp;AB304, Ref_Kontak!$A:$E, 4, FALSE)), FALSE, TRUE)</f>
        <v>0</v>
      </c>
      <c r="AG304" t="str">
        <f>_xlfn.IFNA(VLOOKUP(Z304,Ref_Kontak!H:H,1,FALSE),"FALSE")</f>
        <v>628999007703</v>
      </c>
      <c r="AH304" t="str">
        <f t="shared" si="29"/>
        <v>GUDANGEXP1-LINE 1</v>
      </c>
      <c r="AI304">
        <f>COUNTIF($AH$1:AH304,AH304)</f>
        <v>303</v>
      </c>
    </row>
    <row r="305" spans="1:35">
      <c r="A305" t="s">
        <v>56</v>
      </c>
      <c r="B305" t="s">
        <v>57</v>
      </c>
      <c r="C305" t="s">
        <v>367</v>
      </c>
      <c r="D305" t="s">
        <v>59</v>
      </c>
      <c r="E305">
        <v>1</v>
      </c>
      <c r="G305" t="s">
        <v>60</v>
      </c>
      <c r="I305" t="s">
        <v>61</v>
      </c>
      <c r="Z305" t="str">
        <f>IFERROR(MID(AA305,FIND("-",H305,1)+1,20),_xlfn.IFNA(VLOOKUP(F305&amp;"-"&amp;AA305,Ref_Kontak!$A:$E,4,FALSE),Ref_Kontak!$H$2))</f>
        <v>628999007703</v>
      </c>
      <c r="AA305" t="str">
        <f t="shared" si="24"/>
        <v/>
      </c>
      <c r="AB305" t="str">
        <f t="shared" si="25"/>
        <v/>
      </c>
      <c r="AC305" t="str">
        <f t="shared" si="26"/>
        <v>628999007703</v>
      </c>
      <c r="AD305" t="str">
        <f t="shared" si="28"/>
        <v>Halo+,+Visual+AI+5S+menditeksi+Violation%3A+GUDANGEXP1-LINE+1</v>
      </c>
      <c r="AE305" t="str">
        <f t="shared" si="27"/>
        <v>https://web.whatsapp.com/send/?phone=628999007703&amp;text=Halo+,+Visual+AI+5S+menditeksi+Violation%3A+GUDANGEXP1-LINE+1&amp;type=phone_number&amp;app_absent=0</v>
      </c>
      <c r="AF305" t="b">
        <f>IF(ISNA(VLOOKUP(D305&amp;"-"&amp;AB305, Ref_Kontak!$A:$E, 4, FALSE)), FALSE, TRUE)</f>
        <v>0</v>
      </c>
      <c r="AG305" t="str">
        <f>_xlfn.IFNA(VLOOKUP(Z305,Ref_Kontak!H:H,1,FALSE),"FALSE")</f>
        <v>628999007703</v>
      </c>
      <c r="AH305" t="str">
        <f t="shared" si="29"/>
        <v>GUDANGEXP1-LINE 1</v>
      </c>
      <c r="AI305">
        <f>COUNTIF($AH$1:AH305,AH305)</f>
        <v>304</v>
      </c>
    </row>
    <row r="306" spans="1:35">
      <c r="A306" t="s">
        <v>56</v>
      </c>
      <c r="B306" t="s">
        <v>57</v>
      </c>
      <c r="C306" t="s">
        <v>368</v>
      </c>
      <c r="D306" t="s">
        <v>59</v>
      </c>
      <c r="E306">
        <v>1</v>
      </c>
      <c r="G306" t="s">
        <v>60</v>
      </c>
      <c r="I306" t="s">
        <v>61</v>
      </c>
      <c r="Z306" t="str">
        <f>IFERROR(MID(AA306,FIND("-",H306,1)+1,20),_xlfn.IFNA(VLOOKUP(F306&amp;"-"&amp;AA306,Ref_Kontak!$A:$E,4,FALSE),Ref_Kontak!$H$2))</f>
        <v>628999007703</v>
      </c>
      <c r="AA306" t="str">
        <f t="shared" si="24"/>
        <v/>
      </c>
      <c r="AB306" t="str">
        <f t="shared" si="25"/>
        <v/>
      </c>
      <c r="AC306" t="str">
        <f t="shared" si="26"/>
        <v>628999007703</v>
      </c>
      <c r="AD306" t="str">
        <f t="shared" si="28"/>
        <v>Halo+,+Visual+AI+5S+menditeksi+Violation%3A+GUDANGEXP1-LINE+1</v>
      </c>
      <c r="AE306" t="str">
        <f t="shared" si="27"/>
        <v>https://web.whatsapp.com/send/?phone=628999007703&amp;text=Halo+,+Visual+AI+5S+menditeksi+Violation%3A+GUDANGEXP1-LINE+1&amp;type=phone_number&amp;app_absent=0</v>
      </c>
      <c r="AF306" t="b">
        <f>IF(ISNA(VLOOKUP(D306&amp;"-"&amp;AB306, Ref_Kontak!$A:$E, 4, FALSE)), FALSE, TRUE)</f>
        <v>0</v>
      </c>
      <c r="AG306" t="str">
        <f>_xlfn.IFNA(VLOOKUP(Z306,Ref_Kontak!H:H,1,FALSE),"FALSE")</f>
        <v>628999007703</v>
      </c>
      <c r="AH306" t="str">
        <f t="shared" si="29"/>
        <v>GUDANGEXP1-LINE 1</v>
      </c>
      <c r="AI306">
        <f>COUNTIF($AH$1:AH306,AH306)</f>
        <v>305</v>
      </c>
    </row>
    <row r="307" spans="1:35">
      <c r="A307" t="s">
        <v>56</v>
      </c>
      <c r="B307" t="s">
        <v>57</v>
      </c>
      <c r="C307" t="s">
        <v>369</v>
      </c>
      <c r="D307" t="s">
        <v>59</v>
      </c>
      <c r="E307">
        <v>1</v>
      </c>
      <c r="G307" t="s">
        <v>60</v>
      </c>
      <c r="I307" t="s">
        <v>61</v>
      </c>
      <c r="Z307" t="str">
        <f>IFERROR(MID(AA307,FIND("-",H307,1)+1,20),_xlfn.IFNA(VLOOKUP(F307&amp;"-"&amp;AA307,Ref_Kontak!$A:$E,4,FALSE),Ref_Kontak!$H$2))</f>
        <v>628999007703</v>
      </c>
      <c r="AA307" t="str">
        <f t="shared" si="24"/>
        <v/>
      </c>
      <c r="AB307" t="str">
        <f t="shared" si="25"/>
        <v/>
      </c>
      <c r="AC307" t="str">
        <f t="shared" si="26"/>
        <v>628999007703</v>
      </c>
      <c r="AD307" t="str">
        <f t="shared" si="28"/>
        <v>Halo+,+Visual+AI+5S+menditeksi+Violation%3A+GUDANGEXP1-LINE+1</v>
      </c>
      <c r="AE307" t="str">
        <f t="shared" si="27"/>
        <v>https://web.whatsapp.com/send/?phone=628999007703&amp;text=Halo+,+Visual+AI+5S+menditeksi+Violation%3A+GUDANGEXP1-LINE+1&amp;type=phone_number&amp;app_absent=0</v>
      </c>
      <c r="AF307" t="b">
        <f>IF(ISNA(VLOOKUP(D307&amp;"-"&amp;AB307, Ref_Kontak!$A:$E, 4, FALSE)), FALSE, TRUE)</f>
        <v>0</v>
      </c>
      <c r="AG307" t="str">
        <f>_xlfn.IFNA(VLOOKUP(Z307,Ref_Kontak!H:H,1,FALSE),"FALSE")</f>
        <v>628999007703</v>
      </c>
      <c r="AH307" t="str">
        <f t="shared" si="29"/>
        <v>GUDANGEXP1-LINE 1</v>
      </c>
      <c r="AI307">
        <f>COUNTIF($AH$1:AH307,AH307)</f>
        <v>306</v>
      </c>
    </row>
    <row r="308" spans="1:35">
      <c r="A308" t="s">
        <v>56</v>
      </c>
      <c r="B308" t="s">
        <v>57</v>
      </c>
      <c r="C308" t="s">
        <v>370</v>
      </c>
      <c r="D308" t="s">
        <v>59</v>
      </c>
      <c r="E308">
        <v>1</v>
      </c>
      <c r="G308" t="s">
        <v>60</v>
      </c>
      <c r="I308" t="s">
        <v>61</v>
      </c>
      <c r="Z308" t="str">
        <f>IFERROR(MID(AA308,FIND("-",H308,1)+1,20),_xlfn.IFNA(VLOOKUP(F308&amp;"-"&amp;AA308,Ref_Kontak!$A:$E,4,FALSE),Ref_Kontak!$H$2))</f>
        <v>628999007703</v>
      </c>
      <c r="AA308" t="str">
        <f t="shared" si="24"/>
        <v/>
      </c>
      <c r="AB308" t="str">
        <f t="shared" si="25"/>
        <v/>
      </c>
      <c r="AC308" t="str">
        <f t="shared" si="26"/>
        <v>628999007703</v>
      </c>
      <c r="AD308" t="str">
        <f t="shared" si="28"/>
        <v>Halo+,+Visual+AI+5S+menditeksi+Violation%3A+GUDANGEXP1-LINE+1</v>
      </c>
      <c r="AE308" t="str">
        <f t="shared" si="27"/>
        <v>https://web.whatsapp.com/send/?phone=628999007703&amp;text=Halo+,+Visual+AI+5S+menditeksi+Violation%3A+GUDANGEXP1-LINE+1&amp;type=phone_number&amp;app_absent=0</v>
      </c>
      <c r="AF308" t="b">
        <f>IF(ISNA(VLOOKUP(D308&amp;"-"&amp;AB308, Ref_Kontak!$A:$E, 4, FALSE)), FALSE, TRUE)</f>
        <v>0</v>
      </c>
      <c r="AG308" t="str">
        <f>_xlfn.IFNA(VLOOKUP(Z308,Ref_Kontak!H:H,1,FALSE),"FALSE")</f>
        <v>628999007703</v>
      </c>
      <c r="AH308" t="str">
        <f t="shared" si="29"/>
        <v>GUDANGEXP1-LINE 1</v>
      </c>
      <c r="AI308">
        <f>COUNTIF($AH$1:AH308,AH308)</f>
        <v>307</v>
      </c>
    </row>
    <row r="309" spans="1:35">
      <c r="A309" t="s">
        <v>56</v>
      </c>
      <c r="B309" t="s">
        <v>57</v>
      </c>
      <c r="C309" t="s">
        <v>371</v>
      </c>
      <c r="D309" t="s">
        <v>59</v>
      </c>
      <c r="E309">
        <v>1</v>
      </c>
      <c r="G309" t="s">
        <v>60</v>
      </c>
      <c r="I309" t="s">
        <v>61</v>
      </c>
      <c r="Z309" t="str">
        <f>IFERROR(MID(AA309,FIND("-",H309,1)+1,20),_xlfn.IFNA(VLOOKUP(F309&amp;"-"&amp;AA309,Ref_Kontak!$A:$E,4,FALSE),Ref_Kontak!$H$2))</f>
        <v>628999007703</v>
      </c>
      <c r="AA309" t="str">
        <f t="shared" si="24"/>
        <v/>
      </c>
      <c r="AB309" t="str">
        <f t="shared" si="25"/>
        <v/>
      </c>
      <c r="AC309" t="str">
        <f t="shared" si="26"/>
        <v>628999007703</v>
      </c>
      <c r="AD309" t="str">
        <f t="shared" si="28"/>
        <v>Halo+,+Visual+AI+5S+menditeksi+Violation%3A+GUDANGEXP1-LINE+1</v>
      </c>
      <c r="AE309" t="str">
        <f t="shared" si="27"/>
        <v>https://web.whatsapp.com/send/?phone=628999007703&amp;text=Halo+,+Visual+AI+5S+menditeksi+Violation%3A+GUDANGEXP1-LINE+1&amp;type=phone_number&amp;app_absent=0</v>
      </c>
      <c r="AF309" t="b">
        <f>IF(ISNA(VLOOKUP(D309&amp;"-"&amp;AB309, Ref_Kontak!$A:$E, 4, FALSE)), FALSE, TRUE)</f>
        <v>0</v>
      </c>
      <c r="AG309" t="str">
        <f>_xlfn.IFNA(VLOOKUP(Z309,Ref_Kontak!H:H,1,FALSE),"FALSE")</f>
        <v>628999007703</v>
      </c>
      <c r="AH309" t="str">
        <f t="shared" si="29"/>
        <v>GUDANGEXP1-LINE 1</v>
      </c>
      <c r="AI309">
        <f>COUNTIF($AH$1:AH309,AH309)</f>
        <v>308</v>
      </c>
    </row>
    <row r="310" spans="1:35">
      <c r="A310" t="s">
        <v>56</v>
      </c>
      <c r="B310" t="s">
        <v>57</v>
      </c>
      <c r="C310" t="s">
        <v>372</v>
      </c>
      <c r="D310" t="s">
        <v>59</v>
      </c>
      <c r="E310">
        <v>1</v>
      </c>
      <c r="G310" t="s">
        <v>60</v>
      </c>
      <c r="I310" t="s">
        <v>61</v>
      </c>
      <c r="Z310" t="str">
        <f>IFERROR(MID(AA310,FIND("-",H310,1)+1,20),_xlfn.IFNA(VLOOKUP(F310&amp;"-"&amp;AA310,Ref_Kontak!$A:$E,4,FALSE),Ref_Kontak!$H$2))</f>
        <v>628999007703</v>
      </c>
      <c r="AA310" t="str">
        <f t="shared" si="24"/>
        <v/>
      </c>
      <c r="AB310" t="str">
        <f t="shared" si="25"/>
        <v/>
      </c>
      <c r="AC310" t="str">
        <f t="shared" si="26"/>
        <v>628999007703</v>
      </c>
      <c r="AD310" t="str">
        <f t="shared" si="28"/>
        <v>Halo+,+Visual+AI+5S+menditeksi+Violation%3A+GUDANGEXP1-LINE+1</v>
      </c>
      <c r="AE310" t="str">
        <f t="shared" si="27"/>
        <v>https://web.whatsapp.com/send/?phone=628999007703&amp;text=Halo+,+Visual+AI+5S+menditeksi+Violation%3A+GUDANGEXP1-LINE+1&amp;type=phone_number&amp;app_absent=0</v>
      </c>
      <c r="AF310" t="b">
        <f>IF(ISNA(VLOOKUP(D310&amp;"-"&amp;AB310, Ref_Kontak!$A:$E, 4, FALSE)), FALSE, TRUE)</f>
        <v>0</v>
      </c>
      <c r="AG310" t="str">
        <f>_xlfn.IFNA(VLOOKUP(Z310,Ref_Kontak!H:H,1,FALSE),"FALSE")</f>
        <v>628999007703</v>
      </c>
      <c r="AH310" t="str">
        <f t="shared" si="29"/>
        <v>GUDANGEXP1-LINE 1</v>
      </c>
      <c r="AI310">
        <f>COUNTIF($AH$1:AH310,AH310)</f>
        <v>309</v>
      </c>
    </row>
    <row r="311" spans="1:35">
      <c r="A311" t="s">
        <v>56</v>
      </c>
      <c r="B311" t="s">
        <v>57</v>
      </c>
      <c r="C311" t="s">
        <v>373</v>
      </c>
      <c r="D311" t="s">
        <v>59</v>
      </c>
      <c r="E311">
        <v>1</v>
      </c>
      <c r="G311" t="s">
        <v>60</v>
      </c>
      <c r="I311" t="s">
        <v>61</v>
      </c>
      <c r="Z311" t="str">
        <f>IFERROR(MID(AA311,FIND("-",H311,1)+1,20),_xlfn.IFNA(VLOOKUP(F311&amp;"-"&amp;AA311,Ref_Kontak!$A:$E,4,FALSE),Ref_Kontak!$H$2))</f>
        <v>628999007703</v>
      </c>
      <c r="AA311" t="str">
        <f t="shared" si="24"/>
        <v/>
      </c>
      <c r="AB311" t="str">
        <f t="shared" si="25"/>
        <v/>
      </c>
      <c r="AC311" t="str">
        <f t="shared" si="26"/>
        <v>628999007703</v>
      </c>
      <c r="AD311" t="str">
        <f t="shared" si="28"/>
        <v>Halo+,+Visual+AI+5S+menditeksi+Violation%3A+GUDANGEXP1-LINE+1</v>
      </c>
      <c r="AE311" t="str">
        <f t="shared" si="27"/>
        <v>https://web.whatsapp.com/send/?phone=628999007703&amp;text=Halo+,+Visual+AI+5S+menditeksi+Violation%3A+GUDANGEXP1-LINE+1&amp;type=phone_number&amp;app_absent=0</v>
      </c>
      <c r="AF311" t="b">
        <f>IF(ISNA(VLOOKUP(D311&amp;"-"&amp;AB311, Ref_Kontak!$A:$E, 4, FALSE)), FALSE, TRUE)</f>
        <v>0</v>
      </c>
      <c r="AG311" t="str">
        <f>_xlfn.IFNA(VLOOKUP(Z311,Ref_Kontak!H:H,1,FALSE),"FALSE")</f>
        <v>628999007703</v>
      </c>
      <c r="AH311" t="str">
        <f t="shared" si="29"/>
        <v>GUDANGEXP1-LINE 1</v>
      </c>
      <c r="AI311">
        <f>COUNTIF($AH$1:AH311,AH311)</f>
        <v>310</v>
      </c>
    </row>
    <row r="312" spans="1:35">
      <c r="A312" t="s">
        <v>56</v>
      </c>
      <c r="B312" t="s">
        <v>57</v>
      </c>
      <c r="C312" t="s">
        <v>374</v>
      </c>
      <c r="D312" t="s">
        <v>59</v>
      </c>
      <c r="E312">
        <v>1</v>
      </c>
      <c r="G312" t="s">
        <v>60</v>
      </c>
      <c r="I312" t="s">
        <v>61</v>
      </c>
      <c r="Z312" t="str">
        <f>IFERROR(MID(AA312,FIND("-",H312,1)+1,20),_xlfn.IFNA(VLOOKUP(F312&amp;"-"&amp;AA312,Ref_Kontak!$A:$E,4,FALSE),Ref_Kontak!$H$2))</f>
        <v>628999007703</v>
      </c>
      <c r="AA312" t="str">
        <f t="shared" si="24"/>
        <v/>
      </c>
      <c r="AB312" t="str">
        <f t="shared" si="25"/>
        <v/>
      </c>
      <c r="AC312" t="str">
        <f t="shared" si="26"/>
        <v>628999007703</v>
      </c>
      <c r="AD312" t="str">
        <f t="shared" si="28"/>
        <v>Halo+,+Visual+AI+5S+menditeksi+Violation%3A+GUDANGEXP1-LINE+1</v>
      </c>
      <c r="AE312" t="str">
        <f t="shared" si="27"/>
        <v>https://web.whatsapp.com/send/?phone=628999007703&amp;text=Halo+,+Visual+AI+5S+menditeksi+Violation%3A+GUDANGEXP1-LINE+1&amp;type=phone_number&amp;app_absent=0</v>
      </c>
      <c r="AF312" t="b">
        <f>IF(ISNA(VLOOKUP(D312&amp;"-"&amp;AB312, Ref_Kontak!$A:$E, 4, FALSE)), FALSE, TRUE)</f>
        <v>0</v>
      </c>
      <c r="AG312" t="str">
        <f>_xlfn.IFNA(VLOOKUP(Z312,Ref_Kontak!H:H,1,FALSE),"FALSE")</f>
        <v>628999007703</v>
      </c>
      <c r="AH312" t="str">
        <f t="shared" si="29"/>
        <v>GUDANGEXP1-LINE 1</v>
      </c>
      <c r="AI312">
        <f>COUNTIF($AH$1:AH312,AH312)</f>
        <v>311</v>
      </c>
    </row>
    <row r="313" spans="1:35">
      <c r="A313" t="s">
        <v>56</v>
      </c>
      <c r="B313" t="s">
        <v>57</v>
      </c>
      <c r="C313" t="s">
        <v>375</v>
      </c>
      <c r="D313" t="s">
        <v>59</v>
      </c>
      <c r="E313">
        <v>1</v>
      </c>
      <c r="G313" t="s">
        <v>60</v>
      </c>
      <c r="I313" t="s">
        <v>61</v>
      </c>
      <c r="Z313" t="str">
        <f>IFERROR(MID(AA313,FIND("-",H313,1)+1,20),_xlfn.IFNA(VLOOKUP(F313&amp;"-"&amp;AA313,Ref_Kontak!$A:$E,4,FALSE),Ref_Kontak!$H$2))</f>
        <v>628999007703</v>
      </c>
      <c r="AA313" t="str">
        <f t="shared" si="24"/>
        <v/>
      </c>
      <c r="AB313" t="str">
        <f t="shared" si="25"/>
        <v/>
      </c>
      <c r="AC313" t="str">
        <f t="shared" si="26"/>
        <v>628999007703</v>
      </c>
      <c r="AD313" t="str">
        <f t="shared" si="28"/>
        <v>Halo+,+Visual+AI+5S+menditeksi+Violation%3A+GUDANGEXP1-LINE+1</v>
      </c>
      <c r="AE313" t="str">
        <f t="shared" si="27"/>
        <v>https://web.whatsapp.com/send/?phone=628999007703&amp;text=Halo+,+Visual+AI+5S+menditeksi+Violation%3A+GUDANGEXP1-LINE+1&amp;type=phone_number&amp;app_absent=0</v>
      </c>
      <c r="AF313" t="b">
        <f>IF(ISNA(VLOOKUP(D313&amp;"-"&amp;AB313, Ref_Kontak!$A:$E, 4, FALSE)), FALSE, TRUE)</f>
        <v>0</v>
      </c>
      <c r="AG313" t="str">
        <f>_xlfn.IFNA(VLOOKUP(Z313,Ref_Kontak!H:H,1,FALSE),"FALSE")</f>
        <v>628999007703</v>
      </c>
      <c r="AH313" t="str">
        <f t="shared" si="29"/>
        <v>GUDANGEXP1-LINE 1</v>
      </c>
      <c r="AI313">
        <f>COUNTIF($AH$1:AH313,AH313)</f>
        <v>312</v>
      </c>
    </row>
    <row r="314" spans="1:35">
      <c r="A314" t="s">
        <v>56</v>
      </c>
      <c r="B314" t="s">
        <v>57</v>
      </c>
      <c r="C314" t="s">
        <v>376</v>
      </c>
      <c r="D314" t="s">
        <v>59</v>
      </c>
      <c r="E314">
        <v>1</v>
      </c>
      <c r="G314" t="s">
        <v>60</v>
      </c>
      <c r="I314" t="s">
        <v>61</v>
      </c>
      <c r="Z314" t="str">
        <f>IFERROR(MID(AA314,FIND("-",H314,1)+1,20),_xlfn.IFNA(VLOOKUP(F314&amp;"-"&amp;AA314,Ref_Kontak!$A:$E,4,FALSE),Ref_Kontak!$H$2))</f>
        <v>628999007703</v>
      </c>
      <c r="AA314" t="str">
        <f t="shared" si="24"/>
        <v/>
      </c>
      <c r="AB314" t="str">
        <f t="shared" si="25"/>
        <v/>
      </c>
      <c r="AC314" t="str">
        <f t="shared" si="26"/>
        <v>628999007703</v>
      </c>
      <c r="AD314" t="str">
        <f t="shared" si="28"/>
        <v>Halo+,+Visual+AI+5S+menditeksi+Violation%3A+GUDANGEXP1-LINE+1</v>
      </c>
      <c r="AE314" t="str">
        <f t="shared" si="27"/>
        <v>https://web.whatsapp.com/send/?phone=628999007703&amp;text=Halo+,+Visual+AI+5S+menditeksi+Violation%3A+GUDANGEXP1-LINE+1&amp;type=phone_number&amp;app_absent=0</v>
      </c>
      <c r="AF314" t="b">
        <f>IF(ISNA(VLOOKUP(D314&amp;"-"&amp;AB314, Ref_Kontak!$A:$E, 4, FALSE)), FALSE, TRUE)</f>
        <v>0</v>
      </c>
      <c r="AG314" t="str">
        <f>_xlfn.IFNA(VLOOKUP(Z314,Ref_Kontak!H:H,1,FALSE),"FALSE")</f>
        <v>628999007703</v>
      </c>
      <c r="AH314" t="str">
        <f t="shared" si="29"/>
        <v>GUDANGEXP1-LINE 1</v>
      </c>
      <c r="AI314">
        <f>COUNTIF($AH$1:AH314,AH314)</f>
        <v>313</v>
      </c>
    </row>
    <row r="315" spans="1:35">
      <c r="A315" t="s">
        <v>56</v>
      </c>
      <c r="B315" t="s">
        <v>57</v>
      </c>
      <c r="C315" t="s">
        <v>377</v>
      </c>
      <c r="D315" t="s">
        <v>59</v>
      </c>
      <c r="E315">
        <v>1</v>
      </c>
      <c r="G315" t="s">
        <v>60</v>
      </c>
      <c r="I315" t="s">
        <v>61</v>
      </c>
      <c r="Z315" t="str">
        <f>IFERROR(MID(AA315,FIND("-",H315,1)+1,20),_xlfn.IFNA(VLOOKUP(F315&amp;"-"&amp;AA315,Ref_Kontak!$A:$E,4,FALSE),Ref_Kontak!$H$2))</f>
        <v>628999007703</v>
      </c>
      <c r="AA315" t="str">
        <f t="shared" si="24"/>
        <v/>
      </c>
      <c r="AB315" t="str">
        <f t="shared" si="25"/>
        <v/>
      </c>
      <c r="AC315" t="str">
        <f t="shared" si="26"/>
        <v>628999007703</v>
      </c>
      <c r="AD315" t="str">
        <f t="shared" si="28"/>
        <v>Halo+,+Visual+AI+5S+menditeksi+Violation%3A+GUDANGEXP1-LINE+1</v>
      </c>
      <c r="AE315" t="str">
        <f t="shared" si="27"/>
        <v>https://web.whatsapp.com/send/?phone=628999007703&amp;text=Halo+,+Visual+AI+5S+menditeksi+Violation%3A+GUDANGEXP1-LINE+1&amp;type=phone_number&amp;app_absent=0</v>
      </c>
      <c r="AF315" t="b">
        <f>IF(ISNA(VLOOKUP(D315&amp;"-"&amp;AB315, Ref_Kontak!$A:$E, 4, FALSE)), FALSE, TRUE)</f>
        <v>0</v>
      </c>
      <c r="AG315" t="str">
        <f>_xlfn.IFNA(VLOOKUP(Z315,Ref_Kontak!H:H,1,FALSE),"FALSE")</f>
        <v>628999007703</v>
      </c>
      <c r="AH315" t="str">
        <f t="shared" si="29"/>
        <v>GUDANGEXP1-LINE 1</v>
      </c>
      <c r="AI315">
        <f>COUNTIF($AH$1:AH315,AH315)</f>
        <v>314</v>
      </c>
    </row>
    <row r="316" spans="1:35">
      <c r="A316" t="s">
        <v>56</v>
      </c>
      <c r="B316" t="s">
        <v>57</v>
      </c>
      <c r="C316" t="s">
        <v>378</v>
      </c>
      <c r="D316" t="s">
        <v>59</v>
      </c>
      <c r="E316">
        <v>1</v>
      </c>
      <c r="G316" t="s">
        <v>60</v>
      </c>
      <c r="I316" t="s">
        <v>61</v>
      </c>
      <c r="Z316" t="str">
        <f>IFERROR(MID(AA316,FIND("-",H316,1)+1,20),_xlfn.IFNA(VLOOKUP(F316&amp;"-"&amp;AA316,Ref_Kontak!$A:$E,4,FALSE),Ref_Kontak!$H$2))</f>
        <v>628999007703</v>
      </c>
      <c r="AA316" t="str">
        <f t="shared" si="24"/>
        <v/>
      </c>
      <c r="AB316" t="str">
        <f t="shared" si="25"/>
        <v/>
      </c>
      <c r="AC316" t="str">
        <f t="shared" si="26"/>
        <v>628999007703</v>
      </c>
      <c r="AD316" t="str">
        <f t="shared" si="28"/>
        <v>Halo+,+Visual+AI+5S+menditeksi+Violation%3A+GUDANGEXP1-LINE+1</v>
      </c>
      <c r="AE316" t="str">
        <f t="shared" si="27"/>
        <v>https://web.whatsapp.com/send/?phone=628999007703&amp;text=Halo+,+Visual+AI+5S+menditeksi+Violation%3A+GUDANGEXP1-LINE+1&amp;type=phone_number&amp;app_absent=0</v>
      </c>
      <c r="AF316" t="b">
        <f>IF(ISNA(VLOOKUP(D316&amp;"-"&amp;AB316, Ref_Kontak!$A:$E, 4, FALSE)), FALSE, TRUE)</f>
        <v>0</v>
      </c>
      <c r="AG316" t="str">
        <f>_xlfn.IFNA(VLOOKUP(Z316,Ref_Kontak!H:H,1,FALSE),"FALSE")</f>
        <v>628999007703</v>
      </c>
      <c r="AH316" t="str">
        <f t="shared" si="29"/>
        <v>GUDANGEXP1-LINE 1</v>
      </c>
      <c r="AI316">
        <f>COUNTIF($AH$1:AH316,AH316)</f>
        <v>315</v>
      </c>
    </row>
    <row r="317" spans="1:35">
      <c r="A317" t="s">
        <v>56</v>
      </c>
      <c r="B317" t="s">
        <v>57</v>
      </c>
      <c r="C317" t="s">
        <v>379</v>
      </c>
      <c r="D317" t="s">
        <v>59</v>
      </c>
      <c r="E317">
        <v>1</v>
      </c>
      <c r="G317" t="s">
        <v>60</v>
      </c>
      <c r="I317" t="s">
        <v>61</v>
      </c>
      <c r="Z317" t="str">
        <f>IFERROR(MID(AA317,FIND("-",H317,1)+1,20),_xlfn.IFNA(VLOOKUP(F317&amp;"-"&amp;AA317,Ref_Kontak!$A:$E,4,FALSE),Ref_Kontak!$H$2))</f>
        <v>628999007703</v>
      </c>
      <c r="AA317" t="str">
        <f t="shared" si="24"/>
        <v/>
      </c>
      <c r="AB317" t="str">
        <f t="shared" si="25"/>
        <v/>
      </c>
      <c r="AC317" t="str">
        <f t="shared" si="26"/>
        <v>628999007703</v>
      </c>
      <c r="AD317" t="str">
        <f t="shared" si="28"/>
        <v>Halo+,+Visual+AI+5S+menditeksi+Violation%3A+GUDANGEXP1-LINE+1</v>
      </c>
      <c r="AE317" t="str">
        <f t="shared" si="27"/>
        <v>https://web.whatsapp.com/send/?phone=628999007703&amp;text=Halo+,+Visual+AI+5S+menditeksi+Violation%3A+GUDANGEXP1-LINE+1&amp;type=phone_number&amp;app_absent=0</v>
      </c>
      <c r="AF317" t="b">
        <f>IF(ISNA(VLOOKUP(D317&amp;"-"&amp;AB317, Ref_Kontak!$A:$E, 4, FALSE)), FALSE, TRUE)</f>
        <v>0</v>
      </c>
      <c r="AG317" t="str">
        <f>_xlfn.IFNA(VLOOKUP(Z317,Ref_Kontak!H:H,1,FALSE),"FALSE")</f>
        <v>628999007703</v>
      </c>
      <c r="AH317" t="str">
        <f t="shared" si="29"/>
        <v>GUDANGEXP1-LINE 1</v>
      </c>
      <c r="AI317">
        <f>COUNTIF($AH$1:AH317,AH317)</f>
        <v>316</v>
      </c>
    </row>
    <row r="318" spans="1:35">
      <c r="A318" t="s">
        <v>56</v>
      </c>
      <c r="B318" t="s">
        <v>57</v>
      </c>
      <c r="C318" t="s">
        <v>380</v>
      </c>
      <c r="D318" t="s">
        <v>59</v>
      </c>
      <c r="E318">
        <v>1</v>
      </c>
      <c r="G318" t="s">
        <v>60</v>
      </c>
      <c r="I318" t="s">
        <v>61</v>
      </c>
      <c r="Z318" t="str">
        <f>IFERROR(MID(AA318,FIND("-",H318,1)+1,20),_xlfn.IFNA(VLOOKUP(F318&amp;"-"&amp;AA318,Ref_Kontak!$A:$E,4,FALSE),Ref_Kontak!$H$2))</f>
        <v>628999007703</v>
      </c>
      <c r="AA318" t="str">
        <f t="shared" si="24"/>
        <v/>
      </c>
      <c r="AB318" t="str">
        <f t="shared" si="25"/>
        <v/>
      </c>
      <c r="AC318" t="str">
        <f t="shared" si="26"/>
        <v>628999007703</v>
      </c>
      <c r="AD318" t="str">
        <f t="shared" si="28"/>
        <v>Halo+,+Visual+AI+5S+menditeksi+Violation%3A+GUDANGEXP1-LINE+1</v>
      </c>
      <c r="AE318" t="str">
        <f t="shared" si="27"/>
        <v>https://web.whatsapp.com/send/?phone=628999007703&amp;text=Halo+,+Visual+AI+5S+menditeksi+Violation%3A+GUDANGEXP1-LINE+1&amp;type=phone_number&amp;app_absent=0</v>
      </c>
      <c r="AF318" t="b">
        <f>IF(ISNA(VLOOKUP(D318&amp;"-"&amp;AB318, Ref_Kontak!$A:$E, 4, FALSE)), FALSE, TRUE)</f>
        <v>0</v>
      </c>
      <c r="AG318" t="str">
        <f>_xlfn.IFNA(VLOOKUP(Z318,Ref_Kontak!H:H,1,FALSE),"FALSE")</f>
        <v>628999007703</v>
      </c>
      <c r="AH318" t="str">
        <f t="shared" si="29"/>
        <v>GUDANGEXP1-LINE 1</v>
      </c>
      <c r="AI318">
        <f>COUNTIF($AH$1:AH318,AH318)</f>
        <v>317</v>
      </c>
    </row>
    <row r="319" spans="1:35">
      <c r="A319" t="s">
        <v>56</v>
      </c>
      <c r="B319" t="s">
        <v>57</v>
      </c>
      <c r="C319" t="s">
        <v>381</v>
      </c>
      <c r="D319" t="s">
        <v>59</v>
      </c>
      <c r="E319">
        <v>1</v>
      </c>
      <c r="G319" t="s">
        <v>60</v>
      </c>
      <c r="I319" t="s">
        <v>61</v>
      </c>
      <c r="Z319" t="str">
        <f>IFERROR(MID(AA319,FIND("-",H319,1)+1,20),_xlfn.IFNA(VLOOKUP(F319&amp;"-"&amp;AA319,Ref_Kontak!$A:$E,4,FALSE),Ref_Kontak!$H$2))</f>
        <v>628999007703</v>
      </c>
      <c r="AA319" t="str">
        <f t="shared" si="24"/>
        <v/>
      </c>
      <c r="AB319" t="str">
        <f t="shared" si="25"/>
        <v/>
      </c>
      <c r="AC319" t="str">
        <f t="shared" si="26"/>
        <v>628999007703</v>
      </c>
      <c r="AD319" t="str">
        <f t="shared" si="28"/>
        <v>Halo+,+Visual+AI+5S+menditeksi+Violation%3A+GUDANGEXP1-LINE+1</v>
      </c>
      <c r="AE319" t="str">
        <f t="shared" si="27"/>
        <v>https://web.whatsapp.com/send/?phone=628999007703&amp;text=Halo+,+Visual+AI+5S+menditeksi+Violation%3A+GUDANGEXP1-LINE+1&amp;type=phone_number&amp;app_absent=0</v>
      </c>
      <c r="AF319" t="b">
        <f>IF(ISNA(VLOOKUP(D319&amp;"-"&amp;AB319, Ref_Kontak!$A:$E, 4, FALSE)), FALSE, TRUE)</f>
        <v>0</v>
      </c>
      <c r="AG319" t="str">
        <f>_xlfn.IFNA(VLOOKUP(Z319,Ref_Kontak!H:H,1,FALSE),"FALSE")</f>
        <v>628999007703</v>
      </c>
      <c r="AH319" t="str">
        <f t="shared" si="29"/>
        <v>GUDANGEXP1-LINE 1</v>
      </c>
      <c r="AI319">
        <f>COUNTIF($AH$1:AH319,AH319)</f>
        <v>318</v>
      </c>
    </row>
    <row r="320" spans="1:35">
      <c r="A320" t="s">
        <v>56</v>
      </c>
      <c r="B320" t="s">
        <v>57</v>
      </c>
      <c r="C320" t="s">
        <v>382</v>
      </c>
      <c r="D320" t="s">
        <v>59</v>
      </c>
      <c r="E320">
        <v>1</v>
      </c>
      <c r="G320" t="s">
        <v>60</v>
      </c>
      <c r="I320" t="s">
        <v>61</v>
      </c>
      <c r="Z320" t="str">
        <f>IFERROR(MID(AA320,FIND("-",H320,1)+1,20),_xlfn.IFNA(VLOOKUP(F320&amp;"-"&amp;AA320,Ref_Kontak!$A:$E,4,FALSE),Ref_Kontak!$H$2))</f>
        <v>628999007703</v>
      </c>
      <c r="AA320" t="str">
        <f t="shared" si="24"/>
        <v/>
      </c>
      <c r="AB320" t="str">
        <f t="shared" si="25"/>
        <v/>
      </c>
      <c r="AC320" t="str">
        <f t="shared" si="26"/>
        <v>628999007703</v>
      </c>
      <c r="AD320" t="str">
        <f t="shared" si="28"/>
        <v>Halo+,+Visual+AI+5S+menditeksi+Violation%3A+GUDANGEXP1-LINE+1</v>
      </c>
      <c r="AE320" t="str">
        <f t="shared" si="27"/>
        <v>https://web.whatsapp.com/send/?phone=628999007703&amp;text=Halo+,+Visual+AI+5S+menditeksi+Violation%3A+GUDANGEXP1-LINE+1&amp;type=phone_number&amp;app_absent=0</v>
      </c>
      <c r="AF320" t="b">
        <f>IF(ISNA(VLOOKUP(D320&amp;"-"&amp;AB320, Ref_Kontak!$A:$E, 4, FALSE)), FALSE, TRUE)</f>
        <v>0</v>
      </c>
      <c r="AG320" t="str">
        <f>_xlfn.IFNA(VLOOKUP(Z320,Ref_Kontak!H:H,1,FALSE),"FALSE")</f>
        <v>628999007703</v>
      </c>
      <c r="AH320" t="str">
        <f t="shared" si="29"/>
        <v>GUDANGEXP1-LINE 1</v>
      </c>
      <c r="AI320">
        <f>COUNTIF($AH$1:AH320,AH320)</f>
        <v>319</v>
      </c>
    </row>
    <row r="321" spans="1:35">
      <c r="A321" t="s">
        <v>56</v>
      </c>
      <c r="B321" t="s">
        <v>57</v>
      </c>
      <c r="C321" t="s">
        <v>383</v>
      </c>
      <c r="D321" t="s">
        <v>59</v>
      </c>
      <c r="E321">
        <v>1</v>
      </c>
      <c r="G321" t="s">
        <v>60</v>
      </c>
      <c r="I321" t="s">
        <v>61</v>
      </c>
      <c r="Z321" t="str">
        <f>IFERROR(MID(AA321,FIND("-",H321,1)+1,20),_xlfn.IFNA(VLOOKUP(F321&amp;"-"&amp;AA321,Ref_Kontak!$A:$E,4,FALSE),Ref_Kontak!$H$2))</f>
        <v>628999007703</v>
      </c>
      <c r="AA321" t="str">
        <f t="shared" si="24"/>
        <v/>
      </c>
      <c r="AB321" t="str">
        <f t="shared" si="25"/>
        <v/>
      </c>
      <c r="AC321" t="str">
        <f t="shared" si="26"/>
        <v>628999007703</v>
      </c>
      <c r="AD321" t="str">
        <f t="shared" si="28"/>
        <v>Halo+,+Visual+AI+5S+menditeksi+Violation%3A+GUDANGEXP1-LINE+1</v>
      </c>
      <c r="AE321" t="str">
        <f t="shared" si="27"/>
        <v>https://web.whatsapp.com/send/?phone=628999007703&amp;text=Halo+,+Visual+AI+5S+menditeksi+Violation%3A+GUDANGEXP1-LINE+1&amp;type=phone_number&amp;app_absent=0</v>
      </c>
      <c r="AF321" t="b">
        <f>IF(ISNA(VLOOKUP(D321&amp;"-"&amp;AB321, Ref_Kontak!$A:$E, 4, FALSE)), FALSE, TRUE)</f>
        <v>0</v>
      </c>
      <c r="AG321" t="str">
        <f>_xlfn.IFNA(VLOOKUP(Z321,Ref_Kontak!H:H,1,FALSE),"FALSE")</f>
        <v>628999007703</v>
      </c>
      <c r="AH321" t="str">
        <f t="shared" si="29"/>
        <v>GUDANGEXP1-LINE 1</v>
      </c>
      <c r="AI321">
        <f>COUNTIF($AH$1:AH321,AH321)</f>
        <v>320</v>
      </c>
    </row>
    <row r="322" spans="1:35">
      <c r="A322" t="s">
        <v>56</v>
      </c>
      <c r="B322" t="s">
        <v>57</v>
      </c>
      <c r="C322" t="s">
        <v>384</v>
      </c>
      <c r="D322" t="s">
        <v>59</v>
      </c>
      <c r="E322">
        <v>1</v>
      </c>
      <c r="G322" t="s">
        <v>60</v>
      </c>
      <c r="I322" t="s">
        <v>61</v>
      </c>
      <c r="Z322" t="str">
        <f>IFERROR(MID(AA322,FIND("-",H322,1)+1,20),_xlfn.IFNA(VLOOKUP(F322&amp;"-"&amp;AA322,Ref_Kontak!$A:$E,4,FALSE),Ref_Kontak!$H$2))</f>
        <v>628999007703</v>
      </c>
      <c r="AA322" t="str">
        <f t="shared" ref="AA322:AA385" si="30">CLEAN(SUBSTITUTE(H322," ",""))</f>
        <v/>
      </c>
      <c r="AB322" t="str">
        <f t="shared" ref="AB322:AB385" si="31">IFERROR(LEFT(AA322,FIND("-",H322,1)-1),CLEAN(SUBSTITUTE(SUBSTITUTE(H322," ",""),"-","")))</f>
        <v/>
      </c>
      <c r="AC322" t="str">
        <f t="shared" ref="AC322:AC385" si="32">IF(LEFT(Z322,1)="0","62"&amp; MID(Z322,2,999),Z322)</f>
        <v>628999007703</v>
      </c>
      <c r="AD322" t="str">
        <f t="shared" si="28"/>
        <v>Halo+,+Visual+AI+5S+menditeksi+Violation%3A+GUDANGEXP1-LINE+1</v>
      </c>
      <c r="AE322" t="str">
        <f t="shared" ref="AE322:AE385" si="33">"https://web.whatsapp.com/send/?phone="&amp;AC322&amp;"&amp;text="&amp;AD322&amp;"&amp;type=phone_number&amp;app_absent=0"</f>
        <v>https://web.whatsapp.com/send/?phone=628999007703&amp;text=Halo+,+Visual+AI+5S+menditeksi+Violation%3A+GUDANGEXP1-LINE+1&amp;type=phone_number&amp;app_absent=0</v>
      </c>
      <c r="AF322" t="b">
        <f>IF(ISNA(VLOOKUP(D322&amp;"-"&amp;AB322, Ref_Kontak!$A:$E, 4, FALSE)), FALSE, TRUE)</f>
        <v>0</v>
      </c>
      <c r="AG322" t="str">
        <f>_xlfn.IFNA(VLOOKUP(Z322,Ref_Kontak!H:H,1,FALSE),"FALSE")</f>
        <v>628999007703</v>
      </c>
      <c r="AH322" t="str">
        <f t="shared" si="29"/>
        <v>GUDANGEXP1-LINE 1</v>
      </c>
      <c r="AI322">
        <f>COUNTIF($AH$1:AH322,AH322)</f>
        <v>321</v>
      </c>
    </row>
    <row r="323" spans="1:35">
      <c r="A323" t="s">
        <v>56</v>
      </c>
      <c r="B323" t="s">
        <v>57</v>
      </c>
      <c r="C323" t="s">
        <v>385</v>
      </c>
      <c r="D323" t="s">
        <v>59</v>
      </c>
      <c r="E323">
        <v>1</v>
      </c>
      <c r="G323" t="s">
        <v>60</v>
      </c>
      <c r="I323" t="s">
        <v>61</v>
      </c>
      <c r="Z323" t="str">
        <f>IFERROR(MID(AA323,FIND("-",H323,1)+1,20),_xlfn.IFNA(VLOOKUP(F323&amp;"-"&amp;AA323,Ref_Kontak!$A:$E,4,FALSE),Ref_Kontak!$H$2))</f>
        <v>628999007703</v>
      </c>
      <c r="AA323" t="str">
        <f t="shared" si="30"/>
        <v/>
      </c>
      <c r="AB323" t="str">
        <f t="shared" si="31"/>
        <v/>
      </c>
      <c r="AC323" t="str">
        <f t="shared" si="32"/>
        <v>628999007703</v>
      </c>
      <c r="AD323" t="str">
        <f t="shared" ref="AD323:AD386" si="34">"Halo+"&amp;AB323&amp;","&amp;"+Visual+AI+5S+menditeksi+Violation%3A+"&amp;SUBSTITUTE(AH323," ","+")</f>
        <v>Halo+,+Visual+AI+5S+menditeksi+Violation%3A+GUDANGEXP1-LINE+1</v>
      </c>
      <c r="AE323" t="str">
        <f t="shared" si="33"/>
        <v>https://web.whatsapp.com/send/?phone=628999007703&amp;text=Halo+,+Visual+AI+5S+menditeksi+Violation%3A+GUDANGEXP1-LINE+1&amp;type=phone_number&amp;app_absent=0</v>
      </c>
      <c r="AF323" t="b">
        <f>IF(ISNA(VLOOKUP(D323&amp;"-"&amp;AB323, Ref_Kontak!$A:$E, 4, FALSE)), FALSE, TRUE)</f>
        <v>0</v>
      </c>
      <c r="AG323" t="str">
        <f>_xlfn.IFNA(VLOOKUP(Z323,Ref_Kontak!H:H,1,FALSE),"FALSE")</f>
        <v>628999007703</v>
      </c>
      <c r="AH323" t="str">
        <f t="shared" ref="AH323:AH386" si="35">G323&amp;"-"&amp;D323</f>
        <v>GUDANGEXP1-LINE 1</v>
      </c>
      <c r="AI323">
        <f>COUNTIF($AH$1:AH323,AH323)</f>
        <v>322</v>
      </c>
    </row>
    <row r="324" spans="1:35">
      <c r="A324" t="s">
        <v>56</v>
      </c>
      <c r="B324" t="s">
        <v>57</v>
      </c>
      <c r="C324" t="s">
        <v>386</v>
      </c>
      <c r="D324" t="s">
        <v>59</v>
      </c>
      <c r="E324">
        <v>1</v>
      </c>
      <c r="G324" t="s">
        <v>60</v>
      </c>
      <c r="I324" t="s">
        <v>61</v>
      </c>
      <c r="Z324" t="str">
        <f>IFERROR(MID(AA324,FIND("-",H324,1)+1,20),_xlfn.IFNA(VLOOKUP(F324&amp;"-"&amp;AA324,Ref_Kontak!$A:$E,4,FALSE),Ref_Kontak!$H$2))</f>
        <v>628999007703</v>
      </c>
      <c r="AA324" t="str">
        <f t="shared" si="30"/>
        <v/>
      </c>
      <c r="AB324" t="str">
        <f t="shared" si="31"/>
        <v/>
      </c>
      <c r="AC324" t="str">
        <f t="shared" si="32"/>
        <v>628999007703</v>
      </c>
      <c r="AD324" t="str">
        <f t="shared" si="34"/>
        <v>Halo+,+Visual+AI+5S+menditeksi+Violation%3A+GUDANGEXP1-LINE+1</v>
      </c>
      <c r="AE324" t="str">
        <f t="shared" si="33"/>
        <v>https://web.whatsapp.com/send/?phone=628999007703&amp;text=Halo+,+Visual+AI+5S+menditeksi+Violation%3A+GUDANGEXP1-LINE+1&amp;type=phone_number&amp;app_absent=0</v>
      </c>
      <c r="AF324" t="b">
        <f>IF(ISNA(VLOOKUP(D324&amp;"-"&amp;AB324, Ref_Kontak!$A:$E, 4, FALSE)), FALSE, TRUE)</f>
        <v>0</v>
      </c>
      <c r="AG324" t="str">
        <f>_xlfn.IFNA(VLOOKUP(Z324,Ref_Kontak!H:H,1,FALSE),"FALSE")</f>
        <v>628999007703</v>
      </c>
      <c r="AH324" t="str">
        <f t="shared" si="35"/>
        <v>GUDANGEXP1-LINE 1</v>
      </c>
      <c r="AI324">
        <f>COUNTIF($AH$1:AH324,AH324)</f>
        <v>323</v>
      </c>
    </row>
    <row r="325" spans="1:35">
      <c r="A325" t="s">
        <v>56</v>
      </c>
      <c r="B325" t="s">
        <v>57</v>
      </c>
      <c r="C325" t="s">
        <v>387</v>
      </c>
      <c r="D325" t="s">
        <v>59</v>
      </c>
      <c r="E325">
        <v>1</v>
      </c>
      <c r="G325" t="s">
        <v>60</v>
      </c>
      <c r="I325" t="s">
        <v>61</v>
      </c>
      <c r="Z325" t="str">
        <f>IFERROR(MID(AA325,FIND("-",H325,1)+1,20),_xlfn.IFNA(VLOOKUP(F325&amp;"-"&amp;AA325,Ref_Kontak!$A:$E,4,FALSE),Ref_Kontak!$H$2))</f>
        <v>628999007703</v>
      </c>
      <c r="AA325" t="str">
        <f t="shared" si="30"/>
        <v/>
      </c>
      <c r="AB325" t="str">
        <f t="shared" si="31"/>
        <v/>
      </c>
      <c r="AC325" t="str">
        <f t="shared" si="32"/>
        <v>628999007703</v>
      </c>
      <c r="AD325" t="str">
        <f t="shared" si="34"/>
        <v>Halo+,+Visual+AI+5S+menditeksi+Violation%3A+GUDANGEXP1-LINE+1</v>
      </c>
      <c r="AE325" t="str">
        <f t="shared" si="33"/>
        <v>https://web.whatsapp.com/send/?phone=628999007703&amp;text=Halo+,+Visual+AI+5S+menditeksi+Violation%3A+GUDANGEXP1-LINE+1&amp;type=phone_number&amp;app_absent=0</v>
      </c>
      <c r="AF325" t="b">
        <f>IF(ISNA(VLOOKUP(D325&amp;"-"&amp;AB325, Ref_Kontak!$A:$E, 4, FALSE)), FALSE, TRUE)</f>
        <v>0</v>
      </c>
      <c r="AG325" t="str">
        <f>_xlfn.IFNA(VLOOKUP(Z325,Ref_Kontak!H:H,1,FALSE),"FALSE")</f>
        <v>628999007703</v>
      </c>
      <c r="AH325" t="str">
        <f t="shared" si="35"/>
        <v>GUDANGEXP1-LINE 1</v>
      </c>
      <c r="AI325">
        <f>COUNTIF($AH$1:AH325,AH325)</f>
        <v>324</v>
      </c>
    </row>
    <row r="326" spans="1:35">
      <c r="A326" t="s">
        <v>56</v>
      </c>
      <c r="B326" t="s">
        <v>57</v>
      </c>
      <c r="C326" t="s">
        <v>388</v>
      </c>
      <c r="D326" t="s">
        <v>59</v>
      </c>
      <c r="E326">
        <v>1</v>
      </c>
      <c r="G326" t="s">
        <v>60</v>
      </c>
      <c r="I326" t="s">
        <v>61</v>
      </c>
      <c r="Z326" t="str">
        <f>IFERROR(MID(AA326,FIND("-",H326,1)+1,20),_xlfn.IFNA(VLOOKUP(F326&amp;"-"&amp;AA326,Ref_Kontak!$A:$E,4,FALSE),Ref_Kontak!$H$2))</f>
        <v>628999007703</v>
      </c>
      <c r="AA326" t="str">
        <f t="shared" si="30"/>
        <v/>
      </c>
      <c r="AB326" t="str">
        <f t="shared" si="31"/>
        <v/>
      </c>
      <c r="AC326" t="str">
        <f t="shared" si="32"/>
        <v>628999007703</v>
      </c>
      <c r="AD326" t="str">
        <f t="shared" si="34"/>
        <v>Halo+,+Visual+AI+5S+menditeksi+Violation%3A+GUDANGEXP1-LINE+1</v>
      </c>
      <c r="AE326" t="str">
        <f t="shared" si="33"/>
        <v>https://web.whatsapp.com/send/?phone=628999007703&amp;text=Halo+,+Visual+AI+5S+menditeksi+Violation%3A+GUDANGEXP1-LINE+1&amp;type=phone_number&amp;app_absent=0</v>
      </c>
      <c r="AF326" t="b">
        <f>IF(ISNA(VLOOKUP(D326&amp;"-"&amp;AB326, Ref_Kontak!$A:$E, 4, FALSE)), FALSE, TRUE)</f>
        <v>0</v>
      </c>
      <c r="AG326" t="str">
        <f>_xlfn.IFNA(VLOOKUP(Z326,Ref_Kontak!H:H,1,FALSE),"FALSE")</f>
        <v>628999007703</v>
      </c>
      <c r="AH326" t="str">
        <f t="shared" si="35"/>
        <v>GUDANGEXP1-LINE 1</v>
      </c>
      <c r="AI326">
        <f>COUNTIF($AH$1:AH326,AH326)</f>
        <v>325</v>
      </c>
    </row>
    <row r="327" spans="1:35">
      <c r="A327" t="s">
        <v>56</v>
      </c>
      <c r="B327" t="s">
        <v>57</v>
      </c>
      <c r="C327" t="s">
        <v>389</v>
      </c>
      <c r="D327" t="s">
        <v>59</v>
      </c>
      <c r="E327">
        <v>1</v>
      </c>
      <c r="G327" t="s">
        <v>60</v>
      </c>
      <c r="I327" t="s">
        <v>61</v>
      </c>
      <c r="Z327" t="str">
        <f>IFERROR(MID(AA327,FIND("-",H327,1)+1,20),_xlfn.IFNA(VLOOKUP(F327&amp;"-"&amp;AA327,Ref_Kontak!$A:$E,4,FALSE),Ref_Kontak!$H$2))</f>
        <v>628999007703</v>
      </c>
      <c r="AA327" t="str">
        <f t="shared" si="30"/>
        <v/>
      </c>
      <c r="AB327" t="str">
        <f t="shared" si="31"/>
        <v/>
      </c>
      <c r="AC327" t="str">
        <f t="shared" si="32"/>
        <v>628999007703</v>
      </c>
      <c r="AD327" t="str">
        <f t="shared" si="34"/>
        <v>Halo+,+Visual+AI+5S+menditeksi+Violation%3A+GUDANGEXP1-LINE+1</v>
      </c>
      <c r="AE327" t="str">
        <f t="shared" si="33"/>
        <v>https://web.whatsapp.com/send/?phone=628999007703&amp;text=Halo+,+Visual+AI+5S+menditeksi+Violation%3A+GUDANGEXP1-LINE+1&amp;type=phone_number&amp;app_absent=0</v>
      </c>
      <c r="AF327" t="b">
        <f>IF(ISNA(VLOOKUP(D327&amp;"-"&amp;AB327, Ref_Kontak!$A:$E, 4, FALSE)), FALSE, TRUE)</f>
        <v>0</v>
      </c>
      <c r="AG327" t="str">
        <f>_xlfn.IFNA(VLOOKUP(Z327,Ref_Kontak!H:H,1,FALSE),"FALSE")</f>
        <v>628999007703</v>
      </c>
      <c r="AH327" t="str">
        <f t="shared" si="35"/>
        <v>GUDANGEXP1-LINE 1</v>
      </c>
      <c r="AI327">
        <f>COUNTIF($AH$1:AH327,AH327)</f>
        <v>326</v>
      </c>
    </row>
    <row r="328" spans="1:35">
      <c r="A328" t="s">
        <v>56</v>
      </c>
      <c r="B328" t="s">
        <v>57</v>
      </c>
      <c r="C328" t="s">
        <v>390</v>
      </c>
      <c r="D328" t="s">
        <v>59</v>
      </c>
      <c r="E328">
        <v>1</v>
      </c>
      <c r="G328" t="s">
        <v>60</v>
      </c>
      <c r="I328" t="s">
        <v>61</v>
      </c>
      <c r="Z328" t="str">
        <f>IFERROR(MID(AA328,FIND("-",H328,1)+1,20),_xlfn.IFNA(VLOOKUP(F328&amp;"-"&amp;AA328,Ref_Kontak!$A:$E,4,FALSE),Ref_Kontak!$H$2))</f>
        <v>628999007703</v>
      </c>
      <c r="AA328" t="str">
        <f t="shared" si="30"/>
        <v/>
      </c>
      <c r="AB328" t="str">
        <f t="shared" si="31"/>
        <v/>
      </c>
      <c r="AC328" t="str">
        <f t="shared" si="32"/>
        <v>628999007703</v>
      </c>
      <c r="AD328" t="str">
        <f t="shared" si="34"/>
        <v>Halo+,+Visual+AI+5S+menditeksi+Violation%3A+GUDANGEXP1-LINE+1</v>
      </c>
      <c r="AE328" t="str">
        <f t="shared" si="33"/>
        <v>https://web.whatsapp.com/send/?phone=628999007703&amp;text=Halo+,+Visual+AI+5S+menditeksi+Violation%3A+GUDANGEXP1-LINE+1&amp;type=phone_number&amp;app_absent=0</v>
      </c>
      <c r="AF328" t="b">
        <f>IF(ISNA(VLOOKUP(D328&amp;"-"&amp;AB328, Ref_Kontak!$A:$E, 4, FALSE)), FALSE, TRUE)</f>
        <v>0</v>
      </c>
      <c r="AG328" t="str">
        <f>_xlfn.IFNA(VLOOKUP(Z328,Ref_Kontak!H:H,1,FALSE),"FALSE")</f>
        <v>628999007703</v>
      </c>
      <c r="AH328" t="str">
        <f t="shared" si="35"/>
        <v>GUDANGEXP1-LINE 1</v>
      </c>
      <c r="AI328">
        <f>COUNTIF($AH$1:AH328,AH328)</f>
        <v>327</v>
      </c>
    </row>
    <row r="329" spans="1:35">
      <c r="A329" t="s">
        <v>56</v>
      </c>
      <c r="B329" t="s">
        <v>57</v>
      </c>
      <c r="C329" t="s">
        <v>391</v>
      </c>
      <c r="D329" t="s">
        <v>59</v>
      </c>
      <c r="E329">
        <v>1</v>
      </c>
      <c r="G329" t="s">
        <v>60</v>
      </c>
      <c r="I329" t="s">
        <v>61</v>
      </c>
      <c r="Z329" t="str">
        <f>IFERROR(MID(AA329,FIND("-",H329,1)+1,20),_xlfn.IFNA(VLOOKUP(F329&amp;"-"&amp;AA329,Ref_Kontak!$A:$E,4,FALSE),Ref_Kontak!$H$2))</f>
        <v>628999007703</v>
      </c>
      <c r="AA329" t="str">
        <f t="shared" si="30"/>
        <v/>
      </c>
      <c r="AB329" t="str">
        <f t="shared" si="31"/>
        <v/>
      </c>
      <c r="AC329" t="str">
        <f t="shared" si="32"/>
        <v>628999007703</v>
      </c>
      <c r="AD329" t="str">
        <f t="shared" si="34"/>
        <v>Halo+,+Visual+AI+5S+menditeksi+Violation%3A+GUDANGEXP1-LINE+1</v>
      </c>
      <c r="AE329" t="str">
        <f t="shared" si="33"/>
        <v>https://web.whatsapp.com/send/?phone=628999007703&amp;text=Halo+,+Visual+AI+5S+menditeksi+Violation%3A+GUDANGEXP1-LINE+1&amp;type=phone_number&amp;app_absent=0</v>
      </c>
      <c r="AF329" t="b">
        <f>IF(ISNA(VLOOKUP(D329&amp;"-"&amp;AB329, Ref_Kontak!$A:$E, 4, FALSE)), FALSE, TRUE)</f>
        <v>0</v>
      </c>
      <c r="AG329" t="str">
        <f>_xlfn.IFNA(VLOOKUP(Z329,Ref_Kontak!H:H,1,FALSE),"FALSE")</f>
        <v>628999007703</v>
      </c>
      <c r="AH329" t="str">
        <f t="shared" si="35"/>
        <v>GUDANGEXP1-LINE 1</v>
      </c>
      <c r="AI329">
        <f>COUNTIF($AH$1:AH329,AH329)</f>
        <v>328</v>
      </c>
    </row>
    <row r="330" spans="1:35">
      <c r="A330" t="s">
        <v>56</v>
      </c>
      <c r="B330" t="s">
        <v>57</v>
      </c>
      <c r="C330" t="s">
        <v>392</v>
      </c>
      <c r="D330" t="s">
        <v>59</v>
      </c>
      <c r="E330">
        <v>1</v>
      </c>
      <c r="G330" t="s">
        <v>60</v>
      </c>
      <c r="I330" t="s">
        <v>61</v>
      </c>
      <c r="Z330" t="str">
        <f>IFERROR(MID(AA330,FIND("-",H330,1)+1,20),_xlfn.IFNA(VLOOKUP(F330&amp;"-"&amp;AA330,Ref_Kontak!$A:$E,4,FALSE),Ref_Kontak!$H$2))</f>
        <v>628999007703</v>
      </c>
      <c r="AA330" t="str">
        <f t="shared" si="30"/>
        <v/>
      </c>
      <c r="AB330" t="str">
        <f t="shared" si="31"/>
        <v/>
      </c>
      <c r="AC330" t="str">
        <f t="shared" si="32"/>
        <v>628999007703</v>
      </c>
      <c r="AD330" t="str">
        <f t="shared" si="34"/>
        <v>Halo+,+Visual+AI+5S+menditeksi+Violation%3A+GUDANGEXP1-LINE+1</v>
      </c>
      <c r="AE330" t="str">
        <f t="shared" si="33"/>
        <v>https://web.whatsapp.com/send/?phone=628999007703&amp;text=Halo+,+Visual+AI+5S+menditeksi+Violation%3A+GUDANGEXP1-LINE+1&amp;type=phone_number&amp;app_absent=0</v>
      </c>
      <c r="AF330" t="b">
        <f>IF(ISNA(VLOOKUP(D330&amp;"-"&amp;AB330, Ref_Kontak!$A:$E, 4, FALSE)), FALSE, TRUE)</f>
        <v>0</v>
      </c>
      <c r="AG330" t="str">
        <f>_xlfn.IFNA(VLOOKUP(Z330,Ref_Kontak!H:H,1,FALSE),"FALSE")</f>
        <v>628999007703</v>
      </c>
      <c r="AH330" t="str">
        <f t="shared" si="35"/>
        <v>GUDANGEXP1-LINE 1</v>
      </c>
      <c r="AI330">
        <f>COUNTIF($AH$1:AH330,AH330)</f>
        <v>329</v>
      </c>
    </row>
    <row r="331" spans="1:35">
      <c r="A331" t="s">
        <v>56</v>
      </c>
      <c r="B331" t="s">
        <v>57</v>
      </c>
      <c r="C331" t="s">
        <v>393</v>
      </c>
      <c r="D331" t="s">
        <v>59</v>
      </c>
      <c r="E331">
        <v>1</v>
      </c>
      <c r="G331" t="s">
        <v>60</v>
      </c>
      <c r="I331" t="s">
        <v>61</v>
      </c>
      <c r="Z331" t="str">
        <f>IFERROR(MID(AA331,FIND("-",H331,1)+1,20),_xlfn.IFNA(VLOOKUP(F331&amp;"-"&amp;AA331,Ref_Kontak!$A:$E,4,FALSE),Ref_Kontak!$H$2))</f>
        <v>628999007703</v>
      </c>
      <c r="AA331" t="str">
        <f t="shared" si="30"/>
        <v/>
      </c>
      <c r="AB331" t="str">
        <f t="shared" si="31"/>
        <v/>
      </c>
      <c r="AC331" t="str">
        <f t="shared" si="32"/>
        <v>628999007703</v>
      </c>
      <c r="AD331" t="str">
        <f t="shared" si="34"/>
        <v>Halo+,+Visual+AI+5S+menditeksi+Violation%3A+GUDANGEXP1-LINE+1</v>
      </c>
      <c r="AE331" t="str">
        <f t="shared" si="33"/>
        <v>https://web.whatsapp.com/send/?phone=628999007703&amp;text=Halo+,+Visual+AI+5S+menditeksi+Violation%3A+GUDANGEXP1-LINE+1&amp;type=phone_number&amp;app_absent=0</v>
      </c>
      <c r="AF331" t="b">
        <f>IF(ISNA(VLOOKUP(D331&amp;"-"&amp;AB331, Ref_Kontak!$A:$E, 4, FALSE)), FALSE, TRUE)</f>
        <v>0</v>
      </c>
      <c r="AG331" t="str">
        <f>_xlfn.IFNA(VLOOKUP(Z331,Ref_Kontak!H:H,1,FALSE),"FALSE")</f>
        <v>628999007703</v>
      </c>
      <c r="AH331" t="str">
        <f t="shared" si="35"/>
        <v>GUDANGEXP1-LINE 1</v>
      </c>
      <c r="AI331">
        <f>COUNTIF($AH$1:AH331,AH331)</f>
        <v>330</v>
      </c>
    </row>
    <row r="332" spans="1:35">
      <c r="A332" t="s">
        <v>56</v>
      </c>
      <c r="B332" t="s">
        <v>57</v>
      </c>
      <c r="C332" t="s">
        <v>394</v>
      </c>
      <c r="D332" t="s">
        <v>59</v>
      </c>
      <c r="E332">
        <v>1</v>
      </c>
      <c r="G332" t="s">
        <v>60</v>
      </c>
      <c r="I332" t="s">
        <v>61</v>
      </c>
      <c r="Z332" t="str">
        <f>IFERROR(MID(AA332,FIND("-",H332,1)+1,20),_xlfn.IFNA(VLOOKUP(F332&amp;"-"&amp;AA332,Ref_Kontak!$A:$E,4,FALSE),Ref_Kontak!$H$2))</f>
        <v>628999007703</v>
      </c>
      <c r="AA332" t="str">
        <f t="shared" si="30"/>
        <v/>
      </c>
      <c r="AB332" t="str">
        <f t="shared" si="31"/>
        <v/>
      </c>
      <c r="AC332" t="str">
        <f t="shared" si="32"/>
        <v>628999007703</v>
      </c>
      <c r="AD332" t="str">
        <f t="shared" si="34"/>
        <v>Halo+,+Visual+AI+5S+menditeksi+Violation%3A+GUDANGEXP1-LINE+1</v>
      </c>
      <c r="AE332" t="str">
        <f t="shared" si="33"/>
        <v>https://web.whatsapp.com/send/?phone=628999007703&amp;text=Halo+,+Visual+AI+5S+menditeksi+Violation%3A+GUDANGEXP1-LINE+1&amp;type=phone_number&amp;app_absent=0</v>
      </c>
      <c r="AF332" t="b">
        <f>IF(ISNA(VLOOKUP(D332&amp;"-"&amp;AB332, Ref_Kontak!$A:$E, 4, FALSE)), FALSE, TRUE)</f>
        <v>0</v>
      </c>
      <c r="AG332" t="str">
        <f>_xlfn.IFNA(VLOOKUP(Z332,Ref_Kontak!H:H,1,FALSE),"FALSE")</f>
        <v>628999007703</v>
      </c>
      <c r="AH332" t="str">
        <f t="shared" si="35"/>
        <v>GUDANGEXP1-LINE 1</v>
      </c>
      <c r="AI332">
        <f>COUNTIF($AH$1:AH332,AH332)</f>
        <v>331</v>
      </c>
    </row>
    <row r="333" spans="1:35">
      <c r="A333" t="s">
        <v>56</v>
      </c>
      <c r="B333" t="s">
        <v>57</v>
      </c>
      <c r="C333" t="s">
        <v>395</v>
      </c>
      <c r="D333" t="s">
        <v>59</v>
      </c>
      <c r="E333">
        <v>1</v>
      </c>
      <c r="G333" t="s">
        <v>60</v>
      </c>
      <c r="I333" t="s">
        <v>61</v>
      </c>
      <c r="Z333" t="str">
        <f>IFERROR(MID(AA333,FIND("-",H333,1)+1,20),_xlfn.IFNA(VLOOKUP(F333&amp;"-"&amp;AA333,Ref_Kontak!$A:$E,4,FALSE),Ref_Kontak!$H$2))</f>
        <v>628999007703</v>
      </c>
      <c r="AA333" t="str">
        <f t="shared" si="30"/>
        <v/>
      </c>
      <c r="AB333" t="str">
        <f t="shared" si="31"/>
        <v/>
      </c>
      <c r="AC333" t="str">
        <f t="shared" si="32"/>
        <v>628999007703</v>
      </c>
      <c r="AD333" t="str">
        <f t="shared" si="34"/>
        <v>Halo+,+Visual+AI+5S+menditeksi+Violation%3A+GUDANGEXP1-LINE+1</v>
      </c>
      <c r="AE333" t="str">
        <f t="shared" si="33"/>
        <v>https://web.whatsapp.com/send/?phone=628999007703&amp;text=Halo+,+Visual+AI+5S+menditeksi+Violation%3A+GUDANGEXP1-LINE+1&amp;type=phone_number&amp;app_absent=0</v>
      </c>
      <c r="AF333" t="b">
        <f>IF(ISNA(VLOOKUP(D333&amp;"-"&amp;AB333, Ref_Kontak!$A:$E, 4, FALSE)), FALSE, TRUE)</f>
        <v>0</v>
      </c>
      <c r="AG333" t="str">
        <f>_xlfn.IFNA(VLOOKUP(Z333,Ref_Kontak!H:H,1,FALSE),"FALSE")</f>
        <v>628999007703</v>
      </c>
      <c r="AH333" t="str">
        <f t="shared" si="35"/>
        <v>GUDANGEXP1-LINE 1</v>
      </c>
      <c r="AI333">
        <f>COUNTIF($AH$1:AH333,AH333)</f>
        <v>332</v>
      </c>
    </row>
    <row r="334" spans="1:35">
      <c r="A334" t="s">
        <v>56</v>
      </c>
      <c r="B334" t="s">
        <v>57</v>
      </c>
      <c r="C334" t="s">
        <v>396</v>
      </c>
      <c r="D334" t="s">
        <v>59</v>
      </c>
      <c r="E334">
        <v>1</v>
      </c>
      <c r="G334" t="s">
        <v>60</v>
      </c>
      <c r="I334" t="s">
        <v>61</v>
      </c>
      <c r="Z334" t="str">
        <f>IFERROR(MID(AA334,FIND("-",H334,1)+1,20),_xlfn.IFNA(VLOOKUP(F334&amp;"-"&amp;AA334,Ref_Kontak!$A:$E,4,FALSE),Ref_Kontak!$H$2))</f>
        <v>628999007703</v>
      </c>
      <c r="AA334" t="str">
        <f t="shared" si="30"/>
        <v/>
      </c>
      <c r="AB334" t="str">
        <f t="shared" si="31"/>
        <v/>
      </c>
      <c r="AC334" t="str">
        <f t="shared" si="32"/>
        <v>628999007703</v>
      </c>
      <c r="AD334" t="str">
        <f t="shared" si="34"/>
        <v>Halo+,+Visual+AI+5S+menditeksi+Violation%3A+GUDANGEXP1-LINE+1</v>
      </c>
      <c r="AE334" t="str">
        <f t="shared" si="33"/>
        <v>https://web.whatsapp.com/send/?phone=628999007703&amp;text=Halo+,+Visual+AI+5S+menditeksi+Violation%3A+GUDANGEXP1-LINE+1&amp;type=phone_number&amp;app_absent=0</v>
      </c>
      <c r="AF334" t="b">
        <f>IF(ISNA(VLOOKUP(D334&amp;"-"&amp;AB334, Ref_Kontak!$A:$E, 4, FALSE)), FALSE, TRUE)</f>
        <v>0</v>
      </c>
      <c r="AG334" t="str">
        <f>_xlfn.IFNA(VLOOKUP(Z334,Ref_Kontak!H:H,1,FALSE),"FALSE")</f>
        <v>628999007703</v>
      </c>
      <c r="AH334" t="str">
        <f t="shared" si="35"/>
        <v>GUDANGEXP1-LINE 1</v>
      </c>
      <c r="AI334">
        <f>COUNTIF($AH$1:AH334,AH334)</f>
        <v>333</v>
      </c>
    </row>
    <row r="335" spans="1:35">
      <c r="A335" t="s">
        <v>56</v>
      </c>
      <c r="B335" t="s">
        <v>57</v>
      </c>
      <c r="C335" t="s">
        <v>397</v>
      </c>
      <c r="D335" t="s">
        <v>59</v>
      </c>
      <c r="E335">
        <v>1</v>
      </c>
      <c r="G335" t="s">
        <v>60</v>
      </c>
      <c r="I335" t="s">
        <v>61</v>
      </c>
      <c r="Z335" t="str">
        <f>IFERROR(MID(AA335,FIND("-",H335,1)+1,20),_xlfn.IFNA(VLOOKUP(F335&amp;"-"&amp;AA335,Ref_Kontak!$A:$E,4,FALSE),Ref_Kontak!$H$2))</f>
        <v>628999007703</v>
      </c>
      <c r="AA335" t="str">
        <f t="shared" si="30"/>
        <v/>
      </c>
      <c r="AB335" t="str">
        <f t="shared" si="31"/>
        <v/>
      </c>
      <c r="AC335" t="str">
        <f t="shared" si="32"/>
        <v>628999007703</v>
      </c>
      <c r="AD335" t="str">
        <f t="shared" si="34"/>
        <v>Halo+,+Visual+AI+5S+menditeksi+Violation%3A+GUDANGEXP1-LINE+1</v>
      </c>
      <c r="AE335" t="str">
        <f t="shared" si="33"/>
        <v>https://web.whatsapp.com/send/?phone=628999007703&amp;text=Halo+,+Visual+AI+5S+menditeksi+Violation%3A+GUDANGEXP1-LINE+1&amp;type=phone_number&amp;app_absent=0</v>
      </c>
      <c r="AF335" t="b">
        <f>IF(ISNA(VLOOKUP(D335&amp;"-"&amp;AB335, Ref_Kontak!$A:$E, 4, FALSE)), FALSE, TRUE)</f>
        <v>0</v>
      </c>
      <c r="AG335" t="str">
        <f>_xlfn.IFNA(VLOOKUP(Z335,Ref_Kontak!H:H,1,FALSE),"FALSE")</f>
        <v>628999007703</v>
      </c>
      <c r="AH335" t="str">
        <f t="shared" si="35"/>
        <v>GUDANGEXP1-LINE 1</v>
      </c>
      <c r="AI335">
        <f>COUNTIF($AH$1:AH335,AH335)</f>
        <v>334</v>
      </c>
    </row>
    <row r="336" spans="1:35">
      <c r="A336" t="s">
        <v>56</v>
      </c>
      <c r="B336" t="s">
        <v>57</v>
      </c>
      <c r="C336" t="s">
        <v>398</v>
      </c>
      <c r="D336" t="s">
        <v>59</v>
      </c>
      <c r="E336">
        <v>1</v>
      </c>
      <c r="G336" t="s">
        <v>60</v>
      </c>
      <c r="I336" t="s">
        <v>61</v>
      </c>
      <c r="Z336" t="str">
        <f>IFERROR(MID(AA336,FIND("-",H336,1)+1,20),_xlfn.IFNA(VLOOKUP(F336&amp;"-"&amp;AA336,Ref_Kontak!$A:$E,4,FALSE),Ref_Kontak!$H$2))</f>
        <v>628999007703</v>
      </c>
      <c r="AA336" t="str">
        <f t="shared" si="30"/>
        <v/>
      </c>
      <c r="AB336" t="str">
        <f t="shared" si="31"/>
        <v/>
      </c>
      <c r="AC336" t="str">
        <f t="shared" si="32"/>
        <v>628999007703</v>
      </c>
      <c r="AD336" t="str">
        <f t="shared" si="34"/>
        <v>Halo+,+Visual+AI+5S+menditeksi+Violation%3A+GUDANGEXP1-LINE+1</v>
      </c>
      <c r="AE336" t="str">
        <f t="shared" si="33"/>
        <v>https://web.whatsapp.com/send/?phone=628999007703&amp;text=Halo+,+Visual+AI+5S+menditeksi+Violation%3A+GUDANGEXP1-LINE+1&amp;type=phone_number&amp;app_absent=0</v>
      </c>
      <c r="AF336" t="b">
        <f>IF(ISNA(VLOOKUP(D336&amp;"-"&amp;AB336, Ref_Kontak!$A:$E, 4, FALSE)), FALSE, TRUE)</f>
        <v>0</v>
      </c>
      <c r="AG336" t="str">
        <f>_xlfn.IFNA(VLOOKUP(Z336,Ref_Kontak!H:H,1,FALSE),"FALSE")</f>
        <v>628999007703</v>
      </c>
      <c r="AH336" t="str">
        <f t="shared" si="35"/>
        <v>GUDANGEXP1-LINE 1</v>
      </c>
      <c r="AI336">
        <f>COUNTIF($AH$1:AH336,AH336)</f>
        <v>335</v>
      </c>
    </row>
    <row r="337" spans="1:35">
      <c r="A337" t="s">
        <v>56</v>
      </c>
      <c r="B337" t="s">
        <v>57</v>
      </c>
      <c r="C337" t="s">
        <v>399</v>
      </c>
      <c r="D337" t="s">
        <v>59</v>
      </c>
      <c r="E337">
        <v>1</v>
      </c>
      <c r="G337" t="s">
        <v>60</v>
      </c>
      <c r="I337" t="s">
        <v>61</v>
      </c>
      <c r="Z337" t="str">
        <f>IFERROR(MID(AA337,FIND("-",H337,1)+1,20),_xlfn.IFNA(VLOOKUP(F337&amp;"-"&amp;AA337,Ref_Kontak!$A:$E,4,FALSE),Ref_Kontak!$H$2))</f>
        <v>628999007703</v>
      </c>
      <c r="AA337" t="str">
        <f t="shared" si="30"/>
        <v/>
      </c>
      <c r="AB337" t="str">
        <f t="shared" si="31"/>
        <v/>
      </c>
      <c r="AC337" t="str">
        <f t="shared" si="32"/>
        <v>628999007703</v>
      </c>
      <c r="AD337" t="str">
        <f t="shared" si="34"/>
        <v>Halo+,+Visual+AI+5S+menditeksi+Violation%3A+GUDANGEXP1-LINE+1</v>
      </c>
      <c r="AE337" t="str">
        <f t="shared" si="33"/>
        <v>https://web.whatsapp.com/send/?phone=628999007703&amp;text=Halo+,+Visual+AI+5S+menditeksi+Violation%3A+GUDANGEXP1-LINE+1&amp;type=phone_number&amp;app_absent=0</v>
      </c>
      <c r="AF337" t="b">
        <f>IF(ISNA(VLOOKUP(D337&amp;"-"&amp;AB337, Ref_Kontak!$A:$E, 4, FALSE)), FALSE, TRUE)</f>
        <v>0</v>
      </c>
      <c r="AG337" t="str">
        <f>_xlfn.IFNA(VLOOKUP(Z337,Ref_Kontak!H:H,1,FALSE),"FALSE")</f>
        <v>628999007703</v>
      </c>
      <c r="AH337" t="str">
        <f t="shared" si="35"/>
        <v>GUDANGEXP1-LINE 1</v>
      </c>
      <c r="AI337">
        <f>COUNTIF($AH$1:AH337,AH337)</f>
        <v>336</v>
      </c>
    </row>
    <row r="338" spans="1:35">
      <c r="A338" t="s">
        <v>56</v>
      </c>
      <c r="B338" t="s">
        <v>57</v>
      </c>
      <c r="C338" t="s">
        <v>400</v>
      </c>
      <c r="D338" t="s">
        <v>59</v>
      </c>
      <c r="E338">
        <v>1</v>
      </c>
      <c r="G338" t="s">
        <v>60</v>
      </c>
      <c r="I338" t="s">
        <v>61</v>
      </c>
      <c r="Z338" t="str">
        <f>IFERROR(MID(AA338,FIND("-",H338,1)+1,20),_xlfn.IFNA(VLOOKUP(F338&amp;"-"&amp;AA338,Ref_Kontak!$A:$E,4,FALSE),Ref_Kontak!$H$2))</f>
        <v>628999007703</v>
      </c>
      <c r="AA338" t="str">
        <f t="shared" si="30"/>
        <v/>
      </c>
      <c r="AB338" t="str">
        <f t="shared" si="31"/>
        <v/>
      </c>
      <c r="AC338" t="str">
        <f t="shared" si="32"/>
        <v>628999007703</v>
      </c>
      <c r="AD338" t="str">
        <f t="shared" si="34"/>
        <v>Halo+,+Visual+AI+5S+menditeksi+Violation%3A+GUDANGEXP1-LINE+1</v>
      </c>
      <c r="AE338" t="str">
        <f t="shared" si="33"/>
        <v>https://web.whatsapp.com/send/?phone=628999007703&amp;text=Halo+,+Visual+AI+5S+menditeksi+Violation%3A+GUDANGEXP1-LINE+1&amp;type=phone_number&amp;app_absent=0</v>
      </c>
      <c r="AF338" t="b">
        <f>IF(ISNA(VLOOKUP(D338&amp;"-"&amp;AB338, Ref_Kontak!$A:$E, 4, FALSE)), FALSE, TRUE)</f>
        <v>0</v>
      </c>
      <c r="AG338" t="str">
        <f>_xlfn.IFNA(VLOOKUP(Z338,Ref_Kontak!H:H,1,FALSE),"FALSE")</f>
        <v>628999007703</v>
      </c>
      <c r="AH338" t="str">
        <f t="shared" si="35"/>
        <v>GUDANGEXP1-LINE 1</v>
      </c>
      <c r="AI338">
        <f>COUNTIF($AH$1:AH338,AH338)</f>
        <v>337</v>
      </c>
    </row>
    <row r="339" spans="1:35">
      <c r="A339" t="s">
        <v>56</v>
      </c>
      <c r="B339" t="s">
        <v>57</v>
      </c>
      <c r="C339" t="s">
        <v>401</v>
      </c>
      <c r="D339" t="s">
        <v>59</v>
      </c>
      <c r="E339">
        <v>1</v>
      </c>
      <c r="G339" t="s">
        <v>60</v>
      </c>
      <c r="I339" t="s">
        <v>61</v>
      </c>
      <c r="Z339" t="str">
        <f>IFERROR(MID(AA339,FIND("-",H339,1)+1,20),_xlfn.IFNA(VLOOKUP(F339&amp;"-"&amp;AA339,Ref_Kontak!$A:$E,4,FALSE),Ref_Kontak!$H$2))</f>
        <v>628999007703</v>
      </c>
      <c r="AA339" t="str">
        <f t="shared" si="30"/>
        <v/>
      </c>
      <c r="AB339" t="str">
        <f t="shared" si="31"/>
        <v/>
      </c>
      <c r="AC339" t="str">
        <f t="shared" si="32"/>
        <v>628999007703</v>
      </c>
      <c r="AD339" t="str">
        <f t="shared" si="34"/>
        <v>Halo+,+Visual+AI+5S+menditeksi+Violation%3A+GUDANGEXP1-LINE+1</v>
      </c>
      <c r="AE339" t="str">
        <f t="shared" si="33"/>
        <v>https://web.whatsapp.com/send/?phone=628999007703&amp;text=Halo+,+Visual+AI+5S+menditeksi+Violation%3A+GUDANGEXP1-LINE+1&amp;type=phone_number&amp;app_absent=0</v>
      </c>
      <c r="AF339" t="b">
        <f>IF(ISNA(VLOOKUP(D339&amp;"-"&amp;AB339, Ref_Kontak!$A:$E, 4, FALSE)), FALSE, TRUE)</f>
        <v>0</v>
      </c>
      <c r="AG339" t="str">
        <f>_xlfn.IFNA(VLOOKUP(Z339,Ref_Kontak!H:H,1,FALSE),"FALSE")</f>
        <v>628999007703</v>
      </c>
      <c r="AH339" t="str">
        <f t="shared" si="35"/>
        <v>GUDANGEXP1-LINE 1</v>
      </c>
      <c r="AI339">
        <f>COUNTIF($AH$1:AH339,AH339)</f>
        <v>338</v>
      </c>
    </row>
    <row r="340" spans="1:35">
      <c r="A340" t="s">
        <v>56</v>
      </c>
      <c r="B340" t="s">
        <v>57</v>
      </c>
      <c r="C340" t="s">
        <v>402</v>
      </c>
      <c r="D340" t="s">
        <v>59</v>
      </c>
      <c r="E340">
        <v>1</v>
      </c>
      <c r="G340" t="s">
        <v>60</v>
      </c>
      <c r="I340" t="s">
        <v>61</v>
      </c>
      <c r="Z340" t="str">
        <f>IFERROR(MID(AA340,FIND("-",H340,1)+1,20),_xlfn.IFNA(VLOOKUP(F340&amp;"-"&amp;AA340,Ref_Kontak!$A:$E,4,FALSE),Ref_Kontak!$H$2))</f>
        <v>628999007703</v>
      </c>
      <c r="AA340" t="str">
        <f t="shared" si="30"/>
        <v/>
      </c>
      <c r="AB340" t="str">
        <f t="shared" si="31"/>
        <v/>
      </c>
      <c r="AC340" t="str">
        <f t="shared" si="32"/>
        <v>628999007703</v>
      </c>
      <c r="AD340" t="str">
        <f t="shared" si="34"/>
        <v>Halo+,+Visual+AI+5S+menditeksi+Violation%3A+GUDANGEXP1-LINE+1</v>
      </c>
      <c r="AE340" t="str">
        <f t="shared" si="33"/>
        <v>https://web.whatsapp.com/send/?phone=628999007703&amp;text=Halo+,+Visual+AI+5S+menditeksi+Violation%3A+GUDANGEXP1-LINE+1&amp;type=phone_number&amp;app_absent=0</v>
      </c>
      <c r="AF340" t="b">
        <f>IF(ISNA(VLOOKUP(D340&amp;"-"&amp;AB340, Ref_Kontak!$A:$E, 4, FALSE)), FALSE, TRUE)</f>
        <v>0</v>
      </c>
      <c r="AG340" t="str">
        <f>_xlfn.IFNA(VLOOKUP(Z340,Ref_Kontak!H:H,1,FALSE),"FALSE")</f>
        <v>628999007703</v>
      </c>
      <c r="AH340" t="str">
        <f t="shared" si="35"/>
        <v>GUDANGEXP1-LINE 1</v>
      </c>
      <c r="AI340">
        <f>COUNTIF($AH$1:AH340,AH340)</f>
        <v>339</v>
      </c>
    </row>
    <row r="341" spans="1:35">
      <c r="A341" t="s">
        <v>56</v>
      </c>
      <c r="B341" t="s">
        <v>57</v>
      </c>
      <c r="C341" t="s">
        <v>403</v>
      </c>
      <c r="D341" t="s">
        <v>59</v>
      </c>
      <c r="E341">
        <v>1</v>
      </c>
      <c r="G341" t="s">
        <v>60</v>
      </c>
      <c r="I341" t="s">
        <v>61</v>
      </c>
      <c r="Z341" t="str">
        <f>IFERROR(MID(AA341,FIND("-",H341,1)+1,20),_xlfn.IFNA(VLOOKUP(F341&amp;"-"&amp;AA341,Ref_Kontak!$A:$E,4,FALSE),Ref_Kontak!$H$2))</f>
        <v>628999007703</v>
      </c>
      <c r="AA341" t="str">
        <f t="shared" si="30"/>
        <v/>
      </c>
      <c r="AB341" t="str">
        <f t="shared" si="31"/>
        <v/>
      </c>
      <c r="AC341" t="str">
        <f t="shared" si="32"/>
        <v>628999007703</v>
      </c>
      <c r="AD341" t="str">
        <f t="shared" si="34"/>
        <v>Halo+,+Visual+AI+5S+menditeksi+Violation%3A+GUDANGEXP1-LINE+1</v>
      </c>
      <c r="AE341" t="str">
        <f t="shared" si="33"/>
        <v>https://web.whatsapp.com/send/?phone=628999007703&amp;text=Halo+,+Visual+AI+5S+menditeksi+Violation%3A+GUDANGEXP1-LINE+1&amp;type=phone_number&amp;app_absent=0</v>
      </c>
      <c r="AF341" t="b">
        <f>IF(ISNA(VLOOKUP(D341&amp;"-"&amp;AB341, Ref_Kontak!$A:$E, 4, FALSE)), FALSE, TRUE)</f>
        <v>0</v>
      </c>
      <c r="AG341" t="str">
        <f>_xlfn.IFNA(VLOOKUP(Z341,Ref_Kontak!H:H,1,FALSE),"FALSE")</f>
        <v>628999007703</v>
      </c>
      <c r="AH341" t="str">
        <f t="shared" si="35"/>
        <v>GUDANGEXP1-LINE 1</v>
      </c>
      <c r="AI341">
        <f>COUNTIF($AH$1:AH341,AH341)</f>
        <v>340</v>
      </c>
    </row>
    <row r="342" spans="1:35">
      <c r="A342" t="s">
        <v>56</v>
      </c>
      <c r="B342" t="s">
        <v>57</v>
      </c>
      <c r="C342" t="s">
        <v>404</v>
      </c>
      <c r="D342" t="s">
        <v>59</v>
      </c>
      <c r="E342">
        <v>1</v>
      </c>
      <c r="G342" t="s">
        <v>60</v>
      </c>
      <c r="I342" t="s">
        <v>61</v>
      </c>
      <c r="Z342" t="str">
        <f>IFERROR(MID(AA342,FIND("-",H342,1)+1,20),_xlfn.IFNA(VLOOKUP(F342&amp;"-"&amp;AA342,Ref_Kontak!$A:$E,4,FALSE),Ref_Kontak!$H$2))</f>
        <v>628999007703</v>
      </c>
      <c r="AA342" t="str">
        <f t="shared" si="30"/>
        <v/>
      </c>
      <c r="AB342" t="str">
        <f t="shared" si="31"/>
        <v/>
      </c>
      <c r="AC342" t="str">
        <f t="shared" si="32"/>
        <v>628999007703</v>
      </c>
      <c r="AD342" t="str">
        <f t="shared" si="34"/>
        <v>Halo+,+Visual+AI+5S+menditeksi+Violation%3A+GUDANGEXP1-LINE+1</v>
      </c>
      <c r="AE342" t="str">
        <f t="shared" si="33"/>
        <v>https://web.whatsapp.com/send/?phone=628999007703&amp;text=Halo+,+Visual+AI+5S+menditeksi+Violation%3A+GUDANGEXP1-LINE+1&amp;type=phone_number&amp;app_absent=0</v>
      </c>
      <c r="AF342" t="b">
        <f>IF(ISNA(VLOOKUP(D342&amp;"-"&amp;AB342, Ref_Kontak!$A:$E, 4, FALSE)), FALSE, TRUE)</f>
        <v>0</v>
      </c>
      <c r="AG342" t="str">
        <f>_xlfn.IFNA(VLOOKUP(Z342,Ref_Kontak!H:H,1,FALSE),"FALSE")</f>
        <v>628999007703</v>
      </c>
      <c r="AH342" t="str">
        <f t="shared" si="35"/>
        <v>GUDANGEXP1-LINE 1</v>
      </c>
      <c r="AI342">
        <f>COUNTIF($AH$1:AH342,AH342)</f>
        <v>341</v>
      </c>
    </row>
    <row r="343" spans="1:35">
      <c r="A343" t="s">
        <v>56</v>
      </c>
      <c r="B343" t="s">
        <v>57</v>
      </c>
      <c r="C343" t="s">
        <v>405</v>
      </c>
      <c r="D343" t="s">
        <v>59</v>
      </c>
      <c r="E343">
        <v>1</v>
      </c>
      <c r="G343" t="s">
        <v>60</v>
      </c>
      <c r="I343" t="s">
        <v>61</v>
      </c>
      <c r="Z343" t="str">
        <f>IFERROR(MID(AA343,FIND("-",H343,1)+1,20),_xlfn.IFNA(VLOOKUP(F343&amp;"-"&amp;AA343,Ref_Kontak!$A:$E,4,FALSE),Ref_Kontak!$H$2))</f>
        <v>628999007703</v>
      </c>
      <c r="AA343" t="str">
        <f t="shared" si="30"/>
        <v/>
      </c>
      <c r="AB343" t="str">
        <f t="shared" si="31"/>
        <v/>
      </c>
      <c r="AC343" t="str">
        <f t="shared" si="32"/>
        <v>628999007703</v>
      </c>
      <c r="AD343" t="str">
        <f t="shared" si="34"/>
        <v>Halo+,+Visual+AI+5S+menditeksi+Violation%3A+GUDANGEXP1-LINE+1</v>
      </c>
      <c r="AE343" t="str">
        <f t="shared" si="33"/>
        <v>https://web.whatsapp.com/send/?phone=628999007703&amp;text=Halo+,+Visual+AI+5S+menditeksi+Violation%3A+GUDANGEXP1-LINE+1&amp;type=phone_number&amp;app_absent=0</v>
      </c>
      <c r="AF343" t="b">
        <f>IF(ISNA(VLOOKUP(D343&amp;"-"&amp;AB343, Ref_Kontak!$A:$E, 4, FALSE)), FALSE, TRUE)</f>
        <v>0</v>
      </c>
      <c r="AG343" t="str">
        <f>_xlfn.IFNA(VLOOKUP(Z343,Ref_Kontak!H:H,1,FALSE),"FALSE")</f>
        <v>628999007703</v>
      </c>
      <c r="AH343" t="str">
        <f t="shared" si="35"/>
        <v>GUDANGEXP1-LINE 1</v>
      </c>
      <c r="AI343">
        <f>COUNTIF($AH$1:AH343,AH343)</f>
        <v>342</v>
      </c>
    </row>
    <row r="344" spans="1:35">
      <c r="A344" t="s">
        <v>56</v>
      </c>
      <c r="B344" t="s">
        <v>57</v>
      </c>
      <c r="C344" t="s">
        <v>406</v>
      </c>
      <c r="D344" t="s">
        <v>59</v>
      </c>
      <c r="E344">
        <v>1</v>
      </c>
      <c r="G344" t="s">
        <v>60</v>
      </c>
      <c r="I344" t="s">
        <v>61</v>
      </c>
      <c r="Z344" t="str">
        <f>IFERROR(MID(AA344,FIND("-",H344,1)+1,20),_xlfn.IFNA(VLOOKUP(F344&amp;"-"&amp;AA344,Ref_Kontak!$A:$E,4,FALSE),Ref_Kontak!$H$2))</f>
        <v>628999007703</v>
      </c>
      <c r="AA344" t="str">
        <f t="shared" si="30"/>
        <v/>
      </c>
      <c r="AB344" t="str">
        <f t="shared" si="31"/>
        <v/>
      </c>
      <c r="AC344" t="str">
        <f t="shared" si="32"/>
        <v>628999007703</v>
      </c>
      <c r="AD344" t="str">
        <f t="shared" si="34"/>
        <v>Halo+,+Visual+AI+5S+menditeksi+Violation%3A+GUDANGEXP1-LINE+1</v>
      </c>
      <c r="AE344" t="str">
        <f t="shared" si="33"/>
        <v>https://web.whatsapp.com/send/?phone=628999007703&amp;text=Halo+,+Visual+AI+5S+menditeksi+Violation%3A+GUDANGEXP1-LINE+1&amp;type=phone_number&amp;app_absent=0</v>
      </c>
      <c r="AF344" t="b">
        <f>IF(ISNA(VLOOKUP(D344&amp;"-"&amp;AB344, Ref_Kontak!$A:$E, 4, FALSE)), FALSE, TRUE)</f>
        <v>0</v>
      </c>
      <c r="AG344" t="str">
        <f>_xlfn.IFNA(VLOOKUP(Z344,Ref_Kontak!H:H,1,FALSE),"FALSE")</f>
        <v>628999007703</v>
      </c>
      <c r="AH344" t="str">
        <f t="shared" si="35"/>
        <v>GUDANGEXP1-LINE 1</v>
      </c>
      <c r="AI344">
        <f>COUNTIF($AH$1:AH344,AH344)</f>
        <v>343</v>
      </c>
    </row>
    <row r="345" spans="1:35">
      <c r="A345" t="s">
        <v>56</v>
      </c>
      <c r="B345" t="s">
        <v>57</v>
      </c>
      <c r="C345" t="s">
        <v>407</v>
      </c>
      <c r="D345" t="s">
        <v>59</v>
      </c>
      <c r="E345">
        <v>1</v>
      </c>
      <c r="G345" t="s">
        <v>60</v>
      </c>
      <c r="I345" t="s">
        <v>61</v>
      </c>
      <c r="Z345" t="str">
        <f>IFERROR(MID(AA345,FIND("-",H345,1)+1,20),_xlfn.IFNA(VLOOKUP(F345&amp;"-"&amp;AA345,Ref_Kontak!$A:$E,4,FALSE),Ref_Kontak!$H$2))</f>
        <v>628999007703</v>
      </c>
      <c r="AA345" t="str">
        <f t="shared" si="30"/>
        <v/>
      </c>
      <c r="AB345" t="str">
        <f t="shared" si="31"/>
        <v/>
      </c>
      <c r="AC345" t="str">
        <f t="shared" si="32"/>
        <v>628999007703</v>
      </c>
      <c r="AD345" t="str">
        <f t="shared" si="34"/>
        <v>Halo+,+Visual+AI+5S+menditeksi+Violation%3A+GUDANGEXP1-LINE+1</v>
      </c>
      <c r="AE345" t="str">
        <f t="shared" si="33"/>
        <v>https://web.whatsapp.com/send/?phone=628999007703&amp;text=Halo+,+Visual+AI+5S+menditeksi+Violation%3A+GUDANGEXP1-LINE+1&amp;type=phone_number&amp;app_absent=0</v>
      </c>
      <c r="AF345" t="b">
        <f>IF(ISNA(VLOOKUP(D345&amp;"-"&amp;AB345, Ref_Kontak!$A:$E, 4, FALSE)), FALSE, TRUE)</f>
        <v>0</v>
      </c>
      <c r="AG345" t="str">
        <f>_xlfn.IFNA(VLOOKUP(Z345,Ref_Kontak!H:H,1,FALSE),"FALSE")</f>
        <v>628999007703</v>
      </c>
      <c r="AH345" t="str">
        <f t="shared" si="35"/>
        <v>GUDANGEXP1-LINE 1</v>
      </c>
      <c r="AI345">
        <f>COUNTIF($AH$1:AH345,AH345)</f>
        <v>344</v>
      </c>
    </row>
    <row r="346" spans="1:35">
      <c r="A346" t="s">
        <v>56</v>
      </c>
      <c r="B346" t="s">
        <v>57</v>
      </c>
      <c r="C346" t="s">
        <v>408</v>
      </c>
      <c r="D346" t="s">
        <v>59</v>
      </c>
      <c r="E346">
        <v>1</v>
      </c>
      <c r="G346" t="s">
        <v>60</v>
      </c>
      <c r="I346" t="s">
        <v>61</v>
      </c>
      <c r="Z346" t="str">
        <f>IFERROR(MID(AA346,FIND("-",H346,1)+1,20),_xlfn.IFNA(VLOOKUP(F346&amp;"-"&amp;AA346,Ref_Kontak!$A:$E,4,FALSE),Ref_Kontak!$H$2))</f>
        <v>628999007703</v>
      </c>
      <c r="AA346" t="str">
        <f t="shared" si="30"/>
        <v/>
      </c>
      <c r="AB346" t="str">
        <f t="shared" si="31"/>
        <v/>
      </c>
      <c r="AC346" t="str">
        <f t="shared" si="32"/>
        <v>628999007703</v>
      </c>
      <c r="AD346" t="str">
        <f t="shared" si="34"/>
        <v>Halo+,+Visual+AI+5S+menditeksi+Violation%3A+GUDANGEXP1-LINE+1</v>
      </c>
      <c r="AE346" t="str">
        <f t="shared" si="33"/>
        <v>https://web.whatsapp.com/send/?phone=628999007703&amp;text=Halo+,+Visual+AI+5S+menditeksi+Violation%3A+GUDANGEXP1-LINE+1&amp;type=phone_number&amp;app_absent=0</v>
      </c>
      <c r="AF346" t="b">
        <f>IF(ISNA(VLOOKUP(D346&amp;"-"&amp;AB346, Ref_Kontak!$A:$E, 4, FALSE)), FALSE, TRUE)</f>
        <v>0</v>
      </c>
      <c r="AG346" t="str">
        <f>_xlfn.IFNA(VLOOKUP(Z346,Ref_Kontak!H:H,1,FALSE),"FALSE")</f>
        <v>628999007703</v>
      </c>
      <c r="AH346" t="str">
        <f t="shared" si="35"/>
        <v>GUDANGEXP1-LINE 1</v>
      </c>
      <c r="AI346">
        <f>COUNTIF($AH$1:AH346,AH346)</f>
        <v>345</v>
      </c>
    </row>
    <row r="347" spans="1:35">
      <c r="A347" t="s">
        <v>56</v>
      </c>
      <c r="B347" t="s">
        <v>57</v>
      </c>
      <c r="C347" t="s">
        <v>409</v>
      </c>
      <c r="D347" t="s">
        <v>59</v>
      </c>
      <c r="E347">
        <v>1</v>
      </c>
      <c r="G347" t="s">
        <v>60</v>
      </c>
      <c r="I347" t="s">
        <v>61</v>
      </c>
      <c r="Z347" t="str">
        <f>IFERROR(MID(AA347,FIND("-",H347,1)+1,20),_xlfn.IFNA(VLOOKUP(F347&amp;"-"&amp;AA347,Ref_Kontak!$A:$E,4,FALSE),Ref_Kontak!$H$2))</f>
        <v>628999007703</v>
      </c>
      <c r="AA347" t="str">
        <f t="shared" si="30"/>
        <v/>
      </c>
      <c r="AB347" t="str">
        <f t="shared" si="31"/>
        <v/>
      </c>
      <c r="AC347" t="str">
        <f t="shared" si="32"/>
        <v>628999007703</v>
      </c>
      <c r="AD347" t="str">
        <f t="shared" si="34"/>
        <v>Halo+,+Visual+AI+5S+menditeksi+Violation%3A+GUDANGEXP1-LINE+1</v>
      </c>
      <c r="AE347" t="str">
        <f t="shared" si="33"/>
        <v>https://web.whatsapp.com/send/?phone=628999007703&amp;text=Halo+,+Visual+AI+5S+menditeksi+Violation%3A+GUDANGEXP1-LINE+1&amp;type=phone_number&amp;app_absent=0</v>
      </c>
      <c r="AF347" t="b">
        <f>IF(ISNA(VLOOKUP(D347&amp;"-"&amp;AB347, Ref_Kontak!$A:$E, 4, FALSE)), FALSE, TRUE)</f>
        <v>0</v>
      </c>
      <c r="AG347" t="str">
        <f>_xlfn.IFNA(VLOOKUP(Z347,Ref_Kontak!H:H,1,FALSE),"FALSE")</f>
        <v>628999007703</v>
      </c>
      <c r="AH347" t="str">
        <f t="shared" si="35"/>
        <v>GUDANGEXP1-LINE 1</v>
      </c>
      <c r="AI347">
        <f>COUNTIF($AH$1:AH347,AH347)</f>
        <v>346</v>
      </c>
    </row>
    <row r="348" spans="1:35">
      <c r="A348" t="s">
        <v>56</v>
      </c>
      <c r="B348" t="s">
        <v>57</v>
      </c>
      <c r="C348" t="s">
        <v>410</v>
      </c>
      <c r="D348" t="s">
        <v>59</v>
      </c>
      <c r="E348">
        <v>1</v>
      </c>
      <c r="G348" t="s">
        <v>60</v>
      </c>
      <c r="I348" t="s">
        <v>61</v>
      </c>
      <c r="Z348" t="str">
        <f>IFERROR(MID(AA348,FIND("-",H348,1)+1,20),_xlfn.IFNA(VLOOKUP(F348&amp;"-"&amp;AA348,Ref_Kontak!$A:$E,4,FALSE),Ref_Kontak!$H$2))</f>
        <v>628999007703</v>
      </c>
      <c r="AA348" t="str">
        <f t="shared" si="30"/>
        <v/>
      </c>
      <c r="AB348" t="str">
        <f t="shared" si="31"/>
        <v/>
      </c>
      <c r="AC348" t="str">
        <f t="shared" si="32"/>
        <v>628999007703</v>
      </c>
      <c r="AD348" t="str">
        <f t="shared" si="34"/>
        <v>Halo+,+Visual+AI+5S+menditeksi+Violation%3A+GUDANGEXP1-LINE+1</v>
      </c>
      <c r="AE348" t="str">
        <f t="shared" si="33"/>
        <v>https://web.whatsapp.com/send/?phone=628999007703&amp;text=Halo+,+Visual+AI+5S+menditeksi+Violation%3A+GUDANGEXP1-LINE+1&amp;type=phone_number&amp;app_absent=0</v>
      </c>
      <c r="AF348" t="b">
        <f>IF(ISNA(VLOOKUP(D348&amp;"-"&amp;AB348, Ref_Kontak!$A:$E, 4, FALSE)), FALSE, TRUE)</f>
        <v>0</v>
      </c>
      <c r="AG348" t="str">
        <f>_xlfn.IFNA(VLOOKUP(Z348,Ref_Kontak!H:H,1,FALSE),"FALSE")</f>
        <v>628999007703</v>
      </c>
      <c r="AH348" t="str">
        <f t="shared" si="35"/>
        <v>GUDANGEXP1-LINE 1</v>
      </c>
      <c r="AI348">
        <f>COUNTIF($AH$1:AH348,AH348)</f>
        <v>347</v>
      </c>
    </row>
    <row r="349" spans="1:35">
      <c r="A349" t="s">
        <v>56</v>
      </c>
      <c r="B349" t="s">
        <v>57</v>
      </c>
      <c r="C349" t="s">
        <v>411</v>
      </c>
      <c r="D349" t="s">
        <v>59</v>
      </c>
      <c r="E349">
        <v>1</v>
      </c>
      <c r="G349" t="s">
        <v>60</v>
      </c>
      <c r="I349" t="s">
        <v>61</v>
      </c>
      <c r="Z349" t="str">
        <f>IFERROR(MID(AA349,FIND("-",H349,1)+1,20),_xlfn.IFNA(VLOOKUP(F349&amp;"-"&amp;AA349,Ref_Kontak!$A:$E,4,FALSE),Ref_Kontak!$H$2))</f>
        <v>628999007703</v>
      </c>
      <c r="AA349" t="str">
        <f t="shared" si="30"/>
        <v/>
      </c>
      <c r="AB349" t="str">
        <f t="shared" si="31"/>
        <v/>
      </c>
      <c r="AC349" t="str">
        <f t="shared" si="32"/>
        <v>628999007703</v>
      </c>
      <c r="AD349" t="str">
        <f t="shared" si="34"/>
        <v>Halo+,+Visual+AI+5S+menditeksi+Violation%3A+GUDANGEXP1-LINE+1</v>
      </c>
      <c r="AE349" t="str">
        <f t="shared" si="33"/>
        <v>https://web.whatsapp.com/send/?phone=628999007703&amp;text=Halo+,+Visual+AI+5S+menditeksi+Violation%3A+GUDANGEXP1-LINE+1&amp;type=phone_number&amp;app_absent=0</v>
      </c>
      <c r="AF349" t="b">
        <f>IF(ISNA(VLOOKUP(D349&amp;"-"&amp;AB349, Ref_Kontak!$A:$E, 4, FALSE)), FALSE, TRUE)</f>
        <v>0</v>
      </c>
      <c r="AG349" t="str">
        <f>_xlfn.IFNA(VLOOKUP(Z349,Ref_Kontak!H:H,1,FALSE),"FALSE")</f>
        <v>628999007703</v>
      </c>
      <c r="AH349" t="str">
        <f t="shared" si="35"/>
        <v>GUDANGEXP1-LINE 1</v>
      </c>
      <c r="AI349">
        <f>COUNTIF($AH$1:AH349,AH349)</f>
        <v>348</v>
      </c>
    </row>
    <row r="350" spans="1:35">
      <c r="A350" t="s">
        <v>56</v>
      </c>
      <c r="B350" t="s">
        <v>57</v>
      </c>
      <c r="C350" t="s">
        <v>412</v>
      </c>
      <c r="D350" t="s">
        <v>59</v>
      </c>
      <c r="E350">
        <v>1</v>
      </c>
      <c r="G350" t="s">
        <v>60</v>
      </c>
      <c r="I350" t="s">
        <v>61</v>
      </c>
      <c r="Z350" t="str">
        <f>IFERROR(MID(AA350,FIND("-",H350,1)+1,20),_xlfn.IFNA(VLOOKUP(F350&amp;"-"&amp;AA350,Ref_Kontak!$A:$E,4,FALSE),Ref_Kontak!$H$2))</f>
        <v>628999007703</v>
      </c>
      <c r="AA350" t="str">
        <f t="shared" si="30"/>
        <v/>
      </c>
      <c r="AB350" t="str">
        <f t="shared" si="31"/>
        <v/>
      </c>
      <c r="AC350" t="str">
        <f t="shared" si="32"/>
        <v>628999007703</v>
      </c>
      <c r="AD350" t="str">
        <f t="shared" si="34"/>
        <v>Halo+,+Visual+AI+5S+menditeksi+Violation%3A+GUDANGEXP1-LINE+1</v>
      </c>
      <c r="AE350" t="str">
        <f t="shared" si="33"/>
        <v>https://web.whatsapp.com/send/?phone=628999007703&amp;text=Halo+,+Visual+AI+5S+menditeksi+Violation%3A+GUDANGEXP1-LINE+1&amp;type=phone_number&amp;app_absent=0</v>
      </c>
      <c r="AF350" t="b">
        <f>IF(ISNA(VLOOKUP(D350&amp;"-"&amp;AB350, Ref_Kontak!$A:$E, 4, FALSE)), FALSE, TRUE)</f>
        <v>0</v>
      </c>
      <c r="AG350" t="str">
        <f>_xlfn.IFNA(VLOOKUP(Z350,Ref_Kontak!H:H,1,FALSE),"FALSE")</f>
        <v>628999007703</v>
      </c>
      <c r="AH350" t="str">
        <f t="shared" si="35"/>
        <v>GUDANGEXP1-LINE 1</v>
      </c>
      <c r="AI350">
        <f>COUNTIF($AH$1:AH350,AH350)</f>
        <v>349</v>
      </c>
    </row>
    <row r="351" spans="1:35">
      <c r="A351" t="s">
        <v>56</v>
      </c>
      <c r="B351" t="s">
        <v>57</v>
      </c>
      <c r="C351" t="s">
        <v>413</v>
      </c>
      <c r="D351" t="s">
        <v>59</v>
      </c>
      <c r="E351">
        <v>1</v>
      </c>
      <c r="G351" t="s">
        <v>60</v>
      </c>
      <c r="I351" t="s">
        <v>61</v>
      </c>
      <c r="Z351" t="str">
        <f>IFERROR(MID(AA351,FIND("-",H351,1)+1,20),_xlfn.IFNA(VLOOKUP(F351&amp;"-"&amp;AA351,Ref_Kontak!$A:$E,4,FALSE),Ref_Kontak!$H$2))</f>
        <v>628999007703</v>
      </c>
      <c r="AA351" t="str">
        <f t="shared" si="30"/>
        <v/>
      </c>
      <c r="AB351" t="str">
        <f t="shared" si="31"/>
        <v/>
      </c>
      <c r="AC351" t="str">
        <f t="shared" si="32"/>
        <v>628999007703</v>
      </c>
      <c r="AD351" t="str">
        <f t="shared" si="34"/>
        <v>Halo+,+Visual+AI+5S+menditeksi+Violation%3A+GUDANGEXP1-LINE+1</v>
      </c>
      <c r="AE351" t="str">
        <f t="shared" si="33"/>
        <v>https://web.whatsapp.com/send/?phone=628999007703&amp;text=Halo+,+Visual+AI+5S+menditeksi+Violation%3A+GUDANGEXP1-LINE+1&amp;type=phone_number&amp;app_absent=0</v>
      </c>
      <c r="AF351" t="b">
        <f>IF(ISNA(VLOOKUP(D351&amp;"-"&amp;AB351, Ref_Kontak!$A:$E, 4, FALSE)), FALSE, TRUE)</f>
        <v>0</v>
      </c>
      <c r="AG351" t="str">
        <f>_xlfn.IFNA(VLOOKUP(Z351,Ref_Kontak!H:H,1,FALSE),"FALSE")</f>
        <v>628999007703</v>
      </c>
      <c r="AH351" t="str">
        <f t="shared" si="35"/>
        <v>GUDANGEXP1-LINE 1</v>
      </c>
      <c r="AI351">
        <f>COUNTIF($AH$1:AH351,AH351)</f>
        <v>350</v>
      </c>
    </row>
    <row r="352" spans="1:35">
      <c r="A352" t="s">
        <v>56</v>
      </c>
      <c r="B352" t="s">
        <v>57</v>
      </c>
      <c r="C352" t="s">
        <v>414</v>
      </c>
      <c r="D352" t="s">
        <v>59</v>
      </c>
      <c r="E352">
        <v>1</v>
      </c>
      <c r="G352" t="s">
        <v>60</v>
      </c>
      <c r="I352" t="s">
        <v>61</v>
      </c>
      <c r="Z352" t="str">
        <f>IFERROR(MID(AA352,FIND("-",H352,1)+1,20),_xlfn.IFNA(VLOOKUP(F352&amp;"-"&amp;AA352,Ref_Kontak!$A:$E,4,FALSE),Ref_Kontak!$H$2))</f>
        <v>628999007703</v>
      </c>
      <c r="AA352" t="str">
        <f t="shared" si="30"/>
        <v/>
      </c>
      <c r="AB352" t="str">
        <f t="shared" si="31"/>
        <v/>
      </c>
      <c r="AC352" t="str">
        <f t="shared" si="32"/>
        <v>628999007703</v>
      </c>
      <c r="AD352" t="str">
        <f t="shared" si="34"/>
        <v>Halo+,+Visual+AI+5S+menditeksi+Violation%3A+GUDANGEXP1-LINE+1</v>
      </c>
      <c r="AE352" t="str">
        <f t="shared" si="33"/>
        <v>https://web.whatsapp.com/send/?phone=628999007703&amp;text=Halo+,+Visual+AI+5S+menditeksi+Violation%3A+GUDANGEXP1-LINE+1&amp;type=phone_number&amp;app_absent=0</v>
      </c>
      <c r="AF352" t="b">
        <f>IF(ISNA(VLOOKUP(D352&amp;"-"&amp;AB352, Ref_Kontak!$A:$E, 4, FALSE)), FALSE, TRUE)</f>
        <v>0</v>
      </c>
      <c r="AG352" t="str">
        <f>_xlfn.IFNA(VLOOKUP(Z352,Ref_Kontak!H:H,1,FALSE),"FALSE")</f>
        <v>628999007703</v>
      </c>
      <c r="AH352" t="str">
        <f t="shared" si="35"/>
        <v>GUDANGEXP1-LINE 1</v>
      </c>
      <c r="AI352">
        <f>COUNTIF($AH$1:AH352,AH352)</f>
        <v>351</v>
      </c>
    </row>
    <row r="353" spans="1:35">
      <c r="A353" t="s">
        <v>56</v>
      </c>
      <c r="B353" t="s">
        <v>57</v>
      </c>
      <c r="C353" t="s">
        <v>415</v>
      </c>
      <c r="D353" t="s">
        <v>59</v>
      </c>
      <c r="E353">
        <v>1</v>
      </c>
      <c r="G353" t="s">
        <v>60</v>
      </c>
      <c r="I353" t="s">
        <v>61</v>
      </c>
      <c r="Z353" t="str">
        <f>IFERROR(MID(AA353,FIND("-",H353,1)+1,20),_xlfn.IFNA(VLOOKUP(F353&amp;"-"&amp;AA353,Ref_Kontak!$A:$E,4,FALSE),Ref_Kontak!$H$2))</f>
        <v>628999007703</v>
      </c>
      <c r="AA353" t="str">
        <f t="shared" si="30"/>
        <v/>
      </c>
      <c r="AB353" t="str">
        <f t="shared" si="31"/>
        <v/>
      </c>
      <c r="AC353" t="str">
        <f t="shared" si="32"/>
        <v>628999007703</v>
      </c>
      <c r="AD353" t="str">
        <f t="shared" si="34"/>
        <v>Halo+,+Visual+AI+5S+menditeksi+Violation%3A+GUDANGEXP1-LINE+1</v>
      </c>
      <c r="AE353" t="str">
        <f t="shared" si="33"/>
        <v>https://web.whatsapp.com/send/?phone=628999007703&amp;text=Halo+,+Visual+AI+5S+menditeksi+Violation%3A+GUDANGEXP1-LINE+1&amp;type=phone_number&amp;app_absent=0</v>
      </c>
      <c r="AF353" t="b">
        <f>IF(ISNA(VLOOKUP(D353&amp;"-"&amp;AB353, Ref_Kontak!$A:$E, 4, FALSE)), FALSE, TRUE)</f>
        <v>0</v>
      </c>
      <c r="AG353" t="str">
        <f>_xlfn.IFNA(VLOOKUP(Z353,Ref_Kontak!H:H,1,FALSE),"FALSE")</f>
        <v>628999007703</v>
      </c>
      <c r="AH353" t="str">
        <f t="shared" si="35"/>
        <v>GUDANGEXP1-LINE 1</v>
      </c>
      <c r="AI353">
        <f>COUNTIF($AH$1:AH353,AH353)</f>
        <v>352</v>
      </c>
    </row>
    <row r="354" spans="1:35">
      <c r="A354" t="s">
        <v>56</v>
      </c>
      <c r="B354" t="s">
        <v>57</v>
      </c>
      <c r="C354" t="s">
        <v>416</v>
      </c>
      <c r="D354" t="s">
        <v>59</v>
      </c>
      <c r="E354">
        <v>1</v>
      </c>
      <c r="G354" t="s">
        <v>60</v>
      </c>
      <c r="I354" t="s">
        <v>61</v>
      </c>
      <c r="Z354" t="str">
        <f>IFERROR(MID(AA354,FIND("-",H354,1)+1,20),_xlfn.IFNA(VLOOKUP(F354&amp;"-"&amp;AA354,Ref_Kontak!$A:$E,4,FALSE),Ref_Kontak!$H$2))</f>
        <v>628999007703</v>
      </c>
      <c r="AA354" t="str">
        <f t="shared" si="30"/>
        <v/>
      </c>
      <c r="AB354" t="str">
        <f t="shared" si="31"/>
        <v/>
      </c>
      <c r="AC354" t="str">
        <f t="shared" si="32"/>
        <v>628999007703</v>
      </c>
      <c r="AD354" t="str">
        <f t="shared" si="34"/>
        <v>Halo+,+Visual+AI+5S+menditeksi+Violation%3A+GUDANGEXP1-LINE+1</v>
      </c>
      <c r="AE354" t="str">
        <f t="shared" si="33"/>
        <v>https://web.whatsapp.com/send/?phone=628999007703&amp;text=Halo+,+Visual+AI+5S+menditeksi+Violation%3A+GUDANGEXP1-LINE+1&amp;type=phone_number&amp;app_absent=0</v>
      </c>
      <c r="AF354" t="b">
        <f>IF(ISNA(VLOOKUP(D354&amp;"-"&amp;AB354, Ref_Kontak!$A:$E, 4, FALSE)), FALSE, TRUE)</f>
        <v>0</v>
      </c>
      <c r="AG354" t="str">
        <f>_xlfn.IFNA(VLOOKUP(Z354,Ref_Kontak!H:H,1,FALSE),"FALSE")</f>
        <v>628999007703</v>
      </c>
      <c r="AH354" t="str">
        <f t="shared" si="35"/>
        <v>GUDANGEXP1-LINE 1</v>
      </c>
      <c r="AI354">
        <f>COUNTIF($AH$1:AH354,AH354)</f>
        <v>353</v>
      </c>
    </row>
    <row r="355" spans="1:35">
      <c r="A355" t="s">
        <v>56</v>
      </c>
      <c r="B355" t="s">
        <v>57</v>
      </c>
      <c r="C355" t="s">
        <v>417</v>
      </c>
      <c r="D355" t="s">
        <v>59</v>
      </c>
      <c r="E355">
        <v>1</v>
      </c>
      <c r="G355" t="s">
        <v>60</v>
      </c>
      <c r="I355" t="s">
        <v>61</v>
      </c>
      <c r="Z355" t="str">
        <f>IFERROR(MID(AA355,FIND("-",H355,1)+1,20),_xlfn.IFNA(VLOOKUP(F355&amp;"-"&amp;AA355,Ref_Kontak!$A:$E,4,FALSE),Ref_Kontak!$H$2))</f>
        <v>628999007703</v>
      </c>
      <c r="AA355" t="str">
        <f t="shared" si="30"/>
        <v/>
      </c>
      <c r="AB355" t="str">
        <f t="shared" si="31"/>
        <v/>
      </c>
      <c r="AC355" t="str">
        <f t="shared" si="32"/>
        <v>628999007703</v>
      </c>
      <c r="AD355" t="str">
        <f t="shared" si="34"/>
        <v>Halo+,+Visual+AI+5S+menditeksi+Violation%3A+GUDANGEXP1-LINE+1</v>
      </c>
      <c r="AE355" t="str">
        <f t="shared" si="33"/>
        <v>https://web.whatsapp.com/send/?phone=628999007703&amp;text=Halo+,+Visual+AI+5S+menditeksi+Violation%3A+GUDANGEXP1-LINE+1&amp;type=phone_number&amp;app_absent=0</v>
      </c>
      <c r="AF355" t="b">
        <f>IF(ISNA(VLOOKUP(D355&amp;"-"&amp;AB355, Ref_Kontak!$A:$E, 4, FALSE)), FALSE, TRUE)</f>
        <v>0</v>
      </c>
      <c r="AG355" t="str">
        <f>_xlfn.IFNA(VLOOKUP(Z355,Ref_Kontak!H:H,1,FALSE),"FALSE")</f>
        <v>628999007703</v>
      </c>
      <c r="AH355" t="str">
        <f t="shared" si="35"/>
        <v>GUDANGEXP1-LINE 1</v>
      </c>
      <c r="AI355">
        <f>COUNTIF($AH$1:AH355,AH355)</f>
        <v>354</v>
      </c>
    </row>
    <row r="356" spans="1:35">
      <c r="A356" t="s">
        <v>56</v>
      </c>
      <c r="B356" t="s">
        <v>57</v>
      </c>
      <c r="C356" t="s">
        <v>418</v>
      </c>
      <c r="D356" t="s">
        <v>59</v>
      </c>
      <c r="E356">
        <v>1</v>
      </c>
      <c r="G356" t="s">
        <v>60</v>
      </c>
      <c r="I356" t="s">
        <v>61</v>
      </c>
      <c r="Z356" t="str">
        <f>IFERROR(MID(AA356,FIND("-",H356,1)+1,20),_xlfn.IFNA(VLOOKUP(F356&amp;"-"&amp;AA356,Ref_Kontak!$A:$E,4,FALSE),Ref_Kontak!$H$2))</f>
        <v>628999007703</v>
      </c>
      <c r="AA356" t="str">
        <f t="shared" si="30"/>
        <v/>
      </c>
      <c r="AB356" t="str">
        <f t="shared" si="31"/>
        <v/>
      </c>
      <c r="AC356" t="str">
        <f t="shared" si="32"/>
        <v>628999007703</v>
      </c>
      <c r="AD356" t="str">
        <f t="shared" si="34"/>
        <v>Halo+,+Visual+AI+5S+menditeksi+Violation%3A+GUDANGEXP1-LINE+1</v>
      </c>
      <c r="AE356" t="str">
        <f t="shared" si="33"/>
        <v>https://web.whatsapp.com/send/?phone=628999007703&amp;text=Halo+,+Visual+AI+5S+menditeksi+Violation%3A+GUDANGEXP1-LINE+1&amp;type=phone_number&amp;app_absent=0</v>
      </c>
      <c r="AF356" t="b">
        <f>IF(ISNA(VLOOKUP(D356&amp;"-"&amp;AB356, Ref_Kontak!$A:$E, 4, FALSE)), FALSE, TRUE)</f>
        <v>0</v>
      </c>
      <c r="AG356" t="str">
        <f>_xlfn.IFNA(VLOOKUP(Z356,Ref_Kontak!H:H,1,FALSE),"FALSE")</f>
        <v>628999007703</v>
      </c>
      <c r="AH356" t="str">
        <f t="shared" si="35"/>
        <v>GUDANGEXP1-LINE 1</v>
      </c>
      <c r="AI356">
        <f>COUNTIF($AH$1:AH356,AH356)</f>
        <v>355</v>
      </c>
    </row>
    <row r="357" spans="1:35">
      <c r="A357" t="s">
        <v>56</v>
      </c>
      <c r="B357" t="s">
        <v>57</v>
      </c>
      <c r="C357" t="s">
        <v>419</v>
      </c>
      <c r="D357" t="s">
        <v>59</v>
      </c>
      <c r="E357">
        <v>1</v>
      </c>
      <c r="G357" t="s">
        <v>60</v>
      </c>
      <c r="I357" t="s">
        <v>61</v>
      </c>
      <c r="Z357" t="str">
        <f>IFERROR(MID(AA357,FIND("-",H357,1)+1,20),_xlfn.IFNA(VLOOKUP(F357&amp;"-"&amp;AA357,Ref_Kontak!$A:$E,4,FALSE),Ref_Kontak!$H$2))</f>
        <v>628999007703</v>
      </c>
      <c r="AA357" t="str">
        <f t="shared" si="30"/>
        <v/>
      </c>
      <c r="AB357" t="str">
        <f t="shared" si="31"/>
        <v/>
      </c>
      <c r="AC357" t="str">
        <f t="shared" si="32"/>
        <v>628999007703</v>
      </c>
      <c r="AD357" t="str">
        <f t="shared" si="34"/>
        <v>Halo+,+Visual+AI+5S+menditeksi+Violation%3A+GUDANGEXP1-LINE+1</v>
      </c>
      <c r="AE357" t="str">
        <f t="shared" si="33"/>
        <v>https://web.whatsapp.com/send/?phone=628999007703&amp;text=Halo+,+Visual+AI+5S+menditeksi+Violation%3A+GUDANGEXP1-LINE+1&amp;type=phone_number&amp;app_absent=0</v>
      </c>
      <c r="AF357" t="b">
        <f>IF(ISNA(VLOOKUP(D357&amp;"-"&amp;AB357, Ref_Kontak!$A:$E, 4, FALSE)), FALSE, TRUE)</f>
        <v>0</v>
      </c>
      <c r="AG357" t="str">
        <f>_xlfn.IFNA(VLOOKUP(Z357,Ref_Kontak!H:H,1,FALSE),"FALSE")</f>
        <v>628999007703</v>
      </c>
      <c r="AH357" t="str">
        <f t="shared" si="35"/>
        <v>GUDANGEXP1-LINE 1</v>
      </c>
      <c r="AI357">
        <f>COUNTIF($AH$1:AH357,AH357)</f>
        <v>356</v>
      </c>
    </row>
    <row r="358" spans="1:35">
      <c r="A358" t="s">
        <v>56</v>
      </c>
      <c r="B358" t="s">
        <v>57</v>
      </c>
      <c r="C358" t="s">
        <v>420</v>
      </c>
      <c r="D358" t="s">
        <v>59</v>
      </c>
      <c r="E358">
        <v>1</v>
      </c>
      <c r="G358" t="s">
        <v>60</v>
      </c>
      <c r="I358" t="s">
        <v>61</v>
      </c>
      <c r="Z358" t="str">
        <f>IFERROR(MID(AA358,FIND("-",H358,1)+1,20),_xlfn.IFNA(VLOOKUP(F358&amp;"-"&amp;AA358,Ref_Kontak!$A:$E,4,FALSE),Ref_Kontak!$H$2))</f>
        <v>628999007703</v>
      </c>
      <c r="AA358" t="str">
        <f t="shared" si="30"/>
        <v/>
      </c>
      <c r="AB358" t="str">
        <f t="shared" si="31"/>
        <v/>
      </c>
      <c r="AC358" t="str">
        <f t="shared" si="32"/>
        <v>628999007703</v>
      </c>
      <c r="AD358" t="str">
        <f t="shared" si="34"/>
        <v>Halo+,+Visual+AI+5S+menditeksi+Violation%3A+GUDANGEXP1-LINE+1</v>
      </c>
      <c r="AE358" t="str">
        <f t="shared" si="33"/>
        <v>https://web.whatsapp.com/send/?phone=628999007703&amp;text=Halo+,+Visual+AI+5S+menditeksi+Violation%3A+GUDANGEXP1-LINE+1&amp;type=phone_number&amp;app_absent=0</v>
      </c>
      <c r="AF358" t="b">
        <f>IF(ISNA(VLOOKUP(D358&amp;"-"&amp;AB358, Ref_Kontak!$A:$E, 4, FALSE)), FALSE, TRUE)</f>
        <v>0</v>
      </c>
      <c r="AG358" t="str">
        <f>_xlfn.IFNA(VLOOKUP(Z358,Ref_Kontak!H:H,1,FALSE),"FALSE")</f>
        <v>628999007703</v>
      </c>
      <c r="AH358" t="str">
        <f t="shared" si="35"/>
        <v>GUDANGEXP1-LINE 1</v>
      </c>
      <c r="AI358">
        <f>COUNTIF($AH$1:AH358,AH358)</f>
        <v>357</v>
      </c>
    </row>
    <row r="359" spans="1:35">
      <c r="A359" t="s">
        <v>56</v>
      </c>
      <c r="B359" t="s">
        <v>57</v>
      </c>
      <c r="C359" t="s">
        <v>421</v>
      </c>
      <c r="D359" t="s">
        <v>59</v>
      </c>
      <c r="E359">
        <v>1</v>
      </c>
      <c r="G359" t="s">
        <v>60</v>
      </c>
      <c r="I359" t="s">
        <v>61</v>
      </c>
      <c r="Z359" t="str">
        <f>IFERROR(MID(AA359,FIND("-",H359,1)+1,20),_xlfn.IFNA(VLOOKUP(F359&amp;"-"&amp;AA359,Ref_Kontak!$A:$E,4,FALSE),Ref_Kontak!$H$2))</f>
        <v>628999007703</v>
      </c>
      <c r="AA359" t="str">
        <f t="shared" si="30"/>
        <v/>
      </c>
      <c r="AB359" t="str">
        <f t="shared" si="31"/>
        <v/>
      </c>
      <c r="AC359" t="str">
        <f t="shared" si="32"/>
        <v>628999007703</v>
      </c>
      <c r="AD359" t="str">
        <f t="shared" si="34"/>
        <v>Halo+,+Visual+AI+5S+menditeksi+Violation%3A+GUDANGEXP1-LINE+1</v>
      </c>
      <c r="AE359" t="str">
        <f t="shared" si="33"/>
        <v>https://web.whatsapp.com/send/?phone=628999007703&amp;text=Halo+,+Visual+AI+5S+menditeksi+Violation%3A+GUDANGEXP1-LINE+1&amp;type=phone_number&amp;app_absent=0</v>
      </c>
      <c r="AF359" t="b">
        <f>IF(ISNA(VLOOKUP(D359&amp;"-"&amp;AB359, Ref_Kontak!$A:$E, 4, FALSE)), FALSE, TRUE)</f>
        <v>0</v>
      </c>
      <c r="AG359" t="str">
        <f>_xlfn.IFNA(VLOOKUP(Z359,Ref_Kontak!H:H,1,FALSE),"FALSE")</f>
        <v>628999007703</v>
      </c>
      <c r="AH359" t="str">
        <f t="shared" si="35"/>
        <v>GUDANGEXP1-LINE 1</v>
      </c>
      <c r="AI359">
        <f>COUNTIF($AH$1:AH359,AH359)</f>
        <v>358</v>
      </c>
    </row>
    <row r="360" spans="1:35">
      <c r="A360" t="s">
        <v>56</v>
      </c>
      <c r="B360" t="s">
        <v>57</v>
      </c>
      <c r="C360" t="s">
        <v>422</v>
      </c>
      <c r="D360" t="s">
        <v>59</v>
      </c>
      <c r="E360">
        <v>1</v>
      </c>
      <c r="G360" t="s">
        <v>60</v>
      </c>
      <c r="I360" t="s">
        <v>61</v>
      </c>
      <c r="Z360" t="str">
        <f>IFERROR(MID(AA360,FIND("-",H360,1)+1,20),_xlfn.IFNA(VLOOKUP(F360&amp;"-"&amp;AA360,Ref_Kontak!$A:$E,4,FALSE),Ref_Kontak!$H$2))</f>
        <v>628999007703</v>
      </c>
      <c r="AA360" t="str">
        <f t="shared" si="30"/>
        <v/>
      </c>
      <c r="AB360" t="str">
        <f t="shared" si="31"/>
        <v/>
      </c>
      <c r="AC360" t="str">
        <f t="shared" si="32"/>
        <v>628999007703</v>
      </c>
      <c r="AD360" t="str">
        <f t="shared" si="34"/>
        <v>Halo+,+Visual+AI+5S+menditeksi+Violation%3A+GUDANGEXP1-LINE+1</v>
      </c>
      <c r="AE360" t="str">
        <f t="shared" si="33"/>
        <v>https://web.whatsapp.com/send/?phone=628999007703&amp;text=Halo+,+Visual+AI+5S+menditeksi+Violation%3A+GUDANGEXP1-LINE+1&amp;type=phone_number&amp;app_absent=0</v>
      </c>
      <c r="AF360" t="b">
        <f>IF(ISNA(VLOOKUP(D360&amp;"-"&amp;AB360, Ref_Kontak!$A:$E, 4, FALSE)), FALSE, TRUE)</f>
        <v>0</v>
      </c>
      <c r="AG360" t="str">
        <f>_xlfn.IFNA(VLOOKUP(Z360,Ref_Kontak!H:H,1,FALSE),"FALSE")</f>
        <v>628999007703</v>
      </c>
      <c r="AH360" t="str">
        <f t="shared" si="35"/>
        <v>GUDANGEXP1-LINE 1</v>
      </c>
      <c r="AI360">
        <f>COUNTIF($AH$1:AH360,AH360)</f>
        <v>359</v>
      </c>
    </row>
    <row r="361" spans="1:35">
      <c r="A361" t="s">
        <v>56</v>
      </c>
      <c r="B361" t="s">
        <v>57</v>
      </c>
      <c r="C361" t="s">
        <v>423</v>
      </c>
      <c r="D361" t="s">
        <v>59</v>
      </c>
      <c r="E361">
        <v>1</v>
      </c>
      <c r="G361" t="s">
        <v>60</v>
      </c>
      <c r="I361" t="s">
        <v>61</v>
      </c>
      <c r="Z361" t="str">
        <f>IFERROR(MID(AA361,FIND("-",H361,1)+1,20),_xlfn.IFNA(VLOOKUP(F361&amp;"-"&amp;AA361,Ref_Kontak!$A:$E,4,FALSE),Ref_Kontak!$H$2))</f>
        <v>628999007703</v>
      </c>
      <c r="AA361" t="str">
        <f t="shared" si="30"/>
        <v/>
      </c>
      <c r="AB361" t="str">
        <f t="shared" si="31"/>
        <v/>
      </c>
      <c r="AC361" t="str">
        <f t="shared" si="32"/>
        <v>628999007703</v>
      </c>
      <c r="AD361" t="str">
        <f t="shared" si="34"/>
        <v>Halo+,+Visual+AI+5S+menditeksi+Violation%3A+GUDANGEXP1-LINE+1</v>
      </c>
      <c r="AE361" t="str">
        <f t="shared" si="33"/>
        <v>https://web.whatsapp.com/send/?phone=628999007703&amp;text=Halo+,+Visual+AI+5S+menditeksi+Violation%3A+GUDANGEXP1-LINE+1&amp;type=phone_number&amp;app_absent=0</v>
      </c>
      <c r="AF361" t="b">
        <f>IF(ISNA(VLOOKUP(D361&amp;"-"&amp;AB361, Ref_Kontak!$A:$E, 4, FALSE)), FALSE, TRUE)</f>
        <v>0</v>
      </c>
      <c r="AG361" t="str">
        <f>_xlfn.IFNA(VLOOKUP(Z361,Ref_Kontak!H:H,1,FALSE),"FALSE")</f>
        <v>628999007703</v>
      </c>
      <c r="AH361" t="str">
        <f t="shared" si="35"/>
        <v>GUDANGEXP1-LINE 1</v>
      </c>
      <c r="AI361">
        <f>COUNTIF($AH$1:AH361,AH361)</f>
        <v>360</v>
      </c>
    </row>
    <row r="362" spans="1:35">
      <c r="A362" t="s">
        <v>56</v>
      </c>
      <c r="B362" t="s">
        <v>57</v>
      </c>
      <c r="C362" t="s">
        <v>424</v>
      </c>
      <c r="D362" t="s">
        <v>59</v>
      </c>
      <c r="E362">
        <v>1</v>
      </c>
      <c r="G362" t="s">
        <v>60</v>
      </c>
      <c r="I362" t="s">
        <v>61</v>
      </c>
      <c r="Z362" t="str">
        <f>IFERROR(MID(AA362,FIND("-",H362,1)+1,20),_xlfn.IFNA(VLOOKUP(F362&amp;"-"&amp;AA362,Ref_Kontak!$A:$E,4,FALSE),Ref_Kontak!$H$2))</f>
        <v>628999007703</v>
      </c>
      <c r="AA362" t="str">
        <f t="shared" si="30"/>
        <v/>
      </c>
      <c r="AB362" t="str">
        <f t="shared" si="31"/>
        <v/>
      </c>
      <c r="AC362" t="str">
        <f t="shared" si="32"/>
        <v>628999007703</v>
      </c>
      <c r="AD362" t="str">
        <f t="shared" si="34"/>
        <v>Halo+,+Visual+AI+5S+menditeksi+Violation%3A+GUDANGEXP1-LINE+1</v>
      </c>
      <c r="AE362" t="str">
        <f t="shared" si="33"/>
        <v>https://web.whatsapp.com/send/?phone=628999007703&amp;text=Halo+,+Visual+AI+5S+menditeksi+Violation%3A+GUDANGEXP1-LINE+1&amp;type=phone_number&amp;app_absent=0</v>
      </c>
      <c r="AF362" t="b">
        <f>IF(ISNA(VLOOKUP(D362&amp;"-"&amp;AB362, Ref_Kontak!$A:$E, 4, FALSE)), FALSE, TRUE)</f>
        <v>0</v>
      </c>
      <c r="AG362" t="str">
        <f>_xlfn.IFNA(VLOOKUP(Z362,Ref_Kontak!H:H,1,FALSE),"FALSE")</f>
        <v>628999007703</v>
      </c>
      <c r="AH362" t="str">
        <f t="shared" si="35"/>
        <v>GUDANGEXP1-LINE 1</v>
      </c>
      <c r="AI362">
        <f>COUNTIF($AH$1:AH362,AH362)</f>
        <v>361</v>
      </c>
    </row>
    <row r="363" spans="1:35">
      <c r="A363" t="s">
        <v>56</v>
      </c>
      <c r="B363" t="s">
        <v>57</v>
      </c>
      <c r="C363" t="s">
        <v>425</v>
      </c>
      <c r="D363" t="s">
        <v>59</v>
      </c>
      <c r="E363">
        <v>1</v>
      </c>
      <c r="G363" t="s">
        <v>60</v>
      </c>
      <c r="I363" t="s">
        <v>61</v>
      </c>
      <c r="Z363" t="str">
        <f>IFERROR(MID(AA363,FIND("-",H363,1)+1,20),_xlfn.IFNA(VLOOKUP(F363&amp;"-"&amp;AA363,Ref_Kontak!$A:$E,4,FALSE),Ref_Kontak!$H$2))</f>
        <v>628999007703</v>
      </c>
      <c r="AA363" t="str">
        <f t="shared" si="30"/>
        <v/>
      </c>
      <c r="AB363" t="str">
        <f t="shared" si="31"/>
        <v/>
      </c>
      <c r="AC363" t="str">
        <f t="shared" si="32"/>
        <v>628999007703</v>
      </c>
      <c r="AD363" t="str">
        <f t="shared" si="34"/>
        <v>Halo+,+Visual+AI+5S+menditeksi+Violation%3A+GUDANGEXP1-LINE+1</v>
      </c>
      <c r="AE363" t="str">
        <f t="shared" si="33"/>
        <v>https://web.whatsapp.com/send/?phone=628999007703&amp;text=Halo+,+Visual+AI+5S+menditeksi+Violation%3A+GUDANGEXP1-LINE+1&amp;type=phone_number&amp;app_absent=0</v>
      </c>
      <c r="AF363" t="b">
        <f>IF(ISNA(VLOOKUP(D363&amp;"-"&amp;AB363, Ref_Kontak!$A:$E, 4, FALSE)), FALSE, TRUE)</f>
        <v>0</v>
      </c>
      <c r="AG363" t="str">
        <f>_xlfn.IFNA(VLOOKUP(Z363,Ref_Kontak!H:H,1,FALSE),"FALSE")</f>
        <v>628999007703</v>
      </c>
      <c r="AH363" t="str">
        <f t="shared" si="35"/>
        <v>GUDANGEXP1-LINE 1</v>
      </c>
      <c r="AI363">
        <f>COUNTIF($AH$1:AH363,AH363)</f>
        <v>362</v>
      </c>
    </row>
    <row r="364" spans="1:35">
      <c r="A364" t="s">
        <v>56</v>
      </c>
      <c r="B364" t="s">
        <v>57</v>
      </c>
      <c r="C364" t="s">
        <v>426</v>
      </c>
      <c r="D364" t="s">
        <v>59</v>
      </c>
      <c r="E364">
        <v>1</v>
      </c>
      <c r="G364" t="s">
        <v>60</v>
      </c>
      <c r="I364" t="s">
        <v>61</v>
      </c>
      <c r="Z364" t="str">
        <f>IFERROR(MID(AA364,FIND("-",H364,1)+1,20),_xlfn.IFNA(VLOOKUP(F364&amp;"-"&amp;AA364,Ref_Kontak!$A:$E,4,FALSE),Ref_Kontak!$H$2))</f>
        <v>628999007703</v>
      </c>
      <c r="AA364" t="str">
        <f t="shared" si="30"/>
        <v/>
      </c>
      <c r="AB364" t="str">
        <f t="shared" si="31"/>
        <v/>
      </c>
      <c r="AC364" t="str">
        <f t="shared" si="32"/>
        <v>628999007703</v>
      </c>
      <c r="AD364" t="str">
        <f t="shared" si="34"/>
        <v>Halo+,+Visual+AI+5S+menditeksi+Violation%3A+GUDANGEXP1-LINE+1</v>
      </c>
      <c r="AE364" t="str">
        <f t="shared" si="33"/>
        <v>https://web.whatsapp.com/send/?phone=628999007703&amp;text=Halo+,+Visual+AI+5S+menditeksi+Violation%3A+GUDANGEXP1-LINE+1&amp;type=phone_number&amp;app_absent=0</v>
      </c>
      <c r="AF364" t="b">
        <f>IF(ISNA(VLOOKUP(D364&amp;"-"&amp;AB364, Ref_Kontak!$A:$E, 4, FALSE)), FALSE, TRUE)</f>
        <v>0</v>
      </c>
      <c r="AG364" t="str">
        <f>_xlfn.IFNA(VLOOKUP(Z364,Ref_Kontak!H:H,1,FALSE),"FALSE")</f>
        <v>628999007703</v>
      </c>
      <c r="AH364" t="str">
        <f t="shared" si="35"/>
        <v>GUDANGEXP1-LINE 1</v>
      </c>
      <c r="AI364">
        <f>COUNTIF($AH$1:AH364,AH364)</f>
        <v>363</v>
      </c>
    </row>
    <row r="365" spans="1:35">
      <c r="A365" t="s">
        <v>56</v>
      </c>
      <c r="B365" t="s">
        <v>57</v>
      </c>
      <c r="C365" t="s">
        <v>427</v>
      </c>
      <c r="D365" t="s">
        <v>59</v>
      </c>
      <c r="E365">
        <v>1</v>
      </c>
      <c r="G365" t="s">
        <v>60</v>
      </c>
      <c r="I365" t="s">
        <v>61</v>
      </c>
      <c r="Z365" t="str">
        <f>IFERROR(MID(AA365,FIND("-",H365,1)+1,20),_xlfn.IFNA(VLOOKUP(F365&amp;"-"&amp;AA365,Ref_Kontak!$A:$E,4,FALSE),Ref_Kontak!$H$2))</f>
        <v>628999007703</v>
      </c>
      <c r="AA365" t="str">
        <f t="shared" si="30"/>
        <v/>
      </c>
      <c r="AB365" t="str">
        <f t="shared" si="31"/>
        <v/>
      </c>
      <c r="AC365" t="str">
        <f t="shared" si="32"/>
        <v>628999007703</v>
      </c>
      <c r="AD365" t="str">
        <f t="shared" si="34"/>
        <v>Halo+,+Visual+AI+5S+menditeksi+Violation%3A+GUDANGEXP1-LINE+1</v>
      </c>
      <c r="AE365" t="str">
        <f t="shared" si="33"/>
        <v>https://web.whatsapp.com/send/?phone=628999007703&amp;text=Halo+,+Visual+AI+5S+menditeksi+Violation%3A+GUDANGEXP1-LINE+1&amp;type=phone_number&amp;app_absent=0</v>
      </c>
      <c r="AF365" t="b">
        <f>IF(ISNA(VLOOKUP(D365&amp;"-"&amp;AB365, Ref_Kontak!$A:$E, 4, FALSE)), FALSE, TRUE)</f>
        <v>0</v>
      </c>
      <c r="AG365" t="str">
        <f>_xlfn.IFNA(VLOOKUP(Z365,Ref_Kontak!H:H,1,FALSE),"FALSE")</f>
        <v>628999007703</v>
      </c>
      <c r="AH365" t="str">
        <f t="shared" si="35"/>
        <v>GUDANGEXP1-LINE 1</v>
      </c>
      <c r="AI365">
        <f>COUNTIF($AH$1:AH365,AH365)</f>
        <v>364</v>
      </c>
    </row>
    <row r="366" spans="1:35">
      <c r="A366" t="s">
        <v>56</v>
      </c>
      <c r="B366" t="s">
        <v>57</v>
      </c>
      <c r="C366" t="s">
        <v>428</v>
      </c>
      <c r="D366" t="s">
        <v>59</v>
      </c>
      <c r="E366">
        <v>1</v>
      </c>
      <c r="G366" t="s">
        <v>60</v>
      </c>
      <c r="I366" t="s">
        <v>61</v>
      </c>
      <c r="Z366" t="str">
        <f>IFERROR(MID(AA366,FIND("-",H366,1)+1,20),_xlfn.IFNA(VLOOKUP(F366&amp;"-"&amp;AA366,Ref_Kontak!$A:$E,4,FALSE),Ref_Kontak!$H$2))</f>
        <v>628999007703</v>
      </c>
      <c r="AA366" t="str">
        <f t="shared" si="30"/>
        <v/>
      </c>
      <c r="AB366" t="str">
        <f t="shared" si="31"/>
        <v/>
      </c>
      <c r="AC366" t="str">
        <f t="shared" si="32"/>
        <v>628999007703</v>
      </c>
      <c r="AD366" t="str">
        <f t="shared" si="34"/>
        <v>Halo+,+Visual+AI+5S+menditeksi+Violation%3A+GUDANGEXP1-LINE+1</v>
      </c>
      <c r="AE366" t="str">
        <f t="shared" si="33"/>
        <v>https://web.whatsapp.com/send/?phone=628999007703&amp;text=Halo+,+Visual+AI+5S+menditeksi+Violation%3A+GUDANGEXP1-LINE+1&amp;type=phone_number&amp;app_absent=0</v>
      </c>
      <c r="AF366" t="b">
        <f>IF(ISNA(VLOOKUP(D366&amp;"-"&amp;AB366, Ref_Kontak!$A:$E, 4, FALSE)), FALSE, TRUE)</f>
        <v>0</v>
      </c>
      <c r="AG366" t="str">
        <f>_xlfn.IFNA(VLOOKUP(Z366,Ref_Kontak!H:H,1,FALSE),"FALSE")</f>
        <v>628999007703</v>
      </c>
      <c r="AH366" t="str">
        <f t="shared" si="35"/>
        <v>GUDANGEXP1-LINE 1</v>
      </c>
      <c r="AI366">
        <f>COUNTIF($AH$1:AH366,AH366)</f>
        <v>365</v>
      </c>
    </row>
    <row r="367" spans="1:35">
      <c r="A367" t="s">
        <v>56</v>
      </c>
      <c r="B367" t="s">
        <v>57</v>
      </c>
      <c r="C367" t="s">
        <v>429</v>
      </c>
      <c r="D367" t="s">
        <v>59</v>
      </c>
      <c r="E367">
        <v>1</v>
      </c>
      <c r="G367" t="s">
        <v>60</v>
      </c>
      <c r="I367" t="s">
        <v>61</v>
      </c>
      <c r="Z367" t="str">
        <f>IFERROR(MID(AA367,FIND("-",H367,1)+1,20),_xlfn.IFNA(VLOOKUP(F367&amp;"-"&amp;AA367,Ref_Kontak!$A:$E,4,FALSE),Ref_Kontak!$H$2))</f>
        <v>628999007703</v>
      </c>
      <c r="AA367" t="str">
        <f t="shared" si="30"/>
        <v/>
      </c>
      <c r="AB367" t="str">
        <f t="shared" si="31"/>
        <v/>
      </c>
      <c r="AC367" t="str">
        <f t="shared" si="32"/>
        <v>628999007703</v>
      </c>
      <c r="AD367" t="str">
        <f t="shared" si="34"/>
        <v>Halo+,+Visual+AI+5S+menditeksi+Violation%3A+GUDANGEXP1-LINE+1</v>
      </c>
      <c r="AE367" t="str">
        <f t="shared" si="33"/>
        <v>https://web.whatsapp.com/send/?phone=628999007703&amp;text=Halo+,+Visual+AI+5S+menditeksi+Violation%3A+GUDANGEXP1-LINE+1&amp;type=phone_number&amp;app_absent=0</v>
      </c>
      <c r="AF367" t="b">
        <f>IF(ISNA(VLOOKUP(D367&amp;"-"&amp;AB367, Ref_Kontak!$A:$E, 4, FALSE)), FALSE, TRUE)</f>
        <v>0</v>
      </c>
      <c r="AG367" t="str">
        <f>_xlfn.IFNA(VLOOKUP(Z367,Ref_Kontak!H:H,1,FALSE),"FALSE")</f>
        <v>628999007703</v>
      </c>
      <c r="AH367" t="str">
        <f t="shared" si="35"/>
        <v>GUDANGEXP1-LINE 1</v>
      </c>
      <c r="AI367">
        <f>COUNTIF($AH$1:AH367,AH367)</f>
        <v>366</v>
      </c>
    </row>
    <row r="368" spans="1:35">
      <c r="A368" t="s">
        <v>56</v>
      </c>
      <c r="B368" t="s">
        <v>57</v>
      </c>
      <c r="C368" t="s">
        <v>430</v>
      </c>
      <c r="D368" t="s">
        <v>59</v>
      </c>
      <c r="E368">
        <v>1</v>
      </c>
      <c r="G368" t="s">
        <v>60</v>
      </c>
      <c r="I368" t="s">
        <v>61</v>
      </c>
      <c r="Z368" t="str">
        <f>IFERROR(MID(AA368,FIND("-",H368,1)+1,20),_xlfn.IFNA(VLOOKUP(F368&amp;"-"&amp;AA368,Ref_Kontak!$A:$E,4,FALSE),Ref_Kontak!$H$2))</f>
        <v>628999007703</v>
      </c>
      <c r="AA368" t="str">
        <f t="shared" si="30"/>
        <v/>
      </c>
      <c r="AB368" t="str">
        <f t="shared" si="31"/>
        <v/>
      </c>
      <c r="AC368" t="str">
        <f t="shared" si="32"/>
        <v>628999007703</v>
      </c>
      <c r="AD368" t="str">
        <f t="shared" si="34"/>
        <v>Halo+,+Visual+AI+5S+menditeksi+Violation%3A+GUDANGEXP1-LINE+1</v>
      </c>
      <c r="AE368" t="str">
        <f t="shared" si="33"/>
        <v>https://web.whatsapp.com/send/?phone=628999007703&amp;text=Halo+,+Visual+AI+5S+menditeksi+Violation%3A+GUDANGEXP1-LINE+1&amp;type=phone_number&amp;app_absent=0</v>
      </c>
      <c r="AF368" t="b">
        <f>IF(ISNA(VLOOKUP(D368&amp;"-"&amp;AB368, Ref_Kontak!$A:$E, 4, FALSE)), FALSE, TRUE)</f>
        <v>0</v>
      </c>
      <c r="AG368" t="str">
        <f>_xlfn.IFNA(VLOOKUP(Z368,Ref_Kontak!H:H,1,FALSE),"FALSE")</f>
        <v>628999007703</v>
      </c>
      <c r="AH368" t="str">
        <f t="shared" si="35"/>
        <v>GUDANGEXP1-LINE 1</v>
      </c>
      <c r="AI368">
        <f>COUNTIF($AH$1:AH368,AH368)</f>
        <v>367</v>
      </c>
    </row>
    <row r="369" spans="1:35">
      <c r="A369" t="s">
        <v>56</v>
      </c>
      <c r="B369" t="s">
        <v>57</v>
      </c>
      <c r="C369" t="s">
        <v>431</v>
      </c>
      <c r="D369" t="s">
        <v>59</v>
      </c>
      <c r="E369">
        <v>1</v>
      </c>
      <c r="G369" t="s">
        <v>60</v>
      </c>
      <c r="I369" t="s">
        <v>61</v>
      </c>
      <c r="Z369" t="str">
        <f>IFERROR(MID(AA369,FIND("-",H369,1)+1,20),_xlfn.IFNA(VLOOKUP(F369&amp;"-"&amp;AA369,Ref_Kontak!$A:$E,4,FALSE),Ref_Kontak!$H$2))</f>
        <v>628999007703</v>
      </c>
      <c r="AA369" t="str">
        <f t="shared" si="30"/>
        <v/>
      </c>
      <c r="AB369" t="str">
        <f t="shared" si="31"/>
        <v/>
      </c>
      <c r="AC369" t="str">
        <f t="shared" si="32"/>
        <v>628999007703</v>
      </c>
      <c r="AD369" t="str">
        <f t="shared" si="34"/>
        <v>Halo+,+Visual+AI+5S+menditeksi+Violation%3A+GUDANGEXP1-LINE+1</v>
      </c>
      <c r="AE369" t="str">
        <f t="shared" si="33"/>
        <v>https://web.whatsapp.com/send/?phone=628999007703&amp;text=Halo+,+Visual+AI+5S+menditeksi+Violation%3A+GUDANGEXP1-LINE+1&amp;type=phone_number&amp;app_absent=0</v>
      </c>
      <c r="AF369" t="b">
        <f>IF(ISNA(VLOOKUP(D369&amp;"-"&amp;AB369, Ref_Kontak!$A:$E, 4, FALSE)), FALSE, TRUE)</f>
        <v>0</v>
      </c>
      <c r="AG369" t="str">
        <f>_xlfn.IFNA(VLOOKUP(Z369,Ref_Kontak!H:H,1,FALSE),"FALSE")</f>
        <v>628999007703</v>
      </c>
      <c r="AH369" t="str">
        <f t="shared" si="35"/>
        <v>GUDANGEXP1-LINE 1</v>
      </c>
      <c r="AI369">
        <f>COUNTIF($AH$1:AH369,AH369)</f>
        <v>368</v>
      </c>
    </row>
    <row r="370" spans="1:35">
      <c r="A370" t="s">
        <v>56</v>
      </c>
      <c r="B370" t="s">
        <v>57</v>
      </c>
      <c r="C370" t="s">
        <v>432</v>
      </c>
      <c r="D370" t="s">
        <v>59</v>
      </c>
      <c r="E370">
        <v>1</v>
      </c>
      <c r="G370" t="s">
        <v>60</v>
      </c>
      <c r="I370" t="s">
        <v>61</v>
      </c>
      <c r="Z370" t="str">
        <f>IFERROR(MID(AA370,FIND("-",H370,1)+1,20),_xlfn.IFNA(VLOOKUP(F370&amp;"-"&amp;AA370,Ref_Kontak!$A:$E,4,FALSE),Ref_Kontak!$H$2))</f>
        <v>628999007703</v>
      </c>
      <c r="AA370" t="str">
        <f t="shared" si="30"/>
        <v/>
      </c>
      <c r="AB370" t="str">
        <f t="shared" si="31"/>
        <v/>
      </c>
      <c r="AC370" t="str">
        <f t="shared" si="32"/>
        <v>628999007703</v>
      </c>
      <c r="AD370" t="str">
        <f t="shared" si="34"/>
        <v>Halo+,+Visual+AI+5S+menditeksi+Violation%3A+GUDANGEXP1-LINE+1</v>
      </c>
      <c r="AE370" t="str">
        <f t="shared" si="33"/>
        <v>https://web.whatsapp.com/send/?phone=628999007703&amp;text=Halo+,+Visual+AI+5S+menditeksi+Violation%3A+GUDANGEXP1-LINE+1&amp;type=phone_number&amp;app_absent=0</v>
      </c>
      <c r="AF370" t="b">
        <f>IF(ISNA(VLOOKUP(D370&amp;"-"&amp;AB370, Ref_Kontak!$A:$E, 4, FALSE)), FALSE, TRUE)</f>
        <v>0</v>
      </c>
      <c r="AG370" t="str">
        <f>_xlfn.IFNA(VLOOKUP(Z370,Ref_Kontak!H:H,1,FALSE),"FALSE")</f>
        <v>628999007703</v>
      </c>
      <c r="AH370" t="str">
        <f t="shared" si="35"/>
        <v>GUDANGEXP1-LINE 1</v>
      </c>
      <c r="AI370">
        <f>COUNTIF($AH$1:AH370,AH370)</f>
        <v>369</v>
      </c>
    </row>
    <row r="371" spans="1:35">
      <c r="A371" t="s">
        <v>56</v>
      </c>
      <c r="B371" t="s">
        <v>57</v>
      </c>
      <c r="C371" t="s">
        <v>433</v>
      </c>
      <c r="D371" t="s">
        <v>59</v>
      </c>
      <c r="E371">
        <v>1</v>
      </c>
      <c r="G371" t="s">
        <v>60</v>
      </c>
      <c r="I371" t="s">
        <v>61</v>
      </c>
      <c r="Z371" t="str">
        <f>IFERROR(MID(AA371,FIND("-",H371,1)+1,20),_xlfn.IFNA(VLOOKUP(F371&amp;"-"&amp;AA371,Ref_Kontak!$A:$E,4,FALSE),Ref_Kontak!$H$2))</f>
        <v>628999007703</v>
      </c>
      <c r="AA371" t="str">
        <f t="shared" si="30"/>
        <v/>
      </c>
      <c r="AB371" t="str">
        <f t="shared" si="31"/>
        <v/>
      </c>
      <c r="AC371" t="str">
        <f t="shared" si="32"/>
        <v>628999007703</v>
      </c>
      <c r="AD371" t="str">
        <f t="shared" si="34"/>
        <v>Halo+,+Visual+AI+5S+menditeksi+Violation%3A+GUDANGEXP1-LINE+1</v>
      </c>
      <c r="AE371" t="str">
        <f t="shared" si="33"/>
        <v>https://web.whatsapp.com/send/?phone=628999007703&amp;text=Halo+,+Visual+AI+5S+menditeksi+Violation%3A+GUDANGEXP1-LINE+1&amp;type=phone_number&amp;app_absent=0</v>
      </c>
      <c r="AF371" t="b">
        <f>IF(ISNA(VLOOKUP(D371&amp;"-"&amp;AB371, Ref_Kontak!$A:$E, 4, FALSE)), FALSE, TRUE)</f>
        <v>0</v>
      </c>
      <c r="AG371" t="str">
        <f>_xlfn.IFNA(VLOOKUP(Z371,Ref_Kontak!H:H,1,FALSE),"FALSE")</f>
        <v>628999007703</v>
      </c>
      <c r="AH371" t="str">
        <f t="shared" si="35"/>
        <v>GUDANGEXP1-LINE 1</v>
      </c>
      <c r="AI371">
        <f>COUNTIF($AH$1:AH371,AH371)</f>
        <v>370</v>
      </c>
    </row>
    <row r="372" spans="1:35">
      <c r="A372" t="s">
        <v>56</v>
      </c>
      <c r="B372" t="s">
        <v>57</v>
      </c>
      <c r="C372" t="s">
        <v>434</v>
      </c>
      <c r="D372" t="s">
        <v>59</v>
      </c>
      <c r="E372">
        <v>1</v>
      </c>
      <c r="G372" t="s">
        <v>60</v>
      </c>
      <c r="I372" t="s">
        <v>61</v>
      </c>
      <c r="Z372" t="str">
        <f>IFERROR(MID(AA372,FIND("-",H372,1)+1,20),_xlfn.IFNA(VLOOKUP(F372&amp;"-"&amp;AA372,Ref_Kontak!$A:$E,4,FALSE),Ref_Kontak!$H$2))</f>
        <v>628999007703</v>
      </c>
      <c r="AA372" t="str">
        <f t="shared" si="30"/>
        <v/>
      </c>
      <c r="AB372" t="str">
        <f t="shared" si="31"/>
        <v/>
      </c>
      <c r="AC372" t="str">
        <f t="shared" si="32"/>
        <v>628999007703</v>
      </c>
      <c r="AD372" t="str">
        <f t="shared" si="34"/>
        <v>Halo+,+Visual+AI+5S+menditeksi+Violation%3A+GUDANGEXP1-LINE+1</v>
      </c>
      <c r="AE372" t="str">
        <f t="shared" si="33"/>
        <v>https://web.whatsapp.com/send/?phone=628999007703&amp;text=Halo+,+Visual+AI+5S+menditeksi+Violation%3A+GUDANGEXP1-LINE+1&amp;type=phone_number&amp;app_absent=0</v>
      </c>
      <c r="AF372" t="b">
        <f>IF(ISNA(VLOOKUP(D372&amp;"-"&amp;AB372, Ref_Kontak!$A:$E, 4, FALSE)), FALSE, TRUE)</f>
        <v>0</v>
      </c>
      <c r="AG372" t="str">
        <f>_xlfn.IFNA(VLOOKUP(Z372,Ref_Kontak!H:H,1,FALSE),"FALSE")</f>
        <v>628999007703</v>
      </c>
      <c r="AH372" t="str">
        <f t="shared" si="35"/>
        <v>GUDANGEXP1-LINE 1</v>
      </c>
      <c r="AI372">
        <f>COUNTIF($AH$1:AH372,AH372)</f>
        <v>371</v>
      </c>
    </row>
    <row r="373" spans="1:35">
      <c r="A373" t="s">
        <v>56</v>
      </c>
      <c r="B373" t="s">
        <v>57</v>
      </c>
      <c r="C373" t="s">
        <v>435</v>
      </c>
      <c r="D373" t="s">
        <v>59</v>
      </c>
      <c r="E373">
        <v>1</v>
      </c>
      <c r="G373" t="s">
        <v>60</v>
      </c>
      <c r="I373" t="s">
        <v>61</v>
      </c>
      <c r="Z373" t="str">
        <f>IFERROR(MID(AA373,FIND("-",H373,1)+1,20),_xlfn.IFNA(VLOOKUP(F373&amp;"-"&amp;AA373,Ref_Kontak!$A:$E,4,FALSE),Ref_Kontak!$H$2))</f>
        <v>628999007703</v>
      </c>
      <c r="AA373" t="str">
        <f t="shared" si="30"/>
        <v/>
      </c>
      <c r="AB373" t="str">
        <f t="shared" si="31"/>
        <v/>
      </c>
      <c r="AC373" t="str">
        <f t="shared" si="32"/>
        <v>628999007703</v>
      </c>
      <c r="AD373" t="str">
        <f t="shared" si="34"/>
        <v>Halo+,+Visual+AI+5S+menditeksi+Violation%3A+GUDANGEXP1-LINE+1</v>
      </c>
      <c r="AE373" t="str">
        <f t="shared" si="33"/>
        <v>https://web.whatsapp.com/send/?phone=628999007703&amp;text=Halo+,+Visual+AI+5S+menditeksi+Violation%3A+GUDANGEXP1-LINE+1&amp;type=phone_number&amp;app_absent=0</v>
      </c>
      <c r="AF373" t="b">
        <f>IF(ISNA(VLOOKUP(D373&amp;"-"&amp;AB373, Ref_Kontak!$A:$E, 4, FALSE)), FALSE, TRUE)</f>
        <v>0</v>
      </c>
      <c r="AG373" t="str">
        <f>_xlfn.IFNA(VLOOKUP(Z373,Ref_Kontak!H:H,1,FALSE),"FALSE")</f>
        <v>628999007703</v>
      </c>
      <c r="AH373" t="str">
        <f t="shared" si="35"/>
        <v>GUDANGEXP1-LINE 1</v>
      </c>
      <c r="AI373">
        <f>COUNTIF($AH$1:AH373,AH373)</f>
        <v>372</v>
      </c>
    </row>
    <row r="374" spans="1:35">
      <c r="A374" t="s">
        <v>56</v>
      </c>
      <c r="B374" t="s">
        <v>57</v>
      </c>
      <c r="C374" t="s">
        <v>436</v>
      </c>
      <c r="D374" t="s">
        <v>59</v>
      </c>
      <c r="E374">
        <v>1</v>
      </c>
      <c r="G374" t="s">
        <v>60</v>
      </c>
      <c r="I374" t="s">
        <v>61</v>
      </c>
      <c r="Z374" t="str">
        <f>IFERROR(MID(AA374,FIND("-",H374,1)+1,20),_xlfn.IFNA(VLOOKUP(F374&amp;"-"&amp;AA374,Ref_Kontak!$A:$E,4,FALSE),Ref_Kontak!$H$2))</f>
        <v>628999007703</v>
      </c>
      <c r="AA374" t="str">
        <f t="shared" si="30"/>
        <v/>
      </c>
      <c r="AB374" t="str">
        <f t="shared" si="31"/>
        <v/>
      </c>
      <c r="AC374" t="str">
        <f t="shared" si="32"/>
        <v>628999007703</v>
      </c>
      <c r="AD374" t="str">
        <f t="shared" si="34"/>
        <v>Halo+,+Visual+AI+5S+menditeksi+Violation%3A+GUDANGEXP1-LINE+1</v>
      </c>
      <c r="AE374" t="str">
        <f t="shared" si="33"/>
        <v>https://web.whatsapp.com/send/?phone=628999007703&amp;text=Halo+,+Visual+AI+5S+menditeksi+Violation%3A+GUDANGEXP1-LINE+1&amp;type=phone_number&amp;app_absent=0</v>
      </c>
      <c r="AF374" t="b">
        <f>IF(ISNA(VLOOKUP(D374&amp;"-"&amp;AB374, Ref_Kontak!$A:$E, 4, FALSE)), FALSE, TRUE)</f>
        <v>0</v>
      </c>
      <c r="AG374" t="str">
        <f>_xlfn.IFNA(VLOOKUP(Z374,Ref_Kontak!H:H,1,FALSE),"FALSE")</f>
        <v>628999007703</v>
      </c>
      <c r="AH374" t="str">
        <f t="shared" si="35"/>
        <v>GUDANGEXP1-LINE 1</v>
      </c>
      <c r="AI374">
        <f>COUNTIF($AH$1:AH374,AH374)</f>
        <v>373</v>
      </c>
    </row>
    <row r="375" spans="1:35">
      <c r="A375" t="s">
        <v>56</v>
      </c>
      <c r="B375" t="s">
        <v>57</v>
      </c>
      <c r="C375" t="s">
        <v>437</v>
      </c>
      <c r="D375" t="s">
        <v>59</v>
      </c>
      <c r="E375">
        <v>1</v>
      </c>
      <c r="G375" t="s">
        <v>60</v>
      </c>
      <c r="I375" t="s">
        <v>61</v>
      </c>
      <c r="Z375" t="str">
        <f>IFERROR(MID(AA375,FIND("-",H375,1)+1,20),_xlfn.IFNA(VLOOKUP(F375&amp;"-"&amp;AA375,Ref_Kontak!$A:$E,4,FALSE),Ref_Kontak!$H$2))</f>
        <v>628999007703</v>
      </c>
      <c r="AA375" t="str">
        <f t="shared" si="30"/>
        <v/>
      </c>
      <c r="AB375" t="str">
        <f t="shared" si="31"/>
        <v/>
      </c>
      <c r="AC375" t="str">
        <f t="shared" si="32"/>
        <v>628999007703</v>
      </c>
      <c r="AD375" t="str">
        <f t="shared" si="34"/>
        <v>Halo+,+Visual+AI+5S+menditeksi+Violation%3A+GUDANGEXP1-LINE+1</v>
      </c>
      <c r="AE375" t="str">
        <f t="shared" si="33"/>
        <v>https://web.whatsapp.com/send/?phone=628999007703&amp;text=Halo+,+Visual+AI+5S+menditeksi+Violation%3A+GUDANGEXP1-LINE+1&amp;type=phone_number&amp;app_absent=0</v>
      </c>
      <c r="AF375" t="b">
        <f>IF(ISNA(VLOOKUP(D375&amp;"-"&amp;AB375, Ref_Kontak!$A:$E, 4, FALSE)), FALSE, TRUE)</f>
        <v>0</v>
      </c>
      <c r="AG375" t="str">
        <f>_xlfn.IFNA(VLOOKUP(Z375,Ref_Kontak!H:H,1,FALSE),"FALSE")</f>
        <v>628999007703</v>
      </c>
      <c r="AH375" t="str">
        <f t="shared" si="35"/>
        <v>GUDANGEXP1-LINE 1</v>
      </c>
      <c r="AI375">
        <f>COUNTIF($AH$1:AH375,AH375)</f>
        <v>374</v>
      </c>
    </row>
    <row r="376" spans="1:35">
      <c r="A376" t="s">
        <v>56</v>
      </c>
      <c r="B376" t="s">
        <v>57</v>
      </c>
      <c r="C376" t="s">
        <v>438</v>
      </c>
      <c r="D376" t="s">
        <v>59</v>
      </c>
      <c r="E376">
        <v>1</v>
      </c>
      <c r="G376" t="s">
        <v>60</v>
      </c>
      <c r="I376" t="s">
        <v>61</v>
      </c>
      <c r="Z376" t="str">
        <f>IFERROR(MID(AA376,FIND("-",H376,1)+1,20),_xlfn.IFNA(VLOOKUP(F376&amp;"-"&amp;AA376,Ref_Kontak!$A:$E,4,FALSE),Ref_Kontak!$H$2))</f>
        <v>628999007703</v>
      </c>
      <c r="AA376" t="str">
        <f t="shared" si="30"/>
        <v/>
      </c>
      <c r="AB376" t="str">
        <f t="shared" si="31"/>
        <v/>
      </c>
      <c r="AC376" t="str">
        <f t="shared" si="32"/>
        <v>628999007703</v>
      </c>
      <c r="AD376" t="str">
        <f t="shared" si="34"/>
        <v>Halo+,+Visual+AI+5S+menditeksi+Violation%3A+GUDANGEXP1-LINE+1</v>
      </c>
      <c r="AE376" t="str">
        <f t="shared" si="33"/>
        <v>https://web.whatsapp.com/send/?phone=628999007703&amp;text=Halo+,+Visual+AI+5S+menditeksi+Violation%3A+GUDANGEXP1-LINE+1&amp;type=phone_number&amp;app_absent=0</v>
      </c>
      <c r="AF376" t="b">
        <f>IF(ISNA(VLOOKUP(D376&amp;"-"&amp;AB376, Ref_Kontak!$A:$E, 4, FALSE)), FALSE, TRUE)</f>
        <v>0</v>
      </c>
      <c r="AG376" t="str">
        <f>_xlfn.IFNA(VLOOKUP(Z376,Ref_Kontak!H:H,1,FALSE),"FALSE")</f>
        <v>628999007703</v>
      </c>
      <c r="AH376" t="str">
        <f t="shared" si="35"/>
        <v>GUDANGEXP1-LINE 1</v>
      </c>
      <c r="AI376">
        <f>COUNTIF($AH$1:AH376,AH376)</f>
        <v>375</v>
      </c>
    </row>
    <row r="377" spans="1:35">
      <c r="A377" t="s">
        <v>56</v>
      </c>
      <c r="B377" t="s">
        <v>57</v>
      </c>
      <c r="C377" t="s">
        <v>439</v>
      </c>
      <c r="D377" t="s">
        <v>59</v>
      </c>
      <c r="E377">
        <v>1</v>
      </c>
      <c r="G377" t="s">
        <v>60</v>
      </c>
      <c r="I377" t="s">
        <v>61</v>
      </c>
      <c r="Z377" t="str">
        <f>IFERROR(MID(AA377,FIND("-",H377,1)+1,20),_xlfn.IFNA(VLOOKUP(F377&amp;"-"&amp;AA377,Ref_Kontak!$A:$E,4,FALSE),Ref_Kontak!$H$2))</f>
        <v>628999007703</v>
      </c>
      <c r="AA377" t="str">
        <f t="shared" si="30"/>
        <v/>
      </c>
      <c r="AB377" t="str">
        <f t="shared" si="31"/>
        <v/>
      </c>
      <c r="AC377" t="str">
        <f t="shared" si="32"/>
        <v>628999007703</v>
      </c>
      <c r="AD377" t="str">
        <f t="shared" si="34"/>
        <v>Halo+,+Visual+AI+5S+menditeksi+Violation%3A+GUDANGEXP1-LINE+1</v>
      </c>
      <c r="AE377" t="str">
        <f t="shared" si="33"/>
        <v>https://web.whatsapp.com/send/?phone=628999007703&amp;text=Halo+,+Visual+AI+5S+menditeksi+Violation%3A+GUDANGEXP1-LINE+1&amp;type=phone_number&amp;app_absent=0</v>
      </c>
      <c r="AF377" t="b">
        <f>IF(ISNA(VLOOKUP(D377&amp;"-"&amp;AB377, Ref_Kontak!$A:$E, 4, FALSE)), FALSE, TRUE)</f>
        <v>0</v>
      </c>
      <c r="AG377" t="str">
        <f>_xlfn.IFNA(VLOOKUP(Z377,Ref_Kontak!H:H,1,FALSE),"FALSE")</f>
        <v>628999007703</v>
      </c>
      <c r="AH377" t="str">
        <f t="shared" si="35"/>
        <v>GUDANGEXP1-LINE 1</v>
      </c>
      <c r="AI377">
        <f>COUNTIF($AH$1:AH377,AH377)</f>
        <v>376</v>
      </c>
    </row>
    <row r="378" spans="1:35">
      <c r="A378" t="s">
        <v>56</v>
      </c>
      <c r="B378" t="s">
        <v>57</v>
      </c>
      <c r="C378" t="s">
        <v>440</v>
      </c>
      <c r="D378" t="s">
        <v>59</v>
      </c>
      <c r="E378">
        <v>1</v>
      </c>
      <c r="G378" t="s">
        <v>60</v>
      </c>
      <c r="I378" t="s">
        <v>61</v>
      </c>
      <c r="Z378" t="str">
        <f>IFERROR(MID(AA378,FIND("-",H378,1)+1,20),_xlfn.IFNA(VLOOKUP(F378&amp;"-"&amp;AA378,Ref_Kontak!$A:$E,4,FALSE),Ref_Kontak!$H$2))</f>
        <v>628999007703</v>
      </c>
      <c r="AA378" t="str">
        <f t="shared" si="30"/>
        <v/>
      </c>
      <c r="AB378" t="str">
        <f t="shared" si="31"/>
        <v/>
      </c>
      <c r="AC378" t="str">
        <f t="shared" si="32"/>
        <v>628999007703</v>
      </c>
      <c r="AD378" t="str">
        <f t="shared" si="34"/>
        <v>Halo+,+Visual+AI+5S+menditeksi+Violation%3A+GUDANGEXP1-LINE+1</v>
      </c>
      <c r="AE378" t="str">
        <f t="shared" si="33"/>
        <v>https://web.whatsapp.com/send/?phone=628999007703&amp;text=Halo+,+Visual+AI+5S+menditeksi+Violation%3A+GUDANGEXP1-LINE+1&amp;type=phone_number&amp;app_absent=0</v>
      </c>
      <c r="AF378" t="b">
        <f>IF(ISNA(VLOOKUP(D378&amp;"-"&amp;AB378, Ref_Kontak!$A:$E, 4, FALSE)), FALSE, TRUE)</f>
        <v>0</v>
      </c>
      <c r="AG378" t="str">
        <f>_xlfn.IFNA(VLOOKUP(Z378,Ref_Kontak!H:H,1,FALSE),"FALSE")</f>
        <v>628999007703</v>
      </c>
      <c r="AH378" t="str">
        <f t="shared" si="35"/>
        <v>GUDANGEXP1-LINE 1</v>
      </c>
      <c r="AI378">
        <f>COUNTIF($AH$1:AH378,AH378)</f>
        <v>377</v>
      </c>
    </row>
    <row r="379" spans="1:35">
      <c r="A379" t="s">
        <v>56</v>
      </c>
      <c r="B379" t="s">
        <v>57</v>
      </c>
      <c r="C379" t="s">
        <v>441</v>
      </c>
      <c r="D379" t="s">
        <v>59</v>
      </c>
      <c r="E379">
        <v>1</v>
      </c>
      <c r="G379" t="s">
        <v>60</v>
      </c>
      <c r="I379" t="s">
        <v>61</v>
      </c>
      <c r="Z379" t="str">
        <f>IFERROR(MID(AA379,FIND("-",H379,1)+1,20),_xlfn.IFNA(VLOOKUP(F379&amp;"-"&amp;AA379,Ref_Kontak!$A:$E,4,FALSE),Ref_Kontak!$H$2))</f>
        <v>628999007703</v>
      </c>
      <c r="AA379" t="str">
        <f t="shared" si="30"/>
        <v/>
      </c>
      <c r="AB379" t="str">
        <f t="shared" si="31"/>
        <v/>
      </c>
      <c r="AC379" t="str">
        <f t="shared" si="32"/>
        <v>628999007703</v>
      </c>
      <c r="AD379" t="str">
        <f t="shared" si="34"/>
        <v>Halo+,+Visual+AI+5S+menditeksi+Violation%3A+GUDANGEXP1-LINE+1</v>
      </c>
      <c r="AE379" t="str">
        <f t="shared" si="33"/>
        <v>https://web.whatsapp.com/send/?phone=628999007703&amp;text=Halo+,+Visual+AI+5S+menditeksi+Violation%3A+GUDANGEXP1-LINE+1&amp;type=phone_number&amp;app_absent=0</v>
      </c>
      <c r="AF379" t="b">
        <f>IF(ISNA(VLOOKUP(D379&amp;"-"&amp;AB379, Ref_Kontak!$A:$E, 4, FALSE)), FALSE, TRUE)</f>
        <v>0</v>
      </c>
      <c r="AG379" t="str">
        <f>_xlfn.IFNA(VLOOKUP(Z379,Ref_Kontak!H:H,1,FALSE),"FALSE")</f>
        <v>628999007703</v>
      </c>
      <c r="AH379" t="str">
        <f t="shared" si="35"/>
        <v>GUDANGEXP1-LINE 1</v>
      </c>
      <c r="AI379">
        <f>COUNTIF($AH$1:AH379,AH379)</f>
        <v>378</v>
      </c>
    </row>
    <row r="380" spans="1:35">
      <c r="A380" t="s">
        <v>56</v>
      </c>
      <c r="B380" t="s">
        <v>57</v>
      </c>
      <c r="C380" t="s">
        <v>442</v>
      </c>
      <c r="D380" t="s">
        <v>59</v>
      </c>
      <c r="E380">
        <v>1</v>
      </c>
      <c r="G380" t="s">
        <v>60</v>
      </c>
      <c r="I380" t="s">
        <v>61</v>
      </c>
      <c r="Z380" t="str">
        <f>IFERROR(MID(AA380,FIND("-",H380,1)+1,20),_xlfn.IFNA(VLOOKUP(F380&amp;"-"&amp;AA380,Ref_Kontak!$A:$E,4,FALSE),Ref_Kontak!$H$2))</f>
        <v>628999007703</v>
      </c>
      <c r="AA380" t="str">
        <f t="shared" si="30"/>
        <v/>
      </c>
      <c r="AB380" t="str">
        <f t="shared" si="31"/>
        <v/>
      </c>
      <c r="AC380" t="str">
        <f t="shared" si="32"/>
        <v>628999007703</v>
      </c>
      <c r="AD380" t="str">
        <f t="shared" si="34"/>
        <v>Halo+,+Visual+AI+5S+menditeksi+Violation%3A+GUDANGEXP1-LINE+1</v>
      </c>
      <c r="AE380" t="str">
        <f t="shared" si="33"/>
        <v>https://web.whatsapp.com/send/?phone=628999007703&amp;text=Halo+,+Visual+AI+5S+menditeksi+Violation%3A+GUDANGEXP1-LINE+1&amp;type=phone_number&amp;app_absent=0</v>
      </c>
      <c r="AF380" t="b">
        <f>IF(ISNA(VLOOKUP(D380&amp;"-"&amp;AB380, Ref_Kontak!$A:$E, 4, FALSE)), FALSE, TRUE)</f>
        <v>0</v>
      </c>
      <c r="AG380" t="str">
        <f>_xlfn.IFNA(VLOOKUP(Z380,Ref_Kontak!H:H,1,FALSE),"FALSE")</f>
        <v>628999007703</v>
      </c>
      <c r="AH380" t="str">
        <f t="shared" si="35"/>
        <v>GUDANGEXP1-LINE 1</v>
      </c>
      <c r="AI380">
        <f>COUNTIF($AH$1:AH380,AH380)</f>
        <v>379</v>
      </c>
    </row>
    <row r="381" spans="1:35">
      <c r="A381" t="s">
        <v>56</v>
      </c>
      <c r="B381" t="s">
        <v>57</v>
      </c>
      <c r="C381" t="s">
        <v>443</v>
      </c>
      <c r="D381" t="s">
        <v>59</v>
      </c>
      <c r="E381">
        <v>1</v>
      </c>
      <c r="G381" t="s">
        <v>60</v>
      </c>
      <c r="I381" t="s">
        <v>61</v>
      </c>
      <c r="Z381" t="str">
        <f>IFERROR(MID(AA381,FIND("-",H381,1)+1,20),_xlfn.IFNA(VLOOKUP(F381&amp;"-"&amp;AA381,Ref_Kontak!$A:$E,4,FALSE),Ref_Kontak!$H$2))</f>
        <v>628999007703</v>
      </c>
      <c r="AA381" t="str">
        <f t="shared" si="30"/>
        <v/>
      </c>
      <c r="AB381" t="str">
        <f t="shared" si="31"/>
        <v/>
      </c>
      <c r="AC381" t="str">
        <f t="shared" si="32"/>
        <v>628999007703</v>
      </c>
      <c r="AD381" t="str">
        <f t="shared" si="34"/>
        <v>Halo+,+Visual+AI+5S+menditeksi+Violation%3A+GUDANGEXP1-LINE+1</v>
      </c>
      <c r="AE381" t="str">
        <f t="shared" si="33"/>
        <v>https://web.whatsapp.com/send/?phone=628999007703&amp;text=Halo+,+Visual+AI+5S+menditeksi+Violation%3A+GUDANGEXP1-LINE+1&amp;type=phone_number&amp;app_absent=0</v>
      </c>
      <c r="AF381" t="b">
        <f>IF(ISNA(VLOOKUP(D381&amp;"-"&amp;AB381, Ref_Kontak!$A:$E, 4, FALSE)), FALSE, TRUE)</f>
        <v>0</v>
      </c>
      <c r="AG381" t="str">
        <f>_xlfn.IFNA(VLOOKUP(Z381,Ref_Kontak!H:H,1,FALSE),"FALSE")</f>
        <v>628999007703</v>
      </c>
      <c r="AH381" t="str">
        <f t="shared" si="35"/>
        <v>GUDANGEXP1-LINE 1</v>
      </c>
      <c r="AI381">
        <f>COUNTIF($AH$1:AH381,AH381)</f>
        <v>380</v>
      </c>
    </row>
    <row r="382" spans="1:35">
      <c r="A382" t="s">
        <v>56</v>
      </c>
      <c r="B382" t="s">
        <v>57</v>
      </c>
      <c r="C382" t="s">
        <v>444</v>
      </c>
      <c r="D382" t="s">
        <v>59</v>
      </c>
      <c r="E382">
        <v>1</v>
      </c>
      <c r="G382" t="s">
        <v>60</v>
      </c>
      <c r="I382" t="s">
        <v>61</v>
      </c>
      <c r="Z382" t="str">
        <f>IFERROR(MID(AA382,FIND("-",H382,1)+1,20),_xlfn.IFNA(VLOOKUP(F382&amp;"-"&amp;AA382,Ref_Kontak!$A:$E,4,FALSE),Ref_Kontak!$H$2))</f>
        <v>628999007703</v>
      </c>
      <c r="AA382" t="str">
        <f t="shared" si="30"/>
        <v/>
      </c>
      <c r="AB382" t="str">
        <f t="shared" si="31"/>
        <v/>
      </c>
      <c r="AC382" t="str">
        <f t="shared" si="32"/>
        <v>628999007703</v>
      </c>
      <c r="AD382" t="str">
        <f t="shared" si="34"/>
        <v>Halo+,+Visual+AI+5S+menditeksi+Violation%3A+GUDANGEXP1-LINE+1</v>
      </c>
      <c r="AE382" t="str">
        <f t="shared" si="33"/>
        <v>https://web.whatsapp.com/send/?phone=628999007703&amp;text=Halo+,+Visual+AI+5S+menditeksi+Violation%3A+GUDANGEXP1-LINE+1&amp;type=phone_number&amp;app_absent=0</v>
      </c>
      <c r="AF382" t="b">
        <f>IF(ISNA(VLOOKUP(D382&amp;"-"&amp;AB382, Ref_Kontak!$A:$E, 4, FALSE)), FALSE, TRUE)</f>
        <v>0</v>
      </c>
      <c r="AG382" t="str">
        <f>_xlfn.IFNA(VLOOKUP(Z382,Ref_Kontak!H:H,1,FALSE),"FALSE")</f>
        <v>628999007703</v>
      </c>
      <c r="AH382" t="str">
        <f t="shared" si="35"/>
        <v>GUDANGEXP1-LINE 1</v>
      </c>
      <c r="AI382">
        <f>COUNTIF($AH$1:AH382,AH382)</f>
        <v>381</v>
      </c>
    </row>
    <row r="383" spans="1:35">
      <c r="A383" t="s">
        <v>56</v>
      </c>
      <c r="B383" t="s">
        <v>57</v>
      </c>
      <c r="C383" t="s">
        <v>445</v>
      </c>
      <c r="D383" t="s">
        <v>59</v>
      </c>
      <c r="E383">
        <v>1</v>
      </c>
      <c r="G383" t="s">
        <v>60</v>
      </c>
      <c r="I383" t="s">
        <v>61</v>
      </c>
      <c r="Z383" t="str">
        <f>IFERROR(MID(AA383,FIND("-",H383,1)+1,20),_xlfn.IFNA(VLOOKUP(F383&amp;"-"&amp;AA383,Ref_Kontak!$A:$E,4,FALSE),Ref_Kontak!$H$2))</f>
        <v>628999007703</v>
      </c>
      <c r="AA383" t="str">
        <f t="shared" si="30"/>
        <v/>
      </c>
      <c r="AB383" t="str">
        <f t="shared" si="31"/>
        <v/>
      </c>
      <c r="AC383" t="str">
        <f t="shared" si="32"/>
        <v>628999007703</v>
      </c>
      <c r="AD383" t="str">
        <f t="shared" si="34"/>
        <v>Halo+,+Visual+AI+5S+menditeksi+Violation%3A+GUDANGEXP1-LINE+1</v>
      </c>
      <c r="AE383" t="str">
        <f t="shared" si="33"/>
        <v>https://web.whatsapp.com/send/?phone=628999007703&amp;text=Halo+,+Visual+AI+5S+menditeksi+Violation%3A+GUDANGEXP1-LINE+1&amp;type=phone_number&amp;app_absent=0</v>
      </c>
      <c r="AF383" t="b">
        <f>IF(ISNA(VLOOKUP(D383&amp;"-"&amp;AB383, Ref_Kontak!$A:$E, 4, FALSE)), FALSE, TRUE)</f>
        <v>0</v>
      </c>
      <c r="AG383" t="str">
        <f>_xlfn.IFNA(VLOOKUP(Z383,Ref_Kontak!H:H,1,FALSE),"FALSE")</f>
        <v>628999007703</v>
      </c>
      <c r="AH383" t="str">
        <f t="shared" si="35"/>
        <v>GUDANGEXP1-LINE 1</v>
      </c>
      <c r="AI383">
        <f>COUNTIF($AH$1:AH383,AH383)</f>
        <v>382</v>
      </c>
    </row>
    <row r="384" spans="1:35">
      <c r="A384" t="s">
        <v>56</v>
      </c>
      <c r="B384" t="s">
        <v>57</v>
      </c>
      <c r="C384" t="s">
        <v>446</v>
      </c>
      <c r="D384" t="s">
        <v>59</v>
      </c>
      <c r="E384">
        <v>1</v>
      </c>
      <c r="G384" t="s">
        <v>60</v>
      </c>
      <c r="I384" t="s">
        <v>61</v>
      </c>
      <c r="Z384" t="str">
        <f>IFERROR(MID(AA384,FIND("-",H384,1)+1,20),_xlfn.IFNA(VLOOKUP(F384&amp;"-"&amp;AA384,Ref_Kontak!$A:$E,4,FALSE),Ref_Kontak!$H$2))</f>
        <v>628999007703</v>
      </c>
      <c r="AA384" t="str">
        <f t="shared" si="30"/>
        <v/>
      </c>
      <c r="AB384" t="str">
        <f t="shared" si="31"/>
        <v/>
      </c>
      <c r="AC384" t="str">
        <f t="shared" si="32"/>
        <v>628999007703</v>
      </c>
      <c r="AD384" t="str">
        <f t="shared" si="34"/>
        <v>Halo+,+Visual+AI+5S+menditeksi+Violation%3A+GUDANGEXP1-LINE+1</v>
      </c>
      <c r="AE384" t="str">
        <f t="shared" si="33"/>
        <v>https://web.whatsapp.com/send/?phone=628999007703&amp;text=Halo+,+Visual+AI+5S+menditeksi+Violation%3A+GUDANGEXP1-LINE+1&amp;type=phone_number&amp;app_absent=0</v>
      </c>
      <c r="AF384" t="b">
        <f>IF(ISNA(VLOOKUP(D384&amp;"-"&amp;AB384, Ref_Kontak!$A:$E, 4, FALSE)), FALSE, TRUE)</f>
        <v>0</v>
      </c>
      <c r="AG384" t="str">
        <f>_xlfn.IFNA(VLOOKUP(Z384,Ref_Kontak!H:H,1,FALSE),"FALSE")</f>
        <v>628999007703</v>
      </c>
      <c r="AH384" t="str">
        <f t="shared" si="35"/>
        <v>GUDANGEXP1-LINE 1</v>
      </c>
      <c r="AI384">
        <f>COUNTIF($AH$1:AH384,AH384)</f>
        <v>383</v>
      </c>
    </row>
    <row r="385" spans="1:35">
      <c r="A385" t="s">
        <v>56</v>
      </c>
      <c r="B385" t="s">
        <v>57</v>
      </c>
      <c r="C385" t="s">
        <v>447</v>
      </c>
      <c r="D385" t="s">
        <v>59</v>
      </c>
      <c r="E385">
        <v>1</v>
      </c>
      <c r="G385" t="s">
        <v>60</v>
      </c>
      <c r="I385" t="s">
        <v>61</v>
      </c>
      <c r="Z385" t="str">
        <f>IFERROR(MID(AA385,FIND("-",H385,1)+1,20),_xlfn.IFNA(VLOOKUP(F385&amp;"-"&amp;AA385,Ref_Kontak!$A:$E,4,FALSE),Ref_Kontak!$H$2))</f>
        <v>628999007703</v>
      </c>
      <c r="AA385" t="str">
        <f t="shared" si="30"/>
        <v/>
      </c>
      <c r="AB385" t="str">
        <f t="shared" si="31"/>
        <v/>
      </c>
      <c r="AC385" t="str">
        <f t="shared" si="32"/>
        <v>628999007703</v>
      </c>
      <c r="AD385" t="str">
        <f t="shared" si="34"/>
        <v>Halo+,+Visual+AI+5S+menditeksi+Violation%3A+GUDANGEXP1-LINE+1</v>
      </c>
      <c r="AE385" t="str">
        <f t="shared" si="33"/>
        <v>https://web.whatsapp.com/send/?phone=628999007703&amp;text=Halo+,+Visual+AI+5S+menditeksi+Violation%3A+GUDANGEXP1-LINE+1&amp;type=phone_number&amp;app_absent=0</v>
      </c>
      <c r="AF385" t="b">
        <f>IF(ISNA(VLOOKUP(D385&amp;"-"&amp;AB385, Ref_Kontak!$A:$E, 4, FALSE)), FALSE, TRUE)</f>
        <v>0</v>
      </c>
      <c r="AG385" t="str">
        <f>_xlfn.IFNA(VLOOKUP(Z385,Ref_Kontak!H:H,1,FALSE),"FALSE")</f>
        <v>628999007703</v>
      </c>
      <c r="AH385" t="str">
        <f t="shared" si="35"/>
        <v>GUDANGEXP1-LINE 1</v>
      </c>
      <c r="AI385">
        <f>COUNTIF($AH$1:AH385,AH385)</f>
        <v>384</v>
      </c>
    </row>
    <row r="386" spans="1:35">
      <c r="A386" t="s">
        <v>56</v>
      </c>
      <c r="B386" t="s">
        <v>57</v>
      </c>
      <c r="C386" t="s">
        <v>448</v>
      </c>
      <c r="D386" t="s">
        <v>59</v>
      </c>
      <c r="E386">
        <v>1</v>
      </c>
      <c r="G386" t="s">
        <v>60</v>
      </c>
      <c r="I386" t="s">
        <v>61</v>
      </c>
      <c r="Z386" t="str">
        <f>IFERROR(MID(AA386,FIND("-",H386,1)+1,20),_xlfn.IFNA(VLOOKUP(F386&amp;"-"&amp;AA386,Ref_Kontak!$A:$E,4,FALSE),Ref_Kontak!$H$2))</f>
        <v>628999007703</v>
      </c>
      <c r="AA386" t="str">
        <f t="shared" ref="AA386:AA449" si="36">CLEAN(SUBSTITUTE(H386," ",""))</f>
        <v/>
      </c>
      <c r="AB386" t="str">
        <f t="shared" ref="AB386:AB449" si="37">IFERROR(LEFT(AA386,FIND("-",H386,1)-1),CLEAN(SUBSTITUTE(SUBSTITUTE(H386," ",""),"-","")))</f>
        <v/>
      </c>
      <c r="AC386" t="str">
        <f t="shared" ref="AC386:AC449" si="38">IF(LEFT(Z386,1)="0","62"&amp; MID(Z386,2,999),Z386)</f>
        <v>628999007703</v>
      </c>
      <c r="AD386" t="str">
        <f t="shared" si="34"/>
        <v>Halo+,+Visual+AI+5S+menditeksi+Violation%3A+GUDANGEXP1-LINE+1</v>
      </c>
      <c r="AE386" t="str">
        <f t="shared" ref="AE386:AE449" si="39">"https://web.whatsapp.com/send/?phone="&amp;AC386&amp;"&amp;text="&amp;AD386&amp;"&amp;type=phone_number&amp;app_absent=0"</f>
        <v>https://web.whatsapp.com/send/?phone=628999007703&amp;text=Halo+,+Visual+AI+5S+menditeksi+Violation%3A+GUDANGEXP1-LINE+1&amp;type=phone_number&amp;app_absent=0</v>
      </c>
      <c r="AF386" t="b">
        <f>IF(ISNA(VLOOKUP(D386&amp;"-"&amp;AB386, Ref_Kontak!$A:$E, 4, FALSE)), FALSE, TRUE)</f>
        <v>0</v>
      </c>
      <c r="AG386" t="str">
        <f>_xlfn.IFNA(VLOOKUP(Z386,Ref_Kontak!H:H,1,FALSE),"FALSE")</f>
        <v>628999007703</v>
      </c>
      <c r="AH386" t="str">
        <f t="shared" si="35"/>
        <v>GUDANGEXP1-LINE 1</v>
      </c>
      <c r="AI386">
        <f>COUNTIF($AH$1:AH386,AH386)</f>
        <v>385</v>
      </c>
    </row>
    <row r="387" spans="1:35">
      <c r="A387" t="s">
        <v>56</v>
      </c>
      <c r="B387" t="s">
        <v>57</v>
      </c>
      <c r="C387" t="s">
        <v>449</v>
      </c>
      <c r="D387" t="s">
        <v>59</v>
      </c>
      <c r="E387">
        <v>1</v>
      </c>
      <c r="G387" t="s">
        <v>60</v>
      </c>
      <c r="I387" t="s">
        <v>61</v>
      </c>
      <c r="Z387" t="str">
        <f>IFERROR(MID(AA387,FIND("-",H387,1)+1,20),_xlfn.IFNA(VLOOKUP(F387&amp;"-"&amp;AA387,Ref_Kontak!$A:$E,4,FALSE),Ref_Kontak!$H$2))</f>
        <v>628999007703</v>
      </c>
      <c r="AA387" t="str">
        <f t="shared" si="36"/>
        <v/>
      </c>
      <c r="AB387" t="str">
        <f t="shared" si="37"/>
        <v/>
      </c>
      <c r="AC387" t="str">
        <f t="shared" si="38"/>
        <v>628999007703</v>
      </c>
      <c r="AD387" t="str">
        <f t="shared" ref="AD387:AD450" si="40">"Halo+"&amp;AB387&amp;","&amp;"+Visual+AI+5S+menditeksi+Violation%3A+"&amp;SUBSTITUTE(AH387," ","+")</f>
        <v>Halo+,+Visual+AI+5S+menditeksi+Violation%3A+GUDANGEXP1-LINE+1</v>
      </c>
      <c r="AE387" t="str">
        <f t="shared" si="39"/>
        <v>https://web.whatsapp.com/send/?phone=628999007703&amp;text=Halo+,+Visual+AI+5S+menditeksi+Violation%3A+GUDANGEXP1-LINE+1&amp;type=phone_number&amp;app_absent=0</v>
      </c>
      <c r="AF387" t="b">
        <f>IF(ISNA(VLOOKUP(D387&amp;"-"&amp;AB387, Ref_Kontak!$A:$E, 4, FALSE)), FALSE, TRUE)</f>
        <v>0</v>
      </c>
      <c r="AG387" t="str">
        <f>_xlfn.IFNA(VLOOKUP(Z387,Ref_Kontak!H:H,1,FALSE),"FALSE")</f>
        <v>628999007703</v>
      </c>
      <c r="AH387" t="str">
        <f t="shared" ref="AH387:AH450" si="41">G387&amp;"-"&amp;D387</f>
        <v>GUDANGEXP1-LINE 1</v>
      </c>
      <c r="AI387">
        <f>COUNTIF($AH$1:AH387,AH387)</f>
        <v>386</v>
      </c>
    </row>
    <row r="388" spans="1:35">
      <c r="A388" t="s">
        <v>56</v>
      </c>
      <c r="B388" t="s">
        <v>57</v>
      </c>
      <c r="C388" t="s">
        <v>450</v>
      </c>
      <c r="D388" t="s">
        <v>59</v>
      </c>
      <c r="E388">
        <v>1</v>
      </c>
      <c r="G388" t="s">
        <v>60</v>
      </c>
      <c r="I388" t="s">
        <v>61</v>
      </c>
      <c r="Z388" t="str">
        <f>IFERROR(MID(AA388,FIND("-",H388,1)+1,20),_xlfn.IFNA(VLOOKUP(F388&amp;"-"&amp;AA388,Ref_Kontak!$A:$E,4,FALSE),Ref_Kontak!$H$2))</f>
        <v>628999007703</v>
      </c>
      <c r="AA388" t="str">
        <f t="shared" si="36"/>
        <v/>
      </c>
      <c r="AB388" t="str">
        <f t="shared" si="37"/>
        <v/>
      </c>
      <c r="AC388" t="str">
        <f t="shared" si="38"/>
        <v>628999007703</v>
      </c>
      <c r="AD388" t="str">
        <f t="shared" si="40"/>
        <v>Halo+,+Visual+AI+5S+menditeksi+Violation%3A+GUDANGEXP1-LINE+1</v>
      </c>
      <c r="AE388" t="str">
        <f t="shared" si="39"/>
        <v>https://web.whatsapp.com/send/?phone=628999007703&amp;text=Halo+,+Visual+AI+5S+menditeksi+Violation%3A+GUDANGEXP1-LINE+1&amp;type=phone_number&amp;app_absent=0</v>
      </c>
      <c r="AF388" t="b">
        <f>IF(ISNA(VLOOKUP(D388&amp;"-"&amp;AB388, Ref_Kontak!$A:$E, 4, FALSE)), FALSE, TRUE)</f>
        <v>0</v>
      </c>
      <c r="AG388" t="str">
        <f>_xlfn.IFNA(VLOOKUP(Z388,Ref_Kontak!H:H,1,FALSE),"FALSE")</f>
        <v>628999007703</v>
      </c>
      <c r="AH388" t="str">
        <f t="shared" si="41"/>
        <v>GUDANGEXP1-LINE 1</v>
      </c>
      <c r="AI388">
        <f>COUNTIF($AH$1:AH388,AH388)</f>
        <v>387</v>
      </c>
    </row>
    <row r="389" spans="1:35">
      <c r="A389" t="s">
        <v>56</v>
      </c>
      <c r="B389" t="s">
        <v>57</v>
      </c>
      <c r="C389" t="s">
        <v>451</v>
      </c>
      <c r="D389" t="s">
        <v>59</v>
      </c>
      <c r="E389">
        <v>1</v>
      </c>
      <c r="G389" t="s">
        <v>60</v>
      </c>
      <c r="I389" t="s">
        <v>61</v>
      </c>
      <c r="Z389" t="str">
        <f>IFERROR(MID(AA389,FIND("-",H389,1)+1,20),_xlfn.IFNA(VLOOKUP(F389&amp;"-"&amp;AA389,Ref_Kontak!$A:$E,4,FALSE),Ref_Kontak!$H$2))</f>
        <v>628999007703</v>
      </c>
      <c r="AA389" t="str">
        <f t="shared" si="36"/>
        <v/>
      </c>
      <c r="AB389" t="str">
        <f t="shared" si="37"/>
        <v/>
      </c>
      <c r="AC389" t="str">
        <f t="shared" si="38"/>
        <v>628999007703</v>
      </c>
      <c r="AD389" t="str">
        <f t="shared" si="40"/>
        <v>Halo+,+Visual+AI+5S+menditeksi+Violation%3A+GUDANGEXP1-LINE+1</v>
      </c>
      <c r="AE389" t="str">
        <f t="shared" si="39"/>
        <v>https://web.whatsapp.com/send/?phone=628999007703&amp;text=Halo+,+Visual+AI+5S+menditeksi+Violation%3A+GUDANGEXP1-LINE+1&amp;type=phone_number&amp;app_absent=0</v>
      </c>
      <c r="AF389" t="b">
        <f>IF(ISNA(VLOOKUP(D389&amp;"-"&amp;AB389, Ref_Kontak!$A:$E, 4, FALSE)), FALSE, TRUE)</f>
        <v>0</v>
      </c>
      <c r="AG389" t="str">
        <f>_xlfn.IFNA(VLOOKUP(Z389,Ref_Kontak!H:H,1,FALSE),"FALSE")</f>
        <v>628999007703</v>
      </c>
      <c r="AH389" t="str">
        <f t="shared" si="41"/>
        <v>GUDANGEXP1-LINE 1</v>
      </c>
      <c r="AI389">
        <f>COUNTIF($AH$1:AH389,AH389)</f>
        <v>388</v>
      </c>
    </row>
    <row r="390" spans="1:35">
      <c r="A390" t="s">
        <v>56</v>
      </c>
      <c r="B390" t="s">
        <v>57</v>
      </c>
      <c r="C390" t="s">
        <v>452</v>
      </c>
      <c r="D390" t="s">
        <v>59</v>
      </c>
      <c r="E390">
        <v>1</v>
      </c>
      <c r="G390" t="s">
        <v>60</v>
      </c>
      <c r="I390" t="s">
        <v>61</v>
      </c>
      <c r="Z390" t="str">
        <f>IFERROR(MID(AA390,FIND("-",H390,1)+1,20),_xlfn.IFNA(VLOOKUP(F390&amp;"-"&amp;AA390,Ref_Kontak!$A:$E,4,FALSE),Ref_Kontak!$H$2))</f>
        <v>628999007703</v>
      </c>
      <c r="AA390" t="str">
        <f t="shared" si="36"/>
        <v/>
      </c>
      <c r="AB390" t="str">
        <f t="shared" si="37"/>
        <v/>
      </c>
      <c r="AC390" t="str">
        <f t="shared" si="38"/>
        <v>628999007703</v>
      </c>
      <c r="AD390" t="str">
        <f t="shared" si="40"/>
        <v>Halo+,+Visual+AI+5S+menditeksi+Violation%3A+GUDANGEXP1-LINE+1</v>
      </c>
      <c r="AE390" t="str">
        <f t="shared" si="39"/>
        <v>https://web.whatsapp.com/send/?phone=628999007703&amp;text=Halo+,+Visual+AI+5S+menditeksi+Violation%3A+GUDANGEXP1-LINE+1&amp;type=phone_number&amp;app_absent=0</v>
      </c>
      <c r="AF390" t="b">
        <f>IF(ISNA(VLOOKUP(D390&amp;"-"&amp;AB390, Ref_Kontak!$A:$E, 4, FALSE)), FALSE, TRUE)</f>
        <v>0</v>
      </c>
      <c r="AG390" t="str">
        <f>_xlfn.IFNA(VLOOKUP(Z390,Ref_Kontak!H:H,1,FALSE),"FALSE")</f>
        <v>628999007703</v>
      </c>
      <c r="AH390" t="str">
        <f t="shared" si="41"/>
        <v>GUDANGEXP1-LINE 1</v>
      </c>
      <c r="AI390">
        <f>COUNTIF($AH$1:AH390,AH390)</f>
        <v>389</v>
      </c>
    </row>
    <row r="391" spans="1:35">
      <c r="A391" t="s">
        <v>56</v>
      </c>
      <c r="B391" t="s">
        <v>57</v>
      </c>
      <c r="C391" t="s">
        <v>453</v>
      </c>
      <c r="D391" t="s">
        <v>59</v>
      </c>
      <c r="E391">
        <v>1</v>
      </c>
      <c r="G391" t="s">
        <v>60</v>
      </c>
      <c r="I391" t="s">
        <v>61</v>
      </c>
      <c r="Z391" t="str">
        <f>IFERROR(MID(AA391,FIND("-",H391,1)+1,20),_xlfn.IFNA(VLOOKUP(F391&amp;"-"&amp;AA391,Ref_Kontak!$A:$E,4,FALSE),Ref_Kontak!$H$2))</f>
        <v>628999007703</v>
      </c>
      <c r="AA391" t="str">
        <f t="shared" si="36"/>
        <v/>
      </c>
      <c r="AB391" t="str">
        <f t="shared" si="37"/>
        <v/>
      </c>
      <c r="AC391" t="str">
        <f t="shared" si="38"/>
        <v>628999007703</v>
      </c>
      <c r="AD391" t="str">
        <f t="shared" si="40"/>
        <v>Halo+,+Visual+AI+5S+menditeksi+Violation%3A+GUDANGEXP1-LINE+1</v>
      </c>
      <c r="AE391" t="str">
        <f t="shared" si="39"/>
        <v>https://web.whatsapp.com/send/?phone=628999007703&amp;text=Halo+,+Visual+AI+5S+menditeksi+Violation%3A+GUDANGEXP1-LINE+1&amp;type=phone_number&amp;app_absent=0</v>
      </c>
      <c r="AF391" t="b">
        <f>IF(ISNA(VLOOKUP(D391&amp;"-"&amp;AB391, Ref_Kontak!$A:$E, 4, FALSE)), FALSE, TRUE)</f>
        <v>0</v>
      </c>
      <c r="AG391" t="str">
        <f>_xlfn.IFNA(VLOOKUP(Z391,Ref_Kontak!H:H,1,FALSE),"FALSE")</f>
        <v>628999007703</v>
      </c>
      <c r="AH391" t="str">
        <f t="shared" si="41"/>
        <v>GUDANGEXP1-LINE 1</v>
      </c>
      <c r="AI391">
        <f>COUNTIF($AH$1:AH391,AH391)</f>
        <v>390</v>
      </c>
    </row>
    <row r="392" spans="1:35">
      <c r="A392" t="s">
        <v>56</v>
      </c>
      <c r="B392" t="s">
        <v>57</v>
      </c>
      <c r="C392" t="s">
        <v>454</v>
      </c>
      <c r="D392" t="s">
        <v>59</v>
      </c>
      <c r="E392">
        <v>1</v>
      </c>
      <c r="G392" t="s">
        <v>60</v>
      </c>
      <c r="I392" t="s">
        <v>61</v>
      </c>
      <c r="Z392" t="str">
        <f>IFERROR(MID(AA392,FIND("-",H392,1)+1,20),_xlfn.IFNA(VLOOKUP(F392&amp;"-"&amp;AA392,Ref_Kontak!$A:$E,4,FALSE),Ref_Kontak!$H$2))</f>
        <v>628999007703</v>
      </c>
      <c r="AA392" t="str">
        <f t="shared" si="36"/>
        <v/>
      </c>
      <c r="AB392" t="str">
        <f t="shared" si="37"/>
        <v/>
      </c>
      <c r="AC392" t="str">
        <f t="shared" si="38"/>
        <v>628999007703</v>
      </c>
      <c r="AD392" t="str">
        <f t="shared" si="40"/>
        <v>Halo+,+Visual+AI+5S+menditeksi+Violation%3A+GUDANGEXP1-LINE+1</v>
      </c>
      <c r="AE392" t="str">
        <f t="shared" si="39"/>
        <v>https://web.whatsapp.com/send/?phone=628999007703&amp;text=Halo+,+Visual+AI+5S+menditeksi+Violation%3A+GUDANGEXP1-LINE+1&amp;type=phone_number&amp;app_absent=0</v>
      </c>
      <c r="AF392" t="b">
        <f>IF(ISNA(VLOOKUP(D392&amp;"-"&amp;AB392, Ref_Kontak!$A:$E, 4, FALSE)), FALSE, TRUE)</f>
        <v>0</v>
      </c>
      <c r="AG392" t="str">
        <f>_xlfn.IFNA(VLOOKUP(Z392,Ref_Kontak!H:H,1,FALSE),"FALSE")</f>
        <v>628999007703</v>
      </c>
      <c r="AH392" t="str">
        <f t="shared" si="41"/>
        <v>GUDANGEXP1-LINE 1</v>
      </c>
      <c r="AI392">
        <f>COUNTIF($AH$1:AH392,AH392)</f>
        <v>391</v>
      </c>
    </row>
    <row r="393" spans="1:35">
      <c r="A393" t="s">
        <v>56</v>
      </c>
      <c r="B393" t="s">
        <v>57</v>
      </c>
      <c r="C393" t="s">
        <v>455</v>
      </c>
      <c r="D393" t="s">
        <v>59</v>
      </c>
      <c r="E393">
        <v>1</v>
      </c>
      <c r="G393" t="s">
        <v>60</v>
      </c>
      <c r="I393" t="s">
        <v>61</v>
      </c>
      <c r="Z393" t="str">
        <f>IFERROR(MID(AA393,FIND("-",H393,1)+1,20),_xlfn.IFNA(VLOOKUP(F393&amp;"-"&amp;AA393,Ref_Kontak!$A:$E,4,FALSE),Ref_Kontak!$H$2))</f>
        <v>628999007703</v>
      </c>
      <c r="AA393" t="str">
        <f t="shared" si="36"/>
        <v/>
      </c>
      <c r="AB393" t="str">
        <f t="shared" si="37"/>
        <v/>
      </c>
      <c r="AC393" t="str">
        <f t="shared" si="38"/>
        <v>628999007703</v>
      </c>
      <c r="AD393" t="str">
        <f t="shared" si="40"/>
        <v>Halo+,+Visual+AI+5S+menditeksi+Violation%3A+GUDANGEXP1-LINE+1</v>
      </c>
      <c r="AE393" t="str">
        <f t="shared" si="39"/>
        <v>https://web.whatsapp.com/send/?phone=628999007703&amp;text=Halo+,+Visual+AI+5S+menditeksi+Violation%3A+GUDANGEXP1-LINE+1&amp;type=phone_number&amp;app_absent=0</v>
      </c>
      <c r="AF393" t="b">
        <f>IF(ISNA(VLOOKUP(D393&amp;"-"&amp;AB393, Ref_Kontak!$A:$E, 4, FALSE)), FALSE, TRUE)</f>
        <v>0</v>
      </c>
      <c r="AG393" t="str">
        <f>_xlfn.IFNA(VLOOKUP(Z393,Ref_Kontak!H:H,1,FALSE),"FALSE")</f>
        <v>628999007703</v>
      </c>
      <c r="AH393" t="str">
        <f t="shared" si="41"/>
        <v>GUDANGEXP1-LINE 1</v>
      </c>
      <c r="AI393">
        <f>COUNTIF($AH$1:AH393,AH393)</f>
        <v>392</v>
      </c>
    </row>
    <row r="394" spans="1:35">
      <c r="A394" t="s">
        <v>56</v>
      </c>
      <c r="B394" t="s">
        <v>57</v>
      </c>
      <c r="C394" t="s">
        <v>456</v>
      </c>
      <c r="D394" t="s">
        <v>59</v>
      </c>
      <c r="E394">
        <v>1</v>
      </c>
      <c r="G394" t="s">
        <v>60</v>
      </c>
      <c r="I394" t="s">
        <v>61</v>
      </c>
      <c r="Z394" t="str">
        <f>IFERROR(MID(AA394,FIND("-",H394,1)+1,20),_xlfn.IFNA(VLOOKUP(F394&amp;"-"&amp;AA394,Ref_Kontak!$A:$E,4,FALSE),Ref_Kontak!$H$2))</f>
        <v>628999007703</v>
      </c>
      <c r="AA394" t="str">
        <f t="shared" si="36"/>
        <v/>
      </c>
      <c r="AB394" t="str">
        <f t="shared" si="37"/>
        <v/>
      </c>
      <c r="AC394" t="str">
        <f t="shared" si="38"/>
        <v>628999007703</v>
      </c>
      <c r="AD394" t="str">
        <f t="shared" si="40"/>
        <v>Halo+,+Visual+AI+5S+menditeksi+Violation%3A+GUDANGEXP1-LINE+1</v>
      </c>
      <c r="AE394" t="str">
        <f t="shared" si="39"/>
        <v>https://web.whatsapp.com/send/?phone=628999007703&amp;text=Halo+,+Visual+AI+5S+menditeksi+Violation%3A+GUDANGEXP1-LINE+1&amp;type=phone_number&amp;app_absent=0</v>
      </c>
      <c r="AF394" t="b">
        <f>IF(ISNA(VLOOKUP(D394&amp;"-"&amp;AB394, Ref_Kontak!$A:$E, 4, FALSE)), FALSE, TRUE)</f>
        <v>0</v>
      </c>
      <c r="AG394" t="str">
        <f>_xlfn.IFNA(VLOOKUP(Z394,Ref_Kontak!H:H,1,FALSE),"FALSE")</f>
        <v>628999007703</v>
      </c>
      <c r="AH394" t="str">
        <f t="shared" si="41"/>
        <v>GUDANGEXP1-LINE 1</v>
      </c>
      <c r="AI394">
        <f>COUNTIF($AH$1:AH394,AH394)</f>
        <v>393</v>
      </c>
    </row>
    <row r="395" spans="1:35">
      <c r="A395" t="s">
        <v>56</v>
      </c>
      <c r="B395" t="s">
        <v>57</v>
      </c>
      <c r="C395" t="s">
        <v>457</v>
      </c>
      <c r="D395" t="s">
        <v>59</v>
      </c>
      <c r="E395">
        <v>1</v>
      </c>
      <c r="G395" t="s">
        <v>60</v>
      </c>
      <c r="I395" t="s">
        <v>61</v>
      </c>
      <c r="Z395" t="str">
        <f>IFERROR(MID(AA395,FIND("-",H395,1)+1,20),_xlfn.IFNA(VLOOKUP(F395&amp;"-"&amp;AA395,Ref_Kontak!$A:$E,4,FALSE),Ref_Kontak!$H$2))</f>
        <v>628999007703</v>
      </c>
      <c r="AA395" t="str">
        <f t="shared" si="36"/>
        <v/>
      </c>
      <c r="AB395" t="str">
        <f t="shared" si="37"/>
        <v/>
      </c>
      <c r="AC395" t="str">
        <f t="shared" si="38"/>
        <v>628999007703</v>
      </c>
      <c r="AD395" t="str">
        <f t="shared" si="40"/>
        <v>Halo+,+Visual+AI+5S+menditeksi+Violation%3A+GUDANGEXP1-LINE+1</v>
      </c>
      <c r="AE395" t="str">
        <f t="shared" si="39"/>
        <v>https://web.whatsapp.com/send/?phone=628999007703&amp;text=Halo+,+Visual+AI+5S+menditeksi+Violation%3A+GUDANGEXP1-LINE+1&amp;type=phone_number&amp;app_absent=0</v>
      </c>
      <c r="AF395" t="b">
        <f>IF(ISNA(VLOOKUP(D395&amp;"-"&amp;AB395, Ref_Kontak!$A:$E, 4, FALSE)), FALSE, TRUE)</f>
        <v>0</v>
      </c>
      <c r="AG395" t="str">
        <f>_xlfn.IFNA(VLOOKUP(Z395,Ref_Kontak!H:H,1,FALSE),"FALSE")</f>
        <v>628999007703</v>
      </c>
      <c r="AH395" t="str">
        <f t="shared" si="41"/>
        <v>GUDANGEXP1-LINE 1</v>
      </c>
      <c r="AI395">
        <f>COUNTIF($AH$1:AH395,AH395)</f>
        <v>394</v>
      </c>
    </row>
    <row r="396" spans="1:35">
      <c r="A396" t="s">
        <v>56</v>
      </c>
      <c r="B396" t="s">
        <v>57</v>
      </c>
      <c r="C396" t="s">
        <v>458</v>
      </c>
      <c r="D396" t="s">
        <v>59</v>
      </c>
      <c r="E396">
        <v>1</v>
      </c>
      <c r="G396" t="s">
        <v>60</v>
      </c>
      <c r="I396" t="s">
        <v>61</v>
      </c>
      <c r="Z396" t="str">
        <f>IFERROR(MID(AA396,FIND("-",H396,1)+1,20),_xlfn.IFNA(VLOOKUP(F396&amp;"-"&amp;AA396,Ref_Kontak!$A:$E,4,FALSE),Ref_Kontak!$H$2))</f>
        <v>628999007703</v>
      </c>
      <c r="AA396" t="str">
        <f t="shared" si="36"/>
        <v/>
      </c>
      <c r="AB396" t="str">
        <f t="shared" si="37"/>
        <v/>
      </c>
      <c r="AC396" t="str">
        <f t="shared" si="38"/>
        <v>628999007703</v>
      </c>
      <c r="AD396" t="str">
        <f t="shared" si="40"/>
        <v>Halo+,+Visual+AI+5S+menditeksi+Violation%3A+GUDANGEXP1-LINE+1</v>
      </c>
      <c r="AE396" t="str">
        <f t="shared" si="39"/>
        <v>https://web.whatsapp.com/send/?phone=628999007703&amp;text=Halo+,+Visual+AI+5S+menditeksi+Violation%3A+GUDANGEXP1-LINE+1&amp;type=phone_number&amp;app_absent=0</v>
      </c>
      <c r="AF396" t="b">
        <f>IF(ISNA(VLOOKUP(D396&amp;"-"&amp;AB396, Ref_Kontak!$A:$E, 4, FALSE)), FALSE, TRUE)</f>
        <v>0</v>
      </c>
      <c r="AG396" t="str">
        <f>_xlfn.IFNA(VLOOKUP(Z396,Ref_Kontak!H:H,1,FALSE),"FALSE")</f>
        <v>628999007703</v>
      </c>
      <c r="AH396" t="str">
        <f t="shared" si="41"/>
        <v>GUDANGEXP1-LINE 1</v>
      </c>
      <c r="AI396">
        <f>COUNTIF($AH$1:AH396,AH396)</f>
        <v>395</v>
      </c>
    </row>
    <row r="397" spans="1:35">
      <c r="A397" t="s">
        <v>56</v>
      </c>
      <c r="B397" t="s">
        <v>57</v>
      </c>
      <c r="C397" t="s">
        <v>459</v>
      </c>
      <c r="D397" t="s">
        <v>59</v>
      </c>
      <c r="E397">
        <v>1</v>
      </c>
      <c r="G397" t="s">
        <v>60</v>
      </c>
      <c r="I397" t="s">
        <v>61</v>
      </c>
      <c r="Z397" t="str">
        <f>IFERROR(MID(AA397,FIND("-",H397,1)+1,20),_xlfn.IFNA(VLOOKUP(F397&amp;"-"&amp;AA397,Ref_Kontak!$A:$E,4,FALSE),Ref_Kontak!$H$2))</f>
        <v>628999007703</v>
      </c>
      <c r="AA397" t="str">
        <f t="shared" si="36"/>
        <v/>
      </c>
      <c r="AB397" t="str">
        <f t="shared" si="37"/>
        <v/>
      </c>
      <c r="AC397" t="str">
        <f t="shared" si="38"/>
        <v>628999007703</v>
      </c>
      <c r="AD397" t="str">
        <f t="shared" si="40"/>
        <v>Halo+,+Visual+AI+5S+menditeksi+Violation%3A+GUDANGEXP1-LINE+1</v>
      </c>
      <c r="AE397" t="str">
        <f t="shared" si="39"/>
        <v>https://web.whatsapp.com/send/?phone=628999007703&amp;text=Halo+,+Visual+AI+5S+menditeksi+Violation%3A+GUDANGEXP1-LINE+1&amp;type=phone_number&amp;app_absent=0</v>
      </c>
      <c r="AF397" t="b">
        <f>IF(ISNA(VLOOKUP(D397&amp;"-"&amp;AB397, Ref_Kontak!$A:$E, 4, FALSE)), FALSE, TRUE)</f>
        <v>0</v>
      </c>
      <c r="AG397" t="str">
        <f>_xlfn.IFNA(VLOOKUP(Z397,Ref_Kontak!H:H,1,FALSE),"FALSE")</f>
        <v>628999007703</v>
      </c>
      <c r="AH397" t="str">
        <f t="shared" si="41"/>
        <v>GUDANGEXP1-LINE 1</v>
      </c>
      <c r="AI397">
        <f>COUNTIF($AH$1:AH397,AH397)</f>
        <v>396</v>
      </c>
    </row>
    <row r="398" spans="1:35">
      <c r="A398" t="s">
        <v>56</v>
      </c>
      <c r="B398" t="s">
        <v>57</v>
      </c>
      <c r="C398" t="s">
        <v>460</v>
      </c>
      <c r="D398" t="s">
        <v>59</v>
      </c>
      <c r="E398">
        <v>1</v>
      </c>
      <c r="G398" t="s">
        <v>60</v>
      </c>
      <c r="I398" t="s">
        <v>61</v>
      </c>
      <c r="Z398" t="str">
        <f>IFERROR(MID(AA398,FIND("-",H398,1)+1,20),_xlfn.IFNA(VLOOKUP(F398&amp;"-"&amp;AA398,Ref_Kontak!$A:$E,4,FALSE),Ref_Kontak!$H$2))</f>
        <v>628999007703</v>
      </c>
      <c r="AA398" t="str">
        <f t="shared" si="36"/>
        <v/>
      </c>
      <c r="AB398" t="str">
        <f t="shared" si="37"/>
        <v/>
      </c>
      <c r="AC398" t="str">
        <f t="shared" si="38"/>
        <v>628999007703</v>
      </c>
      <c r="AD398" t="str">
        <f t="shared" si="40"/>
        <v>Halo+,+Visual+AI+5S+menditeksi+Violation%3A+GUDANGEXP1-LINE+1</v>
      </c>
      <c r="AE398" t="str">
        <f t="shared" si="39"/>
        <v>https://web.whatsapp.com/send/?phone=628999007703&amp;text=Halo+,+Visual+AI+5S+menditeksi+Violation%3A+GUDANGEXP1-LINE+1&amp;type=phone_number&amp;app_absent=0</v>
      </c>
      <c r="AF398" t="b">
        <f>IF(ISNA(VLOOKUP(D398&amp;"-"&amp;AB398, Ref_Kontak!$A:$E, 4, FALSE)), FALSE, TRUE)</f>
        <v>0</v>
      </c>
      <c r="AG398" t="str">
        <f>_xlfn.IFNA(VLOOKUP(Z398,Ref_Kontak!H:H,1,FALSE),"FALSE")</f>
        <v>628999007703</v>
      </c>
      <c r="AH398" t="str">
        <f t="shared" si="41"/>
        <v>GUDANGEXP1-LINE 1</v>
      </c>
      <c r="AI398">
        <f>COUNTIF($AH$1:AH398,AH398)</f>
        <v>397</v>
      </c>
    </row>
    <row r="399" spans="1:35">
      <c r="A399" t="s">
        <v>56</v>
      </c>
      <c r="B399" t="s">
        <v>57</v>
      </c>
      <c r="C399" t="s">
        <v>461</v>
      </c>
      <c r="D399" t="s">
        <v>59</v>
      </c>
      <c r="E399">
        <v>1</v>
      </c>
      <c r="G399" t="s">
        <v>60</v>
      </c>
      <c r="I399" t="s">
        <v>61</v>
      </c>
      <c r="Z399" t="str">
        <f>IFERROR(MID(AA399,FIND("-",H399,1)+1,20),_xlfn.IFNA(VLOOKUP(F399&amp;"-"&amp;AA399,Ref_Kontak!$A:$E,4,FALSE),Ref_Kontak!$H$2))</f>
        <v>628999007703</v>
      </c>
      <c r="AA399" t="str">
        <f t="shared" si="36"/>
        <v/>
      </c>
      <c r="AB399" t="str">
        <f t="shared" si="37"/>
        <v/>
      </c>
      <c r="AC399" t="str">
        <f t="shared" si="38"/>
        <v>628999007703</v>
      </c>
      <c r="AD399" t="str">
        <f t="shared" si="40"/>
        <v>Halo+,+Visual+AI+5S+menditeksi+Violation%3A+GUDANGEXP1-LINE+1</v>
      </c>
      <c r="AE399" t="str">
        <f t="shared" si="39"/>
        <v>https://web.whatsapp.com/send/?phone=628999007703&amp;text=Halo+,+Visual+AI+5S+menditeksi+Violation%3A+GUDANGEXP1-LINE+1&amp;type=phone_number&amp;app_absent=0</v>
      </c>
      <c r="AF399" t="b">
        <f>IF(ISNA(VLOOKUP(D399&amp;"-"&amp;AB399, Ref_Kontak!$A:$E, 4, FALSE)), FALSE, TRUE)</f>
        <v>0</v>
      </c>
      <c r="AG399" t="str">
        <f>_xlfn.IFNA(VLOOKUP(Z399,Ref_Kontak!H:H,1,FALSE),"FALSE")</f>
        <v>628999007703</v>
      </c>
      <c r="AH399" t="str">
        <f t="shared" si="41"/>
        <v>GUDANGEXP1-LINE 1</v>
      </c>
      <c r="AI399">
        <f>COUNTIF($AH$1:AH399,AH399)</f>
        <v>398</v>
      </c>
    </row>
    <row r="400" spans="1:35">
      <c r="A400" t="s">
        <v>56</v>
      </c>
      <c r="B400" t="s">
        <v>57</v>
      </c>
      <c r="C400" t="s">
        <v>462</v>
      </c>
      <c r="D400" t="s">
        <v>59</v>
      </c>
      <c r="E400">
        <v>1</v>
      </c>
      <c r="G400" t="s">
        <v>60</v>
      </c>
      <c r="I400" t="s">
        <v>61</v>
      </c>
      <c r="Z400" t="str">
        <f>IFERROR(MID(AA400,FIND("-",H400,1)+1,20),_xlfn.IFNA(VLOOKUP(F400&amp;"-"&amp;AA400,Ref_Kontak!$A:$E,4,FALSE),Ref_Kontak!$H$2))</f>
        <v>628999007703</v>
      </c>
      <c r="AA400" t="str">
        <f t="shared" si="36"/>
        <v/>
      </c>
      <c r="AB400" t="str">
        <f t="shared" si="37"/>
        <v/>
      </c>
      <c r="AC400" t="str">
        <f t="shared" si="38"/>
        <v>628999007703</v>
      </c>
      <c r="AD400" t="str">
        <f t="shared" si="40"/>
        <v>Halo+,+Visual+AI+5S+menditeksi+Violation%3A+GUDANGEXP1-LINE+1</v>
      </c>
      <c r="AE400" t="str">
        <f t="shared" si="39"/>
        <v>https://web.whatsapp.com/send/?phone=628999007703&amp;text=Halo+,+Visual+AI+5S+menditeksi+Violation%3A+GUDANGEXP1-LINE+1&amp;type=phone_number&amp;app_absent=0</v>
      </c>
      <c r="AF400" t="b">
        <f>IF(ISNA(VLOOKUP(D400&amp;"-"&amp;AB400, Ref_Kontak!$A:$E, 4, FALSE)), FALSE, TRUE)</f>
        <v>0</v>
      </c>
      <c r="AG400" t="str">
        <f>_xlfn.IFNA(VLOOKUP(Z400,Ref_Kontak!H:H,1,FALSE),"FALSE")</f>
        <v>628999007703</v>
      </c>
      <c r="AH400" t="str">
        <f t="shared" si="41"/>
        <v>GUDANGEXP1-LINE 1</v>
      </c>
      <c r="AI400">
        <f>COUNTIF($AH$1:AH400,AH400)</f>
        <v>399</v>
      </c>
    </row>
    <row r="401" spans="1:35">
      <c r="A401" t="s">
        <v>56</v>
      </c>
      <c r="B401" t="s">
        <v>57</v>
      </c>
      <c r="C401" t="s">
        <v>463</v>
      </c>
      <c r="D401" t="s">
        <v>59</v>
      </c>
      <c r="E401">
        <v>1</v>
      </c>
      <c r="G401" t="s">
        <v>60</v>
      </c>
      <c r="I401" t="s">
        <v>61</v>
      </c>
      <c r="Z401" t="str">
        <f>IFERROR(MID(AA401,FIND("-",H401,1)+1,20),_xlfn.IFNA(VLOOKUP(F401&amp;"-"&amp;AA401,Ref_Kontak!$A:$E,4,FALSE),Ref_Kontak!$H$2))</f>
        <v>628999007703</v>
      </c>
      <c r="AA401" t="str">
        <f t="shared" si="36"/>
        <v/>
      </c>
      <c r="AB401" t="str">
        <f t="shared" si="37"/>
        <v/>
      </c>
      <c r="AC401" t="str">
        <f t="shared" si="38"/>
        <v>628999007703</v>
      </c>
      <c r="AD401" t="str">
        <f t="shared" si="40"/>
        <v>Halo+,+Visual+AI+5S+menditeksi+Violation%3A+GUDANGEXP1-LINE+1</v>
      </c>
      <c r="AE401" t="str">
        <f t="shared" si="39"/>
        <v>https://web.whatsapp.com/send/?phone=628999007703&amp;text=Halo+,+Visual+AI+5S+menditeksi+Violation%3A+GUDANGEXP1-LINE+1&amp;type=phone_number&amp;app_absent=0</v>
      </c>
      <c r="AF401" t="b">
        <f>IF(ISNA(VLOOKUP(D401&amp;"-"&amp;AB401, Ref_Kontak!$A:$E, 4, FALSE)), FALSE, TRUE)</f>
        <v>0</v>
      </c>
      <c r="AG401" t="str">
        <f>_xlfn.IFNA(VLOOKUP(Z401,Ref_Kontak!H:H,1,FALSE),"FALSE")</f>
        <v>628999007703</v>
      </c>
      <c r="AH401" t="str">
        <f t="shared" si="41"/>
        <v>GUDANGEXP1-LINE 1</v>
      </c>
      <c r="AI401">
        <f>COUNTIF($AH$1:AH401,AH401)</f>
        <v>400</v>
      </c>
    </row>
    <row r="402" spans="1:35">
      <c r="A402" t="s">
        <v>56</v>
      </c>
      <c r="B402" t="s">
        <v>57</v>
      </c>
      <c r="C402" t="s">
        <v>464</v>
      </c>
      <c r="D402" t="s">
        <v>59</v>
      </c>
      <c r="E402">
        <v>1</v>
      </c>
      <c r="G402" t="s">
        <v>60</v>
      </c>
      <c r="I402" t="s">
        <v>61</v>
      </c>
      <c r="Z402" t="str">
        <f>IFERROR(MID(AA402,FIND("-",H402,1)+1,20),_xlfn.IFNA(VLOOKUP(F402&amp;"-"&amp;AA402,Ref_Kontak!$A:$E,4,FALSE),Ref_Kontak!$H$2))</f>
        <v>628999007703</v>
      </c>
      <c r="AA402" t="str">
        <f t="shared" si="36"/>
        <v/>
      </c>
      <c r="AB402" t="str">
        <f t="shared" si="37"/>
        <v/>
      </c>
      <c r="AC402" t="str">
        <f t="shared" si="38"/>
        <v>628999007703</v>
      </c>
      <c r="AD402" t="str">
        <f t="shared" si="40"/>
        <v>Halo+,+Visual+AI+5S+menditeksi+Violation%3A+GUDANGEXP1-LINE+1</v>
      </c>
      <c r="AE402" t="str">
        <f t="shared" si="39"/>
        <v>https://web.whatsapp.com/send/?phone=628999007703&amp;text=Halo+,+Visual+AI+5S+menditeksi+Violation%3A+GUDANGEXP1-LINE+1&amp;type=phone_number&amp;app_absent=0</v>
      </c>
      <c r="AF402" t="b">
        <f>IF(ISNA(VLOOKUP(D402&amp;"-"&amp;AB402, Ref_Kontak!$A:$E, 4, FALSE)), FALSE, TRUE)</f>
        <v>0</v>
      </c>
      <c r="AG402" t="str">
        <f>_xlfn.IFNA(VLOOKUP(Z402,Ref_Kontak!H:H,1,FALSE),"FALSE")</f>
        <v>628999007703</v>
      </c>
      <c r="AH402" t="str">
        <f t="shared" si="41"/>
        <v>GUDANGEXP1-LINE 1</v>
      </c>
      <c r="AI402">
        <f>COUNTIF($AH$1:AH402,AH402)</f>
        <v>401</v>
      </c>
    </row>
    <row r="403" spans="1:35">
      <c r="A403" t="s">
        <v>56</v>
      </c>
      <c r="B403" t="s">
        <v>57</v>
      </c>
      <c r="C403" t="s">
        <v>465</v>
      </c>
      <c r="D403" t="s">
        <v>59</v>
      </c>
      <c r="E403">
        <v>1</v>
      </c>
      <c r="G403" t="s">
        <v>60</v>
      </c>
      <c r="I403" t="s">
        <v>61</v>
      </c>
      <c r="Z403" t="str">
        <f>IFERROR(MID(AA403,FIND("-",H403,1)+1,20),_xlfn.IFNA(VLOOKUP(F403&amp;"-"&amp;AA403,Ref_Kontak!$A:$E,4,FALSE),Ref_Kontak!$H$2))</f>
        <v>628999007703</v>
      </c>
      <c r="AA403" t="str">
        <f t="shared" si="36"/>
        <v/>
      </c>
      <c r="AB403" t="str">
        <f t="shared" si="37"/>
        <v/>
      </c>
      <c r="AC403" t="str">
        <f t="shared" si="38"/>
        <v>628999007703</v>
      </c>
      <c r="AD403" t="str">
        <f t="shared" si="40"/>
        <v>Halo+,+Visual+AI+5S+menditeksi+Violation%3A+GUDANGEXP1-LINE+1</v>
      </c>
      <c r="AE403" t="str">
        <f t="shared" si="39"/>
        <v>https://web.whatsapp.com/send/?phone=628999007703&amp;text=Halo+,+Visual+AI+5S+menditeksi+Violation%3A+GUDANGEXP1-LINE+1&amp;type=phone_number&amp;app_absent=0</v>
      </c>
      <c r="AF403" t="b">
        <f>IF(ISNA(VLOOKUP(D403&amp;"-"&amp;AB403, Ref_Kontak!$A:$E, 4, FALSE)), FALSE, TRUE)</f>
        <v>0</v>
      </c>
      <c r="AG403" t="str">
        <f>_xlfn.IFNA(VLOOKUP(Z403,Ref_Kontak!H:H,1,FALSE),"FALSE")</f>
        <v>628999007703</v>
      </c>
      <c r="AH403" t="str">
        <f t="shared" si="41"/>
        <v>GUDANGEXP1-LINE 1</v>
      </c>
      <c r="AI403">
        <f>COUNTIF($AH$1:AH403,AH403)</f>
        <v>402</v>
      </c>
    </row>
    <row r="404" spans="1:35">
      <c r="A404" t="s">
        <v>56</v>
      </c>
      <c r="B404" t="s">
        <v>57</v>
      </c>
      <c r="C404" t="s">
        <v>466</v>
      </c>
      <c r="D404" t="s">
        <v>59</v>
      </c>
      <c r="E404">
        <v>1</v>
      </c>
      <c r="G404" t="s">
        <v>60</v>
      </c>
      <c r="I404" t="s">
        <v>61</v>
      </c>
      <c r="Z404" t="str">
        <f>IFERROR(MID(AA404,FIND("-",H404,1)+1,20),_xlfn.IFNA(VLOOKUP(F404&amp;"-"&amp;AA404,Ref_Kontak!$A:$E,4,FALSE),Ref_Kontak!$H$2))</f>
        <v>628999007703</v>
      </c>
      <c r="AA404" t="str">
        <f t="shared" si="36"/>
        <v/>
      </c>
      <c r="AB404" t="str">
        <f t="shared" si="37"/>
        <v/>
      </c>
      <c r="AC404" t="str">
        <f t="shared" si="38"/>
        <v>628999007703</v>
      </c>
      <c r="AD404" t="str">
        <f t="shared" si="40"/>
        <v>Halo+,+Visual+AI+5S+menditeksi+Violation%3A+GUDANGEXP1-LINE+1</v>
      </c>
      <c r="AE404" t="str">
        <f t="shared" si="39"/>
        <v>https://web.whatsapp.com/send/?phone=628999007703&amp;text=Halo+,+Visual+AI+5S+menditeksi+Violation%3A+GUDANGEXP1-LINE+1&amp;type=phone_number&amp;app_absent=0</v>
      </c>
      <c r="AF404" t="b">
        <f>IF(ISNA(VLOOKUP(D404&amp;"-"&amp;AB404, Ref_Kontak!$A:$E, 4, FALSE)), FALSE, TRUE)</f>
        <v>0</v>
      </c>
      <c r="AG404" t="str">
        <f>_xlfn.IFNA(VLOOKUP(Z404,Ref_Kontak!H:H,1,FALSE),"FALSE")</f>
        <v>628999007703</v>
      </c>
      <c r="AH404" t="str">
        <f t="shared" si="41"/>
        <v>GUDANGEXP1-LINE 1</v>
      </c>
      <c r="AI404">
        <f>COUNTIF($AH$1:AH404,AH404)</f>
        <v>403</v>
      </c>
    </row>
    <row r="405" spans="1:35">
      <c r="A405" t="s">
        <v>56</v>
      </c>
      <c r="B405" t="s">
        <v>57</v>
      </c>
      <c r="C405" t="s">
        <v>467</v>
      </c>
      <c r="D405" t="s">
        <v>59</v>
      </c>
      <c r="E405">
        <v>1</v>
      </c>
      <c r="G405" t="s">
        <v>60</v>
      </c>
      <c r="I405" t="s">
        <v>61</v>
      </c>
      <c r="Z405" t="str">
        <f>IFERROR(MID(AA405,FIND("-",H405,1)+1,20),_xlfn.IFNA(VLOOKUP(F405&amp;"-"&amp;AA405,Ref_Kontak!$A:$E,4,FALSE),Ref_Kontak!$H$2))</f>
        <v>628999007703</v>
      </c>
      <c r="AA405" t="str">
        <f t="shared" si="36"/>
        <v/>
      </c>
      <c r="AB405" t="str">
        <f t="shared" si="37"/>
        <v/>
      </c>
      <c r="AC405" t="str">
        <f t="shared" si="38"/>
        <v>628999007703</v>
      </c>
      <c r="AD405" t="str">
        <f t="shared" si="40"/>
        <v>Halo+,+Visual+AI+5S+menditeksi+Violation%3A+GUDANGEXP1-LINE+1</v>
      </c>
      <c r="AE405" t="str">
        <f t="shared" si="39"/>
        <v>https://web.whatsapp.com/send/?phone=628999007703&amp;text=Halo+,+Visual+AI+5S+menditeksi+Violation%3A+GUDANGEXP1-LINE+1&amp;type=phone_number&amp;app_absent=0</v>
      </c>
      <c r="AF405" t="b">
        <f>IF(ISNA(VLOOKUP(D405&amp;"-"&amp;AB405, Ref_Kontak!$A:$E, 4, FALSE)), FALSE, TRUE)</f>
        <v>0</v>
      </c>
      <c r="AG405" t="str">
        <f>_xlfn.IFNA(VLOOKUP(Z405,Ref_Kontak!H:H,1,FALSE),"FALSE")</f>
        <v>628999007703</v>
      </c>
      <c r="AH405" t="str">
        <f t="shared" si="41"/>
        <v>GUDANGEXP1-LINE 1</v>
      </c>
      <c r="AI405">
        <f>COUNTIF($AH$1:AH405,AH405)</f>
        <v>404</v>
      </c>
    </row>
    <row r="406" spans="1:35">
      <c r="A406" t="s">
        <v>56</v>
      </c>
      <c r="B406" t="s">
        <v>57</v>
      </c>
      <c r="C406" t="s">
        <v>468</v>
      </c>
      <c r="D406" t="s">
        <v>59</v>
      </c>
      <c r="E406">
        <v>1</v>
      </c>
      <c r="G406" t="s">
        <v>60</v>
      </c>
      <c r="I406" t="s">
        <v>61</v>
      </c>
      <c r="Z406" t="str">
        <f>IFERROR(MID(AA406,FIND("-",H406,1)+1,20),_xlfn.IFNA(VLOOKUP(F406&amp;"-"&amp;AA406,Ref_Kontak!$A:$E,4,FALSE),Ref_Kontak!$H$2))</f>
        <v>628999007703</v>
      </c>
      <c r="AA406" t="str">
        <f t="shared" si="36"/>
        <v/>
      </c>
      <c r="AB406" t="str">
        <f t="shared" si="37"/>
        <v/>
      </c>
      <c r="AC406" t="str">
        <f t="shared" si="38"/>
        <v>628999007703</v>
      </c>
      <c r="AD406" t="str">
        <f t="shared" si="40"/>
        <v>Halo+,+Visual+AI+5S+menditeksi+Violation%3A+GUDANGEXP1-LINE+1</v>
      </c>
      <c r="AE406" t="str">
        <f t="shared" si="39"/>
        <v>https://web.whatsapp.com/send/?phone=628999007703&amp;text=Halo+,+Visual+AI+5S+menditeksi+Violation%3A+GUDANGEXP1-LINE+1&amp;type=phone_number&amp;app_absent=0</v>
      </c>
      <c r="AF406" t="b">
        <f>IF(ISNA(VLOOKUP(D406&amp;"-"&amp;AB406, Ref_Kontak!$A:$E, 4, FALSE)), FALSE, TRUE)</f>
        <v>0</v>
      </c>
      <c r="AG406" t="str">
        <f>_xlfn.IFNA(VLOOKUP(Z406,Ref_Kontak!H:H,1,FALSE),"FALSE")</f>
        <v>628999007703</v>
      </c>
      <c r="AH406" t="str">
        <f t="shared" si="41"/>
        <v>GUDANGEXP1-LINE 1</v>
      </c>
      <c r="AI406">
        <f>COUNTIF($AH$1:AH406,AH406)</f>
        <v>405</v>
      </c>
    </row>
    <row r="407" spans="1:35">
      <c r="A407" t="s">
        <v>56</v>
      </c>
      <c r="B407" t="s">
        <v>57</v>
      </c>
      <c r="C407" t="s">
        <v>469</v>
      </c>
      <c r="D407" t="s">
        <v>59</v>
      </c>
      <c r="E407">
        <v>1</v>
      </c>
      <c r="G407" t="s">
        <v>60</v>
      </c>
      <c r="I407" t="s">
        <v>61</v>
      </c>
      <c r="Z407" t="str">
        <f>IFERROR(MID(AA407,FIND("-",H407,1)+1,20),_xlfn.IFNA(VLOOKUP(F407&amp;"-"&amp;AA407,Ref_Kontak!$A:$E,4,FALSE),Ref_Kontak!$H$2))</f>
        <v>628999007703</v>
      </c>
      <c r="AA407" t="str">
        <f t="shared" si="36"/>
        <v/>
      </c>
      <c r="AB407" t="str">
        <f t="shared" si="37"/>
        <v/>
      </c>
      <c r="AC407" t="str">
        <f t="shared" si="38"/>
        <v>628999007703</v>
      </c>
      <c r="AD407" t="str">
        <f t="shared" si="40"/>
        <v>Halo+,+Visual+AI+5S+menditeksi+Violation%3A+GUDANGEXP1-LINE+1</v>
      </c>
      <c r="AE407" t="str">
        <f t="shared" si="39"/>
        <v>https://web.whatsapp.com/send/?phone=628999007703&amp;text=Halo+,+Visual+AI+5S+menditeksi+Violation%3A+GUDANGEXP1-LINE+1&amp;type=phone_number&amp;app_absent=0</v>
      </c>
      <c r="AF407" t="b">
        <f>IF(ISNA(VLOOKUP(D407&amp;"-"&amp;AB407, Ref_Kontak!$A:$E, 4, FALSE)), FALSE, TRUE)</f>
        <v>0</v>
      </c>
      <c r="AG407" t="str">
        <f>_xlfn.IFNA(VLOOKUP(Z407,Ref_Kontak!H:H,1,FALSE),"FALSE")</f>
        <v>628999007703</v>
      </c>
      <c r="AH407" t="str">
        <f t="shared" si="41"/>
        <v>GUDANGEXP1-LINE 1</v>
      </c>
      <c r="AI407">
        <f>COUNTIF($AH$1:AH407,AH407)</f>
        <v>406</v>
      </c>
    </row>
    <row r="408" spans="1:35">
      <c r="A408" t="s">
        <v>56</v>
      </c>
      <c r="B408" t="s">
        <v>57</v>
      </c>
      <c r="C408" t="s">
        <v>470</v>
      </c>
      <c r="D408" t="s">
        <v>59</v>
      </c>
      <c r="E408">
        <v>1</v>
      </c>
      <c r="G408" t="s">
        <v>60</v>
      </c>
      <c r="I408" t="s">
        <v>61</v>
      </c>
      <c r="Z408" t="str">
        <f>IFERROR(MID(AA408,FIND("-",H408,1)+1,20),_xlfn.IFNA(VLOOKUP(F408&amp;"-"&amp;AA408,Ref_Kontak!$A:$E,4,FALSE),Ref_Kontak!$H$2))</f>
        <v>628999007703</v>
      </c>
      <c r="AA408" t="str">
        <f t="shared" si="36"/>
        <v/>
      </c>
      <c r="AB408" t="str">
        <f t="shared" si="37"/>
        <v/>
      </c>
      <c r="AC408" t="str">
        <f t="shared" si="38"/>
        <v>628999007703</v>
      </c>
      <c r="AD408" t="str">
        <f t="shared" si="40"/>
        <v>Halo+,+Visual+AI+5S+menditeksi+Violation%3A+GUDANGEXP1-LINE+1</v>
      </c>
      <c r="AE408" t="str">
        <f t="shared" si="39"/>
        <v>https://web.whatsapp.com/send/?phone=628999007703&amp;text=Halo+,+Visual+AI+5S+menditeksi+Violation%3A+GUDANGEXP1-LINE+1&amp;type=phone_number&amp;app_absent=0</v>
      </c>
      <c r="AF408" t="b">
        <f>IF(ISNA(VLOOKUP(D408&amp;"-"&amp;AB408, Ref_Kontak!$A:$E, 4, FALSE)), FALSE, TRUE)</f>
        <v>0</v>
      </c>
      <c r="AG408" t="str">
        <f>_xlfn.IFNA(VLOOKUP(Z408,Ref_Kontak!H:H,1,FALSE),"FALSE")</f>
        <v>628999007703</v>
      </c>
      <c r="AH408" t="str">
        <f t="shared" si="41"/>
        <v>GUDANGEXP1-LINE 1</v>
      </c>
      <c r="AI408">
        <f>COUNTIF($AH$1:AH408,AH408)</f>
        <v>407</v>
      </c>
    </row>
    <row r="409" spans="1:35">
      <c r="A409" t="s">
        <v>56</v>
      </c>
      <c r="B409" t="s">
        <v>57</v>
      </c>
      <c r="C409" t="s">
        <v>471</v>
      </c>
      <c r="D409" t="s">
        <v>59</v>
      </c>
      <c r="E409">
        <v>1</v>
      </c>
      <c r="G409" t="s">
        <v>60</v>
      </c>
      <c r="I409" t="s">
        <v>61</v>
      </c>
      <c r="Z409" t="str">
        <f>IFERROR(MID(AA409,FIND("-",H409,1)+1,20),_xlfn.IFNA(VLOOKUP(F409&amp;"-"&amp;AA409,Ref_Kontak!$A:$E,4,FALSE),Ref_Kontak!$H$2))</f>
        <v>628999007703</v>
      </c>
      <c r="AA409" t="str">
        <f t="shared" si="36"/>
        <v/>
      </c>
      <c r="AB409" t="str">
        <f t="shared" si="37"/>
        <v/>
      </c>
      <c r="AC409" t="str">
        <f t="shared" si="38"/>
        <v>628999007703</v>
      </c>
      <c r="AD409" t="str">
        <f t="shared" si="40"/>
        <v>Halo+,+Visual+AI+5S+menditeksi+Violation%3A+GUDANGEXP1-LINE+1</v>
      </c>
      <c r="AE409" t="str">
        <f t="shared" si="39"/>
        <v>https://web.whatsapp.com/send/?phone=628999007703&amp;text=Halo+,+Visual+AI+5S+menditeksi+Violation%3A+GUDANGEXP1-LINE+1&amp;type=phone_number&amp;app_absent=0</v>
      </c>
      <c r="AF409" t="b">
        <f>IF(ISNA(VLOOKUP(D409&amp;"-"&amp;AB409, Ref_Kontak!$A:$E, 4, FALSE)), FALSE, TRUE)</f>
        <v>0</v>
      </c>
      <c r="AG409" t="str">
        <f>_xlfn.IFNA(VLOOKUP(Z409,Ref_Kontak!H:H,1,FALSE),"FALSE")</f>
        <v>628999007703</v>
      </c>
      <c r="AH409" t="str">
        <f t="shared" si="41"/>
        <v>GUDANGEXP1-LINE 1</v>
      </c>
      <c r="AI409">
        <f>COUNTIF($AH$1:AH409,AH409)</f>
        <v>408</v>
      </c>
    </row>
    <row r="410" spans="1:35">
      <c r="A410" t="s">
        <v>56</v>
      </c>
      <c r="B410" t="s">
        <v>57</v>
      </c>
      <c r="C410" t="s">
        <v>472</v>
      </c>
      <c r="D410" t="s">
        <v>59</v>
      </c>
      <c r="E410">
        <v>1</v>
      </c>
      <c r="G410" t="s">
        <v>60</v>
      </c>
      <c r="I410" t="s">
        <v>61</v>
      </c>
      <c r="Z410" t="str">
        <f>IFERROR(MID(AA410,FIND("-",H410,1)+1,20),_xlfn.IFNA(VLOOKUP(F410&amp;"-"&amp;AA410,Ref_Kontak!$A:$E,4,FALSE),Ref_Kontak!$H$2))</f>
        <v>628999007703</v>
      </c>
      <c r="AA410" t="str">
        <f t="shared" si="36"/>
        <v/>
      </c>
      <c r="AB410" t="str">
        <f t="shared" si="37"/>
        <v/>
      </c>
      <c r="AC410" t="str">
        <f t="shared" si="38"/>
        <v>628999007703</v>
      </c>
      <c r="AD410" t="str">
        <f t="shared" si="40"/>
        <v>Halo+,+Visual+AI+5S+menditeksi+Violation%3A+GUDANGEXP1-LINE+1</v>
      </c>
      <c r="AE410" t="str">
        <f t="shared" si="39"/>
        <v>https://web.whatsapp.com/send/?phone=628999007703&amp;text=Halo+,+Visual+AI+5S+menditeksi+Violation%3A+GUDANGEXP1-LINE+1&amp;type=phone_number&amp;app_absent=0</v>
      </c>
      <c r="AF410" t="b">
        <f>IF(ISNA(VLOOKUP(D410&amp;"-"&amp;AB410, Ref_Kontak!$A:$E, 4, FALSE)), FALSE, TRUE)</f>
        <v>0</v>
      </c>
      <c r="AG410" t="str">
        <f>_xlfn.IFNA(VLOOKUP(Z410,Ref_Kontak!H:H,1,FALSE),"FALSE")</f>
        <v>628999007703</v>
      </c>
      <c r="AH410" t="str">
        <f t="shared" si="41"/>
        <v>GUDANGEXP1-LINE 1</v>
      </c>
      <c r="AI410">
        <f>COUNTIF($AH$1:AH410,AH410)</f>
        <v>409</v>
      </c>
    </row>
    <row r="411" spans="1:35">
      <c r="A411" t="s">
        <v>56</v>
      </c>
      <c r="B411" t="s">
        <v>57</v>
      </c>
      <c r="C411" t="s">
        <v>473</v>
      </c>
      <c r="D411" t="s">
        <v>59</v>
      </c>
      <c r="E411">
        <v>1</v>
      </c>
      <c r="G411" t="s">
        <v>60</v>
      </c>
      <c r="I411" t="s">
        <v>61</v>
      </c>
      <c r="Z411" t="str">
        <f>IFERROR(MID(AA411,FIND("-",H411,1)+1,20),_xlfn.IFNA(VLOOKUP(F411&amp;"-"&amp;AA411,Ref_Kontak!$A:$E,4,FALSE),Ref_Kontak!$H$2))</f>
        <v>628999007703</v>
      </c>
      <c r="AA411" t="str">
        <f t="shared" si="36"/>
        <v/>
      </c>
      <c r="AB411" t="str">
        <f t="shared" si="37"/>
        <v/>
      </c>
      <c r="AC411" t="str">
        <f t="shared" si="38"/>
        <v>628999007703</v>
      </c>
      <c r="AD411" t="str">
        <f t="shared" si="40"/>
        <v>Halo+,+Visual+AI+5S+menditeksi+Violation%3A+GUDANGEXP1-LINE+1</v>
      </c>
      <c r="AE411" t="str">
        <f t="shared" si="39"/>
        <v>https://web.whatsapp.com/send/?phone=628999007703&amp;text=Halo+,+Visual+AI+5S+menditeksi+Violation%3A+GUDANGEXP1-LINE+1&amp;type=phone_number&amp;app_absent=0</v>
      </c>
      <c r="AF411" t="b">
        <f>IF(ISNA(VLOOKUP(D411&amp;"-"&amp;AB411, Ref_Kontak!$A:$E, 4, FALSE)), FALSE, TRUE)</f>
        <v>0</v>
      </c>
      <c r="AG411" t="str">
        <f>_xlfn.IFNA(VLOOKUP(Z411,Ref_Kontak!H:H,1,FALSE),"FALSE")</f>
        <v>628999007703</v>
      </c>
      <c r="AH411" t="str">
        <f t="shared" si="41"/>
        <v>GUDANGEXP1-LINE 1</v>
      </c>
      <c r="AI411">
        <f>COUNTIF($AH$1:AH411,AH411)</f>
        <v>410</v>
      </c>
    </row>
    <row r="412" spans="1:35">
      <c r="A412" t="s">
        <v>56</v>
      </c>
      <c r="B412" t="s">
        <v>57</v>
      </c>
      <c r="C412" t="s">
        <v>474</v>
      </c>
      <c r="D412" t="s">
        <v>59</v>
      </c>
      <c r="E412">
        <v>1</v>
      </c>
      <c r="G412" t="s">
        <v>60</v>
      </c>
      <c r="I412" t="s">
        <v>61</v>
      </c>
      <c r="Z412" t="str">
        <f>IFERROR(MID(AA412,FIND("-",H412,1)+1,20),_xlfn.IFNA(VLOOKUP(F412&amp;"-"&amp;AA412,Ref_Kontak!$A:$E,4,FALSE),Ref_Kontak!$H$2))</f>
        <v>628999007703</v>
      </c>
      <c r="AA412" t="str">
        <f t="shared" si="36"/>
        <v/>
      </c>
      <c r="AB412" t="str">
        <f t="shared" si="37"/>
        <v/>
      </c>
      <c r="AC412" t="str">
        <f t="shared" si="38"/>
        <v>628999007703</v>
      </c>
      <c r="AD412" t="str">
        <f t="shared" si="40"/>
        <v>Halo+,+Visual+AI+5S+menditeksi+Violation%3A+GUDANGEXP1-LINE+1</v>
      </c>
      <c r="AE412" t="str">
        <f t="shared" si="39"/>
        <v>https://web.whatsapp.com/send/?phone=628999007703&amp;text=Halo+,+Visual+AI+5S+menditeksi+Violation%3A+GUDANGEXP1-LINE+1&amp;type=phone_number&amp;app_absent=0</v>
      </c>
      <c r="AF412" t="b">
        <f>IF(ISNA(VLOOKUP(D412&amp;"-"&amp;AB412, Ref_Kontak!$A:$E, 4, FALSE)), FALSE, TRUE)</f>
        <v>0</v>
      </c>
      <c r="AG412" t="str">
        <f>_xlfn.IFNA(VLOOKUP(Z412,Ref_Kontak!H:H,1,FALSE),"FALSE")</f>
        <v>628999007703</v>
      </c>
      <c r="AH412" t="str">
        <f t="shared" si="41"/>
        <v>GUDANGEXP1-LINE 1</v>
      </c>
      <c r="AI412">
        <f>COUNTIF($AH$1:AH412,AH412)</f>
        <v>411</v>
      </c>
    </row>
    <row r="413" spans="1:35">
      <c r="A413" t="s">
        <v>56</v>
      </c>
      <c r="B413" t="s">
        <v>57</v>
      </c>
      <c r="C413" t="s">
        <v>475</v>
      </c>
      <c r="D413" t="s">
        <v>59</v>
      </c>
      <c r="E413">
        <v>1</v>
      </c>
      <c r="G413" t="s">
        <v>60</v>
      </c>
      <c r="I413" t="s">
        <v>61</v>
      </c>
      <c r="Z413" t="str">
        <f>IFERROR(MID(AA413,FIND("-",H413,1)+1,20),_xlfn.IFNA(VLOOKUP(F413&amp;"-"&amp;AA413,Ref_Kontak!$A:$E,4,FALSE),Ref_Kontak!$H$2))</f>
        <v>628999007703</v>
      </c>
      <c r="AA413" t="str">
        <f t="shared" si="36"/>
        <v/>
      </c>
      <c r="AB413" t="str">
        <f t="shared" si="37"/>
        <v/>
      </c>
      <c r="AC413" t="str">
        <f t="shared" si="38"/>
        <v>628999007703</v>
      </c>
      <c r="AD413" t="str">
        <f t="shared" si="40"/>
        <v>Halo+,+Visual+AI+5S+menditeksi+Violation%3A+GUDANGEXP1-LINE+1</v>
      </c>
      <c r="AE413" t="str">
        <f t="shared" si="39"/>
        <v>https://web.whatsapp.com/send/?phone=628999007703&amp;text=Halo+,+Visual+AI+5S+menditeksi+Violation%3A+GUDANGEXP1-LINE+1&amp;type=phone_number&amp;app_absent=0</v>
      </c>
      <c r="AF413" t="b">
        <f>IF(ISNA(VLOOKUP(D413&amp;"-"&amp;AB413, Ref_Kontak!$A:$E, 4, FALSE)), FALSE, TRUE)</f>
        <v>0</v>
      </c>
      <c r="AG413" t="str">
        <f>_xlfn.IFNA(VLOOKUP(Z413,Ref_Kontak!H:H,1,FALSE),"FALSE")</f>
        <v>628999007703</v>
      </c>
      <c r="AH413" t="str">
        <f t="shared" si="41"/>
        <v>GUDANGEXP1-LINE 1</v>
      </c>
      <c r="AI413">
        <f>COUNTIF($AH$1:AH413,AH413)</f>
        <v>412</v>
      </c>
    </row>
    <row r="414" spans="1:35">
      <c r="A414" t="s">
        <v>56</v>
      </c>
      <c r="B414" t="s">
        <v>57</v>
      </c>
      <c r="C414" t="s">
        <v>476</v>
      </c>
      <c r="D414" t="s">
        <v>59</v>
      </c>
      <c r="E414">
        <v>1</v>
      </c>
      <c r="G414" t="s">
        <v>60</v>
      </c>
      <c r="I414" t="s">
        <v>61</v>
      </c>
      <c r="Z414" t="str">
        <f>IFERROR(MID(AA414,FIND("-",H414,1)+1,20),_xlfn.IFNA(VLOOKUP(F414&amp;"-"&amp;AA414,Ref_Kontak!$A:$E,4,FALSE),Ref_Kontak!$H$2))</f>
        <v>628999007703</v>
      </c>
      <c r="AA414" t="str">
        <f t="shared" si="36"/>
        <v/>
      </c>
      <c r="AB414" t="str">
        <f t="shared" si="37"/>
        <v/>
      </c>
      <c r="AC414" t="str">
        <f t="shared" si="38"/>
        <v>628999007703</v>
      </c>
      <c r="AD414" t="str">
        <f t="shared" si="40"/>
        <v>Halo+,+Visual+AI+5S+menditeksi+Violation%3A+GUDANGEXP1-LINE+1</v>
      </c>
      <c r="AE414" t="str">
        <f t="shared" si="39"/>
        <v>https://web.whatsapp.com/send/?phone=628999007703&amp;text=Halo+,+Visual+AI+5S+menditeksi+Violation%3A+GUDANGEXP1-LINE+1&amp;type=phone_number&amp;app_absent=0</v>
      </c>
      <c r="AF414" t="b">
        <f>IF(ISNA(VLOOKUP(D414&amp;"-"&amp;AB414, Ref_Kontak!$A:$E, 4, FALSE)), FALSE, TRUE)</f>
        <v>0</v>
      </c>
      <c r="AG414" t="str">
        <f>_xlfn.IFNA(VLOOKUP(Z414,Ref_Kontak!H:H,1,FALSE),"FALSE")</f>
        <v>628999007703</v>
      </c>
      <c r="AH414" t="str">
        <f t="shared" si="41"/>
        <v>GUDANGEXP1-LINE 1</v>
      </c>
      <c r="AI414">
        <f>COUNTIF($AH$1:AH414,AH414)</f>
        <v>413</v>
      </c>
    </row>
    <row r="415" spans="1:35">
      <c r="A415" t="s">
        <v>56</v>
      </c>
      <c r="B415" t="s">
        <v>57</v>
      </c>
      <c r="C415" t="s">
        <v>477</v>
      </c>
      <c r="D415" t="s">
        <v>59</v>
      </c>
      <c r="E415">
        <v>1</v>
      </c>
      <c r="G415" t="s">
        <v>60</v>
      </c>
      <c r="I415" t="s">
        <v>61</v>
      </c>
      <c r="Z415" t="str">
        <f>IFERROR(MID(AA415,FIND("-",H415,1)+1,20),_xlfn.IFNA(VLOOKUP(F415&amp;"-"&amp;AA415,Ref_Kontak!$A:$E,4,FALSE),Ref_Kontak!$H$2))</f>
        <v>628999007703</v>
      </c>
      <c r="AA415" t="str">
        <f t="shared" si="36"/>
        <v/>
      </c>
      <c r="AB415" t="str">
        <f t="shared" si="37"/>
        <v/>
      </c>
      <c r="AC415" t="str">
        <f t="shared" si="38"/>
        <v>628999007703</v>
      </c>
      <c r="AD415" t="str">
        <f t="shared" si="40"/>
        <v>Halo+,+Visual+AI+5S+menditeksi+Violation%3A+GUDANGEXP1-LINE+1</v>
      </c>
      <c r="AE415" t="str">
        <f t="shared" si="39"/>
        <v>https://web.whatsapp.com/send/?phone=628999007703&amp;text=Halo+,+Visual+AI+5S+menditeksi+Violation%3A+GUDANGEXP1-LINE+1&amp;type=phone_number&amp;app_absent=0</v>
      </c>
      <c r="AF415" t="b">
        <f>IF(ISNA(VLOOKUP(D415&amp;"-"&amp;AB415, Ref_Kontak!$A:$E, 4, FALSE)), FALSE, TRUE)</f>
        <v>0</v>
      </c>
      <c r="AG415" t="str">
        <f>_xlfn.IFNA(VLOOKUP(Z415,Ref_Kontak!H:H,1,FALSE),"FALSE")</f>
        <v>628999007703</v>
      </c>
      <c r="AH415" t="str">
        <f t="shared" si="41"/>
        <v>GUDANGEXP1-LINE 1</v>
      </c>
      <c r="AI415">
        <f>COUNTIF($AH$1:AH415,AH415)</f>
        <v>414</v>
      </c>
    </row>
    <row r="416" spans="1:35">
      <c r="A416" t="s">
        <v>56</v>
      </c>
      <c r="B416" t="s">
        <v>57</v>
      </c>
      <c r="C416" t="s">
        <v>478</v>
      </c>
      <c r="D416" t="s">
        <v>59</v>
      </c>
      <c r="E416">
        <v>1</v>
      </c>
      <c r="G416" t="s">
        <v>60</v>
      </c>
      <c r="I416" t="s">
        <v>61</v>
      </c>
      <c r="Z416" t="str">
        <f>IFERROR(MID(AA416,FIND("-",H416,1)+1,20),_xlfn.IFNA(VLOOKUP(F416&amp;"-"&amp;AA416,Ref_Kontak!$A:$E,4,FALSE),Ref_Kontak!$H$2))</f>
        <v>628999007703</v>
      </c>
      <c r="AA416" t="str">
        <f t="shared" si="36"/>
        <v/>
      </c>
      <c r="AB416" t="str">
        <f t="shared" si="37"/>
        <v/>
      </c>
      <c r="AC416" t="str">
        <f t="shared" si="38"/>
        <v>628999007703</v>
      </c>
      <c r="AD416" t="str">
        <f t="shared" si="40"/>
        <v>Halo+,+Visual+AI+5S+menditeksi+Violation%3A+GUDANGEXP1-LINE+1</v>
      </c>
      <c r="AE416" t="str">
        <f t="shared" si="39"/>
        <v>https://web.whatsapp.com/send/?phone=628999007703&amp;text=Halo+,+Visual+AI+5S+menditeksi+Violation%3A+GUDANGEXP1-LINE+1&amp;type=phone_number&amp;app_absent=0</v>
      </c>
      <c r="AF416" t="b">
        <f>IF(ISNA(VLOOKUP(D416&amp;"-"&amp;AB416, Ref_Kontak!$A:$E, 4, FALSE)), FALSE, TRUE)</f>
        <v>0</v>
      </c>
      <c r="AG416" t="str">
        <f>_xlfn.IFNA(VLOOKUP(Z416,Ref_Kontak!H:H,1,FALSE),"FALSE")</f>
        <v>628999007703</v>
      </c>
      <c r="AH416" t="str">
        <f t="shared" si="41"/>
        <v>GUDANGEXP1-LINE 1</v>
      </c>
      <c r="AI416">
        <f>COUNTIF($AH$1:AH416,AH416)</f>
        <v>415</v>
      </c>
    </row>
    <row r="417" spans="1:35">
      <c r="A417" t="s">
        <v>56</v>
      </c>
      <c r="B417" t="s">
        <v>57</v>
      </c>
      <c r="C417" t="s">
        <v>479</v>
      </c>
      <c r="D417" t="s">
        <v>59</v>
      </c>
      <c r="E417">
        <v>1</v>
      </c>
      <c r="G417" t="s">
        <v>60</v>
      </c>
      <c r="I417" t="s">
        <v>61</v>
      </c>
      <c r="Z417" t="str">
        <f>IFERROR(MID(AA417,FIND("-",H417,1)+1,20),_xlfn.IFNA(VLOOKUP(F417&amp;"-"&amp;AA417,Ref_Kontak!$A:$E,4,FALSE),Ref_Kontak!$H$2))</f>
        <v>628999007703</v>
      </c>
      <c r="AA417" t="str">
        <f t="shared" si="36"/>
        <v/>
      </c>
      <c r="AB417" t="str">
        <f t="shared" si="37"/>
        <v/>
      </c>
      <c r="AC417" t="str">
        <f t="shared" si="38"/>
        <v>628999007703</v>
      </c>
      <c r="AD417" t="str">
        <f t="shared" si="40"/>
        <v>Halo+,+Visual+AI+5S+menditeksi+Violation%3A+GUDANGEXP1-LINE+1</v>
      </c>
      <c r="AE417" t="str">
        <f t="shared" si="39"/>
        <v>https://web.whatsapp.com/send/?phone=628999007703&amp;text=Halo+,+Visual+AI+5S+menditeksi+Violation%3A+GUDANGEXP1-LINE+1&amp;type=phone_number&amp;app_absent=0</v>
      </c>
      <c r="AF417" t="b">
        <f>IF(ISNA(VLOOKUP(D417&amp;"-"&amp;AB417, Ref_Kontak!$A:$E, 4, FALSE)), FALSE, TRUE)</f>
        <v>0</v>
      </c>
      <c r="AG417" t="str">
        <f>_xlfn.IFNA(VLOOKUP(Z417,Ref_Kontak!H:H,1,FALSE),"FALSE")</f>
        <v>628999007703</v>
      </c>
      <c r="AH417" t="str">
        <f t="shared" si="41"/>
        <v>GUDANGEXP1-LINE 1</v>
      </c>
      <c r="AI417">
        <f>COUNTIF($AH$1:AH417,AH417)</f>
        <v>416</v>
      </c>
    </row>
    <row r="418" spans="1:35">
      <c r="A418" t="s">
        <v>56</v>
      </c>
      <c r="B418" t="s">
        <v>57</v>
      </c>
      <c r="C418" t="s">
        <v>480</v>
      </c>
      <c r="D418" t="s">
        <v>59</v>
      </c>
      <c r="E418">
        <v>1</v>
      </c>
      <c r="G418" t="s">
        <v>60</v>
      </c>
      <c r="I418" t="s">
        <v>61</v>
      </c>
      <c r="Z418" t="str">
        <f>IFERROR(MID(AA418,FIND("-",H418,1)+1,20),_xlfn.IFNA(VLOOKUP(F418&amp;"-"&amp;AA418,Ref_Kontak!$A:$E,4,FALSE),Ref_Kontak!$H$2))</f>
        <v>628999007703</v>
      </c>
      <c r="AA418" t="str">
        <f t="shared" si="36"/>
        <v/>
      </c>
      <c r="AB418" t="str">
        <f t="shared" si="37"/>
        <v/>
      </c>
      <c r="AC418" t="str">
        <f t="shared" si="38"/>
        <v>628999007703</v>
      </c>
      <c r="AD418" t="str">
        <f t="shared" si="40"/>
        <v>Halo+,+Visual+AI+5S+menditeksi+Violation%3A+GUDANGEXP1-LINE+1</v>
      </c>
      <c r="AE418" t="str">
        <f t="shared" si="39"/>
        <v>https://web.whatsapp.com/send/?phone=628999007703&amp;text=Halo+,+Visual+AI+5S+menditeksi+Violation%3A+GUDANGEXP1-LINE+1&amp;type=phone_number&amp;app_absent=0</v>
      </c>
      <c r="AF418" t="b">
        <f>IF(ISNA(VLOOKUP(D418&amp;"-"&amp;AB418, Ref_Kontak!$A:$E, 4, FALSE)), FALSE, TRUE)</f>
        <v>0</v>
      </c>
      <c r="AG418" t="str">
        <f>_xlfn.IFNA(VLOOKUP(Z418,Ref_Kontak!H:H,1,FALSE),"FALSE")</f>
        <v>628999007703</v>
      </c>
      <c r="AH418" t="str">
        <f t="shared" si="41"/>
        <v>GUDANGEXP1-LINE 1</v>
      </c>
      <c r="AI418">
        <f>COUNTIF($AH$1:AH418,AH418)</f>
        <v>417</v>
      </c>
    </row>
    <row r="419" spans="1:35">
      <c r="A419" t="s">
        <v>56</v>
      </c>
      <c r="B419" t="s">
        <v>57</v>
      </c>
      <c r="C419" t="s">
        <v>481</v>
      </c>
      <c r="D419" t="s">
        <v>59</v>
      </c>
      <c r="E419">
        <v>1</v>
      </c>
      <c r="G419" t="s">
        <v>60</v>
      </c>
      <c r="I419" t="s">
        <v>61</v>
      </c>
      <c r="Z419" t="str">
        <f>IFERROR(MID(AA419,FIND("-",H419,1)+1,20),_xlfn.IFNA(VLOOKUP(F419&amp;"-"&amp;AA419,Ref_Kontak!$A:$E,4,FALSE),Ref_Kontak!$H$2))</f>
        <v>628999007703</v>
      </c>
      <c r="AA419" t="str">
        <f t="shared" si="36"/>
        <v/>
      </c>
      <c r="AB419" t="str">
        <f t="shared" si="37"/>
        <v/>
      </c>
      <c r="AC419" t="str">
        <f t="shared" si="38"/>
        <v>628999007703</v>
      </c>
      <c r="AD419" t="str">
        <f t="shared" si="40"/>
        <v>Halo+,+Visual+AI+5S+menditeksi+Violation%3A+GUDANGEXP1-LINE+1</v>
      </c>
      <c r="AE419" t="str">
        <f t="shared" si="39"/>
        <v>https://web.whatsapp.com/send/?phone=628999007703&amp;text=Halo+,+Visual+AI+5S+menditeksi+Violation%3A+GUDANGEXP1-LINE+1&amp;type=phone_number&amp;app_absent=0</v>
      </c>
      <c r="AF419" t="b">
        <f>IF(ISNA(VLOOKUP(D419&amp;"-"&amp;AB419, Ref_Kontak!$A:$E, 4, FALSE)), FALSE, TRUE)</f>
        <v>0</v>
      </c>
      <c r="AG419" t="str">
        <f>_xlfn.IFNA(VLOOKUP(Z419,Ref_Kontak!H:H,1,FALSE),"FALSE")</f>
        <v>628999007703</v>
      </c>
      <c r="AH419" t="str">
        <f t="shared" si="41"/>
        <v>GUDANGEXP1-LINE 1</v>
      </c>
      <c r="AI419">
        <f>COUNTIF($AH$1:AH419,AH419)</f>
        <v>418</v>
      </c>
    </row>
    <row r="420" spans="1:35">
      <c r="A420" t="s">
        <v>56</v>
      </c>
      <c r="B420" t="s">
        <v>57</v>
      </c>
      <c r="C420" t="s">
        <v>482</v>
      </c>
      <c r="D420" t="s">
        <v>59</v>
      </c>
      <c r="E420">
        <v>1</v>
      </c>
      <c r="G420" t="s">
        <v>60</v>
      </c>
      <c r="I420" t="s">
        <v>61</v>
      </c>
      <c r="Z420" t="str">
        <f>IFERROR(MID(AA420,FIND("-",H420,1)+1,20),_xlfn.IFNA(VLOOKUP(F420&amp;"-"&amp;AA420,Ref_Kontak!$A:$E,4,FALSE),Ref_Kontak!$H$2))</f>
        <v>628999007703</v>
      </c>
      <c r="AA420" t="str">
        <f t="shared" si="36"/>
        <v/>
      </c>
      <c r="AB420" t="str">
        <f t="shared" si="37"/>
        <v/>
      </c>
      <c r="AC420" t="str">
        <f t="shared" si="38"/>
        <v>628999007703</v>
      </c>
      <c r="AD420" t="str">
        <f t="shared" si="40"/>
        <v>Halo+,+Visual+AI+5S+menditeksi+Violation%3A+GUDANGEXP1-LINE+1</v>
      </c>
      <c r="AE420" t="str">
        <f t="shared" si="39"/>
        <v>https://web.whatsapp.com/send/?phone=628999007703&amp;text=Halo+,+Visual+AI+5S+menditeksi+Violation%3A+GUDANGEXP1-LINE+1&amp;type=phone_number&amp;app_absent=0</v>
      </c>
      <c r="AF420" t="b">
        <f>IF(ISNA(VLOOKUP(D420&amp;"-"&amp;AB420, Ref_Kontak!$A:$E, 4, FALSE)), FALSE, TRUE)</f>
        <v>0</v>
      </c>
      <c r="AG420" t="str">
        <f>_xlfn.IFNA(VLOOKUP(Z420,Ref_Kontak!H:H,1,FALSE),"FALSE")</f>
        <v>628999007703</v>
      </c>
      <c r="AH420" t="str">
        <f t="shared" si="41"/>
        <v>GUDANGEXP1-LINE 1</v>
      </c>
      <c r="AI420">
        <f>COUNTIF($AH$1:AH420,AH420)</f>
        <v>419</v>
      </c>
    </row>
    <row r="421" spans="1:35">
      <c r="A421" t="s">
        <v>56</v>
      </c>
      <c r="B421" t="s">
        <v>57</v>
      </c>
      <c r="C421" t="s">
        <v>483</v>
      </c>
      <c r="D421" t="s">
        <v>59</v>
      </c>
      <c r="E421">
        <v>1</v>
      </c>
      <c r="G421" t="s">
        <v>60</v>
      </c>
      <c r="I421" t="s">
        <v>61</v>
      </c>
      <c r="Z421" t="str">
        <f>IFERROR(MID(AA421,FIND("-",H421,1)+1,20),_xlfn.IFNA(VLOOKUP(F421&amp;"-"&amp;AA421,Ref_Kontak!$A:$E,4,FALSE),Ref_Kontak!$H$2))</f>
        <v>628999007703</v>
      </c>
      <c r="AA421" t="str">
        <f t="shared" si="36"/>
        <v/>
      </c>
      <c r="AB421" t="str">
        <f t="shared" si="37"/>
        <v/>
      </c>
      <c r="AC421" t="str">
        <f t="shared" si="38"/>
        <v>628999007703</v>
      </c>
      <c r="AD421" t="str">
        <f t="shared" si="40"/>
        <v>Halo+,+Visual+AI+5S+menditeksi+Violation%3A+GUDANGEXP1-LINE+1</v>
      </c>
      <c r="AE421" t="str">
        <f t="shared" si="39"/>
        <v>https://web.whatsapp.com/send/?phone=628999007703&amp;text=Halo+,+Visual+AI+5S+menditeksi+Violation%3A+GUDANGEXP1-LINE+1&amp;type=phone_number&amp;app_absent=0</v>
      </c>
      <c r="AF421" t="b">
        <f>IF(ISNA(VLOOKUP(D421&amp;"-"&amp;AB421, Ref_Kontak!$A:$E, 4, FALSE)), FALSE, TRUE)</f>
        <v>0</v>
      </c>
      <c r="AG421" t="str">
        <f>_xlfn.IFNA(VLOOKUP(Z421,Ref_Kontak!H:H,1,FALSE),"FALSE")</f>
        <v>628999007703</v>
      </c>
      <c r="AH421" t="str">
        <f t="shared" si="41"/>
        <v>GUDANGEXP1-LINE 1</v>
      </c>
      <c r="AI421">
        <f>COUNTIF($AH$1:AH421,AH421)</f>
        <v>420</v>
      </c>
    </row>
    <row r="422" spans="1:35">
      <c r="A422" t="s">
        <v>56</v>
      </c>
      <c r="B422" t="s">
        <v>57</v>
      </c>
      <c r="C422" t="s">
        <v>484</v>
      </c>
      <c r="D422" t="s">
        <v>59</v>
      </c>
      <c r="E422">
        <v>1</v>
      </c>
      <c r="G422" t="s">
        <v>60</v>
      </c>
      <c r="I422" t="s">
        <v>61</v>
      </c>
      <c r="Z422" t="str">
        <f>IFERROR(MID(AA422,FIND("-",H422,1)+1,20),_xlfn.IFNA(VLOOKUP(F422&amp;"-"&amp;AA422,Ref_Kontak!$A:$E,4,FALSE),Ref_Kontak!$H$2))</f>
        <v>628999007703</v>
      </c>
      <c r="AA422" t="str">
        <f t="shared" si="36"/>
        <v/>
      </c>
      <c r="AB422" t="str">
        <f t="shared" si="37"/>
        <v/>
      </c>
      <c r="AC422" t="str">
        <f t="shared" si="38"/>
        <v>628999007703</v>
      </c>
      <c r="AD422" t="str">
        <f t="shared" si="40"/>
        <v>Halo+,+Visual+AI+5S+menditeksi+Violation%3A+GUDANGEXP1-LINE+1</v>
      </c>
      <c r="AE422" t="str">
        <f t="shared" si="39"/>
        <v>https://web.whatsapp.com/send/?phone=628999007703&amp;text=Halo+,+Visual+AI+5S+menditeksi+Violation%3A+GUDANGEXP1-LINE+1&amp;type=phone_number&amp;app_absent=0</v>
      </c>
      <c r="AF422" t="b">
        <f>IF(ISNA(VLOOKUP(D422&amp;"-"&amp;AB422, Ref_Kontak!$A:$E, 4, FALSE)), FALSE, TRUE)</f>
        <v>0</v>
      </c>
      <c r="AG422" t="str">
        <f>_xlfn.IFNA(VLOOKUP(Z422,Ref_Kontak!H:H,1,FALSE),"FALSE")</f>
        <v>628999007703</v>
      </c>
      <c r="AH422" t="str">
        <f t="shared" si="41"/>
        <v>GUDANGEXP1-LINE 1</v>
      </c>
      <c r="AI422">
        <f>COUNTIF($AH$1:AH422,AH422)</f>
        <v>421</v>
      </c>
    </row>
    <row r="423" spans="1:35">
      <c r="A423" t="s">
        <v>56</v>
      </c>
      <c r="B423" t="s">
        <v>57</v>
      </c>
      <c r="C423" t="s">
        <v>485</v>
      </c>
      <c r="D423" t="s">
        <v>59</v>
      </c>
      <c r="E423">
        <v>1</v>
      </c>
      <c r="G423" t="s">
        <v>60</v>
      </c>
      <c r="I423" t="s">
        <v>61</v>
      </c>
      <c r="Z423" t="str">
        <f>IFERROR(MID(AA423,FIND("-",H423,1)+1,20),_xlfn.IFNA(VLOOKUP(F423&amp;"-"&amp;AA423,Ref_Kontak!$A:$E,4,FALSE),Ref_Kontak!$H$2))</f>
        <v>628999007703</v>
      </c>
      <c r="AA423" t="str">
        <f t="shared" si="36"/>
        <v/>
      </c>
      <c r="AB423" t="str">
        <f t="shared" si="37"/>
        <v/>
      </c>
      <c r="AC423" t="str">
        <f t="shared" si="38"/>
        <v>628999007703</v>
      </c>
      <c r="AD423" t="str">
        <f t="shared" si="40"/>
        <v>Halo+,+Visual+AI+5S+menditeksi+Violation%3A+GUDANGEXP1-LINE+1</v>
      </c>
      <c r="AE423" t="str">
        <f t="shared" si="39"/>
        <v>https://web.whatsapp.com/send/?phone=628999007703&amp;text=Halo+,+Visual+AI+5S+menditeksi+Violation%3A+GUDANGEXP1-LINE+1&amp;type=phone_number&amp;app_absent=0</v>
      </c>
      <c r="AF423" t="b">
        <f>IF(ISNA(VLOOKUP(D423&amp;"-"&amp;AB423, Ref_Kontak!$A:$E, 4, FALSE)), FALSE, TRUE)</f>
        <v>0</v>
      </c>
      <c r="AG423" t="str">
        <f>_xlfn.IFNA(VLOOKUP(Z423,Ref_Kontak!H:H,1,FALSE),"FALSE")</f>
        <v>628999007703</v>
      </c>
      <c r="AH423" t="str">
        <f t="shared" si="41"/>
        <v>GUDANGEXP1-LINE 1</v>
      </c>
      <c r="AI423">
        <f>COUNTIF($AH$1:AH423,AH423)</f>
        <v>422</v>
      </c>
    </row>
    <row r="424" spans="1:35">
      <c r="A424" t="s">
        <v>56</v>
      </c>
      <c r="B424" t="s">
        <v>57</v>
      </c>
      <c r="C424" t="s">
        <v>486</v>
      </c>
      <c r="D424" t="s">
        <v>59</v>
      </c>
      <c r="E424">
        <v>1</v>
      </c>
      <c r="G424" t="s">
        <v>60</v>
      </c>
      <c r="I424" t="s">
        <v>61</v>
      </c>
      <c r="Z424" t="str">
        <f>IFERROR(MID(AA424,FIND("-",H424,1)+1,20),_xlfn.IFNA(VLOOKUP(F424&amp;"-"&amp;AA424,Ref_Kontak!$A:$E,4,FALSE),Ref_Kontak!$H$2))</f>
        <v>628999007703</v>
      </c>
      <c r="AA424" t="str">
        <f t="shared" si="36"/>
        <v/>
      </c>
      <c r="AB424" t="str">
        <f t="shared" si="37"/>
        <v/>
      </c>
      <c r="AC424" t="str">
        <f t="shared" si="38"/>
        <v>628999007703</v>
      </c>
      <c r="AD424" t="str">
        <f t="shared" si="40"/>
        <v>Halo+,+Visual+AI+5S+menditeksi+Violation%3A+GUDANGEXP1-LINE+1</v>
      </c>
      <c r="AE424" t="str">
        <f t="shared" si="39"/>
        <v>https://web.whatsapp.com/send/?phone=628999007703&amp;text=Halo+,+Visual+AI+5S+menditeksi+Violation%3A+GUDANGEXP1-LINE+1&amp;type=phone_number&amp;app_absent=0</v>
      </c>
      <c r="AF424" t="b">
        <f>IF(ISNA(VLOOKUP(D424&amp;"-"&amp;AB424, Ref_Kontak!$A:$E, 4, FALSE)), FALSE, TRUE)</f>
        <v>0</v>
      </c>
      <c r="AG424" t="str">
        <f>_xlfn.IFNA(VLOOKUP(Z424,Ref_Kontak!H:H,1,FALSE),"FALSE")</f>
        <v>628999007703</v>
      </c>
      <c r="AH424" t="str">
        <f t="shared" si="41"/>
        <v>GUDANGEXP1-LINE 1</v>
      </c>
      <c r="AI424">
        <f>COUNTIF($AH$1:AH424,AH424)</f>
        <v>423</v>
      </c>
    </row>
    <row r="425" spans="1:35">
      <c r="A425" t="s">
        <v>56</v>
      </c>
      <c r="B425" t="s">
        <v>57</v>
      </c>
      <c r="C425" t="s">
        <v>487</v>
      </c>
      <c r="D425" t="s">
        <v>59</v>
      </c>
      <c r="E425">
        <v>1</v>
      </c>
      <c r="G425" t="s">
        <v>60</v>
      </c>
      <c r="I425" t="s">
        <v>61</v>
      </c>
      <c r="Z425" t="str">
        <f>IFERROR(MID(AA425,FIND("-",H425,1)+1,20),_xlfn.IFNA(VLOOKUP(F425&amp;"-"&amp;AA425,Ref_Kontak!$A:$E,4,FALSE),Ref_Kontak!$H$2))</f>
        <v>628999007703</v>
      </c>
      <c r="AA425" t="str">
        <f t="shared" si="36"/>
        <v/>
      </c>
      <c r="AB425" t="str">
        <f t="shared" si="37"/>
        <v/>
      </c>
      <c r="AC425" t="str">
        <f t="shared" si="38"/>
        <v>628999007703</v>
      </c>
      <c r="AD425" t="str">
        <f t="shared" si="40"/>
        <v>Halo+,+Visual+AI+5S+menditeksi+Violation%3A+GUDANGEXP1-LINE+1</v>
      </c>
      <c r="AE425" t="str">
        <f t="shared" si="39"/>
        <v>https://web.whatsapp.com/send/?phone=628999007703&amp;text=Halo+,+Visual+AI+5S+menditeksi+Violation%3A+GUDANGEXP1-LINE+1&amp;type=phone_number&amp;app_absent=0</v>
      </c>
      <c r="AF425" t="b">
        <f>IF(ISNA(VLOOKUP(D425&amp;"-"&amp;AB425, Ref_Kontak!$A:$E, 4, FALSE)), FALSE, TRUE)</f>
        <v>0</v>
      </c>
      <c r="AG425" t="str">
        <f>_xlfn.IFNA(VLOOKUP(Z425,Ref_Kontak!H:H,1,FALSE),"FALSE")</f>
        <v>628999007703</v>
      </c>
      <c r="AH425" t="str">
        <f t="shared" si="41"/>
        <v>GUDANGEXP1-LINE 1</v>
      </c>
      <c r="AI425">
        <f>COUNTIF($AH$1:AH425,AH425)</f>
        <v>424</v>
      </c>
    </row>
    <row r="426" spans="1:35">
      <c r="A426" t="s">
        <v>56</v>
      </c>
      <c r="B426" t="s">
        <v>57</v>
      </c>
      <c r="C426" t="s">
        <v>488</v>
      </c>
      <c r="D426" t="s">
        <v>59</v>
      </c>
      <c r="E426">
        <v>1</v>
      </c>
      <c r="G426" t="s">
        <v>60</v>
      </c>
      <c r="I426" t="s">
        <v>61</v>
      </c>
      <c r="Z426" t="str">
        <f>IFERROR(MID(AA426,FIND("-",H426,1)+1,20),_xlfn.IFNA(VLOOKUP(F426&amp;"-"&amp;AA426,Ref_Kontak!$A:$E,4,FALSE),Ref_Kontak!$H$2))</f>
        <v>628999007703</v>
      </c>
      <c r="AA426" t="str">
        <f t="shared" si="36"/>
        <v/>
      </c>
      <c r="AB426" t="str">
        <f t="shared" si="37"/>
        <v/>
      </c>
      <c r="AC426" t="str">
        <f t="shared" si="38"/>
        <v>628999007703</v>
      </c>
      <c r="AD426" t="str">
        <f t="shared" si="40"/>
        <v>Halo+,+Visual+AI+5S+menditeksi+Violation%3A+GUDANGEXP1-LINE+1</v>
      </c>
      <c r="AE426" t="str">
        <f t="shared" si="39"/>
        <v>https://web.whatsapp.com/send/?phone=628999007703&amp;text=Halo+,+Visual+AI+5S+menditeksi+Violation%3A+GUDANGEXP1-LINE+1&amp;type=phone_number&amp;app_absent=0</v>
      </c>
      <c r="AF426" t="b">
        <f>IF(ISNA(VLOOKUP(D426&amp;"-"&amp;AB426, Ref_Kontak!$A:$E, 4, FALSE)), FALSE, TRUE)</f>
        <v>0</v>
      </c>
      <c r="AG426" t="str">
        <f>_xlfn.IFNA(VLOOKUP(Z426,Ref_Kontak!H:H,1,FALSE),"FALSE")</f>
        <v>628999007703</v>
      </c>
      <c r="AH426" t="str">
        <f t="shared" si="41"/>
        <v>GUDANGEXP1-LINE 1</v>
      </c>
      <c r="AI426">
        <f>COUNTIF($AH$1:AH426,AH426)</f>
        <v>425</v>
      </c>
    </row>
    <row r="427" spans="1:35">
      <c r="A427" t="s">
        <v>56</v>
      </c>
      <c r="B427" t="s">
        <v>57</v>
      </c>
      <c r="C427" t="s">
        <v>489</v>
      </c>
      <c r="D427" t="s">
        <v>59</v>
      </c>
      <c r="E427">
        <v>1</v>
      </c>
      <c r="G427" t="s">
        <v>60</v>
      </c>
      <c r="I427" t="s">
        <v>61</v>
      </c>
      <c r="Z427" t="str">
        <f>IFERROR(MID(AA427,FIND("-",H427,1)+1,20),_xlfn.IFNA(VLOOKUP(F427&amp;"-"&amp;AA427,Ref_Kontak!$A:$E,4,FALSE),Ref_Kontak!$H$2))</f>
        <v>628999007703</v>
      </c>
      <c r="AA427" t="str">
        <f t="shared" si="36"/>
        <v/>
      </c>
      <c r="AB427" t="str">
        <f t="shared" si="37"/>
        <v/>
      </c>
      <c r="AC427" t="str">
        <f t="shared" si="38"/>
        <v>628999007703</v>
      </c>
      <c r="AD427" t="str">
        <f t="shared" si="40"/>
        <v>Halo+,+Visual+AI+5S+menditeksi+Violation%3A+GUDANGEXP1-LINE+1</v>
      </c>
      <c r="AE427" t="str">
        <f t="shared" si="39"/>
        <v>https://web.whatsapp.com/send/?phone=628999007703&amp;text=Halo+,+Visual+AI+5S+menditeksi+Violation%3A+GUDANGEXP1-LINE+1&amp;type=phone_number&amp;app_absent=0</v>
      </c>
      <c r="AF427" t="b">
        <f>IF(ISNA(VLOOKUP(D427&amp;"-"&amp;AB427, Ref_Kontak!$A:$E, 4, FALSE)), FALSE, TRUE)</f>
        <v>0</v>
      </c>
      <c r="AG427" t="str">
        <f>_xlfn.IFNA(VLOOKUP(Z427,Ref_Kontak!H:H,1,FALSE),"FALSE")</f>
        <v>628999007703</v>
      </c>
      <c r="AH427" t="str">
        <f t="shared" si="41"/>
        <v>GUDANGEXP1-LINE 1</v>
      </c>
      <c r="AI427">
        <f>COUNTIF($AH$1:AH427,AH427)</f>
        <v>426</v>
      </c>
    </row>
    <row r="428" spans="1:35">
      <c r="A428" t="s">
        <v>56</v>
      </c>
      <c r="B428" t="s">
        <v>57</v>
      </c>
      <c r="C428" t="s">
        <v>490</v>
      </c>
      <c r="D428" t="s">
        <v>59</v>
      </c>
      <c r="E428">
        <v>1</v>
      </c>
      <c r="G428" t="s">
        <v>60</v>
      </c>
      <c r="I428" t="s">
        <v>61</v>
      </c>
      <c r="Z428" t="str">
        <f>IFERROR(MID(AA428,FIND("-",H428,1)+1,20),_xlfn.IFNA(VLOOKUP(F428&amp;"-"&amp;AA428,Ref_Kontak!$A:$E,4,FALSE),Ref_Kontak!$H$2))</f>
        <v>628999007703</v>
      </c>
      <c r="AA428" t="str">
        <f t="shared" si="36"/>
        <v/>
      </c>
      <c r="AB428" t="str">
        <f t="shared" si="37"/>
        <v/>
      </c>
      <c r="AC428" t="str">
        <f t="shared" si="38"/>
        <v>628999007703</v>
      </c>
      <c r="AD428" t="str">
        <f t="shared" si="40"/>
        <v>Halo+,+Visual+AI+5S+menditeksi+Violation%3A+GUDANGEXP1-LINE+1</v>
      </c>
      <c r="AE428" t="str">
        <f t="shared" si="39"/>
        <v>https://web.whatsapp.com/send/?phone=628999007703&amp;text=Halo+,+Visual+AI+5S+menditeksi+Violation%3A+GUDANGEXP1-LINE+1&amp;type=phone_number&amp;app_absent=0</v>
      </c>
      <c r="AF428" t="b">
        <f>IF(ISNA(VLOOKUP(D428&amp;"-"&amp;AB428, Ref_Kontak!$A:$E, 4, FALSE)), FALSE, TRUE)</f>
        <v>0</v>
      </c>
      <c r="AG428" t="str">
        <f>_xlfn.IFNA(VLOOKUP(Z428,Ref_Kontak!H:H,1,FALSE),"FALSE")</f>
        <v>628999007703</v>
      </c>
      <c r="AH428" t="str">
        <f t="shared" si="41"/>
        <v>GUDANGEXP1-LINE 1</v>
      </c>
      <c r="AI428">
        <f>COUNTIF($AH$1:AH428,AH428)</f>
        <v>427</v>
      </c>
    </row>
    <row r="429" spans="1:35">
      <c r="A429" t="s">
        <v>56</v>
      </c>
      <c r="B429" t="s">
        <v>57</v>
      </c>
      <c r="C429" t="s">
        <v>491</v>
      </c>
      <c r="D429" t="s">
        <v>59</v>
      </c>
      <c r="E429">
        <v>1</v>
      </c>
      <c r="G429" t="s">
        <v>60</v>
      </c>
      <c r="I429" t="s">
        <v>61</v>
      </c>
      <c r="Z429" t="str">
        <f>IFERROR(MID(AA429,FIND("-",H429,1)+1,20),_xlfn.IFNA(VLOOKUP(F429&amp;"-"&amp;AA429,Ref_Kontak!$A:$E,4,FALSE),Ref_Kontak!$H$2))</f>
        <v>628999007703</v>
      </c>
      <c r="AA429" t="str">
        <f t="shared" si="36"/>
        <v/>
      </c>
      <c r="AB429" t="str">
        <f t="shared" si="37"/>
        <v/>
      </c>
      <c r="AC429" t="str">
        <f t="shared" si="38"/>
        <v>628999007703</v>
      </c>
      <c r="AD429" t="str">
        <f t="shared" si="40"/>
        <v>Halo+,+Visual+AI+5S+menditeksi+Violation%3A+GUDANGEXP1-LINE+1</v>
      </c>
      <c r="AE429" t="str">
        <f t="shared" si="39"/>
        <v>https://web.whatsapp.com/send/?phone=628999007703&amp;text=Halo+,+Visual+AI+5S+menditeksi+Violation%3A+GUDANGEXP1-LINE+1&amp;type=phone_number&amp;app_absent=0</v>
      </c>
      <c r="AF429" t="b">
        <f>IF(ISNA(VLOOKUP(D429&amp;"-"&amp;AB429, Ref_Kontak!$A:$E, 4, FALSE)), FALSE, TRUE)</f>
        <v>0</v>
      </c>
      <c r="AG429" t="str">
        <f>_xlfn.IFNA(VLOOKUP(Z429,Ref_Kontak!H:H,1,FALSE),"FALSE")</f>
        <v>628999007703</v>
      </c>
      <c r="AH429" t="str">
        <f t="shared" si="41"/>
        <v>GUDANGEXP1-LINE 1</v>
      </c>
      <c r="AI429">
        <f>COUNTIF($AH$1:AH429,AH429)</f>
        <v>428</v>
      </c>
    </row>
    <row r="430" spans="1:35">
      <c r="A430" t="s">
        <v>56</v>
      </c>
      <c r="B430" t="s">
        <v>57</v>
      </c>
      <c r="C430" t="s">
        <v>492</v>
      </c>
      <c r="D430" t="s">
        <v>59</v>
      </c>
      <c r="E430">
        <v>1</v>
      </c>
      <c r="G430" t="s">
        <v>60</v>
      </c>
      <c r="I430" t="s">
        <v>61</v>
      </c>
      <c r="Z430" t="str">
        <f>IFERROR(MID(AA430,FIND("-",H430,1)+1,20),_xlfn.IFNA(VLOOKUP(F430&amp;"-"&amp;AA430,Ref_Kontak!$A:$E,4,FALSE),Ref_Kontak!$H$2))</f>
        <v>628999007703</v>
      </c>
      <c r="AA430" t="str">
        <f t="shared" si="36"/>
        <v/>
      </c>
      <c r="AB430" t="str">
        <f t="shared" si="37"/>
        <v/>
      </c>
      <c r="AC430" t="str">
        <f t="shared" si="38"/>
        <v>628999007703</v>
      </c>
      <c r="AD430" t="str">
        <f t="shared" si="40"/>
        <v>Halo+,+Visual+AI+5S+menditeksi+Violation%3A+GUDANGEXP1-LINE+1</v>
      </c>
      <c r="AE430" t="str">
        <f t="shared" si="39"/>
        <v>https://web.whatsapp.com/send/?phone=628999007703&amp;text=Halo+,+Visual+AI+5S+menditeksi+Violation%3A+GUDANGEXP1-LINE+1&amp;type=phone_number&amp;app_absent=0</v>
      </c>
      <c r="AF430" t="b">
        <f>IF(ISNA(VLOOKUP(D430&amp;"-"&amp;AB430, Ref_Kontak!$A:$E, 4, FALSE)), FALSE, TRUE)</f>
        <v>0</v>
      </c>
      <c r="AG430" t="str">
        <f>_xlfn.IFNA(VLOOKUP(Z430,Ref_Kontak!H:H,1,FALSE),"FALSE")</f>
        <v>628999007703</v>
      </c>
      <c r="AH430" t="str">
        <f t="shared" si="41"/>
        <v>GUDANGEXP1-LINE 1</v>
      </c>
      <c r="AI430">
        <f>COUNTIF($AH$1:AH430,AH430)</f>
        <v>429</v>
      </c>
    </row>
    <row r="431" spans="1:35">
      <c r="A431" t="s">
        <v>56</v>
      </c>
      <c r="B431" t="s">
        <v>57</v>
      </c>
      <c r="C431" t="s">
        <v>493</v>
      </c>
      <c r="D431" t="s">
        <v>59</v>
      </c>
      <c r="E431">
        <v>1</v>
      </c>
      <c r="G431" t="s">
        <v>60</v>
      </c>
      <c r="I431" t="s">
        <v>61</v>
      </c>
      <c r="Z431" t="str">
        <f>IFERROR(MID(AA431,FIND("-",H431,1)+1,20),_xlfn.IFNA(VLOOKUP(F431&amp;"-"&amp;AA431,Ref_Kontak!$A:$E,4,FALSE),Ref_Kontak!$H$2))</f>
        <v>628999007703</v>
      </c>
      <c r="AA431" t="str">
        <f t="shared" si="36"/>
        <v/>
      </c>
      <c r="AB431" t="str">
        <f t="shared" si="37"/>
        <v/>
      </c>
      <c r="AC431" t="str">
        <f t="shared" si="38"/>
        <v>628999007703</v>
      </c>
      <c r="AD431" t="str">
        <f t="shared" si="40"/>
        <v>Halo+,+Visual+AI+5S+menditeksi+Violation%3A+GUDANGEXP1-LINE+1</v>
      </c>
      <c r="AE431" t="str">
        <f t="shared" si="39"/>
        <v>https://web.whatsapp.com/send/?phone=628999007703&amp;text=Halo+,+Visual+AI+5S+menditeksi+Violation%3A+GUDANGEXP1-LINE+1&amp;type=phone_number&amp;app_absent=0</v>
      </c>
      <c r="AF431" t="b">
        <f>IF(ISNA(VLOOKUP(D431&amp;"-"&amp;AB431, Ref_Kontak!$A:$E, 4, FALSE)), FALSE, TRUE)</f>
        <v>0</v>
      </c>
      <c r="AG431" t="str">
        <f>_xlfn.IFNA(VLOOKUP(Z431,Ref_Kontak!H:H,1,FALSE),"FALSE")</f>
        <v>628999007703</v>
      </c>
      <c r="AH431" t="str">
        <f t="shared" si="41"/>
        <v>GUDANGEXP1-LINE 1</v>
      </c>
      <c r="AI431">
        <f>COUNTIF($AH$1:AH431,AH431)</f>
        <v>430</v>
      </c>
    </row>
    <row r="432" spans="1:35">
      <c r="A432" t="s">
        <v>56</v>
      </c>
      <c r="B432" t="s">
        <v>57</v>
      </c>
      <c r="C432" t="s">
        <v>494</v>
      </c>
      <c r="D432" t="s">
        <v>59</v>
      </c>
      <c r="E432">
        <v>1</v>
      </c>
      <c r="G432" t="s">
        <v>60</v>
      </c>
      <c r="I432" t="s">
        <v>61</v>
      </c>
      <c r="Z432" t="str">
        <f>IFERROR(MID(AA432,FIND("-",H432,1)+1,20),_xlfn.IFNA(VLOOKUP(F432&amp;"-"&amp;AA432,Ref_Kontak!$A:$E,4,FALSE),Ref_Kontak!$H$2))</f>
        <v>628999007703</v>
      </c>
      <c r="AA432" t="str">
        <f t="shared" si="36"/>
        <v/>
      </c>
      <c r="AB432" t="str">
        <f t="shared" si="37"/>
        <v/>
      </c>
      <c r="AC432" t="str">
        <f t="shared" si="38"/>
        <v>628999007703</v>
      </c>
      <c r="AD432" t="str">
        <f t="shared" si="40"/>
        <v>Halo+,+Visual+AI+5S+menditeksi+Violation%3A+GUDANGEXP1-LINE+1</v>
      </c>
      <c r="AE432" t="str">
        <f t="shared" si="39"/>
        <v>https://web.whatsapp.com/send/?phone=628999007703&amp;text=Halo+,+Visual+AI+5S+menditeksi+Violation%3A+GUDANGEXP1-LINE+1&amp;type=phone_number&amp;app_absent=0</v>
      </c>
      <c r="AF432" t="b">
        <f>IF(ISNA(VLOOKUP(D432&amp;"-"&amp;AB432, Ref_Kontak!$A:$E, 4, FALSE)), FALSE, TRUE)</f>
        <v>0</v>
      </c>
      <c r="AG432" t="str">
        <f>_xlfn.IFNA(VLOOKUP(Z432,Ref_Kontak!H:H,1,FALSE),"FALSE")</f>
        <v>628999007703</v>
      </c>
      <c r="AH432" t="str">
        <f t="shared" si="41"/>
        <v>GUDANGEXP1-LINE 1</v>
      </c>
      <c r="AI432">
        <f>COUNTIF($AH$1:AH432,AH432)</f>
        <v>431</v>
      </c>
    </row>
    <row r="433" spans="1:35">
      <c r="A433" t="s">
        <v>56</v>
      </c>
      <c r="B433" t="s">
        <v>57</v>
      </c>
      <c r="C433" t="s">
        <v>495</v>
      </c>
      <c r="D433" t="s">
        <v>59</v>
      </c>
      <c r="E433">
        <v>1</v>
      </c>
      <c r="G433" t="s">
        <v>60</v>
      </c>
      <c r="I433" t="s">
        <v>61</v>
      </c>
      <c r="Z433" t="str">
        <f>IFERROR(MID(AA433,FIND("-",H433,1)+1,20),_xlfn.IFNA(VLOOKUP(F433&amp;"-"&amp;AA433,Ref_Kontak!$A:$E,4,FALSE),Ref_Kontak!$H$2))</f>
        <v>628999007703</v>
      </c>
      <c r="AA433" t="str">
        <f t="shared" si="36"/>
        <v/>
      </c>
      <c r="AB433" t="str">
        <f t="shared" si="37"/>
        <v/>
      </c>
      <c r="AC433" t="str">
        <f t="shared" si="38"/>
        <v>628999007703</v>
      </c>
      <c r="AD433" t="str">
        <f t="shared" si="40"/>
        <v>Halo+,+Visual+AI+5S+menditeksi+Violation%3A+GUDANGEXP1-LINE+1</v>
      </c>
      <c r="AE433" t="str">
        <f t="shared" si="39"/>
        <v>https://web.whatsapp.com/send/?phone=628999007703&amp;text=Halo+,+Visual+AI+5S+menditeksi+Violation%3A+GUDANGEXP1-LINE+1&amp;type=phone_number&amp;app_absent=0</v>
      </c>
      <c r="AF433" t="b">
        <f>IF(ISNA(VLOOKUP(D433&amp;"-"&amp;AB433, Ref_Kontak!$A:$E, 4, FALSE)), FALSE, TRUE)</f>
        <v>0</v>
      </c>
      <c r="AG433" t="str">
        <f>_xlfn.IFNA(VLOOKUP(Z433,Ref_Kontak!H:H,1,FALSE),"FALSE")</f>
        <v>628999007703</v>
      </c>
      <c r="AH433" t="str">
        <f t="shared" si="41"/>
        <v>GUDANGEXP1-LINE 1</v>
      </c>
      <c r="AI433">
        <f>COUNTIF($AH$1:AH433,AH433)</f>
        <v>432</v>
      </c>
    </row>
    <row r="434" spans="1:35">
      <c r="A434" t="s">
        <v>56</v>
      </c>
      <c r="B434" t="s">
        <v>57</v>
      </c>
      <c r="C434" t="s">
        <v>496</v>
      </c>
      <c r="D434" t="s">
        <v>59</v>
      </c>
      <c r="E434">
        <v>1</v>
      </c>
      <c r="G434" t="s">
        <v>60</v>
      </c>
      <c r="I434" t="s">
        <v>61</v>
      </c>
      <c r="Z434" t="str">
        <f>IFERROR(MID(AA434,FIND("-",H434,1)+1,20),_xlfn.IFNA(VLOOKUP(F434&amp;"-"&amp;AA434,Ref_Kontak!$A:$E,4,FALSE),Ref_Kontak!$H$2))</f>
        <v>628999007703</v>
      </c>
      <c r="AA434" t="str">
        <f t="shared" si="36"/>
        <v/>
      </c>
      <c r="AB434" t="str">
        <f t="shared" si="37"/>
        <v/>
      </c>
      <c r="AC434" t="str">
        <f t="shared" si="38"/>
        <v>628999007703</v>
      </c>
      <c r="AD434" t="str">
        <f t="shared" si="40"/>
        <v>Halo+,+Visual+AI+5S+menditeksi+Violation%3A+GUDANGEXP1-LINE+1</v>
      </c>
      <c r="AE434" t="str">
        <f t="shared" si="39"/>
        <v>https://web.whatsapp.com/send/?phone=628999007703&amp;text=Halo+,+Visual+AI+5S+menditeksi+Violation%3A+GUDANGEXP1-LINE+1&amp;type=phone_number&amp;app_absent=0</v>
      </c>
      <c r="AF434" t="b">
        <f>IF(ISNA(VLOOKUP(D434&amp;"-"&amp;AB434, Ref_Kontak!$A:$E, 4, FALSE)), FALSE, TRUE)</f>
        <v>0</v>
      </c>
      <c r="AG434" t="str">
        <f>_xlfn.IFNA(VLOOKUP(Z434,Ref_Kontak!H:H,1,FALSE),"FALSE")</f>
        <v>628999007703</v>
      </c>
      <c r="AH434" t="str">
        <f t="shared" si="41"/>
        <v>GUDANGEXP1-LINE 1</v>
      </c>
      <c r="AI434">
        <f>COUNTIF($AH$1:AH434,AH434)</f>
        <v>433</v>
      </c>
    </row>
    <row r="435" spans="1:35">
      <c r="A435" t="s">
        <v>56</v>
      </c>
      <c r="B435" t="s">
        <v>57</v>
      </c>
      <c r="C435" t="s">
        <v>497</v>
      </c>
      <c r="D435" t="s">
        <v>59</v>
      </c>
      <c r="E435">
        <v>1</v>
      </c>
      <c r="G435" t="s">
        <v>60</v>
      </c>
      <c r="I435" t="s">
        <v>61</v>
      </c>
      <c r="Z435" t="str">
        <f>IFERROR(MID(AA435,FIND("-",H435,1)+1,20),_xlfn.IFNA(VLOOKUP(F435&amp;"-"&amp;AA435,Ref_Kontak!$A:$E,4,FALSE),Ref_Kontak!$H$2))</f>
        <v>628999007703</v>
      </c>
      <c r="AA435" t="str">
        <f t="shared" si="36"/>
        <v/>
      </c>
      <c r="AB435" t="str">
        <f t="shared" si="37"/>
        <v/>
      </c>
      <c r="AC435" t="str">
        <f t="shared" si="38"/>
        <v>628999007703</v>
      </c>
      <c r="AD435" t="str">
        <f t="shared" si="40"/>
        <v>Halo+,+Visual+AI+5S+menditeksi+Violation%3A+GUDANGEXP1-LINE+1</v>
      </c>
      <c r="AE435" t="str">
        <f t="shared" si="39"/>
        <v>https://web.whatsapp.com/send/?phone=628999007703&amp;text=Halo+,+Visual+AI+5S+menditeksi+Violation%3A+GUDANGEXP1-LINE+1&amp;type=phone_number&amp;app_absent=0</v>
      </c>
      <c r="AF435" t="b">
        <f>IF(ISNA(VLOOKUP(D435&amp;"-"&amp;AB435, Ref_Kontak!$A:$E, 4, FALSE)), FALSE, TRUE)</f>
        <v>0</v>
      </c>
      <c r="AG435" t="str">
        <f>_xlfn.IFNA(VLOOKUP(Z435,Ref_Kontak!H:H,1,FALSE),"FALSE")</f>
        <v>628999007703</v>
      </c>
      <c r="AH435" t="str">
        <f t="shared" si="41"/>
        <v>GUDANGEXP1-LINE 1</v>
      </c>
      <c r="AI435">
        <f>COUNTIF($AH$1:AH435,AH435)</f>
        <v>434</v>
      </c>
    </row>
    <row r="436" spans="1:35">
      <c r="A436" t="s">
        <v>56</v>
      </c>
      <c r="B436" t="s">
        <v>57</v>
      </c>
      <c r="C436" t="s">
        <v>498</v>
      </c>
      <c r="D436" t="s">
        <v>59</v>
      </c>
      <c r="E436">
        <v>1</v>
      </c>
      <c r="G436" t="s">
        <v>60</v>
      </c>
      <c r="I436" t="s">
        <v>61</v>
      </c>
      <c r="Z436" t="str">
        <f>IFERROR(MID(AA436,FIND("-",H436,1)+1,20),_xlfn.IFNA(VLOOKUP(F436&amp;"-"&amp;AA436,Ref_Kontak!$A:$E,4,FALSE),Ref_Kontak!$H$2))</f>
        <v>628999007703</v>
      </c>
      <c r="AA436" t="str">
        <f t="shared" si="36"/>
        <v/>
      </c>
      <c r="AB436" t="str">
        <f t="shared" si="37"/>
        <v/>
      </c>
      <c r="AC436" t="str">
        <f t="shared" si="38"/>
        <v>628999007703</v>
      </c>
      <c r="AD436" t="str">
        <f t="shared" si="40"/>
        <v>Halo+,+Visual+AI+5S+menditeksi+Violation%3A+GUDANGEXP1-LINE+1</v>
      </c>
      <c r="AE436" t="str">
        <f t="shared" si="39"/>
        <v>https://web.whatsapp.com/send/?phone=628999007703&amp;text=Halo+,+Visual+AI+5S+menditeksi+Violation%3A+GUDANGEXP1-LINE+1&amp;type=phone_number&amp;app_absent=0</v>
      </c>
      <c r="AF436" t="b">
        <f>IF(ISNA(VLOOKUP(D436&amp;"-"&amp;AB436, Ref_Kontak!$A:$E, 4, FALSE)), FALSE, TRUE)</f>
        <v>0</v>
      </c>
      <c r="AG436" t="str">
        <f>_xlfn.IFNA(VLOOKUP(Z436,Ref_Kontak!H:H,1,FALSE),"FALSE")</f>
        <v>628999007703</v>
      </c>
      <c r="AH436" t="str">
        <f t="shared" si="41"/>
        <v>GUDANGEXP1-LINE 1</v>
      </c>
      <c r="AI436">
        <f>COUNTIF($AH$1:AH436,AH436)</f>
        <v>435</v>
      </c>
    </row>
    <row r="437" spans="1:35">
      <c r="A437" t="s">
        <v>56</v>
      </c>
      <c r="B437" t="s">
        <v>57</v>
      </c>
      <c r="C437" t="s">
        <v>499</v>
      </c>
      <c r="D437" t="s">
        <v>59</v>
      </c>
      <c r="E437">
        <v>1</v>
      </c>
      <c r="G437" t="s">
        <v>60</v>
      </c>
      <c r="I437" t="s">
        <v>61</v>
      </c>
      <c r="Z437" t="str">
        <f>IFERROR(MID(AA437,FIND("-",H437,1)+1,20),_xlfn.IFNA(VLOOKUP(F437&amp;"-"&amp;AA437,Ref_Kontak!$A:$E,4,FALSE),Ref_Kontak!$H$2))</f>
        <v>628999007703</v>
      </c>
      <c r="AA437" t="str">
        <f t="shared" si="36"/>
        <v/>
      </c>
      <c r="AB437" t="str">
        <f t="shared" si="37"/>
        <v/>
      </c>
      <c r="AC437" t="str">
        <f t="shared" si="38"/>
        <v>628999007703</v>
      </c>
      <c r="AD437" t="str">
        <f t="shared" si="40"/>
        <v>Halo+,+Visual+AI+5S+menditeksi+Violation%3A+GUDANGEXP1-LINE+1</v>
      </c>
      <c r="AE437" t="str">
        <f t="shared" si="39"/>
        <v>https://web.whatsapp.com/send/?phone=628999007703&amp;text=Halo+,+Visual+AI+5S+menditeksi+Violation%3A+GUDANGEXP1-LINE+1&amp;type=phone_number&amp;app_absent=0</v>
      </c>
      <c r="AF437" t="b">
        <f>IF(ISNA(VLOOKUP(D437&amp;"-"&amp;AB437, Ref_Kontak!$A:$E, 4, FALSE)), FALSE, TRUE)</f>
        <v>0</v>
      </c>
      <c r="AG437" t="str">
        <f>_xlfn.IFNA(VLOOKUP(Z437,Ref_Kontak!H:H,1,FALSE),"FALSE")</f>
        <v>628999007703</v>
      </c>
      <c r="AH437" t="str">
        <f t="shared" si="41"/>
        <v>GUDANGEXP1-LINE 1</v>
      </c>
      <c r="AI437">
        <f>COUNTIF($AH$1:AH437,AH437)</f>
        <v>436</v>
      </c>
    </row>
    <row r="438" spans="1:35">
      <c r="A438" t="s">
        <v>56</v>
      </c>
      <c r="B438" t="s">
        <v>57</v>
      </c>
      <c r="C438" t="s">
        <v>500</v>
      </c>
      <c r="D438" t="s">
        <v>59</v>
      </c>
      <c r="E438">
        <v>1</v>
      </c>
      <c r="G438" t="s">
        <v>60</v>
      </c>
      <c r="I438" t="s">
        <v>61</v>
      </c>
      <c r="Z438" t="str">
        <f>IFERROR(MID(AA438,FIND("-",H438,1)+1,20),_xlfn.IFNA(VLOOKUP(F438&amp;"-"&amp;AA438,Ref_Kontak!$A:$E,4,FALSE),Ref_Kontak!$H$2))</f>
        <v>628999007703</v>
      </c>
      <c r="AA438" t="str">
        <f t="shared" si="36"/>
        <v/>
      </c>
      <c r="AB438" t="str">
        <f t="shared" si="37"/>
        <v/>
      </c>
      <c r="AC438" t="str">
        <f t="shared" si="38"/>
        <v>628999007703</v>
      </c>
      <c r="AD438" t="str">
        <f t="shared" si="40"/>
        <v>Halo+,+Visual+AI+5S+menditeksi+Violation%3A+GUDANGEXP1-LINE+1</v>
      </c>
      <c r="AE438" t="str">
        <f t="shared" si="39"/>
        <v>https://web.whatsapp.com/send/?phone=628999007703&amp;text=Halo+,+Visual+AI+5S+menditeksi+Violation%3A+GUDANGEXP1-LINE+1&amp;type=phone_number&amp;app_absent=0</v>
      </c>
      <c r="AF438" t="b">
        <f>IF(ISNA(VLOOKUP(D438&amp;"-"&amp;AB438, Ref_Kontak!$A:$E, 4, FALSE)), FALSE, TRUE)</f>
        <v>0</v>
      </c>
      <c r="AG438" t="str">
        <f>_xlfn.IFNA(VLOOKUP(Z438,Ref_Kontak!H:H,1,FALSE),"FALSE")</f>
        <v>628999007703</v>
      </c>
      <c r="AH438" t="str">
        <f t="shared" si="41"/>
        <v>GUDANGEXP1-LINE 1</v>
      </c>
      <c r="AI438">
        <f>COUNTIF($AH$1:AH438,AH438)</f>
        <v>437</v>
      </c>
    </row>
    <row r="439" spans="1:35">
      <c r="A439" t="s">
        <v>56</v>
      </c>
      <c r="B439" t="s">
        <v>57</v>
      </c>
      <c r="C439" t="s">
        <v>501</v>
      </c>
      <c r="D439" t="s">
        <v>59</v>
      </c>
      <c r="E439">
        <v>1</v>
      </c>
      <c r="G439" t="s">
        <v>60</v>
      </c>
      <c r="I439" t="s">
        <v>61</v>
      </c>
      <c r="Z439" t="str">
        <f>IFERROR(MID(AA439,FIND("-",H439,1)+1,20),_xlfn.IFNA(VLOOKUP(F439&amp;"-"&amp;AA439,Ref_Kontak!$A:$E,4,FALSE),Ref_Kontak!$H$2))</f>
        <v>628999007703</v>
      </c>
      <c r="AA439" t="str">
        <f t="shared" si="36"/>
        <v/>
      </c>
      <c r="AB439" t="str">
        <f t="shared" si="37"/>
        <v/>
      </c>
      <c r="AC439" t="str">
        <f t="shared" si="38"/>
        <v>628999007703</v>
      </c>
      <c r="AD439" t="str">
        <f t="shared" si="40"/>
        <v>Halo+,+Visual+AI+5S+menditeksi+Violation%3A+GUDANGEXP1-LINE+1</v>
      </c>
      <c r="AE439" t="str">
        <f t="shared" si="39"/>
        <v>https://web.whatsapp.com/send/?phone=628999007703&amp;text=Halo+,+Visual+AI+5S+menditeksi+Violation%3A+GUDANGEXP1-LINE+1&amp;type=phone_number&amp;app_absent=0</v>
      </c>
      <c r="AF439" t="b">
        <f>IF(ISNA(VLOOKUP(D439&amp;"-"&amp;AB439, Ref_Kontak!$A:$E, 4, FALSE)), FALSE, TRUE)</f>
        <v>0</v>
      </c>
      <c r="AG439" t="str">
        <f>_xlfn.IFNA(VLOOKUP(Z439,Ref_Kontak!H:H,1,FALSE),"FALSE")</f>
        <v>628999007703</v>
      </c>
      <c r="AH439" t="str">
        <f t="shared" si="41"/>
        <v>GUDANGEXP1-LINE 1</v>
      </c>
      <c r="AI439">
        <f>COUNTIF($AH$1:AH439,AH439)</f>
        <v>438</v>
      </c>
    </row>
    <row r="440" spans="1:35">
      <c r="A440" t="s">
        <v>56</v>
      </c>
      <c r="B440" t="s">
        <v>57</v>
      </c>
      <c r="C440" t="s">
        <v>502</v>
      </c>
      <c r="D440" t="s">
        <v>59</v>
      </c>
      <c r="E440">
        <v>1</v>
      </c>
      <c r="G440" t="s">
        <v>60</v>
      </c>
      <c r="I440" t="s">
        <v>61</v>
      </c>
      <c r="Z440" t="str">
        <f>IFERROR(MID(AA440,FIND("-",H440,1)+1,20),_xlfn.IFNA(VLOOKUP(F440&amp;"-"&amp;AA440,Ref_Kontak!$A:$E,4,FALSE),Ref_Kontak!$H$2))</f>
        <v>628999007703</v>
      </c>
      <c r="AA440" t="str">
        <f t="shared" si="36"/>
        <v/>
      </c>
      <c r="AB440" t="str">
        <f t="shared" si="37"/>
        <v/>
      </c>
      <c r="AC440" t="str">
        <f t="shared" si="38"/>
        <v>628999007703</v>
      </c>
      <c r="AD440" t="str">
        <f t="shared" si="40"/>
        <v>Halo+,+Visual+AI+5S+menditeksi+Violation%3A+GUDANGEXP1-LINE+1</v>
      </c>
      <c r="AE440" t="str">
        <f t="shared" si="39"/>
        <v>https://web.whatsapp.com/send/?phone=628999007703&amp;text=Halo+,+Visual+AI+5S+menditeksi+Violation%3A+GUDANGEXP1-LINE+1&amp;type=phone_number&amp;app_absent=0</v>
      </c>
      <c r="AF440" t="b">
        <f>IF(ISNA(VLOOKUP(D440&amp;"-"&amp;AB440, Ref_Kontak!$A:$E, 4, FALSE)), FALSE, TRUE)</f>
        <v>0</v>
      </c>
      <c r="AG440" t="str">
        <f>_xlfn.IFNA(VLOOKUP(Z440,Ref_Kontak!H:H,1,FALSE),"FALSE")</f>
        <v>628999007703</v>
      </c>
      <c r="AH440" t="str">
        <f t="shared" si="41"/>
        <v>GUDANGEXP1-LINE 1</v>
      </c>
      <c r="AI440">
        <f>COUNTIF($AH$1:AH440,AH440)</f>
        <v>439</v>
      </c>
    </row>
    <row r="441" spans="1:35">
      <c r="A441" t="s">
        <v>56</v>
      </c>
      <c r="B441" t="s">
        <v>57</v>
      </c>
      <c r="C441" t="s">
        <v>503</v>
      </c>
      <c r="D441" t="s">
        <v>59</v>
      </c>
      <c r="E441">
        <v>1</v>
      </c>
      <c r="G441" t="s">
        <v>60</v>
      </c>
      <c r="I441" t="s">
        <v>61</v>
      </c>
      <c r="Z441" t="str">
        <f>IFERROR(MID(AA441,FIND("-",H441,1)+1,20),_xlfn.IFNA(VLOOKUP(F441&amp;"-"&amp;AA441,Ref_Kontak!$A:$E,4,FALSE),Ref_Kontak!$H$2))</f>
        <v>628999007703</v>
      </c>
      <c r="AA441" t="str">
        <f t="shared" si="36"/>
        <v/>
      </c>
      <c r="AB441" t="str">
        <f t="shared" si="37"/>
        <v/>
      </c>
      <c r="AC441" t="str">
        <f t="shared" si="38"/>
        <v>628999007703</v>
      </c>
      <c r="AD441" t="str">
        <f t="shared" si="40"/>
        <v>Halo+,+Visual+AI+5S+menditeksi+Violation%3A+GUDANGEXP1-LINE+1</v>
      </c>
      <c r="AE441" t="str">
        <f t="shared" si="39"/>
        <v>https://web.whatsapp.com/send/?phone=628999007703&amp;text=Halo+,+Visual+AI+5S+menditeksi+Violation%3A+GUDANGEXP1-LINE+1&amp;type=phone_number&amp;app_absent=0</v>
      </c>
      <c r="AF441" t="b">
        <f>IF(ISNA(VLOOKUP(D441&amp;"-"&amp;AB441, Ref_Kontak!$A:$E, 4, FALSE)), FALSE, TRUE)</f>
        <v>0</v>
      </c>
      <c r="AG441" t="str">
        <f>_xlfn.IFNA(VLOOKUP(Z441,Ref_Kontak!H:H,1,FALSE),"FALSE")</f>
        <v>628999007703</v>
      </c>
      <c r="AH441" t="str">
        <f t="shared" si="41"/>
        <v>GUDANGEXP1-LINE 1</v>
      </c>
      <c r="AI441">
        <f>COUNTIF($AH$1:AH441,AH441)</f>
        <v>440</v>
      </c>
    </row>
    <row r="442" spans="1:35">
      <c r="A442" t="s">
        <v>56</v>
      </c>
      <c r="B442" t="s">
        <v>57</v>
      </c>
      <c r="C442" t="s">
        <v>504</v>
      </c>
      <c r="D442" t="s">
        <v>59</v>
      </c>
      <c r="E442">
        <v>1</v>
      </c>
      <c r="G442" t="s">
        <v>60</v>
      </c>
      <c r="I442" t="s">
        <v>61</v>
      </c>
      <c r="Z442" t="str">
        <f>IFERROR(MID(AA442,FIND("-",H442,1)+1,20),_xlfn.IFNA(VLOOKUP(F442&amp;"-"&amp;AA442,Ref_Kontak!$A:$E,4,FALSE),Ref_Kontak!$H$2))</f>
        <v>628999007703</v>
      </c>
      <c r="AA442" t="str">
        <f t="shared" si="36"/>
        <v/>
      </c>
      <c r="AB442" t="str">
        <f t="shared" si="37"/>
        <v/>
      </c>
      <c r="AC442" t="str">
        <f t="shared" si="38"/>
        <v>628999007703</v>
      </c>
      <c r="AD442" t="str">
        <f t="shared" si="40"/>
        <v>Halo+,+Visual+AI+5S+menditeksi+Violation%3A+GUDANGEXP1-LINE+1</v>
      </c>
      <c r="AE442" t="str">
        <f t="shared" si="39"/>
        <v>https://web.whatsapp.com/send/?phone=628999007703&amp;text=Halo+,+Visual+AI+5S+menditeksi+Violation%3A+GUDANGEXP1-LINE+1&amp;type=phone_number&amp;app_absent=0</v>
      </c>
      <c r="AF442" t="b">
        <f>IF(ISNA(VLOOKUP(D442&amp;"-"&amp;AB442, Ref_Kontak!$A:$E, 4, FALSE)), FALSE, TRUE)</f>
        <v>0</v>
      </c>
      <c r="AG442" t="str">
        <f>_xlfn.IFNA(VLOOKUP(Z442,Ref_Kontak!H:H,1,FALSE),"FALSE")</f>
        <v>628999007703</v>
      </c>
      <c r="AH442" t="str">
        <f t="shared" si="41"/>
        <v>GUDANGEXP1-LINE 1</v>
      </c>
      <c r="AI442">
        <f>COUNTIF($AH$1:AH442,AH442)</f>
        <v>441</v>
      </c>
    </row>
    <row r="443" spans="1:35">
      <c r="A443" t="s">
        <v>56</v>
      </c>
      <c r="B443" t="s">
        <v>57</v>
      </c>
      <c r="C443" t="s">
        <v>505</v>
      </c>
      <c r="D443" t="s">
        <v>59</v>
      </c>
      <c r="E443">
        <v>1</v>
      </c>
      <c r="G443" t="s">
        <v>60</v>
      </c>
      <c r="I443" t="s">
        <v>61</v>
      </c>
      <c r="Z443" t="str">
        <f>IFERROR(MID(AA443,FIND("-",H443,1)+1,20),_xlfn.IFNA(VLOOKUP(F443&amp;"-"&amp;AA443,Ref_Kontak!$A:$E,4,FALSE),Ref_Kontak!$H$2))</f>
        <v>628999007703</v>
      </c>
      <c r="AA443" t="str">
        <f t="shared" si="36"/>
        <v/>
      </c>
      <c r="AB443" t="str">
        <f t="shared" si="37"/>
        <v/>
      </c>
      <c r="AC443" t="str">
        <f t="shared" si="38"/>
        <v>628999007703</v>
      </c>
      <c r="AD443" t="str">
        <f t="shared" si="40"/>
        <v>Halo+,+Visual+AI+5S+menditeksi+Violation%3A+GUDANGEXP1-LINE+1</v>
      </c>
      <c r="AE443" t="str">
        <f t="shared" si="39"/>
        <v>https://web.whatsapp.com/send/?phone=628999007703&amp;text=Halo+,+Visual+AI+5S+menditeksi+Violation%3A+GUDANGEXP1-LINE+1&amp;type=phone_number&amp;app_absent=0</v>
      </c>
      <c r="AF443" t="b">
        <f>IF(ISNA(VLOOKUP(D443&amp;"-"&amp;AB443, Ref_Kontak!$A:$E, 4, FALSE)), FALSE, TRUE)</f>
        <v>0</v>
      </c>
      <c r="AG443" t="str">
        <f>_xlfn.IFNA(VLOOKUP(Z443,Ref_Kontak!H:H,1,FALSE),"FALSE")</f>
        <v>628999007703</v>
      </c>
      <c r="AH443" t="str">
        <f t="shared" si="41"/>
        <v>GUDANGEXP1-LINE 1</v>
      </c>
      <c r="AI443">
        <f>COUNTIF($AH$1:AH443,AH443)</f>
        <v>442</v>
      </c>
    </row>
    <row r="444" spans="1:35">
      <c r="A444" t="s">
        <v>56</v>
      </c>
      <c r="B444" t="s">
        <v>57</v>
      </c>
      <c r="C444" t="s">
        <v>506</v>
      </c>
      <c r="D444" t="s">
        <v>59</v>
      </c>
      <c r="E444">
        <v>1</v>
      </c>
      <c r="G444" t="s">
        <v>60</v>
      </c>
      <c r="I444" t="s">
        <v>61</v>
      </c>
      <c r="Z444" t="str">
        <f>IFERROR(MID(AA444,FIND("-",H444,1)+1,20),_xlfn.IFNA(VLOOKUP(F444&amp;"-"&amp;AA444,Ref_Kontak!$A:$E,4,FALSE),Ref_Kontak!$H$2))</f>
        <v>628999007703</v>
      </c>
      <c r="AA444" t="str">
        <f t="shared" si="36"/>
        <v/>
      </c>
      <c r="AB444" t="str">
        <f t="shared" si="37"/>
        <v/>
      </c>
      <c r="AC444" t="str">
        <f t="shared" si="38"/>
        <v>628999007703</v>
      </c>
      <c r="AD444" t="str">
        <f t="shared" si="40"/>
        <v>Halo+,+Visual+AI+5S+menditeksi+Violation%3A+GUDANGEXP1-LINE+1</v>
      </c>
      <c r="AE444" t="str">
        <f t="shared" si="39"/>
        <v>https://web.whatsapp.com/send/?phone=628999007703&amp;text=Halo+,+Visual+AI+5S+menditeksi+Violation%3A+GUDANGEXP1-LINE+1&amp;type=phone_number&amp;app_absent=0</v>
      </c>
      <c r="AF444" t="b">
        <f>IF(ISNA(VLOOKUP(D444&amp;"-"&amp;AB444, Ref_Kontak!$A:$E, 4, FALSE)), FALSE, TRUE)</f>
        <v>0</v>
      </c>
      <c r="AG444" t="str">
        <f>_xlfn.IFNA(VLOOKUP(Z444,Ref_Kontak!H:H,1,FALSE),"FALSE")</f>
        <v>628999007703</v>
      </c>
      <c r="AH444" t="str">
        <f t="shared" si="41"/>
        <v>GUDANGEXP1-LINE 1</v>
      </c>
      <c r="AI444">
        <f>COUNTIF($AH$1:AH444,AH444)</f>
        <v>443</v>
      </c>
    </row>
    <row r="445" spans="1:35">
      <c r="A445" t="s">
        <v>56</v>
      </c>
      <c r="B445" t="s">
        <v>57</v>
      </c>
      <c r="C445" t="s">
        <v>507</v>
      </c>
      <c r="D445" t="s">
        <v>59</v>
      </c>
      <c r="E445">
        <v>1</v>
      </c>
      <c r="G445" t="s">
        <v>60</v>
      </c>
      <c r="I445" t="s">
        <v>61</v>
      </c>
      <c r="Z445" t="str">
        <f>IFERROR(MID(AA445,FIND("-",H445,1)+1,20),_xlfn.IFNA(VLOOKUP(F445&amp;"-"&amp;AA445,Ref_Kontak!$A:$E,4,FALSE),Ref_Kontak!$H$2))</f>
        <v>628999007703</v>
      </c>
      <c r="AA445" t="str">
        <f t="shared" si="36"/>
        <v/>
      </c>
      <c r="AB445" t="str">
        <f t="shared" si="37"/>
        <v/>
      </c>
      <c r="AC445" t="str">
        <f t="shared" si="38"/>
        <v>628999007703</v>
      </c>
      <c r="AD445" t="str">
        <f t="shared" si="40"/>
        <v>Halo+,+Visual+AI+5S+menditeksi+Violation%3A+GUDANGEXP1-LINE+1</v>
      </c>
      <c r="AE445" t="str">
        <f t="shared" si="39"/>
        <v>https://web.whatsapp.com/send/?phone=628999007703&amp;text=Halo+,+Visual+AI+5S+menditeksi+Violation%3A+GUDANGEXP1-LINE+1&amp;type=phone_number&amp;app_absent=0</v>
      </c>
      <c r="AF445" t="b">
        <f>IF(ISNA(VLOOKUP(D445&amp;"-"&amp;AB445, Ref_Kontak!$A:$E, 4, FALSE)), FALSE, TRUE)</f>
        <v>0</v>
      </c>
      <c r="AG445" t="str">
        <f>_xlfn.IFNA(VLOOKUP(Z445,Ref_Kontak!H:H,1,FALSE),"FALSE")</f>
        <v>628999007703</v>
      </c>
      <c r="AH445" t="str">
        <f t="shared" si="41"/>
        <v>GUDANGEXP1-LINE 1</v>
      </c>
      <c r="AI445">
        <f>COUNTIF($AH$1:AH445,AH445)</f>
        <v>444</v>
      </c>
    </row>
    <row r="446" spans="1:35">
      <c r="A446" t="s">
        <v>56</v>
      </c>
      <c r="B446" t="s">
        <v>57</v>
      </c>
      <c r="C446" t="s">
        <v>508</v>
      </c>
      <c r="D446" t="s">
        <v>59</v>
      </c>
      <c r="E446">
        <v>1</v>
      </c>
      <c r="G446" t="s">
        <v>60</v>
      </c>
      <c r="I446" t="s">
        <v>61</v>
      </c>
      <c r="Z446" t="str">
        <f>IFERROR(MID(AA446,FIND("-",H446,1)+1,20),_xlfn.IFNA(VLOOKUP(F446&amp;"-"&amp;AA446,Ref_Kontak!$A:$E,4,FALSE),Ref_Kontak!$H$2))</f>
        <v>628999007703</v>
      </c>
      <c r="AA446" t="str">
        <f t="shared" si="36"/>
        <v/>
      </c>
      <c r="AB446" t="str">
        <f t="shared" si="37"/>
        <v/>
      </c>
      <c r="AC446" t="str">
        <f t="shared" si="38"/>
        <v>628999007703</v>
      </c>
      <c r="AD446" t="str">
        <f t="shared" si="40"/>
        <v>Halo+,+Visual+AI+5S+menditeksi+Violation%3A+GUDANGEXP1-LINE+1</v>
      </c>
      <c r="AE446" t="str">
        <f t="shared" si="39"/>
        <v>https://web.whatsapp.com/send/?phone=628999007703&amp;text=Halo+,+Visual+AI+5S+menditeksi+Violation%3A+GUDANGEXP1-LINE+1&amp;type=phone_number&amp;app_absent=0</v>
      </c>
      <c r="AF446" t="b">
        <f>IF(ISNA(VLOOKUP(D446&amp;"-"&amp;AB446, Ref_Kontak!$A:$E, 4, FALSE)), FALSE, TRUE)</f>
        <v>0</v>
      </c>
      <c r="AG446" t="str">
        <f>_xlfn.IFNA(VLOOKUP(Z446,Ref_Kontak!H:H,1,FALSE),"FALSE")</f>
        <v>628999007703</v>
      </c>
      <c r="AH446" t="str">
        <f t="shared" si="41"/>
        <v>GUDANGEXP1-LINE 1</v>
      </c>
      <c r="AI446">
        <f>COUNTIF($AH$1:AH446,AH446)</f>
        <v>445</v>
      </c>
    </row>
    <row r="447" spans="1:35">
      <c r="A447" t="s">
        <v>56</v>
      </c>
      <c r="B447" t="s">
        <v>57</v>
      </c>
      <c r="C447" t="s">
        <v>509</v>
      </c>
      <c r="D447" t="s">
        <v>59</v>
      </c>
      <c r="E447">
        <v>1</v>
      </c>
      <c r="G447" t="s">
        <v>60</v>
      </c>
      <c r="I447" t="s">
        <v>61</v>
      </c>
      <c r="Z447" t="str">
        <f>IFERROR(MID(AA447,FIND("-",H447,1)+1,20),_xlfn.IFNA(VLOOKUP(F447&amp;"-"&amp;AA447,Ref_Kontak!$A:$E,4,FALSE),Ref_Kontak!$H$2))</f>
        <v>628999007703</v>
      </c>
      <c r="AA447" t="str">
        <f t="shared" si="36"/>
        <v/>
      </c>
      <c r="AB447" t="str">
        <f t="shared" si="37"/>
        <v/>
      </c>
      <c r="AC447" t="str">
        <f t="shared" si="38"/>
        <v>628999007703</v>
      </c>
      <c r="AD447" t="str">
        <f t="shared" si="40"/>
        <v>Halo+,+Visual+AI+5S+menditeksi+Violation%3A+GUDANGEXP1-LINE+1</v>
      </c>
      <c r="AE447" t="str">
        <f t="shared" si="39"/>
        <v>https://web.whatsapp.com/send/?phone=628999007703&amp;text=Halo+,+Visual+AI+5S+menditeksi+Violation%3A+GUDANGEXP1-LINE+1&amp;type=phone_number&amp;app_absent=0</v>
      </c>
      <c r="AF447" t="b">
        <f>IF(ISNA(VLOOKUP(D447&amp;"-"&amp;AB447, Ref_Kontak!$A:$E, 4, FALSE)), FALSE, TRUE)</f>
        <v>0</v>
      </c>
      <c r="AG447" t="str">
        <f>_xlfn.IFNA(VLOOKUP(Z447,Ref_Kontak!H:H,1,FALSE),"FALSE")</f>
        <v>628999007703</v>
      </c>
      <c r="AH447" t="str">
        <f t="shared" si="41"/>
        <v>GUDANGEXP1-LINE 1</v>
      </c>
      <c r="AI447">
        <f>COUNTIF($AH$1:AH447,AH447)</f>
        <v>446</v>
      </c>
    </row>
    <row r="448" spans="1:35">
      <c r="A448" t="s">
        <v>56</v>
      </c>
      <c r="B448" t="s">
        <v>57</v>
      </c>
      <c r="C448" t="s">
        <v>510</v>
      </c>
      <c r="D448" t="s">
        <v>59</v>
      </c>
      <c r="E448">
        <v>1</v>
      </c>
      <c r="G448" t="s">
        <v>60</v>
      </c>
      <c r="I448" t="s">
        <v>61</v>
      </c>
      <c r="Z448" t="str">
        <f>IFERROR(MID(AA448,FIND("-",H448,1)+1,20),_xlfn.IFNA(VLOOKUP(F448&amp;"-"&amp;AA448,Ref_Kontak!$A:$E,4,FALSE),Ref_Kontak!$H$2))</f>
        <v>628999007703</v>
      </c>
      <c r="AA448" t="str">
        <f t="shared" si="36"/>
        <v/>
      </c>
      <c r="AB448" t="str">
        <f t="shared" si="37"/>
        <v/>
      </c>
      <c r="AC448" t="str">
        <f t="shared" si="38"/>
        <v>628999007703</v>
      </c>
      <c r="AD448" t="str">
        <f t="shared" si="40"/>
        <v>Halo+,+Visual+AI+5S+menditeksi+Violation%3A+GUDANGEXP1-LINE+1</v>
      </c>
      <c r="AE448" t="str">
        <f t="shared" si="39"/>
        <v>https://web.whatsapp.com/send/?phone=628999007703&amp;text=Halo+,+Visual+AI+5S+menditeksi+Violation%3A+GUDANGEXP1-LINE+1&amp;type=phone_number&amp;app_absent=0</v>
      </c>
      <c r="AF448" t="b">
        <f>IF(ISNA(VLOOKUP(D448&amp;"-"&amp;AB448, Ref_Kontak!$A:$E, 4, FALSE)), FALSE, TRUE)</f>
        <v>0</v>
      </c>
      <c r="AG448" t="str">
        <f>_xlfn.IFNA(VLOOKUP(Z448,Ref_Kontak!H:H,1,FALSE),"FALSE")</f>
        <v>628999007703</v>
      </c>
      <c r="AH448" t="str">
        <f t="shared" si="41"/>
        <v>GUDANGEXP1-LINE 1</v>
      </c>
      <c r="AI448">
        <f>COUNTIF($AH$1:AH448,AH448)</f>
        <v>447</v>
      </c>
    </row>
    <row r="449" spans="1:35">
      <c r="A449" t="s">
        <v>56</v>
      </c>
      <c r="B449" t="s">
        <v>57</v>
      </c>
      <c r="C449" t="s">
        <v>511</v>
      </c>
      <c r="D449" t="s">
        <v>59</v>
      </c>
      <c r="E449">
        <v>1</v>
      </c>
      <c r="G449" t="s">
        <v>60</v>
      </c>
      <c r="I449" t="s">
        <v>61</v>
      </c>
      <c r="Z449" t="str">
        <f>IFERROR(MID(AA449,FIND("-",H449,1)+1,20),_xlfn.IFNA(VLOOKUP(F449&amp;"-"&amp;AA449,Ref_Kontak!$A:$E,4,FALSE),Ref_Kontak!$H$2))</f>
        <v>628999007703</v>
      </c>
      <c r="AA449" t="str">
        <f t="shared" si="36"/>
        <v/>
      </c>
      <c r="AB449" t="str">
        <f t="shared" si="37"/>
        <v/>
      </c>
      <c r="AC449" t="str">
        <f t="shared" si="38"/>
        <v>628999007703</v>
      </c>
      <c r="AD449" t="str">
        <f t="shared" si="40"/>
        <v>Halo+,+Visual+AI+5S+menditeksi+Violation%3A+GUDANGEXP1-LINE+1</v>
      </c>
      <c r="AE449" t="str">
        <f t="shared" si="39"/>
        <v>https://web.whatsapp.com/send/?phone=628999007703&amp;text=Halo+,+Visual+AI+5S+menditeksi+Violation%3A+GUDANGEXP1-LINE+1&amp;type=phone_number&amp;app_absent=0</v>
      </c>
      <c r="AF449" t="b">
        <f>IF(ISNA(VLOOKUP(D449&amp;"-"&amp;AB449, Ref_Kontak!$A:$E, 4, FALSE)), FALSE, TRUE)</f>
        <v>0</v>
      </c>
      <c r="AG449" t="str">
        <f>_xlfn.IFNA(VLOOKUP(Z449,Ref_Kontak!H:H,1,FALSE),"FALSE")</f>
        <v>628999007703</v>
      </c>
      <c r="AH449" t="str">
        <f t="shared" si="41"/>
        <v>GUDANGEXP1-LINE 1</v>
      </c>
      <c r="AI449">
        <f>COUNTIF($AH$1:AH449,AH449)</f>
        <v>448</v>
      </c>
    </row>
    <row r="450" spans="1:35">
      <c r="A450" t="s">
        <v>56</v>
      </c>
      <c r="B450" t="s">
        <v>57</v>
      </c>
      <c r="C450" t="s">
        <v>512</v>
      </c>
      <c r="D450" t="s">
        <v>59</v>
      </c>
      <c r="E450">
        <v>1</v>
      </c>
      <c r="G450" t="s">
        <v>60</v>
      </c>
      <c r="I450" t="s">
        <v>61</v>
      </c>
      <c r="Z450" t="str">
        <f>IFERROR(MID(AA450,FIND("-",H450,1)+1,20),_xlfn.IFNA(VLOOKUP(F450&amp;"-"&amp;AA450,Ref_Kontak!$A:$E,4,FALSE),Ref_Kontak!$H$2))</f>
        <v>628999007703</v>
      </c>
      <c r="AA450" t="str">
        <f t="shared" ref="AA450:AA513" si="42">CLEAN(SUBSTITUTE(H450," ",""))</f>
        <v/>
      </c>
      <c r="AB450" t="str">
        <f t="shared" ref="AB450:AB513" si="43">IFERROR(LEFT(AA450,FIND("-",H450,1)-1),CLEAN(SUBSTITUTE(SUBSTITUTE(H450," ",""),"-","")))</f>
        <v/>
      </c>
      <c r="AC450" t="str">
        <f t="shared" ref="AC450:AC513" si="44">IF(LEFT(Z450,1)="0","62"&amp; MID(Z450,2,999),Z450)</f>
        <v>628999007703</v>
      </c>
      <c r="AD450" t="str">
        <f t="shared" si="40"/>
        <v>Halo+,+Visual+AI+5S+menditeksi+Violation%3A+GUDANGEXP1-LINE+1</v>
      </c>
      <c r="AE450" t="str">
        <f t="shared" ref="AE450:AE513" si="45">"https://web.whatsapp.com/send/?phone="&amp;AC450&amp;"&amp;text="&amp;AD450&amp;"&amp;type=phone_number&amp;app_absent=0"</f>
        <v>https://web.whatsapp.com/send/?phone=628999007703&amp;text=Halo+,+Visual+AI+5S+menditeksi+Violation%3A+GUDANGEXP1-LINE+1&amp;type=phone_number&amp;app_absent=0</v>
      </c>
      <c r="AF450" t="b">
        <f>IF(ISNA(VLOOKUP(D450&amp;"-"&amp;AB450, Ref_Kontak!$A:$E, 4, FALSE)), FALSE, TRUE)</f>
        <v>0</v>
      </c>
      <c r="AG450" t="str">
        <f>_xlfn.IFNA(VLOOKUP(Z450,Ref_Kontak!H:H,1,FALSE),"FALSE")</f>
        <v>628999007703</v>
      </c>
      <c r="AH450" t="str">
        <f t="shared" si="41"/>
        <v>GUDANGEXP1-LINE 1</v>
      </c>
      <c r="AI450">
        <f>COUNTIF($AH$1:AH450,AH450)</f>
        <v>449</v>
      </c>
    </row>
    <row r="451" spans="1:35">
      <c r="A451" t="s">
        <v>56</v>
      </c>
      <c r="B451" t="s">
        <v>57</v>
      </c>
      <c r="C451" t="s">
        <v>513</v>
      </c>
      <c r="D451" t="s">
        <v>59</v>
      </c>
      <c r="E451">
        <v>1</v>
      </c>
      <c r="G451" t="s">
        <v>60</v>
      </c>
      <c r="I451" t="s">
        <v>61</v>
      </c>
      <c r="Z451" t="str">
        <f>IFERROR(MID(AA451,FIND("-",H451,1)+1,20),_xlfn.IFNA(VLOOKUP(F451&amp;"-"&amp;AA451,Ref_Kontak!$A:$E,4,FALSE),Ref_Kontak!$H$2))</f>
        <v>628999007703</v>
      </c>
      <c r="AA451" t="str">
        <f t="shared" si="42"/>
        <v/>
      </c>
      <c r="AB451" t="str">
        <f t="shared" si="43"/>
        <v/>
      </c>
      <c r="AC451" t="str">
        <f t="shared" si="44"/>
        <v>628999007703</v>
      </c>
      <c r="AD451" t="str">
        <f t="shared" ref="AD451:AD514" si="46">"Halo+"&amp;AB451&amp;","&amp;"+Visual+AI+5S+menditeksi+Violation%3A+"&amp;SUBSTITUTE(AH451," ","+")</f>
        <v>Halo+,+Visual+AI+5S+menditeksi+Violation%3A+GUDANGEXP1-LINE+1</v>
      </c>
      <c r="AE451" t="str">
        <f t="shared" si="45"/>
        <v>https://web.whatsapp.com/send/?phone=628999007703&amp;text=Halo+,+Visual+AI+5S+menditeksi+Violation%3A+GUDANGEXP1-LINE+1&amp;type=phone_number&amp;app_absent=0</v>
      </c>
      <c r="AF451" t="b">
        <f>IF(ISNA(VLOOKUP(D451&amp;"-"&amp;AB451, Ref_Kontak!$A:$E, 4, FALSE)), FALSE, TRUE)</f>
        <v>0</v>
      </c>
      <c r="AG451" t="str">
        <f>_xlfn.IFNA(VLOOKUP(Z451,Ref_Kontak!H:H,1,FALSE),"FALSE")</f>
        <v>628999007703</v>
      </c>
      <c r="AH451" t="str">
        <f t="shared" ref="AH451:AH514" si="47">G451&amp;"-"&amp;D451</f>
        <v>GUDANGEXP1-LINE 1</v>
      </c>
      <c r="AI451">
        <f>COUNTIF($AH$1:AH451,AH451)</f>
        <v>450</v>
      </c>
    </row>
    <row r="452" spans="1:35">
      <c r="A452" t="s">
        <v>56</v>
      </c>
      <c r="B452" t="s">
        <v>57</v>
      </c>
      <c r="C452" t="s">
        <v>514</v>
      </c>
      <c r="D452" t="s">
        <v>59</v>
      </c>
      <c r="E452">
        <v>1</v>
      </c>
      <c r="G452" t="s">
        <v>60</v>
      </c>
      <c r="I452" t="s">
        <v>61</v>
      </c>
      <c r="Z452" t="str">
        <f>IFERROR(MID(AA452,FIND("-",H452,1)+1,20),_xlfn.IFNA(VLOOKUP(F452&amp;"-"&amp;AA452,Ref_Kontak!$A:$E,4,FALSE),Ref_Kontak!$H$2))</f>
        <v>628999007703</v>
      </c>
      <c r="AA452" t="str">
        <f t="shared" si="42"/>
        <v/>
      </c>
      <c r="AB452" t="str">
        <f t="shared" si="43"/>
        <v/>
      </c>
      <c r="AC452" t="str">
        <f t="shared" si="44"/>
        <v>628999007703</v>
      </c>
      <c r="AD452" t="str">
        <f t="shared" si="46"/>
        <v>Halo+,+Visual+AI+5S+menditeksi+Violation%3A+GUDANGEXP1-LINE+1</v>
      </c>
      <c r="AE452" t="str">
        <f t="shared" si="45"/>
        <v>https://web.whatsapp.com/send/?phone=628999007703&amp;text=Halo+,+Visual+AI+5S+menditeksi+Violation%3A+GUDANGEXP1-LINE+1&amp;type=phone_number&amp;app_absent=0</v>
      </c>
      <c r="AF452" t="b">
        <f>IF(ISNA(VLOOKUP(D452&amp;"-"&amp;AB452, Ref_Kontak!$A:$E, 4, FALSE)), FALSE, TRUE)</f>
        <v>0</v>
      </c>
      <c r="AG452" t="str">
        <f>_xlfn.IFNA(VLOOKUP(Z452,Ref_Kontak!H:H,1,FALSE),"FALSE")</f>
        <v>628999007703</v>
      </c>
      <c r="AH452" t="str">
        <f t="shared" si="47"/>
        <v>GUDANGEXP1-LINE 1</v>
      </c>
      <c r="AI452">
        <f>COUNTIF($AH$1:AH452,AH452)</f>
        <v>451</v>
      </c>
    </row>
    <row r="453" spans="1:35">
      <c r="A453" t="s">
        <v>56</v>
      </c>
      <c r="B453" t="s">
        <v>57</v>
      </c>
      <c r="C453" t="s">
        <v>515</v>
      </c>
      <c r="D453" t="s">
        <v>59</v>
      </c>
      <c r="E453">
        <v>1</v>
      </c>
      <c r="G453" t="s">
        <v>60</v>
      </c>
      <c r="I453" t="s">
        <v>61</v>
      </c>
      <c r="Z453" t="str">
        <f>IFERROR(MID(AA453,FIND("-",H453,1)+1,20),_xlfn.IFNA(VLOOKUP(F453&amp;"-"&amp;AA453,Ref_Kontak!$A:$E,4,FALSE),Ref_Kontak!$H$2))</f>
        <v>628999007703</v>
      </c>
      <c r="AA453" t="str">
        <f t="shared" si="42"/>
        <v/>
      </c>
      <c r="AB453" t="str">
        <f t="shared" si="43"/>
        <v/>
      </c>
      <c r="AC453" t="str">
        <f t="shared" si="44"/>
        <v>628999007703</v>
      </c>
      <c r="AD453" t="str">
        <f t="shared" si="46"/>
        <v>Halo+,+Visual+AI+5S+menditeksi+Violation%3A+GUDANGEXP1-LINE+1</v>
      </c>
      <c r="AE453" t="str">
        <f t="shared" si="45"/>
        <v>https://web.whatsapp.com/send/?phone=628999007703&amp;text=Halo+,+Visual+AI+5S+menditeksi+Violation%3A+GUDANGEXP1-LINE+1&amp;type=phone_number&amp;app_absent=0</v>
      </c>
      <c r="AF453" t="b">
        <f>IF(ISNA(VLOOKUP(D453&amp;"-"&amp;AB453, Ref_Kontak!$A:$E, 4, FALSE)), FALSE, TRUE)</f>
        <v>0</v>
      </c>
      <c r="AG453" t="str">
        <f>_xlfn.IFNA(VLOOKUP(Z453,Ref_Kontak!H:H,1,FALSE),"FALSE")</f>
        <v>628999007703</v>
      </c>
      <c r="AH453" t="str">
        <f t="shared" si="47"/>
        <v>GUDANGEXP1-LINE 1</v>
      </c>
      <c r="AI453">
        <f>COUNTIF($AH$1:AH453,AH453)</f>
        <v>452</v>
      </c>
    </row>
    <row r="454" spans="1:35">
      <c r="A454" t="s">
        <v>56</v>
      </c>
      <c r="B454" t="s">
        <v>57</v>
      </c>
      <c r="C454" t="s">
        <v>516</v>
      </c>
      <c r="D454" t="s">
        <v>59</v>
      </c>
      <c r="E454">
        <v>1</v>
      </c>
      <c r="G454" t="s">
        <v>60</v>
      </c>
      <c r="I454" t="s">
        <v>61</v>
      </c>
      <c r="Z454" t="str">
        <f>IFERROR(MID(AA454,FIND("-",H454,1)+1,20),_xlfn.IFNA(VLOOKUP(F454&amp;"-"&amp;AA454,Ref_Kontak!$A:$E,4,FALSE),Ref_Kontak!$H$2))</f>
        <v>628999007703</v>
      </c>
      <c r="AA454" t="str">
        <f t="shared" si="42"/>
        <v/>
      </c>
      <c r="AB454" t="str">
        <f t="shared" si="43"/>
        <v/>
      </c>
      <c r="AC454" t="str">
        <f t="shared" si="44"/>
        <v>628999007703</v>
      </c>
      <c r="AD454" t="str">
        <f t="shared" si="46"/>
        <v>Halo+,+Visual+AI+5S+menditeksi+Violation%3A+GUDANGEXP1-LINE+1</v>
      </c>
      <c r="AE454" t="str">
        <f t="shared" si="45"/>
        <v>https://web.whatsapp.com/send/?phone=628999007703&amp;text=Halo+,+Visual+AI+5S+menditeksi+Violation%3A+GUDANGEXP1-LINE+1&amp;type=phone_number&amp;app_absent=0</v>
      </c>
      <c r="AF454" t="b">
        <f>IF(ISNA(VLOOKUP(D454&amp;"-"&amp;AB454, Ref_Kontak!$A:$E, 4, FALSE)), FALSE, TRUE)</f>
        <v>0</v>
      </c>
      <c r="AG454" t="str">
        <f>_xlfn.IFNA(VLOOKUP(Z454,Ref_Kontak!H:H,1,FALSE),"FALSE")</f>
        <v>628999007703</v>
      </c>
      <c r="AH454" t="str">
        <f t="shared" si="47"/>
        <v>GUDANGEXP1-LINE 1</v>
      </c>
      <c r="AI454">
        <f>COUNTIF($AH$1:AH454,AH454)</f>
        <v>453</v>
      </c>
    </row>
    <row r="455" spans="1:35">
      <c r="A455" t="s">
        <v>56</v>
      </c>
      <c r="B455" t="s">
        <v>57</v>
      </c>
      <c r="C455" t="s">
        <v>517</v>
      </c>
      <c r="D455" t="s">
        <v>59</v>
      </c>
      <c r="E455">
        <v>1</v>
      </c>
      <c r="G455" t="s">
        <v>60</v>
      </c>
      <c r="I455" t="s">
        <v>61</v>
      </c>
      <c r="Z455" t="str">
        <f>IFERROR(MID(AA455,FIND("-",H455,1)+1,20),_xlfn.IFNA(VLOOKUP(F455&amp;"-"&amp;AA455,Ref_Kontak!$A:$E,4,FALSE),Ref_Kontak!$H$2))</f>
        <v>628999007703</v>
      </c>
      <c r="AA455" t="str">
        <f t="shared" si="42"/>
        <v/>
      </c>
      <c r="AB455" t="str">
        <f t="shared" si="43"/>
        <v/>
      </c>
      <c r="AC455" t="str">
        <f t="shared" si="44"/>
        <v>628999007703</v>
      </c>
      <c r="AD455" t="str">
        <f t="shared" si="46"/>
        <v>Halo+,+Visual+AI+5S+menditeksi+Violation%3A+GUDANGEXP1-LINE+1</v>
      </c>
      <c r="AE455" t="str">
        <f t="shared" si="45"/>
        <v>https://web.whatsapp.com/send/?phone=628999007703&amp;text=Halo+,+Visual+AI+5S+menditeksi+Violation%3A+GUDANGEXP1-LINE+1&amp;type=phone_number&amp;app_absent=0</v>
      </c>
      <c r="AF455" t="b">
        <f>IF(ISNA(VLOOKUP(D455&amp;"-"&amp;AB455, Ref_Kontak!$A:$E, 4, FALSE)), FALSE, TRUE)</f>
        <v>0</v>
      </c>
      <c r="AG455" t="str">
        <f>_xlfn.IFNA(VLOOKUP(Z455,Ref_Kontak!H:H,1,FALSE),"FALSE")</f>
        <v>628999007703</v>
      </c>
      <c r="AH455" t="str">
        <f t="shared" si="47"/>
        <v>GUDANGEXP1-LINE 1</v>
      </c>
      <c r="AI455">
        <f>COUNTIF($AH$1:AH455,AH455)</f>
        <v>454</v>
      </c>
    </row>
    <row r="456" spans="1:35">
      <c r="A456" t="s">
        <v>56</v>
      </c>
      <c r="B456" t="s">
        <v>57</v>
      </c>
      <c r="C456" t="s">
        <v>518</v>
      </c>
      <c r="D456" t="s">
        <v>59</v>
      </c>
      <c r="E456">
        <v>1</v>
      </c>
      <c r="G456" t="s">
        <v>60</v>
      </c>
      <c r="I456" t="s">
        <v>61</v>
      </c>
      <c r="Z456" t="str">
        <f>IFERROR(MID(AA456,FIND("-",H456,1)+1,20),_xlfn.IFNA(VLOOKUP(F456&amp;"-"&amp;AA456,Ref_Kontak!$A:$E,4,FALSE),Ref_Kontak!$H$2))</f>
        <v>628999007703</v>
      </c>
      <c r="AA456" t="str">
        <f t="shared" si="42"/>
        <v/>
      </c>
      <c r="AB456" t="str">
        <f t="shared" si="43"/>
        <v/>
      </c>
      <c r="AC456" t="str">
        <f t="shared" si="44"/>
        <v>628999007703</v>
      </c>
      <c r="AD456" t="str">
        <f t="shared" si="46"/>
        <v>Halo+,+Visual+AI+5S+menditeksi+Violation%3A+GUDANGEXP1-LINE+1</v>
      </c>
      <c r="AE456" t="str">
        <f t="shared" si="45"/>
        <v>https://web.whatsapp.com/send/?phone=628999007703&amp;text=Halo+,+Visual+AI+5S+menditeksi+Violation%3A+GUDANGEXP1-LINE+1&amp;type=phone_number&amp;app_absent=0</v>
      </c>
      <c r="AF456" t="b">
        <f>IF(ISNA(VLOOKUP(D456&amp;"-"&amp;AB456, Ref_Kontak!$A:$E, 4, FALSE)), FALSE, TRUE)</f>
        <v>0</v>
      </c>
      <c r="AG456" t="str">
        <f>_xlfn.IFNA(VLOOKUP(Z456,Ref_Kontak!H:H,1,FALSE),"FALSE")</f>
        <v>628999007703</v>
      </c>
      <c r="AH456" t="str">
        <f t="shared" si="47"/>
        <v>GUDANGEXP1-LINE 1</v>
      </c>
      <c r="AI456">
        <f>COUNTIF($AH$1:AH456,AH456)</f>
        <v>455</v>
      </c>
    </row>
    <row r="457" spans="1:35">
      <c r="A457" t="s">
        <v>56</v>
      </c>
      <c r="B457" t="s">
        <v>57</v>
      </c>
      <c r="C457" t="s">
        <v>519</v>
      </c>
      <c r="D457" t="s">
        <v>59</v>
      </c>
      <c r="E457">
        <v>1</v>
      </c>
      <c r="G457" t="s">
        <v>60</v>
      </c>
      <c r="I457" t="s">
        <v>61</v>
      </c>
      <c r="Z457" t="str">
        <f>IFERROR(MID(AA457,FIND("-",H457,1)+1,20),_xlfn.IFNA(VLOOKUP(F457&amp;"-"&amp;AA457,Ref_Kontak!$A:$E,4,FALSE),Ref_Kontak!$H$2))</f>
        <v>628999007703</v>
      </c>
      <c r="AA457" t="str">
        <f t="shared" si="42"/>
        <v/>
      </c>
      <c r="AB457" t="str">
        <f t="shared" si="43"/>
        <v/>
      </c>
      <c r="AC457" t="str">
        <f t="shared" si="44"/>
        <v>628999007703</v>
      </c>
      <c r="AD457" t="str">
        <f t="shared" si="46"/>
        <v>Halo+,+Visual+AI+5S+menditeksi+Violation%3A+GUDANGEXP1-LINE+1</v>
      </c>
      <c r="AE457" t="str">
        <f t="shared" si="45"/>
        <v>https://web.whatsapp.com/send/?phone=628999007703&amp;text=Halo+,+Visual+AI+5S+menditeksi+Violation%3A+GUDANGEXP1-LINE+1&amp;type=phone_number&amp;app_absent=0</v>
      </c>
      <c r="AF457" t="b">
        <f>IF(ISNA(VLOOKUP(D457&amp;"-"&amp;AB457, Ref_Kontak!$A:$E, 4, FALSE)), FALSE, TRUE)</f>
        <v>0</v>
      </c>
      <c r="AG457" t="str">
        <f>_xlfn.IFNA(VLOOKUP(Z457,Ref_Kontak!H:H,1,FALSE),"FALSE")</f>
        <v>628999007703</v>
      </c>
      <c r="AH457" t="str">
        <f t="shared" si="47"/>
        <v>GUDANGEXP1-LINE 1</v>
      </c>
      <c r="AI457">
        <f>COUNTIF($AH$1:AH457,AH457)</f>
        <v>456</v>
      </c>
    </row>
    <row r="458" spans="1:35">
      <c r="A458" t="s">
        <v>56</v>
      </c>
      <c r="B458" t="s">
        <v>57</v>
      </c>
      <c r="C458" t="s">
        <v>520</v>
      </c>
      <c r="D458" t="s">
        <v>59</v>
      </c>
      <c r="E458">
        <v>1</v>
      </c>
      <c r="G458" t="s">
        <v>60</v>
      </c>
      <c r="I458" t="s">
        <v>61</v>
      </c>
      <c r="Z458" t="str">
        <f>IFERROR(MID(AA458,FIND("-",H458,1)+1,20),_xlfn.IFNA(VLOOKUP(F458&amp;"-"&amp;AA458,Ref_Kontak!$A:$E,4,FALSE),Ref_Kontak!$H$2))</f>
        <v>628999007703</v>
      </c>
      <c r="AA458" t="str">
        <f t="shared" si="42"/>
        <v/>
      </c>
      <c r="AB458" t="str">
        <f t="shared" si="43"/>
        <v/>
      </c>
      <c r="AC458" t="str">
        <f t="shared" si="44"/>
        <v>628999007703</v>
      </c>
      <c r="AD458" t="str">
        <f t="shared" si="46"/>
        <v>Halo+,+Visual+AI+5S+menditeksi+Violation%3A+GUDANGEXP1-LINE+1</v>
      </c>
      <c r="AE458" t="str">
        <f t="shared" si="45"/>
        <v>https://web.whatsapp.com/send/?phone=628999007703&amp;text=Halo+,+Visual+AI+5S+menditeksi+Violation%3A+GUDANGEXP1-LINE+1&amp;type=phone_number&amp;app_absent=0</v>
      </c>
      <c r="AF458" t="b">
        <f>IF(ISNA(VLOOKUP(D458&amp;"-"&amp;AB458, Ref_Kontak!$A:$E, 4, FALSE)), FALSE, TRUE)</f>
        <v>0</v>
      </c>
      <c r="AG458" t="str">
        <f>_xlfn.IFNA(VLOOKUP(Z458,Ref_Kontak!H:H,1,FALSE),"FALSE")</f>
        <v>628999007703</v>
      </c>
      <c r="AH458" t="str">
        <f t="shared" si="47"/>
        <v>GUDANGEXP1-LINE 1</v>
      </c>
      <c r="AI458">
        <f>COUNTIF($AH$1:AH458,AH458)</f>
        <v>457</v>
      </c>
    </row>
    <row r="459" spans="1:35">
      <c r="A459" t="s">
        <v>56</v>
      </c>
      <c r="B459" t="s">
        <v>57</v>
      </c>
      <c r="C459" t="s">
        <v>521</v>
      </c>
      <c r="D459" t="s">
        <v>59</v>
      </c>
      <c r="E459">
        <v>1</v>
      </c>
      <c r="G459" t="s">
        <v>60</v>
      </c>
      <c r="I459" t="s">
        <v>61</v>
      </c>
      <c r="Z459" t="str">
        <f>IFERROR(MID(AA459,FIND("-",H459,1)+1,20),_xlfn.IFNA(VLOOKUP(F459&amp;"-"&amp;AA459,Ref_Kontak!$A:$E,4,FALSE),Ref_Kontak!$H$2))</f>
        <v>628999007703</v>
      </c>
      <c r="AA459" t="str">
        <f t="shared" si="42"/>
        <v/>
      </c>
      <c r="AB459" t="str">
        <f t="shared" si="43"/>
        <v/>
      </c>
      <c r="AC459" t="str">
        <f t="shared" si="44"/>
        <v>628999007703</v>
      </c>
      <c r="AD459" t="str">
        <f t="shared" si="46"/>
        <v>Halo+,+Visual+AI+5S+menditeksi+Violation%3A+GUDANGEXP1-LINE+1</v>
      </c>
      <c r="AE459" t="str">
        <f t="shared" si="45"/>
        <v>https://web.whatsapp.com/send/?phone=628999007703&amp;text=Halo+,+Visual+AI+5S+menditeksi+Violation%3A+GUDANGEXP1-LINE+1&amp;type=phone_number&amp;app_absent=0</v>
      </c>
      <c r="AF459" t="b">
        <f>IF(ISNA(VLOOKUP(D459&amp;"-"&amp;AB459, Ref_Kontak!$A:$E, 4, FALSE)), FALSE, TRUE)</f>
        <v>0</v>
      </c>
      <c r="AG459" t="str">
        <f>_xlfn.IFNA(VLOOKUP(Z459,Ref_Kontak!H:H,1,FALSE),"FALSE")</f>
        <v>628999007703</v>
      </c>
      <c r="AH459" t="str">
        <f t="shared" si="47"/>
        <v>GUDANGEXP1-LINE 1</v>
      </c>
      <c r="AI459">
        <f>COUNTIF($AH$1:AH459,AH459)</f>
        <v>458</v>
      </c>
    </row>
    <row r="460" spans="1:35">
      <c r="A460" t="s">
        <v>56</v>
      </c>
      <c r="B460" t="s">
        <v>57</v>
      </c>
      <c r="C460" t="s">
        <v>522</v>
      </c>
      <c r="D460" t="s">
        <v>59</v>
      </c>
      <c r="E460">
        <v>1</v>
      </c>
      <c r="G460" t="s">
        <v>60</v>
      </c>
      <c r="I460" t="s">
        <v>61</v>
      </c>
      <c r="Z460" t="str">
        <f>IFERROR(MID(AA460,FIND("-",H460,1)+1,20),_xlfn.IFNA(VLOOKUP(F460&amp;"-"&amp;AA460,Ref_Kontak!$A:$E,4,FALSE),Ref_Kontak!$H$2))</f>
        <v>628999007703</v>
      </c>
      <c r="AA460" t="str">
        <f t="shared" si="42"/>
        <v/>
      </c>
      <c r="AB460" t="str">
        <f t="shared" si="43"/>
        <v/>
      </c>
      <c r="AC460" t="str">
        <f t="shared" si="44"/>
        <v>628999007703</v>
      </c>
      <c r="AD460" t="str">
        <f t="shared" si="46"/>
        <v>Halo+,+Visual+AI+5S+menditeksi+Violation%3A+GUDANGEXP1-LINE+1</v>
      </c>
      <c r="AE460" t="str">
        <f t="shared" si="45"/>
        <v>https://web.whatsapp.com/send/?phone=628999007703&amp;text=Halo+,+Visual+AI+5S+menditeksi+Violation%3A+GUDANGEXP1-LINE+1&amp;type=phone_number&amp;app_absent=0</v>
      </c>
      <c r="AF460" t="b">
        <f>IF(ISNA(VLOOKUP(D460&amp;"-"&amp;AB460, Ref_Kontak!$A:$E, 4, FALSE)), FALSE, TRUE)</f>
        <v>0</v>
      </c>
      <c r="AG460" t="str">
        <f>_xlfn.IFNA(VLOOKUP(Z460,Ref_Kontak!H:H,1,FALSE),"FALSE")</f>
        <v>628999007703</v>
      </c>
      <c r="AH460" t="str">
        <f t="shared" si="47"/>
        <v>GUDANGEXP1-LINE 1</v>
      </c>
      <c r="AI460">
        <f>COUNTIF($AH$1:AH460,AH460)</f>
        <v>459</v>
      </c>
    </row>
    <row r="461" spans="1:35">
      <c r="A461" t="s">
        <v>56</v>
      </c>
      <c r="B461" t="s">
        <v>57</v>
      </c>
      <c r="C461" t="s">
        <v>523</v>
      </c>
      <c r="D461" t="s">
        <v>59</v>
      </c>
      <c r="E461">
        <v>1</v>
      </c>
      <c r="G461" t="s">
        <v>60</v>
      </c>
      <c r="I461" t="s">
        <v>61</v>
      </c>
      <c r="Z461" t="str">
        <f>IFERROR(MID(AA461,FIND("-",H461,1)+1,20),_xlfn.IFNA(VLOOKUP(F461&amp;"-"&amp;AA461,Ref_Kontak!$A:$E,4,FALSE),Ref_Kontak!$H$2))</f>
        <v>628999007703</v>
      </c>
      <c r="AA461" t="str">
        <f t="shared" si="42"/>
        <v/>
      </c>
      <c r="AB461" t="str">
        <f t="shared" si="43"/>
        <v/>
      </c>
      <c r="AC461" t="str">
        <f t="shared" si="44"/>
        <v>628999007703</v>
      </c>
      <c r="AD461" t="str">
        <f t="shared" si="46"/>
        <v>Halo+,+Visual+AI+5S+menditeksi+Violation%3A+GUDANGEXP1-LINE+1</v>
      </c>
      <c r="AE461" t="str">
        <f t="shared" si="45"/>
        <v>https://web.whatsapp.com/send/?phone=628999007703&amp;text=Halo+,+Visual+AI+5S+menditeksi+Violation%3A+GUDANGEXP1-LINE+1&amp;type=phone_number&amp;app_absent=0</v>
      </c>
      <c r="AF461" t="b">
        <f>IF(ISNA(VLOOKUP(D461&amp;"-"&amp;AB461, Ref_Kontak!$A:$E, 4, FALSE)), FALSE, TRUE)</f>
        <v>0</v>
      </c>
      <c r="AG461" t="str">
        <f>_xlfn.IFNA(VLOOKUP(Z461,Ref_Kontak!H:H,1,FALSE),"FALSE")</f>
        <v>628999007703</v>
      </c>
      <c r="AH461" t="str">
        <f t="shared" si="47"/>
        <v>GUDANGEXP1-LINE 1</v>
      </c>
      <c r="AI461">
        <f>COUNTIF($AH$1:AH461,AH461)</f>
        <v>460</v>
      </c>
    </row>
    <row r="462" spans="1:35">
      <c r="A462" t="s">
        <v>56</v>
      </c>
      <c r="B462" t="s">
        <v>57</v>
      </c>
      <c r="C462" t="s">
        <v>524</v>
      </c>
      <c r="D462" t="s">
        <v>59</v>
      </c>
      <c r="E462">
        <v>1</v>
      </c>
      <c r="G462" t="s">
        <v>60</v>
      </c>
      <c r="I462" t="s">
        <v>61</v>
      </c>
      <c r="Z462" t="str">
        <f>IFERROR(MID(AA462,FIND("-",H462,1)+1,20),_xlfn.IFNA(VLOOKUP(F462&amp;"-"&amp;AA462,Ref_Kontak!$A:$E,4,FALSE),Ref_Kontak!$H$2))</f>
        <v>628999007703</v>
      </c>
      <c r="AA462" t="str">
        <f t="shared" si="42"/>
        <v/>
      </c>
      <c r="AB462" t="str">
        <f t="shared" si="43"/>
        <v/>
      </c>
      <c r="AC462" t="str">
        <f t="shared" si="44"/>
        <v>628999007703</v>
      </c>
      <c r="AD462" t="str">
        <f t="shared" si="46"/>
        <v>Halo+,+Visual+AI+5S+menditeksi+Violation%3A+GUDANGEXP1-LINE+1</v>
      </c>
      <c r="AE462" t="str">
        <f t="shared" si="45"/>
        <v>https://web.whatsapp.com/send/?phone=628999007703&amp;text=Halo+,+Visual+AI+5S+menditeksi+Violation%3A+GUDANGEXP1-LINE+1&amp;type=phone_number&amp;app_absent=0</v>
      </c>
      <c r="AF462" t="b">
        <f>IF(ISNA(VLOOKUP(D462&amp;"-"&amp;AB462, Ref_Kontak!$A:$E, 4, FALSE)), FALSE, TRUE)</f>
        <v>0</v>
      </c>
      <c r="AG462" t="str">
        <f>_xlfn.IFNA(VLOOKUP(Z462,Ref_Kontak!H:H,1,FALSE),"FALSE")</f>
        <v>628999007703</v>
      </c>
      <c r="AH462" t="str">
        <f t="shared" si="47"/>
        <v>GUDANGEXP1-LINE 1</v>
      </c>
      <c r="AI462">
        <f>COUNTIF($AH$1:AH462,AH462)</f>
        <v>461</v>
      </c>
    </row>
    <row r="463" spans="1:35">
      <c r="A463" t="s">
        <v>56</v>
      </c>
      <c r="B463" t="s">
        <v>57</v>
      </c>
      <c r="C463" t="s">
        <v>525</v>
      </c>
      <c r="D463" t="s">
        <v>59</v>
      </c>
      <c r="E463">
        <v>1</v>
      </c>
      <c r="G463" t="s">
        <v>60</v>
      </c>
      <c r="I463" t="s">
        <v>61</v>
      </c>
      <c r="Z463" t="str">
        <f>IFERROR(MID(AA463,FIND("-",H463,1)+1,20),_xlfn.IFNA(VLOOKUP(F463&amp;"-"&amp;AA463,Ref_Kontak!$A:$E,4,FALSE),Ref_Kontak!$H$2))</f>
        <v>628999007703</v>
      </c>
      <c r="AA463" t="str">
        <f t="shared" si="42"/>
        <v/>
      </c>
      <c r="AB463" t="str">
        <f t="shared" si="43"/>
        <v/>
      </c>
      <c r="AC463" t="str">
        <f t="shared" si="44"/>
        <v>628999007703</v>
      </c>
      <c r="AD463" t="str">
        <f t="shared" si="46"/>
        <v>Halo+,+Visual+AI+5S+menditeksi+Violation%3A+GUDANGEXP1-LINE+1</v>
      </c>
      <c r="AE463" t="str">
        <f t="shared" si="45"/>
        <v>https://web.whatsapp.com/send/?phone=628999007703&amp;text=Halo+,+Visual+AI+5S+menditeksi+Violation%3A+GUDANGEXP1-LINE+1&amp;type=phone_number&amp;app_absent=0</v>
      </c>
      <c r="AF463" t="b">
        <f>IF(ISNA(VLOOKUP(D463&amp;"-"&amp;AB463, Ref_Kontak!$A:$E, 4, FALSE)), FALSE, TRUE)</f>
        <v>0</v>
      </c>
      <c r="AG463" t="str">
        <f>_xlfn.IFNA(VLOOKUP(Z463,Ref_Kontak!H:H,1,FALSE),"FALSE")</f>
        <v>628999007703</v>
      </c>
      <c r="AH463" t="str">
        <f t="shared" si="47"/>
        <v>GUDANGEXP1-LINE 1</v>
      </c>
      <c r="AI463">
        <f>COUNTIF($AH$1:AH463,AH463)</f>
        <v>462</v>
      </c>
    </row>
    <row r="464" spans="1:35">
      <c r="A464" t="s">
        <v>56</v>
      </c>
      <c r="B464" t="s">
        <v>57</v>
      </c>
      <c r="C464" t="s">
        <v>526</v>
      </c>
      <c r="D464" t="s">
        <v>59</v>
      </c>
      <c r="E464">
        <v>1</v>
      </c>
      <c r="G464" t="s">
        <v>60</v>
      </c>
      <c r="I464" t="s">
        <v>61</v>
      </c>
      <c r="Z464" t="str">
        <f>IFERROR(MID(AA464,FIND("-",H464,1)+1,20),_xlfn.IFNA(VLOOKUP(F464&amp;"-"&amp;AA464,Ref_Kontak!$A:$E,4,FALSE),Ref_Kontak!$H$2))</f>
        <v>628999007703</v>
      </c>
      <c r="AA464" t="str">
        <f t="shared" si="42"/>
        <v/>
      </c>
      <c r="AB464" t="str">
        <f t="shared" si="43"/>
        <v/>
      </c>
      <c r="AC464" t="str">
        <f t="shared" si="44"/>
        <v>628999007703</v>
      </c>
      <c r="AD464" t="str">
        <f t="shared" si="46"/>
        <v>Halo+,+Visual+AI+5S+menditeksi+Violation%3A+GUDANGEXP1-LINE+1</v>
      </c>
      <c r="AE464" t="str">
        <f t="shared" si="45"/>
        <v>https://web.whatsapp.com/send/?phone=628999007703&amp;text=Halo+,+Visual+AI+5S+menditeksi+Violation%3A+GUDANGEXP1-LINE+1&amp;type=phone_number&amp;app_absent=0</v>
      </c>
      <c r="AF464" t="b">
        <f>IF(ISNA(VLOOKUP(D464&amp;"-"&amp;AB464, Ref_Kontak!$A:$E, 4, FALSE)), FALSE, TRUE)</f>
        <v>0</v>
      </c>
      <c r="AG464" t="str">
        <f>_xlfn.IFNA(VLOOKUP(Z464,Ref_Kontak!H:H,1,FALSE),"FALSE")</f>
        <v>628999007703</v>
      </c>
      <c r="AH464" t="str">
        <f t="shared" si="47"/>
        <v>GUDANGEXP1-LINE 1</v>
      </c>
      <c r="AI464">
        <f>COUNTIF($AH$1:AH464,AH464)</f>
        <v>463</v>
      </c>
    </row>
    <row r="465" spans="1:35">
      <c r="A465" t="s">
        <v>56</v>
      </c>
      <c r="B465" t="s">
        <v>57</v>
      </c>
      <c r="C465" t="s">
        <v>527</v>
      </c>
      <c r="D465" t="s">
        <v>59</v>
      </c>
      <c r="E465">
        <v>1</v>
      </c>
      <c r="G465" t="s">
        <v>60</v>
      </c>
      <c r="I465" t="s">
        <v>61</v>
      </c>
      <c r="Z465" t="str">
        <f>IFERROR(MID(AA465,FIND("-",H465,1)+1,20),_xlfn.IFNA(VLOOKUP(F465&amp;"-"&amp;AA465,Ref_Kontak!$A:$E,4,FALSE),Ref_Kontak!$H$2))</f>
        <v>628999007703</v>
      </c>
      <c r="AA465" t="str">
        <f t="shared" si="42"/>
        <v/>
      </c>
      <c r="AB465" t="str">
        <f t="shared" si="43"/>
        <v/>
      </c>
      <c r="AC465" t="str">
        <f t="shared" si="44"/>
        <v>628999007703</v>
      </c>
      <c r="AD465" t="str">
        <f t="shared" si="46"/>
        <v>Halo+,+Visual+AI+5S+menditeksi+Violation%3A+GUDANGEXP1-LINE+1</v>
      </c>
      <c r="AE465" t="str">
        <f t="shared" si="45"/>
        <v>https://web.whatsapp.com/send/?phone=628999007703&amp;text=Halo+,+Visual+AI+5S+menditeksi+Violation%3A+GUDANGEXP1-LINE+1&amp;type=phone_number&amp;app_absent=0</v>
      </c>
      <c r="AF465" t="b">
        <f>IF(ISNA(VLOOKUP(D465&amp;"-"&amp;AB465, Ref_Kontak!$A:$E, 4, FALSE)), FALSE, TRUE)</f>
        <v>0</v>
      </c>
      <c r="AG465" t="str">
        <f>_xlfn.IFNA(VLOOKUP(Z465,Ref_Kontak!H:H,1,FALSE),"FALSE")</f>
        <v>628999007703</v>
      </c>
      <c r="AH465" t="str">
        <f t="shared" si="47"/>
        <v>GUDANGEXP1-LINE 1</v>
      </c>
      <c r="AI465">
        <f>COUNTIF($AH$1:AH465,AH465)</f>
        <v>464</v>
      </c>
    </row>
    <row r="466" spans="1:35">
      <c r="A466" t="s">
        <v>56</v>
      </c>
      <c r="B466" t="s">
        <v>57</v>
      </c>
      <c r="C466" t="s">
        <v>528</v>
      </c>
      <c r="D466" t="s">
        <v>59</v>
      </c>
      <c r="E466">
        <v>1</v>
      </c>
      <c r="G466" t="s">
        <v>60</v>
      </c>
      <c r="I466" t="s">
        <v>61</v>
      </c>
      <c r="Z466" t="str">
        <f>IFERROR(MID(AA466,FIND("-",H466,1)+1,20),_xlfn.IFNA(VLOOKUP(F466&amp;"-"&amp;AA466,Ref_Kontak!$A:$E,4,FALSE),Ref_Kontak!$H$2))</f>
        <v>628999007703</v>
      </c>
      <c r="AA466" t="str">
        <f t="shared" si="42"/>
        <v/>
      </c>
      <c r="AB466" t="str">
        <f t="shared" si="43"/>
        <v/>
      </c>
      <c r="AC466" t="str">
        <f t="shared" si="44"/>
        <v>628999007703</v>
      </c>
      <c r="AD466" t="str">
        <f t="shared" si="46"/>
        <v>Halo+,+Visual+AI+5S+menditeksi+Violation%3A+GUDANGEXP1-LINE+1</v>
      </c>
      <c r="AE466" t="str">
        <f t="shared" si="45"/>
        <v>https://web.whatsapp.com/send/?phone=628999007703&amp;text=Halo+,+Visual+AI+5S+menditeksi+Violation%3A+GUDANGEXP1-LINE+1&amp;type=phone_number&amp;app_absent=0</v>
      </c>
      <c r="AF466" t="b">
        <f>IF(ISNA(VLOOKUP(D466&amp;"-"&amp;AB466, Ref_Kontak!$A:$E, 4, FALSE)), FALSE, TRUE)</f>
        <v>0</v>
      </c>
      <c r="AG466" t="str">
        <f>_xlfn.IFNA(VLOOKUP(Z466,Ref_Kontak!H:H,1,FALSE),"FALSE")</f>
        <v>628999007703</v>
      </c>
      <c r="AH466" t="str">
        <f t="shared" si="47"/>
        <v>GUDANGEXP1-LINE 1</v>
      </c>
      <c r="AI466">
        <f>COUNTIF($AH$1:AH466,AH466)</f>
        <v>465</v>
      </c>
    </row>
    <row r="467" spans="1:35">
      <c r="A467" t="s">
        <v>56</v>
      </c>
      <c r="B467" t="s">
        <v>57</v>
      </c>
      <c r="C467" t="s">
        <v>529</v>
      </c>
      <c r="D467" t="s">
        <v>59</v>
      </c>
      <c r="E467">
        <v>1</v>
      </c>
      <c r="G467" t="s">
        <v>60</v>
      </c>
      <c r="I467" t="s">
        <v>61</v>
      </c>
      <c r="Z467" t="str">
        <f>IFERROR(MID(AA467,FIND("-",H467,1)+1,20),_xlfn.IFNA(VLOOKUP(F467&amp;"-"&amp;AA467,Ref_Kontak!$A:$E,4,FALSE),Ref_Kontak!$H$2))</f>
        <v>628999007703</v>
      </c>
      <c r="AA467" t="str">
        <f t="shared" si="42"/>
        <v/>
      </c>
      <c r="AB467" t="str">
        <f t="shared" si="43"/>
        <v/>
      </c>
      <c r="AC467" t="str">
        <f t="shared" si="44"/>
        <v>628999007703</v>
      </c>
      <c r="AD467" t="str">
        <f t="shared" si="46"/>
        <v>Halo+,+Visual+AI+5S+menditeksi+Violation%3A+GUDANGEXP1-LINE+1</v>
      </c>
      <c r="AE467" t="str">
        <f t="shared" si="45"/>
        <v>https://web.whatsapp.com/send/?phone=628999007703&amp;text=Halo+,+Visual+AI+5S+menditeksi+Violation%3A+GUDANGEXP1-LINE+1&amp;type=phone_number&amp;app_absent=0</v>
      </c>
      <c r="AF467" t="b">
        <f>IF(ISNA(VLOOKUP(D467&amp;"-"&amp;AB467, Ref_Kontak!$A:$E, 4, FALSE)), FALSE, TRUE)</f>
        <v>0</v>
      </c>
      <c r="AG467" t="str">
        <f>_xlfn.IFNA(VLOOKUP(Z467,Ref_Kontak!H:H,1,FALSE),"FALSE")</f>
        <v>628999007703</v>
      </c>
      <c r="AH467" t="str">
        <f t="shared" si="47"/>
        <v>GUDANGEXP1-LINE 1</v>
      </c>
      <c r="AI467">
        <f>COUNTIF($AH$1:AH467,AH467)</f>
        <v>466</v>
      </c>
    </row>
    <row r="468" spans="1:35">
      <c r="A468" t="s">
        <v>56</v>
      </c>
      <c r="B468" t="s">
        <v>57</v>
      </c>
      <c r="C468" t="s">
        <v>530</v>
      </c>
      <c r="D468" t="s">
        <v>59</v>
      </c>
      <c r="E468">
        <v>1</v>
      </c>
      <c r="G468" t="s">
        <v>60</v>
      </c>
      <c r="I468" t="s">
        <v>61</v>
      </c>
      <c r="Z468" t="str">
        <f>IFERROR(MID(AA468,FIND("-",H468,1)+1,20),_xlfn.IFNA(VLOOKUP(F468&amp;"-"&amp;AA468,Ref_Kontak!$A:$E,4,FALSE),Ref_Kontak!$H$2))</f>
        <v>628999007703</v>
      </c>
      <c r="AA468" t="str">
        <f t="shared" si="42"/>
        <v/>
      </c>
      <c r="AB468" t="str">
        <f t="shared" si="43"/>
        <v/>
      </c>
      <c r="AC468" t="str">
        <f t="shared" si="44"/>
        <v>628999007703</v>
      </c>
      <c r="AD468" t="str">
        <f t="shared" si="46"/>
        <v>Halo+,+Visual+AI+5S+menditeksi+Violation%3A+GUDANGEXP1-LINE+1</v>
      </c>
      <c r="AE468" t="str">
        <f t="shared" si="45"/>
        <v>https://web.whatsapp.com/send/?phone=628999007703&amp;text=Halo+,+Visual+AI+5S+menditeksi+Violation%3A+GUDANGEXP1-LINE+1&amp;type=phone_number&amp;app_absent=0</v>
      </c>
      <c r="AF468" t="b">
        <f>IF(ISNA(VLOOKUP(D468&amp;"-"&amp;AB468, Ref_Kontak!$A:$E, 4, FALSE)), FALSE, TRUE)</f>
        <v>0</v>
      </c>
      <c r="AG468" t="str">
        <f>_xlfn.IFNA(VLOOKUP(Z468,Ref_Kontak!H:H,1,FALSE),"FALSE")</f>
        <v>628999007703</v>
      </c>
      <c r="AH468" t="str">
        <f t="shared" si="47"/>
        <v>GUDANGEXP1-LINE 1</v>
      </c>
      <c r="AI468">
        <f>COUNTIF($AH$1:AH468,AH468)</f>
        <v>467</v>
      </c>
    </row>
    <row r="469" spans="1:35">
      <c r="A469" t="s">
        <v>56</v>
      </c>
      <c r="B469" t="s">
        <v>57</v>
      </c>
      <c r="C469" t="s">
        <v>531</v>
      </c>
      <c r="D469" t="s">
        <v>59</v>
      </c>
      <c r="E469">
        <v>1</v>
      </c>
      <c r="G469" t="s">
        <v>60</v>
      </c>
      <c r="I469" t="s">
        <v>61</v>
      </c>
      <c r="Z469" t="str">
        <f>IFERROR(MID(AA469,FIND("-",H469,1)+1,20),_xlfn.IFNA(VLOOKUP(F469&amp;"-"&amp;AA469,Ref_Kontak!$A:$E,4,FALSE),Ref_Kontak!$H$2))</f>
        <v>628999007703</v>
      </c>
      <c r="AA469" t="str">
        <f t="shared" si="42"/>
        <v/>
      </c>
      <c r="AB469" t="str">
        <f t="shared" si="43"/>
        <v/>
      </c>
      <c r="AC469" t="str">
        <f t="shared" si="44"/>
        <v>628999007703</v>
      </c>
      <c r="AD469" t="str">
        <f t="shared" si="46"/>
        <v>Halo+,+Visual+AI+5S+menditeksi+Violation%3A+GUDANGEXP1-LINE+1</v>
      </c>
      <c r="AE469" t="str">
        <f t="shared" si="45"/>
        <v>https://web.whatsapp.com/send/?phone=628999007703&amp;text=Halo+,+Visual+AI+5S+menditeksi+Violation%3A+GUDANGEXP1-LINE+1&amp;type=phone_number&amp;app_absent=0</v>
      </c>
      <c r="AF469" t="b">
        <f>IF(ISNA(VLOOKUP(D469&amp;"-"&amp;AB469, Ref_Kontak!$A:$E, 4, FALSE)), FALSE, TRUE)</f>
        <v>0</v>
      </c>
      <c r="AG469" t="str">
        <f>_xlfn.IFNA(VLOOKUP(Z469,Ref_Kontak!H:H,1,FALSE),"FALSE")</f>
        <v>628999007703</v>
      </c>
      <c r="AH469" t="str">
        <f t="shared" si="47"/>
        <v>GUDANGEXP1-LINE 1</v>
      </c>
      <c r="AI469">
        <f>COUNTIF($AH$1:AH469,AH469)</f>
        <v>468</v>
      </c>
    </row>
    <row r="470" spans="1:35">
      <c r="A470" t="s">
        <v>56</v>
      </c>
      <c r="B470" t="s">
        <v>57</v>
      </c>
      <c r="C470" t="s">
        <v>532</v>
      </c>
      <c r="D470" t="s">
        <v>59</v>
      </c>
      <c r="E470">
        <v>1</v>
      </c>
      <c r="G470" t="s">
        <v>60</v>
      </c>
      <c r="I470" t="s">
        <v>61</v>
      </c>
      <c r="Z470" t="str">
        <f>IFERROR(MID(AA470,FIND("-",H470,1)+1,20),_xlfn.IFNA(VLOOKUP(F470&amp;"-"&amp;AA470,Ref_Kontak!$A:$E,4,FALSE),Ref_Kontak!$H$2))</f>
        <v>628999007703</v>
      </c>
      <c r="AA470" t="str">
        <f t="shared" si="42"/>
        <v/>
      </c>
      <c r="AB470" t="str">
        <f t="shared" si="43"/>
        <v/>
      </c>
      <c r="AC470" t="str">
        <f t="shared" si="44"/>
        <v>628999007703</v>
      </c>
      <c r="AD470" t="str">
        <f t="shared" si="46"/>
        <v>Halo+,+Visual+AI+5S+menditeksi+Violation%3A+GUDANGEXP1-LINE+1</v>
      </c>
      <c r="AE470" t="str">
        <f t="shared" si="45"/>
        <v>https://web.whatsapp.com/send/?phone=628999007703&amp;text=Halo+,+Visual+AI+5S+menditeksi+Violation%3A+GUDANGEXP1-LINE+1&amp;type=phone_number&amp;app_absent=0</v>
      </c>
      <c r="AF470" t="b">
        <f>IF(ISNA(VLOOKUP(D470&amp;"-"&amp;AB470, Ref_Kontak!$A:$E, 4, FALSE)), FALSE, TRUE)</f>
        <v>0</v>
      </c>
      <c r="AG470" t="str">
        <f>_xlfn.IFNA(VLOOKUP(Z470,Ref_Kontak!H:H,1,FALSE),"FALSE")</f>
        <v>628999007703</v>
      </c>
      <c r="AH470" t="str">
        <f t="shared" si="47"/>
        <v>GUDANGEXP1-LINE 1</v>
      </c>
      <c r="AI470">
        <f>COUNTIF($AH$1:AH470,AH470)</f>
        <v>469</v>
      </c>
    </row>
    <row r="471" spans="1:35">
      <c r="A471" t="s">
        <v>56</v>
      </c>
      <c r="B471" t="s">
        <v>57</v>
      </c>
      <c r="C471" t="s">
        <v>533</v>
      </c>
      <c r="D471" t="s">
        <v>59</v>
      </c>
      <c r="E471">
        <v>1</v>
      </c>
      <c r="G471" t="s">
        <v>60</v>
      </c>
      <c r="I471" t="s">
        <v>61</v>
      </c>
      <c r="Z471" t="str">
        <f>IFERROR(MID(AA471,FIND("-",H471,1)+1,20),_xlfn.IFNA(VLOOKUP(F471&amp;"-"&amp;AA471,Ref_Kontak!$A:$E,4,FALSE),Ref_Kontak!$H$2))</f>
        <v>628999007703</v>
      </c>
      <c r="AA471" t="str">
        <f t="shared" si="42"/>
        <v/>
      </c>
      <c r="AB471" t="str">
        <f t="shared" si="43"/>
        <v/>
      </c>
      <c r="AC471" t="str">
        <f t="shared" si="44"/>
        <v>628999007703</v>
      </c>
      <c r="AD471" t="str">
        <f t="shared" si="46"/>
        <v>Halo+,+Visual+AI+5S+menditeksi+Violation%3A+GUDANGEXP1-LINE+1</v>
      </c>
      <c r="AE471" t="str">
        <f t="shared" si="45"/>
        <v>https://web.whatsapp.com/send/?phone=628999007703&amp;text=Halo+,+Visual+AI+5S+menditeksi+Violation%3A+GUDANGEXP1-LINE+1&amp;type=phone_number&amp;app_absent=0</v>
      </c>
      <c r="AF471" t="b">
        <f>IF(ISNA(VLOOKUP(D471&amp;"-"&amp;AB471, Ref_Kontak!$A:$E, 4, FALSE)), FALSE, TRUE)</f>
        <v>0</v>
      </c>
      <c r="AG471" t="str">
        <f>_xlfn.IFNA(VLOOKUP(Z471,Ref_Kontak!H:H,1,FALSE),"FALSE")</f>
        <v>628999007703</v>
      </c>
      <c r="AH471" t="str">
        <f t="shared" si="47"/>
        <v>GUDANGEXP1-LINE 1</v>
      </c>
      <c r="AI471">
        <f>COUNTIF($AH$1:AH471,AH471)</f>
        <v>470</v>
      </c>
    </row>
    <row r="472" spans="1:35">
      <c r="A472" t="s">
        <v>56</v>
      </c>
      <c r="B472" t="s">
        <v>57</v>
      </c>
      <c r="C472" t="s">
        <v>534</v>
      </c>
      <c r="D472" t="s">
        <v>59</v>
      </c>
      <c r="E472">
        <v>1</v>
      </c>
      <c r="G472" t="s">
        <v>60</v>
      </c>
      <c r="I472" t="s">
        <v>61</v>
      </c>
      <c r="Z472" t="str">
        <f>IFERROR(MID(AA472,FIND("-",H472,1)+1,20),_xlfn.IFNA(VLOOKUP(F472&amp;"-"&amp;AA472,Ref_Kontak!$A:$E,4,FALSE),Ref_Kontak!$H$2))</f>
        <v>628999007703</v>
      </c>
      <c r="AA472" t="str">
        <f t="shared" si="42"/>
        <v/>
      </c>
      <c r="AB472" t="str">
        <f t="shared" si="43"/>
        <v/>
      </c>
      <c r="AC472" t="str">
        <f t="shared" si="44"/>
        <v>628999007703</v>
      </c>
      <c r="AD472" t="str">
        <f t="shared" si="46"/>
        <v>Halo+,+Visual+AI+5S+menditeksi+Violation%3A+GUDANGEXP1-LINE+1</v>
      </c>
      <c r="AE472" t="str">
        <f t="shared" si="45"/>
        <v>https://web.whatsapp.com/send/?phone=628999007703&amp;text=Halo+,+Visual+AI+5S+menditeksi+Violation%3A+GUDANGEXP1-LINE+1&amp;type=phone_number&amp;app_absent=0</v>
      </c>
      <c r="AF472" t="b">
        <f>IF(ISNA(VLOOKUP(D472&amp;"-"&amp;AB472, Ref_Kontak!$A:$E, 4, FALSE)), FALSE, TRUE)</f>
        <v>0</v>
      </c>
      <c r="AG472" t="str">
        <f>_xlfn.IFNA(VLOOKUP(Z472,Ref_Kontak!H:H,1,FALSE),"FALSE")</f>
        <v>628999007703</v>
      </c>
      <c r="AH472" t="str">
        <f t="shared" si="47"/>
        <v>GUDANGEXP1-LINE 1</v>
      </c>
      <c r="AI472">
        <f>COUNTIF($AH$1:AH472,AH472)</f>
        <v>471</v>
      </c>
    </row>
    <row r="473" spans="1:35">
      <c r="A473" t="s">
        <v>56</v>
      </c>
      <c r="B473" t="s">
        <v>57</v>
      </c>
      <c r="C473" t="s">
        <v>535</v>
      </c>
      <c r="D473" t="s">
        <v>59</v>
      </c>
      <c r="E473">
        <v>1</v>
      </c>
      <c r="G473" t="s">
        <v>60</v>
      </c>
      <c r="I473" t="s">
        <v>61</v>
      </c>
      <c r="Z473" t="str">
        <f>IFERROR(MID(AA473,FIND("-",H473,1)+1,20),_xlfn.IFNA(VLOOKUP(F473&amp;"-"&amp;AA473,Ref_Kontak!$A:$E,4,FALSE),Ref_Kontak!$H$2))</f>
        <v>628999007703</v>
      </c>
      <c r="AA473" t="str">
        <f t="shared" si="42"/>
        <v/>
      </c>
      <c r="AB473" t="str">
        <f t="shared" si="43"/>
        <v/>
      </c>
      <c r="AC473" t="str">
        <f t="shared" si="44"/>
        <v>628999007703</v>
      </c>
      <c r="AD473" t="str">
        <f t="shared" si="46"/>
        <v>Halo+,+Visual+AI+5S+menditeksi+Violation%3A+GUDANGEXP1-LINE+1</v>
      </c>
      <c r="AE473" t="str">
        <f t="shared" si="45"/>
        <v>https://web.whatsapp.com/send/?phone=628999007703&amp;text=Halo+,+Visual+AI+5S+menditeksi+Violation%3A+GUDANGEXP1-LINE+1&amp;type=phone_number&amp;app_absent=0</v>
      </c>
      <c r="AF473" t="b">
        <f>IF(ISNA(VLOOKUP(D473&amp;"-"&amp;AB473, Ref_Kontak!$A:$E, 4, FALSE)), FALSE, TRUE)</f>
        <v>0</v>
      </c>
      <c r="AG473" t="str">
        <f>_xlfn.IFNA(VLOOKUP(Z473,Ref_Kontak!H:H,1,FALSE),"FALSE")</f>
        <v>628999007703</v>
      </c>
      <c r="AH473" t="str">
        <f t="shared" si="47"/>
        <v>GUDANGEXP1-LINE 1</v>
      </c>
      <c r="AI473">
        <f>COUNTIF($AH$1:AH473,AH473)</f>
        <v>472</v>
      </c>
    </row>
    <row r="474" spans="1:35">
      <c r="A474" t="s">
        <v>56</v>
      </c>
      <c r="B474" t="s">
        <v>57</v>
      </c>
      <c r="C474" t="s">
        <v>536</v>
      </c>
      <c r="D474" t="s">
        <v>59</v>
      </c>
      <c r="E474">
        <v>1</v>
      </c>
      <c r="G474" t="s">
        <v>60</v>
      </c>
      <c r="I474" t="s">
        <v>61</v>
      </c>
      <c r="Z474" t="str">
        <f>IFERROR(MID(AA474,FIND("-",H474,1)+1,20),_xlfn.IFNA(VLOOKUP(F474&amp;"-"&amp;AA474,Ref_Kontak!$A:$E,4,FALSE),Ref_Kontak!$H$2))</f>
        <v>628999007703</v>
      </c>
      <c r="AA474" t="str">
        <f t="shared" si="42"/>
        <v/>
      </c>
      <c r="AB474" t="str">
        <f t="shared" si="43"/>
        <v/>
      </c>
      <c r="AC474" t="str">
        <f t="shared" si="44"/>
        <v>628999007703</v>
      </c>
      <c r="AD474" t="str">
        <f t="shared" si="46"/>
        <v>Halo+,+Visual+AI+5S+menditeksi+Violation%3A+GUDANGEXP1-LINE+1</v>
      </c>
      <c r="AE474" t="str">
        <f t="shared" si="45"/>
        <v>https://web.whatsapp.com/send/?phone=628999007703&amp;text=Halo+,+Visual+AI+5S+menditeksi+Violation%3A+GUDANGEXP1-LINE+1&amp;type=phone_number&amp;app_absent=0</v>
      </c>
      <c r="AF474" t="b">
        <f>IF(ISNA(VLOOKUP(D474&amp;"-"&amp;AB474, Ref_Kontak!$A:$E, 4, FALSE)), FALSE, TRUE)</f>
        <v>0</v>
      </c>
      <c r="AG474" t="str">
        <f>_xlfn.IFNA(VLOOKUP(Z474,Ref_Kontak!H:H,1,FALSE),"FALSE")</f>
        <v>628999007703</v>
      </c>
      <c r="AH474" t="str">
        <f t="shared" si="47"/>
        <v>GUDANGEXP1-LINE 1</v>
      </c>
      <c r="AI474">
        <f>COUNTIF($AH$1:AH474,AH474)</f>
        <v>473</v>
      </c>
    </row>
    <row r="475" spans="1:35">
      <c r="A475" t="s">
        <v>56</v>
      </c>
      <c r="B475" t="s">
        <v>57</v>
      </c>
      <c r="C475" t="s">
        <v>537</v>
      </c>
      <c r="D475" t="s">
        <v>59</v>
      </c>
      <c r="E475">
        <v>1</v>
      </c>
      <c r="G475" t="s">
        <v>60</v>
      </c>
      <c r="I475" t="s">
        <v>61</v>
      </c>
      <c r="Z475" t="str">
        <f>IFERROR(MID(AA475,FIND("-",H475,1)+1,20),_xlfn.IFNA(VLOOKUP(F475&amp;"-"&amp;AA475,Ref_Kontak!$A:$E,4,FALSE),Ref_Kontak!$H$2))</f>
        <v>628999007703</v>
      </c>
      <c r="AA475" t="str">
        <f t="shared" si="42"/>
        <v/>
      </c>
      <c r="AB475" t="str">
        <f t="shared" si="43"/>
        <v/>
      </c>
      <c r="AC475" t="str">
        <f t="shared" si="44"/>
        <v>628999007703</v>
      </c>
      <c r="AD475" t="str">
        <f t="shared" si="46"/>
        <v>Halo+,+Visual+AI+5S+menditeksi+Violation%3A+GUDANGEXP1-LINE+1</v>
      </c>
      <c r="AE475" t="str">
        <f t="shared" si="45"/>
        <v>https://web.whatsapp.com/send/?phone=628999007703&amp;text=Halo+,+Visual+AI+5S+menditeksi+Violation%3A+GUDANGEXP1-LINE+1&amp;type=phone_number&amp;app_absent=0</v>
      </c>
      <c r="AF475" t="b">
        <f>IF(ISNA(VLOOKUP(D475&amp;"-"&amp;AB475, Ref_Kontak!$A:$E, 4, FALSE)), FALSE, TRUE)</f>
        <v>0</v>
      </c>
      <c r="AG475" t="str">
        <f>_xlfn.IFNA(VLOOKUP(Z475,Ref_Kontak!H:H,1,FALSE),"FALSE")</f>
        <v>628999007703</v>
      </c>
      <c r="AH475" t="str">
        <f t="shared" si="47"/>
        <v>GUDANGEXP1-LINE 1</v>
      </c>
      <c r="AI475">
        <f>COUNTIF($AH$1:AH475,AH475)</f>
        <v>474</v>
      </c>
    </row>
    <row r="476" spans="1:35">
      <c r="A476" t="s">
        <v>56</v>
      </c>
      <c r="B476" t="s">
        <v>57</v>
      </c>
      <c r="C476" t="s">
        <v>538</v>
      </c>
      <c r="D476" t="s">
        <v>59</v>
      </c>
      <c r="E476">
        <v>1</v>
      </c>
      <c r="G476" t="s">
        <v>60</v>
      </c>
      <c r="I476" t="s">
        <v>61</v>
      </c>
      <c r="Z476" t="str">
        <f>IFERROR(MID(AA476,FIND("-",H476,1)+1,20),_xlfn.IFNA(VLOOKUP(F476&amp;"-"&amp;AA476,Ref_Kontak!$A:$E,4,FALSE),Ref_Kontak!$H$2))</f>
        <v>628999007703</v>
      </c>
      <c r="AA476" t="str">
        <f t="shared" si="42"/>
        <v/>
      </c>
      <c r="AB476" t="str">
        <f t="shared" si="43"/>
        <v/>
      </c>
      <c r="AC476" t="str">
        <f t="shared" si="44"/>
        <v>628999007703</v>
      </c>
      <c r="AD476" t="str">
        <f t="shared" si="46"/>
        <v>Halo+,+Visual+AI+5S+menditeksi+Violation%3A+GUDANGEXP1-LINE+1</v>
      </c>
      <c r="AE476" t="str">
        <f t="shared" si="45"/>
        <v>https://web.whatsapp.com/send/?phone=628999007703&amp;text=Halo+,+Visual+AI+5S+menditeksi+Violation%3A+GUDANGEXP1-LINE+1&amp;type=phone_number&amp;app_absent=0</v>
      </c>
      <c r="AF476" t="b">
        <f>IF(ISNA(VLOOKUP(D476&amp;"-"&amp;AB476, Ref_Kontak!$A:$E, 4, FALSE)), FALSE, TRUE)</f>
        <v>0</v>
      </c>
      <c r="AG476" t="str">
        <f>_xlfn.IFNA(VLOOKUP(Z476,Ref_Kontak!H:H,1,FALSE),"FALSE")</f>
        <v>628999007703</v>
      </c>
      <c r="AH476" t="str">
        <f t="shared" si="47"/>
        <v>GUDANGEXP1-LINE 1</v>
      </c>
      <c r="AI476">
        <f>COUNTIF($AH$1:AH476,AH476)</f>
        <v>475</v>
      </c>
    </row>
    <row r="477" spans="1:35">
      <c r="A477" t="s">
        <v>56</v>
      </c>
      <c r="B477" t="s">
        <v>57</v>
      </c>
      <c r="C477" t="s">
        <v>539</v>
      </c>
      <c r="D477" t="s">
        <v>59</v>
      </c>
      <c r="E477">
        <v>1</v>
      </c>
      <c r="G477" t="s">
        <v>60</v>
      </c>
      <c r="I477" t="s">
        <v>61</v>
      </c>
      <c r="Z477" t="str">
        <f>IFERROR(MID(AA477,FIND("-",H477,1)+1,20),_xlfn.IFNA(VLOOKUP(F477&amp;"-"&amp;AA477,Ref_Kontak!$A:$E,4,FALSE),Ref_Kontak!$H$2))</f>
        <v>628999007703</v>
      </c>
      <c r="AA477" t="str">
        <f t="shared" si="42"/>
        <v/>
      </c>
      <c r="AB477" t="str">
        <f t="shared" si="43"/>
        <v/>
      </c>
      <c r="AC477" t="str">
        <f t="shared" si="44"/>
        <v>628999007703</v>
      </c>
      <c r="AD477" t="str">
        <f t="shared" si="46"/>
        <v>Halo+,+Visual+AI+5S+menditeksi+Violation%3A+GUDANGEXP1-LINE+1</v>
      </c>
      <c r="AE477" t="str">
        <f t="shared" si="45"/>
        <v>https://web.whatsapp.com/send/?phone=628999007703&amp;text=Halo+,+Visual+AI+5S+menditeksi+Violation%3A+GUDANGEXP1-LINE+1&amp;type=phone_number&amp;app_absent=0</v>
      </c>
      <c r="AF477" t="b">
        <f>IF(ISNA(VLOOKUP(D477&amp;"-"&amp;AB477, Ref_Kontak!$A:$E, 4, FALSE)), FALSE, TRUE)</f>
        <v>0</v>
      </c>
      <c r="AG477" t="str">
        <f>_xlfn.IFNA(VLOOKUP(Z477,Ref_Kontak!H:H,1,FALSE),"FALSE")</f>
        <v>628999007703</v>
      </c>
      <c r="AH477" t="str">
        <f t="shared" si="47"/>
        <v>GUDANGEXP1-LINE 1</v>
      </c>
      <c r="AI477">
        <f>COUNTIF($AH$1:AH477,AH477)</f>
        <v>476</v>
      </c>
    </row>
    <row r="478" spans="1:35">
      <c r="A478" t="s">
        <v>56</v>
      </c>
      <c r="B478" t="s">
        <v>57</v>
      </c>
      <c r="C478" t="s">
        <v>540</v>
      </c>
      <c r="D478" t="s">
        <v>59</v>
      </c>
      <c r="E478">
        <v>1</v>
      </c>
      <c r="G478" t="s">
        <v>60</v>
      </c>
      <c r="I478" t="s">
        <v>61</v>
      </c>
      <c r="Z478" t="str">
        <f>IFERROR(MID(AA478,FIND("-",H478,1)+1,20),_xlfn.IFNA(VLOOKUP(F478&amp;"-"&amp;AA478,Ref_Kontak!$A:$E,4,FALSE),Ref_Kontak!$H$2))</f>
        <v>628999007703</v>
      </c>
      <c r="AA478" t="str">
        <f t="shared" si="42"/>
        <v/>
      </c>
      <c r="AB478" t="str">
        <f t="shared" si="43"/>
        <v/>
      </c>
      <c r="AC478" t="str">
        <f t="shared" si="44"/>
        <v>628999007703</v>
      </c>
      <c r="AD478" t="str">
        <f t="shared" si="46"/>
        <v>Halo+,+Visual+AI+5S+menditeksi+Violation%3A+GUDANGEXP1-LINE+1</v>
      </c>
      <c r="AE478" t="str">
        <f t="shared" si="45"/>
        <v>https://web.whatsapp.com/send/?phone=628999007703&amp;text=Halo+,+Visual+AI+5S+menditeksi+Violation%3A+GUDANGEXP1-LINE+1&amp;type=phone_number&amp;app_absent=0</v>
      </c>
      <c r="AF478" t="b">
        <f>IF(ISNA(VLOOKUP(D478&amp;"-"&amp;AB478, Ref_Kontak!$A:$E, 4, FALSE)), FALSE, TRUE)</f>
        <v>0</v>
      </c>
      <c r="AG478" t="str">
        <f>_xlfn.IFNA(VLOOKUP(Z478,Ref_Kontak!H:H,1,FALSE),"FALSE")</f>
        <v>628999007703</v>
      </c>
      <c r="AH478" t="str">
        <f t="shared" si="47"/>
        <v>GUDANGEXP1-LINE 1</v>
      </c>
      <c r="AI478">
        <f>COUNTIF($AH$1:AH478,AH478)</f>
        <v>477</v>
      </c>
    </row>
    <row r="479" spans="1:35">
      <c r="A479" t="s">
        <v>56</v>
      </c>
      <c r="B479" t="s">
        <v>57</v>
      </c>
      <c r="C479" t="s">
        <v>541</v>
      </c>
      <c r="D479" t="s">
        <v>59</v>
      </c>
      <c r="E479">
        <v>1</v>
      </c>
      <c r="G479" t="s">
        <v>60</v>
      </c>
      <c r="I479" t="s">
        <v>61</v>
      </c>
      <c r="Z479" t="str">
        <f>IFERROR(MID(AA479,FIND("-",H479,1)+1,20),_xlfn.IFNA(VLOOKUP(F479&amp;"-"&amp;AA479,Ref_Kontak!$A:$E,4,FALSE),Ref_Kontak!$H$2))</f>
        <v>628999007703</v>
      </c>
      <c r="AA479" t="str">
        <f t="shared" si="42"/>
        <v/>
      </c>
      <c r="AB479" t="str">
        <f t="shared" si="43"/>
        <v/>
      </c>
      <c r="AC479" t="str">
        <f t="shared" si="44"/>
        <v>628999007703</v>
      </c>
      <c r="AD479" t="str">
        <f t="shared" si="46"/>
        <v>Halo+,+Visual+AI+5S+menditeksi+Violation%3A+GUDANGEXP1-LINE+1</v>
      </c>
      <c r="AE479" t="str">
        <f t="shared" si="45"/>
        <v>https://web.whatsapp.com/send/?phone=628999007703&amp;text=Halo+,+Visual+AI+5S+menditeksi+Violation%3A+GUDANGEXP1-LINE+1&amp;type=phone_number&amp;app_absent=0</v>
      </c>
      <c r="AF479" t="b">
        <f>IF(ISNA(VLOOKUP(D479&amp;"-"&amp;AB479, Ref_Kontak!$A:$E, 4, FALSE)), FALSE, TRUE)</f>
        <v>0</v>
      </c>
      <c r="AG479" t="str">
        <f>_xlfn.IFNA(VLOOKUP(Z479,Ref_Kontak!H:H,1,FALSE),"FALSE")</f>
        <v>628999007703</v>
      </c>
      <c r="AH479" t="str">
        <f t="shared" si="47"/>
        <v>GUDANGEXP1-LINE 1</v>
      </c>
      <c r="AI479">
        <f>COUNTIF($AH$1:AH479,AH479)</f>
        <v>478</v>
      </c>
    </row>
    <row r="480" spans="1:35">
      <c r="A480" t="s">
        <v>56</v>
      </c>
      <c r="B480" t="s">
        <v>57</v>
      </c>
      <c r="C480" t="s">
        <v>542</v>
      </c>
      <c r="D480" t="s">
        <v>59</v>
      </c>
      <c r="E480">
        <v>1</v>
      </c>
      <c r="G480" t="s">
        <v>60</v>
      </c>
      <c r="I480" t="s">
        <v>61</v>
      </c>
      <c r="Z480" t="str">
        <f>IFERROR(MID(AA480,FIND("-",H480,1)+1,20),_xlfn.IFNA(VLOOKUP(F480&amp;"-"&amp;AA480,Ref_Kontak!$A:$E,4,FALSE),Ref_Kontak!$H$2))</f>
        <v>628999007703</v>
      </c>
      <c r="AA480" t="str">
        <f t="shared" si="42"/>
        <v/>
      </c>
      <c r="AB480" t="str">
        <f t="shared" si="43"/>
        <v/>
      </c>
      <c r="AC480" t="str">
        <f t="shared" si="44"/>
        <v>628999007703</v>
      </c>
      <c r="AD480" t="str">
        <f t="shared" si="46"/>
        <v>Halo+,+Visual+AI+5S+menditeksi+Violation%3A+GUDANGEXP1-LINE+1</v>
      </c>
      <c r="AE480" t="str">
        <f t="shared" si="45"/>
        <v>https://web.whatsapp.com/send/?phone=628999007703&amp;text=Halo+,+Visual+AI+5S+menditeksi+Violation%3A+GUDANGEXP1-LINE+1&amp;type=phone_number&amp;app_absent=0</v>
      </c>
      <c r="AF480" t="b">
        <f>IF(ISNA(VLOOKUP(D480&amp;"-"&amp;AB480, Ref_Kontak!$A:$E, 4, FALSE)), FALSE, TRUE)</f>
        <v>0</v>
      </c>
      <c r="AG480" t="str">
        <f>_xlfn.IFNA(VLOOKUP(Z480,Ref_Kontak!H:H,1,FALSE),"FALSE")</f>
        <v>628999007703</v>
      </c>
      <c r="AH480" t="str">
        <f t="shared" si="47"/>
        <v>GUDANGEXP1-LINE 1</v>
      </c>
      <c r="AI480">
        <f>COUNTIF($AH$1:AH480,AH480)</f>
        <v>479</v>
      </c>
    </row>
    <row r="481" spans="1:35">
      <c r="A481" t="s">
        <v>56</v>
      </c>
      <c r="B481" t="s">
        <v>57</v>
      </c>
      <c r="C481" t="s">
        <v>543</v>
      </c>
      <c r="D481" t="s">
        <v>59</v>
      </c>
      <c r="E481">
        <v>1</v>
      </c>
      <c r="G481" t="s">
        <v>60</v>
      </c>
      <c r="I481" t="s">
        <v>61</v>
      </c>
      <c r="Z481" t="str">
        <f>IFERROR(MID(AA481,FIND("-",H481,1)+1,20),_xlfn.IFNA(VLOOKUP(F481&amp;"-"&amp;AA481,Ref_Kontak!$A:$E,4,FALSE),Ref_Kontak!$H$2))</f>
        <v>628999007703</v>
      </c>
      <c r="AA481" t="str">
        <f t="shared" si="42"/>
        <v/>
      </c>
      <c r="AB481" t="str">
        <f t="shared" si="43"/>
        <v/>
      </c>
      <c r="AC481" t="str">
        <f t="shared" si="44"/>
        <v>628999007703</v>
      </c>
      <c r="AD481" t="str">
        <f t="shared" si="46"/>
        <v>Halo+,+Visual+AI+5S+menditeksi+Violation%3A+GUDANGEXP1-LINE+1</v>
      </c>
      <c r="AE481" t="str">
        <f t="shared" si="45"/>
        <v>https://web.whatsapp.com/send/?phone=628999007703&amp;text=Halo+,+Visual+AI+5S+menditeksi+Violation%3A+GUDANGEXP1-LINE+1&amp;type=phone_number&amp;app_absent=0</v>
      </c>
      <c r="AF481" t="b">
        <f>IF(ISNA(VLOOKUP(D481&amp;"-"&amp;AB481, Ref_Kontak!$A:$E, 4, FALSE)), FALSE, TRUE)</f>
        <v>0</v>
      </c>
      <c r="AG481" t="str">
        <f>_xlfn.IFNA(VLOOKUP(Z481,Ref_Kontak!H:H,1,FALSE),"FALSE")</f>
        <v>628999007703</v>
      </c>
      <c r="AH481" t="str">
        <f t="shared" si="47"/>
        <v>GUDANGEXP1-LINE 1</v>
      </c>
      <c r="AI481">
        <f>COUNTIF($AH$1:AH481,AH481)</f>
        <v>480</v>
      </c>
    </row>
    <row r="482" spans="1:35">
      <c r="A482" t="s">
        <v>56</v>
      </c>
      <c r="B482" t="s">
        <v>57</v>
      </c>
      <c r="C482" t="s">
        <v>544</v>
      </c>
      <c r="D482" t="s">
        <v>59</v>
      </c>
      <c r="E482">
        <v>1</v>
      </c>
      <c r="G482" t="s">
        <v>60</v>
      </c>
      <c r="I482" t="s">
        <v>61</v>
      </c>
      <c r="Z482" t="str">
        <f>IFERROR(MID(AA482,FIND("-",H482,1)+1,20),_xlfn.IFNA(VLOOKUP(F482&amp;"-"&amp;AA482,Ref_Kontak!$A:$E,4,FALSE),Ref_Kontak!$H$2))</f>
        <v>628999007703</v>
      </c>
      <c r="AA482" t="str">
        <f t="shared" si="42"/>
        <v/>
      </c>
      <c r="AB482" t="str">
        <f t="shared" si="43"/>
        <v/>
      </c>
      <c r="AC482" t="str">
        <f t="shared" si="44"/>
        <v>628999007703</v>
      </c>
      <c r="AD482" t="str">
        <f t="shared" si="46"/>
        <v>Halo+,+Visual+AI+5S+menditeksi+Violation%3A+GUDANGEXP1-LINE+1</v>
      </c>
      <c r="AE482" t="str">
        <f t="shared" si="45"/>
        <v>https://web.whatsapp.com/send/?phone=628999007703&amp;text=Halo+,+Visual+AI+5S+menditeksi+Violation%3A+GUDANGEXP1-LINE+1&amp;type=phone_number&amp;app_absent=0</v>
      </c>
      <c r="AF482" t="b">
        <f>IF(ISNA(VLOOKUP(D482&amp;"-"&amp;AB482, Ref_Kontak!$A:$E, 4, FALSE)), FALSE, TRUE)</f>
        <v>0</v>
      </c>
      <c r="AG482" t="str">
        <f>_xlfn.IFNA(VLOOKUP(Z482,Ref_Kontak!H:H,1,FALSE),"FALSE")</f>
        <v>628999007703</v>
      </c>
      <c r="AH482" t="str">
        <f t="shared" si="47"/>
        <v>GUDANGEXP1-LINE 1</v>
      </c>
      <c r="AI482">
        <f>COUNTIF($AH$1:AH482,AH482)</f>
        <v>481</v>
      </c>
    </row>
    <row r="483" spans="1:35">
      <c r="A483" t="s">
        <v>56</v>
      </c>
      <c r="B483" t="s">
        <v>57</v>
      </c>
      <c r="C483" t="s">
        <v>545</v>
      </c>
      <c r="D483" t="s">
        <v>59</v>
      </c>
      <c r="E483">
        <v>1</v>
      </c>
      <c r="G483" t="s">
        <v>60</v>
      </c>
      <c r="I483" t="s">
        <v>61</v>
      </c>
      <c r="Z483" t="str">
        <f>IFERROR(MID(AA483,FIND("-",H483,1)+1,20),_xlfn.IFNA(VLOOKUP(F483&amp;"-"&amp;AA483,Ref_Kontak!$A:$E,4,FALSE),Ref_Kontak!$H$2))</f>
        <v>628999007703</v>
      </c>
      <c r="AA483" t="str">
        <f t="shared" si="42"/>
        <v/>
      </c>
      <c r="AB483" t="str">
        <f t="shared" si="43"/>
        <v/>
      </c>
      <c r="AC483" t="str">
        <f t="shared" si="44"/>
        <v>628999007703</v>
      </c>
      <c r="AD483" t="str">
        <f t="shared" si="46"/>
        <v>Halo+,+Visual+AI+5S+menditeksi+Violation%3A+GUDANGEXP1-LINE+1</v>
      </c>
      <c r="AE483" t="str">
        <f t="shared" si="45"/>
        <v>https://web.whatsapp.com/send/?phone=628999007703&amp;text=Halo+,+Visual+AI+5S+menditeksi+Violation%3A+GUDANGEXP1-LINE+1&amp;type=phone_number&amp;app_absent=0</v>
      </c>
      <c r="AF483" t="b">
        <f>IF(ISNA(VLOOKUP(D483&amp;"-"&amp;AB483, Ref_Kontak!$A:$E, 4, FALSE)), FALSE, TRUE)</f>
        <v>0</v>
      </c>
      <c r="AG483" t="str">
        <f>_xlfn.IFNA(VLOOKUP(Z483,Ref_Kontak!H:H,1,FALSE),"FALSE")</f>
        <v>628999007703</v>
      </c>
      <c r="AH483" t="str">
        <f t="shared" si="47"/>
        <v>GUDANGEXP1-LINE 1</v>
      </c>
      <c r="AI483">
        <f>COUNTIF($AH$1:AH483,AH483)</f>
        <v>482</v>
      </c>
    </row>
    <row r="484" spans="1:35">
      <c r="A484" t="s">
        <v>56</v>
      </c>
      <c r="B484" t="s">
        <v>57</v>
      </c>
      <c r="C484" t="s">
        <v>546</v>
      </c>
      <c r="D484" t="s">
        <v>59</v>
      </c>
      <c r="E484">
        <v>1</v>
      </c>
      <c r="G484" t="s">
        <v>60</v>
      </c>
      <c r="I484" t="s">
        <v>61</v>
      </c>
      <c r="Z484" t="str">
        <f>IFERROR(MID(AA484,FIND("-",H484,1)+1,20),_xlfn.IFNA(VLOOKUP(F484&amp;"-"&amp;AA484,Ref_Kontak!$A:$E,4,FALSE),Ref_Kontak!$H$2))</f>
        <v>628999007703</v>
      </c>
      <c r="AA484" t="str">
        <f t="shared" si="42"/>
        <v/>
      </c>
      <c r="AB484" t="str">
        <f t="shared" si="43"/>
        <v/>
      </c>
      <c r="AC484" t="str">
        <f t="shared" si="44"/>
        <v>628999007703</v>
      </c>
      <c r="AD484" t="str">
        <f t="shared" si="46"/>
        <v>Halo+,+Visual+AI+5S+menditeksi+Violation%3A+GUDANGEXP1-LINE+1</v>
      </c>
      <c r="AE484" t="str">
        <f t="shared" si="45"/>
        <v>https://web.whatsapp.com/send/?phone=628999007703&amp;text=Halo+,+Visual+AI+5S+menditeksi+Violation%3A+GUDANGEXP1-LINE+1&amp;type=phone_number&amp;app_absent=0</v>
      </c>
      <c r="AF484" t="b">
        <f>IF(ISNA(VLOOKUP(D484&amp;"-"&amp;AB484, Ref_Kontak!$A:$E, 4, FALSE)), FALSE, TRUE)</f>
        <v>0</v>
      </c>
      <c r="AG484" t="str">
        <f>_xlfn.IFNA(VLOOKUP(Z484,Ref_Kontak!H:H,1,FALSE),"FALSE")</f>
        <v>628999007703</v>
      </c>
      <c r="AH484" t="str">
        <f t="shared" si="47"/>
        <v>GUDANGEXP1-LINE 1</v>
      </c>
      <c r="AI484">
        <f>COUNTIF($AH$1:AH484,AH484)</f>
        <v>483</v>
      </c>
    </row>
    <row r="485" spans="1:35">
      <c r="A485" t="s">
        <v>56</v>
      </c>
      <c r="B485" t="s">
        <v>57</v>
      </c>
      <c r="C485" t="s">
        <v>547</v>
      </c>
      <c r="D485" t="s">
        <v>59</v>
      </c>
      <c r="E485">
        <v>1</v>
      </c>
      <c r="G485" t="s">
        <v>60</v>
      </c>
      <c r="I485" t="s">
        <v>61</v>
      </c>
      <c r="Z485" t="str">
        <f>IFERROR(MID(AA485,FIND("-",H485,1)+1,20),_xlfn.IFNA(VLOOKUP(F485&amp;"-"&amp;AA485,Ref_Kontak!$A:$E,4,FALSE),Ref_Kontak!$H$2))</f>
        <v>628999007703</v>
      </c>
      <c r="AA485" t="str">
        <f t="shared" si="42"/>
        <v/>
      </c>
      <c r="AB485" t="str">
        <f t="shared" si="43"/>
        <v/>
      </c>
      <c r="AC485" t="str">
        <f t="shared" si="44"/>
        <v>628999007703</v>
      </c>
      <c r="AD485" t="str">
        <f t="shared" si="46"/>
        <v>Halo+,+Visual+AI+5S+menditeksi+Violation%3A+GUDANGEXP1-LINE+1</v>
      </c>
      <c r="AE485" t="str">
        <f t="shared" si="45"/>
        <v>https://web.whatsapp.com/send/?phone=628999007703&amp;text=Halo+,+Visual+AI+5S+menditeksi+Violation%3A+GUDANGEXP1-LINE+1&amp;type=phone_number&amp;app_absent=0</v>
      </c>
      <c r="AF485" t="b">
        <f>IF(ISNA(VLOOKUP(D485&amp;"-"&amp;AB485, Ref_Kontak!$A:$E, 4, FALSE)), FALSE, TRUE)</f>
        <v>0</v>
      </c>
      <c r="AG485" t="str">
        <f>_xlfn.IFNA(VLOOKUP(Z485,Ref_Kontak!H:H,1,FALSE),"FALSE")</f>
        <v>628999007703</v>
      </c>
      <c r="AH485" t="str">
        <f t="shared" si="47"/>
        <v>GUDANGEXP1-LINE 1</v>
      </c>
      <c r="AI485">
        <f>COUNTIF($AH$1:AH485,AH485)</f>
        <v>484</v>
      </c>
    </row>
    <row r="486" spans="1:35">
      <c r="A486" t="s">
        <v>56</v>
      </c>
      <c r="B486" t="s">
        <v>57</v>
      </c>
      <c r="C486" t="s">
        <v>548</v>
      </c>
      <c r="D486" t="s">
        <v>59</v>
      </c>
      <c r="E486">
        <v>1</v>
      </c>
      <c r="G486" t="s">
        <v>60</v>
      </c>
      <c r="I486" t="s">
        <v>61</v>
      </c>
      <c r="Z486" t="str">
        <f>IFERROR(MID(AA486,FIND("-",H486,1)+1,20),_xlfn.IFNA(VLOOKUP(F486&amp;"-"&amp;AA486,Ref_Kontak!$A:$E,4,FALSE),Ref_Kontak!$H$2))</f>
        <v>628999007703</v>
      </c>
      <c r="AA486" t="str">
        <f t="shared" si="42"/>
        <v/>
      </c>
      <c r="AB486" t="str">
        <f t="shared" si="43"/>
        <v/>
      </c>
      <c r="AC486" t="str">
        <f t="shared" si="44"/>
        <v>628999007703</v>
      </c>
      <c r="AD486" t="str">
        <f t="shared" si="46"/>
        <v>Halo+,+Visual+AI+5S+menditeksi+Violation%3A+GUDANGEXP1-LINE+1</v>
      </c>
      <c r="AE486" t="str">
        <f t="shared" si="45"/>
        <v>https://web.whatsapp.com/send/?phone=628999007703&amp;text=Halo+,+Visual+AI+5S+menditeksi+Violation%3A+GUDANGEXP1-LINE+1&amp;type=phone_number&amp;app_absent=0</v>
      </c>
      <c r="AF486" t="b">
        <f>IF(ISNA(VLOOKUP(D486&amp;"-"&amp;AB486, Ref_Kontak!$A:$E, 4, FALSE)), FALSE, TRUE)</f>
        <v>0</v>
      </c>
      <c r="AG486" t="str">
        <f>_xlfn.IFNA(VLOOKUP(Z486,Ref_Kontak!H:H,1,FALSE),"FALSE")</f>
        <v>628999007703</v>
      </c>
      <c r="AH486" t="str">
        <f t="shared" si="47"/>
        <v>GUDANGEXP1-LINE 1</v>
      </c>
      <c r="AI486">
        <f>COUNTIF($AH$1:AH486,AH486)</f>
        <v>485</v>
      </c>
    </row>
    <row r="487" spans="1:35">
      <c r="A487" t="s">
        <v>56</v>
      </c>
      <c r="B487" t="s">
        <v>57</v>
      </c>
      <c r="C487" t="s">
        <v>549</v>
      </c>
      <c r="D487" t="s">
        <v>59</v>
      </c>
      <c r="E487">
        <v>1</v>
      </c>
      <c r="G487" t="s">
        <v>60</v>
      </c>
      <c r="I487" t="s">
        <v>61</v>
      </c>
      <c r="Z487" t="str">
        <f>IFERROR(MID(AA487,FIND("-",H487,1)+1,20),_xlfn.IFNA(VLOOKUP(F487&amp;"-"&amp;AA487,Ref_Kontak!$A:$E,4,FALSE),Ref_Kontak!$H$2))</f>
        <v>628999007703</v>
      </c>
      <c r="AA487" t="str">
        <f t="shared" si="42"/>
        <v/>
      </c>
      <c r="AB487" t="str">
        <f t="shared" si="43"/>
        <v/>
      </c>
      <c r="AC487" t="str">
        <f t="shared" si="44"/>
        <v>628999007703</v>
      </c>
      <c r="AD487" t="str">
        <f t="shared" si="46"/>
        <v>Halo+,+Visual+AI+5S+menditeksi+Violation%3A+GUDANGEXP1-LINE+1</v>
      </c>
      <c r="AE487" t="str">
        <f t="shared" si="45"/>
        <v>https://web.whatsapp.com/send/?phone=628999007703&amp;text=Halo+,+Visual+AI+5S+menditeksi+Violation%3A+GUDANGEXP1-LINE+1&amp;type=phone_number&amp;app_absent=0</v>
      </c>
      <c r="AF487" t="b">
        <f>IF(ISNA(VLOOKUP(D487&amp;"-"&amp;AB487, Ref_Kontak!$A:$E, 4, FALSE)), FALSE, TRUE)</f>
        <v>0</v>
      </c>
      <c r="AG487" t="str">
        <f>_xlfn.IFNA(VLOOKUP(Z487,Ref_Kontak!H:H,1,FALSE),"FALSE")</f>
        <v>628999007703</v>
      </c>
      <c r="AH487" t="str">
        <f t="shared" si="47"/>
        <v>GUDANGEXP1-LINE 1</v>
      </c>
      <c r="AI487">
        <f>COUNTIF($AH$1:AH487,AH487)</f>
        <v>486</v>
      </c>
    </row>
    <row r="488" spans="1:35">
      <c r="A488" t="s">
        <v>56</v>
      </c>
      <c r="B488" t="s">
        <v>57</v>
      </c>
      <c r="C488" t="s">
        <v>550</v>
      </c>
      <c r="D488" t="s">
        <v>59</v>
      </c>
      <c r="E488">
        <v>1</v>
      </c>
      <c r="G488" t="s">
        <v>60</v>
      </c>
      <c r="I488" t="s">
        <v>61</v>
      </c>
      <c r="Z488" t="str">
        <f>IFERROR(MID(AA488,FIND("-",H488,1)+1,20),_xlfn.IFNA(VLOOKUP(F488&amp;"-"&amp;AA488,Ref_Kontak!$A:$E,4,FALSE),Ref_Kontak!$H$2))</f>
        <v>628999007703</v>
      </c>
      <c r="AA488" t="str">
        <f t="shared" si="42"/>
        <v/>
      </c>
      <c r="AB488" t="str">
        <f t="shared" si="43"/>
        <v/>
      </c>
      <c r="AC488" t="str">
        <f t="shared" si="44"/>
        <v>628999007703</v>
      </c>
      <c r="AD488" t="str">
        <f t="shared" si="46"/>
        <v>Halo+,+Visual+AI+5S+menditeksi+Violation%3A+GUDANGEXP1-LINE+1</v>
      </c>
      <c r="AE488" t="str">
        <f t="shared" si="45"/>
        <v>https://web.whatsapp.com/send/?phone=628999007703&amp;text=Halo+,+Visual+AI+5S+menditeksi+Violation%3A+GUDANGEXP1-LINE+1&amp;type=phone_number&amp;app_absent=0</v>
      </c>
      <c r="AF488" t="b">
        <f>IF(ISNA(VLOOKUP(D488&amp;"-"&amp;AB488, Ref_Kontak!$A:$E, 4, FALSE)), FALSE, TRUE)</f>
        <v>0</v>
      </c>
      <c r="AG488" t="str">
        <f>_xlfn.IFNA(VLOOKUP(Z488,Ref_Kontak!H:H,1,FALSE),"FALSE")</f>
        <v>628999007703</v>
      </c>
      <c r="AH488" t="str">
        <f t="shared" si="47"/>
        <v>GUDANGEXP1-LINE 1</v>
      </c>
      <c r="AI488">
        <f>COUNTIF($AH$1:AH488,AH488)</f>
        <v>487</v>
      </c>
    </row>
    <row r="489" spans="1:35">
      <c r="A489" t="s">
        <v>56</v>
      </c>
      <c r="B489" t="s">
        <v>57</v>
      </c>
      <c r="C489" t="s">
        <v>551</v>
      </c>
      <c r="D489" t="s">
        <v>59</v>
      </c>
      <c r="E489">
        <v>1</v>
      </c>
      <c r="G489" t="s">
        <v>60</v>
      </c>
      <c r="I489" t="s">
        <v>61</v>
      </c>
      <c r="Z489" t="str">
        <f>IFERROR(MID(AA489,FIND("-",H489,1)+1,20),_xlfn.IFNA(VLOOKUP(F489&amp;"-"&amp;AA489,Ref_Kontak!$A:$E,4,FALSE),Ref_Kontak!$H$2))</f>
        <v>628999007703</v>
      </c>
      <c r="AA489" t="str">
        <f t="shared" si="42"/>
        <v/>
      </c>
      <c r="AB489" t="str">
        <f t="shared" si="43"/>
        <v/>
      </c>
      <c r="AC489" t="str">
        <f t="shared" si="44"/>
        <v>628999007703</v>
      </c>
      <c r="AD489" t="str">
        <f t="shared" si="46"/>
        <v>Halo+,+Visual+AI+5S+menditeksi+Violation%3A+GUDANGEXP1-LINE+1</v>
      </c>
      <c r="AE489" t="str">
        <f t="shared" si="45"/>
        <v>https://web.whatsapp.com/send/?phone=628999007703&amp;text=Halo+,+Visual+AI+5S+menditeksi+Violation%3A+GUDANGEXP1-LINE+1&amp;type=phone_number&amp;app_absent=0</v>
      </c>
      <c r="AF489" t="b">
        <f>IF(ISNA(VLOOKUP(D489&amp;"-"&amp;AB489, Ref_Kontak!$A:$E, 4, FALSE)), FALSE, TRUE)</f>
        <v>0</v>
      </c>
      <c r="AG489" t="str">
        <f>_xlfn.IFNA(VLOOKUP(Z489,Ref_Kontak!H:H,1,FALSE),"FALSE")</f>
        <v>628999007703</v>
      </c>
      <c r="AH489" t="str">
        <f t="shared" si="47"/>
        <v>GUDANGEXP1-LINE 1</v>
      </c>
      <c r="AI489">
        <f>COUNTIF($AH$1:AH489,AH489)</f>
        <v>488</v>
      </c>
    </row>
    <row r="490" spans="1:35">
      <c r="A490" t="s">
        <v>56</v>
      </c>
      <c r="B490" t="s">
        <v>57</v>
      </c>
      <c r="C490" t="s">
        <v>552</v>
      </c>
      <c r="D490" t="s">
        <v>59</v>
      </c>
      <c r="E490">
        <v>1</v>
      </c>
      <c r="G490" t="s">
        <v>60</v>
      </c>
      <c r="I490" t="s">
        <v>61</v>
      </c>
      <c r="Z490" t="str">
        <f>IFERROR(MID(AA490,FIND("-",H490,1)+1,20),_xlfn.IFNA(VLOOKUP(F490&amp;"-"&amp;AA490,Ref_Kontak!$A:$E,4,FALSE),Ref_Kontak!$H$2))</f>
        <v>628999007703</v>
      </c>
      <c r="AA490" t="str">
        <f t="shared" si="42"/>
        <v/>
      </c>
      <c r="AB490" t="str">
        <f t="shared" si="43"/>
        <v/>
      </c>
      <c r="AC490" t="str">
        <f t="shared" si="44"/>
        <v>628999007703</v>
      </c>
      <c r="AD490" t="str">
        <f t="shared" si="46"/>
        <v>Halo+,+Visual+AI+5S+menditeksi+Violation%3A+GUDANGEXP1-LINE+1</v>
      </c>
      <c r="AE490" t="str">
        <f t="shared" si="45"/>
        <v>https://web.whatsapp.com/send/?phone=628999007703&amp;text=Halo+,+Visual+AI+5S+menditeksi+Violation%3A+GUDANGEXP1-LINE+1&amp;type=phone_number&amp;app_absent=0</v>
      </c>
      <c r="AF490" t="b">
        <f>IF(ISNA(VLOOKUP(D490&amp;"-"&amp;AB490, Ref_Kontak!$A:$E, 4, FALSE)), FALSE, TRUE)</f>
        <v>0</v>
      </c>
      <c r="AG490" t="str">
        <f>_xlfn.IFNA(VLOOKUP(Z490,Ref_Kontak!H:H,1,FALSE),"FALSE")</f>
        <v>628999007703</v>
      </c>
      <c r="AH490" t="str">
        <f t="shared" si="47"/>
        <v>GUDANGEXP1-LINE 1</v>
      </c>
      <c r="AI490">
        <f>COUNTIF($AH$1:AH490,AH490)</f>
        <v>489</v>
      </c>
    </row>
    <row r="491" spans="1:35">
      <c r="A491" t="s">
        <v>56</v>
      </c>
      <c r="B491" t="s">
        <v>57</v>
      </c>
      <c r="C491" t="s">
        <v>553</v>
      </c>
      <c r="D491" t="s">
        <v>59</v>
      </c>
      <c r="E491">
        <v>1</v>
      </c>
      <c r="G491" t="s">
        <v>60</v>
      </c>
      <c r="I491" t="s">
        <v>61</v>
      </c>
      <c r="Z491" t="str">
        <f>IFERROR(MID(AA491,FIND("-",H491,1)+1,20),_xlfn.IFNA(VLOOKUP(F491&amp;"-"&amp;AA491,Ref_Kontak!$A:$E,4,FALSE),Ref_Kontak!$H$2))</f>
        <v>628999007703</v>
      </c>
      <c r="AA491" t="str">
        <f t="shared" si="42"/>
        <v/>
      </c>
      <c r="AB491" t="str">
        <f t="shared" si="43"/>
        <v/>
      </c>
      <c r="AC491" t="str">
        <f t="shared" si="44"/>
        <v>628999007703</v>
      </c>
      <c r="AD491" t="str">
        <f t="shared" si="46"/>
        <v>Halo+,+Visual+AI+5S+menditeksi+Violation%3A+GUDANGEXP1-LINE+1</v>
      </c>
      <c r="AE491" t="str">
        <f t="shared" si="45"/>
        <v>https://web.whatsapp.com/send/?phone=628999007703&amp;text=Halo+,+Visual+AI+5S+menditeksi+Violation%3A+GUDANGEXP1-LINE+1&amp;type=phone_number&amp;app_absent=0</v>
      </c>
      <c r="AF491" t="b">
        <f>IF(ISNA(VLOOKUP(D491&amp;"-"&amp;AB491, Ref_Kontak!$A:$E, 4, FALSE)), FALSE, TRUE)</f>
        <v>0</v>
      </c>
      <c r="AG491" t="str">
        <f>_xlfn.IFNA(VLOOKUP(Z491,Ref_Kontak!H:H,1,FALSE),"FALSE")</f>
        <v>628999007703</v>
      </c>
      <c r="AH491" t="str">
        <f t="shared" si="47"/>
        <v>GUDANGEXP1-LINE 1</v>
      </c>
      <c r="AI491">
        <f>COUNTIF($AH$1:AH491,AH491)</f>
        <v>490</v>
      </c>
    </row>
    <row r="492" spans="1:35">
      <c r="A492" t="s">
        <v>56</v>
      </c>
      <c r="B492" t="s">
        <v>57</v>
      </c>
      <c r="C492" t="s">
        <v>554</v>
      </c>
      <c r="D492" t="s">
        <v>59</v>
      </c>
      <c r="E492">
        <v>1</v>
      </c>
      <c r="G492" t="s">
        <v>60</v>
      </c>
      <c r="I492" t="s">
        <v>61</v>
      </c>
      <c r="Z492" t="str">
        <f>IFERROR(MID(AA492,FIND("-",H492,1)+1,20),_xlfn.IFNA(VLOOKUP(F492&amp;"-"&amp;AA492,Ref_Kontak!$A:$E,4,FALSE),Ref_Kontak!$H$2))</f>
        <v>628999007703</v>
      </c>
      <c r="AA492" t="str">
        <f t="shared" si="42"/>
        <v/>
      </c>
      <c r="AB492" t="str">
        <f t="shared" si="43"/>
        <v/>
      </c>
      <c r="AC492" t="str">
        <f t="shared" si="44"/>
        <v>628999007703</v>
      </c>
      <c r="AD492" t="str">
        <f t="shared" si="46"/>
        <v>Halo+,+Visual+AI+5S+menditeksi+Violation%3A+GUDANGEXP1-LINE+1</v>
      </c>
      <c r="AE492" t="str">
        <f t="shared" si="45"/>
        <v>https://web.whatsapp.com/send/?phone=628999007703&amp;text=Halo+,+Visual+AI+5S+menditeksi+Violation%3A+GUDANGEXP1-LINE+1&amp;type=phone_number&amp;app_absent=0</v>
      </c>
      <c r="AF492" t="b">
        <f>IF(ISNA(VLOOKUP(D492&amp;"-"&amp;AB492, Ref_Kontak!$A:$E, 4, FALSE)), FALSE, TRUE)</f>
        <v>0</v>
      </c>
      <c r="AG492" t="str">
        <f>_xlfn.IFNA(VLOOKUP(Z492,Ref_Kontak!H:H,1,FALSE),"FALSE")</f>
        <v>628999007703</v>
      </c>
      <c r="AH492" t="str">
        <f t="shared" si="47"/>
        <v>GUDANGEXP1-LINE 1</v>
      </c>
      <c r="AI492">
        <f>COUNTIF($AH$1:AH492,AH492)</f>
        <v>491</v>
      </c>
    </row>
    <row r="493" spans="1:35">
      <c r="A493" t="s">
        <v>56</v>
      </c>
      <c r="B493" t="s">
        <v>57</v>
      </c>
      <c r="C493" t="s">
        <v>555</v>
      </c>
      <c r="D493" t="s">
        <v>59</v>
      </c>
      <c r="E493">
        <v>1</v>
      </c>
      <c r="G493" t="s">
        <v>60</v>
      </c>
      <c r="I493" t="s">
        <v>61</v>
      </c>
      <c r="Z493" t="str">
        <f>IFERROR(MID(AA493,FIND("-",H493,1)+1,20),_xlfn.IFNA(VLOOKUP(F493&amp;"-"&amp;AA493,Ref_Kontak!$A:$E,4,FALSE),Ref_Kontak!$H$2))</f>
        <v>628999007703</v>
      </c>
      <c r="AA493" t="str">
        <f t="shared" si="42"/>
        <v/>
      </c>
      <c r="AB493" t="str">
        <f t="shared" si="43"/>
        <v/>
      </c>
      <c r="AC493" t="str">
        <f t="shared" si="44"/>
        <v>628999007703</v>
      </c>
      <c r="AD493" t="str">
        <f t="shared" si="46"/>
        <v>Halo+,+Visual+AI+5S+menditeksi+Violation%3A+GUDANGEXP1-LINE+1</v>
      </c>
      <c r="AE493" t="str">
        <f t="shared" si="45"/>
        <v>https://web.whatsapp.com/send/?phone=628999007703&amp;text=Halo+,+Visual+AI+5S+menditeksi+Violation%3A+GUDANGEXP1-LINE+1&amp;type=phone_number&amp;app_absent=0</v>
      </c>
      <c r="AF493" t="b">
        <f>IF(ISNA(VLOOKUP(D493&amp;"-"&amp;AB493, Ref_Kontak!$A:$E, 4, FALSE)), FALSE, TRUE)</f>
        <v>0</v>
      </c>
      <c r="AG493" t="str">
        <f>_xlfn.IFNA(VLOOKUP(Z493,Ref_Kontak!H:H,1,FALSE),"FALSE")</f>
        <v>628999007703</v>
      </c>
      <c r="AH493" t="str">
        <f t="shared" si="47"/>
        <v>GUDANGEXP1-LINE 1</v>
      </c>
      <c r="AI493">
        <f>COUNTIF($AH$1:AH493,AH493)</f>
        <v>492</v>
      </c>
    </row>
    <row r="494" spans="1:35">
      <c r="A494" t="s">
        <v>56</v>
      </c>
      <c r="B494" t="s">
        <v>57</v>
      </c>
      <c r="C494" t="s">
        <v>556</v>
      </c>
      <c r="D494" t="s">
        <v>59</v>
      </c>
      <c r="E494">
        <v>1</v>
      </c>
      <c r="G494" t="s">
        <v>60</v>
      </c>
      <c r="I494" t="s">
        <v>61</v>
      </c>
      <c r="Z494" t="str">
        <f>IFERROR(MID(AA494,FIND("-",H494,1)+1,20),_xlfn.IFNA(VLOOKUP(F494&amp;"-"&amp;AA494,Ref_Kontak!$A:$E,4,FALSE),Ref_Kontak!$H$2))</f>
        <v>628999007703</v>
      </c>
      <c r="AA494" t="str">
        <f t="shared" si="42"/>
        <v/>
      </c>
      <c r="AB494" t="str">
        <f t="shared" si="43"/>
        <v/>
      </c>
      <c r="AC494" t="str">
        <f t="shared" si="44"/>
        <v>628999007703</v>
      </c>
      <c r="AD494" t="str">
        <f t="shared" si="46"/>
        <v>Halo+,+Visual+AI+5S+menditeksi+Violation%3A+GUDANGEXP1-LINE+1</v>
      </c>
      <c r="AE494" t="str">
        <f t="shared" si="45"/>
        <v>https://web.whatsapp.com/send/?phone=628999007703&amp;text=Halo+,+Visual+AI+5S+menditeksi+Violation%3A+GUDANGEXP1-LINE+1&amp;type=phone_number&amp;app_absent=0</v>
      </c>
      <c r="AF494" t="b">
        <f>IF(ISNA(VLOOKUP(D494&amp;"-"&amp;AB494, Ref_Kontak!$A:$E, 4, FALSE)), FALSE, TRUE)</f>
        <v>0</v>
      </c>
      <c r="AG494" t="str">
        <f>_xlfn.IFNA(VLOOKUP(Z494,Ref_Kontak!H:H,1,FALSE),"FALSE")</f>
        <v>628999007703</v>
      </c>
      <c r="AH494" t="str">
        <f t="shared" si="47"/>
        <v>GUDANGEXP1-LINE 1</v>
      </c>
      <c r="AI494">
        <f>COUNTIF($AH$1:AH494,AH494)</f>
        <v>493</v>
      </c>
    </row>
    <row r="495" spans="1:35">
      <c r="A495" t="s">
        <v>56</v>
      </c>
      <c r="B495" t="s">
        <v>57</v>
      </c>
      <c r="C495" t="s">
        <v>557</v>
      </c>
      <c r="D495" t="s">
        <v>59</v>
      </c>
      <c r="E495">
        <v>1</v>
      </c>
      <c r="G495" t="s">
        <v>60</v>
      </c>
      <c r="I495" t="s">
        <v>61</v>
      </c>
      <c r="Z495" t="str">
        <f>IFERROR(MID(AA495,FIND("-",H495,1)+1,20),_xlfn.IFNA(VLOOKUP(F495&amp;"-"&amp;AA495,Ref_Kontak!$A:$E,4,FALSE),Ref_Kontak!$H$2))</f>
        <v>628999007703</v>
      </c>
      <c r="AA495" t="str">
        <f t="shared" si="42"/>
        <v/>
      </c>
      <c r="AB495" t="str">
        <f t="shared" si="43"/>
        <v/>
      </c>
      <c r="AC495" t="str">
        <f t="shared" si="44"/>
        <v>628999007703</v>
      </c>
      <c r="AD495" t="str">
        <f t="shared" si="46"/>
        <v>Halo+,+Visual+AI+5S+menditeksi+Violation%3A+GUDANGEXP1-LINE+1</v>
      </c>
      <c r="AE495" t="str">
        <f t="shared" si="45"/>
        <v>https://web.whatsapp.com/send/?phone=628999007703&amp;text=Halo+,+Visual+AI+5S+menditeksi+Violation%3A+GUDANGEXP1-LINE+1&amp;type=phone_number&amp;app_absent=0</v>
      </c>
      <c r="AF495" t="b">
        <f>IF(ISNA(VLOOKUP(D495&amp;"-"&amp;AB495, Ref_Kontak!$A:$E, 4, FALSE)), FALSE, TRUE)</f>
        <v>0</v>
      </c>
      <c r="AG495" t="str">
        <f>_xlfn.IFNA(VLOOKUP(Z495,Ref_Kontak!H:H,1,FALSE),"FALSE")</f>
        <v>628999007703</v>
      </c>
      <c r="AH495" t="str">
        <f t="shared" si="47"/>
        <v>GUDANGEXP1-LINE 1</v>
      </c>
      <c r="AI495">
        <f>COUNTIF($AH$1:AH495,AH495)</f>
        <v>494</v>
      </c>
    </row>
    <row r="496" spans="1:35">
      <c r="A496" t="s">
        <v>56</v>
      </c>
      <c r="B496" t="s">
        <v>57</v>
      </c>
      <c r="C496" t="s">
        <v>558</v>
      </c>
      <c r="D496" t="s">
        <v>59</v>
      </c>
      <c r="E496">
        <v>1</v>
      </c>
      <c r="G496" t="s">
        <v>60</v>
      </c>
      <c r="I496" t="s">
        <v>61</v>
      </c>
      <c r="Z496" t="str">
        <f>IFERROR(MID(AA496,FIND("-",H496,1)+1,20),_xlfn.IFNA(VLOOKUP(F496&amp;"-"&amp;AA496,Ref_Kontak!$A:$E,4,FALSE),Ref_Kontak!$H$2))</f>
        <v>628999007703</v>
      </c>
      <c r="AA496" t="str">
        <f t="shared" si="42"/>
        <v/>
      </c>
      <c r="AB496" t="str">
        <f t="shared" si="43"/>
        <v/>
      </c>
      <c r="AC496" t="str">
        <f t="shared" si="44"/>
        <v>628999007703</v>
      </c>
      <c r="AD496" t="str">
        <f t="shared" si="46"/>
        <v>Halo+,+Visual+AI+5S+menditeksi+Violation%3A+GUDANGEXP1-LINE+1</v>
      </c>
      <c r="AE496" t="str">
        <f t="shared" si="45"/>
        <v>https://web.whatsapp.com/send/?phone=628999007703&amp;text=Halo+,+Visual+AI+5S+menditeksi+Violation%3A+GUDANGEXP1-LINE+1&amp;type=phone_number&amp;app_absent=0</v>
      </c>
      <c r="AF496" t="b">
        <f>IF(ISNA(VLOOKUP(D496&amp;"-"&amp;AB496, Ref_Kontak!$A:$E, 4, FALSE)), FALSE, TRUE)</f>
        <v>0</v>
      </c>
      <c r="AG496" t="str">
        <f>_xlfn.IFNA(VLOOKUP(Z496,Ref_Kontak!H:H,1,FALSE),"FALSE")</f>
        <v>628999007703</v>
      </c>
      <c r="AH496" t="str">
        <f t="shared" si="47"/>
        <v>GUDANGEXP1-LINE 1</v>
      </c>
      <c r="AI496">
        <f>COUNTIF($AH$1:AH496,AH496)</f>
        <v>495</v>
      </c>
    </row>
    <row r="497" spans="1:35">
      <c r="A497" t="s">
        <v>56</v>
      </c>
      <c r="B497" t="s">
        <v>57</v>
      </c>
      <c r="C497" t="s">
        <v>559</v>
      </c>
      <c r="D497" t="s">
        <v>59</v>
      </c>
      <c r="E497">
        <v>1</v>
      </c>
      <c r="G497" t="s">
        <v>60</v>
      </c>
      <c r="I497" t="s">
        <v>61</v>
      </c>
      <c r="Z497" t="str">
        <f>IFERROR(MID(AA497,FIND("-",H497,1)+1,20),_xlfn.IFNA(VLOOKUP(F497&amp;"-"&amp;AA497,Ref_Kontak!$A:$E,4,FALSE),Ref_Kontak!$H$2))</f>
        <v>628999007703</v>
      </c>
      <c r="AA497" t="str">
        <f t="shared" si="42"/>
        <v/>
      </c>
      <c r="AB497" t="str">
        <f t="shared" si="43"/>
        <v/>
      </c>
      <c r="AC497" t="str">
        <f t="shared" si="44"/>
        <v>628999007703</v>
      </c>
      <c r="AD497" t="str">
        <f t="shared" si="46"/>
        <v>Halo+,+Visual+AI+5S+menditeksi+Violation%3A+GUDANGEXP1-LINE+1</v>
      </c>
      <c r="AE497" t="str">
        <f t="shared" si="45"/>
        <v>https://web.whatsapp.com/send/?phone=628999007703&amp;text=Halo+,+Visual+AI+5S+menditeksi+Violation%3A+GUDANGEXP1-LINE+1&amp;type=phone_number&amp;app_absent=0</v>
      </c>
      <c r="AF497" t="b">
        <f>IF(ISNA(VLOOKUP(D497&amp;"-"&amp;AB497, Ref_Kontak!$A:$E, 4, FALSE)), FALSE, TRUE)</f>
        <v>0</v>
      </c>
      <c r="AG497" t="str">
        <f>_xlfn.IFNA(VLOOKUP(Z497,Ref_Kontak!H:H,1,FALSE),"FALSE")</f>
        <v>628999007703</v>
      </c>
      <c r="AH497" t="str">
        <f t="shared" si="47"/>
        <v>GUDANGEXP1-LINE 1</v>
      </c>
      <c r="AI497">
        <f>COUNTIF($AH$1:AH497,AH497)</f>
        <v>496</v>
      </c>
    </row>
    <row r="498" spans="1:35">
      <c r="A498" t="s">
        <v>56</v>
      </c>
      <c r="B498" t="s">
        <v>57</v>
      </c>
      <c r="C498" t="s">
        <v>560</v>
      </c>
      <c r="D498" t="s">
        <v>59</v>
      </c>
      <c r="E498">
        <v>1</v>
      </c>
      <c r="G498" t="s">
        <v>60</v>
      </c>
      <c r="I498" t="s">
        <v>61</v>
      </c>
      <c r="Z498" t="str">
        <f>IFERROR(MID(AA498,FIND("-",H498,1)+1,20),_xlfn.IFNA(VLOOKUP(F498&amp;"-"&amp;AA498,Ref_Kontak!$A:$E,4,FALSE),Ref_Kontak!$H$2))</f>
        <v>628999007703</v>
      </c>
      <c r="AA498" t="str">
        <f t="shared" si="42"/>
        <v/>
      </c>
      <c r="AB498" t="str">
        <f t="shared" si="43"/>
        <v/>
      </c>
      <c r="AC498" t="str">
        <f t="shared" si="44"/>
        <v>628999007703</v>
      </c>
      <c r="AD498" t="str">
        <f t="shared" si="46"/>
        <v>Halo+,+Visual+AI+5S+menditeksi+Violation%3A+GUDANGEXP1-LINE+1</v>
      </c>
      <c r="AE498" t="str">
        <f t="shared" si="45"/>
        <v>https://web.whatsapp.com/send/?phone=628999007703&amp;text=Halo+,+Visual+AI+5S+menditeksi+Violation%3A+GUDANGEXP1-LINE+1&amp;type=phone_number&amp;app_absent=0</v>
      </c>
      <c r="AF498" t="b">
        <f>IF(ISNA(VLOOKUP(D498&amp;"-"&amp;AB498, Ref_Kontak!$A:$E, 4, FALSE)), FALSE, TRUE)</f>
        <v>0</v>
      </c>
      <c r="AG498" t="str">
        <f>_xlfn.IFNA(VLOOKUP(Z498,Ref_Kontak!H:H,1,FALSE),"FALSE")</f>
        <v>628999007703</v>
      </c>
      <c r="AH498" t="str">
        <f t="shared" si="47"/>
        <v>GUDANGEXP1-LINE 1</v>
      </c>
      <c r="AI498">
        <f>COUNTIF($AH$1:AH498,AH498)</f>
        <v>497</v>
      </c>
    </row>
    <row r="499" spans="1:35">
      <c r="A499" t="s">
        <v>56</v>
      </c>
      <c r="B499" t="s">
        <v>57</v>
      </c>
      <c r="C499" t="s">
        <v>561</v>
      </c>
      <c r="D499" t="s">
        <v>59</v>
      </c>
      <c r="E499">
        <v>1</v>
      </c>
      <c r="G499" t="s">
        <v>60</v>
      </c>
      <c r="I499" t="s">
        <v>61</v>
      </c>
      <c r="Z499" t="str">
        <f>IFERROR(MID(AA499,FIND("-",H499,1)+1,20),_xlfn.IFNA(VLOOKUP(F499&amp;"-"&amp;AA499,Ref_Kontak!$A:$E,4,FALSE),Ref_Kontak!$H$2))</f>
        <v>628999007703</v>
      </c>
      <c r="AA499" t="str">
        <f t="shared" si="42"/>
        <v/>
      </c>
      <c r="AB499" t="str">
        <f t="shared" si="43"/>
        <v/>
      </c>
      <c r="AC499" t="str">
        <f t="shared" si="44"/>
        <v>628999007703</v>
      </c>
      <c r="AD499" t="str">
        <f t="shared" si="46"/>
        <v>Halo+,+Visual+AI+5S+menditeksi+Violation%3A+GUDANGEXP1-LINE+1</v>
      </c>
      <c r="AE499" t="str">
        <f t="shared" si="45"/>
        <v>https://web.whatsapp.com/send/?phone=628999007703&amp;text=Halo+,+Visual+AI+5S+menditeksi+Violation%3A+GUDANGEXP1-LINE+1&amp;type=phone_number&amp;app_absent=0</v>
      </c>
      <c r="AF499" t="b">
        <f>IF(ISNA(VLOOKUP(D499&amp;"-"&amp;AB499, Ref_Kontak!$A:$E, 4, FALSE)), FALSE, TRUE)</f>
        <v>0</v>
      </c>
      <c r="AG499" t="str">
        <f>_xlfn.IFNA(VLOOKUP(Z499,Ref_Kontak!H:H,1,FALSE),"FALSE")</f>
        <v>628999007703</v>
      </c>
      <c r="AH499" t="str">
        <f t="shared" si="47"/>
        <v>GUDANGEXP1-LINE 1</v>
      </c>
      <c r="AI499">
        <f>COUNTIF($AH$1:AH499,AH499)</f>
        <v>498</v>
      </c>
    </row>
    <row r="500" spans="1:35">
      <c r="A500" t="s">
        <v>56</v>
      </c>
      <c r="B500" t="s">
        <v>57</v>
      </c>
      <c r="C500" t="s">
        <v>562</v>
      </c>
      <c r="D500" t="s">
        <v>59</v>
      </c>
      <c r="E500">
        <v>1</v>
      </c>
      <c r="G500" t="s">
        <v>60</v>
      </c>
      <c r="I500" t="s">
        <v>61</v>
      </c>
      <c r="Z500" t="str">
        <f>IFERROR(MID(AA500,FIND("-",H500,1)+1,20),_xlfn.IFNA(VLOOKUP(F500&amp;"-"&amp;AA500,Ref_Kontak!$A:$E,4,FALSE),Ref_Kontak!$H$2))</f>
        <v>628999007703</v>
      </c>
      <c r="AA500" t="str">
        <f t="shared" si="42"/>
        <v/>
      </c>
      <c r="AB500" t="str">
        <f t="shared" si="43"/>
        <v/>
      </c>
      <c r="AC500" t="str">
        <f t="shared" si="44"/>
        <v>628999007703</v>
      </c>
      <c r="AD500" t="str">
        <f t="shared" si="46"/>
        <v>Halo+,+Visual+AI+5S+menditeksi+Violation%3A+GUDANGEXP1-LINE+1</v>
      </c>
      <c r="AE500" t="str">
        <f t="shared" si="45"/>
        <v>https://web.whatsapp.com/send/?phone=628999007703&amp;text=Halo+,+Visual+AI+5S+menditeksi+Violation%3A+GUDANGEXP1-LINE+1&amp;type=phone_number&amp;app_absent=0</v>
      </c>
      <c r="AF500" t="b">
        <f>IF(ISNA(VLOOKUP(D500&amp;"-"&amp;AB500, Ref_Kontak!$A:$E, 4, FALSE)), FALSE, TRUE)</f>
        <v>0</v>
      </c>
      <c r="AG500" t="str">
        <f>_xlfn.IFNA(VLOOKUP(Z500,Ref_Kontak!H:H,1,FALSE),"FALSE")</f>
        <v>628999007703</v>
      </c>
      <c r="AH500" t="str">
        <f t="shared" si="47"/>
        <v>GUDANGEXP1-LINE 1</v>
      </c>
      <c r="AI500">
        <f>COUNTIF($AH$1:AH500,AH500)</f>
        <v>499</v>
      </c>
    </row>
    <row r="501" spans="1:35">
      <c r="A501" t="s">
        <v>56</v>
      </c>
      <c r="B501" t="s">
        <v>57</v>
      </c>
      <c r="C501" t="s">
        <v>563</v>
      </c>
      <c r="D501" t="s">
        <v>59</v>
      </c>
      <c r="E501">
        <v>1</v>
      </c>
      <c r="G501" t="s">
        <v>60</v>
      </c>
      <c r="I501" t="s">
        <v>61</v>
      </c>
      <c r="Z501" t="str">
        <f>IFERROR(MID(AA501,FIND("-",H501,1)+1,20),_xlfn.IFNA(VLOOKUP(F501&amp;"-"&amp;AA501,Ref_Kontak!$A:$E,4,FALSE),Ref_Kontak!$H$2))</f>
        <v>628999007703</v>
      </c>
      <c r="AA501" t="str">
        <f t="shared" si="42"/>
        <v/>
      </c>
      <c r="AB501" t="str">
        <f t="shared" si="43"/>
        <v/>
      </c>
      <c r="AC501" t="str">
        <f t="shared" si="44"/>
        <v>628999007703</v>
      </c>
      <c r="AD501" t="str">
        <f t="shared" si="46"/>
        <v>Halo+,+Visual+AI+5S+menditeksi+Violation%3A+GUDANGEXP1-LINE+1</v>
      </c>
      <c r="AE501" t="str">
        <f t="shared" si="45"/>
        <v>https://web.whatsapp.com/send/?phone=628999007703&amp;text=Halo+,+Visual+AI+5S+menditeksi+Violation%3A+GUDANGEXP1-LINE+1&amp;type=phone_number&amp;app_absent=0</v>
      </c>
      <c r="AF501" t="b">
        <f>IF(ISNA(VLOOKUP(D501&amp;"-"&amp;AB501, Ref_Kontak!$A:$E, 4, FALSE)), FALSE, TRUE)</f>
        <v>0</v>
      </c>
      <c r="AG501" t="str">
        <f>_xlfn.IFNA(VLOOKUP(Z501,Ref_Kontak!H:H,1,FALSE),"FALSE")</f>
        <v>628999007703</v>
      </c>
      <c r="AH501" t="str">
        <f t="shared" si="47"/>
        <v>GUDANGEXP1-LINE 1</v>
      </c>
      <c r="AI501">
        <f>COUNTIF($AH$1:AH501,AH501)</f>
        <v>500</v>
      </c>
    </row>
    <row r="502" spans="1:35">
      <c r="A502" t="s">
        <v>56</v>
      </c>
      <c r="B502" t="s">
        <v>57</v>
      </c>
      <c r="C502" t="s">
        <v>564</v>
      </c>
      <c r="D502" t="s">
        <v>59</v>
      </c>
      <c r="E502">
        <v>1</v>
      </c>
      <c r="G502" t="s">
        <v>60</v>
      </c>
      <c r="I502" t="s">
        <v>61</v>
      </c>
      <c r="Z502" t="str">
        <f>IFERROR(MID(AA502,FIND("-",H502,1)+1,20),_xlfn.IFNA(VLOOKUP(F502&amp;"-"&amp;AA502,Ref_Kontak!$A:$E,4,FALSE),Ref_Kontak!$H$2))</f>
        <v>628999007703</v>
      </c>
      <c r="AA502" t="str">
        <f t="shared" si="42"/>
        <v/>
      </c>
      <c r="AB502" t="str">
        <f t="shared" si="43"/>
        <v/>
      </c>
      <c r="AC502" t="str">
        <f t="shared" si="44"/>
        <v>628999007703</v>
      </c>
      <c r="AD502" t="str">
        <f t="shared" si="46"/>
        <v>Halo+,+Visual+AI+5S+menditeksi+Violation%3A+GUDANGEXP1-LINE+1</v>
      </c>
      <c r="AE502" t="str">
        <f t="shared" si="45"/>
        <v>https://web.whatsapp.com/send/?phone=628999007703&amp;text=Halo+,+Visual+AI+5S+menditeksi+Violation%3A+GUDANGEXP1-LINE+1&amp;type=phone_number&amp;app_absent=0</v>
      </c>
      <c r="AF502" t="b">
        <f>IF(ISNA(VLOOKUP(D502&amp;"-"&amp;AB502, Ref_Kontak!$A:$E, 4, FALSE)), FALSE, TRUE)</f>
        <v>0</v>
      </c>
      <c r="AG502" t="str">
        <f>_xlfn.IFNA(VLOOKUP(Z502,Ref_Kontak!H:H,1,FALSE),"FALSE")</f>
        <v>628999007703</v>
      </c>
      <c r="AH502" t="str">
        <f t="shared" si="47"/>
        <v>GUDANGEXP1-LINE 1</v>
      </c>
      <c r="AI502">
        <f>COUNTIF($AH$1:AH502,AH502)</f>
        <v>501</v>
      </c>
    </row>
    <row r="503" spans="1:35">
      <c r="A503" t="s">
        <v>56</v>
      </c>
      <c r="B503" t="s">
        <v>57</v>
      </c>
      <c r="C503" t="s">
        <v>565</v>
      </c>
      <c r="D503" t="s">
        <v>59</v>
      </c>
      <c r="E503">
        <v>1</v>
      </c>
      <c r="G503" t="s">
        <v>60</v>
      </c>
      <c r="I503" t="s">
        <v>61</v>
      </c>
      <c r="Z503" t="str">
        <f>IFERROR(MID(AA503,FIND("-",H503,1)+1,20),_xlfn.IFNA(VLOOKUP(F503&amp;"-"&amp;AA503,Ref_Kontak!$A:$E,4,FALSE),Ref_Kontak!$H$2))</f>
        <v>628999007703</v>
      </c>
      <c r="AA503" t="str">
        <f t="shared" si="42"/>
        <v/>
      </c>
      <c r="AB503" t="str">
        <f t="shared" si="43"/>
        <v/>
      </c>
      <c r="AC503" t="str">
        <f t="shared" si="44"/>
        <v>628999007703</v>
      </c>
      <c r="AD503" t="str">
        <f t="shared" si="46"/>
        <v>Halo+,+Visual+AI+5S+menditeksi+Violation%3A+GUDANGEXP1-LINE+1</v>
      </c>
      <c r="AE503" t="str">
        <f t="shared" si="45"/>
        <v>https://web.whatsapp.com/send/?phone=628999007703&amp;text=Halo+,+Visual+AI+5S+menditeksi+Violation%3A+GUDANGEXP1-LINE+1&amp;type=phone_number&amp;app_absent=0</v>
      </c>
      <c r="AF503" t="b">
        <f>IF(ISNA(VLOOKUP(D503&amp;"-"&amp;AB503, Ref_Kontak!$A:$E, 4, FALSE)), FALSE, TRUE)</f>
        <v>0</v>
      </c>
      <c r="AG503" t="str">
        <f>_xlfn.IFNA(VLOOKUP(Z503,Ref_Kontak!H:H,1,FALSE),"FALSE")</f>
        <v>628999007703</v>
      </c>
      <c r="AH503" t="str">
        <f t="shared" si="47"/>
        <v>GUDANGEXP1-LINE 1</v>
      </c>
      <c r="AI503">
        <f>COUNTIF($AH$1:AH503,AH503)</f>
        <v>502</v>
      </c>
    </row>
    <row r="504" spans="1:35">
      <c r="A504" t="s">
        <v>56</v>
      </c>
      <c r="B504" t="s">
        <v>57</v>
      </c>
      <c r="C504" t="s">
        <v>566</v>
      </c>
      <c r="D504" t="s">
        <v>59</v>
      </c>
      <c r="E504">
        <v>1</v>
      </c>
      <c r="G504" t="s">
        <v>60</v>
      </c>
      <c r="I504" t="s">
        <v>61</v>
      </c>
      <c r="Z504" t="str">
        <f>IFERROR(MID(AA504,FIND("-",H504,1)+1,20),_xlfn.IFNA(VLOOKUP(F504&amp;"-"&amp;AA504,Ref_Kontak!$A:$E,4,FALSE),Ref_Kontak!$H$2))</f>
        <v>628999007703</v>
      </c>
      <c r="AA504" t="str">
        <f t="shared" si="42"/>
        <v/>
      </c>
      <c r="AB504" t="str">
        <f t="shared" si="43"/>
        <v/>
      </c>
      <c r="AC504" t="str">
        <f t="shared" si="44"/>
        <v>628999007703</v>
      </c>
      <c r="AD504" t="str">
        <f t="shared" si="46"/>
        <v>Halo+,+Visual+AI+5S+menditeksi+Violation%3A+GUDANGEXP1-LINE+1</v>
      </c>
      <c r="AE504" t="str">
        <f t="shared" si="45"/>
        <v>https://web.whatsapp.com/send/?phone=628999007703&amp;text=Halo+,+Visual+AI+5S+menditeksi+Violation%3A+GUDANGEXP1-LINE+1&amp;type=phone_number&amp;app_absent=0</v>
      </c>
      <c r="AF504" t="b">
        <f>IF(ISNA(VLOOKUP(D504&amp;"-"&amp;AB504, Ref_Kontak!$A:$E, 4, FALSE)), FALSE, TRUE)</f>
        <v>0</v>
      </c>
      <c r="AG504" t="str">
        <f>_xlfn.IFNA(VLOOKUP(Z504,Ref_Kontak!H:H,1,FALSE),"FALSE")</f>
        <v>628999007703</v>
      </c>
      <c r="AH504" t="str">
        <f t="shared" si="47"/>
        <v>GUDANGEXP1-LINE 1</v>
      </c>
      <c r="AI504">
        <f>COUNTIF($AH$1:AH504,AH504)</f>
        <v>503</v>
      </c>
    </row>
    <row r="505" spans="1:35">
      <c r="A505" t="s">
        <v>56</v>
      </c>
      <c r="B505" t="s">
        <v>57</v>
      </c>
      <c r="C505" t="s">
        <v>567</v>
      </c>
      <c r="D505" t="s">
        <v>59</v>
      </c>
      <c r="E505">
        <v>1</v>
      </c>
      <c r="G505" t="s">
        <v>60</v>
      </c>
      <c r="I505" t="s">
        <v>61</v>
      </c>
      <c r="Z505" t="str">
        <f>IFERROR(MID(AA505,FIND("-",H505,1)+1,20),_xlfn.IFNA(VLOOKUP(F505&amp;"-"&amp;AA505,Ref_Kontak!$A:$E,4,FALSE),Ref_Kontak!$H$2))</f>
        <v>628999007703</v>
      </c>
      <c r="AA505" t="str">
        <f t="shared" si="42"/>
        <v/>
      </c>
      <c r="AB505" t="str">
        <f t="shared" si="43"/>
        <v/>
      </c>
      <c r="AC505" t="str">
        <f t="shared" si="44"/>
        <v>628999007703</v>
      </c>
      <c r="AD505" t="str">
        <f t="shared" si="46"/>
        <v>Halo+,+Visual+AI+5S+menditeksi+Violation%3A+GUDANGEXP1-LINE+1</v>
      </c>
      <c r="AE505" t="str">
        <f t="shared" si="45"/>
        <v>https://web.whatsapp.com/send/?phone=628999007703&amp;text=Halo+,+Visual+AI+5S+menditeksi+Violation%3A+GUDANGEXP1-LINE+1&amp;type=phone_number&amp;app_absent=0</v>
      </c>
      <c r="AF505" t="b">
        <f>IF(ISNA(VLOOKUP(D505&amp;"-"&amp;AB505, Ref_Kontak!$A:$E, 4, FALSE)), FALSE, TRUE)</f>
        <v>0</v>
      </c>
      <c r="AG505" t="str">
        <f>_xlfn.IFNA(VLOOKUP(Z505,Ref_Kontak!H:H,1,FALSE),"FALSE")</f>
        <v>628999007703</v>
      </c>
      <c r="AH505" t="str">
        <f t="shared" si="47"/>
        <v>GUDANGEXP1-LINE 1</v>
      </c>
      <c r="AI505">
        <f>COUNTIF($AH$1:AH505,AH505)</f>
        <v>504</v>
      </c>
    </row>
    <row r="506" spans="1:35">
      <c r="A506" t="s">
        <v>56</v>
      </c>
      <c r="B506" t="s">
        <v>57</v>
      </c>
      <c r="C506" t="s">
        <v>568</v>
      </c>
      <c r="D506" t="s">
        <v>59</v>
      </c>
      <c r="E506">
        <v>1</v>
      </c>
      <c r="G506" t="s">
        <v>60</v>
      </c>
      <c r="I506" t="s">
        <v>61</v>
      </c>
      <c r="Z506" t="str">
        <f>IFERROR(MID(AA506,FIND("-",H506,1)+1,20),_xlfn.IFNA(VLOOKUP(F506&amp;"-"&amp;AA506,Ref_Kontak!$A:$E,4,FALSE),Ref_Kontak!$H$2))</f>
        <v>628999007703</v>
      </c>
      <c r="AA506" t="str">
        <f t="shared" si="42"/>
        <v/>
      </c>
      <c r="AB506" t="str">
        <f t="shared" si="43"/>
        <v/>
      </c>
      <c r="AC506" t="str">
        <f t="shared" si="44"/>
        <v>628999007703</v>
      </c>
      <c r="AD506" t="str">
        <f t="shared" si="46"/>
        <v>Halo+,+Visual+AI+5S+menditeksi+Violation%3A+GUDANGEXP1-LINE+1</v>
      </c>
      <c r="AE506" t="str">
        <f t="shared" si="45"/>
        <v>https://web.whatsapp.com/send/?phone=628999007703&amp;text=Halo+,+Visual+AI+5S+menditeksi+Violation%3A+GUDANGEXP1-LINE+1&amp;type=phone_number&amp;app_absent=0</v>
      </c>
      <c r="AF506" t="b">
        <f>IF(ISNA(VLOOKUP(D506&amp;"-"&amp;AB506, Ref_Kontak!$A:$E, 4, FALSE)), FALSE, TRUE)</f>
        <v>0</v>
      </c>
      <c r="AG506" t="str">
        <f>_xlfn.IFNA(VLOOKUP(Z506,Ref_Kontak!H:H,1,FALSE),"FALSE")</f>
        <v>628999007703</v>
      </c>
      <c r="AH506" t="str">
        <f t="shared" si="47"/>
        <v>GUDANGEXP1-LINE 1</v>
      </c>
      <c r="AI506">
        <f>COUNTIF($AH$1:AH506,AH506)</f>
        <v>505</v>
      </c>
    </row>
    <row r="507" spans="1:35">
      <c r="A507" t="s">
        <v>56</v>
      </c>
      <c r="B507" t="s">
        <v>57</v>
      </c>
      <c r="C507" t="s">
        <v>569</v>
      </c>
      <c r="D507" t="s">
        <v>570</v>
      </c>
      <c r="E507">
        <v>1</v>
      </c>
      <c r="G507" t="s">
        <v>571</v>
      </c>
      <c r="I507" t="s">
        <v>61</v>
      </c>
      <c r="K507" t="s">
        <v>572</v>
      </c>
      <c r="Z507" t="str">
        <f>IFERROR(MID(AA507,FIND("-",H507,1)+1,20),_xlfn.IFNA(VLOOKUP(F507&amp;"-"&amp;AA507,Ref_Kontak!$A:$E,4,FALSE),Ref_Kontak!$H$2))</f>
        <v>628999007703</v>
      </c>
      <c r="AA507" t="str">
        <f t="shared" si="42"/>
        <v/>
      </c>
      <c r="AB507" t="str">
        <f t="shared" si="43"/>
        <v/>
      </c>
      <c r="AC507" t="str">
        <f t="shared" si="44"/>
        <v>628999007703</v>
      </c>
      <c r="AD507" t="str">
        <f t="shared" si="46"/>
        <v>Halo+,+Visual+AI+5S+menditeksi+Violation%3A+GUDANGACC1-LINE+11</v>
      </c>
      <c r="AE507" t="str">
        <f t="shared" si="45"/>
        <v>https://web.whatsapp.com/send/?phone=628999007703&amp;text=Halo+,+Visual+AI+5S+menditeksi+Violation%3A+GUDANGACC1-LINE+11&amp;type=phone_number&amp;app_absent=0</v>
      </c>
      <c r="AF507" t="b">
        <f>IF(ISNA(VLOOKUP(D507&amp;"-"&amp;AB507, Ref_Kontak!$A:$E, 4, FALSE)), FALSE, TRUE)</f>
        <v>0</v>
      </c>
      <c r="AG507" t="str">
        <f>_xlfn.IFNA(VLOOKUP(Z507,Ref_Kontak!H:H,1,FALSE),"FALSE")</f>
        <v>628999007703</v>
      </c>
      <c r="AH507" t="str">
        <f t="shared" si="47"/>
        <v>GUDANGACC1-LINE 11</v>
      </c>
      <c r="AI507">
        <f>COUNTIF($AH$1:AH507,AH507)</f>
        <v>1</v>
      </c>
    </row>
    <row r="508" spans="1:35">
      <c r="A508" t="s">
        <v>56</v>
      </c>
      <c r="B508" t="s">
        <v>57</v>
      </c>
      <c r="C508" t="s">
        <v>573</v>
      </c>
      <c r="D508" t="s">
        <v>570</v>
      </c>
      <c r="E508">
        <v>1</v>
      </c>
      <c r="G508" t="s">
        <v>571</v>
      </c>
      <c r="I508" t="s">
        <v>61</v>
      </c>
      <c r="Z508" t="str">
        <f>IFERROR(MID(AA508,FIND("-",H508,1)+1,20),_xlfn.IFNA(VLOOKUP(F508&amp;"-"&amp;AA508,Ref_Kontak!$A:$E,4,FALSE),Ref_Kontak!$H$2))</f>
        <v>628999007703</v>
      </c>
      <c r="AA508" t="str">
        <f t="shared" si="42"/>
        <v/>
      </c>
      <c r="AB508" t="str">
        <f t="shared" si="43"/>
        <v/>
      </c>
      <c r="AC508" t="str">
        <f t="shared" si="44"/>
        <v>628999007703</v>
      </c>
      <c r="AD508" t="str">
        <f t="shared" si="46"/>
        <v>Halo+,+Visual+AI+5S+menditeksi+Violation%3A+GUDANGACC1-LINE+11</v>
      </c>
      <c r="AE508" t="str">
        <f t="shared" si="45"/>
        <v>https://web.whatsapp.com/send/?phone=628999007703&amp;text=Halo+,+Visual+AI+5S+menditeksi+Violation%3A+GUDANGACC1-LINE+11&amp;type=phone_number&amp;app_absent=0</v>
      </c>
      <c r="AF508" t="b">
        <f>IF(ISNA(VLOOKUP(D508&amp;"-"&amp;AB508, Ref_Kontak!$A:$E, 4, FALSE)), FALSE, TRUE)</f>
        <v>0</v>
      </c>
      <c r="AG508" t="str">
        <f>_xlfn.IFNA(VLOOKUP(Z508,Ref_Kontak!H:H,1,FALSE),"FALSE")</f>
        <v>628999007703</v>
      </c>
      <c r="AH508" t="str">
        <f t="shared" si="47"/>
        <v>GUDANGACC1-LINE 11</v>
      </c>
      <c r="AI508">
        <f>COUNTIF($AH$1:AH508,AH508)</f>
        <v>2</v>
      </c>
    </row>
    <row r="509" spans="1:35">
      <c r="A509" t="s">
        <v>56</v>
      </c>
      <c r="B509" t="s">
        <v>57</v>
      </c>
      <c r="C509" t="s">
        <v>574</v>
      </c>
      <c r="D509" t="s">
        <v>570</v>
      </c>
      <c r="E509">
        <v>1</v>
      </c>
      <c r="G509" t="s">
        <v>571</v>
      </c>
      <c r="I509" t="s">
        <v>61</v>
      </c>
      <c r="Z509" t="str">
        <f>IFERROR(MID(AA509,FIND("-",H509,1)+1,20),_xlfn.IFNA(VLOOKUP(F509&amp;"-"&amp;AA509,Ref_Kontak!$A:$E,4,FALSE),Ref_Kontak!$H$2))</f>
        <v>628999007703</v>
      </c>
      <c r="AA509" t="str">
        <f t="shared" si="42"/>
        <v/>
      </c>
      <c r="AB509" t="str">
        <f t="shared" si="43"/>
        <v/>
      </c>
      <c r="AC509" t="str">
        <f t="shared" si="44"/>
        <v>628999007703</v>
      </c>
      <c r="AD509" t="str">
        <f t="shared" si="46"/>
        <v>Halo+,+Visual+AI+5S+menditeksi+Violation%3A+GUDANGACC1-LINE+11</v>
      </c>
      <c r="AE509" t="str">
        <f t="shared" si="45"/>
        <v>https://web.whatsapp.com/send/?phone=628999007703&amp;text=Halo+,+Visual+AI+5S+menditeksi+Violation%3A+GUDANGACC1-LINE+11&amp;type=phone_number&amp;app_absent=0</v>
      </c>
      <c r="AF509" t="b">
        <f>IF(ISNA(VLOOKUP(D509&amp;"-"&amp;AB509, Ref_Kontak!$A:$E, 4, FALSE)), FALSE, TRUE)</f>
        <v>0</v>
      </c>
      <c r="AG509" t="str">
        <f>_xlfn.IFNA(VLOOKUP(Z509,Ref_Kontak!H:H,1,FALSE),"FALSE")</f>
        <v>628999007703</v>
      </c>
      <c r="AH509" t="str">
        <f t="shared" si="47"/>
        <v>GUDANGACC1-LINE 11</v>
      </c>
      <c r="AI509">
        <f>COUNTIF($AH$1:AH509,AH509)</f>
        <v>3</v>
      </c>
    </row>
    <row r="510" spans="1:35">
      <c r="A510" t="s">
        <v>56</v>
      </c>
      <c r="B510" t="s">
        <v>57</v>
      </c>
      <c r="C510" t="s">
        <v>575</v>
      </c>
      <c r="D510" t="s">
        <v>570</v>
      </c>
      <c r="E510">
        <v>1</v>
      </c>
      <c r="G510" t="s">
        <v>571</v>
      </c>
      <c r="I510" t="s">
        <v>61</v>
      </c>
      <c r="Z510" t="str">
        <f>IFERROR(MID(AA510,FIND("-",H510,1)+1,20),_xlfn.IFNA(VLOOKUP(F510&amp;"-"&amp;AA510,Ref_Kontak!$A:$E,4,FALSE),Ref_Kontak!$H$2))</f>
        <v>628999007703</v>
      </c>
      <c r="AA510" t="str">
        <f t="shared" si="42"/>
        <v/>
      </c>
      <c r="AB510" t="str">
        <f t="shared" si="43"/>
        <v/>
      </c>
      <c r="AC510" t="str">
        <f t="shared" si="44"/>
        <v>628999007703</v>
      </c>
      <c r="AD510" t="str">
        <f t="shared" si="46"/>
        <v>Halo+,+Visual+AI+5S+menditeksi+Violation%3A+GUDANGACC1-LINE+11</v>
      </c>
      <c r="AE510" t="str">
        <f t="shared" si="45"/>
        <v>https://web.whatsapp.com/send/?phone=628999007703&amp;text=Halo+,+Visual+AI+5S+menditeksi+Violation%3A+GUDANGACC1-LINE+11&amp;type=phone_number&amp;app_absent=0</v>
      </c>
      <c r="AF510" t="b">
        <f>IF(ISNA(VLOOKUP(D510&amp;"-"&amp;AB510, Ref_Kontak!$A:$E, 4, FALSE)), FALSE, TRUE)</f>
        <v>0</v>
      </c>
      <c r="AG510" t="str">
        <f>_xlfn.IFNA(VLOOKUP(Z510,Ref_Kontak!H:H,1,FALSE),"FALSE")</f>
        <v>628999007703</v>
      </c>
      <c r="AH510" t="str">
        <f t="shared" si="47"/>
        <v>GUDANGACC1-LINE 11</v>
      </c>
      <c r="AI510">
        <f>COUNTIF($AH$1:AH510,AH510)</f>
        <v>4</v>
      </c>
    </row>
    <row r="511" spans="1:35">
      <c r="A511" t="s">
        <v>56</v>
      </c>
      <c r="B511" t="s">
        <v>57</v>
      </c>
      <c r="C511" t="s">
        <v>576</v>
      </c>
      <c r="D511" t="s">
        <v>570</v>
      </c>
      <c r="E511">
        <v>1</v>
      </c>
      <c r="G511" t="s">
        <v>571</v>
      </c>
      <c r="I511" t="s">
        <v>61</v>
      </c>
      <c r="Z511" t="str">
        <f>IFERROR(MID(AA511,FIND("-",H511,1)+1,20),_xlfn.IFNA(VLOOKUP(F511&amp;"-"&amp;AA511,Ref_Kontak!$A:$E,4,FALSE),Ref_Kontak!$H$2))</f>
        <v>628999007703</v>
      </c>
      <c r="AA511" t="str">
        <f t="shared" si="42"/>
        <v/>
      </c>
      <c r="AB511" t="str">
        <f t="shared" si="43"/>
        <v/>
      </c>
      <c r="AC511" t="str">
        <f t="shared" si="44"/>
        <v>628999007703</v>
      </c>
      <c r="AD511" t="str">
        <f t="shared" si="46"/>
        <v>Halo+,+Visual+AI+5S+menditeksi+Violation%3A+GUDANGACC1-LINE+11</v>
      </c>
      <c r="AE511" t="str">
        <f t="shared" si="45"/>
        <v>https://web.whatsapp.com/send/?phone=628999007703&amp;text=Halo+,+Visual+AI+5S+menditeksi+Violation%3A+GUDANGACC1-LINE+11&amp;type=phone_number&amp;app_absent=0</v>
      </c>
      <c r="AF511" t="b">
        <f>IF(ISNA(VLOOKUP(D511&amp;"-"&amp;AB511, Ref_Kontak!$A:$E, 4, FALSE)), FALSE, TRUE)</f>
        <v>0</v>
      </c>
      <c r="AG511" t="str">
        <f>_xlfn.IFNA(VLOOKUP(Z511,Ref_Kontak!H:H,1,FALSE),"FALSE")</f>
        <v>628999007703</v>
      </c>
      <c r="AH511" t="str">
        <f t="shared" si="47"/>
        <v>GUDANGACC1-LINE 11</v>
      </c>
      <c r="AI511">
        <f>COUNTIF($AH$1:AH511,AH511)</f>
        <v>5</v>
      </c>
    </row>
    <row r="512" spans="1:35">
      <c r="A512" t="s">
        <v>56</v>
      </c>
      <c r="B512" t="s">
        <v>57</v>
      </c>
      <c r="C512" t="s">
        <v>577</v>
      </c>
      <c r="D512" t="s">
        <v>570</v>
      </c>
      <c r="E512">
        <v>1</v>
      </c>
      <c r="G512" t="s">
        <v>571</v>
      </c>
      <c r="I512" t="s">
        <v>61</v>
      </c>
      <c r="Z512" t="str">
        <f>IFERROR(MID(AA512,FIND("-",H512,1)+1,20),_xlfn.IFNA(VLOOKUP(F512&amp;"-"&amp;AA512,Ref_Kontak!$A:$E,4,FALSE),Ref_Kontak!$H$2))</f>
        <v>628999007703</v>
      </c>
      <c r="AA512" t="str">
        <f t="shared" si="42"/>
        <v/>
      </c>
      <c r="AB512" t="str">
        <f t="shared" si="43"/>
        <v/>
      </c>
      <c r="AC512" t="str">
        <f t="shared" si="44"/>
        <v>628999007703</v>
      </c>
      <c r="AD512" t="str">
        <f t="shared" si="46"/>
        <v>Halo+,+Visual+AI+5S+menditeksi+Violation%3A+GUDANGACC1-LINE+11</v>
      </c>
      <c r="AE512" t="str">
        <f t="shared" si="45"/>
        <v>https://web.whatsapp.com/send/?phone=628999007703&amp;text=Halo+,+Visual+AI+5S+menditeksi+Violation%3A+GUDANGACC1-LINE+11&amp;type=phone_number&amp;app_absent=0</v>
      </c>
      <c r="AF512" t="b">
        <f>IF(ISNA(VLOOKUP(D512&amp;"-"&amp;AB512, Ref_Kontak!$A:$E, 4, FALSE)), FALSE, TRUE)</f>
        <v>0</v>
      </c>
      <c r="AG512" t="str">
        <f>_xlfn.IFNA(VLOOKUP(Z512,Ref_Kontak!H:H,1,FALSE),"FALSE")</f>
        <v>628999007703</v>
      </c>
      <c r="AH512" t="str">
        <f t="shared" si="47"/>
        <v>GUDANGACC1-LINE 11</v>
      </c>
      <c r="AI512">
        <f>COUNTIF($AH$1:AH512,AH512)</f>
        <v>6</v>
      </c>
    </row>
    <row r="513" spans="1:35">
      <c r="A513" t="s">
        <v>56</v>
      </c>
      <c r="B513" t="s">
        <v>57</v>
      </c>
      <c r="C513" t="s">
        <v>578</v>
      </c>
      <c r="D513" t="s">
        <v>570</v>
      </c>
      <c r="E513">
        <v>1</v>
      </c>
      <c r="G513" t="s">
        <v>571</v>
      </c>
      <c r="I513" t="s">
        <v>61</v>
      </c>
      <c r="Z513" t="str">
        <f>IFERROR(MID(AA513,FIND("-",H513,1)+1,20),_xlfn.IFNA(VLOOKUP(F513&amp;"-"&amp;AA513,Ref_Kontak!$A:$E,4,FALSE),Ref_Kontak!$H$2))</f>
        <v>628999007703</v>
      </c>
      <c r="AA513" t="str">
        <f t="shared" si="42"/>
        <v/>
      </c>
      <c r="AB513" t="str">
        <f t="shared" si="43"/>
        <v/>
      </c>
      <c r="AC513" t="str">
        <f t="shared" si="44"/>
        <v>628999007703</v>
      </c>
      <c r="AD513" t="str">
        <f t="shared" si="46"/>
        <v>Halo+,+Visual+AI+5S+menditeksi+Violation%3A+GUDANGACC1-LINE+11</v>
      </c>
      <c r="AE513" t="str">
        <f t="shared" si="45"/>
        <v>https://web.whatsapp.com/send/?phone=628999007703&amp;text=Halo+,+Visual+AI+5S+menditeksi+Violation%3A+GUDANGACC1-LINE+11&amp;type=phone_number&amp;app_absent=0</v>
      </c>
      <c r="AF513" t="b">
        <f>IF(ISNA(VLOOKUP(D513&amp;"-"&amp;AB513, Ref_Kontak!$A:$E, 4, FALSE)), FALSE, TRUE)</f>
        <v>0</v>
      </c>
      <c r="AG513" t="str">
        <f>_xlfn.IFNA(VLOOKUP(Z513,Ref_Kontak!H:H,1,FALSE),"FALSE")</f>
        <v>628999007703</v>
      </c>
      <c r="AH513" t="str">
        <f t="shared" si="47"/>
        <v>GUDANGACC1-LINE 11</v>
      </c>
      <c r="AI513">
        <f>COUNTIF($AH$1:AH513,AH513)</f>
        <v>7</v>
      </c>
    </row>
    <row r="514" spans="1:35">
      <c r="A514" t="s">
        <v>56</v>
      </c>
      <c r="B514" t="s">
        <v>57</v>
      </c>
      <c r="C514" t="s">
        <v>579</v>
      </c>
      <c r="D514" t="s">
        <v>570</v>
      </c>
      <c r="E514">
        <v>1</v>
      </c>
      <c r="G514" t="s">
        <v>571</v>
      </c>
      <c r="I514" t="s">
        <v>61</v>
      </c>
      <c r="Z514" t="str">
        <f>IFERROR(MID(AA514,FIND("-",H514,1)+1,20),_xlfn.IFNA(VLOOKUP(F514&amp;"-"&amp;AA514,Ref_Kontak!$A:$E,4,FALSE),Ref_Kontak!$H$2))</f>
        <v>628999007703</v>
      </c>
      <c r="AA514" t="str">
        <f t="shared" ref="AA514:AA577" si="48">CLEAN(SUBSTITUTE(H514," ",""))</f>
        <v/>
      </c>
      <c r="AB514" t="str">
        <f t="shared" ref="AB514:AB577" si="49">IFERROR(LEFT(AA514,FIND("-",H514,1)-1),CLEAN(SUBSTITUTE(SUBSTITUTE(H514," ",""),"-","")))</f>
        <v/>
      </c>
      <c r="AC514" t="str">
        <f t="shared" ref="AC514:AC577" si="50">IF(LEFT(Z514,1)="0","62"&amp; MID(Z514,2,999),Z514)</f>
        <v>628999007703</v>
      </c>
      <c r="AD514" t="str">
        <f t="shared" si="46"/>
        <v>Halo+,+Visual+AI+5S+menditeksi+Violation%3A+GUDANGACC1-LINE+11</v>
      </c>
      <c r="AE514" t="str">
        <f t="shared" ref="AE514:AE577" si="51">"https://web.whatsapp.com/send/?phone="&amp;AC514&amp;"&amp;text="&amp;AD514&amp;"&amp;type=phone_number&amp;app_absent=0"</f>
        <v>https://web.whatsapp.com/send/?phone=628999007703&amp;text=Halo+,+Visual+AI+5S+menditeksi+Violation%3A+GUDANGACC1-LINE+11&amp;type=phone_number&amp;app_absent=0</v>
      </c>
      <c r="AF514" t="b">
        <f>IF(ISNA(VLOOKUP(D514&amp;"-"&amp;AB514, Ref_Kontak!$A:$E, 4, FALSE)), FALSE, TRUE)</f>
        <v>0</v>
      </c>
      <c r="AG514" t="str">
        <f>_xlfn.IFNA(VLOOKUP(Z514,Ref_Kontak!H:H,1,FALSE),"FALSE")</f>
        <v>628999007703</v>
      </c>
      <c r="AH514" t="str">
        <f t="shared" si="47"/>
        <v>GUDANGACC1-LINE 11</v>
      </c>
      <c r="AI514">
        <f>COUNTIF($AH$1:AH514,AH514)</f>
        <v>8</v>
      </c>
    </row>
    <row r="515" spans="1:35">
      <c r="A515" t="s">
        <v>56</v>
      </c>
      <c r="B515" t="s">
        <v>57</v>
      </c>
      <c r="C515" t="s">
        <v>580</v>
      </c>
      <c r="D515" t="s">
        <v>570</v>
      </c>
      <c r="E515">
        <v>1</v>
      </c>
      <c r="G515" t="s">
        <v>571</v>
      </c>
      <c r="I515" t="s">
        <v>61</v>
      </c>
      <c r="Z515" t="str">
        <f>IFERROR(MID(AA515,FIND("-",H515,1)+1,20),_xlfn.IFNA(VLOOKUP(F515&amp;"-"&amp;AA515,Ref_Kontak!$A:$E,4,FALSE),Ref_Kontak!$H$2))</f>
        <v>628999007703</v>
      </c>
      <c r="AA515" t="str">
        <f t="shared" si="48"/>
        <v/>
      </c>
      <c r="AB515" t="str">
        <f t="shared" si="49"/>
        <v/>
      </c>
      <c r="AC515" t="str">
        <f t="shared" si="50"/>
        <v>628999007703</v>
      </c>
      <c r="AD515" t="str">
        <f t="shared" ref="AD515:AD578" si="52">"Halo+"&amp;AB515&amp;","&amp;"+Visual+AI+5S+menditeksi+Violation%3A+"&amp;SUBSTITUTE(AH515," ","+")</f>
        <v>Halo+,+Visual+AI+5S+menditeksi+Violation%3A+GUDANGACC1-LINE+11</v>
      </c>
      <c r="AE515" t="str">
        <f t="shared" si="51"/>
        <v>https://web.whatsapp.com/send/?phone=628999007703&amp;text=Halo+,+Visual+AI+5S+menditeksi+Violation%3A+GUDANGACC1-LINE+11&amp;type=phone_number&amp;app_absent=0</v>
      </c>
      <c r="AF515" t="b">
        <f>IF(ISNA(VLOOKUP(D515&amp;"-"&amp;AB515, Ref_Kontak!$A:$E, 4, FALSE)), FALSE, TRUE)</f>
        <v>0</v>
      </c>
      <c r="AG515" t="str">
        <f>_xlfn.IFNA(VLOOKUP(Z515,Ref_Kontak!H:H,1,FALSE),"FALSE")</f>
        <v>628999007703</v>
      </c>
      <c r="AH515" t="str">
        <f t="shared" ref="AH515:AH578" si="53">G515&amp;"-"&amp;D515</f>
        <v>GUDANGACC1-LINE 11</v>
      </c>
      <c r="AI515">
        <f>COUNTIF($AH$1:AH515,AH515)</f>
        <v>9</v>
      </c>
    </row>
    <row r="516" spans="1:35">
      <c r="A516" t="s">
        <v>56</v>
      </c>
      <c r="B516" t="s">
        <v>57</v>
      </c>
      <c r="C516" t="s">
        <v>581</v>
      </c>
      <c r="D516" t="s">
        <v>570</v>
      </c>
      <c r="E516">
        <v>1</v>
      </c>
      <c r="G516" t="s">
        <v>571</v>
      </c>
      <c r="I516" t="s">
        <v>61</v>
      </c>
      <c r="Z516" t="str">
        <f>IFERROR(MID(AA516,FIND("-",H516,1)+1,20),_xlfn.IFNA(VLOOKUP(F516&amp;"-"&amp;AA516,Ref_Kontak!$A:$E,4,FALSE),Ref_Kontak!$H$2))</f>
        <v>628999007703</v>
      </c>
      <c r="AA516" t="str">
        <f t="shared" si="48"/>
        <v/>
      </c>
      <c r="AB516" t="str">
        <f t="shared" si="49"/>
        <v/>
      </c>
      <c r="AC516" t="str">
        <f t="shared" si="50"/>
        <v>628999007703</v>
      </c>
      <c r="AD516" t="str">
        <f t="shared" si="52"/>
        <v>Halo+,+Visual+AI+5S+menditeksi+Violation%3A+GUDANGACC1-LINE+11</v>
      </c>
      <c r="AE516" t="str">
        <f t="shared" si="51"/>
        <v>https://web.whatsapp.com/send/?phone=628999007703&amp;text=Halo+,+Visual+AI+5S+menditeksi+Violation%3A+GUDANGACC1-LINE+11&amp;type=phone_number&amp;app_absent=0</v>
      </c>
      <c r="AF516" t="b">
        <f>IF(ISNA(VLOOKUP(D516&amp;"-"&amp;AB516, Ref_Kontak!$A:$E, 4, FALSE)), FALSE, TRUE)</f>
        <v>0</v>
      </c>
      <c r="AG516" t="str">
        <f>_xlfn.IFNA(VLOOKUP(Z516,Ref_Kontak!H:H,1,FALSE),"FALSE")</f>
        <v>628999007703</v>
      </c>
      <c r="AH516" t="str">
        <f t="shared" si="53"/>
        <v>GUDANGACC1-LINE 11</v>
      </c>
      <c r="AI516">
        <f>COUNTIF($AH$1:AH516,AH516)</f>
        <v>10</v>
      </c>
    </row>
    <row r="517" spans="1:35">
      <c r="A517" t="s">
        <v>56</v>
      </c>
      <c r="B517" t="s">
        <v>57</v>
      </c>
      <c r="C517" t="s">
        <v>582</v>
      </c>
      <c r="D517" t="s">
        <v>570</v>
      </c>
      <c r="E517">
        <v>1</v>
      </c>
      <c r="G517" t="s">
        <v>571</v>
      </c>
      <c r="I517" t="s">
        <v>61</v>
      </c>
      <c r="Z517" t="str">
        <f>IFERROR(MID(AA517,FIND("-",H517,1)+1,20),_xlfn.IFNA(VLOOKUP(F517&amp;"-"&amp;AA517,Ref_Kontak!$A:$E,4,FALSE),Ref_Kontak!$H$2))</f>
        <v>628999007703</v>
      </c>
      <c r="AA517" t="str">
        <f t="shared" si="48"/>
        <v/>
      </c>
      <c r="AB517" t="str">
        <f t="shared" si="49"/>
        <v/>
      </c>
      <c r="AC517" t="str">
        <f t="shared" si="50"/>
        <v>628999007703</v>
      </c>
      <c r="AD517" t="str">
        <f t="shared" si="52"/>
        <v>Halo+,+Visual+AI+5S+menditeksi+Violation%3A+GUDANGACC1-LINE+11</v>
      </c>
      <c r="AE517" t="str">
        <f t="shared" si="51"/>
        <v>https://web.whatsapp.com/send/?phone=628999007703&amp;text=Halo+,+Visual+AI+5S+menditeksi+Violation%3A+GUDANGACC1-LINE+11&amp;type=phone_number&amp;app_absent=0</v>
      </c>
      <c r="AF517" t="b">
        <f>IF(ISNA(VLOOKUP(D517&amp;"-"&amp;AB517, Ref_Kontak!$A:$E, 4, FALSE)), FALSE, TRUE)</f>
        <v>0</v>
      </c>
      <c r="AG517" t="str">
        <f>_xlfn.IFNA(VLOOKUP(Z517,Ref_Kontak!H:H,1,FALSE),"FALSE")</f>
        <v>628999007703</v>
      </c>
      <c r="AH517" t="str">
        <f t="shared" si="53"/>
        <v>GUDANGACC1-LINE 11</v>
      </c>
      <c r="AI517">
        <f>COUNTIF($AH$1:AH517,AH517)</f>
        <v>11</v>
      </c>
    </row>
    <row r="518" spans="1:35">
      <c r="A518" t="s">
        <v>56</v>
      </c>
      <c r="B518" t="s">
        <v>57</v>
      </c>
      <c r="C518" t="s">
        <v>583</v>
      </c>
      <c r="D518" t="s">
        <v>570</v>
      </c>
      <c r="E518">
        <v>1</v>
      </c>
      <c r="G518" t="s">
        <v>571</v>
      </c>
      <c r="I518" t="s">
        <v>61</v>
      </c>
      <c r="Z518" t="str">
        <f>IFERROR(MID(AA518,FIND("-",H518,1)+1,20),_xlfn.IFNA(VLOOKUP(F518&amp;"-"&amp;AA518,Ref_Kontak!$A:$E,4,FALSE),Ref_Kontak!$H$2))</f>
        <v>628999007703</v>
      </c>
      <c r="AA518" t="str">
        <f t="shared" si="48"/>
        <v/>
      </c>
      <c r="AB518" t="str">
        <f t="shared" si="49"/>
        <v/>
      </c>
      <c r="AC518" t="str">
        <f t="shared" si="50"/>
        <v>628999007703</v>
      </c>
      <c r="AD518" t="str">
        <f t="shared" si="52"/>
        <v>Halo+,+Visual+AI+5S+menditeksi+Violation%3A+GUDANGACC1-LINE+11</v>
      </c>
      <c r="AE518" t="str">
        <f t="shared" si="51"/>
        <v>https://web.whatsapp.com/send/?phone=628999007703&amp;text=Halo+,+Visual+AI+5S+menditeksi+Violation%3A+GUDANGACC1-LINE+11&amp;type=phone_number&amp;app_absent=0</v>
      </c>
      <c r="AF518" t="b">
        <f>IF(ISNA(VLOOKUP(D518&amp;"-"&amp;AB518, Ref_Kontak!$A:$E, 4, FALSE)), FALSE, TRUE)</f>
        <v>0</v>
      </c>
      <c r="AG518" t="str">
        <f>_xlfn.IFNA(VLOOKUP(Z518,Ref_Kontak!H:H,1,FALSE),"FALSE")</f>
        <v>628999007703</v>
      </c>
      <c r="AH518" t="str">
        <f t="shared" si="53"/>
        <v>GUDANGACC1-LINE 11</v>
      </c>
      <c r="AI518">
        <f>COUNTIF($AH$1:AH518,AH518)</f>
        <v>12</v>
      </c>
    </row>
    <row r="519" spans="1:35">
      <c r="A519" t="s">
        <v>56</v>
      </c>
      <c r="B519" t="s">
        <v>57</v>
      </c>
      <c r="C519" t="s">
        <v>584</v>
      </c>
      <c r="D519" t="s">
        <v>570</v>
      </c>
      <c r="E519">
        <v>1</v>
      </c>
      <c r="G519" t="s">
        <v>571</v>
      </c>
      <c r="I519" t="s">
        <v>61</v>
      </c>
      <c r="Z519" t="str">
        <f>IFERROR(MID(AA519,FIND("-",H519,1)+1,20),_xlfn.IFNA(VLOOKUP(F519&amp;"-"&amp;AA519,Ref_Kontak!$A:$E,4,FALSE),Ref_Kontak!$H$2))</f>
        <v>628999007703</v>
      </c>
      <c r="AA519" t="str">
        <f t="shared" si="48"/>
        <v/>
      </c>
      <c r="AB519" t="str">
        <f t="shared" si="49"/>
        <v/>
      </c>
      <c r="AC519" t="str">
        <f t="shared" si="50"/>
        <v>628999007703</v>
      </c>
      <c r="AD519" t="str">
        <f t="shared" si="52"/>
        <v>Halo+,+Visual+AI+5S+menditeksi+Violation%3A+GUDANGACC1-LINE+11</v>
      </c>
      <c r="AE519" t="str">
        <f t="shared" si="51"/>
        <v>https://web.whatsapp.com/send/?phone=628999007703&amp;text=Halo+,+Visual+AI+5S+menditeksi+Violation%3A+GUDANGACC1-LINE+11&amp;type=phone_number&amp;app_absent=0</v>
      </c>
      <c r="AF519" t="b">
        <f>IF(ISNA(VLOOKUP(D519&amp;"-"&amp;AB519, Ref_Kontak!$A:$E, 4, FALSE)), FALSE, TRUE)</f>
        <v>0</v>
      </c>
      <c r="AG519" t="str">
        <f>_xlfn.IFNA(VLOOKUP(Z519,Ref_Kontak!H:H,1,FALSE),"FALSE")</f>
        <v>628999007703</v>
      </c>
      <c r="AH519" t="str">
        <f t="shared" si="53"/>
        <v>GUDANGACC1-LINE 11</v>
      </c>
      <c r="AI519">
        <f>COUNTIF($AH$1:AH519,AH519)</f>
        <v>13</v>
      </c>
    </row>
    <row r="520" spans="1:35">
      <c r="A520" t="s">
        <v>56</v>
      </c>
      <c r="B520" t="s">
        <v>57</v>
      </c>
      <c r="C520" t="s">
        <v>585</v>
      </c>
      <c r="D520" t="s">
        <v>570</v>
      </c>
      <c r="E520">
        <v>1</v>
      </c>
      <c r="G520" t="s">
        <v>571</v>
      </c>
      <c r="I520" t="s">
        <v>61</v>
      </c>
      <c r="Z520" t="str">
        <f>IFERROR(MID(AA520,FIND("-",H520,1)+1,20),_xlfn.IFNA(VLOOKUP(F520&amp;"-"&amp;AA520,Ref_Kontak!$A:$E,4,FALSE),Ref_Kontak!$H$2))</f>
        <v>628999007703</v>
      </c>
      <c r="AA520" t="str">
        <f t="shared" si="48"/>
        <v/>
      </c>
      <c r="AB520" t="str">
        <f t="shared" si="49"/>
        <v/>
      </c>
      <c r="AC520" t="str">
        <f t="shared" si="50"/>
        <v>628999007703</v>
      </c>
      <c r="AD520" t="str">
        <f t="shared" si="52"/>
        <v>Halo+,+Visual+AI+5S+menditeksi+Violation%3A+GUDANGACC1-LINE+11</v>
      </c>
      <c r="AE520" t="str">
        <f t="shared" si="51"/>
        <v>https://web.whatsapp.com/send/?phone=628999007703&amp;text=Halo+,+Visual+AI+5S+menditeksi+Violation%3A+GUDANGACC1-LINE+11&amp;type=phone_number&amp;app_absent=0</v>
      </c>
      <c r="AF520" t="b">
        <f>IF(ISNA(VLOOKUP(D520&amp;"-"&amp;AB520, Ref_Kontak!$A:$E, 4, FALSE)), FALSE, TRUE)</f>
        <v>0</v>
      </c>
      <c r="AG520" t="str">
        <f>_xlfn.IFNA(VLOOKUP(Z520,Ref_Kontak!H:H,1,FALSE),"FALSE")</f>
        <v>628999007703</v>
      </c>
      <c r="AH520" t="str">
        <f t="shared" si="53"/>
        <v>GUDANGACC1-LINE 11</v>
      </c>
      <c r="AI520">
        <f>COUNTIF($AH$1:AH520,AH520)</f>
        <v>14</v>
      </c>
    </row>
    <row r="521" spans="1:35">
      <c r="A521" t="s">
        <v>56</v>
      </c>
      <c r="B521" t="s">
        <v>57</v>
      </c>
      <c r="C521" t="s">
        <v>586</v>
      </c>
      <c r="D521" t="s">
        <v>570</v>
      </c>
      <c r="E521">
        <v>1</v>
      </c>
      <c r="G521" t="s">
        <v>571</v>
      </c>
      <c r="I521" t="s">
        <v>61</v>
      </c>
      <c r="Z521" t="str">
        <f>IFERROR(MID(AA521,FIND("-",H521,1)+1,20),_xlfn.IFNA(VLOOKUP(F521&amp;"-"&amp;AA521,Ref_Kontak!$A:$E,4,FALSE),Ref_Kontak!$H$2))</f>
        <v>628999007703</v>
      </c>
      <c r="AA521" t="str">
        <f t="shared" si="48"/>
        <v/>
      </c>
      <c r="AB521" t="str">
        <f t="shared" si="49"/>
        <v/>
      </c>
      <c r="AC521" t="str">
        <f t="shared" si="50"/>
        <v>628999007703</v>
      </c>
      <c r="AD521" t="str">
        <f t="shared" si="52"/>
        <v>Halo+,+Visual+AI+5S+menditeksi+Violation%3A+GUDANGACC1-LINE+11</v>
      </c>
      <c r="AE521" t="str">
        <f t="shared" si="51"/>
        <v>https://web.whatsapp.com/send/?phone=628999007703&amp;text=Halo+,+Visual+AI+5S+menditeksi+Violation%3A+GUDANGACC1-LINE+11&amp;type=phone_number&amp;app_absent=0</v>
      </c>
      <c r="AF521" t="b">
        <f>IF(ISNA(VLOOKUP(D521&amp;"-"&amp;AB521, Ref_Kontak!$A:$E, 4, FALSE)), FALSE, TRUE)</f>
        <v>0</v>
      </c>
      <c r="AG521" t="str">
        <f>_xlfn.IFNA(VLOOKUP(Z521,Ref_Kontak!H:H,1,FALSE),"FALSE")</f>
        <v>628999007703</v>
      </c>
      <c r="AH521" t="str">
        <f t="shared" si="53"/>
        <v>GUDANGACC1-LINE 11</v>
      </c>
      <c r="AI521">
        <f>COUNTIF($AH$1:AH521,AH521)</f>
        <v>15</v>
      </c>
    </row>
    <row r="522" spans="1:35">
      <c r="A522" t="s">
        <v>56</v>
      </c>
      <c r="B522" t="s">
        <v>57</v>
      </c>
      <c r="C522" t="s">
        <v>587</v>
      </c>
      <c r="D522" t="s">
        <v>570</v>
      </c>
      <c r="E522">
        <v>1</v>
      </c>
      <c r="G522" t="s">
        <v>571</v>
      </c>
      <c r="I522" t="s">
        <v>61</v>
      </c>
      <c r="Z522" t="str">
        <f>IFERROR(MID(AA522,FIND("-",H522,1)+1,20),_xlfn.IFNA(VLOOKUP(F522&amp;"-"&amp;AA522,Ref_Kontak!$A:$E,4,FALSE),Ref_Kontak!$H$2))</f>
        <v>628999007703</v>
      </c>
      <c r="AA522" t="str">
        <f t="shared" si="48"/>
        <v/>
      </c>
      <c r="AB522" t="str">
        <f t="shared" si="49"/>
        <v/>
      </c>
      <c r="AC522" t="str">
        <f t="shared" si="50"/>
        <v>628999007703</v>
      </c>
      <c r="AD522" t="str">
        <f t="shared" si="52"/>
        <v>Halo+,+Visual+AI+5S+menditeksi+Violation%3A+GUDANGACC1-LINE+11</v>
      </c>
      <c r="AE522" t="str">
        <f t="shared" si="51"/>
        <v>https://web.whatsapp.com/send/?phone=628999007703&amp;text=Halo+,+Visual+AI+5S+menditeksi+Violation%3A+GUDANGACC1-LINE+11&amp;type=phone_number&amp;app_absent=0</v>
      </c>
      <c r="AF522" t="b">
        <f>IF(ISNA(VLOOKUP(D522&amp;"-"&amp;AB522, Ref_Kontak!$A:$E, 4, FALSE)), FALSE, TRUE)</f>
        <v>0</v>
      </c>
      <c r="AG522" t="str">
        <f>_xlfn.IFNA(VLOOKUP(Z522,Ref_Kontak!H:H,1,FALSE),"FALSE")</f>
        <v>628999007703</v>
      </c>
      <c r="AH522" t="str">
        <f t="shared" si="53"/>
        <v>GUDANGACC1-LINE 11</v>
      </c>
      <c r="AI522">
        <f>COUNTIF($AH$1:AH522,AH522)</f>
        <v>16</v>
      </c>
    </row>
    <row r="523" spans="1:35">
      <c r="A523" t="s">
        <v>56</v>
      </c>
      <c r="B523" t="s">
        <v>57</v>
      </c>
      <c r="C523" t="s">
        <v>588</v>
      </c>
      <c r="D523" t="s">
        <v>570</v>
      </c>
      <c r="E523">
        <v>1</v>
      </c>
      <c r="G523" t="s">
        <v>571</v>
      </c>
      <c r="I523" t="s">
        <v>61</v>
      </c>
      <c r="Z523" t="str">
        <f>IFERROR(MID(AA523,FIND("-",H523,1)+1,20),_xlfn.IFNA(VLOOKUP(F523&amp;"-"&amp;AA523,Ref_Kontak!$A:$E,4,FALSE),Ref_Kontak!$H$2))</f>
        <v>628999007703</v>
      </c>
      <c r="AA523" t="str">
        <f t="shared" si="48"/>
        <v/>
      </c>
      <c r="AB523" t="str">
        <f t="shared" si="49"/>
        <v/>
      </c>
      <c r="AC523" t="str">
        <f t="shared" si="50"/>
        <v>628999007703</v>
      </c>
      <c r="AD523" t="str">
        <f t="shared" si="52"/>
        <v>Halo+,+Visual+AI+5S+menditeksi+Violation%3A+GUDANGACC1-LINE+11</v>
      </c>
      <c r="AE523" t="str">
        <f t="shared" si="51"/>
        <v>https://web.whatsapp.com/send/?phone=628999007703&amp;text=Halo+,+Visual+AI+5S+menditeksi+Violation%3A+GUDANGACC1-LINE+11&amp;type=phone_number&amp;app_absent=0</v>
      </c>
      <c r="AF523" t="b">
        <f>IF(ISNA(VLOOKUP(D523&amp;"-"&amp;AB523, Ref_Kontak!$A:$E, 4, FALSE)), FALSE, TRUE)</f>
        <v>0</v>
      </c>
      <c r="AG523" t="str">
        <f>_xlfn.IFNA(VLOOKUP(Z523,Ref_Kontak!H:H,1,FALSE),"FALSE")</f>
        <v>628999007703</v>
      </c>
      <c r="AH523" t="str">
        <f t="shared" si="53"/>
        <v>GUDANGACC1-LINE 11</v>
      </c>
      <c r="AI523">
        <f>COUNTIF($AH$1:AH523,AH523)</f>
        <v>17</v>
      </c>
    </row>
    <row r="524" spans="1:35">
      <c r="A524" t="s">
        <v>56</v>
      </c>
      <c r="B524" t="s">
        <v>57</v>
      </c>
      <c r="C524" t="s">
        <v>589</v>
      </c>
      <c r="D524" t="s">
        <v>570</v>
      </c>
      <c r="E524">
        <v>1</v>
      </c>
      <c r="G524" t="s">
        <v>571</v>
      </c>
      <c r="I524" t="s">
        <v>61</v>
      </c>
      <c r="Z524" t="str">
        <f>IFERROR(MID(AA524,FIND("-",H524,1)+1,20),_xlfn.IFNA(VLOOKUP(F524&amp;"-"&amp;AA524,Ref_Kontak!$A:$E,4,FALSE),Ref_Kontak!$H$2))</f>
        <v>628999007703</v>
      </c>
      <c r="AA524" t="str">
        <f t="shared" si="48"/>
        <v/>
      </c>
      <c r="AB524" t="str">
        <f t="shared" si="49"/>
        <v/>
      </c>
      <c r="AC524" t="str">
        <f t="shared" si="50"/>
        <v>628999007703</v>
      </c>
      <c r="AD524" t="str">
        <f t="shared" si="52"/>
        <v>Halo+,+Visual+AI+5S+menditeksi+Violation%3A+GUDANGACC1-LINE+11</v>
      </c>
      <c r="AE524" t="str">
        <f t="shared" si="51"/>
        <v>https://web.whatsapp.com/send/?phone=628999007703&amp;text=Halo+,+Visual+AI+5S+menditeksi+Violation%3A+GUDANGACC1-LINE+11&amp;type=phone_number&amp;app_absent=0</v>
      </c>
      <c r="AF524" t="b">
        <f>IF(ISNA(VLOOKUP(D524&amp;"-"&amp;AB524, Ref_Kontak!$A:$E, 4, FALSE)), FALSE, TRUE)</f>
        <v>0</v>
      </c>
      <c r="AG524" t="str">
        <f>_xlfn.IFNA(VLOOKUP(Z524,Ref_Kontak!H:H,1,FALSE),"FALSE")</f>
        <v>628999007703</v>
      </c>
      <c r="AH524" t="str">
        <f t="shared" si="53"/>
        <v>GUDANGACC1-LINE 11</v>
      </c>
      <c r="AI524">
        <f>COUNTIF($AH$1:AH524,AH524)</f>
        <v>18</v>
      </c>
    </row>
    <row r="525" spans="1:35">
      <c r="A525" t="s">
        <v>56</v>
      </c>
      <c r="B525" t="s">
        <v>57</v>
      </c>
      <c r="C525" t="s">
        <v>590</v>
      </c>
      <c r="D525" t="s">
        <v>570</v>
      </c>
      <c r="E525">
        <v>1</v>
      </c>
      <c r="G525" t="s">
        <v>571</v>
      </c>
      <c r="I525" t="s">
        <v>61</v>
      </c>
      <c r="Z525" t="str">
        <f>IFERROR(MID(AA525,FIND("-",H525,1)+1,20),_xlfn.IFNA(VLOOKUP(F525&amp;"-"&amp;AA525,Ref_Kontak!$A:$E,4,FALSE),Ref_Kontak!$H$2))</f>
        <v>628999007703</v>
      </c>
      <c r="AA525" t="str">
        <f t="shared" si="48"/>
        <v/>
      </c>
      <c r="AB525" t="str">
        <f t="shared" si="49"/>
        <v/>
      </c>
      <c r="AC525" t="str">
        <f t="shared" si="50"/>
        <v>628999007703</v>
      </c>
      <c r="AD525" t="str">
        <f t="shared" si="52"/>
        <v>Halo+,+Visual+AI+5S+menditeksi+Violation%3A+GUDANGACC1-LINE+11</v>
      </c>
      <c r="AE525" t="str">
        <f t="shared" si="51"/>
        <v>https://web.whatsapp.com/send/?phone=628999007703&amp;text=Halo+,+Visual+AI+5S+menditeksi+Violation%3A+GUDANGACC1-LINE+11&amp;type=phone_number&amp;app_absent=0</v>
      </c>
      <c r="AF525" t="b">
        <f>IF(ISNA(VLOOKUP(D525&amp;"-"&amp;AB525, Ref_Kontak!$A:$E, 4, FALSE)), FALSE, TRUE)</f>
        <v>0</v>
      </c>
      <c r="AG525" t="str">
        <f>_xlfn.IFNA(VLOOKUP(Z525,Ref_Kontak!H:H,1,FALSE),"FALSE")</f>
        <v>628999007703</v>
      </c>
      <c r="AH525" t="str">
        <f t="shared" si="53"/>
        <v>GUDANGACC1-LINE 11</v>
      </c>
      <c r="AI525">
        <f>COUNTIF($AH$1:AH525,AH525)</f>
        <v>19</v>
      </c>
    </row>
    <row r="526" spans="1:35">
      <c r="A526" t="s">
        <v>56</v>
      </c>
      <c r="B526" t="s">
        <v>57</v>
      </c>
      <c r="C526" t="s">
        <v>591</v>
      </c>
      <c r="D526" t="s">
        <v>570</v>
      </c>
      <c r="E526">
        <v>1</v>
      </c>
      <c r="G526" t="s">
        <v>571</v>
      </c>
      <c r="I526" t="s">
        <v>61</v>
      </c>
      <c r="Z526" t="str">
        <f>IFERROR(MID(AA526,FIND("-",H526,1)+1,20),_xlfn.IFNA(VLOOKUP(F526&amp;"-"&amp;AA526,Ref_Kontak!$A:$E,4,FALSE),Ref_Kontak!$H$2))</f>
        <v>628999007703</v>
      </c>
      <c r="AA526" t="str">
        <f t="shared" si="48"/>
        <v/>
      </c>
      <c r="AB526" t="str">
        <f t="shared" si="49"/>
        <v/>
      </c>
      <c r="AC526" t="str">
        <f t="shared" si="50"/>
        <v>628999007703</v>
      </c>
      <c r="AD526" t="str">
        <f t="shared" si="52"/>
        <v>Halo+,+Visual+AI+5S+menditeksi+Violation%3A+GUDANGACC1-LINE+11</v>
      </c>
      <c r="AE526" t="str">
        <f t="shared" si="51"/>
        <v>https://web.whatsapp.com/send/?phone=628999007703&amp;text=Halo+,+Visual+AI+5S+menditeksi+Violation%3A+GUDANGACC1-LINE+11&amp;type=phone_number&amp;app_absent=0</v>
      </c>
      <c r="AF526" t="b">
        <f>IF(ISNA(VLOOKUP(D526&amp;"-"&amp;AB526, Ref_Kontak!$A:$E, 4, FALSE)), FALSE, TRUE)</f>
        <v>0</v>
      </c>
      <c r="AG526" t="str">
        <f>_xlfn.IFNA(VLOOKUP(Z526,Ref_Kontak!H:H,1,FALSE),"FALSE")</f>
        <v>628999007703</v>
      </c>
      <c r="AH526" t="str">
        <f t="shared" si="53"/>
        <v>GUDANGACC1-LINE 11</v>
      </c>
      <c r="AI526">
        <f>COUNTIF($AH$1:AH526,AH526)</f>
        <v>20</v>
      </c>
    </row>
    <row r="527" spans="1:35">
      <c r="A527" t="s">
        <v>56</v>
      </c>
      <c r="B527" t="s">
        <v>57</v>
      </c>
      <c r="C527" t="s">
        <v>592</v>
      </c>
      <c r="D527" t="s">
        <v>570</v>
      </c>
      <c r="E527">
        <v>1</v>
      </c>
      <c r="G527" t="s">
        <v>571</v>
      </c>
      <c r="I527" t="s">
        <v>61</v>
      </c>
      <c r="Z527" t="str">
        <f>IFERROR(MID(AA527,FIND("-",H527,1)+1,20),_xlfn.IFNA(VLOOKUP(F527&amp;"-"&amp;AA527,Ref_Kontak!$A:$E,4,FALSE),Ref_Kontak!$H$2))</f>
        <v>628999007703</v>
      </c>
      <c r="AA527" t="str">
        <f t="shared" si="48"/>
        <v/>
      </c>
      <c r="AB527" t="str">
        <f t="shared" si="49"/>
        <v/>
      </c>
      <c r="AC527" t="str">
        <f t="shared" si="50"/>
        <v>628999007703</v>
      </c>
      <c r="AD527" t="str">
        <f t="shared" si="52"/>
        <v>Halo+,+Visual+AI+5S+menditeksi+Violation%3A+GUDANGACC1-LINE+11</v>
      </c>
      <c r="AE527" t="str">
        <f t="shared" si="51"/>
        <v>https://web.whatsapp.com/send/?phone=628999007703&amp;text=Halo+,+Visual+AI+5S+menditeksi+Violation%3A+GUDANGACC1-LINE+11&amp;type=phone_number&amp;app_absent=0</v>
      </c>
      <c r="AF527" t="b">
        <f>IF(ISNA(VLOOKUP(D527&amp;"-"&amp;AB527, Ref_Kontak!$A:$E, 4, FALSE)), FALSE, TRUE)</f>
        <v>0</v>
      </c>
      <c r="AG527" t="str">
        <f>_xlfn.IFNA(VLOOKUP(Z527,Ref_Kontak!H:H,1,FALSE),"FALSE")</f>
        <v>628999007703</v>
      </c>
      <c r="AH527" t="str">
        <f t="shared" si="53"/>
        <v>GUDANGACC1-LINE 11</v>
      </c>
      <c r="AI527">
        <f>COUNTIF($AH$1:AH527,AH527)</f>
        <v>21</v>
      </c>
    </row>
    <row r="528" spans="1:35">
      <c r="A528" t="s">
        <v>56</v>
      </c>
      <c r="B528" t="s">
        <v>57</v>
      </c>
      <c r="C528" t="s">
        <v>593</v>
      </c>
      <c r="D528" t="s">
        <v>570</v>
      </c>
      <c r="E528">
        <v>1</v>
      </c>
      <c r="G528" t="s">
        <v>571</v>
      </c>
      <c r="I528" t="s">
        <v>61</v>
      </c>
      <c r="Z528" t="str">
        <f>IFERROR(MID(AA528,FIND("-",H528,1)+1,20),_xlfn.IFNA(VLOOKUP(F528&amp;"-"&amp;AA528,Ref_Kontak!$A:$E,4,FALSE),Ref_Kontak!$H$2))</f>
        <v>628999007703</v>
      </c>
      <c r="AA528" t="str">
        <f t="shared" si="48"/>
        <v/>
      </c>
      <c r="AB528" t="str">
        <f t="shared" si="49"/>
        <v/>
      </c>
      <c r="AC528" t="str">
        <f t="shared" si="50"/>
        <v>628999007703</v>
      </c>
      <c r="AD528" t="str">
        <f t="shared" si="52"/>
        <v>Halo+,+Visual+AI+5S+menditeksi+Violation%3A+GUDANGACC1-LINE+11</v>
      </c>
      <c r="AE528" t="str">
        <f t="shared" si="51"/>
        <v>https://web.whatsapp.com/send/?phone=628999007703&amp;text=Halo+,+Visual+AI+5S+menditeksi+Violation%3A+GUDANGACC1-LINE+11&amp;type=phone_number&amp;app_absent=0</v>
      </c>
      <c r="AF528" t="b">
        <f>IF(ISNA(VLOOKUP(D528&amp;"-"&amp;AB528, Ref_Kontak!$A:$E, 4, FALSE)), FALSE, TRUE)</f>
        <v>0</v>
      </c>
      <c r="AG528" t="str">
        <f>_xlfn.IFNA(VLOOKUP(Z528,Ref_Kontak!H:H,1,FALSE),"FALSE")</f>
        <v>628999007703</v>
      </c>
      <c r="AH528" t="str">
        <f t="shared" si="53"/>
        <v>GUDANGACC1-LINE 11</v>
      </c>
      <c r="AI528">
        <f>COUNTIF($AH$1:AH528,AH528)</f>
        <v>22</v>
      </c>
    </row>
    <row r="529" spans="1:35">
      <c r="A529" t="s">
        <v>56</v>
      </c>
      <c r="B529" t="s">
        <v>57</v>
      </c>
      <c r="C529" t="s">
        <v>594</v>
      </c>
      <c r="D529" t="s">
        <v>570</v>
      </c>
      <c r="E529">
        <v>1</v>
      </c>
      <c r="G529" t="s">
        <v>571</v>
      </c>
      <c r="I529" t="s">
        <v>61</v>
      </c>
      <c r="Z529" t="str">
        <f>IFERROR(MID(AA529,FIND("-",H529,1)+1,20),_xlfn.IFNA(VLOOKUP(F529&amp;"-"&amp;AA529,Ref_Kontak!$A:$E,4,FALSE),Ref_Kontak!$H$2))</f>
        <v>628999007703</v>
      </c>
      <c r="AA529" t="str">
        <f t="shared" si="48"/>
        <v/>
      </c>
      <c r="AB529" t="str">
        <f t="shared" si="49"/>
        <v/>
      </c>
      <c r="AC529" t="str">
        <f t="shared" si="50"/>
        <v>628999007703</v>
      </c>
      <c r="AD529" t="str">
        <f t="shared" si="52"/>
        <v>Halo+,+Visual+AI+5S+menditeksi+Violation%3A+GUDANGACC1-LINE+11</v>
      </c>
      <c r="AE529" t="str">
        <f t="shared" si="51"/>
        <v>https://web.whatsapp.com/send/?phone=628999007703&amp;text=Halo+,+Visual+AI+5S+menditeksi+Violation%3A+GUDANGACC1-LINE+11&amp;type=phone_number&amp;app_absent=0</v>
      </c>
      <c r="AF529" t="b">
        <f>IF(ISNA(VLOOKUP(D529&amp;"-"&amp;AB529, Ref_Kontak!$A:$E, 4, FALSE)), FALSE, TRUE)</f>
        <v>0</v>
      </c>
      <c r="AG529" t="str">
        <f>_xlfn.IFNA(VLOOKUP(Z529,Ref_Kontak!H:H,1,FALSE),"FALSE")</f>
        <v>628999007703</v>
      </c>
      <c r="AH529" t="str">
        <f t="shared" si="53"/>
        <v>GUDANGACC1-LINE 11</v>
      </c>
      <c r="AI529">
        <f>COUNTIF($AH$1:AH529,AH529)</f>
        <v>23</v>
      </c>
    </row>
    <row r="530" spans="1:35">
      <c r="A530" t="s">
        <v>56</v>
      </c>
      <c r="B530" t="s">
        <v>57</v>
      </c>
      <c r="C530" t="s">
        <v>595</v>
      </c>
      <c r="D530" t="s">
        <v>570</v>
      </c>
      <c r="E530">
        <v>1</v>
      </c>
      <c r="G530" t="s">
        <v>571</v>
      </c>
      <c r="I530" t="s">
        <v>61</v>
      </c>
      <c r="Z530" t="str">
        <f>IFERROR(MID(AA530,FIND("-",H530,1)+1,20),_xlfn.IFNA(VLOOKUP(F530&amp;"-"&amp;AA530,Ref_Kontak!$A:$E,4,FALSE),Ref_Kontak!$H$2))</f>
        <v>628999007703</v>
      </c>
      <c r="AA530" t="str">
        <f t="shared" si="48"/>
        <v/>
      </c>
      <c r="AB530" t="str">
        <f t="shared" si="49"/>
        <v/>
      </c>
      <c r="AC530" t="str">
        <f t="shared" si="50"/>
        <v>628999007703</v>
      </c>
      <c r="AD530" t="str">
        <f t="shared" si="52"/>
        <v>Halo+,+Visual+AI+5S+menditeksi+Violation%3A+GUDANGACC1-LINE+11</v>
      </c>
      <c r="AE530" t="str">
        <f t="shared" si="51"/>
        <v>https://web.whatsapp.com/send/?phone=628999007703&amp;text=Halo+,+Visual+AI+5S+menditeksi+Violation%3A+GUDANGACC1-LINE+11&amp;type=phone_number&amp;app_absent=0</v>
      </c>
      <c r="AF530" t="b">
        <f>IF(ISNA(VLOOKUP(D530&amp;"-"&amp;AB530, Ref_Kontak!$A:$E, 4, FALSE)), FALSE, TRUE)</f>
        <v>0</v>
      </c>
      <c r="AG530" t="str">
        <f>_xlfn.IFNA(VLOOKUP(Z530,Ref_Kontak!H:H,1,FALSE),"FALSE")</f>
        <v>628999007703</v>
      </c>
      <c r="AH530" t="str">
        <f t="shared" si="53"/>
        <v>GUDANGACC1-LINE 11</v>
      </c>
      <c r="AI530">
        <f>COUNTIF($AH$1:AH530,AH530)</f>
        <v>24</v>
      </c>
    </row>
    <row r="531" spans="1:35">
      <c r="A531" t="s">
        <v>56</v>
      </c>
      <c r="B531" t="s">
        <v>57</v>
      </c>
      <c r="C531" t="s">
        <v>596</v>
      </c>
      <c r="D531" t="s">
        <v>570</v>
      </c>
      <c r="E531">
        <v>1</v>
      </c>
      <c r="G531" t="s">
        <v>571</v>
      </c>
      <c r="I531" t="s">
        <v>61</v>
      </c>
      <c r="Z531" t="str">
        <f>IFERROR(MID(AA531,FIND("-",H531,1)+1,20),_xlfn.IFNA(VLOOKUP(F531&amp;"-"&amp;AA531,Ref_Kontak!$A:$E,4,FALSE),Ref_Kontak!$H$2))</f>
        <v>628999007703</v>
      </c>
      <c r="AA531" t="str">
        <f t="shared" si="48"/>
        <v/>
      </c>
      <c r="AB531" t="str">
        <f t="shared" si="49"/>
        <v/>
      </c>
      <c r="AC531" t="str">
        <f t="shared" si="50"/>
        <v>628999007703</v>
      </c>
      <c r="AD531" t="str">
        <f t="shared" si="52"/>
        <v>Halo+,+Visual+AI+5S+menditeksi+Violation%3A+GUDANGACC1-LINE+11</v>
      </c>
      <c r="AE531" t="str">
        <f t="shared" si="51"/>
        <v>https://web.whatsapp.com/send/?phone=628999007703&amp;text=Halo+,+Visual+AI+5S+menditeksi+Violation%3A+GUDANGACC1-LINE+11&amp;type=phone_number&amp;app_absent=0</v>
      </c>
      <c r="AF531" t="b">
        <f>IF(ISNA(VLOOKUP(D531&amp;"-"&amp;AB531, Ref_Kontak!$A:$E, 4, FALSE)), FALSE, TRUE)</f>
        <v>0</v>
      </c>
      <c r="AG531" t="str">
        <f>_xlfn.IFNA(VLOOKUP(Z531,Ref_Kontak!H:H,1,FALSE),"FALSE")</f>
        <v>628999007703</v>
      </c>
      <c r="AH531" t="str">
        <f t="shared" si="53"/>
        <v>GUDANGACC1-LINE 11</v>
      </c>
      <c r="AI531">
        <f>COUNTIF($AH$1:AH531,AH531)</f>
        <v>25</v>
      </c>
    </row>
    <row r="532" spans="1:35">
      <c r="A532" t="s">
        <v>56</v>
      </c>
      <c r="B532" t="s">
        <v>57</v>
      </c>
      <c r="C532" t="s">
        <v>597</v>
      </c>
      <c r="D532" t="s">
        <v>570</v>
      </c>
      <c r="E532">
        <v>1</v>
      </c>
      <c r="G532" t="s">
        <v>571</v>
      </c>
      <c r="I532" t="s">
        <v>61</v>
      </c>
      <c r="Z532" t="str">
        <f>IFERROR(MID(AA532,FIND("-",H532,1)+1,20),_xlfn.IFNA(VLOOKUP(F532&amp;"-"&amp;AA532,Ref_Kontak!$A:$E,4,FALSE),Ref_Kontak!$H$2))</f>
        <v>628999007703</v>
      </c>
      <c r="AA532" t="str">
        <f t="shared" si="48"/>
        <v/>
      </c>
      <c r="AB532" t="str">
        <f t="shared" si="49"/>
        <v/>
      </c>
      <c r="AC532" t="str">
        <f t="shared" si="50"/>
        <v>628999007703</v>
      </c>
      <c r="AD532" t="str">
        <f t="shared" si="52"/>
        <v>Halo+,+Visual+AI+5S+menditeksi+Violation%3A+GUDANGACC1-LINE+11</v>
      </c>
      <c r="AE532" t="str">
        <f t="shared" si="51"/>
        <v>https://web.whatsapp.com/send/?phone=628999007703&amp;text=Halo+,+Visual+AI+5S+menditeksi+Violation%3A+GUDANGACC1-LINE+11&amp;type=phone_number&amp;app_absent=0</v>
      </c>
      <c r="AF532" t="b">
        <f>IF(ISNA(VLOOKUP(D532&amp;"-"&amp;AB532, Ref_Kontak!$A:$E, 4, FALSE)), FALSE, TRUE)</f>
        <v>0</v>
      </c>
      <c r="AG532" t="str">
        <f>_xlfn.IFNA(VLOOKUP(Z532,Ref_Kontak!H:H,1,FALSE),"FALSE")</f>
        <v>628999007703</v>
      </c>
      <c r="AH532" t="str">
        <f t="shared" si="53"/>
        <v>GUDANGACC1-LINE 11</v>
      </c>
      <c r="AI532">
        <f>COUNTIF($AH$1:AH532,AH532)</f>
        <v>26</v>
      </c>
    </row>
    <row r="533" spans="1:35">
      <c r="A533" t="s">
        <v>56</v>
      </c>
      <c r="B533" t="s">
        <v>57</v>
      </c>
      <c r="C533" t="s">
        <v>598</v>
      </c>
      <c r="D533" t="s">
        <v>570</v>
      </c>
      <c r="E533">
        <v>1</v>
      </c>
      <c r="G533" t="s">
        <v>571</v>
      </c>
      <c r="I533" t="s">
        <v>61</v>
      </c>
      <c r="Z533" t="str">
        <f>IFERROR(MID(AA533,FIND("-",H533,1)+1,20),_xlfn.IFNA(VLOOKUP(F533&amp;"-"&amp;AA533,Ref_Kontak!$A:$E,4,FALSE),Ref_Kontak!$H$2))</f>
        <v>628999007703</v>
      </c>
      <c r="AA533" t="str">
        <f t="shared" si="48"/>
        <v/>
      </c>
      <c r="AB533" t="str">
        <f t="shared" si="49"/>
        <v/>
      </c>
      <c r="AC533" t="str">
        <f t="shared" si="50"/>
        <v>628999007703</v>
      </c>
      <c r="AD533" t="str">
        <f t="shared" si="52"/>
        <v>Halo+,+Visual+AI+5S+menditeksi+Violation%3A+GUDANGACC1-LINE+11</v>
      </c>
      <c r="AE533" t="str">
        <f t="shared" si="51"/>
        <v>https://web.whatsapp.com/send/?phone=628999007703&amp;text=Halo+,+Visual+AI+5S+menditeksi+Violation%3A+GUDANGACC1-LINE+11&amp;type=phone_number&amp;app_absent=0</v>
      </c>
      <c r="AF533" t="b">
        <f>IF(ISNA(VLOOKUP(D533&amp;"-"&amp;AB533, Ref_Kontak!$A:$E, 4, FALSE)), FALSE, TRUE)</f>
        <v>0</v>
      </c>
      <c r="AG533" t="str">
        <f>_xlfn.IFNA(VLOOKUP(Z533,Ref_Kontak!H:H,1,FALSE),"FALSE")</f>
        <v>628999007703</v>
      </c>
      <c r="AH533" t="str">
        <f t="shared" si="53"/>
        <v>GUDANGACC1-LINE 11</v>
      </c>
      <c r="AI533">
        <f>COUNTIF($AH$1:AH533,AH533)</f>
        <v>27</v>
      </c>
    </row>
    <row r="534" spans="1:35">
      <c r="A534" t="s">
        <v>56</v>
      </c>
      <c r="B534" t="s">
        <v>57</v>
      </c>
      <c r="C534" t="s">
        <v>599</v>
      </c>
      <c r="D534" t="s">
        <v>570</v>
      </c>
      <c r="E534">
        <v>1</v>
      </c>
      <c r="G534" t="s">
        <v>571</v>
      </c>
      <c r="I534" t="s">
        <v>61</v>
      </c>
      <c r="Z534" t="str">
        <f>IFERROR(MID(AA534,FIND("-",H534,1)+1,20),_xlfn.IFNA(VLOOKUP(F534&amp;"-"&amp;AA534,Ref_Kontak!$A:$E,4,FALSE),Ref_Kontak!$H$2))</f>
        <v>628999007703</v>
      </c>
      <c r="AA534" t="str">
        <f t="shared" si="48"/>
        <v/>
      </c>
      <c r="AB534" t="str">
        <f t="shared" si="49"/>
        <v/>
      </c>
      <c r="AC534" t="str">
        <f t="shared" si="50"/>
        <v>628999007703</v>
      </c>
      <c r="AD534" t="str">
        <f t="shared" si="52"/>
        <v>Halo+,+Visual+AI+5S+menditeksi+Violation%3A+GUDANGACC1-LINE+11</v>
      </c>
      <c r="AE534" t="str">
        <f t="shared" si="51"/>
        <v>https://web.whatsapp.com/send/?phone=628999007703&amp;text=Halo+,+Visual+AI+5S+menditeksi+Violation%3A+GUDANGACC1-LINE+11&amp;type=phone_number&amp;app_absent=0</v>
      </c>
      <c r="AF534" t="b">
        <f>IF(ISNA(VLOOKUP(D534&amp;"-"&amp;AB534, Ref_Kontak!$A:$E, 4, FALSE)), FALSE, TRUE)</f>
        <v>0</v>
      </c>
      <c r="AG534" t="str">
        <f>_xlfn.IFNA(VLOOKUP(Z534,Ref_Kontak!H:H,1,FALSE),"FALSE")</f>
        <v>628999007703</v>
      </c>
      <c r="AH534" t="str">
        <f t="shared" si="53"/>
        <v>GUDANGACC1-LINE 11</v>
      </c>
      <c r="AI534">
        <f>COUNTIF($AH$1:AH534,AH534)</f>
        <v>28</v>
      </c>
    </row>
    <row r="535" spans="1:35">
      <c r="A535" t="s">
        <v>56</v>
      </c>
      <c r="B535" t="s">
        <v>57</v>
      </c>
      <c r="C535" t="s">
        <v>600</v>
      </c>
      <c r="D535" t="s">
        <v>570</v>
      </c>
      <c r="E535">
        <v>1</v>
      </c>
      <c r="G535" t="s">
        <v>571</v>
      </c>
      <c r="I535" t="s">
        <v>61</v>
      </c>
      <c r="Z535" t="str">
        <f>IFERROR(MID(AA535,FIND("-",H535,1)+1,20),_xlfn.IFNA(VLOOKUP(F535&amp;"-"&amp;AA535,Ref_Kontak!$A:$E,4,FALSE),Ref_Kontak!$H$2))</f>
        <v>628999007703</v>
      </c>
      <c r="AA535" t="str">
        <f t="shared" si="48"/>
        <v/>
      </c>
      <c r="AB535" t="str">
        <f t="shared" si="49"/>
        <v/>
      </c>
      <c r="AC535" t="str">
        <f t="shared" si="50"/>
        <v>628999007703</v>
      </c>
      <c r="AD535" t="str">
        <f t="shared" si="52"/>
        <v>Halo+,+Visual+AI+5S+menditeksi+Violation%3A+GUDANGACC1-LINE+11</v>
      </c>
      <c r="AE535" t="str">
        <f t="shared" si="51"/>
        <v>https://web.whatsapp.com/send/?phone=628999007703&amp;text=Halo+,+Visual+AI+5S+menditeksi+Violation%3A+GUDANGACC1-LINE+11&amp;type=phone_number&amp;app_absent=0</v>
      </c>
      <c r="AF535" t="b">
        <f>IF(ISNA(VLOOKUP(D535&amp;"-"&amp;AB535, Ref_Kontak!$A:$E, 4, FALSE)), FALSE, TRUE)</f>
        <v>0</v>
      </c>
      <c r="AG535" t="str">
        <f>_xlfn.IFNA(VLOOKUP(Z535,Ref_Kontak!H:H,1,FALSE),"FALSE")</f>
        <v>628999007703</v>
      </c>
      <c r="AH535" t="str">
        <f t="shared" si="53"/>
        <v>GUDANGACC1-LINE 11</v>
      </c>
      <c r="AI535">
        <f>COUNTIF($AH$1:AH535,AH535)</f>
        <v>29</v>
      </c>
    </row>
    <row r="536" spans="1:35">
      <c r="A536" t="s">
        <v>56</v>
      </c>
      <c r="B536" t="s">
        <v>57</v>
      </c>
      <c r="C536" t="s">
        <v>601</v>
      </c>
      <c r="D536" t="s">
        <v>570</v>
      </c>
      <c r="E536">
        <v>1</v>
      </c>
      <c r="G536" t="s">
        <v>571</v>
      </c>
      <c r="I536" t="s">
        <v>61</v>
      </c>
      <c r="Z536" t="str">
        <f>IFERROR(MID(AA536,FIND("-",H536,1)+1,20),_xlfn.IFNA(VLOOKUP(F536&amp;"-"&amp;AA536,Ref_Kontak!$A:$E,4,FALSE),Ref_Kontak!$H$2))</f>
        <v>628999007703</v>
      </c>
      <c r="AA536" t="str">
        <f t="shared" si="48"/>
        <v/>
      </c>
      <c r="AB536" t="str">
        <f t="shared" si="49"/>
        <v/>
      </c>
      <c r="AC536" t="str">
        <f t="shared" si="50"/>
        <v>628999007703</v>
      </c>
      <c r="AD536" t="str">
        <f t="shared" si="52"/>
        <v>Halo+,+Visual+AI+5S+menditeksi+Violation%3A+GUDANGACC1-LINE+11</v>
      </c>
      <c r="AE536" t="str">
        <f t="shared" si="51"/>
        <v>https://web.whatsapp.com/send/?phone=628999007703&amp;text=Halo+,+Visual+AI+5S+menditeksi+Violation%3A+GUDANGACC1-LINE+11&amp;type=phone_number&amp;app_absent=0</v>
      </c>
      <c r="AF536" t="b">
        <f>IF(ISNA(VLOOKUP(D536&amp;"-"&amp;AB536, Ref_Kontak!$A:$E, 4, FALSE)), FALSE, TRUE)</f>
        <v>0</v>
      </c>
      <c r="AG536" t="str">
        <f>_xlfn.IFNA(VLOOKUP(Z536,Ref_Kontak!H:H,1,FALSE),"FALSE")</f>
        <v>628999007703</v>
      </c>
      <c r="AH536" t="str">
        <f t="shared" si="53"/>
        <v>GUDANGACC1-LINE 11</v>
      </c>
      <c r="AI536">
        <f>COUNTIF($AH$1:AH536,AH536)</f>
        <v>30</v>
      </c>
    </row>
    <row r="537" spans="1:35">
      <c r="A537" t="s">
        <v>56</v>
      </c>
      <c r="B537" t="s">
        <v>57</v>
      </c>
      <c r="C537" t="s">
        <v>602</v>
      </c>
      <c r="D537" t="s">
        <v>570</v>
      </c>
      <c r="E537">
        <v>1</v>
      </c>
      <c r="G537" t="s">
        <v>571</v>
      </c>
      <c r="I537" t="s">
        <v>61</v>
      </c>
      <c r="Z537" t="str">
        <f>IFERROR(MID(AA537,FIND("-",H537,1)+1,20),_xlfn.IFNA(VLOOKUP(F537&amp;"-"&amp;AA537,Ref_Kontak!$A:$E,4,FALSE),Ref_Kontak!$H$2))</f>
        <v>628999007703</v>
      </c>
      <c r="AA537" t="str">
        <f t="shared" si="48"/>
        <v/>
      </c>
      <c r="AB537" t="str">
        <f t="shared" si="49"/>
        <v/>
      </c>
      <c r="AC537" t="str">
        <f t="shared" si="50"/>
        <v>628999007703</v>
      </c>
      <c r="AD537" t="str">
        <f t="shared" si="52"/>
        <v>Halo+,+Visual+AI+5S+menditeksi+Violation%3A+GUDANGACC1-LINE+11</v>
      </c>
      <c r="AE537" t="str">
        <f t="shared" si="51"/>
        <v>https://web.whatsapp.com/send/?phone=628999007703&amp;text=Halo+,+Visual+AI+5S+menditeksi+Violation%3A+GUDANGACC1-LINE+11&amp;type=phone_number&amp;app_absent=0</v>
      </c>
      <c r="AF537" t="b">
        <f>IF(ISNA(VLOOKUP(D537&amp;"-"&amp;AB537, Ref_Kontak!$A:$E, 4, FALSE)), FALSE, TRUE)</f>
        <v>0</v>
      </c>
      <c r="AG537" t="str">
        <f>_xlfn.IFNA(VLOOKUP(Z537,Ref_Kontak!H:H,1,FALSE),"FALSE")</f>
        <v>628999007703</v>
      </c>
      <c r="AH537" t="str">
        <f t="shared" si="53"/>
        <v>GUDANGACC1-LINE 11</v>
      </c>
      <c r="AI537">
        <f>COUNTIF($AH$1:AH537,AH537)</f>
        <v>31</v>
      </c>
    </row>
    <row r="538" spans="1:35">
      <c r="A538" t="s">
        <v>56</v>
      </c>
      <c r="B538" t="s">
        <v>57</v>
      </c>
      <c r="C538" t="s">
        <v>603</v>
      </c>
      <c r="D538" t="s">
        <v>570</v>
      </c>
      <c r="E538">
        <v>1</v>
      </c>
      <c r="G538" t="s">
        <v>571</v>
      </c>
      <c r="I538" t="s">
        <v>61</v>
      </c>
      <c r="Z538" t="str">
        <f>IFERROR(MID(AA538,FIND("-",H538,1)+1,20),_xlfn.IFNA(VLOOKUP(F538&amp;"-"&amp;AA538,Ref_Kontak!$A:$E,4,FALSE),Ref_Kontak!$H$2))</f>
        <v>628999007703</v>
      </c>
      <c r="AA538" t="str">
        <f t="shared" si="48"/>
        <v/>
      </c>
      <c r="AB538" t="str">
        <f t="shared" si="49"/>
        <v/>
      </c>
      <c r="AC538" t="str">
        <f t="shared" si="50"/>
        <v>628999007703</v>
      </c>
      <c r="AD538" t="str">
        <f t="shared" si="52"/>
        <v>Halo+,+Visual+AI+5S+menditeksi+Violation%3A+GUDANGACC1-LINE+11</v>
      </c>
      <c r="AE538" t="str">
        <f t="shared" si="51"/>
        <v>https://web.whatsapp.com/send/?phone=628999007703&amp;text=Halo+,+Visual+AI+5S+menditeksi+Violation%3A+GUDANGACC1-LINE+11&amp;type=phone_number&amp;app_absent=0</v>
      </c>
      <c r="AF538" t="b">
        <f>IF(ISNA(VLOOKUP(D538&amp;"-"&amp;AB538, Ref_Kontak!$A:$E, 4, FALSE)), FALSE, TRUE)</f>
        <v>0</v>
      </c>
      <c r="AG538" t="str">
        <f>_xlfn.IFNA(VLOOKUP(Z538,Ref_Kontak!H:H,1,FALSE),"FALSE")</f>
        <v>628999007703</v>
      </c>
      <c r="AH538" t="str">
        <f t="shared" si="53"/>
        <v>GUDANGACC1-LINE 11</v>
      </c>
      <c r="AI538">
        <f>COUNTIF($AH$1:AH538,AH538)</f>
        <v>32</v>
      </c>
    </row>
    <row r="539" spans="1:35">
      <c r="A539" t="s">
        <v>56</v>
      </c>
      <c r="B539" t="s">
        <v>57</v>
      </c>
      <c r="C539" t="s">
        <v>604</v>
      </c>
      <c r="D539" t="s">
        <v>570</v>
      </c>
      <c r="E539">
        <v>1</v>
      </c>
      <c r="G539" t="s">
        <v>571</v>
      </c>
      <c r="I539" t="s">
        <v>61</v>
      </c>
      <c r="Z539" t="str">
        <f>IFERROR(MID(AA539,FIND("-",H539,1)+1,20),_xlfn.IFNA(VLOOKUP(F539&amp;"-"&amp;AA539,Ref_Kontak!$A:$E,4,FALSE),Ref_Kontak!$H$2))</f>
        <v>628999007703</v>
      </c>
      <c r="AA539" t="str">
        <f t="shared" si="48"/>
        <v/>
      </c>
      <c r="AB539" t="str">
        <f t="shared" si="49"/>
        <v/>
      </c>
      <c r="AC539" t="str">
        <f t="shared" si="50"/>
        <v>628999007703</v>
      </c>
      <c r="AD539" t="str">
        <f t="shared" si="52"/>
        <v>Halo+,+Visual+AI+5S+menditeksi+Violation%3A+GUDANGACC1-LINE+11</v>
      </c>
      <c r="AE539" t="str">
        <f t="shared" si="51"/>
        <v>https://web.whatsapp.com/send/?phone=628999007703&amp;text=Halo+,+Visual+AI+5S+menditeksi+Violation%3A+GUDANGACC1-LINE+11&amp;type=phone_number&amp;app_absent=0</v>
      </c>
      <c r="AF539" t="b">
        <f>IF(ISNA(VLOOKUP(D539&amp;"-"&amp;AB539, Ref_Kontak!$A:$E, 4, FALSE)), FALSE, TRUE)</f>
        <v>0</v>
      </c>
      <c r="AG539" t="str">
        <f>_xlfn.IFNA(VLOOKUP(Z539,Ref_Kontak!H:H,1,FALSE),"FALSE")</f>
        <v>628999007703</v>
      </c>
      <c r="AH539" t="str">
        <f t="shared" si="53"/>
        <v>GUDANGACC1-LINE 11</v>
      </c>
      <c r="AI539">
        <f>COUNTIF($AH$1:AH539,AH539)</f>
        <v>33</v>
      </c>
    </row>
    <row r="540" spans="1:35">
      <c r="A540" t="s">
        <v>56</v>
      </c>
      <c r="B540" t="s">
        <v>57</v>
      </c>
      <c r="C540" t="s">
        <v>605</v>
      </c>
      <c r="D540" t="s">
        <v>570</v>
      </c>
      <c r="E540">
        <v>1</v>
      </c>
      <c r="G540" t="s">
        <v>571</v>
      </c>
      <c r="I540" t="s">
        <v>61</v>
      </c>
      <c r="Z540" t="str">
        <f>IFERROR(MID(AA540,FIND("-",H540,1)+1,20),_xlfn.IFNA(VLOOKUP(F540&amp;"-"&amp;AA540,Ref_Kontak!$A:$E,4,FALSE),Ref_Kontak!$H$2))</f>
        <v>628999007703</v>
      </c>
      <c r="AA540" t="str">
        <f t="shared" si="48"/>
        <v/>
      </c>
      <c r="AB540" t="str">
        <f t="shared" si="49"/>
        <v/>
      </c>
      <c r="AC540" t="str">
        <f t="shared" si="50"/>
        <v>628999007703</v>
      </c>
      <c r="AD540" t="str">
        <f t="shared" si="52"/>
        <v>Halo+,+Visual+AI+5S+menditeksi+Violation%3A+GUDANGACC1-LINE+11</v>
      </c>
      <c r="AE540" t="str">
        <f t="shared" si="51"/>
        <v>https://web.whatsapp.com/send/?phone=628999007703&amp;text=Halo+,+Visual+AI+5S+menditeksi+Violation%3A+GUDANGACC1-LINE+11&amp;type=phone_number&amp;app_absent=0</v>
      </c>
      <c r="AF540" t="b">
        <f>IF(ISNA(VLOOKUP(D540&amp;"-"&amp;AB540, Ref_Kontak!$A:$E, 4, FALSE)), FALSE, TRUE)</f>
        <v>0</v>
      </c>
      <c r="AG540" t="str">
        <f>_xlfn.IFNA(VLOOKUP(Z540,Ref_Kontak!H:H,1,FALSE),"FALSE")</f>
        <v>628999007703</v>
      </c>
      <c r="AH540" t="str">
        <f t="shared" si="53"/>
        <v>GUDANGACC1-LINE 11</v>
      </c>
      <c r="AI540">
        <f>COUNTIF($AH$1:AH540,AH540)</f>
        <v>34</v>
      </c>
    </row>
    <row r="541" spans="1:35">
      <c r="A541" t="s">
        <v>56</v>
      </c>
      <c r="B541" t="s">
        <v>57</v>
      </c>
      <c r="C541" t="s">
        <v>606</v>
      </c>
      <c r="D541" t="s">
        <v>570</v>
      </c>
      <c r="E541">
        <v>1</v>
      </c>
      <c r="G541" t="s">
        <v>571</v>
      </c>
      <c r="I541" t="s">
        <v>61</v>
      </c>
      <c r="Z541" t="str">
        <f>IFERROR(MID(AA541,FIND("-",H541,1)+1,20),_xlfn.IFNA(VLOOKUP(F541&amp;"-"&amp;AA541,Ref_Kontak!$A:$E,4,FALSE),Ref_Kontak!$H$2))</f>
        <v>628999007703</v>
      </c>
      <c r="AA541" t="str">
        <f t="shared" si="48"/>
        <v/>
      </c>
      <c r="AB541" t="str">
        <f t="shared" si="49"/>
        <v/>
      </c>
      <c r="AC541" t="str">
        <f t="shared" si="50"/>
        <v>628999007703</v>
      </c>
      <c r="AD541" t="str">
        <f t="shared" si="52"/>
        <v>Halo+,+Visual+AI+5S+menditeksi+Violation%3A+GUDANGACC1-LINE+11</v>
      </c>
      <c r="AE541" t="str">
        <f t="shared" si="51"/>
        <v>https://web.whatsapp.com/send/?phone=628999007703&amp;text=Halo+,+Visual+AI+5S+menditeksi+Violation%3A+GUDANGACC1-LINE+11&amp;type=phone_number&amp;app_absent=0</v>
      </c>
      <c r="AF541" t="b">
        <f>IF(ISNA(VLOOKUP(D541&amp;"-"&amp;AB541, Ref_Kontak!$A:$E, 4, FALSE)), FALSE, TRUE)</f>
        <v>0</v>
      </c>
      <c r="AG541" t="str">
        <f>_xlfn.IFNA(VLOOKUP(Z541,Ref_Kontak!H:H,1,FALSE),"FALSE")</f>
        <v>628999007703</v>
      </c>
      <c r="AH541" t="str">
        <f t="shared" si="53"/>
        <v>GUDANGACC1-LINE 11</v>
      </c>
      <c r="AI541">
        <f>COUNTIF($AH$1:AH541,AH541)</f>
        <v>35</v>
      </c>
    </row>
    <row r="542" spans="1:35">
      <c r="A542" t="s">
        <v>56</v>
      </c>
      <c r="B542" t="s">
        <v>57</v>
      </c>
      <c r="C542" t="s">
        <v>607</v>
      </c>
      <c r="D542" t="s">
        <v>570</v>
      </c>
      <c r="E542">
        <v>1</v>
      </c>
      <c r="G542" t="s">
        <v>571</v>
      </c>
      <c r="I542" t="s">
        <v>61</v>
      </c>
      <c r="Z542" t="str">
        <f>IFERROR(MID(AA542,FIND("-",H542,1)+1,20),_xlfn.IFNA(VLOOKUP(F542&amp;"-"&amp;AA542,Ref_Kontak!$A:$E,4,FALSE),Ref_Kontak!$H$2))</f>
        <v>628999007703</v>
      </c>
      <c r="AA542" t="str">
        <f t="shared" si="48"/>
        <v/>
      </c>
      <c r="AB542" t="str">
        <f t="shared" si="49"/>
        <v/>
      </c>
      <c r="AC542" t="str">
        <f t="shared" si="50"/>
        <v>628999007703</v>
      </c>
      <c r="AD542" t="str">
        <f t="shared" si="52"/>
        <v>Halo+,+Visual+AI+5S+menditeksi+Violation%3A+GUDANGACC1-LINE+11</v>
      </c>
      <c r="AE542" t="str">
        <f t="shared" si="51"/>
        <v>https://web.whatsapp.com/send/?phone=628999007703&amp;text=Halo+,+Visual+AI+5S+menditeksi+Violation%3A+GUDANGACC1-LINE+11&amp;type=phone_number&amp;app_absent=0</v>
      </c>
      <c r="AF542" t="b">
        <f>IF(ISNA(VLOOKUP(D542&amp;"-"&amp;AB542, Ref_Kontak!$A:$E, 4, FALSE)), FALSE, TRUE)</f>
        <v>0</v>
      </c>
      <c r="AG542" t="str">
        <f>_xlfn.IFNA(VLOOKUP(Z542,Ref_Kontak!H:H,1,FALSE),"FALSE")</f>
        <v>628999007703</v>
      </c>
      <c r="AH542" t="str">
        <f t="shared" si="53"/>
        <v>GUDANGACC1-LINE 11</v>
      </c>
      <c r="AI542">
        <f>COUNTIF($AH$1:AH542,AH542)</f>
        <v>36</v>
      </c>
    </row>
    <row r="543" spans="1:35">
      <c r="A543" t="s">
        <v>56</v>
      </c>
      <c r="B543" t="s">
        <v>57</v>
      </c>
      <c r="C543" t="s">
        <v>608</v>
      </c>
      <c r="D543" t="s">
        <v>570</v>
      </c>
      <c r="E543">
        <v>1</v>
      </c>
      <c r="G543" t="s">
        <v>571</v>
      </c>
      <c r="I543" t="s">
        <v>61</v>
      </c>
      <c r="Z543" t="str">
        <f>IFERROR(MID(AA543,FIND("-",H543,1)+1,20),_xlfn.IFNA(VLOOKUP(F543&amp;"-"&amp;AA543,Ref_Kontak!$A:$E,4,FALSE),Ref_Kontak!$H$2))</f>
        <v>628999007703</v>
      </c>
      <c r="AA543" t="str">
        <f t="shared" si="48"/>
        <v/>
      </c>
      <c r="AB543" t="str">
        <f t="shared" si="49"/>
        <v/>
      </c>
      <c r="AC543" t="str">
        <f t="shared" si="50"/>
        <v>628999007703</v>
      </c>
      <c r="AD543" t="str">
        <f t="shared" si="52"/>
        <v>Halo+,+Visual+AI+5S+menditeksi+Violation%3A+GUDANGACC1-LINE+11</v>
      </c>
      <c r="AE543" t="str">
        <f t="shared" si="51"/>
        <v>https://web.whatsapp.com/send/?phone=628999007703&amp;text=Halo+,+Visual+AI+5S+menditeksi+Violation%3A+GUDANGACC1-LINE+11&amp;type=phone_number&amp;app_absent=0</v>
      </c>
      <c r="AF543" t="b">
        <f>IF(ISNA(VLOOKUP(D543&amp;"-"&amp;AB543, Ref_Kontak!$A:$E, 4, FALSE)), FALSE, TRUE)</f>
        <v>0</v>
      </c>
      <c r="AG543" t="str">
        <f>_xlfn.IFNA(VLOOKUP(Z543,Ref_Kontak!H:H,1,FALSE),"FALSE")</f>
        <v>628999007703</v>
      </c>
      <c r="AH543" t="str">
        <f t="shared" si="53"/>
        <v>GUDANGACC1-LINE 11</v>
      </c>
      <c r="AI543">
        <f>COUNTIF($AH$1:AH543,AH543)</f>
        <v>37</v>
      </c>
    </row>
    <row r="544" spans="1:35">
      <c r="A544" t="s">
        <v>56</v>
      </c>
      <c r="B544" t="s">
        <v>57</v>
      </c>
      <c r="C544" t="s">
        <v>608</v>
      </c>
      <c r="D544" t="s">
        <v>609</v>
      </c>
      <c r="E544">
        <v>1</v>
      </c>
      <c r="G544" t="s">
        <v>571</v>
      </c>
      <c r="I544" t="s">
        <v>61</v>
      </c>
      <c r="K544" t="s">
        <v>610</v>
      </c>
      <c r="Z544" t="str">
        <f>IFERROR(MID(AA544,FIND("-",H544,1)+1,20),_xlfn.IFNA(VLOOKUP(F544&amp;"-"&amp;AA544,Ref_Kontak!$A:$E,4,FALSE),Ref_Kontak!$H$2))</f>
        <v>628999007703</v>
      </c>
      <c r="AA544" t="str">
        <f t="shared" si="48"/>
        <v/>
      </c>
      <c r="AB544" t="str">
        <f t="shared" si="49"/>
        <v/>
      </c>
      <c r="AC544" t="str">
        <f t="shared" si="50"/>
        <v>628999007703</v>
      </c>
      <c r="AD544" t="str">
        <f t="shared" si="52"/>
        <v>Halo+,+Visual+AI+5S+menditeksi+Violation%3A+GUDANGACC1-LINE+6</v>
      </c>
      <c r="AE544" t="str">
        <f t="shared" si="51"/>
        <v>https://web.whatsapp.com/send/?phone=628999007703&amp;text=Halo+,+Visual+AI+5S+menditeksi+Violation%3A+GUDANGACC1-LINE+6&amp;type=phone_number&amp;app_absent=0</v>
      </c>
      <c r="AF544" t="b">
        <f>IF(ISNA(VLOOKUP(D544&amp;"-"&amp;AB544, Ref_Kontak!$A:$E, 4, FALSE)), FALSE, TRUE)</f>
        <v>0</v>
      </c>
      <c r="AG544" t="str">
        <f>_xlfn.IFNA(VLOOKUP(Z544,Ref_Kontak!H:H,1,FALSE),"FALSE")</f>
        <v>628999007703</v>
      </c>
      <c r="AH544" t="str">
        <f t="shared" si="53"/>
        <v>GUDANGACC1-LINE 6</v>
      </c>
      <c r="AI544">
        <f>COUNTIF($AH$1:AH544,AH544)</f>
        <v>1</v>
      </c>
    </row>
    <row r="545" spans="1:35">
      <c r="A545" t="s">
        <v>56</v>
      </c>
      <c r="B545" t="s">
        <v>57</v>
      </c>
      <c r="C545" t="s">
        <v>611</v>
      </c>
      <c r="D545" t="s">
        <v>570</v>
      </c>
      <c r="E545">
        <v>1</v>
      </c>
      <c r="G545" t="s">
        <v>571</v>
      </c>
      <c r="I545" t="s">
        <v>61</v>
      </c>
      <c r="Z545" t="str">
        <f>IFERROR(MID(AA545,FIND("-",H545,1)+1,20),_xlfn.IFNA(VLOOKUP(F545&amp;"-"&amp;AA545,Ref_Kontak!$A:$E,4,FALSE),Ref_Kontak!$H$2))</f>
        <v>628999007703</v>
      </c>
      <c r="AA545" t="str">
        <f t="shared" si="48"/>
        <v/>
      </c>
      <c r="AB545" t="str">
        <f t="shared" si="49"/>
        <v/>
      </c>
      <c r="AC545" t="str">
        <f t="shared" si="50"/>
        <v>628999007703</v>
      </c>
      <c r="AD545" t="str">
        <f t="shared" si="52"/>
        <v>Halo+,+Visual+AI+5S+menditeksi+Violation%3A+GUDANGACC1-LINE+11</v>
      </c>
      <c r="AE545" t="str">
        <f t="shared" si="51"/>
        <v>https://web.whatsapp.com/send/?phone=628999007703&amp;text=Halo+,+Visual+AI+5S+menditeksi+Violation%3A+GUDANGACC1-LINE+11&amp;type=phone_number&amp;app_absent=0</v>
      </c>
      <c r="AF545" t="b">
        <f>IF(ISNA(VLOOKUP(D545&amp;"-"&amp;AB545, Ref_Kontak!$A:$E, 4, FALSE)), FALSE, TRUE)</f>
        <v>0</v>
      </c>
      <c r="AG545" t="str">
        <f>_xlfn.IFNA(VLOOKUP(Z545,Ref_Kontak!H:H,1,FALSE),"FALSE")</f>
        <v>628999007703</v>
      </c>
      <c r="AH545" t="str">
        <f t="shared" si="53"/>
        <v>GUDANGACC1-LINE 11</v>
      </c>
      <c r="AI545">
        <f>COUNTIF($AH$1:AH545,AH545)</f>
        <v>38</v>
      </c>
    </row>
    <row r="546" spans="1:35">
      <c r="A546" t="s">
        <v>56</v>
      </c>
      <c r="B546" t="s">
        <v>57</v>
      </c>
      <c r="C546" t="s">
        <v>611</v>
      </c>
      <c r="D546" t="s">
        <v>609</v>
      </c>
      <c r="E546">
        <v>1</v>
      </c>
      <c r="G546" t="s">
        <v>571</v>
      </c>
      <c r="I546" t="s">
        <v>61</v>
      </c>
      <c r="Z546" t="str">
        <f>IFERROR(MID(AA546,FIND("-",H546,1)+1,20),_xlfn.IFNA(VLOOKUP(F546&amp;"-"&amp;AA546,Ref_Kontak!$A:$E,4,FALSE),Ref_Kontak!$H$2))</f>
        <v>628999007703</v>
      </c>
      <c r="AA546" t="str">
        <f t="shared" si="48"/>
        <v/>
      </c>
      <c r="AB546" t="str">
        <f t="shared" si="49"/>
        <v/>
      </c>
      <c r="AC546" t="str">
        <f t="shared" si="50"/>
        <v>628999007703</v>
      </c>
      <c r="AD546" t="str">
        <f t="shared" si="52"/>
        <v>Halo+,+Visual+AI+5S+menditeksi+Violation%3A+GUDANGACC1-LINE+6</v>
      </c>
      <c r="AE546" t="str">
        <f t="shared" si="51"/>
        <v>https://web.whatsapp.com/send/?phone=628999007703&amp;text=Halo+,+Visual+AI+5S+menditeksi+Violation%3A+GUDANGACC1-LINE+6&amp;type=phone_number&amp;app_absent=0</v>
      </c>
      <c r="AF546" t="b">
        <f>IF(ISNA(VLOOKUP(D546&amp;"-"&amp;AB546, Ref_Kontak!$A:$E, 4, FALSE)), FALSE, TRUE)</f>
        <v>0</v>
      </c>
      <c r="AG546" t="str">
        <f>_xlfn.IFNA(VLOOKUP(Z546,Ref_Kontak!H:H,1,FALSE),"FALSE")</f>
        <v>628999007703</v>
      </c>
      <c r="AH546" t="str">
        <f t="shared" si="53"/>
        <v>GUDANGACC1-LINE 6</v>
      </c>
      <c r="AI546">
        <f>COUNTIF($AH$1:AH546,AH546)</f>
        <v>2</v>
      </c>
    </row>
    <row r="547" spans="1:35">
      <c r="A547" t="s">
        <v>56</v>
      </c>
      <c r="B547" t="s">
        <v>57</v>
      </c>
      <c r="C547" t="s">
        <v>612</v>
      </c>
      <c r="D547" t="s">
        <v>570</v>
      </c>
      <c r="E547">
        <v>1</v>
      </c>
      <c r="G547" t="s">
        <v>571</v>
      </c>
      <c r="I547" t="s">
        <v>61</v>
      </c>
      <c r="Z547" t="str">
        <f>IFERROR(MID(AA547,FIND("-",H547,1)+1,20),_xlfn.IFNA(VLOOKUP(F547&amp;"-"&amp;AA547,Ref_Kontak!$A:$E,4,FALSE),Ref_Kontak!$H$2))</f>
        <v>628999007703</v>
      </c>
      <c r="AA547" t="str">
        <f t="shared" si="48"/>
        <v/>
      </c>
      <c r="AB547" t="str">
        <f t="shared" si="49"/>
        <v/>
      </c>
      <c r="AC547" t="str">
        <f t="shared" si="50"/>
        <v>628999007703</v>
      </c>
      <c r="AD547" t="str">
        <f t="shared" si="52"/>
        <v>Halo+,+Visual+AI+5S+menditeksi+Violation%3A+GUDANGACC1-LINE+11</v>
      </c>
      <c r="AE547" t="str">
        <f t="shared" si="51"/>
        <v>https://web.whatsapp.com/send/?phone=628999007703&amp;text=Halo+,+Visual+AI+5S+menditeksi+Violation%3A+GUDANGACC1-LINE+11&amp;type=phone_number&amp;app_absent=0</v>
      </c>
      <c r="AF547" t="b">
        <f>IF(ISNA(VLOOKUP(D547&amp;"-"&amp;AB547, Ref_Kontak!$A:$E, 4, FALSE)), FALSE, TRUE)</f>
        <v>0</v>
      </c>
      <c r="AG547" t="str">
        <f>_xlfn.IFNA(VLOOKUP(Z547,Ref_Kontak!H:H,1,FALSE),"FALSE")</f>
        <v>628999007703</v>
      </c>
      <c r="AH547" t="str">
        <f t="shared" si="53"/>
        <v>GUDANGACC1-LINE 11</v>
      </c>
      <c r="AI547">
        <f>COUNTIF($AH$1:AH547,AH547)</f>
        <v>39</v>
      </c>
    </row>
    <row r="548" spans="1:35">
      <c r="A548" t="s">
        <v>56</v>
      </c>
      <c r="B548" t="s">
        <v>57</v>
      </c>
      <c r="C548" t="s">
        <v>612</v>
      </c>
      <c r="D548" t="s">
        <v>609</v>
      </c>
      <c r="E548">
        <v>1</v>
      </c>
      <c r="G548" t="s">
        <v>571</v>
      </c>
      <c r="I548" t="s">
        <v>61</v>
      </c>
      <c r="Z548" t="str">
        <f>IFERROR(MID(AA548,FIND("-",H548,1)+1,20),_xlfn.IFNA(VLOOKUP(F548&amp;"-"&amp;AA548,Ref_Kontak!$A:$E,4,FALSE),Ref_Kontak!$H$2))</f>
        <v>628999007703</v>
      </c>
      <c r="AA548" t="str">
        <f t="shared" si="48"/>
        <v/>
      </c>
      <c r="AB548" t="str">
        <f t="shared" si="49"/>
        <v/>
      </c>
      <c r="AC548" t="str">
        <f t="shared" si="50"/>
        <v>628999007703</v>
      </c>
      <c r="AD548" t="str">
        <f t="shared" si="52"/>
        <v>Halo+,+Visual+AI+5S+menditeksi+Violation%3A+GUDANGACC1-LINE+6</v>
      </c>
      <c r="AE548" t="str">
        <f t="shared" si="51"/>
        <v>https://web.whatsapp.com/send/?phone=628999007703&amp;text=Halo+,+Visual+AI+5S+menditeksi+Violation%3A+GUDANGACC1-LINE+6&amp;type=phone_number&amp;app_absent=0</v>
      </c>
      <c r="AF548" t="b">
        <f>IF(ISNA(VLOOKUP(D548&amp;"-"&amp;AB548, Ref_Kontak!$A:$E, 4, FALSE)), FALSE, TRUE)</f>
        <v>0</v>
      </c>
      <c r="AG548" t="str">
        <f>_xlfn.IFNA(VLOOKUP(Z548,Ref_Kontak!H:H,1,FALSE),"FALSE")</f>
        <v>628999007703</v>
      </c>
      <c r="AH548" t="str">
        <f t="shared" si="53"/>
        <v>GUDANGACC1-LINE 6</v>
      </c>
      <c r="AI548">
        <f>COUNTIF($AH$1:AH548,AH548)</f>
        <v>3</v>
      </c>
    </row>
    <row r="549" spans="1:35">
      <c r="A549" t="s">
        <v>56</v>
      </c>
      <c r="B549" t="s">
        <v>57</v>
      </c>
      <c r="C549" t="s">
        <v>613</v>
      </c>
      <c r="D549" t="s">
        <v>570</v>
      </c>
      <c r="E549">
        <v>1</v>
      </c>
      <c r="G549" t="s">
        <v>571</v>
      </c>
      <c r="I549" t="s">
        <v>61</v>
      </c>
      <c r="Z549" t="str">
        <f>IFERROR(MID(AA549,FIND("-",H549,1)+1,20),_xlfn.IFNA(VLOOKUP(F549&amp;"-"&amp;AA549,Ref_Kontak!$A:$E,4,FALSE),Ref_Kontak!$H$2))</f>
        <v>628999007703</v>
      </c>
      <c r="AA549" t="str">
        <f t="shared" si="48"/>
        <v/>
      </c>
      <c r="AB549" t="str">
        <f t="shared" si="49"/>
        <v/>
      </c>
      <c r="AC549" t="str">
        <f t="shared" si="50"/>
        <v>628999007703</v>
      </c>
      <c r="AD549" t="str">
        <f t="shared" si="52"/>
        <v>Halo+,+Visual+AI+5S+menditeksi+Violation%3A+GUDANGACC1-LINE+11</v>
      </c>
      <c r="AE549" t="str">
        <f t="shared" si="51"/>
        <v>https://web.whatsapp.com/send/?phone=628999007703&amp;text=Halo+,+Visual+AI+5S+menditeksi+Violation%3A+GUDANGACC1-LINE+11&amp;type=phone_number&amp;app_absent=0</v>
      </c>
      <c r="AF549" t="b">
        <f>IF(ISNA(VLOOKUP(D549&amp;"-"&amp;AB549, Ref_Kontak!$A:$E, 4, FALSE)), FALSE, TRUE)</f>
        <v>0</v>
      </c>
      <c r="AG549" t="str">
        <f>_xlfn.IFNA(VLOOKUP(Z549,Ref_Kontak!H:H,1,FALSE),"FALSE")</f>
        <v>628999007703</v>
      </c>
      <c r="AH549" t="str">
        <f t="shared" si="53"/>
        <v>GUDANGACC1-LINE 11</v>
      </c>
      <c r="AI549">
        <f>COUNTIF($AH$1:AH549,AH549)</f>
        <v>40</v>
      </c>
    </row>
    <row r="550" spans="1:35">
      <c r="A550" t="s">
        <v>56</v>
      </c>
      <c r="B550" t="s">
        <v>57</v>
      </c>
      <c r="C550" t="s">
        <v>613</v>
      </c>
      <c r="D550" t="s">
        <v>609</v>
      </c>
      <c r="E550">
        <v>1</v>
      </c>
      <c r="G550" t="s">
        <v>571</v>
      </c>
      <c r="I550" t="s">
        <v>61</v>
      </c>
      <c r="Z550" t="str">
        <f>IFERROR(MID(AA550,FIND("-",H550,1)+1,20),_xlfn.IFNA(VLOOKUP(F550&amp;"-"&amp;AA550,Ref_Kontak!$A:$E,4,FALSE),Ref_Kontak!$H$2))</f>
        <v>628999007703</v>
      </c>
      <c r="AA550" t="str">
        <f t="shared" si="48"/>
        <v/>
      </c>
      <c r="AB550" t="str">
        <f t="shared" si="49"/>
        <v/>
      </c>
      <c r="AC550" t="str">
        <f t="shared" si="50"/>
        <v>628999007703</v>
      </c>
      <c r="AD550" t="str">
        <f t="shared" si="52"/>
        <v>Halo+,+Visual+AI+5S+menditeksi+Violation%3A+GUDANGACC1-LINE+6</v>
      </c>
      <c r="AE550" t="str">
        <f t="shared" si="51"/>
        <v>https://web.whatsapp.com/send/?phone=628999007703&amp;text=Halo+,+Visual+AI+5S+menditeksi+Violation%3A+GUDANGACC1-LINE+6&amp;type=phone_number&amp;app_absent=0</v>
      </c>
      <c r="AF550" t="b">
        <f>IF(ISNA(VLOOKUP(D550&amp;"-"&amp;AB550, Ref_Kontak!$A:$E, 4, FALSE)), FALSE, TRUE)</f>
        <v>0</v>
      </c>
      <c r="AG550" t="str">
        <f>_xlfn.IFNA(VLOOKUP(Z550,Ref_Kontak!H:H,1,FALSE),"FALSE")</f>
        <v>628999007703</v>
      </c>
      <c r="AH550" t="str">
        <f t="shared" si="53"/>
        <v>GUDANGACC1-LINE 6</v>
      </c>
      <c r="AI550">
        <f>COUNTIF($AH$1:AH550,AH550)</f>
        <v>4</v>
      </c>
    </row>
    <row r="551" spans="1:35">
      <c r="A551" t="s">
        <v>56</v>
      </c>
      <c r="B551" t="s">
        <v>57</v>
      </c>
      <c r="C551" t="s">
        <v>614</v>
      </c>
      <c r="D551" t="s">
        <v>570</v>
      </c>
      <c r="E551">
        <v>1</v>
      </c>
      <c r="G551" t="s">
        <v>571</v>
      </c>
      <c r="I551" t="s">
        <v>61</v>
      </c>
      <c r="Z551" t="str">
        <f>IFERROR(MID(AA551,FIND("-",H551,1)+1,20),_xlfn.IFNA(VLOOKUP(F551&amp;"-"&amp;AA551,Ref_Kontak!$A:$E,4,FALSE),Ref_Kontak!$H$2))</f>
        <v>628999007703</v>
      </c>
      <c r="AA551" t="str">
        <f t="shared" si="48"/>
        <v/>
      </c>
      <c r="AB551" t="str">
        <f t="shared" si="49"/>
        <v/>
      </c>
      <c r="AC551" t="str">
        <f t="shared" si="50"/>
        <v>628999007703</v>
      </c>
      <c r="AD551" t="str">
        <f t="shared" si="52"/>
        <v>Halo+,+Visual+AI+5S+menditeksi+Violation%3A+GUDANGACC1-LINE+11</v>
      </c>
      <c r="AE551" t="str">
        <f t="shared" si="51"/>
        <v>https://web.whatsapp.com/send/?phone=628999007703&amp;text=Halo+,+Visual+AI+5S+menditeksi+Violation%3A+GUDANGACC1-LINE+11&amp;type=phone_number&amp;app_absent=0</v>
      </c>
      <c r="AF551" t="b">
        <f>IF(ISNA(VLOOKUP(D551&amp;"-"&amp;AB551, Ref_Kontak!$A:$E, 4, FALSE)), FALSE, TRUE)</f>
        <v>0</v>
      </c>
      <c r="AG551" t="str">
        <f>_xlfn.IFNA(VLOOKUP(Z551,Ref_Kontak!H:H,1,FALSE),"FALSE")</f>
        <v>628999007703</v>
      </c>
      <c r="AH551" t="str">
        <f t="shared" si="53"/>
        <v>GUDANGACC1-LINE 11</v>
      </c>
      <c r="AI551">
        <f>COUNTIF($AH$1:AH551,AH551)</f>
        <v>41</v>
      </c>
    </row>
    <row r="552" spans="1:35">
      <c r="A552" t="s">
        <v>56</v>
      </c>
      <c r="B552" t="s">
        <v>57</v>
      </c>
      <c r="C552" t="s">
        <v>614</v>
      </c>
      <c r="D552" t="s">
        <v>609</v>
      </c>
      <c r="E552">
        <v>1</v>
      </c>
      <c r="G552" t="s">
        <v>571</v>
      </c>
      <c r="I552" t="s">
        <v>61</v>
      </c>
      <c r="Z552" t="str">
        <f>IFERROR(MID(AA552,FIND("-",H552,1)+1,20),_xlfn.IFNA(VLOOKUP(F552&amp;"-"&amp;AA552,Ref_Kontak!$A:$E,4,FALSE),Ref_Kontak!$H$2))</f>
        <v>628999007703</v>
      </c>
      <c r="AA552" t="str">
        <f t="shared" si="48"/>
        <v/>
      </c>
      <c r="AB552" t="str">
        <f t="shared" si="49"/>
        <v/>
      </c>
      <c r="AC552" t="str">
        <f t="shared" si="50"/>
        <v>628999007703</v>
      </c>
      <c r="AD552" t="str">
        <f t="shared" si="52"/>
        <v>Halo+,+Visual+AI+5S+menditeksi+Violation%3A+GUDANGACC1-LINE+6</v>
      </c>
      <c r="AE552" t="str">
        <f t="shared" si="51"/>
        <v>https://web.whatsapp.com/send/?phone=628999007703&amp;text=Halo+,+Visual+AI+5S+menditeksi+Violation%3A+GUDANGACC1-LINE+6&amp;type=phone_number&amp;app_absent=0</v>
      </c>
      <c r="AF552" t="b">
        <f>IF(ISNA(VLOOKUP(D552&amp;"-"&amp;AB552, Ref_Kontak!$A:$E, 4, FALSE)), FALSE, TRUE)</f>
        <v>0</v>
      </c>
      <c r="AG552" t="str">
        <f>_xlfn.IFNA(VLOOKUP(Z552,Ref_Kontak!H:H,1,FALSE),"FALSE")</f>
        <v>628999007703</v>
      </c>
      <c r="AH552" t="str">
        <f t="shared" si="53"/>
        <v>GUDANGACC1-LINE 6</v>
      </c>
      <c r="AI552">
        <f>COUNTIF($AH$1:AH552,AH552)</f>
        <v>5</v>
      </c>
    </row>
    <row r="553" spans="1:35">
      <c r="A553" t="s">
        <v>56</v>
      </c>
      <c r="B553" t="s">
        <v>57</v>
      </c>
      <c r="C553" t="s">
        <v>615</v>
      </c>
      <c r="D553" t="s">
        <v>570</v>
      </c>
      <c r="E553">
        <v>1</v>
      </c>
      <c r="G553" t="s">
        <v>571</v>
      </c>
      <c r="I553" t="s">
        <v>61</v>
      </c>
      <c r="Z553" t="str">
        <f>IFERROR(MID(AA553,FIND("-",H553,1)+1,20),_xlfn.IFNA(VLOOKUP(F553&amp;"-"&amp;AA553,Ref_Kontak!$A:$E,4,FALSE),Ref_Kontak!$H$2))</f>
        <v>628999007703</v>
      </c>
      <c r="AA553" t="str">
        <f t="shared" si="48"/>
        <v/>
      </c>
      <c r="AB553" t="str">
        <f t="shared" si="49"/>
        <v/>
      </c>
      <c r="AC553" t="str">
        <f t="shared" si="50"/>
        <v>628999007703</v>
      </c>
      <c r="AD553" t="str">
        <f t="shared" si="52"/>
        <v>Halo+,+Visual+AI+5S+menditeksi+Violation%3A+GUDANGACC1-LINE+11</v>
      </c>
      <c r="AE553" t="str">
        <f t="shared" si="51"/>
        <v>https://web.whatsapp.com/send/?phone=628999007703&amp;text=Halo+,+Visual+AI+5S+menditeksi+Violation%3A+GUDANGACC1-LINE+11&amp;type=phone_number&amp;app_absent=0</v>
      </c>
      <c r="AF553" t="b">
        <f>IF(ISNA(VLOOKUP(D553&amp;"-"&amp;AB553, Ref_Kontak!$A:$E, 4, FALSE)), FALSE, TRUE)</f>
        <v>0</v>
      </c>
      <c r="AG553" t="str">
        <f>_xlfn.IFNA(VLOOKUP(Z553,Ref_Kontak!H:H,1,FALSE),"FALSE")</f>
        <v>628999007703</v>
      </c>
      <c r="AH553" t="str">
        <f t="shared" si="53"/>
        <v>GUDANGACC1-LINE 11</v>
      </c>
      <c r="AI553">
        <f>COUNTIF($AH$1:AH553,AH553)</f>
        <v>42</v>
      </c>
    </row>
    <row r="554" spans="1:35">
      <c r="A554" t="s">
        <v>56</v>
      </c>
      <c r="B554" t="s">
        <v>57</v>
      </c>
      <c r="C554" t="s">
        <v>615</v>
      </c>
      <c r="D554" t="s">
        <v>609</v>
      </c>
      <c r="E554">
        <v>1</v>
      </c>
      <c r="G554" t="s">
        <v>571</v>
      </c>
      <c r="I554" t="s">
        <v>61</v>
      </c>
      <c r="Z554" t="str">
        <f>IFERROR(MID(AA554,FIND("-",H554,1)+1,20),_xlfn.IFNA(VLOOKUP(F554&amp;"-"&amp;AA554,Ref_Kontak!$A:$E,4,FALSE),Ref_Kontak!$H$2))</f>
        <v>628999007703</v>
      </c>
      <c r="AA554" t="str">
        <f t="shared" si="48"/>
        <v/>
      </c>
      <c r="AB554" t="str">
        <f t="shared" si="49"/>
        <v/>
      </c>
      <c r="AC554" t="str">
        <f t="shared" si="50"/>
        <v>628999007703</v>
      </c>
      <c r="AD554" t="str">
        <f t="shared" si="52"/>
        <v>Halo+,+Visual+AI+5S+menditeksi+Violation%3A+GUDANGACC1-LINE+6</v>
      </c>
      <c r="AE554" t="str">
        <f t="shared" si="51"/>
        <v>https://web.whatsapp.com/send/?phone=628999007703&amp;text=Halo+,+Visual+AI+5S+menditeksi+Violation%3A+GUDANGACC1-LINE+6&amp;type=phone_number&amp;app_absent=0</v>
      </c>
      <c r="AF554" t="b">
        <f>IF(ISNA(VLOOKUP(D554&amp;"-"&amp;AB554, Ref_Kontak!$A:$E, 4, FALSE)), FALSE, TRUE)</f>
        <v>0</v>
      </c>
      <c r="AG554" t="str">
        <f>_xlfn.IFNA(VLOOKUP(Z554,Ref_Kontak!H:H,1,FALSE),"FALSE")</f>
        <v>628999007703</v>
      </c>
      <c r="AH554" t="str">
        <f t="shared" si="53"/>
        <v>GUDANGACC1-LINE 6</v>
      </c>
      <c r="AI554">
        <f>COUNTIF($AH$1:AH554,AH554)</f>
        <v>6</v>
      </c>
    </row>
    <row r="555" spans="1:35">
      <c r="A555" t="s">
        <v>56</v>
      </c>
      <c r="B555" t="s">
        <v>57</v>
      </c>
      <c r="C555" t="s">
        <v>616</v>
      </c>
      <c r="D555" t="s">
        <v>570</v>
      </c>
      <c r="E555">
        <v>1</v>
      </c>
      <c r="G555" t="s">
        <v>571</v>
      </c>
      <c r="I555" t="s">
        <v>61</v>
      </c>
      <c r="Z555" t="str">
        <f>IFERROR(MID(AA555,FIND("-",H555,1)+1,20),_xlfn.IFNA(VLOOKUP(F555&amp;"-"&amp;AA555,Ref_Kontak!$A:$E,4,FALSE),Ref_Kontak!$H$2))</f>
        <v>628999007703</v>
      </c>
      <c r="AA555" t="str">
        <f t="shared" si="48"/>
        <v/>
      </c>
      <c r="AB555" t="str">
        <f t="shared" si="49"/>
        <v/>
      </c>
      <c r="AC555" t="str">
        <f t="shared" si="50"/>
        <v>628999007703</v>
      </c>
      <c r="AD555" t="str">
        <f t="shared" si="52"/>
        <v>Halo+,+Visual+AI+5S+menditeksi+Violation%3A+GUDANGACC1-LINE+11</v>
      </c>
      <c r="AE555" t="str">
        <f t="shared" si="51"/>
        <v>https://web.whatsapp.com/send/?phone=628999007703&amp;text=Halo+,+Visual+AI+5S+menditeksi+Violation%3A+GUDANGACC1-LINE+11&amp;type=phone_number&amp;app_absent=0</v>
      </c>
      <c r="AF555" t="b">
        <f>IF(ISNA(VLOOKUP(D555&amp;"-"&amp;AB555, Ref_Kontak!$A:$E, 4, FALSE)), FALSE, TRUE)</f>
        <v>0</v>
      </c>
      <c r="AG555" t="str">
        <f>_xlfn.IFNA(VLOOKUP(Z555,Ref_Kontak!H:H,1,FALSE),"FALSE")</f>
        <v>628999007703</v>
      </c>
      <c r="AH555" t="str">
        <f t="shared" si="53"/>
        <v>GUDANGACC1-LINE 11</v>
      </c>
      <c r="AI555">
        <f>COUNTIF($AH$1:AH555,AH555)</f>
        <v>43</v>
      </c>
    </row>
    <row r="556" spans="1:35">
      <c r="A556" t="s">
        <v>56</v>
      </c>
      <c r="B556" t="s">
        <v>57</v>
      </c>
      <c r="C556" t="s">
        <v>616</v>
      </c>
      <c r="D556" t="s">
        <v>609</v>
      </c>
      <c r="E556">
        <v>1</v>
      </c>
      <c r="G556" t="s">
        <v>571</v>
      </c>
      <c r="I556" t="s">
        <v>61</v>
      </c>
      <c r="Z556" t="str">
        <f>IFERROR(MID(AA556,FIND("-",H556,1)+1,20),_xlfn.IFNA(VLOOKUP(F556&amp;"-"&amp;AA556,Ref_Kontak!$A:$E,4,FALSE),Ref_Kontak!$H$2))</f>
        <v>628999007703</v>
      </c>
      <c r="AA556" t="str">
        <f t="shared" si="48"/>
        <v/>
      </c>
      <c r="AB556" t="str">
        <f t="shared" si="49"/>
        <v/>
      </c>
      <c r="AC556" t="str">
        <f t="shared" si="50"/>
        <v>628999007703</v>
      </c>
      <c r="AD556" t="str">
        <f t="shared" si="52"/>
        <v>Halo+,+Visual+AI+5S+menditeksi+Violation%3A+GUDANGACC1-LINE+6</v>
      </c>
      <c r="AE556" t="str">
        <f t="shared" si="51"/>
        <v>https://web.whatsapp.com/send/?phone=628999007703&amp;text=Halo+,+Visual+AI+5S+menditeksi+Violation%3A+GUDANGACC1-LINE+6&amp;type=phone_number&amp;app_absent=0</v>
      </c>
      <c r="AF556" t="b">
        <f>IF(ISNA(VLOOKUP(D556&amp;"-"&amp;AB556, Ref_Kontak!$A:$E, 4, FALSE)), FALSE, TRUE)</f>
        <v>0</v>
      </c>
      <c r="AG556" t="str">
        <f>_xlfn.IFNA(VLOOKUP(Z556,Ref_Kontak!H:H,1,FALSE),"FALSE")</f>
        <v>628999007703</v>
      </c>
      <c r="AH556" t="str">
        <f t="shared" si="53"/>
        <v>GUDANGACC1-LINE 6</v>
      </c>
      <c r="AI556">
        <f>COUNTIF($AH$1:AH556,AH556)</f>
        <v>7</v>
      </c>
    </row>
    <row r="557" spans="1:35">
      <c r="A557" t="s">
        <v>56</v>
      </c>
      <c r="B557" t="s">
        <v>57</v>
      </c>
      <c r="C557" t="s">
        <v>617</v>
      </c>
      <c r="D557" t="s">
        <v>570</v>
      </c>
      <c r="E557">
        <v>1</v>
      </c>
      <c r="G557" t="s">
        <v>571</v>
      </c>
      <c r="I557" t="s">
        <v>61</v>
      </c>
      <c r="Z557" t="str">
        <f>IFERROR(MID(AA557,FIND("-",H557,1)+1,20),_xlfn.IFNA(VLOOKUP(F557&amp;"-"&amp;AA557,Ref_Kontak!$A:$E,4,FALSE),Ref_Kontak!$H$2))</f>
        <v>628999007703</v>
      </c>
      <c r="AA557" t="str">
        <f t="shared" si="48"/>
        <v/>
      </c>
      <c r="AB557" t="str">
        <f t="shared" si="49"/>
        <v/>
      </c>
      <c r="AC557" t="str">
        <f t="shared" si="50"/>
        <v>628999007703</v>
      </c>
      <c r="AD557" t="str">
        <f t="shared" si="52"/>
        <v>Halo+,+Visual+AI+5S+menditeksi+Violation%3A+GUDANGACC1-LINE+11</v>
      </c>
      <c r="AE557" t="str">
        <f t="shared" si="51"/>
        <v>https://web.whatsapp.com/send/?phone=628999007703&amp;text=Halo+,+Visual+AI+5S+menditeksi+Violation%3A+GUDANGACC1-LINE+11&amp;type=phone_number&amp;app_absent=0</v>
      </c>
      <c r="AF557" t="b">
        <f>IF(ISNA(VLOOKUP(D557&amp;"-"&amp;AB557, Ref_Kontak!$A:$E, 4, FALSE)), FALSE, TRUE)</f>
        <v>0</v>
      </c>
      <c r="AG557" t="str">
        <f>_xlfn.IFNA(VLOOKUP(Z557,Ref_Kontak!H:H,1,FALSE),"FALSE")</f>
        <v>628999007703</v>
      </c>
      <c r="AH557" t="str">
        <f t="shared" si="53"/>
        <v>GUDANGACC1-LINE 11</v>
      </c>
      <c r="AI557">
        <f>COUNTIF($AH$1:AH557,AH557)</f>
        <v>44</v>
      </c>
    </row>
    <row r="558" spans="1:35">
      <c r="A558" t="s">
        <v>56</v>
      </c>
      <c r="B558" t="s">
        <v>57</v>
      </c>
      <c r="C558" t="s">
        <v>617</v>
      </c>
      <c r="D558" t="s">
        <v>609</v>
      </c>
      <c r="E558">
        <v>1</v>
      </c>
      <c r="G558" t="s">
        <v>571</v>
      </c>
      <c r="I558" t="s">
        <v>61</v>
      </c>
      <c r="Z558" t="str">
        <f>IFERROR(MID(AA558,FIND("-",H558,1)+1,20),_xlfn.IFNA(VLOOKUP(F558&amp;"-"&amp;AA558,Ref_Kontak!$A:$E,4,FALSE),Ref_Kontak!$H$2))</f>
        <v>628999007703</v>
      </c>
      <c r="AA558" t="str">
        <f t="shared" si="48"/>
        <v/>
      </c>
      <c r="AB558" t="str">
        <f t="shared" si="49"/>
        <v/>
      </c>
      <c r="AC558" t="str">
        <f t="shared" si="50"/>
        <v>628999007703</v>
      </c>
      <c r="AD558" t="str">
        <f t="shared" si="52"/>
        <v>Halo+,+Visual+AI+5S+menditeksi+Violation%3A+GUDANGACC1-LINE+6</v>
      </c>
      <c r="AE558" t="str">
        <f t="shared" si="51"/>
        <v>https://web.whatsapp.com/send/?phone=628999007703&amp;text=Halo+,+Visual+AI+5S+menditeksi+Violation%3A+GUDANGACC1-LINE+6&amp;type=phone_number&amp;app_absent=0</v>
      </c>
      <c r="AF558" t="b">
        <f>IF(ISNA(VLOOKUP(D558&amp;"-"&amp;AB558, Ref_Kontak!$A:$E, 4, FALSE)), FALSE, TRUE)</f>
        <v>0</v>
      </c>
      <c r="AG558" t="str">
        <f>_xlfn.IFNA(VLOOKUP(Z558,Ref_Kontak!H:H,1,FALSE),"FALSE")</f>
        <v>628999007703</v>
      </c>
      <c r="AH558" t="str">
        <f t="shared" si="53"/>
        <v>GUDANGACC1-LINE 6</v>
      </c>
      <c r="AI558">
        <f>COUNTIF($AH$1:AH558,AH558)</f>
        <v>8</v>
      </c>
    </row>
    <row r="559" spans="1:35">
      <c r="A559" t="s">
        <v>56</v>
      </c>
      <c r="B559" t="s">
        <v>57</v>
      </c>
      <c r="C559" t="s">
        <v>618</v>
      </c>
      <c r="D559" t="s">
        <v>570</v>
      </c>
      <c r="E559">
        <v>1</v>
      </c>
      <c r="G559" t="s">
        <v>571</v>
      </c>
      <c r="I559" t="s">
        <v>61</v>
      </c>
      <c r="Z559" t="str">
        <f>IFERROR(MID(AA559,FIND("-",H559,1)+1,20),_xlfn.IFNA(VLOOKUP(F559&amp;"-"&amp;AA559,Ref_Kontak!$A:$E,4,FALSE),Ref_Kontak!$H$2))</f>
        <v>628999007703</v>
      </c>
      <c r="AA559" t="str">
        <f t="shared" si="48"/>
        <v/>
      </c>
      <c r="AB559" t="str">
        <f t="shared" si="49"/>
        <v/>
      </c>
      <c r="AC559" t="str">
        <f t="shared" si="50"/>
        <v>628999007703</v>
      </c>
      <c r="AD559" t="str">
        <f t="shared" si="52"/>
        <v>Halo+,+Visual+AI+5S+menditeksi+Violation%3A+GUDANGACC1-LINE+11</v>
      </c>
      <c r="AE559" t="str">
        <f t="shared" si="51"/>
        <v>https://web.whatsapp.com/send/?phone=628999007703&amp;text=Halo+,+Visual+AI+5S+menditeksi+Violation%3A+GUDANGACC1-LINE+11&amp;type=phone_number&amp;app_absent=0</v>
      </c>
      <c r="AF559" t="b">
        <f>IF(ISNA(VLOOKUP(D559&amp;"-"&amp;AB559, Ref_Kontak!$A:$E, 4, FALSE)), FALSE, TRUE)</f>
        <v>0</v>
      </c>
      <c r="AG559" t="str">
        <f>_xlfn.IFNA(VLOOKUP(Z559,Ref_Kontak!H:H,1,FALSE),"FALSE")</f>
        <v>628999007703</v>
      </c>
      <c r="AH559" t="str">
        <f t="shared" si="53"/>
        <v>GUDANGACC1-LINE 11</v>
      </c>
      <c r="AI559">
        <f>COUNTIF($AH$1:AH559,AH559)</f>
        <v>45</v>
      </c>
    </row>
    <row r="560" spans="1:35">
      <c r="A560" t="s">
        <v>56</v>
      </c>
      <c r="B560" t="s">
        <v>57</v>
      </c>
      <c r="C560" t="s">
        <v>618</v>
      </c>
      <c r="D560" t="s">
        <v>609</v>
      </c>
      <c r="E560">
        <v>1</v>
      </c>
      <c r="G560" t="s">
        <v>571</v>
      </c>
      <c r="I560" t="s">
        <v>61</v>
      </c>
      <c r="Z560" t="str">
        <f>IFERROR(MID(AA560,FIND("-",H560,1)+1,20),_xlfn.IFNA(VLOOKUP(F560&amp;"-"&amp;AA560,Ref_Kontak!$A:$E,4,FALSE),Ref_Kontak!$H$2))</f>
        <v>628999007703</v>
      </c>
      <c r="AA560" t="str">
        <f t="shared" si="48"/>
        <v/>
      </c>
      <c r="AB560" t="str">
        <f t="shared" si="49"/>
        <v/>
      </c>
      <c r="AC560" t="str">
        <f t="shared" si="50"/>
        <v>628999007703</v>
      </c>
      <c r="AD560" t="str">
        <f t="shared" si="52"/>
        <v>Halo+,+Visual+AI+5S+menditeksi+Violation%3A+GUDANGACC1-LINE+6</v>
      </c>
      <c r="AE560" t="str">
        <f t="shared" si="51"/>
        <v>https://web.whatsapp.com/send/?phone=628999007703&amp;text=Halo+,+Visual+AI+5S+menditeksi+Violation%3A+GUDANGACC1-LINE+6&amp;type=phone_number&amp;app_absent=0</v>
      </c>
      <c r="AF560" t="b">
        <f>IF(ISNA(VLOOKUP(D560&amp;"-"&amp;AB560, Ref_Kontak!$A:$E, 4, FALSE)), FALSE, TRUE)</f>
        <v>0</v>
      </c>
      <c r="AG560" t="str">
        <f>_xlfn.IFNA(VLOOKUP(Z560,Ref_Kontak!H:H,1,FALSE),"FALSE")</f>
        <v>628999007703</v>
      </c>
      <c r="AH560" t="str">
        <f t="shared" si="53"/>
        <v>GUDANGACC1-LINE 6</v>
      </c>
      <c r="AI560">
        <f>COUNTIF($AH$1:AH560,AH560)</f>
        <v>9</v>
      </c>
    </row>
    <row r="561" spans="1:35">
      <c r="A561" t="s">
        <v>56</v>
      </c>
      <c r="B561" t="s">
        <v>57</v>
      </c>
      <c r="C561" t="s">
        <v>619</v>
      </c>
      <c r="D561" t="s">
        <v>570</v>
      </c>
      <c r="E561">
        <v>1</v>
      </c>
      <c r="G561" t="s">
        <v>571</v>
      </c>
      <c r="I561" t="s">
        <v>61</v>
      </c>
      <c r="Z561" t="str">
        <f>IFERROR(MID(AA561,FIND("-",H561,1)+1,20),_xlfn.IFNA(VLOOKUP(F561&amp;"-"&amp;AA561,Ref_Kontak!$A:$E,4,FALSE),Ref_Kontak!$H$2))</f>
        <v>628999007703</v>
      </c>
      <c r="AA561" t="str">
        <f t="shared" si="48"/>
        <v/>
      </c>
      <c r="AB561" t="str">
        <f t="shared" si="49"/>
        <v/>
      </c>
      <c r="AC561" t="str">
        <f t="shared" si="50"/>
        <v>628999007703</v>
      </c>
      <c r="AD561" t="str">
        <f t="shared" si="52"/>
        <v>Halo+,+Visual+AI+5S+menditeksi+Violation%3A+GUDANGACC1-LINE+11</v>
      </c>
      <c r="AE561" t="str">
        <f t="shared" si="51"/>
        <v>https://web.whatsapp.com/send/?phone=628999007703&amp;text=Halo+,+Visual+AI+5S+menditeksi+Violation%3A+GUDANGACC1-LINE+11&amp;type=phone_number&amp;app_absent=0</v>
      </c>
      <c r="AF561" t="b">
        <f>IF(ISNA(VLOOKUP(D561&amp;"-"&amp;AB561, Ref_Kontak!$A:$E, 4, FALSE)), FALSE, TRUE)</f>
        <v>0</v>
      </c>
      <c r="AG561" t="str">
        <f>_xlfn.IFNA(VLOOKUP(Z561,Ref_Kontak!H:H,1,FALSE),"FALSE")</f>
        <v>628999007703</v>
      </c>
      <c r="AH561" t="str">
        <f t="shared" si="53"/>
        <v>GUDANGACC1-LINE 11</v>
      </c>
      <c r="AI561">
        <f>COUNTIF($AH$1:AH561,AH561)</f>
        <v>46</v>
      </c>
    </row>
    <row r="562" spans="1:35">
      <c r="A562" t="s">
        <v>56</v>
      </c>
      <c r="B562" t="s">
        <v>57</v>
      </c>
      <c r="C562" t="s">
        <v>619</v>
      </c>
      <c r="D562" t="s">
        <v>609</v>
      </c>
      <c r="E562">
        <v>1</v>
      </c>
      <c r="G562" t="s">
        <v>571</v>
      </c>
      <c r="I562" t="s">
        <v>61</v>
      </c>
      <c r="Z562" t="str">
        <f>IFERROR(MID(AA562,FIND("-",H562,1)+1,20),_xlfn.IFNA(VLOOKUP(F562&amp;"-"&amp;AA562,Ref_Kontak!$A:$E,4,FALSE),Ref_Kontak!$H$2))</f>
        <v>628999007703</v>
      </c>
      <c r="AA562" t="str">
        <f t="shared" si="48"/>
        <v/>
      </c>
      <c r="AB562" t="str">
        <f t="shared" si="49"/>
        <v/>
      </c>
      <c r="AC562" t="str">
        <f t="shared" si="50"/>
        <v>628999007703</v>
      </c>
      <c r="AD562" t="str">
        <f t="shared" si="52"/>
        <v>Halo+,+Visual+AI+5S+menditeksi+Violation%3A+GUDANGACC1-LINE+6</v>
      </c>
      <c r="AE562" t="str">
        <f t="shared" si="51"/>
        <v>https://web.whatsapp.com/send/?phone=628999007703&amp;text=Halo+,+Visual+AI+5S+menditeksi+Violation%3A+GUDANGACC1-LINE+6&amp;type=phone_number&amp;app_absent=0</v>
      </c>
      <c r="AF562" t="b">
        <f>IF(ISNA(VLOOKUP(D562&amp;"-"&amp;AB562, Ref_Kontak!$A:$E, 4, FALSE)), FALSE, TRUE)</f>
        <v>0</v>
      </c>
      <c r="AG562" t="str">
        <f>_xlfn.IFNA(VLOOKUP(Z562,Ref_Kontak!H:H,1,FALSE),"FALSE")</f>
        <v>628999007703</v>
      </c>
      <c r="AH562" t="str">
        <f t="shared" si="53"/>
        <v>GUDANGACC1-LINE 6</v>
      </c>
      <c r="AI562">
        <f>COUNTIF($AH$1:AH562,AH562)</f>
        <v>10</v>
      </c>
    </row>
    <row r="563" spans="1:35">
      <c r="A563" t="s">
        <v>56</v>
      </c>
      <c r="B563" t="s">
        <v>57</v>
      </c>
      <c r="C563" t="s">
        <v>620</v>
      </c>
      <c r="D563" t="s">
        <v>570</v>
      </c>
      <c r="E563">
        <v>1</v>
      </c>
      <c r="G563" t="s">
        <v>571</v>
      </c>
      <c r="I563" t="s">
        <v>61</v>
      </c>
      <c r="Z563" t="str">
        <f>IFERROR(MID(AA563,FIND("-",H563,1)+1,20),_xlfn.IFNA(VLOOKUP(F563&amp;"-"&amp;AA563,Ref_Kontak!$A:$E,4,FALSE),Ref_Kontak!$H$2))</f>
        <v>628999007703</v>
      </c>
      <c r="AA563" t="str">
        <f t="shared" si="48"/>
        <v/>
      </c>
      <c r="AB563" t="str">
        <f t="shared" si="49"/>
        <v/>
      </c>
      <c r="AC563" t="str">
        <f t="shared" si="50"/>
        <v>628999007703</v>
      </c>
      <c r="AD563" t="str">
        <f t="shared" si="52"/>
        <v>Halo+,+Visual+AI+5S+menditeksi+Violation%3A+GUDANGACC1-LINE+11</v>
      </c>
      <c r="AE563" t="str">
        <f t="shared" si="51"/>
        <v>https://web.whatsapp.com/send/?phone=628999007703&amp;text=Halo+,+Visual+AI+5S+menditeksi+Violation%3A+GUDANGACC1-LINE+11&amp;type=phone_number&amp;app_absent=0</v>
      </c>
      <c r="AF563" t="b">
        <f>IF(ISNA(VLOOKUP(D563&amp;"-"&amp;AB563, Ref_Kontak!$A:$E, 4, FALSE)), FALSE, TRUE)</f>
        <v>0</v>
      </c>
      <c r="AG563" t="str">
        <f>_xlfn.IFNA(VLOOKUP(Z563,Ref_Kontak!H:H,1,FALSE),"FALSE")</f>
        <v>628999007703</v>
      </c>
      <c r="AH563" t="str">
        <f t="shared" si="53"/>
        <v>GUDANGACC1-LINE 11</v>
      </c>
      <c r="AI563">
        <f>COUNTIF($AH$1:AH563,AH563)</f>
        <v>47</v>
      </c>
    </row>
    <row r="564" spans="1:35">
      <c r="A564" t="s">
        <v>56</v>
      </c>
      <c r="B564" t="s">
        <v>57</v>
      </c>
      <c r="C564" t="s">
        <v>620</v>
      </c>
      <c r="D564" t="s">
        <v>609</v>
      </c>
      <c r="E564">
        <v>1</v>
      </c>
      <c r="G564" t="s">
        <v>571</v>
      </c>
      <c r="I564" t="s">
        <v>61</v>
      </c>
      <c r="Z564" t="str">
        <f>IFERROR(MID(AA564,FIND("-",H564,1)+1,20),_xlfn.IFNA(VLOOKUP(F564&amp;"-"&amp;AA564,Ref_Kontak!$A:$E,4,FALSE),Ref_Kontak!$H$2))</f>
        <v>628999007703</v>
      </c>
      <c r="AA564" t="str">
        <f t="shared" si="48"/>
        <v/>
      </c>
      <c r="AB564" t="str">
        <f t="shared" si="49"/>
        <v/>
      </c>
      <c r="AC564" t="str">
        <f t="shared" si="50"/>
        <v>628999007703</v>
      </c>
      <c r="AD564" t="str">
        <f t="shared" si="52"/>
        <v>Halo+,+Visual+AI+5S+menditeksi+Violation%3A+GUDANGACC1-LINE+6</v>
      </c>
      <c r="AE564" t="str">
        <f t="shared" si="51"/>
        <v>https://web.whatsapp.com/send/?phone=628999007703&amp;text=Halo+,+Visual+AI+5S+menditeksi+Violation%3A+GUDANGACC1-LINE+6&amp;type=phone_number&amp;app_absent=0</v>
      </c>
      <c r="AF564" t="b">
        <f>IF(ISNA(VLOOKUP(D564&amp;"-"&amp;AB564, Ref_Kontak!$A:$E, 4, FALSE)), FALSE, TRUE)</f>
        <v>0</v>
      </c>
      <c r="AG564" t="str">
        <f>_xlfn.IFNA(VLOOKUP(Z564,Ref_Kontak!H:H,1,FALSE),"FALSE")</f>
        <v>628999007703</v>
      </c>
      <c r="AH564" t="str">
        <f t="shared" si="53"/>
        <v>GUDANGACC1-LINE 6</v>
      </c>
      <c r="AI564">
        <f>COUNTIF($AH$1:AH564,AH564)</f>
        <v>11</v>
      </c>
    </row>
    <row r="565" spans="1:35">
      <c r="A565" t="s">
        <v>56</v>
      </c>
      <c r="B565" t="s">
        <v>57</v>
      </c>
      <c r="C565" t="s">
        <v>621</v>
      </c>
      <c r="D565" t="s">
        <v>570</v>
      </c>
      <c r="E565">
        <v>1</v>
      </c>
      <c r="G565" t="s">
        <v>571</v>
      </c>
      <c r="I565" t="s">
        <v>61</v>
      </c>
      <c r="Z565" t="str">
        <f>IFERROR(MID(AA565,FIND("-",H565,1)+1,20),_xlfn.IFNA(VLOOKUP(F565&amp;"-"&amp;AA565,Ref_Kontak!$A:$E,4,FALSE),Ref_Kontak!$H$2))</f>
        <v>628999007703</v>
      </c>
      <c r="AA565" t="str">
        <f t="shared" si="48"/>
        <v/>
      </c>
      <c r="AB565" t="str">
        <f t="shared" si="49"/>
        <v/>
      </c>
      <c r="AC565" t="str">
        <f t="shared" si="50"/>
        <v>628999007703</v>
      </c>
      <c r="AD565" t="str">
        <f t="shared" si="52"/>
        <v>Halo+,+Visual+AI+5S+menditeksi+Violation%3A+GUDANGACC1-LINE+11</v>
      </c>
      <c r="AE565" t="str">
        <f t="shared" si="51"/>
        <v>https://web.whatsapp.com/send/?phone=628999007703&amp;text=Halo+,+Visual+AI+5S+menditeksi+Violation%3A+GUDANGACC1-LINE+11&amp;type=phone_number&amp;app_absent=0</v>
      </c>
      <c r="AF565" t="b">
        <f>IF(ISNA(VLOOKUP(D565&amp;"-"&amp;AB565, Ref_Kontak!$A:$E, 4, FALSE)), FALSE, TRUE)</f>
        <v>0</v>
      </c>
      <c r="AG565" t="str">
        <f>_xlfn.IFNA(VLOOKUP(Z565,Ref_Kontak!H:H,1,FALSE),"FALSE")</f>
        <v>628999007703</v>
      </c>
      <c r="AH565" t="str">
        <f t="shared" si="53"/>
        <v>GUDANGACC1-LINE 11</v>
      </c>
      <c r="AI565">
        <f>COUNTIF($AH$1:AH565,AH565)</f>
        <v>48</v>
      </c>
    </row>
    <row r="566" spans="1:35">
      <c r="A566" t="s">
        <v>56</v>
      </c>
      <c r="B566" t="s">
        <v>57</v>
      </c>
      <c r="C566" t="s">
        <v>621</v>
      </c>
      <c r="D566" t="s">
        <v>609</v>
      </c>
      <c r="E566">
        <v>1</v>
      </c>
      <c r="G566" t="s">
        <v>571</v>
      </c>
      <c r="I566" t="s">
        <v>61</v>
      </c>
      <c r="Z566" t="str">
        <f>IFERROR(MID(AA566,FIND("-",H566,1)+1,20),_xlfn.IFNA(VLOOKUP(F566&amp;"-"&amp;AA566,Ref_Kontak!$A:$E,4,FALSE),Ref_Kontak!$H$2))</f>
        <v>628999007703</v>
      </c>
      <c r="AA566" t="str">
        <f t="shared" si="48"/>
        <v/>
      </c>
      <c r="AB566" t="str">
        <f t="shared" si="49"/>
        <v/>
      </c>
      <c r="AC566" t="str">
        <f t="shared" si="50"/>
        <v>628999007703</v>
      </c>
      <c r="AD566" t="str">
        <f t="shared" si="52"/>
        <v>Halo+,+Visual+AI+5S+menditeksi+Violation%3A+GUDANGACC1-LINE+6</v>
      </c>
      <c r="AE566" t="str">
        <f t="shared" si="51"/>
        <v>https://web.whatsapp.com/send/?phone=628999007703&amp;text=Halo+,+Visual+AI+5S+menditeksi+Violation%3A+GUDANGACC1-LINE+6&amp;type=phone_number&amp;app_absent=0</v>
      </c>
      <c r="AF566" t="b">
        <f>IF(ISNA(VLOOKUP(D566&amp;"-"&amp;AB566, Ref_Kontak!$A:$E, 4, FALSE)), FALSE, TRUE)</f>
        <v>0</v>
      </c>
      <c r="AG566" t="str">
        <f>_xlfn.IFNA(VLOOKUP(Z566,Ref_Kontak!H:H,1,FALSE),"FALSE")</f>
        <v>628999007703</v>
      </c>
      <c r="AH566" t="str">
        <f t="shared" si="53"/>
        <v>GUDANGACC1-LINE 6</v>
      </c>
      <c r="AI566">
        <f>COUNTIF($AH$1:AH566,AH566)</f>
        <v>12</v>
      </c>
    </row>
    <row r="567" spans="1:35">
      <c r="A567" t="s">
        <v>56</v>
      </c>
      <c r="B567" t="s">
        <v>57</v>
      </c>
      <c r="C567" t="s">
        <v>622</v>
      </c>
      <c r="D567" t="s">
        <v>570</v>
      </c>
      <c r="E567">
        <v>1</v>
      </c>
      <c r="G567" t="s">
        <v>571</v>
      </c>
      <c r="I567" t="s">
        <v>61</v>
      </c>
      <c r="Z567" t="str">
        <f>IFERROR(MID(AA567,FIND("-",H567,1)+1,20),_xlfn.IFNA(VLOOKUP(F567&amp;"-"&amp;AA567,Ref_Kontak!$A:$E,4,FALSE),Ref_Kontak!$H$2))</f>
        <v>628999007703</v>
      </c>
      <c r="AA567" t="str">
        <f t="shared" si="48"/>
        <v/>
      </c>
      <c r="AB567" t="str">
        <f t="shared" si="49"/>
        <v/>
      </c>
      <c r="AC567" t="str">
        <f t="shared" si="50"/>
        <v>628999007703</v>
      </c>
      <c r="AD567" t="str">
        <f t="shared" si="52"/>
        <v>Halo+,+Visual+AI+5S+menditeksi+Violation%3A+GUDANGACC1-LINE+11</v>
      </c>
      <c r="AE567" t="str">
        <f t="shared" si="51"/>
        <v>https://web.whatsapp.com/send/?phone=628999007703&amp;text=Halo+,+Visual+AI+5S+menditeksi+Violation%3A+GUDANGACC1-LINE+11&amp;type=phone_number&amp;app_absent=0</v>
      </c>
      <c r="AF567" t="b">
        <f>IF(ISNA(VLOOKUP(D567&amp;"-"&amp;AB567, Ref_Kontak!$A:$E, 4, FALSE)), FALSE, TRUE)</f>
        <v>0</v>
      </c>
      <c r="AG567" t="str">
        <f>_xlfn.IFNA(VLOOKUP(Z567,Ref_Kontak!H:H,1,FALSE),"FALSE")</f>
        <v>628999007703</v>
      </c>
      <c r="AH567" t="str">
        <f t="shared" si="53"/>
        <v>GUDANGACC1-LINE 11</v>
      </c>
      <c r="AI567">
        <f>COUNTIF($AH$1:AH567,AH567)</f>
        <v>49</v>
      </c>
    </row>
    <row r="568" spans="1:35">
      <c r="A568" t="s">
        <v>56</v>
      </c>
      <c r="B568" t="s">
        <v>57</v>
      </c>
      <c r="C568" t="s">
        <v>622</v>
      </c>
      <c r="D568" t="s">
        <v>609</v>
      </c>
      <c r="E568">
        <v>1</v>
      </c>
      <c r="G568" t="s">
        <v>571</v>
      </c>
      <c r="I568" t="s">
        <v>61</v>
      </c>
      <c r="Z568" t="str">
        <f>IFERROR(MID(AA568,FIND("-",H568,1)+1,20),_xlfn.IFNA(VLOOKUP(F568&amp;"-"&amp;AA568,Ref_Kontak!$A:$E,4,FALSE),Ref_Kontak!$H$2))</f>
        <v>628999007703</v>
      </c>
      <c r="AA568" t="str">
        <f t="shared" si="48"/>
        <v/>
      </c>
      <c r="AB568" t="str">
        <f t="shared" si="49"/>
        <v/>
      </c>
      <c r="AC568" t="str">
        <f t="shared" si="50"/>
        <v>628999007703</v>
      </c>
      <c r="AD568" t="str">
        <f t="shared" si="52"/>
        <v>Halo+,+Visual+AI+5S+menditeksi+Violation%3A+GUDANGACC1-LINE+6</v>
      </c>
      <c r="AE568" t="str">
        <f t="shared" si="51"/>
        <v>https://web.whatsapp.com/send/?phone=628999007703&amp;text=Halo+,+Visual+AI+5S+menditeksi+Violation%3A+GUDANGACC1-LINE+6&amp;type=phone_number&amp;app_absent=0</v>
      </c>
      <c r="AF568" t="b">
        <f>IF(ISNA(VLOOKUP(D568&amp;"-"&amp;AB568, Ref_Kontak!$A:$E, 4, FALSE)), FALSE, TRUE)</f>
        <v>0</v>
      </c>
      <c r="AG568" t="str">
        <f>_xlfn.IFNA(VLOOKUP(Z568,Ref_Kontak!H:H,1,FALSE),"FALSE")</f>
        <v>628999007703</v>
      </c>
      <c r="AH568" t="str">
        <f t="shared" si="53"/>
        <v>GUDANGACC1-LINE 6</v>
      </c>
      <c r="AI568">
        <f>COUNTIF($AH$1:AH568,AH568)</f>
        <v>13</v>
      </c>
    </row>
    <row r="569" spans="1:35">
      <c r="A569" t="s">
        <v>56</v>
      </c>
      <c r="B569" t="s">
        <v>57</v>
      </c>
      <c r="C569" t="s">
        <v>623</v>
      </c>
      <c r="D569" t="s">
        <v>570</v>
      </c>
      <c r="E569">
        <v>1</v>
      </c>
      <c r="G569" t="s">
        <v>571</v>
      </c>
      <c r="I569" t="s">
        <v>61</v>
      </c>
      <c r="Z569" t="str">
        <f>IFERROR(MID(AA569,FIND("-",H569,1)+1,20),_xlfn.IFNA(VLOOKUP(F569&amp;"-"&amp;AA569,Ref_Kontak!$A:$E,4,FALSE),Ref_Kontak!$H$2))</f>
        <v>628999007703</v>
      </c>
      <c r="AA569" t="str">
        <f t="shared" si="48"/>
        <v/>
      </c>
      <c r="AB569" t="str">
        <f t="shared" si="49"/>
        <v/>
      </c>
      <c r="AC569" t="str">
        <f t="shared" si="50"/>
        <v>628999007703</v>
      </c>
      <c r="AD569" t="str">
        <f t="shared" si="52"/>
        <v>Halo+,+Visual+AI+5S+menditeksi+Violation%3A+GUDANGACC1-LINE+11</v>
      </c>
      <c r="AE569" t="str">
        <f t="shared" si="51"/>
        <v>https://web.whatsapp.com/send/?phone=628999007703&amp;text=Halo+,+Visual+AI+5S+menditeksi+Violation%3A+GUDANGACC1-LINE+11&amp;type=phone_number&amp;app_absent=0</v>
      </c>
      <c r="AF569" t="b">
        <f>IF(ISNA(VLOOKUP(D569&amp;"-"&amp;AB569, Ref_Kontak!$A:$E, 4, FALSE)), FALSE, TRUE)</f>
        <v>0</v>
      </c>
      <c r="AG569" t="str">
        <f>_xlfn.IFNA(VLOOKUP(Z569,Ref_Kontak!H:H,1,FALSE),"FALSE")</f>
        <v>628999007703</v>
      </c>
      <c r="AH569" t="str">
        <f t="shared" si="53"/>
        <v>GUDANGACC1-LINE 11</v>
      </c>
      <c r="AI569">
        <f>COUNTIF($AH$1:AH569,AH569)</f>
        <v>50</v>
      </c>
    </row>
    <row r="570" spans="1:35">
      <c r="A570" t="s">
        <v>56</v>
      </c>
      <c r="B570" t="s">
        <v>57</v>
      </c>
      <c r="C570" t="s">
        <v>623</v>
      </c>
      <c r="D570" t="s">
        <v>609</v>
      </c>
      <c r="E570">
        <v>1</v>
      </c>
      <c r="G570" t="s">
        <v>571</v>
      </c>
      <c r="I570" t="s">
        <v>61</v>
      </c>
      <c r="Z570" t="str">
        <f>IFERROR(MID(AA570,FIND("-",H570,1)+1,20),_xlfn.IFNA(VLOOKUP(F570&amp;"-"&amp;AA570,Ref_Kontak!$A:$E,4,FALSE),Ref_Kontak!$H$2))</f>
        <v>628999007703</v>
      </c>
      <c r="AA570" t="str">
        <f t="shared" si="48"/>
        <v/>
      </c>
      <c r="AB570" t="str">
        <f t="shared" si="49"/>
        <v/>
      </c>
      <c r="AC570" t="str">
        <f t="shared" si="50"/>
        <v>628999007703</v>
      </c>
      <c r="AD570" t="str">
        <f t="shared" si="52"/>
        <v>Halo+,+Visual+AI+5S+menditeksi+Violation%3A+GUDANGACC1-LINE+6</v>
      </c>
      <c r="AE570" t="str">
        <f t="shared" si="51"/>
        <v>https://web.whatsapp.com/send/?phone=628999007703&amp;text=Halo+,+Visual+AI+5S+menditeksi+Violation%3A+GUDANGACC1-LINE+6&amp;type=phone_number&amp;app_absent=0</v>
      </c>
      <c r="AF570" t="b">
        <f>IF(ISNA(VLOOKUP(D570&amp;"-"&amp;AB570, Ref_Kontak!$A:$E, 4, FALSE)), FALSE, TRUE)</f>
        <v>0</v>
      </c>
      <c r="AG570" t="str">
        <f>_xlfn.IFNA(VLOOKUP(Z570,Ref_Kontak!H:H,1,FALSE),"FALSE")</f>
        <v>628999007703</v>
      </c>
      <c r="AH570" t="str">
        <f t="shared" si="53"/>
        <v>GUDANGACC1-LINE 6</v>
      </c>
      <c r="AI570">
        <f>COUNTIF($AH$1:AH570,AH570)</f>
        <v>14</v>
      </c>
    </row>
    <row r="571" spans="1:35">
      <c r="A571" t="s">
        <v>56</v>
      </c>
      <c r="B571" t="s">
        <v>57</v>
      </c>
      <c r="C571" t="s">
        <v>624</v>
      </c>
      <c r="D571" t="s">
        <v>570</v>
      </c>
      <c r="E571">
        <v>1</v>
      </c>
      <c r="G571" t="s">
        <v>571</v>
      </c>
      <c r="I571" t="s">
        <v>61</v>
      </c>
      <c r="Z571" t="str">
        <f>IFERROR(MID(AA571,FIND("-",H571,1)+1,20),_xlfn.IFNA(VLOOKUP(F571&amp;"-"&amp;AA571,Ref_Kontak!$A:$E,4,FALSE),Ref_Kontak!$H$2))</f>
        <v>628999007703</v>
      </c>
      <c r="AA571" t="str">
        <f t="shared" si="48"/>
        <v/>
      </c>
      <c r="AB571" t="str">
        <f t="shared" si="49"/>
        <v/>
      </c>
      <c r="AC571" t="str">
        <f t="shared" si="50"/>
        <v>628999007703</v>
      </c>
      <c r="AD571" t="str">
        <f t="shared" si="52"/>
        <v>Halo+,+Visual+AI+5S+menditeksi+Violation%3A+GUDANGACC1-LINE+11</v>
      </c>
      <c r="AE571" t="str">
        <f t="shared" si="51"/>
        <v>https://web.whatsapp.com/send/?phone=628999007703&amp;text=Halo+,+Visual+AI+5S+menditeksi+Violation%3A+GUDANGACC1-LINE+11&amp;type=phone_number&amp;app_absent=0</v>
      </c>
      <c r="AF571" t="b">
        <f>IF(ISNA(VLOOKUP(D571&amp;"-"&amp;AB571, Ref_Kontak!$A:$E, 4, FALSE)), FALSE, TRUE)</f>
        <v>0</v>
      </c>
      <c r="AG571" t="str">
        <f>_xlfn.IFNA(VLOOKUP(Z571,Ref_Kontak!H:H,1,FALSE),"FALSE")</f>
        <v>628999007703</v>
      </c>
      <c r="AH571" t="str">
        <f t="shared" si="53"/>
        <v>GUDANGACC1-LINE 11</v>
      </c>
      <c r="AI571">
        <f>COUNTIF($AH$1:AH571,AH571)</f>
        <v>51</v>
      </c>
    </row>
    <row r="572" spans="1:35">
      <c r="A572" t="s">
        <v>56</v>
      </c>
      <c r="B572" t="s">
        <v>57</v>
      </c>
      <c r="C572" t="s">
        <v>624</v>
      </c>
      <c r="D572" t="s">
        <v>609</v>
      </c>
      <c r="E572">
        <v>1</v>
      </c>
      <c r="G572" t="s">
        <v>571</v>
      </c>
      <c r="I572" t="s">
        <v>61</v>
      </c>
      <c r="Z572" t="str">
        <f>IFERROR(MID(AA572,FIND("-",H572,1)+1,20),_xlfn.IFNA(VLOOKUP(F572&amp;"-"&amp;AA572,Ref_Kontak!$A:$E,4,FALSE),Ref_Kontak!$H$2))</f>
        <v>628999007703</v>
      </c>
      <c r="AA572" t="str">
        <f t="shared" si="48"/>
        <v/>
      </c>
      <c r="AB572" t="str">
        <f t="shared" si="49"/>
        <v/>
      </c>
      <c r="AC572" t="str">
        <f t="shared" si="50"/>
        <v>628999007703</v>
      </c>
      <c r="AD572" t="str">
        <f t="shared" si="52"/>
        <v>Halo+,+Visual+AI+5S+menditeksi+Violation%3A+GUDANGACC1-LINE+6</v>
      </c>
      <c r="AE572" t="str">
        <f t="shared" si="51"/>
        <v>https://web.whatsapp.com/send/?phone=628999007703&amp;text=Halo+,+Visual+AI+5S+menditeksi+Violation%3A+GUDANGACC1-LINE+6&amp;type=phone_number&amp;app_absent=0</v>
      </c>
      <c r="AF572" t="b">
        <f>IF(ISNA(VLOOKUP(D572&amp;"-"&amp;AB572, Ref_Kontak!$A:$E, 4, FALSE)), FALSE, TRUE)</f>
        <v>0</v>
      </c>
      <c r="AG572" t="str">
        <f>_xlfn.IFNA(VLOOKUP(Z572,Ref_Kontak!H:H,1,FALSE),"FALSE")</f>
        <v>628999007703</v>
      </c>
      <c r="AH572" t="str">
        <f t="shared" si="53"/>
        <v>GUDANGACC1-LINE 6</v>
      </c>
      <c r="AI572">
        <f>COUNTIF($AH$1:AH572,AH572)</f>
        <v>15</v>
      </c>
    </row>
    <row r="573" spans="1:35">
      <c r="A573" t="s">
        <v>56</v>
      </c>
      <c r="B573" t="s">
        <v>57</v>
      </c>
      <c r="C573" t="s">
        <v>625</v>
      </c>
      <c r="D573" t="s">
        <v>570</v>
      </c>
      <c r="E573">
        <v>1</v>
      </c>
      <c r="G573" t="s">
        <v>571</v>
      </c>
      <c r="I573" t="s">
        <v>61</v>
      </c>
      <c r="Z573" t="str">
        <f>IFERROR(MID(AA573,FIND("-",H573,1)+1,20),_xlfn.IFNA(VLOOKUP(F573&amp;"-"&amp;AA573,Ref_Kontak!$A:$E,4,FALSE),Ref_Kontak!$H$2))</f>
        <v>628999007703</v>
      </c>
      <c r="AA573" t="str">
        <f t="shared" si="48"/>
        <v/>
      </c>
      <c r="AB573" t="str">
        <f t="shared" si="49"/>
        <v/>
      </c>
      <c r="AC573" t="str">
        <f t="shared" si="50"/>
        <v>628999007703</v>
      </c>
      <c r="AD573" t="str">
        <f t="shared" si="52"/>
        <v>Halo+,+Visual+AI+5S+menditeksi+Violation%3A+GUDANGACC1-LINE+11</v>
      </c>
      <c r="AE573" t="str">
        <f t="shared" si="51"/>
        <v>https://web.whatsapp.com/send/?phone=628999007703&amp;text=Halo+,+Visual+AI+5S+menditeksi+Violation%3A+GUDANGACC1-LINE+11&amp;type=phone_number&amp;app_absent=0</v>
      </c>
      <c r="AF573" t="b">
        <f>IF(ISNA(VLOOKUP(D573&amp;"-"&amp;AB573, Ref_Kontak!$A:$E, 4, FALSE)), FALSE, TRUE)</f>
        <v>0</v>
      </c>
      <c r="AG573" t="str">
        <f>_xlfn.IFNA(VLOOKUP(Z573,Ref_Kontak!H:H,1,FALSE),"FALSE")</f>
        <v>628999007703</v>
      </c>
      <c r="AH573" t="str">
        <f t="shared" si="53"/>
        <v>GUDANGACC1-LINE 11</v>
      </c>
      <c r="AI573">
        <f>COUNTIF($AH$1:AH573,AH573)</f>
        <v>52</v>
      </c>
    </row>
    <row r="574" spans="1:35">
      <c r="A574" t="s">
        <v>56</v>
      </c>
      <c r="B574" t="s">
        <v>57</v>
      </c>
      <c r="C574" t="s">
        <v>625</v>
      </c>
      <c r="D574" t="s">
        <v>609</v>
      </c>
      <c r="E574">
        <v>1</v>
      </c>
      <c r="G574" t="s">
        <v>571</v>
      </c>
      <c r="I574" t="s">
        <v>61</v>
      </c>
      <c r="Z574" t="str">
        <f>IFERROR(MID(AA574,FIND("-",H574,1)+1,20),_xlfn.IFNA(VLOOKUP(F574&amp;"-"&amp;AA574,Ref_Kontak!$A:$E,4,FALSE),Ref_Kontak!$H$2))</f>
        <v>628999007703</v>
      </c>
      <c r="AA574" t="str">
        <f t="shared" si="48"/>
        <v/>
      </c>
      <c r="AB574" t="str">
        <f t="shared" si="49"/>
        <v/>
      </c>
      <c r="AC574" t="str">
        <f t="shared" si="50"/>
        <v>628999007703</v>
      </c>
      <c r="AD574" t="str">
        <f t="shared" si="52"/>
        <v>Halo+,+Visual+AI+5S+menditeksi+Violation%3A+GUDANGACC1-LINE+6</v>
      </c>
      <c r="AE574" t="str">
        <f t="shared" si="51"/>
        <v>https://web.whatsapp.com/send/?phone=628999007703&amp;text=Halo+,+Visual+AI+5S+menditeksi+Violation%3A+GUDANGACC1-LINE+6&amp;type=phone_number&amp;app_absent=0</v>
      </c>
      <c r="AF574" t="b">
        <f>IF(ISNA(VLOOKUP(D574&amp;"-"&amp;AB574, Ref_Kontak!$A:$E, 4, FALSE)), FALSE, TRUE)</f>
        <v>0</v>
      </c>
      <c r="AG574" t="str">
        <f>_xlfn.IFNA(VLOOKUP(Z574,Ref_Kontak!H:H,1,FALSE),"FALSE")</f>
        <v>628999007703</v>
      </c>
      <c r="AH574" t="str">
        <f t="shared" si="53"/>
        <v>GUDANGACC1-LINE 6</v>
      </c>
      <c r="AI574">
        <f>COUNTIF($AH$1:AH574,AH574)</f>
        <v>16</v>
      </c>
    </row>
    <row r="575" spans="1:35">
      <c r="A575" t="s">
        <v>56</v>
      </c>
      <c r="B575" t="s">
        <v>57</v>
      </c>
      <c r="C575" t="s">
        <v>626</v>
      </c>
      <c r="D575" t="s">
        <v>570</v>
      </c>
      <c r="E575">
        <v>1</v>
      </c>
      <c r="G575" t="s">
        <v>571</v>
      </c>
      <c r="I575" t="s">
        <v>61</v>
      </c>
      <c r="Z575" t="str">
        <f>IFERROR(MID(AA575,FIND("-",H575,1)+1,20),_xlfn.IFNA(VLOOKUP(F575&amp;"-"&amp;AA575,Ref_Kontak!$A:$E,4,FALSE),Ref_Kontak!$H$2))</f>
        <v>628999007703</v>
      </c>
      <c r="AA575" t="str">
        <f t="shared" si="48"/>
        <v/>
      </c>
      <c r="AB575" t="str">
        <f t="shared" si="49"/>
        <v/>
      </c>
      <c r="AC575" t="str">
        <f t="shared" si="50"/>
        <v>628999007703</v>
      </c>
      <c r="AD575" t="str">
        <f t="shared" si="52"/>
        <v>Halo+,+Visual+AI+5S+menditeksi+Violation%3A+GUDANGACC1-LINE+11</v>
      </c>
      <c r="AE575" t="str">
        <f t="shared" si="51"/>
        <v>https://web.whatsapp.com/send/?phone=628999007703&amp;text=Halo+,+Visual+AI+5S+menditeksi+Violation%3A+GUDANGACC1-LINE+11&amp;type=phone_number&amp;app_absent=0</v>
      </c>
      <c r="AF575" t="b">
        <f>IF(ISNA(VLOOKUP(D575&amp;"-"&amp;AB575, Ref_Kontak!$A:$E, 4, FALSE)), FALSE, TRUE)</f>
        <v>0</v>
      </c>
      <c r="AG575" t="str">
        <f>_xlfn.IFNA(VLOOKUP(Z575,Ref_Kontak!H:H,1,FALSE),"FALSE")</f>
        <v>628999007703</v>
      </c>
      <c r="AH575" t="str">
        <f t="shared" si="53"/>
        <v>GUDANGACC1-LINE 11</v>
      </c>
      <c r="AI575">
        <f>COUNTIF($AH$1:AH575,AH575)</f>
        <v>53</v>
      </c>
    </row>
    <row r="576" spans="1:35">
      <c r="A576" t="s">
        <v>56</v>
      </c>
      <c r="B576" t="s">
        <v>57</v>
      </c>
      <c r="C576" t="s">
        <v>626</v>
      </c>
      <c r="D576" t="s">
        <v>627</v>
      </c>
      <c r="E576">
        <v>1</v>
      </c>
      <c r="G576" t="s">
        <v>571</v>
      </c>
      <c r="I576" t="s">
        <v>61</v>
      </c>
      <c r="K576" t="s">
        <v>628</v>
      </c>
      <c r="Z576" t="str">
        <f>IFERROR(MID(AA576,FIND("-",H576,1)+1,20),_xlfn.IFNA(VLOOKUP(F576&amp;"-"&amp;AA576,Ref_Kontak!$A:$E,4,FALSE),Ref_Kontak!$H$2))</f>
        <v>628999007703</v>
      </c>
      <c r="AA576" t="str">
        <f t="shared" si="48"/>
        <v/>
      </c>
      <c r="AB576" t="str">
        <f t="shared" si="49"/>
        <v/>
      </c>
      <c r="AC576" t="str">
        <f t="shared" si="50"/>
        <v>628999007703</v>
      </c>
      <c r="AD576" t="str">
        <f t="shared" si="52"/>
        <v>Halo+,+Visual+AI+5S+menditeksi+Violation%3A+GUDANGACC1-LINE+5</v>
      </c>
      <c r="AE576" t="str">
        <f t="shared" si="51"/>
        <v>https://web.whatsapp.com/send/?phone=628999007703&amp;text=Halo+,+Visual+AI+5S+menditeksi+Violation%3A+GUDANGACC1-LINE+5&amp;type=phone_number&amp;app_absent=0</v>
      </c>
      <c r="AF576" t="b">
        <f>IF(ISNA(VLOOKUP(D576&amp;"-"&amp;AB576, Ref_Kontak!$A:$E, 4, FALSE)), FALSE, TRUE)</f>
        <v>0</v>
      </c>
      <c r="AG576" t="str">
        <f>_xlfn.IFNA(VLOOKUP(Z576,Ref_Kontak!H:H,1,FALSE),"FALSE")</f>
        <v>628999007703</v>
      </c>
      <c r="AH576" t="str">
        <f t="shared" si="53"/>
        <v>GUDANGACC1-LINE 5</v>
      </c>
      <c r="AI576">
        <f>COUNTIF($AH$1:AH576,AH576)</f>
        <v>1</v>
      </c>
    </row>
    <row r="577" spans="1:35">
      <c r="A577" t="s">
        <v>56</v>
      </c>
      <c r="B577" t="s">
        <v>57</v>
      </c>
      <c r="C577" t="s">
        <v>626</v>
      </c>
      <c r="D577" t="s">
        <v>609</v>
      </c>
      <c r="E577">
        <v>1</v>
      </c>
      <c r="G577" t="s">
        <v>571</v>
      </c>
      <c r="I577" t="s">
        <v>61</v>
      </c>
      <c r="Z577" t="str">
        <f>IFERROR(MID(AA577,FIND("-",H577,1)+1,20),_xlfn.IFNA(VLOOKUP(F577&amp;"-"&amp;AA577,Ref_Kontak!$A:$E,4,FALSE),Ref_Kontak!$H$2))</f>
        <v>628999007703</v>
      </c>
      <c r="AA577" t="str">
        <f t="shared" si="48"/>
        <v/>
      </c>
      <c r="AB577" t="str">
        <f t="shared" si="49"/>
        <v/>
      </c>
      <c r="AC577" t="str">
        <f t="shared" si="50"/>
        <v>628999007703</v>
      </c>
      <c r="AD577" t="str">
        <f t="shared" si="52"/>
        <v>Halo+,+Visual+AI+5S+menditeksi+Violation%3A+GUDANGACC1-LINE+6</v>
      </c>
      <c r="AE577" t="str">
        <f t="shared" si="51"/>
        <v>https://web.whatsapp.com/send/?phone=628999007703&amp;text=Halo+,+Visual+AI+5S+menditeksi+Violation%3A+GUDANGACC1-LINE+6&amp;type=phone_number&amp;app_absent=0</v>
      </c>
      <c r="AF577" t="b">
        <f>IF(ISNA(VLOOKUP(D577&amp;"-"&amp;AB577, Ref_Kontak!$A:$E, 4, FALSE)), FALSE, TRUE)</f>
        <v>0</v>
      </c>
      <c r="AG577" t="str">
        <f>_xlfn.IFNA(VLOOKUP(Z577,Ref_Kontak!H:H,1,FALSE),"FALSE")</f>
        <v>628999007703</v>
      </c>
      <c r="AH577" t="str">
        <f t="shared" si="53"/>
        <v>GUDANGACC1-LINE 6</v>
      </c>
      <c r="AI577">
        <f>COUNTIF($AH$1:AH577,AH577)</f>
        <v>17</v>
      </c>
    </row>
    <row r="578" spans="1:35">
      <c r="A578" t="s">
        <v>56</v>
      </c>
      <c r="B578" t="s">
        <v>57</v>
      </c>
      <c r="C578" t="s">
        <v>629</v>
      </c>
      <c r="D578" t="s">
        <v>570</v>
      </c>
      <c r="E578">
        <v>1</v>
      </c>
      <c r="G578" t="s">
        <v>571</v>
      </c>
      <c r="I578" t="s">
        <v>61</v>
      </c>
      <c r="Z578" t="str">
        <f>IFERROR(MID(AA578,FIND("-",H578,1)+1,20),_xlfn.IFNA(VLOOKUP(F578&amp;"-"&amp;AA578,Ref_Kontak!$A:$E,4,FALSE),Ref_Kontak!$H$2))</f>
        <v>628999007703</v>
      </c>
      <c r="AA578" t="str">
        <f t="shared" ref="AA578:AA641" si="54">CLEAN(SUBSTITUTE(H578," ",""))</f>
        <v/>
      </c>
      <c r="AB578" t="str">
        <f t="shared" ref="AB578:AB641" si="55">IFERROR(LEFT(AA578,FIND("-",H578,1)-1),CLEAN(SUBSTITUTE(SUBSTITUTE(H578," ",""),"-","")))</f>
        <v/>
      </c>
      <c r="AC578" t="str">
        <f t="shared" ref="AC578:AC641" si="56">IF(LEFT(Z578,1)="0","62"&amp; MID(Z578,2,999),Z578)</f>
        <v>628999007703</v>
      </c>
      <c r="AD578" t="str">
        <f t="shared" si="52"/>
        <v>Halo+,+Visual+AI+5S+menditeksi+Violation%3A+GUDANGACC1-LINE+11</v>
      </c>
      <c r="AE578" t="str">
        <f t="shared" ref="AE578:AE641" si="57">"https://web.whatsapp.com/send/?phone="&amp;AC578&amp;"&amp;text="&amp;AD578&amp;"&amp;type=phone_number&amp;app_absent=0"</f>
        <v>https://web.whatsapp.com/send/?phone=628999007703&amp;text=Halo+,+Visual+AI+5S+menditeksi+Violation%3A+GUDANGACC1-LINE+11&amp;type=phone_number&amp;app_absent=0</v>
      </c>
      <c r="AF578" t="b">
        <f>IF(ISNA(VLOOKUP(D578&amp;"-"&amp;AB578, Ref_Kontak!$A:$E, 4, FALSE)), FALSE, TRUE)</f>
        <v>0</v>
      </c>
      <c r="AG578" t="str">
        <f>_xlfn.IFNA(VLOOKUP(Z578,Ref_Kontak!H:H,1,FALSE),"FALSE")</f>
        <v>628999007703</v>
      </c>
      <c r="AH578" t="str">
        <f t="shared" si="53"/>
        <v>GUDANGACC1-LINE 11</v>
      </c>
      <c r="AI578">
        <f>COUNTIF($AH$1:AH578,AH578)</f>
        <v>54</v>
      </c>
    </row>
    <row r="579" spans="1:35">
      <c r="A579" t="s">
        <v>56</v>
      </c>
      <c r="B579" t="s">
        <v>57</v>
      </c>
      <c r="C579" t="s">
        <v>629</v>
      </c>
      <c r="D579" t="s">
        <v>627</v>
      </c>
      <c r="E579">
        <v>1</v>
      </c>
      <c r="G579" t="s">
        <v>571</v>
      </c>
      <c r="I579" t="s">
        <v>61</v>
      </c>
      <c r="Z579" t="str">
        <f>IFERROR(MID(AA579,FIND("-",H579,1)+1,20),_xlfn.IFNA(VLOOKUP(F579&amp;"-"&amp;AA579,Ref_Kontak!$A:$E,4,FALSE),Ref_Kontak!$H$2))</f>
        <v>628999007703</v>
      </c>
      <c r="AA579" t="str">
        <f t="shared" si="54"/>
        <v/>
      </c>
      <c r="AB579" t="str">
        <f t="shared" si="55"/>
        <v/>
      </c>
      <c r="AC579" t="str">
        <f t="shared" si="56"/>
        <v>628999007703</v>
      </c>
      <c r="AD579" t="str">
        <f t="shared" ref="AD579:AD642" si="58">"Halo+"&amp;AB579&amp;","&amp;"+Visual+AI+5S+menditeksi+Violation%3A+"&amp;SUBSTITUTE(AH579," ","+")</f>
        <v>Halo+,+Visual+AI+5S+menditeksi+Violation%3A+GUDANGACC1-LINE+5</v>
      </c>
      <c r="AE579" t="str">
        <f t="shared" si="57"/>
        <v>https://web.whatsapp.com/send/?phone=628999007703&amp;text=Halo+,+Visual+AI+5S+menditeksi+Violation%3A+GUDANGACC1-LINE+5&amp;type=phone_number&amp;app_absent=0</v>
      </c>
      <c r="AF579" t="b">
        <f>IF(ISNA(VLOOKUP(D579&amp;"-"&amp;AB579, Ref_Kontak!$A:$E, 4, FALSE)), FALSE, TRUE)</f>
        <v>0</v>
      </c>
      <c r="AG579" t="str">
        <f>_xlfn.IFNA(VLOOKUP(Z579,Ref_Kontak!H:H,1,FALSE),"FALSE")</f>
        <v>628999007703</v>
      </c>
      <c r="AH579" t="str">
        <f t="shared" ref="AH579:AH642" si="59">G579&amp;"-"&amp;D579</f>
        <v>GUDANGACC1-LINE 5</v>
      </c>
      <c r="AI579">
        <f>COUNTIF($AH$1:AH579,AH579)</f>
        <v>2</v>
      </c>
    </row>
    <row r="580" spans="1:35">
      <c r="A580" t="s">
        <v>56</v>
      </c>
      <c r="B580" t="s">
        <v>57</v>
      </c>
      <c r="C580" t="s">
        <v>629</v>
      </c>
      <c r="D580" t="s">
        <v>609</v>
      </c>
      <c r="E580">
        <v>1</v>
      </c>
      <c r="G580" t="s">
        <v>571</v>
      </c>
      <c r="I580" t="s">
        <v>61</v>
      </c>
      <c r="Z580" t="str">
        <f>IFERROR(MID(AA580,FIND("-",H580,1)+1,20),_xlfn.IFNA(VLOOKUP(F580&amp;"-"&amp;AA580,Ref_Kontak!$A:$E,4,FALSE),Ref_Kontak!$H$2))</f>
        <v>628999007703</v>
      </c>
      <c r="AA580" t="str">
        <f t="shared" si="54"/>
        <v/>
      </c>
      <c r="AB580" t="str">
        <f t="shared" si="55"/>
        <v/>
      </c>
      <c r="AC580" t="str">
        <f t="shared" si="56"/>
        <v>628999007703</v>
      </c>
      <c r="AD580" t="str">
        <f t="shared" si="58"/>
        <v>Halo+,+Visual+AI+5S+menditeksi+Violation%3A+GUDANGACC1-LINE+6</v>
      </c>
      <c r="AE580" t="str">
        <f t="shared" si="57"/>
        <v>https://web.whatsapp.com/send/?phone=628999007703&amp;text=Halo+,+Visual+AI+5S+menditeksi+Violation%3A+GUDANGACC1-LINE+6&amp;type=phone_number&amp;app_absent=0</v>
      </c>
      <c r="AF580" t="b">
        <f>IF(ISNA(VLOOKUP(D580&amp;"-"&amp;AB580, Ref_Kontak!$A:$E, 4, FALSE)), FALSE, TRUE)</f>
        <v>0</v>
      </c>
      <c r="AG580" t="str">
        <f>_xlfn.IFNA(VLOOKUP(Z580,Ref_Kontak!H:H,1,FALSE),"FALSE")</f>
        <v>628999007703</v>
      </c>
      <c r="AH580" t="str">
        <f t="shared" si="59"/>
        <v>GUDANGACC1-LINE 6</v>
      </c>
      <c r="AI580">
        <f>COUNTIF($AH$1:AH580,AH580)</f>
        <v>18</v>
      </c>
    </row>
    <row r="581" spans="1:35">
      <c r="A581" t="s">
        <v>56</v>
      </c>
      <c r="B581" t="s">
        <v>57</v>
      </c>
      <c r="C581" t="s">
        <v>630</v>
      </c>
      <c r="D581" t="s">
        <v>570</v>
      </c>
      <c r="E581">
        <v>1</v>
      </c>
      <c r="G581" t="s">
        <v>571</v>
      </c>
      <c r="I581" t="s">
        <v>61</v>
      </c>
      <c r="Z581" t="str">
        <f>IFERROR(MID(AA581,FIND("-",H581,1)+1,20),_xlfn.IFNA(VLOOKUP(F581&amp;"-"&amp;AA581,Ref_Kontak!$A:$E,4,FALSE),Ref_Kontak!$H$2))</f>
        <v>628999007703</v>
      </c>
      <c r="AA581" t="str">
        <f t="shared" si="54"/>
        <v/>
      </c>
      <c r="AB581" t="str">
        <f t="shared" si="55"/>
        <v/>
      </c>
      <c r="AC581" t="str">
        <f t="shared" si="56"/>
        <v>628999007703</v>
      </c>
      <c r="AD581" t="str">
        <f t="shared" si="58"/>
        <v>Halo+,+Visual+AI+5S+menditeksi+Violation%3A+GUDANGACC1-LINE+11</v>
      </c>
      <c r="AE581" t="str">
        <f t="shared" si="57"/>
        <v>https://web.whatsapp.com/send/?phone=628999007703&amp;text=Halo+,+Visual+AI+5S+menditeksi+Violation%3A+GUDANGACC1-LINE+11&amp;type=phone_number&amp;app_absent=0</v>
      </c>
      <c r="AF581" t="b">
        <f>IF(ISNA(VLOOKUP(D581&amp;"-"&amp;AB581, Ref_Kontak!$A:$E, 4, FALSE)), FALSE, TRUE)</f>
        <v>0</v>
      </c>
      <c r="AG581" t="str">
        <f>_xlfn.IFNA(VLOOKUP(Z581,Ref_Kontak!H:H,1,FALSE),"FALSE")</f>
        <v>628999007703</v>
      </c>
      <c r="AH581" t="str">
        <f t="shared" si="59"/>
        <v>GUDANGACC1-LINE 11</v>
      </c>
      <c r="AI581">
        <f>COUNTIF($AH$1:AH581,AH581)</f>
        <v>55</v>
      </c>
    </row>
    <row r="582" spans="1:35">
      <c r="A582" t="s">
        <v>56</v>
      </c>
      <c r="B582" t="s">
        <v>57</v>
      </c>
      <c r="C582" t="s">
        <v>630</v>
      </c>
      <c r="D582" t="s">
        <v>627</v>
      </c>
      <c r="E582">
        <v>1</v>
      </c>
      <c r="G582" t="s">
        <v>571</v>
      </c>
      <c r="I582" t="s">
        <v>61</v>
      </c>
      <c r="Z582" t="str">
        <f>IFERROR(MID(AA582,FIND("-",H582,1)+1,20),_xlfn.IFNA(VLOOKUP(F582&amp;"-"&amp;AA582,Ref_Kontak!$A:$E,4,FALSE),Ref_Kontak!$H$2))</f>
        <v>628999007703</v>
      </c>
      <c r="AA582" t="str">
        <f t="shared" si="54"/>
        <v/>
      </c>
      <c r="AB582" t="str">
        <f t="shared" si="55"/>
        <v/>
      </c>
      <c r="AC582" t="str">
        <f t="shared" si="56"/>
        <v>628999007703</v>
      </c>
      <c r="AD582" t="str">
        <f t="shared" si="58"/>
        <v>Halo+,+Visual+AI+5S+menditeksi+Violation%3A+GUDANGACC1-LINE+5</v>
      </c>
      <c r="AE582" t="str">
        <f t="shared" si="57"/>
        <v>https://web.whatsapp.com/send/?phone=628999007703&amp;text=Halo+,+Visual+AI+5S+menditeksi+Violation%3A+GUDANGACC1-LINE+5&amp;type=phone_number&amp;app_absent=0</v>
      </c>
      <c r="AF582" t="b">
        <f>IF(ISNA(VLOOKUP(D582&amp;"-"&amp;AB582, Ref_Kontak!$A:$E, 4, FALSE)), FALSE, TRUE)</f>
        <v>0</v>
      </c>
      <c r="AG582" t="str">
        <f>_xlfn.IFNA(VLOOKUP(Z582,Ref_Kontak!H:H,1,FALSE),"FALSE")</f>
        <v>628999007703</v>
      </c>
      <c r="AH582" t="str">
        <f t="shared" si="59"/>
        <v>GUDANGACC1-LINE 5</v>
      </c>
      <c r="AI582">
        <f>COUNTIF($AH$1:AH582,AH582)</f>
        <v>3</v>
      </c>
    </row>
    <row r="583" spans="1:35">
      <c r="A583" t="s">
        <v>56</v>
      </c>
      <c r="B583" t="s">
        <v>57</v>
      </c>
      <c r="C583" t="s">
        <v>630</v>
      </c>
      <c r="D583" t="s">
        <v>609</v>
      </c>
      <c r="E583">
        <v>1</v>
      </c>
      <c r="G583" t="s">
        <v>571</v>
      </c>
      <c r="I583" t="s">
        <v>61</v>
      </c>
      <c r="Z583" t="str">
        <f>IFERROR(MID(AA583,FIND("-",H583,1)+1,20),_xlfn.IFNA(VLOOKUP(F583&amp;"-"&amp;AA583,Ref_Kontak!$A:$E,4,FALSE),Ref_Kontak!$H$2))</f>
        <v>628999007703</v>
      </c>
      <c r="AA583" t="str">
        <f t="shared" si="54"/>
        <v/>
      </c>
      <c r="AB583" t="str">
        <f t="shared" si="55"/>
        <v/>
      </c>
      <c r="AC583" t="str">
        <f t="shared" si="56"/>
        <v>628999007703</v>
      </c>
      <c r="AD583" t="str">
        <f t="shared" si="58"/>
        <v>Halo+,+Visual+AI+5S+menditeksi+Violation%3A+GUDANGACC1-LINE+6</v>
      </c>
      <c r="AE583" t="str">
        <f t="shared" si="57"/>
        <v>https://web.whatsapp.com/send/?phone=628999007703&amp;text=Halo+,+Visual+AI+5S+menditeksi+Violation%3A+GUDANGACC1-LINE+6&amp;type=phone_number&amp;app_absent=0</v>
      </c>
      <c r="AF583" t="b">
        <f>IF(ISNA(VLOOKUP(D583&amp;"-"&amp;AB583, Ref_Kontak!$A:$E, 4, FALSE)), FALSE, TRUE)</f>
        <v>0</v>
      </c>
      <c r="AG583" t="str">
        <f>_xlfn.IFNA(VLOOKUP(Z583,Ref_Kontak!H:H,1,FALSE),"FALSE")</f>
        <v>628999007703</v>
      </c>
      <c r="AH583" t="str">
        <f t="shared" si="59"/>
        <v>GUDANGACC1-LINE 6</v>
      </c>
      <c r="AI583">
        <f>COUNTIF($AH$1:AH583,AH583)</f>
        <v>19</v>
      </c>
    </row>
    <row r="584" spans="1:35">
      <c r="A584" t="s">
        <v>56</v>
      </c>
      <c r="B584" t="s">
        <v>57</v>
      </c>
      <c r="C584" t="s">
        <v>631</v>
      </c>
      <c r="D584" t="s">
        <v>570</v>
      </c>
      <c r="E584">
        <v>1</v>
      </c>
      <c r="G584" t="s">
        <v>571</v>
      </c>
      <c r="I584" t="s">
        <v>61</v>
      </c>
      <c r="Z584" t="str">
        <f>IFERROR(MID(AA584,FIND("-",H584,1)+1,20),_xlfn.IFNA(VLOOKUP(F584&amp;"-"&amp;AA584,Ref_Kontak!$A:$E,4,FALSE),Ref_Kontak!$H$2))</f>
        <v>628999007703</v>
      </c>
      <c r="AA584" t="str">
        <f t="shared" si="54"/>
        <v/>
      </c>
      <c r="AB584" t="str">
        <f t="shared" si="55"/>
        <v/>
      </c>
      <c r="AC584" t="str">
        <f t="shared" si="56"/>
        <v>628999007703</v>
      </c>
      <c r="AD584" t="str">
        <f t="shared" si="58"/>
        <v>Halo+,+Visual+AI+5S+menditeksi+Violation%3A+GUDANGACC1-LINE+11</v>
      </c>
      <c r="AE584" t="str">
        <f t="shared" si="57"/>
        <v>https://web.whatsapp.com/send/?phone=628999007703&amp;text=Halo+,+Visual+AI+5S+menditeksi+Violation%3A+GUDANGACC1-LINE+11&amp;type=phone_number&amp;app_absent=0</v>
      </c>
      <c r="AF584" t="b">
        <f>IF(ISNA(VLOOKUP(D584&amp;"-"&amp;AB584, Ref_Kontak!$A:$E, 4, FALSE)), FALSE, TRUE)</f>
        <v>0</v>
      </c>
      <c r="AG584" t="str">
        <f>_xlfn.IFNA(VLOOKUP(Z584,Ref_Kontak!H:H,1,FALSE),"FALSE")</f>
        <v>628999007703</v>
      </c>
      <c r="AH584" t="str">
        <f t="shared" si="59"/>
        <v>GUDANGACC1-LINE 11</v>
      </c>
      <c r="AI584">
        <f>COUNTIF($AH$1:AH584,AH584)</f>
        <v>56</v>
      </c>
    </row>
    <row r="585" spans="1:35">
      <c r="A585" t="s">
        <v>56</v>
      </c>
      <c r="B585" t="s">
        <v>57</v>
      </c>
      <c r="C585" t="s">
        <v>631</v>
      </c>
      <c r="D585" t="s">
        <v>627</v>
      </c>
      <c r="E585">
        <v>1</v>
      </c>
      <c r="G585" t="s">
        <v>571</v>
      </c>
      <c r="I585" t="s">
        <v>61</v>
      </c>
      <c r="Z585" t="str">
        <f>IFERROR(MID(AA585,FIND("-",H585,1)+1,20),_xlfn.IFNA(VLOOKUP(F585&amp;"-"&amp;AA585,Ref_Kontak!$A:$E,4,FALSE),Ref_Kontak!$H$2))</f>
        <v>628999007703</v>
      </c>
      <c r="AA585" t="str">
        <f t="shared" si="54"/>
        <v/>
      </c>
      <c r="AB585" t="str">
        <f t="shared" si="55"/>
        <v/>
      </c>
      <c r="AC585" t="str">
        <f t="shared" si="56"/>
        <v>628999007703</v>
      </c>
      <c r="AD585" t="str">
        <f t="shared" si="58"/>
        <v>Halo+,+Visual+AI+5S+menditeksi+Violation%3A+GUDANGACC1-LINE+5</v>
      </c>
      <c r="AE585" t="str">
        <f t="shared" si="57"/>
        <v>https://web.whatsapp.com/send/?phone=628999007703&amp;text=Halo+,+Visual+AI+5S+menditeksi+Violation%3A+GUDANGACC1-LINE+5&amp;type=phone_number&amp;app_absent=0</v>
      </c>
      <c r="AF585" t="b">
        <f>IF(ISNA(VLOOKUP(D585&amp;"-"&amp;AB585, Ref_Kontak!$A:$E, 4, FALSE)), FALSE, TRUE)</f>
        <v>0</v>
      </c>
      <c r="AG585" t="str">
        <f>_xlfn.IFNA(VLOOKUP(Z585,Ref_Kontak!H:H,1,FALSE),"FALSE")</f>
        <v>628999007703</v>
      </c>
      <c r="AH585" t="str">
        <f t="shared" si="59"/>
        <v>GUDANGACC1-LINE 5</v>
      </c>
      <c r="AI585">
        <f>COUNTIF($AH$1:AH585,AH585)</f>
        <v>4</v>
      </c>
    </row>
    <row r="586" spans="1:35">
      <c r="A586" t="s">
        <v>56</v>
      </c>
      <c r="B586" t="s">
        <v>57</v>
      </c>
      <c r="C586" t="s">
        <v>631</v>
      </c>
      <c r="D586" t="s">
        <v>609</v>
      </c>
      <c r="E586">
        <v>1</v>
      </c>
      <c r="G586" t="s">
        <v>571</v>
      </c>
      <c r="I586" t="s">
        <v>61</v>
      </c>
      <c r="Z586" t="str">
        <f>IFERROR(MID(AA586,FIND("-",H586,1)+1,20),_xlfn.IFNA(VLOOKUP(F586&amp;"-"&amp;AA586,Ref_Kontak!$A:$E,4,FALSE),Ref_Kontak!$H$2))</f>
        <v>628999007703</v>
      </c>
      <c r="AA586" t="str">
        <f t="shared" si="54"/>
        <v/>
      </c>
      <c r="AB586" t="str">
        <f t="shared" si="55"/>
        <v/>
      </c>
      <c r="AC586" t="str">
        <f t="shared" si="56"/>
        <v>628999007703</v>
      </c>
      <c r="AD586" t="str">
        <f t="shared" si="58"/>
        <v>Halo+,+Visual+AI+5S+menditeksi+Violation%3A+GUDANGACC1-LINE+6</v>
      </c>
      <c r="AE586" t="str">
        <f t="shared" si="57"/>
        <v>https://web.whatsapp.com/send/?phone=628999007703&amp;text=Halo+,+Visual+AI+5S+menditeksi+Violation%3A+GUDANGACC1-LINE+6&amp;type=phone_number&amp;app_absent=0</v>
      </c>
      <c r="AF586" t="b">
        <f>IF(ISNA(VLOOKUP(D586&amp;"-"&amp;AB586, Ref_Kontak!$A:$E, 4, FALSE)), FALSE, TRUE)</f>
        <v>0</v>
      </c>
      <c r="AG586" t="str">
        <f>_xlfn.IFNA(VLOOKUP(Z586,Ref_Kontak!H:H,1,FALSE),"FALSE")</f>
        <v>628999007703</v>
      </c>
      <c r="AH586" t="str">
        <f t="shared" si="59"/>
        <v>GUDANGACC1-LINE 6</v>
      </c>
      <c r="AI586">
        <f>COUNTIF($AH$1:AH586,AH586)</f>
        <v>20</v>
      </c>
    </row>
    <row r="587" spans="1:35">
      <c r="A587" t="s">
        <v>56</v>
      </c>
      <c r="B587" t="s">
        <v>57</v>
      </c>
      <c r="C587" t="s">
        <v>632</v>
      </c>
      <c r="D587" t="s">
        <v>570</v>
      </c>
      <c r="E587">
        <v>1</v>
      </c>
      <c r="G587" t="s">
        <v>571</v>
      </c>
      <c r="I587" t="s">
        <v>61</v>
      </c>
      <c r="Z587" t="str">
        <f>IFERROR(MID(AA587,FIND("-",H587,1)+1,20),_xlfn.IFNA(VLOOKUP(F587&amp;"-"&amp;AA587,Ref_Kontak!$A:$E,4,FALSE),Ref_Kontak!$H$2))</f>
        <v>628999007703</v>
      </c>
      <c r="AA587" t="str">
        <f t="shared" si="54"/>
        <v/>
      </c>
      <c r="AB587" t="str">
        <f t="shared" si="55"/>
        <v/>
      </c>
      <c r="AC587" t="str">
        <f t="shared" si="56"/>
        <v>628999007703</v>
      </c>
      <c r="AD587" t="str">
        <f t="shared" si="58"/>
        <v>Halo+,+Visual+AI+5S+menditeksi+Violation%3A+GUDANGACC1-LINE+11</v>
      </c>
      <c r="AE587" t="str">
        <f t="shared" si="57"/>
        <v>https://web.whatsapp.com/send/?phone=628999007703&amp;text=Halo+,+Visual+AI+5S+menditeksi+Violation%3A+GUDANGACC1-LINE+11&amp;type=phone_number&amp;app_absent=0</v>
      </c>
      <c r="AF587" t="b">
        <f>IF(ISNA(VLOOKUP(D587&amp;"-"&amp;AB587, Ref_Kontak!$A:$E, 4, FALSE)), FALSE, TRUE)</f>
        <v>0</v>
      </c>
      <c r="AG587" t="str">
        <f>_xlfn.IFNA(VLOOKUP(Z587,Ref_Kontak!H:H,1,FALSE),"FALSE")</f>
        <v>628999007703</v>
      </c>
      <c r="AH587" t="str">
        <f t="shared" si="59"/>
        <v>GUDANGACC1-LINE 11</v>
      </c>
      <c r="AI587">
        <f>COUNTIF($AH$1:AH587,AH587)</f>
        <v>57</v>
      </c>
    </row>
    <row r="588" spans="1:35">
      <c r="A588" t="s">
        <v>56</v>
      </c>
      <c r="B588" t="s">
        <v>57</v>
      </c>
      <c r="C588" t="s">
        <v>632</v>
      </c>
      <c r="D588" t="s">
        <v>627</v>
      </c>
      <c r="E588">
        <v>1</v>
      </c>
      <c r="G588" t="s">
        <v>571</v>
      </c>
      <c r="I588" t="s">
        <v>61</v>
      </c>
      <c r="Z588" t="str">
        <f>IFERROR(MID(AA588,FIND("-",H588,1)+1,20),_xlfn.IFNA(VLOOKUP(F588&amp;"-"&amp;AA588,Ref_Kontak!$A:$E,4,FALSE),Ref_Kontak!$H$2))</f>
        <v>628999007703</v>
      </c>
      <c r="AA588" t="str">
        <f t="shared" si="54"/>
        <v/>
      </c>
      <c r="AB588" t="str">
        <f t="shared" si="55"/>
        <v/>
      </c>
      <c r="AC588" t="str">
        <f t="shared" si="56"/>
        <v>628999007703</v>
      </c>
      <c r="AD588" t="str">
        <f t="shared" si="58"/>
        <v>Halo+,+Visual+AI+5S+menditeksi+Violation%3A+GUDANGACC1-LINE+5</v>
      </c>
      <c r="AE588" t="str">
        <f t="shared" si="57"/>
        <v>https://web.whatsapp.com/send/?phone=628999007703&amp;text=Halo+,+Visual+AI+5S+menditeksi+Violation%3A+GUDANGACC1-LINE+5&amp;type=phone_number&amp;app_absent=0</v>
      </c>
      <c r="AF588" t="b">
        <f>IF(ISNA(VLOOKUP(D588&amp;"-"&amp;AB588, Ref_Kontak!$A:$E, 4, FALSE)), FALSE, TRUE)</f>
        <v>0</v>
      </c>
      <c r="AG588" t="str">
        <f>_xlfn.IFNA(VLOOKUP(Z588,Ref_Kontak!H:H,1,FALSE),"FALSE")</f>
        <v>628999007703</v>
      </c>
      <c r="AH588" t="str">
        <f t="shared" si="59"/>
        <v>GUDANGACC1-LINE 5</v>
      </c>
      <c r="AI588">
        <f>COUNTIF($AH$1:AH588,AH588)</f>
        <v>5</v>
      </c>
    </row>
    <row r="589" spans="1:35">
      <c r="A589" t="s">
        <v>56</v>
      </c>
      <c r="B589" t="s">
        <v>57</v>
      </c>
      <c r="C589" t="s">
        <v>632</v>
      </c>
      <c r="D589" t="s">
        <v>609</v>
      </c>
      <c r="E589">
        <v>1</v>
      </c>
      <c r="G589" t="s">
        <v>571</v>
      </c>
      <c r="I589" t="s">
        <v>61</v>
      </c>
      <c r="Z589" t="str">
        <f>IFERROR(MID(AA589,FIND("-",H589,1)+1,20),_xlfn.IFNA(VLOOKUP(F589&amp;"-"&amp;AA589,Ref_Kontak!$A:$E,4,FALSE),Ref_Kontak!$H$2))</f>
        <v>628999007703</v>
      </c>
      <c r="AA589" t="str">
        <f t="shared" si="54"/>
        <v/>
      </c>
      <c r="AB589" t="str">
        <f t="shared" si="55"/>
        <v/>
      </c>
      <c r="AC589" t="str">
        <f t="shared" si="56"/>
        <v>628999007703</v>
      </c>
      <c r="AD589" t="str">
        <f t="shared" si="58"/>
        <v>Halo+,+Visual+AI+5S+menditeksi+Violation%3A+GUDANGACC1-LINE+6</v>
      </c>
      <c r="AE589" t="str">
        <f t="shared" si="57"/>
        <v>https://web.whatsapp.com/send/?phone=628999007703&amp;text=Halo+,+Visual+AI+5S+menditeksi+Violation%3A+GUDANGACC1-LINE+6&amp;type=phone_number&amp;app_absent=0</v>
      </c>
      <c r="AF589" t="b">
        <f>IF(ISNA(VLOOKUP(D589&amp;"-"&amp;AB589, Ref_Kontak!$A:$E, 4, FALSE)), FALSE, TRUE)</f>
        <v>0</v>
      </c>
      <c r="AG589" t="str">
        <f>_xlfn.IFNA(VLOOKUP(Z589,Ref_Kontak!H:H,1,FALSE),"FALSE")</f>
        <v>628999007703</v>
      </c>
      <c r="AH589" t="str">
        <f t="shared" si="59"/>
        <v>GUDANGACC1-LINE 6</v>
      </c>
      <c r="AI589">
        <f>COUNTIF($AH$1:AH589,AH589)</f>
        <v>21</v>
      </c>
    </row>
    <row r="590" spans="1:35">
      <c r="A590" t="s">
        <v>56</v>
      </c>
      <c r="B590" t="s">
        <v>57</v>
      </c>
      <c r="C590" t="s">
        <v>633</v>
      </c>
      <c r="D590" t="s">
        <v>570</v>
      </c>
      <c r="E590">
        <v>1</v>
      </c>
      <c r="G590" t="s">
        <v>571</v>
      </c>
      <c r="I590" t="s">
        <v>61</v>
      </c>
      <c r="Z590" t="str">
        <f>IFERROR(MID(AA590,FIND("-",H590,1)+1,20),_xlfn.IFNA(VLOOKUP(F590&amp;"-"&amp;AA590,Ref_Kontak!$A:$E,4,FALSE),Ref_Kontak!$H$2))</f>
        <v>628999007703</v>
      </c>
      <c r="AA590" t="str">
        <f t="shared" si="54"/>
        <v/>
      </c>
      <c r="AB590" t="str">
        <f t="shared" si="55"/>
        <v/>
      </c>
      <c r="AC590" t="str">
        <f t="shared" si="56"/>
        <v>628999007703</v>
      </c>
      <c r="AD590" t="str">
        <f t="shared" si="58"/>
        <v>Halo+,+Visual+AI+5S+menditeksi+Violation%3A+GUDANGACC1-LINE+11</v>
      </c>
      <c r="AE590" t="str">
        <f t="shared" si="57"/>
        <v>https://web.whatsapp.com/send/?phone=628999007703&amp;text=Halo+,+Visual+AI+5S+menditeksi+Violation%3A+GUDANGACC1-LINE+11&amp;type=phone_number&amp;app_absent=0</v>
      </c>
      <c r="AF590" t="b">
        <f>IF(ISNA(VLOOKUP(D590&amp;"-"&amp;AB590, Ref_Kontak!$A:$E, 4, FALSE)), FALSE, TRUE)</f>
        <v>0</v>
      </c>
      <c r="AG590" t="str">
        <f>_xlfn.IFNA(VLOOKUP(Z590,Ref_Kontak!H:H,1,FALSE),"FALSE")</f>
        <v>628999007703</v>
      </c>
      <c r="AH590" t="str">
        <f t="shared" si="59"/>
        <v>GUDANGACC1-LINE 11</v>
      </c>
      <c r="AI590">
        <f>COUNTIF($AH$1:AH590,AH590)</f>
        <v>58</v>
      </c>
    </row>
    <row r="591" spans="1:35">
      <c r="A591" t="s">
        <v>56</v>
      </c>
      <c r="B591" t="s">
        <v>57</v>
      </c>
      <c r="C591" t="s">
        <v>633</v>
      </c>
      <c r="D591" t="s">
        <v>627</v>
      </c>
      <c r="E591">
        <v>1</v>
      </c>
      <c r="G591" t="s">
        <v>571</v>
      </c>
      <c r="I591" t="s">
        <v>61</v>
      </c>
      <c r="Z591" t="str">
        <f>IFERROR(MID(AA591,FIND("-",H591,1)+1,20),_xlfn.IFNA(VLOOKUP(F591&amp;"-"&amp;AA591,Ref_Kontak!$A:$E,4,FALSE),Ref_Kontak!$H$2))</f>
        <v>628999007703</v>
      </c>
      <c r="AA591" t="str">
        <f t="shared" si="54"/>
        <v/>
      </c>
      <c r="AB591" t="str">
        <f t="shared" si="55"/>
        <v/>
      </c>
      <c r="AC591" t="str">
        <f t="shared" si="56"/>
        <v>628999007703</v>
      </c>
      <c r="AD591" t="str">
        <f t="shared" si="58"/>
        <v>Halo+,+Visual+AI+5S+menditeksi+Violation%3A+GUDANGACC1-LINE+5</v>
      </c>
      <c r="AE591" t="str">
        <f t="shared" si="57"/>
        <v>https://web.whatsapp.com/send/?phone=628999007703&amp;text=Halo+,+Visual+AI+5S+menditeksi+Violation%3A+GUDANGACC1-LINE+5&amp;type=phone_number&amp;app_absent=0</v>
      </c>
      <c r="AF591" t="b">
        <f>IF(ISNA(VLOOKUP(D591&amp;"-"&amp;AB591, Ref_Kontak!$A:$E, 4, FALSE)), FALSE, TRUE)</f>
        <v>0</v>
      </c>
      <c r="AG591" t="str">
        <f>_xlfn.IFNA(VLOOKUP(Z591,Ref_Kontak!H:H,1,FALSE),"FALSE")</f>
        <v>628999007703</v>
      </c>
      <c r="AH591" t="str">
        <f t="shared" si="59"/>
        <v>GUDANGACC1-LINE 5</v>
      </c>
      <c r="AI591">
        <f>COUNTIF($AH$1:AH591,AH591)</f>
        <v>6</v>
      </c>
    </row>
    <row r="592" spans="1:35">
      <c r="A592" t="s">
        <v>56</v>
      </c>
      <c r="B592" t="s">
        <v>57</v>
      </c>
      <c r="C592" t="s">
        <v>633</v>
      </c>
      <c r="D592" t="s">
        <v>609</v>
      </c>
      <c r="E592">
        <v>1</v>
      </c>
      <c r="G592" t="s">
        <v>571</v>
      </c>
      <c r="I592" t="s">
        <v>61</v>
      </c>
      <c r="Z592" t="str">
        <f>IFERROR(MID(AA592,FIND("-",H592,1)+1,20),_xlfn.IFNA(VLOOKUP(F592&amp;"-"&amp;AA592,Ref_Kontak!$A:$E,4,FALSE),Ref_Kontak!$H$2))</f>
        <v>628999007703</v>
      </c>
      <c r="AA592" t="str">
        <f t="shared" si="54"/>
        <v/>
      </c>
      <c r="AB592" t="str">
        <f t="shared" si="55"/>
        <v/>
      </c>
      <c r="AC592" t="str">
        <f t="shared" si="56"/>
        <v>628999007703</v>
      </c>
      <c r="AD592" t="str">
        <f t="shared" si="58"/>
        <v>Halo+,+Visual+AI+5S+menditeksi+Violation%3A+GUDANGACC1-LINE+6</v>
      </c>
      <c r="AE592" t="str">
        <f t="shared" si="57"/>
        <v>https://web.whatsapp.com/send/?phone=628999007703&amp;text=Halo+,+Visual+AI+5S+menditeksi+Violation%3A+GUDANGACC1-LINE+6&amp;type=phone_number&amp;app_absent=0</v>
      </c>
      <c r="AF592" t="b">
        <f>IF(ISNA(VLOOKUP(D592&amp;"-"&amp;AB592, Ref_Kontak!$A:$E, 4, FALSE)), FALSE, TRUE)</f>
        <v>0</v>
      </c>
      <c r="AG592" t="str">
        <f>_xlfn.IFNA(VLOOKUP(Z592,Ref_Kontak!H:H,1,FALSE),"FALSE")</f>
        <v>628999007703</v>
      </c>
      <c r="AH592" t="str">
        <f t="shared" si="59"/>
        <v>GUDANGACC1-LINE 6</v>
      </c>
      <c r="AI592">
        <f>COUNTIF($AH$1:AH592,AH592)</f>
        <v>22</v>
      </c>
    </row>
    <row r="593" spans="1:35">
      <c r="A593" t="s">
        <v>56</v>
      </c>
      <c r="B593" t="s">
        <v>57</v>
      </c>
      <c r="C593" t="s">
        <v>634</v>
      </c>
      <c r="D593" t="s">
        <v>570</v>
      </c>
      <c r="E593">
        <v>1</v>
      </c>
      <c r="G593" t="s">
        <v>571</v>
      </c>
      <c r="I593" t="s">
        <v>61</v>
      </c>
      <c r="Z593" t="str">
        <f>IFERROR(MID(AA593,FIND("-",H593,1)+1,20),_xlfn.IFNA(VLOOKUP(F593&amp;"-"&amp;AA593,Ref_Kontak!$A:$E,4,FALSE),Ref_Kontak!$H$2))</f>
        <v>628999007703</v>
      </c>
      <c r="AA593" t="str">
        <f t="shared" si="54"/>
        <v/>
      </c>
      <c r="AB593" t="str">
        <f t="shared" si="55"/>
        <v/>
      </c>
      <c r="AC593" t="str">
        <f t="shared" si="56"/>
        <v>628999007703</v>
      </c>
      <c r="AD593" t="str">
        <f t="shared" si="58"/>
        <v>Halo+,+Visual+AI+5S+menditeksi+Violation%3A+GUDANGACC1-LINE+11</v>
      </c>
      <c r="AE593" t="str">
        <f t="shared" si="57"/>
        <v>https://web.whatsapp.com/send/?phone=628999007703&amp;text=Halo+,+Visual+AI+5S+menditeksi+Violation%3A+GUDANGACC1-LINE+11&amp;type=phone_number&amp;app_absent=0</v>
      </c>
      <c r="AF593" t="b">
        <f>IF(ISNA(VLOOKUP(D593&amp;"-"&amp;AB593, Ref_Kontak!$A:$E, 4, FALSE)), FALSE, TRUE)</f>
        <v>0</v>
      </c>
      <c r="AG593" t="str">
        <f>_xlfn.IFNA(VLOOKUP(Z593,Ref_Kontak!H:H,1,FALSE),"FALSE")</f>
        <v>628999007703</v>
      </c>
      <c r="AH593" t="str">
        <f t="shared" si="59"/>
        <v>GUDANGACC1-LINE 11</v>
      </c>
      <c r="AI593">
        <f>COUNTIF($AH$1:AH593,AH593)</f>
        <v>59</v>
      </c>
    </row>
    <row r="594" spans="1:35">
      <c r="A594" t="s">
        <v>56</v>
      </c>
      <c r="B594" t="s">
        <v>57</v>
      </c>
      <c r="C594" t="s">
        <v>634</v>
      </c>
      <c r="D594" t="s">
        <v>627</v>
      </c>
      <c r="E594">
        <v>1</v>
      </c>
      <c r="G594" t="s">
        <v>571</v>
      </c>
      <c r="I594" t="s">
        <v>61</v>
      </c>
      <c r="Z594" t="str">
        <f>IFERROR(MID(AA594,FIND("-",H594,1)+1,20),_xlfn.IFNA(VLOOKUP(F594&amp;"-"&amp;AA594,Ref_Kontak!$A:$E,4,FALSE),Ref_Kontak!$H$2))</f>
        <v>628999007703</v>
      </c>
      <c r="AA594" t="str">
        <f t="shared" si="54"/>
        <v/>
      </c>
      <c r="AB594" t="str">
        <f t="shared" si="55"/>
        <v/>
      </c>
      <c r="AC594" t="str">
        <f t="shared" si="56"/>
        <v>628999007703</v>
      </c>
      <c r="AD594" t="str">
        <f t="shared" si="58"/>
        <v>Halo+,+Visual+AI+5S+menditeksi+Violation%3A+GUDANGACC1-LINE+5</v>
      </c>
      <c r="AE594" t="str">
        <f t="shared" si="57"/>
        <v>https://web.whatsapp.com/send/?phone=628999007703&amp;text=Halo+,+Visual+AI+5S+menditeksi+Violation%3A+GUDANGACC1-LINE+5&amp;type=phone_number&amp;app_absent=0</v>
      </c>
      <c r="AF594" t="b">
        <f>IF(ISNA(VLOOKUP(D594&amp;"-"&amp;AB594, Ref_Kontak!$A:$E, 4, FALSE)), FALSE, TRUE)</f>
        <v>0</v>
      </c>
      <c r="AG594" t="str">
        <f>_xlfn.IFNA(VLOOKUP(Z594,Ref_Kontak!H:H,1,FALSE),"FALSE")</f>
        <v>628999007703</v>
      </c>
      <c r="AH594" t="str">
        <f t="shared" si="59"/>
        <v>GUDANGACC1-LINE 5</v>
      </c>
      <c r="AI594">
        <f>COUNTIF($AH$1:AH594,AH594)</f>
        <v>7</v>
      </c>
    </row>
    <row r="595" spans="1:35">
      <c r="A595" t="s">
        <v>56</v>
      </c>
      <c r="B595" t="s">
        <v>57</v>
      </c>
      <c r="C595" t="s">
        <v>634</v>
      </c>
      <c r="D595" t="s">
        <v>609</v>
      </c>
      <c r="E595">
        <v>1</v>
      </c>
      <c r="G595" t="s">
        <v>571</v>
      </c>
      <c r="I595" t="s">
        <v>61</v>
      </c>
      <c r="Z595" t="str">
        <f>IFERROR(MID(AA595,FIND("-",H595,1)+1,20),_xlfn.IFNA(VLOOKUP(F595&amp;"-"&amp;AA595,Ref_Kontak!$A:$E,4,FALSE),Ref_Kontak!$H$2))</f>
        <v>628999007703</v>
      </c>
      <c r="AA595" t="str">
        <f t="shared" si="54"/>
        <v/>
      </c>
      <c r="AB595" t="str">
        <f t="shared" si="55"/>
        <v/>
      </c>
      <c r="AC595" t="str">
        <f t="shared" si="56"/>
        <v>628999007703</v>
      </c>
      <c r="AD595" t="str">
        <f t="shared" si="58"/>
        <v>Halo+,+Visual+AI+5S+menditeksi+Violation%3A+GUDANGACC1-LINE+6</v>
      </c>
      <c r="AE595" t="str">
        <f t="shared" si="57"/>
        <v>https://web.whatsapp.com/send/?phone=628999007703&amp;text=Halo+,+Visual+AI+5S+menditeksi+Violation%3A+GUDANGACC1-LINE+6&amp;type=phone_number&amp;app_absent=0</v>
      </c>
      <c r="AF595" t="b">
        <f>IF(ISNA(VLOOKUP(D595&amp;"-"&amp;AB595, Ref_Kontak!$A:$E, 4, FALSE)), FALSE, TRUE)</f>
        <v>0</v>
      </c>
      <c r="AG595" t="str">
        <f>_xlfn.IFNA(VLOOKUP(Z595,Ref_Kontak!H:H,1,FALSE),"FALSE")</f>
        <v>628999007703</v>
      </c>
      <c r="AH595" t="str">
        <f t="shared" si="59"/>
        <v>GUDANGACC1-LINE 6</v>
      </c>
      <c r="AI595">
        <f>COUNTIF($AH$1:AH595,AH595)</f>
        <v>23</v>
      </c>
    </row>
    <row r="596" spans="1:35">
      <c r="A596" t="s">
        <v>56</v>
      </c>
      <c r="B596" t="s">
        <v>57</v>
      </c>
      <c r="C596" t="s">
        <v>635</v>
      </c>
      <c r="D596" t="s">
        <v>570</v>
      </c>
      <c r="E596">
        <v>1</v>
      </c>
      <c r="G596" t="s">
        <v>571</v>
      </c>
      <c r="I596" t="s">
        <v>61</v>
      </c>
      <c r="Z596" t="str">
        <f>IFERROR(MID(AA596,FIND("-",H596,1)+1,20),_xlfn.IFNA(VLOOKUP(F596&amp;"-"&amp;AA596,Ref_Kontak!$A:$E,4,FALSE),Ref_Kontak!$H$2))</f>
        <v>628999007703</v>
      </c>
      <c r="AA596" t="str">
        <f t="shared" si="54"/>
        <v/>
      </c>
      <c r="AB596" t="str">
        <f t="shared" si="55"/>
        <v/>
      </c>
      <c r="AC596" t="str">
        <f t="shared" si="56"/>
        <v>628999007703</v>
      </c>
      <c r="AD596" t="str">
        <f t="shared" si="58"/>
        <v>Halo+,+Visual+AI+5S+menditeksi+Violation%3A+GUDANGACC1-LINE+11</v>
      </c>
      <c r="AE596" t="str">
        <f t="shared" si="57"/>
        <v>https://web.whatsapp.com/send/?phone=628999007703&amp;text=Halo+,+Visual+AI+5S+menditeksi+Violation%3A+GUDANGACC1-LINE+11&amp;type=phone_number&amp;app_absent=0</v>
      </c>
      <c r="AF596" t="b">
        <f>IF(ISNA(VLOOKUP(D596&amp;"-"&amp;AB596, Ref_Kontak!$A:$E, 4, FALSE)), FALSE, TRUE)</f>
        <v>0</v>
      </c>
      <c r="AG596" t="str">
        <f>_xlfn.IFNA(VLOOKUP(Z596,Ref_Kontak!H:H,1,FALSE),"FALSE")</f>
        <v>628999007703</v>
      </c>
      <c r="AH596" t="str">
        <f t="shared" si="59"/>
        <v>GUDANGACC1-LINE 11</v>
      </c>
      <c r="AI596">
        <f>COUNTIF($AH$1:AH596,AH596)</f>
        <v>60</v>
      </c>
    </row>
    <row r="597" spans="1:35">
      <c r="A597" t="s">
        <v>56</v>
      </c>
      <c r="B597" t="s">
        <v>57</v>
      </c>
      <c r="C597" t="s">
        <v>635</v>
      </c>
      <c r="D597" t="s">
        <v>627</v>
      </c>
      <c r="E597">
        <v>1</v>
      </c>
      <c r="G597" t="s">
        <v>571</v>
      </c>
      <c r="I597" t="s">
        <v>61</v>
      </c>
      <c r="Z597" t="str">
        <f>IFERROR(MID(AA597,FIND("-",H597,1)+1,20),_xlfn.IFNA(VLOOKUP(F597&amp;"-"&amp;AA597,Ref_Kontak!$A:$E,4,FALSE),Ref_Kontak!$H$2))</f>
        <v>628999007703</v>
      </c>
      <c r="AA597" t="str">
        <f t="shared" si="54"/>
        <v/>
      </c>
      <c r="AB597" t="str">
        <f t="shared" si="55"/>
        <v/>
      </c>
      <c r="AC597" t="str">
        <f t="shared" si="56"/>
        <v>628999007703</v>
      </c>
      <c r="AD597" t="str">
        <f t="shared" si="58"/>
        <v>Halo+,+Visual+AI+5S+menditeksi+Violation%3A+GUDANGACC1-LINE+5</v>
      </c>
      <c r="AE597" t="str">
        <f t="shared" si="57"/>
        <v>https://web.whatsapp.com/send/?phone=628999007703&amp;text=Halo+,+Visual+AI+5S+menditeksi+Violation%3A+GUDANGACC1-LINE+5&amp;type=phone_number&amp;app_absent=0</v>
      </c>
      <c r="AF597" t="b">
        <f>IF(ISNA(VLOOKUP(D597&amp;"-"&amp;AB597, Ref_Kontak!$A:$E, 4, FALSE)), FALSE, TRUE)</f>
        <v>0</v>
      </c>
      <c r="AG597" t="str">
        <f>_xlfn.IFNA(VLOOKUP(Z597,Ref_Kontak!H:H,1,FALSE),"FALSE")</f>
        <v>628999007703</v>
      </c>
      <c r="AH597" t="str">
        <f t="shared" si="59"/>
        <v>GUDANGACC1-LINE 5</v>
      </c>
      <c r="AI597">
        <f>COUNTIF($AH$1:AH597,AH597)</f>
        <v>8</v>
      </c>
    </row>
    <row r="598" spans="1:35">
      <c r="A598" t="s">
        <v>56</v>
      </c>
      <c r="B598" t="s">
        <v>57</v>
      </c>
      <c r="C598" t="s">
        <v>635</v>
      </c>
      <c r="D598" t="s">
        <v>609</v>
      </c>
      <c r="E598">
        <v>1</v>
      </c>
      <c r="G598" t="s">
        <v>571</v>
      </c>
      <c r="I598" t="s">
        <v>61</v>
      </c>
      <c r="Z598" t="str">
        <f>IFERROR(MID(AA598,FIND("-",H598,1)+1,20),_xlfn.IFNA(VLOOKUP(F598&amp;"-"&amp;AA598,Ref_Kontak!$A:$E,4,FALSE),Ref_Kontak!$H$2))</f>
        <v>628999007703</v>
      </c>
      <c r="AA598" t="str">
        <f t="shared" si="54"/>
        <v/>
      </c>
      <c r="AB598" t="str">
        <f t="shared" si="55"/>
        <v/>
      </c>
      <c r="AC598" t="str">
        <f t="shared" si="56"/>
        <v>628999007703</v>
      </c>
      <c r="AD598" t="str">
        <f t="shared" si="58"/>
        <v>Halo+,+Visual+AI+5S+menditeksi+Violation%3A+GUDANGACC1-LINE+6</v>
      </c>
      <c r="AE598" t="str">
        <f t="shared" si="57"/>
        <v>https://web.whatsapp.com/send/?phone=628999007703&amp;text=Halo+,+Visual+AI+5S+menditeksi+Violation%3A+GUDANGACC1-LINE+6&amp;type=phone_number&amp;app_absent=0</v>
      </c>
      <c r="AF598" t="b">
        <f>IF(ISNA(VLOOKUP(D598&amp;"-"&amp;AB598, Ref_Kontak!$A:$E, 4, FALSE)), FALSE, TRUE)</f>
        <v>0</v>
      </c>
      <c r="AG598" t="str">
        <f>_xlfn.IFNA(VLOOKUP(Z598,Ref_Kontak!H:H,1,FALSE),"FALSE")</f>
        <v>628999007703</v>
      </c>
      <c r="AH598" t="str">
        <f t="shared" si="59"/>
        <v>GUDANGACC1-LINE 6</v>
      </c>
      <c r="AI598">
        <f>COUNTIF($AH$1:AH598,AH598)</f>
        <v>24</v>
      </c>
    </row>
    <row r="599" spans="1:35">
      <c r="A599" t="s">
        <v>56</v>
      </c>
      <c r="B599" t="s">
        <v>57</v>
      </c>
      <c r="C599" t="s">
        <v>636</v>
      </c>
      <c r="D599" t="s">
        <v>570</v>
      </c>
      <c r="E599">
        <v>1</v>
      </c>
      <c r="G599" t="s">
        <v>571</v>
      </c>
      <c r="I599" t="s">
        <v>61</v>
      </c>
      <c r="Z599" t="str">
        <f>IFERROR(MID(AA599,FIND("-",H599,1)+1,20),_xlfn.IFNA(VLOOKUP(F599&amp;"-"&amp;AA599,Ref_Kontak!$A:$E,4,FALSE),Ref_Kontak!$H$2))</f>
        <v>628999007703</v>
      </c>
      <c r="AA599" t="str">
        <f t="shared" si="54"/>
        <v/>
      </c>
      <c r="AB599" t="str">
        <f t="shared" si="55"/>
        <v/>
      </c>
      <c r="AC599" t="str">
        <f t="shared" si="56"/>
        <v>628999007703</v>
      </c>
      <c r="AD599" t="str">
        <f t="shared" si="58"/>
        <v>Halo+,+Visual+AI+5S+menditeksi+Violation%3A+GUDANGACC1-LINE+11</v>
      </c>
      <c r="AE599" t="str">
        <f t="shared" si="57"/>
        <v>https://web.whatsapp.com/send/?phone=628999007703&amp;text=Halo+,+Visual+AI+5S+menditeksi+Violation%3A+GUDANGACC1-LINE+11&amp;type=phone_number&amp;app_absent=0</v>
      </c>
      <c r="AF599" t="b">
        <f>IF(ISNA(VLOOKUP(D599&amp;"-"&amp;AB599, Ref_Kontak!$A:$E, 4, FALSE)), FALSE, TRUE)</f>
        <v>0</v>
      </c>
      <c r="AG599" t="str">
        <f>_xlfn.IFNA(VLOOKUP(Z599,Ref_Kontak!H:H,1,FALSE),"FALSE")</f>
        <v>628999007703</v>
      </c>
      <c r="AH599" t="str">
        <f t="shared" si="59"/>
        <v>GUDANGACC1-LINE 11</v>
      </c>
      <c r="AI599">
        <f>COUNTIF($AH$1:AH599,AH599)</f>
        <v>61</v>
      </c>
    </row>
    <row r="600" spans="1:35">
      <c r="A600" t="s">
        <v>56</v>
      </c>
      <c r="B600" t="s">
        <v>57</v>
      </c>
      <c r="C600" t="s">
        <v>636</v>
      </c>
      <c r="D600" t="s">
        <v>627</v>
      </c>
      <c r="E600">
        <v>1</v>
      </c>
      <c r="G600" t="s">
        <v>571</v>
      </c>
      <c r="I600" t="s">
        <v>61</v>
      </c>
      <c r="Z600" t="str">
        <f>IFERROR(MID(AA600,FIND("-",H600,1)+1,20),_xlfn.IFNA(VLOOKUP(F600&amp;"-"&amp;AA600,Ref_Kontak!$A:$E,4,FALSE),Ref_Kontak!$H$2))</f>
        <v>628999007703</v>
      </c>
      <c r="AA600" t="str">
        <f t="shared" si="54"/>
        <v/>
      </c>
      <c r="AB600" t="str">
        <f t="shared" si="55"/>
        <v/>
      </c>
      <c r="AC600" t="str">
        <f t="shared" si="56"/>
        <v>628999007703</v>
      </c>
      <c r="AD600" t="str">
        <f t="shared" si="58"/>
        <v>Halo+,+Visual+AI+5S+menditeksi+Violation%3A+GUDANGACC1-LINE+5</v>
      </c>
      <c r="AE600" t="str">
        <f t="shared" si="57"/>
        <v>https://web.whatsapp.com/send/?phone=628999007703&amp;text=Halo+,+Visual+AI+5S+menditeksi+Violation%3A+GUDANGACC1-LINE+5&amp;type=phone_number&amp;app_absent=0</v>
      </c>
      <c r="AF600" t="b">
        <f>IF(ISNA(VLOOKUP(D600&amp;"-"&amp;AB600, Ref_Kontak!$A:$E, 4, FALSE)), FALSE, TRUE)</f>
        <v>0</v>
      </c>
      <c r="AG600" t="str">
        <f>_xlfn.IFNA(VLOOKUP(Z600,Ref_Kontak!H:H,1,FALSE),"FALSE")</f>
        <v>628999007703</v>
      </c>
      <c r="AH600" t="str">
        <f t="shared" si="59"/>
        <v>GUDANGACC1-LINE 5</v>
      </c>
      <c r="AI600">
        <f>COUNTIF($AH$1:AH600,AH600)</f>
        <v>9</v>
      </c>
    </row>
    <row r="601" spans="1:35">
      <c r="A601" t="s">
        <v>56</v>
      </c>
      <c r="B601" t="s">
        <v>57</v>
      </c>
      <c r="C601" t="s">
        <v>636</v>
      </c>
      <c r="D601" t="s">
        <v>609</v>
      </c>
      <c r="E601">
        <v>1</v>
      </c>
      <c r="G601" t="s">
        <v>571</v>
      </c>
      <c r="I601" t="s">
        <v>61</v>
      </c>
      <c r="Z601" t="str">
        <f>IFERROR(MID(AA601,FIND("-",H601,1)+1,20),_xlfn.IFNA(VLOOKUP(F601&amp;"-"&amp;AA601,Ref_Kontak!$A:$E,4,FALSE),Ref_Kontak!$H$2))</f>
        <v>628999007703</v>
      </c>
      <c r="AA601" t="str">
        <f t="shared" si="54"/>
        <v/>
      </c>
      <c r="AB601" t="str">
        <f t="shared" si="55"/>
        <v/>
      </c>
      <c r="AC601" t="str">
        <f t="shared" si="56"/>
        <v>628999007703</v>
      </c>
      <c r="AD601" t="str">
        <f t="shared" si="58"/>
        <v>Halo+,+Visual+AI+5S+menditeksi+Violation%3A+GUDANGACC1-LINE+6</v>
      </c>
      <c r="AE601" t="str">
        <f t="shared" si="57"/>
        <v>https://web.whatsapp.com/send/?phone=628999007703&amp;text=Halo+,+Visual+AI+5S+menditeksi+Violation%3A+GUDANGACC1-LINE+6&amp;type=phone_number&amp;app_absent=0</v>
      </c>
      <c r="AF601" t="b">
        <f>IF(ISNA(VLOOKUP(D601&amp;"-"&amp;AB601, Ref_Kontak!$A:$E, 4, FALSE)), FALSE, TRUE)</f>
        <v>0</v>
      </c>
      <c r="AG601" t="str">
        <f>_xlfn.IFNA(VLOOKUP(Z601,Ref_Kontak!H:H,1,FALSE),"FALSE")</f>
        <v>628999007703</v>
      </c>
      <c r="AH601" t="str">
        <f t="shared" si="59"/>
        <v>GUDANGACC1-LINE 6</v>
      </c>
      <c r="AI601">
        <f>COUNTIF($AH$1:AH601,AH601)</f>
        <v>25</v>
      </c>
    </row>
    <row r="602" spans="1:35">
      <c r="A602" t="s">
        <v>56</v>
      </c>
      <c r="B602" t="s">
        <v>57</v>
      </c>
      <c r="C602" t="s">
        <v>637</v>
      </c>
      <c r="D602" t="s">
        <v>570</v>
      </c>
      <c r="E602">
        <v>1</v>
      </c>
      <c r="G602" t="s">
        <v>571</v>
      </c>
      <c r="I602" t="s">
        <v>61</v>
      </c>
      <c r="Z602" t="str">
        <f>IFERROR(MID(AA602,FIND("-",H602,1)+1,20),_xlfn.IFNA(VLOOKUP(F602&amp;"-"&amp;AA602,Ref_Kontak!$A:$E,4,FALSE),Ref_Kontak!$H$2))</f>
        <v>628999007703</v>
      </c>
      <c r="AA602" t="str">
        <f t="shared" si="54"/>
        <v/>
      </c>
      <c r="AB602" t="str">
        <f t="shared" si="55"/>
        <v/>
      </c>
      <c r="AC602" t="str">
        <f t="shared" si="56"/>
        <v>628999007703</v>
      </c>
      <c r="AD602" t="str">
        <f t="shared" si="58"/>
        <v>Halo+,+Visual+AI+5S+menditeksi+Violation%3A+GUDANGACC1-LINE+11</v>
      </c>
      <c r="AE602" t="str">
        <f t="shared" si="57"/>
        <v>https://web.whatsapp.com/send/?phone=628999007703&amp;text=Halo+,+Visual+AI+5S+menditeksi+Violation%3A+GUDANGACC1-LINE+11&amp;type=phone_number&amp;app_absent=0</v>
      </c>
      <c r="AF602" t="b">
        <f>IF(ISNA(VLOOKUP(D602&amp;"-"&amp;AB602, Ref_Kontak!$A:$E, 4, FALSE)), FALSE, TRUE)</f>
        <v>0</v>
      </c>
      <c r="AG602" t="str">
        <f>_xlfn.IFNA(VLOOKUP(Z602,Ref_Kontak!H:H,1,FALSE),"FALSE")</f>
        <v>628999007703</v>
      </c>
      <c r="AH602" t="str">
        <f t="shared" si="59"/>
        <v>GUDANGACC1-LINE 11</v>
      </c>
      <c r="AI602">
        <f>COUNTIF($AH$1:AH602,AH602)</f>
        <v>62</v>
      </c>
    </row>
    <row r="603" spans="1:35">
      <c r="A603" t="s">
        <v>56</v>
      </c>
      <c r="B603" t="s">
        <v>57</v>
      </c>
      <c r="C603" t="s">
        <v>637</v>
      </c>
      <c r="D603" t="s">
        <v>627</v>
      </c>
      <c r="E603">
        <v>1</v>
      </c>
      <c r="G603" t="s">
        <v>571</v>
      </c>
      <c r="I603" t="s">
        <v>61</v>
      </c>
      <c r="Z603" t="str">
        <f>IFERROR(MID(AA603,FIND("-",H603,1)+1,20),_xlfn.IFNA(VLOOKUP(F603&amp;"-"&amp;AA603,Ref_Kontak!$A:$E,4,FALSE),Ref_Kontak!$H$2))</f>
        <v>628999007703</v>
      </c>
      <c r="AA603" t="str">
        <f t="shared" si="54"/>
        <v/>
      </c>
      <c r="AB603" t="str">
        <f t="shared" si="55"/>
        <v/>
      </c>
      <c r="AC603" t="str">
        <f t="shared" si="56"/>
        <v>628999007703</v>
      </c>
      <c r="AD603" t="str">
        <f t="shared" si="58"/>
        <v>Halo+,+Visual+AI+5S+menditeksi+Violation%3A+GUDANGACC1-LINE+5</v>
      </c>
      <c r="AE603" t="str">
        <f t="shared" si="57"/>
        <v>https://web.whatsapp.com/send/?phone=628999007703&amp;text=Halo+,+Visual+AI+5S+menditeksi+Violation%3A+GUDANGACC1-LINE+5&amp;type=phone_number&amp;app_absent=0</v>
      </c>
      <c r="AF603" t="b">
        <f>IF(ISNA(VLOOKUP(D603&amp;"-"&amp;AB603, Ref_Kontak!$A:$E, 4, FALSE)), FALSE, TRUE)</f>
        <v>0</v>
      </c>
      <c r="AG603" t="str">
        <f>_xlfn.IFNA(VLOOKUP(Z603,Ref_Kontak!H:H,1,FALSE),"FALSE")</f>
        <v>628999007703</v>
      </c>
      <c r="AH603" t="str">
        <f t="shared" si="59"/>
        <v>GUDANGACC1-LINE 5</v>
      </c>
      <c r="AI603">
        <f>COUNTIF($AH$1:AH603,AH603)</f>
        <v>10</v>
      </c>
    </row>
    <row r="604" spans="1:35">
      <c r="A604" t="s">
        <v>56</v>
      </c>
      <c r="B604" t="s">
        <v>57</v>
      </c>
      <c r="C604" t="s">
        <v>637</v>
      </c>
      <c r="D604" t="s">
        <v>609</v>
      </c>
      <c r="E604">
        <v>1</v>
      </c>
      <c r="G604" t="s">
        <v>571</v>
      </c>
      <c r="I604" t="s">
        <v>61</v>
      </c>
      <c r="Z604" t="str">
        <f>IFERROR(MID(AA604,FIND("-",H604,1)+1,20),_xlfn.IFNA(VLOOKUP(F604&amp;"-"&amp;AA604,Ref_Kontak!$A:$E,4,FALSE),Ref_Kontak!$H$2))</f>
        <v>628999007703</v>
      </c>
      <c r="AA604" t="str">
        <f t="shared" si="54"/>
        <v/>
      </c>
      <c r="AB604" t="str">
        <f t="shared" si="55"/>
        <v/>
      </c>
      <c r="AC604" t="str">
        <f t="shared" si="56"/>
        <v>628999007703</v>
      </c>
      <c r="AD604" t="str">
        <f t="shared" si="58"/>
        <v>Halo+,+Visual+AI+5S+menditeksi+Violation%3A+GUDANGACC1-LINE+6</v>
      </c>
      <c r="AE604" t="str">
        <f t="shared" si="57"/>
        <v>https://web.whatsapp.com/send/?phone=628999007703&amp;text=Halo+,+Visual+AI+5S+menditeksi+Violation%3A+GUDANGACC1-LINE+6&amp;type=phone_number&amp;app_absent=0</v>
      </c>
      <c r="AF604" t="b">
        <f>IF(ISNA(VLOOKUP(D604&amp;"-"&amp;AB604, Ref_Kontak!$A:$E, 4, FALSE)), FALSE, TRUE)</f>
        <v>0</v>
      </c>
      <c r="AG604" t="str">
        <f>_xlfn.IFNA(VLOOKUP(Z604,Ref_Kontak!H:H,1,FALSE),"FALSE")</f>
        <v>628999007703</v>
      </c>
      <c r="AH604" t="str">
        <f t="shared" si="59"/>
        <v>GUDANGACC1-LINE 6</v>
      </c>
      <c r="AI604">
        <f>COUNTIF($AH$1:AH604,AH604)</f>
        <v>26</v>
      </c>
    </row>
    <row r="605" spans="1:35">
      <c r="A605" t="s">
        <v>56</v>
      </c>
      <c r="B605" t="s">
        <v>57</v>
      </c>
      <c r="C605" t="s">
        <v>638</v>
      </c>
      <c r="D605" t="s">
        <v>570</v>
      </c>
      <c r="E605">
        <v>1</v>
      </c>
      <c r="G605" t="s">
        <v>571</v>
      </c>
      <c r="I605" t="s">
        <v>61</v>
      </c>
      <c r="Z605" t="str">
        <f>IFERROR(MID(AA605,FIND("-",H605,1)+1,20),_xlfn.IFNA(VLOOKUP(F605&amp;"-"&amp;AA605,Ref_Kontak!$A:$E,4,FALSE),Ref_Kontak!$H$2))</f>
        <v>628999007703</v>
      </c>
      <c r="AA605" t="str">
        <f t="shared" si="54"/>
        <v/>
      </c>
      <c r="AB605" t="str">
        <f t="shared" si="55"/>
        <v/>
      </c>
      <c r="AC605" t="str">
        <f t="shared" si="56"/>
        <v>628999007703</v>
      </c>
      <c r="AD605" t="str">
        <f t="shared" si="58"/>
        <v>Halo+,+Visual+AI+5S+menditeksi+Violation%3A+GUDANGACC1-LINE+11</v>
      </c>
      <c r="AE605" t="str">
        <f t="shared" si="57"/>
        <v>https://web.whatsapp.com/send/?phone=628999007703&amp;text=Halo+,+Visual+AI+5S+menditeksi+Violation%3A+GUDANGACC1-LINE+11&amp;type=phone_number&amp;app_absent=0</v>
      </c>
      <c r="AF605" t="b">
        <f>IF(ISNA(VLOOKUP(D605&amp;"-"&amp;AB605, Ref_Kontak!$A:$E, 4, FALSE)), FALSE, TRUE)</f>
        <v>0</v>
      </c>
      <c r="AG605" t="str">
        <f>_xlfn.IFNA(VLOOKUP(Z605,Ref_Kontak!H:H,1,FALSE),"FALSE")</f>
        <v>628999007703</v>
      </c>
      <c r="AH605" t="str">
        <f t="shared" si="59"/>
        <v>GUDANGACC1-LINE 11</v>
      </c>
      <c r="AI605">
        <f>COUNTIF($AH$1:AH605,AH605)</f>
        <v>63</v>
      </c>
    </row>
    <row r="606" spans="1:35">
      <c r="A606" t="s">
        <v>56</v>
      </c>
      <c r="B606" t="s">
        <v>57</v>
      </c>
      <c r="C606" t="s">
        <v>638</v>
      </c>
      <c r="D606" t="s">
        <v>627</v>
      </c>
      <c r="E606">
        <v>1</v>
      </c>
      <c r="G606" t="s">
        <v>571</v>
      </c>
      <c r="I606" t="s">
        <v>61</v>
      </c>
      <c r="Z606" t="str">
        <f>IFERROR(MID(AA606,FIND("-",H606,1)+1,20),_xlfn.IFNA(VLOOKUP(F606&amp;"-"&amp;AA606,Ref_Kontak!$A:$E,4,FALSE),Ref_Kontak!$H$2))</f>
        <v>628999007703</v>
      </c>
      <c r="AA606" t="str">
        <f t="shared" si="54"/>
        <v/>
      </c>
      <c r="AB606" t="str">
        <f t="shared" si="55"/>
        <v/>
      </c>
      <c r="AC606" t="str">
        <f t="shared" si="56"/>
        <v>628999007703</v>
      </c>
      <c r="AD606" t="str">
        <f t="shared" si="58"/>
        <v>Halo+,+Visual+AI+5S+menditeksi+Violation%3A+GUDANGACC1-LINE+5</v>
      </c>
      <c r="AE606" t="str">
        <f t="shared" si="57"/>
        <v>https://web.whatsapp.com/send/?phone=628999007703&amp;text=Halo+,+Visual+AI+5S+menditeksi+Violation%3A+GUDANGACC1-LINE+5&amp;type=phone_number&amp;app_absent=0</v>
      </c>
      <c r="AF606" t="b">
        <f>IF(ISNA(VLOOKUP(D606&amp;"-"&amp;AB606, Ref_Kontak!$A:$E, 4, FALSE)), FALSE, TRUE)</f>
        <v>0</v>
      </c>
      <c r="AG606" t="str">
        <f>_xlfn.IFNA(VLOOKUP(Z606,Ref_Kontak!H:H,1,FALSE),"FALSE")</f>
        <v>628999007703</v>
      </c>
      <c r="AH606" t="str">
        <f t="shared" si="59"/>
        <v>GUDANGACC1-LINE 5</v>
      </c>
      <c r="AI606">
        <f>COUNTIF($AH$1:AH606,AH606)</f>
        <v>11</v>
      </c>
    </row>
    <row r="607" spans="1:35">
      <c r="A607" t="s">
        <v>56</v>
      </c>
      <c r="B607" t="s">
        <v>57</v>
      </c>
      <c r="C607" t="s">
        <v>638</v>
      </c>
      <c r="D607" t="s">
        <v>609</v>
      </c>
      <c r="E607">
        <v>1</v>
      </c>
      <c r="G607" t="s">
        <v>571</v>
      </c>
      <c r="I607" t="s">
        <v>61</v>
      </c>
      <c r="Z607" t="str">
        <f>IFERROR(MID(AA607,FIND("-",H607,1)+1,20),_xlfn.IFNA(VLOOKUP(F607&amp;"-"&amp;AA607,Ref_Kontak!$A:$E,4,FALSE),Ref_Kontak!$H$2))</f>
        <v>628999007703</v>
      </c>
      <c r="AA607" t="str">
        <f t="shared" si="54"/>
        <v/>
      </c>
      <c r="AB607" t="str">
        <f t="shared" si="55"/>
        <v/>
      </c>
      <c r="AC607" t="str">
        <f t="shared" si="56"/>
        <v>628999007703</v>
      </c>
      <c r="AD607" t="str">
        <f t="shared" si="58"/>
        <v>Halo+,+Visual+AI+5S+menditeksi+Violation%3A+GUDANGACC1-LINE+6</v>
      </c>
      <c r="AE607" t="str">
        <f t="shared" si="57"/>
        <v>https://web.whatsapp.com/send/?phone=628999007703&amp;text=Halo+,+Visual+AI+5S+menditeksi+Violation%3A+GUDANGACC1-LINE+6&amp;type=phone_number&amp;app_absent=0</v>
      </c>
      <c r="AF607" t="b">
        <f>IF(ISNA(VLOOKUP(D607&amp;"-"&amp;AB607, Ref_Kontak!$A:$E, 4, FALSE)), FALSE, TRUE)</f>
        <v>0</v>
      </c>
      <c r="AG607" t="str">
        <f>_xlfn.IFNA(VLOOKUP(Z607,Ref_Kontak!H:H,1,FALSE),"FALSE")</f>
        <v>628999007703</v>
      </c>
      <c r="AH607" t="str">
        <f t="shared" si="59"/>
        <v>GUDANGACC1-LINE 6</v>
      </c>
      <c r="AI607">
        <f>COUNTIF($AH$1:AH607,AH607)</f>
        <v>27</v>
      </c>
    </row>
    <row r="608" spans="1:35">
      <c r="A608" t="s">
        <v>56</v>
      </c>
      <c r="B608" t="s">
        <v>57</v>
      </c>
      <c r="C608" t="s">
        <v>639</v>
      </c>
      <c r="D608" t="s">
        <v>570</v>
      </c>
      <c r="E608">
        <v>1</v>
      </c>
      <c r="G608" t="s">
        <v>571</v>
      </c>
      <c r="I608" t="s">
        <v>61</v>
      </c>
      <c r="Z608" t="str">
        <f>IFERROR(MID(AA608,FIND("-",H608,1)+1,20),_xlfn.IFNA(VLOOKUP(F608&amp;"-"&amp;AA608,Ref_Kontak!$A:$E,4,FALSE),Ref_Kontak!$H$2))</f>
        <v>628999007703</v>
      </c>
      <c r="AA608" t="str">
        <f t="shared" si="54"/>
        <v/>
      </c>
      <c r="AB608" t="str">
        <f t="shared" si="55"/>
        <v/>
      </c>
      <c r="AC608" t="str">
        <f t="shared" si="56"/>
        <v>628999007703</v>
      </c>
      <c r="AD608" t="str">
        <f t="shared" si="58"/>
        <v>Halo+,+Visual+AI+5S+menditeksi+Violation%3A+GUDANGACC1-LINE+11</v>
      </c>
      <c r="AE608" t="str">
        <f t="shared" si="57"/>
        <v>https://web.whatsapp.com/send/?phone=628999007703&amp;text=Halo+,+Visual+AI+5S+menditeksi+Violation%3A+GUDANGACC1-LINE+11&amp;type=phone_number&amp;app_absent=0</v>
      </c>
      <c r="AF608" t="b">
        <f>IF(ISNA(VLOOKUP(D608&amp;"-"&amp;AB608, Ref_Kontak!$A:$E, 4, FALSE)), FALSE, TRUE)</f>
        <v>0</v>
      </c>
      <c r="AG608" t="str">
        <f>_xlfn.IFNA(VLOOKUP(Z608,Ref_Kontak!H:H,1,FALSE),"FALSE")</f>
        <v>628999007703</v>
      </c>
      <c r="AH608" t="str">
        <f t="shared" si="59"/>
        <v>GUDANGACC1-LINE 11</v>
      </c>
      <c r="AI608">
        <f>COUNTIF($AH$1:AH608,AH608)</f>
        <v>64</v>
      </c>
    </row>
    <row r="609" spans="1:35">
      <c r="A609" t="s">
        <v>56</v>
      </c>
      <c r="B609" t="s">
        <v>57</v>
      </c>
      <c r="C609" t="s">
        <v>639</v>
      </c>
      <c r="D609" t="s">
        <v>627</v>
      </c>
      <c r="E609">
        <v>1</v>
      </c>
      <c r="G609" t="s">
        <v>571</v>
      </c>
      <c r="I609" t="s">
        <v>61</v>
      </c>
      <c r="Z609" t="str">
        <f>IFERROR(MID(AA609,FIND("-",H609,1)+1,20),_xlfn.IFNA(VLOOKUP(F609&amp;"-"&amp;AA609,Ref_Kontak!$A:$E,4,FALSE),Ref_Kontak!$H$2))</f>
        <v>628999007703</v>
      </c>
      <c r="AA609" t="str">
        <f t="shared" si="54"/>
        <v/>
      </c>
      <c r="AB609" t="str">
        <f t="shared" si="55"/>
        <v/>
      </c>
      <c r="AC609" t="str">
        <f t="shared" si="56"/>
        <v>628999007703</v>
      </c>
      <c r="AD609" t="str">
        <f t="shared" si="58"/>
        <v>Halo+,+Visual+AI+5S+menditeksi+Violation%3A+GUDANGACC1-LINE+5</v>
      </c>
      <c r="AE609" t="str">
        <f t="shared" si="57"/>
        <v>https://web.whatsapp.com/send/?phone=628999007703&amp;text=Halo+,+Visual+AI+5S+menditeksi+Violation%3A+GUDANGACC1-LINE+5&amp;type=phone_number&amp;app_absent=0</v>
      </c>
      <c r="AF609" t="b">
        <f>IF(ISNA(VLOOKUP(D609&amp;"-"&amp;AB609, Ref_Kontak!$A:$E, 4, FALSE)), FALSE, TRUE)</f>
        <v>0</v>
      </c>
      <c r="AG609" t="str">
        <f>_xlfn.IFNA(VLOOKUP(Z609,Ref_Kontak!H:H,1,FALSE),"FALSE")</f>
        <v>628999007703</v>
      </c>
      <c r="AH609" t="str">
        <f t="shared" si="59"/>
        <v>GUDANGACC1-LINE 5</v>
      </c>
      <c r="AI609">
        <f>COUNTIF($AH$1:AH609,AH609)</f>
        <v>12</v>
      </c>
    </row>
    <row r="610" spans="1:35">
      <c r="A610" t="s">
        <v>56</v>
      </c>
      <c r="B610" t="s">
        <v>57</v>
      </c>
      <c r="C610" t="s">
        <v>639</v>
      </c>
      <c r="D610" t="s">
        <v>609</v>
      </c>
      <c r="E610">
        <v>1</v>
      </c>
      <c r="G610" t="s">
        <v>571</v>
      </c>
      <c r="I610" t="s">
        <v>61</v>
      </c>
      <c r="Z610" t="str">
        <f>IFERROR(MID(AA610,FIND("-",H610,1)+1,20),_xlfn.IFNA(VLOOKUP(F610&amp;"-"&amp;AA610,Ref_Kontak!$A:$E,4,FALSE),Ref_Kontak!$H$2))</f>
        <v>628999007703</v>
      </c>
      <c r="AA610" t="str">
        <f t="shared" si="54"/>
        <v/>
      </c>
      <c r="AB610" t="str">
        <f t="shared" si="55"/>
        <v/>
      </c>
      <c r="AC610" t="str">
        <f t="shared" si="56"/>
        <v>628999007703</v>
      </c>
      <c r="AD610" t="str">
        <f t="shared" si="58"/>
        <v>Halo+,+Visual+AI+5S+menditeksi+Violation%3A+GUDANGACC1-LINE+6</v>
      </c>
      <c r="AE610" t="str">
        <f t="shared" si="57"/>
        <v>https://web.whatsapp.com/send/?phone=628999007703&amp;text=Halo+,+Visual+AI+5S+menditeksi+Violation%3A+GUDANGACC1-LINE+6&amp;type=phone_number&amp;app_absent=0</v>
      </c>
      <c r="AF610" t="b">
        <f>IF(ISNA(VLOOKUP(D610&amp;"-"&amp;AB610, Ref_Kontak!$A:$E, 4, FALSE)), FALSE, TRUE)</f>
        <v>0</v>
      </c>
      <c r="AG610" t="str">
        <f>_xlfn.IFNA(VLOOKUP(Z610,Ref_Kontak!H:H,1,FALSE),"FALSE")</f>
        <v>628999007703</v>
      </c>
      <c r="AH610" t="str">
        <f t="shared" si="59"/>
        <v>GUDANGACC1-LINE 6</v>
      </c>
      <c r="AI610">
        <f>COUNTIF($AH$1:AH610,AH610)</f>
        <v>28</v>
      </c>
    </row>
    <row r="611" spans="1:35">
      <c r="A611" t="s">
        <v>56</v>
      </c>
      <c r="B611" t="s">
        <v>57</v>
      </c>
      <c r="C611" t="s">
        <v>640</v>
      </c>
      <c r="D611" t="s">
        <v>570</v>
      </c>
      <c r="E611">
        <v>1</v>
      </c>
      <c r="G611" t="s">
        <v>571</v>
      </c>
      <c r="I611" t="s">
        <v>61</v>
      </c>
      <c r="Z611" t="str">
        <f>IFERROR(MID(AA611,FIND("-",H611,1)+1,20),_xlfn.IFNA(VLOOKUP(F611&amp;"-"&amp;AA611,Ref_Kontak!$A:$E,4,FALSE),Ref_Kontak!$H$2))</f>
        <v>628999007703</v>
      </c>
      <c r="AA611" t="str">
        <f t="shared" si="54"/>
        <v/>
      </c>
      <c r="AB611" t="str">
        <f t="shared" si="55"/>
        <v/>
      </c>
      <c r="AC611" t="str">
        <f t="shared" si="56"/>
        <v>628999007703</v>
      </c>
      <c r="AD611" t="str">
        <f t="shared" si="58"/>
        <v>Halo+,+Visual+AI+5S+menditeksi+Violation%3A+GUDANGACC1-LINE+11</v>
      </c>
      <c r="AE611" t="str">
        <f t="shared" si="57"/>
        <v>https://web.whatsapp.com/send/?phone=628999007703&amp;text=Halo+,+Visual+AI+5S+menditeksi+Violation%3A+GUDANGACC1-LINE+11&amp;type=phone_number&amp;app_absent=0</v>
      </c>
      <c r="AF611" t="b">
        <f>IF(ISNA(VLOOKUP(D611&amp;"-"&amp;AB611, Ref_Kontak!$A:$E, 4, FALSE)), FALSE, TRUE)</f>
        <v>0</v>
      </c>
      <c r="AG611" t="str">
        <f>_xlfn.IFNA(VLOOKUP(Z611,Ref_Kontak!H:H,1,FALSE),"FALSE")</f>
        <v>628999007703</v>
      </c>
      <c r="AH611" t="str">
        <f t="shared" si="59"/>
        <v>GUDANGACC1-LINE 11</v>
      </c>
      <c r="AI611">
        <f>COUNTIF($AH$1:AH611,AH611)</f>
        <v>65</v>
      </c>
    </row>
    <row r="612" spans="1:35">
      <c r="A612" t="s">
        <v>56</v>
      </c>
      <c r="B612" t="s">
        <v>57</v>
      </c>
      <c r="C612" t="s">
        <v>640</v>
      </c>
      <c r="D612" t="s">
        <v>627</v>
      </c>
      <c r="E612">
        <v>1</v>
      </c>
      <c r="G612" t="s">
        <v>571</v>
      </c>
      <c r="I612" t="s">
        <v>61</v>
      </c>
      <c r="Z612" t="str">
        <f>IFERROR(MID(AA612,FIND("-",H612,1)+1,20),_xlfn.IFNA(VLOOKUP(F612&amp;"-"&amp;AA612,Ref_Kontak!$A:$E,4,FALSE),Ref_Kontak!$H$2))</f>
        <v>628999007703</v>
      </c>
      <c r="AA612" t="str">
        <f t="shared" si="54"/>
        <v/>
      </c>
      <c r="AB612" t="str">
        <f t="shared" si="55"/>
        <v/>
      </c>
      <c r="AC612" t="str">
        <f t="shared" si="56"/>
        <v>628999007703</v>
      </c>
      <c r="AD612" t="str">
        <f t="shared" si="58"/>
        <v>Halo+,+Visual+AI+5S+menditeksi+Violation%3A+GUDANGACC1-LINE+5</v>
      </c>
      <c r="AE612" t="str">
        <f t="shared" si="57"/>
        <v>https://web.whatsapp.com/send/?phone=628999007703&amp;text=Halo+,+Visual+AI+5S+menditeksi+Violation%3A+GUDANGACC1-LINE+5&amp;type=phone_number&amp;app_absent=0</v>
      </c>
      <c r="AF612" t="b">
        <f>IF(ISNA(VLOOKUP(D612&amp;"-"&amp;AB612, Ref_Kontak!$A:$E, 4, FALSE)), FALSE, TRUE)</f>
        <v>0</v>
      </c>
      <c r="AG612" t="str">
        <f>_xlfn.IFNA(VLOOKUP(Z612,Ref_Kontak!H:H,1,FALSE),"FALSE")</f>
        <v>628999007703</v>
      </c>
      <c r="AH612" t="str">
        <f t="shared" si="59"/>
        <v>GUDANGACC1-LINE 5</v>
      </c>
      <c r="AI612">
        <f>COUNTIF($AH$1:AH612,AH612)</f>
        <v>13</v>
      </c>
    </row>
    <row r="613" spans="1:35">
      <c r="A613" t="s">
        <v>56</v>
      </c>
      <c r="B613" t="s">
        <v>57</v>
      </c>
      <c r="C613" t="s">
        <v>640</v>
      </c>
      <c r="D613" t="s">
        <v>609</v>
      </c>
      <c r="E613">
        <v>1</v>
      </c>
      <c r="G613" t="s">
        <v>571</v>
      </c>
      <c r="I613" t="s">
        <v>61</v>
      </c>
      <c r="Z613" t="str">
        <f>IFERROR(MID(AA613,FIND("-",H613,1)+1,20),_xlfn.IFNA(VLOOKUP(F613&amp;"-"&amp;AA613,Ref_Kontak!$A:$E,4,FALSE),Ref_Kontak!$H$2))</f>
        <v>628999007703</v>
      </c>
      <c r="AA613" t="str">
        <f t="shared" si="54"/>
        <v/>
      </c>
      <c r="AB613" t="str">
        <f t="shared" si="55"/>
        <v/>
      </c>
      <c r="AC613" t="str">
        <f t="shared" si="56"/>
        <v>628999007703</v>
      </c>
      <c r="AD613" t="str">
        <f t="shared" si="58"/>
        <v>Halo+,+Visual+AI+5S+menditeksi+Violation%3A+GUDANGACC1-LINE+6</v>
      </c>
      <c r="AE613" t="str">
        <f t="shared" si="57"/>
        <v>https://web.whatsapp.com/send/?phone=628999007703&amp;text=Halo+,+Visual+AI+5S+menditeksi+Violation%3A+GUDANGACC1-LINE+6&amp;type=phone_number&amp;app_absent=0</v>
      </c>
      <c r="AF613" t="b">
        <f>IF(ISNA(VLOOKUP(D613&amp;"-"&amp;AB613, Ref_Kontak!$A:$E, 4, FALSE)), FALSE, TRUE)</f>
        <v>0</v>
      </c>
      <c r="AG613" t="str">
        <f>_xlfn.IFNA(VLOOKUP(Z613,Ref_Kontak!H:H,1,FALSE),"FALSE")</f>
        <v>628999007703</v>
      </c>
      <c r="AH613" t="str">
        <f t="shared" si="59"/>
        <v>GUDANGACC1-LINE 6</v>
      </c>
      <c r="AI613">
        <f>COUNTIF($AH$1:AH613,AH613)</f>
        <v>29</v>
      </c>
    </row>
    <row r="614" spans="1:35">
      <c r="A614" t="s">
        <v>56</v>
      </c>
      <c r="B614" t="s">
        <v>57</v>
      </c>
      <c r="C614" t="s">
        <v>641</v>
      </c>
      <c r="D614" t="s">
        <v>570</v>
      </c>
      <c r="E614">
        <v>1</v>
      </c>
      <c r="G614" t="s">
        <v>571</v>
      </c>
      <c r="I614" t="s">
        <v>61</v>
      </c>
      <c r="Z614" t="str">
        <f>IFERROR(MID(AA614,FIND("-",H614,1)+1,20),_xlfn.IFNA(VLOOKUP(F614&amp;"-"&amp;AA614,Ref_Kontak!$A:$E,4,FALSE),Ref_Kontak!$H$2))</f>
        <v>628999007703</v>
      </c>
      <c r="AA614" t="str">
        <f t="shared" si="54"/>
        <v/>
      </c>
      <c r="AB614" t="str">
        <f t="shared" si="55"/>
        <v/>
      </c>
      <c r="AC614" t="str">
        <f t="shared" si="56"/>
        <v>628999007703</v>
      </c>
      <c r="AD614" t="str">
        <f t="shared" si="58"/>
        <v>Halo+,+Visual+AI+5S+menditeksi+Violation%3A+GUDANGACC1-LINE+11</v>
      </c>
      <c r="AE614" t="str">
        <f t="shared" si="57"/>
        <v>https://web.whatsapp.com/send/?phone=628999007703&amp;text=Halo+,+Visual+AI+5S+menditeksi+Violation%3A+GUDANGACC1-LINE+11&amp;type=phone_number&amp;app_absent=0</v>
      </c>
      <c r="AF614" t="b">
        <f>IF(ISNA(VLOOKUP(D614&amp;"-"&amp;AB614, Ref_Kontak!$A:$E, 4, FALSE)), FALSE, TRUE)</f>
        <v>0</v>
      </c>
      <c r="AG614" t="str">
        <f>_xlfn.IFNA(VLOOKUP(Z614,Ref_Kontak!H:H,1,FALSE),"FALSE")</f>
        <v>628999007703</v>
      </c>
      <c r="AH614" t="str">
        <f t="shared" si="59"/>
        <v>GUDANGACC1-LINE 11</v>
      </c>
      <c r="AI614">
        <f>COUNTIF($AH$1:AH614,AH614)</f>
        <v>66</v>
      </c>
    </row>
    <row r="615" spans="1:35">
      <c r="A615" t="s">
        <v>56</v>
      </c>
      <c r="B615" t="s">
        <v>57</v>
      </c>
      <c r="C615" t="s">
        <v>641</v>
      </c>
      <c r="D615" t="s">
        <v>627</v>
      </c>
      <c r="E615">
        <v>1</v>
      </c>
      <c r="G615" t="s">
        <v>571</v>
      </c>
      <c r="I615" t="s">
        <v>61</v>
      </c>
      <c r="Z615" t="str">
        <f>IFERROR(MID(AA615,FIND("-",H615,1)+1,20),_xlfn.IFNA(VLOOKUP(F615&amp;"-"&amp;AA615,Ref_Kontak!$A:$E,4,FALSE),Ref_Kontak!$H$2))</f>
        <v>628999007703</v>
      </c>
      <c r="AA615" t="str">
        <f t="shared" si="54"/>
        <v/>
      </c>
      <c r="AB615" t="str">
        <f t="shared" si="55"/>
        <v/>
      </c>
      <c r="AC615" t="str">
        <f t="shared" si="56"/>
        <v>628999007703</v>
      </c>
      <c r="AD615" t="str">
        <f t="shared" si="58"/>
        <v>Halo+,+Visual+AI+5S+menditeksi+Violation%3A+GUDANGACC1-LINE+5</v>
      </c>
      <c r="AE615" t="str">
        <f t="shared" si="57"/>
        <v>https://web.whatsapp.com/send/?phone=628999007703&amp;text=Halo+,+Visual+AI+5S+menditeksi+Violation%3A+GUDANGACC1-LINE+5&amp;type=phone_number&amp;app_absent=0</v>
      </c>
      <c r="AF615" t="b">
        <f>IF(ISNA(VLOOKUP(D615&amp;"-"&amp;AB615, Ref_Kontak!$A:$E, 4, FALSE)), FALSE, TRUE)</f>
        <v>0</v>
      </c>
      <c r="AG615" t="str">
        <f>_xlfn.IFNA(VLOOKUP(Z615,Ref_Kontak!H:H,1,FALSE),"FALSE")</f>
        <v>628999007703</v>
      </c>
      <c r="AH615" t="str">
        <f t="shared" si="59"/>
        <v>GUDANGACC1-LINE 5</v>
      </c>
      <c r="AI615">
        <f>COUNTIF($AH$1:AH615,AH615)</f>
        <v>14</v>
      </c>
    </row>
    <row r="616" spans="1:35">
      <c r="A616" t="s">
        <v>56</v>
      </c>
      <c r="B616" t="s">
        <v>57</v>
      </c>
      <c r="C616" t="s">
        <v>641</v>
      </c>
      <c r="D616" t="s">
        <v>609</v>
      </c>
      <c r="E616">
        <v>1</v>
      </c>
      <c r="G616" t="s">
        <v>571</v>
      </c>
      <c r="I616" t="s">
        <v>61</v>
      </c>
      <c r="Z616" t="str">
        <f>IFERROR(MID(AA616,FIND("-",H616,1)+1,20),_xlfn.IFNA(VLOOKUP(F616&amp;"-"&amp;AA616,Ref_Kontak!$A:$E,4,FALSE),Ref_Kontak!$H$2))</f>
        <v>628999007703</v>
      </c>
      <c r="AA616" t="str">
        <f t="shared" si="54"/>
        <v/>
      </c>
      <c r="AB616" t="str">
        <f t="shared" si="55"/>
        <v/>
      </c>
      <c r="AC616" t="str">
        <f t="shared" si="56"/>
        <v>628999007703</v>
      </c>
      <c r="AD616" t="str">
        <f t="shared" si="58"/>
        <v>Halo+,+Visual+AI+5S+menditeksi+Violation%3A+GUDANGACC1-LINE+6</v>
      </c>
      <c r="AE616" t="str">
        <f t="shared" si="57"/>
        <v>https://web.whatsapp.com/send/?phone=628999007703&amp;text=Halo+,+Visual+AI+5S+menditeksi+Violation%3A+GUDANGACC1-LINE+6&amp;type=phone_number&amp;app_absent=0</v>
      </c>
      <c r="AF616" t="b">
        <f>IF(ISNA(VLOOKUP(D616&amp;"-"&amp;AB616, Ref_Kontak!$A:$E, 4, FALSE)), FALSE, TRUE)</f>
        <v>0</v>
      </c>
      <c r="AG616" t="str">
        <f>_xlfn.IFNA(VLOOKUP(Z616,Ref_Kontak!H:H,1,FALSE),"FALSE")</f>
        <v>628999007703</v>
      </c>
      <c r="AH616" t="str">
        <f t="shared" si="59"/>
        <v>GUDANGACC1-LINE 6</v>
      </c>
      <c r="AI616">
        <f>COUNTIF($AH$1:AH616,AH616)</f>
        <v>30</v>
      </c>
    </row>
    <row r="617" spans="1:35">
      <c r="A617" t="s">
        <v>56</v>
      </c>
      <c r="B617" t="s">
        <v>57</v>
      </c>
      <c r="C617" t="s">
        <v>642</v>
      </c>
      <c r="D617" t="s">
        <v>570</v>
      </c>
      <c r="E617">
        <v>1</v>
      </c>
      <c r="G617" t="s">
        <v>571</v>
      </c>
      <c r="I617" t="s">
        <v>61</v>
      </c>
      <c r="Z617" t="str">
        <f>IFERROR(MID(AA617,FIND("-",H617,1)+1,20),_xlfn.IFNA(VLOOKUP(F617&amp;"-"&amp;AA617,Ref_Kontak!$A:$E,4,FALSE),Ref_Kontak!$H$2))</f>
        <v>628999007703</v>
      </c>
      <c r="AA617" t="str">
        <f t="shared" si="54"/>
        <v/>
      </c>
      <c r="AB617" t="str">
        <f t="shared" si="55"/>
        <v/>
      </c>
      <c r="AC617" t="str">
        <f t="shared" si="56"/>
        <v>628999007703</v>
      </c>
      <c r="AD617" t="str">
        <f t="shared" si="58"/>
        <v>Halo+,+Visual+AI+5S+menditeksi+Violation%3A+GUDANGACC1-LINE+11</v>
      </c>
      <c r="AE617" t="str">
        <f t="shared" si="57"/>
        <v>https://web.whatsapp.com/send/?phone=628999007703&amp;text=Halo+,+Visual+AI+5S+menditeksi+Violation%3A+GUDANGACC1-LINE+11&amp;type=phone_number&amp;app_absent=0</v>
      </c>
      <c r="AF617" t="b">
        <f>IF(ISNA(VLOOKUP(D617&amp;"-"&amp;AB617, Ref_Kontak!$A:$E, 4, FALSE)), FALSE, TRUE)</f>
        <v>0</v>
      </c>
      <c r="AG617" t="str">
        <f>_xlfn.IFNA(VLOOKUP(Z617,Ref_Kontak!H:H,1,FALSE),"FALSE")</f>
        <v>628999007703</v>
      </c>
      <c r="AH617" t="str">
        <f t="shared" si="59"/>
        <v>GUDANGACC1-LINE 11</v>
      </c>
      <c r="AI617">
        <f>COUNTIF($AH$1:AH617,AH617)</f>
        <v>67</v>
      </c>
    </row>
    <row r="618" spans="1:35">
      <c r="A618" t="s">
        <v>56</v>
      </c>
      <c r="B618" t="s">
        <v>57</v>
      </c>
      <c r="C618" t="s">
        <v>642</v>
      </c>
      <c r="D618" t="s">
        <v>627</v>
      </c>
      <c r="E618">
        <v>1</v>
      </c>
      <c r="G618" t="s">
        <v>571</v>
      </c>
      <c r="I618" t="s">
        <v>61</v>
      </c>
      <c r="Z618" t="str">
        <f>IFERROR(MID(AA618,FIND("-",H618,1)+1,20),_xlfn.IFNA(VLOOKUP(F618&amp;"-"&amp;AA618,Ref_Kontak!$A:$E,4,FALSE),Ref_Kontak!$H$2))</f>
        <v>628999007703</v>
      </c>
      <c r="AA618" t="str">
        <f t="shared" si="54"/>
        <v/>
      </c>
      <c r="AB618" t="str">
        <f t="shared" si="55"/>
        <v/>
      </c>
      <c r="AC618" t="str">
        <f t="shared" si="56"/>
        <v>628999007703</v>
      </c>
      <c r="AD618" t="str">
        <f t="shared" si="58"/>
        <v>Halo+,+Visual+AI+5S+menditeksi+Violation%3A+GUDANGACC1-LINE+5</v>
      </c>
      <c r="AE618" t="str">
        <f t="shared" si="57"/>
        <v>https://web.whatsapp.com/send/?phone=628999007703&amp;text=Halo+,+Visual+AI+5S+menditeksi+Violation%3A+GUDANGACC1-LINE+5&amp;type=phone_number&amp;app_absent=0</v>
      </c>
      <c r="AF618" t="b">
        <f>IF(ISNA(VLOOKUP(D618&amp;"-"&amp;AB618, Ref_Kontak!$A:$E, 4, FALSE)), FALSE, TRUE)</f>
        <v>0</v>
      </c>
      <c r="AG618" t="str">
        <f>_xlfn.IFNA(VLOOKUP(Z618,Ref_Kontak!H:H,1,FALSE),"FALSE")</f>
        <v>628999007703</v>
      </c>
      <c r="AH618" t="str">
        <f t="shared" si="59"/>
        <v>GUDANGACC1-LINE 5</v>
      </c>
      <c r="AI618">
        <f>COUNTIF($AH$1:AH618,AH618)</f>
        <v>15</v>
      </c>
    </row>
    <row r="619" spans="1:35">
      <c r="A619" t="s">
        <v>56</v>
      </c>
      <c r="B619" t="s">
        <v>57</v>
      </c>
      <c r="C619" t="s">
        <v>642</v>
      </c>
      <c r="D619" t="s">
        <v>609</v>
      </c>
      <c r="E619">
        <v>1</v>
      </c>
      <c r="G619" t="s">
        <v>571</v>
      </c>
      <c r="I619" t="s">
        <v>61</v>
      </c>
      <c r="Z619" t="str">
        <f>IFERROR(MID(AA619,FIND("-",H619,1)+1,20),_xlfn.IFNA(VLOOKUP(F619&amp;"-"&amp;AA619,Ref_Kontak!$A:$E,4,FALSE),Ref_Kontak!$H$2))</f>
        <v>628999007703</v>
      </c>
      <c r="AA619" t="str">
        <f t="shared" si="54"/>
        <v/>
      </c>
      <c r="AB619" t="str">
        <f t="shared" si="55"/>
        <v/>
      </c>
      <c r="AC619" t="str">
        <f t="shared" si="56"/>
        <v>628999007703</v>
      </c>
      <c r="AD619" t="str">
        <f t="shared" si="58"/>
        <v>Halo+,+Visual+AI+5S+menditeksi+Violation%3A+GUDANGACC1-LINE+6</v>
      </c>
      <c r="AE619" t="str">
        <f t="shared" si="57"/>
        <v>https://web.whatsapp.com/send/?phone=628999007703&amp;text=Halo+,+Visual+AI+5S+menditeksi+Violation%3A+GUDANGACC1-LINE+6&amp;type=phone_number&amp;app_absent=0</v>
      </c>
      <c r="AF619" t="b">
        <f>IF(ISNA(VLOOKUP(D619&amp;"-"&amp;AB619, Ref_Kontak!$A:$E, 4, FALSE)), FALSE, TRUE)</f>
        <v>0</v>
      </c>
      <c r="AG619" t="str">
        <f>_xlfn.IFNA(VLOOKUP(Z619,Ref_Kontak!H:H,1,FALSE),"FALSE")</f>
        <v>628999007703</v>
      </c>
      <c r="AH619" t="str">
        <f t="shared" si="59"/>
        <v>GUDANGACC1-LINE 6</v>
      </c>
      <c r="AI619">
        <f>COUNTIF($AH$1:AH619,AH619)</f>
        <v>31</v>
      </c>
    </row>
    <row r="620" spans="1:35">
      <c r="A620" t="s">
        <v>56</v>
      </c>
      <c r="B620" t="s">
        <v>57</v>
      </c>
      <c r="C620" t="s">
        <v>643</v>
      </c>
      <c r="D620" t="s">
        <v>570</v>
      </c>
      <c r="E620">
        <v>1</v>
      </c>
      <c r="G620" t="s">
        <v>571</v>
      </c>
      <c r="I620" t="s">
        <v>61</v>
      </c>
      <c r="Z620" t="str">
        <f>IFERROR(MID(AA620,FIND("-",H620,1)+1,20),_xlfn.IFNA(VLOOKUP(F620&amp;"-"&amp;AA620,Ref_Kontak!$A:$E,4,FALSE),Ref_Kontak!$H$2))</f>
        <v>628999007703</v>
      </c>
      <c r="AA620" t="str">
        <f t="shared" si="54"/>
        <v/>
      </c>
      <c r="AB620" t="str">
        <f t="shared" si="55"/>
        <v/>
      </c>
      <c r="AC620" t="str">
        <f t="shared" si="56"/>
        <v>628999007703</v>
      </c>
      <c r="AD620" t="str">
        <f t="shared" si="58"/>
        <v>Halo+,+Visual+AI+5S+menditeksi+Violation%3A+GUDANGACC1-LINE+11</v>
      </c>
      <c r="AE620" t="str">
        <f t="shared" si="57"/>
        <v>https://web.whatsapp.com/send/?phone=628999007703&amp;text=Halo+,+Visual+AI+5S+menditeksi+Violation%3A+GUDANGACC1-LINE+11&amp;type=phone_number&amp;app_absent=0</v>
      </c>
      <c r="AF620" t="b">
        <f>IF(ISNA(VLOOKUP(D620&amp;"-"&amp;AB620, Ref_Kontak!$A:$E, 4, FALSE)), FALSE, TRUE)</f>
        <v>0</v>
      </c>
      <c r="AG620" t="str">
        <f>_xlfn.IFNA(VLOOKUP(Z620,Ref_Kontak!H:H,1,FALSE),"FALSE")</f>
        <v>628999007703</v>
      </c>
      <c r="AH620" t="str">
        <f t="shared" si="59"/>
        <v>GUDANGACC1-LINE 11</v>
      </c>
      <c r="AI620">
        <f>COUNTIF($AH$1:AH620,AH620)</f>
        <v>68</v>
      </c>
    </row>
    <row r="621" spans="1:35">
      <c r="A621" t="s">
        <v>56</v>
      </c>
      <c r="B621" t="s">
        <v>57</v>
      </c>
      <c r="C621" t="s">
        <v>643</v>
      </c>
      <c r="D621" t="s">
        <v>627</v>
      </c>
      <c r="E621">
        <v>1</v>
      </c>
      <c r="G621" t="s">
        <v>571</v>
      </c>
      <c r="I621" t="s">
        <v>61</v>
      </c>
      <c r="Z621" t="str">
        <f>IFERROR(MID(AA621,FIND("-",H621,1)+1,20),_xlfn.IFNA(VLOOKUP(F621&amp;"-"&amp;AA621,Ref_Kontak!$A:$E,4,FALSE),Ref_Kontak!$H$2))</f>
        <v>628999007703</v>
      </c>
      <c r="AA621" t="str">
        <f t="shared" si="54"/>
        <v/>
      </c>
      <c r="AB621" t="str">
        <f t="shared" si="55"/>
        <v/>
      </c>
      <c r="AC621" t="str">
        <f t="shared" si="56"/>
        <v>628999007703</v>
      </c>
      <c r="AD621" t="str">
        <f t="shared" si="58"/>
        <v>Halo+,+Visual+AI+5S+menditeksi+Violation%3A+GUDANGACC1-LINE+5</v>
      </c>
      <c r="AE621" t="str">
        <f t="shared" si="57"/>
        <v>https://web.whatsapp.com/send/?phone=628999007703&amp;text=Halo+,+Visual+AI+5S+menditeksi+Violation%3A+GUDANGACC1-LINE+5&amp;type=phone_number&amp;app_absent=0</v>
      </c>
      <c r="AF621" t="b">
        <f>IF(ISNA(VLOOKUP(D621&amp;"-"&amp;AB621, Ref_Kontak!$A:$E, 4, FALSE)), FALSE, TRUE)</f>
        <v>0</v>
      </c>
      <c r="AG621" t="str">
        <f>_xlfn.IFNA(VLOOKUP(Z621,Ref_Kontak!H:H,1,FALSE),"FALSE")</f>
        <v>628999007703</v>
      </c>
      <c r="AH621" t="str">
        <f t="shared" si="59"/>
        <v>GUDANGACC1-LINE 5</v>
      </c>
      <c r="AI621">
        <f>COUNTIF($AH$1:AH621,AH621)</f>
        <v>16</v>
      </c>
    </row>
    <row r="622" spans="1:35">
      <c r="A622" t="s">
        <v>56</v>
      </c>
      <c r="B622" t="s">
        <v>57</v>
      </c>
      <c r="C622" t="s">
        <v>643</v>
      </c>
      <c r="D622" t="s">
        <v>609</v>
      </c>
      <c r="E622">
        <v>1</v>
      </c>
      <c r="G622" t="s">
        <v>571</v>
      </c>
      <c r="I622" t="s">
        <v>61</v>
      </c>
      <c r="Z622" t="str">
        <f>IFERROR(MID(AA622,FIND("-",H622,1)+1,20),_xlfn.IFNA(VLOOKUP(F622&amp;"-"&amp;AA622,Ref_Kontak!$A:$E,4,FALSE),Ref_Kontak!$H$2))</f>
        <v>628999007703</v>
      </c>
      <c r="AA622" t="str">
        <f t="shared" si="54"/>
        <v/>
      </c>
      <c r="AB622" t="str">
        <f t="shared" si="55"/>
        <v/>
      </c>
      <c r="AC622" t="str">
        <f t="shared" si="56"/>
        <v>628999007703</v>
      </c>
      <c r="AD622" t="str">
        <f t="shared" si="58"/>
        <v>Halo+,+Visual+AI+5S+menditeksi+Violation%3A+GUDANGACC1-LINE+6</v>
      </c>
      <c r="AE622" t="str">
        <f t="shared" si="57"/>
        <v>https://web.whatsapp.com/send/?phone=628999007703&amp;text=Halo+,+Visual+AI+5S+menditeksi+Violation%3A+GUDANGACC1-LINE+6&amp;type=phone_number&amp;app_absent=0</v>
      </c>
      <c r="AF622" t="b">
        <f>IF(ISNA(VLOOKUP(D622&amp;"-"&amp;AB622, Ref_Kontak!$A:$E, 4, FALSE)), FALSE, TRUE)</f>
        <v>0</v>
      </c>
      <c r="AG622" t="str">
        <f>_xlfn.IFNA(VLOOKUP(Z622,Ref_Kontak!H:H,1,FALSE),"FALSE")</f>
        <v>628999007703</v>
      </c>
      <c r="AH622" t="str">
        <f t="shared" si="59"/>
        <v>GUDANGACC1-LINE 6</v>
      </c>
      <c r="AI622">
        <f>COUNTIF($AH$1:AH622,AH622)</f>
        <v>32</v>
      </c>
    </row>
    <row r="623" spans="1:35">
      <c r="A623" t="s">
        <v>56</v>
      </c>
      <c r="B623" t="s">
        <v>57</v>
      </c>
      <c r="C623" t="s">
        <v>644</v>
      </c>
      <c r="D623" t="s">
        <v>570</v>
      </c>
      <c r="E623">
        <v>1</v>
      </c>
      <c r="G623" t="s">
        <v>571</v>
      </c>
      <c r="I623" t="s">
        <v>61</v>
      </c>
      <c r="Z623" t="str">
        <f>IFERROR(MID(AA623,FIND("-",H623,1)+1,20),_xlfn.IFNA(VLOOKUP(F623&amp;"-"&amp;AA623,Ref_Kontak!$A:$E,4,FALSE),Ref_Kontak!$H$2))</f>
        <v>628999007703</v>
      </c>
      <c r="AA623" t="str">
        <f t="shared" si="54"/>
        <v/>
      </c>
      <c r="AB623" t="str">
        <f t="shared" si="55"/>
        <v/>
      </c>
      <c r="AC623" t="str">
        <f t="shared" si="56"/>
        <v>628999007703</v>
      </c>
      <c r="AD623" t="str">
        <f t="shared" si="58"/>
        <v>Halo+,+Visual+AI+5S+menditeksi+Violation%3A+GUDANGACC1-LINE+11</v>
      </c>
      <c r="AE623" t="str">
        <f t="shared" si="57"/>
        <v>https://web.whatsapp.com/send/?phone=628999007703&amp;text=Halo+,+Visual+AI+5S+menditeksi+Violation%3A+GUDANGACC1-LINE+11&amp;type=phone_number&amp;app_absent=0</v>
      </c>
      <c r="AF623" t="b">
        <f>IF(ISNA(VLOOKUP(D623&amp;"-"&amp;AB623, Ref_Kontak!$A:$E, 4, FALSE)), FALSE, TRUE)</f>
        <v>0</v>
      </c>
      <c r="AG623" t="str">
        <f>_xlfn.IFNA(VLOOKUP(Z623,Ref_Kontak!H:H,1,FALSE),"FALSE")</f>
        <v>628999007703</v>
      </c>
      <c r="AH623" t="str">
        <f t="shared" si="59"/>
        <v>GUDANGACC1-LINE 11</v>
      </c>
      <c r="AI623">
        <f>COUNTIF($AH$1:AH623,AH623)</f>
        <v>69</v>
      </c>
    </row>
    <row r="624" spans="1:35">
      <c r="A624" t="s">
        <v>56</v>
      </c>
      <c r="B624" t="s">
        <v>57</v>
      </c>
      <c r="C624" t="s">
        <v>644</v>
      </c>
      <c r="D624" t="s">
        <v>627</v>
      </c>
      <c r="E624">
        <v>1</v>
      </c>
      <c r="G624" t="s">
        <v>571</v>
      </c>
      <c r="I624" t="s">
        <v>61</v>
      </c>
      <c r="Z624" t="str">
        <f>IFERROR(MID(AA624,FIND("-",H624,1)+1,20),_xlfn.IFNA(VLOOKUP(F624&amp;"-"&amp;AA624,Ref_Kontak!$A:$E,4,FALSE),Ref_Kontak!$H$2))</f>
        <v>628999007703</v>
      </c>
      <c r="AA624" t="str">
        <f t="shared" si="54"/>
        <v/>
      </c>
      <c r="AB624" t="str">
        <f t="shared" si="55"/>
        <v/>
      </c>
      <c r="AC624" t="str">
        <f t="shared" si="56"/>
        <v>628999007703</v>
      </c>
      <c r="AD624" t="str">
        <f t="shared" si="58"/>
        <v>Halo+,+Visual+AI+5S+menditeksi+Violation%3A+GUDANGACC1-LINE+5</v>
      </c>
      <c r="AE624" t="str">
        <f t="shared" si="57"/>
        <v>https://web.whatsapp.com/send/?phone=628999007703&amp;text=Halo+,+Visual+AI+5S+menditeksi+Violation%3A+GUDANGACC1-LINE+5&amp;type=phone_number&amp;app_absent=0</v>
      </c>
      <c r="AF624" t="b">
        <f>IF(ISNA(VLOOKUP(D624&amp;"-"&amp;AB624, Ref_Kontak!$A:$E, 4, FALSE)), FALSE, TRUE)</f>
        <v>0</v>
      </c>
      <c r="AG624" t="str">
        <f>_xlfn.IFNA(VLOOKUP(Z624,Ref_Kontak!H:H,1,FALSE),"FALSE")</f>
        <v>628999007703</v>
      </c>
      <c r="AH624" t="str">
        <f t="shared" si="59"/>
        <v>GUDANGACC1-LINE 5</v>
      </c>
      <c r="AI624">
        <f>COUNTIF($AH$1:AH624,AH624)</f>
        <v>17</v>
      </c>
    </row>
    <row r="625" spans="1:35">
      <c r="A625" t="s">
        <v>56</v>
      </c>
      <c r="B625" t="s">
        <v>57</v>
      </c>
      <c r="C625" t="s">
        <v>644</v>
      </c>
      <c r="D625" t="s">
        <v>609</v>
      </c>
      <c r="E625">
        <v>1</v>
      </c>
      <c r="G625" t="s">
        <v>571</v>
      </c>
      <c r="I625" t="s">
        <v>61</v>
      </c>
      <c r="Z625" t="str">
        <f>IFERROR(MID(AA625,FIND("-",H625,1)+1,20),_xlfn.IFNA(VLOOKUP(F625&amp;"-"&amp;AA625,Ref_Kontak!$A:$E,4,FALSE),Ref_Kontak!$H$2))</f>
        <v>628999007703</v>
      </c>
      <c r="AA625" t="str">
        <f t="shared" si="54"/>
        <v/>
      </c>
      <c r="AB625" t="str">
        <f t="shared" si="55"/>
        <v/>
      </c>
      <c r="AC625" t="str">
        <f t="shared" si="56"/>
        <v>628999007703</v>
      </c>
      <c r="AD625" t="str">
        <f t="shared" si="58"/>
        <v>Halo+,+Visual+AI+5S+menditeksi+Violation%3A+GUDANGACC1-LINE+6</v>
      </c>
      <c r="AE625" t="str">
        <f t="shared" si="57"/>
        <v>https://web.whatsapp.com/send/?phone=628999007703&amp;text=Halo+,+Visual+AI+5S+menditeksi+Violation%3A+GUDANGACC1-LINE+6&amp;type=phone_number&amp;app_absent=0</v>
      </c>
      <c r="AF625" t="b">
        <f>IF(ISNA(VLOOKUP(D625&amp;"-"&amp;AB625, Ref_Kontak!$A:$E, 4, FALSE)), FALSE, TRUE)</f>
        <v>0</v>
      </c>
      <c r="AG625" t="str">
        <f>_xlfn.IFNA(VLOOKUP(Z625,Ref_Kontak!H:H,1,FALSE),"FALSE")</f>
        <v>628999007703</v>
      </c>
      <c r="AH625" t="str">
        <f t="shared" si="59"/>
        <v>GUDANGACC1-LINE 6</v>
      </c>
      <c r="AI625">
        <f>COUNTIF($AH$1:AH625,AH625)</f>
        <v>33</v>
      </c>
    </row>
    <row r="626" spans="1:35">
      <c r="A626" t="s">
        <v>56</v>
      </c>
      <c r="B626" t="s">
        <v>57</v>
      </c>
      <c r="C626" t="s">
        <v>645</v>
      </c>
      <c r="D626" t="s">
        <v>570</v>
      </c>
      <c r="E626">
        <v>1</v>
      </c>
      <c r="G626" t="s">
        <v>571</v>
      </c>
      <c r="I626" t="s">
        <v>61</v>
      </c>
      <c r="Z626" t="str">
        <f>IFERROR(MID(AA626,FIND("-",H626,1)+1,20),_xlfn.IFNA(VLOOKUP(F626&amp;"-"&amp;AA626,Ref_Kontak!$A:$E,4,FALSE),Ref_Kontak!$H$2))</f>
        <v>628999007703</v>
      </c>
      <c r="AA626" t="str">
        <f t="shared" si="54"/>
        <v/>
      </c>
      <c r="AB626" t="str">
        <f t="shared" si="55"/>
        <v/>
      </c>
      <c r="AC626" t="str">
        <f t="shared" si="56"/>
        <v>628999007703</v>
      </c>
      <c r="AD626" t="str">
        <f t="shared" si="58"/>
        <v>Halo+,+Visual+AI+5S+menditeksi+Violation%3A+GUDANGACC1-LINE+11</v>
      </c>
      <c r="AE626" t="str">
        <f t="shared" si="57"/>
        <v>https://web.whatsapp.com/send/?phone=628999007703&amp;text=Halo+,+Visual+AI+5S+menditeksi+Violation%3A+GUDANGACC1-LINE+11&amp;type=phone_number&amp;app_absent=0</v>
      </c>
      <c r="AF626" t="b">
        <f>IF(ISNA(VLOOKUP(D626&amp;"-"&amp;AB626, Ref_Kontak!$A:$E, 4, FALSE)), FALSE, TRUE)</f>
        <v>0</v>
      </c>
      <c r="AG626" t="str">
        <f>_xlfn.IFNA(VLOOKUP(Z626,Ref_Kontak!H:H,1,FALSE),"FALSE")</f>
        <v>628999007703</v>
      </c>
      <c r="AH626" t="str">
        <f t="shared" si="59"/>
        <v>GUDANGACC1-LINE 11</v>
      </c>
      <c r="AI626">
        <f>COUNTIF($AH$1:AH626,AH626)</f>
        <v>70</v>
      </c>
    </row>
    <row r="627" spans="1:35">
      <c r="A627" t="s">
        <v>56</v>
      </c>
      <c r="B627" t="s">
        <v>57</v>
      </c>
      <c r="C627" t="s">
        <v>645</v>
      </c>
      <c r="D627" t="s">
        <v>627</v>
      </c>
      <c r="E627">
        <v>1</v>
      </c>
      <c r="G627" t="s">
        <v>571</v>
      </c>
      <c r="I627" t="s">
        <v>61</v>
      </c>
      <c r="Z627" t="str">
        <f>IFERROR(MID(AA627,FIND("-",H627,1)+1,20),_xlfn.IFNA(VLOOKUP(F627&amp;"-"&amp;AA627,Ref_Kontak!$A:$E,4,FALSE),Ref_Kontak!$H$2))</f>
        <v>628999007703</v>
      </c>
      <c r="AA627" t="str">
        <f t="shared" si="54"/>
        <v/>
      </c>
      <c r="AB627" t="str">
        <f t="shared" si="55"/>
        <v/>
      </c>
      <c r="AC627" t="str">
        <f t="shared" si="56"/>
        <v>628999007703</v>
      </c>
      <c r="AD627" t="str">
        <f t="shared" si="58"/>
        <v>Halo+,+Visual+AI+5S+menditeksi+Violation%3A+GUDANGACC1-LINE+5</v>
      </c>
      <c r="AE627" t="str">
        <f t="shared" si="57"/>
        <v>https://web.whatsapp.com/send/?phone=628999007703&amp;text=Halo+,+Visual+AI+5S+menditeksi+Violation%3A+GUDANGACC1-LINE+5&amp;type=phone_number&amp;app_absent=0</v>
      </c>
      <c r="AF627" t="b">
        <f>IF(ISNA(VLOOKUP(D627&amp;"-"&amp;AB627, Ref_Kontak!$A:$E, 4, FALSE)), FALSE, TRUE)</f>
        <v>0</v>
      </c>
      <c r="AG627" t="str">
        <f>_xlfn.IFNA(VLOOKUP(Z627,Ref_Kontak!H:H,1,FALSE),"FALSE")</f>
        <v>628999007703</v>
      </c>
      <c r="AH627" t="str">
        <f t="shared" si="59"/>
        <v>GUDANGACC1-LINE 5</v>
      </c>
      <c r="AI627">
        <f>COUNTIF($AH$1:AH627,AH627)</f>
        <v>18</v>
      </c>
    </row>
    <row r="628" spans="1:35">
      <c r="A628" t="s">
        <v>56</v>
      </c>
      <c r="B628" t="s">
        <v>57</v>
      </c>
      <c r="C628" t="s">
        <v>645</v>
      </c>
      <c r="D628" t="s">
        <v>609</v>
      </c>
      <c r="E628">
        <v>1</v>
      </c>
      <c r="G628" t="s">
        <v>571</v>
      </c>
      <c r="I628" t="s">
        <v>61</v>
      </c>
      <c r="Z628" t="str">
        <f>IFERROR(MID(AA628,FIND("-",H628,1)+1,20),_xlfn.IFNA(VLOOKUP(F628&amp;"-"&amp;AA628,Ref_Kontak!$A:$E,4,FALSE),Ref_Kontak!$H$2))</f>
        <v>628999007703</v>
      </c>
      <c r="AA628" t="str">
        <f t="shared" si="54"/>
        <v/>
      </c>
      <c r="AB628" t="str">
        <f t="shared" si="55"/>
        <v/>
      </c>
      <c r="AC628" t="str">
        <f t="shared" si="56"/>
        <v>628999007703</v>
      </c>
      <c r="AD628" t="str">
        <f t="shared" si="58"/>
        <v>Halo+,+Visual+AI+5S+menditeksi+Violation%3A+GUDANGACC1-LINE+6</v>
      </c>
      <c r="AE628" t="str">
        <f t="shared" si="57"/>
        <v>https://web.whatsapp.com/send/?phone=628999007703&amp;text=Halo+,+Visual+AI+5S+menditeksi+Violation%3A+GUDANGACC1-LINE+6&amp;type=phone_number&amp;app_absent=0</v>
      </c>
      <c r="AF628" t="b">
        <f>IF(ISNA(VLOOKUP(D628&amp;"-"&amp;AB628, Ref_Kontak!$A:$E, 4, FALSE)), FALSE, TRUE)</f>
        <v>0</v>
      </c>
      <c r="AG628" t="str">
        <f>_xlfn.IFNA(VLOOKUP(Z628,Ref_Kontak!H:H,1,FALSE),"FALSE")</f>
        <v>628999007703</v>
      </c>
      <c r="AH628" t="str">
        <f t="shared" si="59"/>
        <v>GUDANGACC1-LINE 6</v>
      </c>
      <c r="AI628">
        <f>COUNTIF($AH$1:AH628,AH628)</f>
        <v>34</v>
      </c>
    </row>
    <row r="629" spans="1:35">
      <c r="A629" t="s">
        <v>56</v>
      </c>
      <c r="B629" t="s">
        <v>57</v>
      </c>
      <c r="C629" t="s">
        <v>646</v>
      </c>
      <c r="D629" t="s">
        <v>570</v>
      </c>
      <c r="E629">
        <v>1</v>
      </c>
      <c r="G629" t="s">
        <v>571</v>
      </c>
      <c r="I629" t="s">
        <v>61</v>
      </c>
      <c r="Z629" t="str">
        <f>IFERROR(MID(AA629,FIND("-",H629,1)+1,20),_xlfn.IFNA(VLOOKUP(F629&amp;"-"&amp;AA629,Ref_Kontak!$A:$E,4,FALSE),Ref_Kontak!$H$2))</f>
        <v>628999007703</v>
      </c>
      <c r="AA629" t="str">
        <f t="shared" si="54"/>
        <v/>
      </c>
      <c r="AB629" t="str">
        <f t="shared" si="55"/>
        <v/>
      </c>
      <c r="AC629" t="str">
        <f t="shared" si="56"/>
        <v>628999007703</v>
      </c>
      <c r="AD629" t="str">
        <f t="shared" si="58"/>
        <v>Halo+,+Visual+AI+5S+menditeksi+Violation%3A+GUDANGACC1-LINE+11</v>
      </c>
      <c r="AE629" t="str">
        <f t="shared" si="57"/>
        <v>https://web.whatsapp.com/send/?phone=628999007703&amp;text=Halo+,+Visual+AI+5S+menditeksi+Violation%3A+GUDANGACC1-LINE+11&amp;type=phone_number&amp;app_absent=0</v>
      </c>
      <c r="AF629" t="b">
        <f>IF(ISNA(VLOOKUP(D629&amp;"-"&amp;AB629, Ref_Kontak!$A:$E, 4, FALSE)), FALSE, TRUE)</f>
        <v>0</v>
      </c>
      <c r="AG629" t="str">
        <f>_xlfn.IFNA(VLOOKUP(Z629,Ref_Kontak!H:H,1,FALSE),"FALSE")</f>
        <v>628999007703</v>
      </c>
      <c r="AH629" t="str">
        <f t="shared" si="59"/>
        <v>GUDANGACC1-LINE 11</v>
      </c>
      <c r="AI629">
        <f>COUNTIF($AH$1:AH629,AH629)</f>
        <v>71</v>
      </c>
    </row>
    <row r="630" spans="1:35">
      <c r="A630" t="s">
        <v>56</v>
      </c>
      <c r="B630" t="s">
        <v>57</v>
      </c>
      <c r="C630" t="s">
        <v>646</v>
      </c>
      <c r="D630" t="s">
        <v>627</v>
      </c>
      <c r="E630">
        <v>1</v>
      </c>
      <c r="G630" t="s">
        <v>571</v>
      </c>
      <c r="I630" t="s">
        <v>61</v>
      </c>
      <c r="Z630" t="str">
        <f>IFERROR(MID(AA630,FIND("-",H630,1)+1,20),_xlfn.IFNA(VLOOKUP(F630&amp;"-"&amp;AA630,Ref_Kontak!$A:$E,4,FALSE),Ref_Kontak!$H$2))</f>
        <v>628999007703</v>
      </c>
      <c r="AA630" t="str">
        <f t="shared" si="54"/>
        <v/>
      </c>
      <c r="AB630" t="str">
        <f t="shared" si="55"/>
        <v/>
      </c>
      <c r="AC630" t="str">
        <f t="shared" si="56"/>
        <v>628999007703</v>
      </c>
      <c r="AD630" t="str">
        <f t="shared" si="58"/>
        <v>Halo+,+Visual+AI+5S+menditeksi+Violation%3A+GUDANGACC1-LINE+5</v>
      </c>
      <c r="AE630" t="str">
        <f t="shared" si="57"/>
        <v>https://web.whatsapp.com/send/?phone=628999007703&amp;text=Halo+,+Visual+AI+5S+menditeksi+Violation%3A+GUDANGACC1-LINE+5&amp;type=phone_number&amp;app_absent=0</v>
      </c>
      <c r="AF630" t="b">
        <f>IF(ISNA(VLOOKUP(D630&amp;"-"&amp;AB630, Ref_Kontak!$A:$E, 4, FALSE)), FALSE, TRUE)</f>
        <v>0</v>
      </c>
      <c r="AG630" t="str">
        <f>_xlfn.IFNA(VLOOKUP(Z630,Ref_Kontak!H:H,1,FALSE),"FALSE")</f>
        <v>628999007703</v>
      </c>
      <c r="AH630" t="str">
        <f t="shared" si="59"/>
        <v>GUDANGACC1-LINE 5</v>
      </c>
      <c r="AI630">
        <f>COUNTIF($AH$1:AH630,AH630)</f>
        <v>19</v>
      </c>
    </row>
    <row r="631" spans="1:35">
      <c r="A631" t="s">
        <v>56</v>
      </c>
      <c r="B631" t="s">
        <v>57</v>
      </c>
      <c r="C631" t="s">
        <v>646</v>
      </c>
      <c r="D631" t="s">
        <v>609</v>
      </c>
      <c r="E631">
        <v>1</v>
      </c>
      <c r="G631" t="s">
        <v>571</v>
      </c>
      <c r="I631" t="s">
        <v>61</v>
      </c>
      <c r="Z631" t="str">
        <f>IFERROR(MID(AA631,FIND("-",H631,1)+1,20),_xlfn.IFNA(VLOOKUP(F631&amp;"-"&amp;AA631,Ref_Kontak!$A:$E,4,FALSE),Ref_Kontak!$H$2))</f>
        <v>628999007703</v>
      </c>
      <c r="AA631" t="str">
        <f t="shared" si="54"/>
        <v/>
      </c>
      <c r="AB631" t="str">
        <f t="shared" si="55"/>
        <v/>
      </c>
      <c r="AC631" t="str">
        <f t="shared" si="56"/>
        <v>628999007703</v>
      </c>
      <c r="AD631" t="str">
        <f t="shared" si="58"/>
        <v>Halo+,+Visual+AI+5S+menditeksi+Violation%3A+GUDANGACC1-LINE+6</v>
      </c>
      <c r="AE631" t="str">
        <f t="shared" si="57"/>
        <v>https://web.whatsapp.com/send/?phone=628999007703&amp;text=Halo+,+Visual+AI+5S+menditeksi+Violation%3A+GUDANGACC1-LINE+6&amp;type=phone_number&amp;app_absent=0</v>
      </c>
      <c r="AF631" t="b">
        <f>IF(ISNA(VLOOKUP(D631&amp;"-"&amp;AB631, Ref_Kontak!$A:$E, 4, FALSE)), FALSE, TRUE)</f>
        <v>0</v>
      </c>
      <c r="AG631" t="str">
        <f>_xlfn.IFNA(VLOOKUP(Z631,Ref_Kontak!H:H,1,FALSE),"FALSE")</f>
        <v>628999007703</v>
      </c>
      <c r="AH631" t="str">
        <f t="shared" si="59"/>
        <v>GUDANGACC1-LINE 6</v>
      </c>
      <c r="AI631">
        <f>COUNTIF($AH$1:AH631,AH631)</f>
        <v>35</v>
      </c>
    </row>
    <row r="632" spans="1:35">
      <c r="A632" t="s">
        <v>56</v>
      </c>
      <c r="B632" t="s">
        <v>57</v>
      </c>
      <c r="C632" t="s">
        <v>647</v>
      </c>
      <c r="D632" t="s">
        <v>570</v>
      </c>
      <c r="E632">
        <v>1</v>
      </c>
      <c r="G632" t="s">
        <v>571</v>
      </c>
      <c r="I632" t="s">
        <v>61</v>
      </c>
      <c r="Z632" t="str">
        <f>IFERROR(MID(AA632,FIND("-",H632,1)+1,20),_xlfn.IFNA(VLOOKUP(F632&amp;"-"&amp;AA632,Ref_Kontak!$A:$E,4,FALSE),Ref_Kontak!$H$2))</f>
        <v>628999007703</v>
      </c>
      <c r="AA632" t="str">
        <f t="shared" si="54"/>
        <v/>
      </c>
      <c r="AB632" t="str">
        <f t="shared" si="55"/>
        <v/>
      </c>
      <c r="AC632" t="str">
        <f t="shared" si="56"/>
        <v>628999007703</v>
      </c>
      <c r="AD632" t="str">
        <f t="shared" si="58"/>
        <v>Halo+,+Visual+AI+5S+menditeksi+Violation%3A+GUDANGACC1-LINE+11</v>
      </c>
      <c r="AE632" t="str">
        <f t="shared" si="57"/>
        <v>https://web.whatsapp.com/send/?phone=628999007703&amp;text=Halo+,+Visual+AI+5S+menditeksi+Violation%3A+GUDANGACC1-LINE+11&amp;type=phone_number&amp;app_absent=0</v>
      </c>
      <c r="AF632" t="b">
        <f>IF(ISNA(VLOOKUP(D632&amp;"-"&amp;AB632, Ref_Kontak!$A:$E, 4, FALSE)), FALSE, TRUE)</f>
        <v>0</v>
      </c>
      <c r="AG632" t="str">
        <f>_xlfn.IFNA(VLOOKUP(Z632,Ref_Kontak!H:H,1,FALSE),"FALSE")</f>
        <v>628999007703</v>
      </c>
      <c r="AH632" t="str">
        <f t="shared" si="59"/>
        <v>GUDANGACC1-LINE 11</v>
      </c>
      <c r="AI632">
        <f>COUNTIF($AH$1:AH632,AH632)</f>
        <v>72</v>
      </c>
    </row>
    <row r="633" spans="1:35">
      <c r="A633" t="s">
        <v>56</v>
      </c>
      <c r="B633" t="s">
        <v>57</v>
      </c>
      <c r="C633" t="s">
        <v>647</v>
      </c>
      <c r="D633" t="s">
        <v>627</v>
      </c>
      <c r="E633">
        <v>1</v>
      </c>
      <c r="G633" t="s">
        <v>571</v>
      </c>
      <c r="I633" t="s">
        <v>61</v>
      </c>
      <c r="Z633" t="str">
        <f>IFERROR(MID(AA633,FIND("-",H633,1)+1,20),_xlfn.IFNA(VLOOKUP(F633&amp;"-"&amp;AA633,Ref_Kontak!$A:$E,4,FALSE),Ref_Kontak!$H$2))</f>
        <v>628999007703</v>
      </c>
      <c r="AA633" t="str">
        <f t="shared" si="54"/>
        <v/>
      </c>
      <c r="AB633" t="str">
        <f t="shared" si="55"/>
        <v/>
      </c>
      <c r="AC633" t="str">
        <f t="shared" si="56"/>
        <v>628999007703</v>
      </c>
      <c r="AD633" t="str">
        <f t="shared" si="58"/>
        <v>Halo+,+Visual+AI+5S+menditeksi+Violation%3A+GUDANGACC1-LINE+5</v>
      </c>
      <c r="AE633" t="str">
        <f t="shared" si="57"/>
        <v>https://web.whatsapp.com/send/?phone=628999007703&amp;text=Halo+,+Visual+AI+5S+menditeksi+Violation%3A+GUDANGACC1-LINE+5&amp;type=phone_number&amp;app_absent=0</v>
      </c>
      <c r="AF633" t="b">
        <f>IF(ISNA(VLOOKUP(D633&amp;"-"&amp;AB633, Ref_Kontak!$A:$E, 4, FALSE)), FALSE, TRUE)</f>
        <v>0</v>
      </c>
      <c r="AG633" t="str">
        <f>_xlfn.IFNA(VLOOKUP(Z633,Ref_Kontak!H:H,1,FALSE),"FALSE")</f>
        <v>628999007703</v>
      </c>
      <c r="AH633" t="str">
        <f t="shared" si="59"/>
        <v>GUDANGACC1-LINE 5</v>
      </c>
      <c r="AI633">
        <f>COUNTIF($AH$1:AH633,AH633)</f>
        <v>20</v>
      </c>
    </row>
    <row r="634" spans="1:35">
      <c r="A634" t="s">
        <v>56</v>
      </c>
      <c r="B634" t="s">
        <v>57</v>
      </c>
      <c r="C634" t="s">
        <v>647</v>
      </c>
      <c r="D634" t="s">
        <v>609</v>
      </c>
      <c r="E634">
        <v>1</v>
      </c>
      <c r="G634" t="s">
        <v>571</v>
      </c>
      <c r="I634" t="s">
        <v>61</v>
      </c>
      <c r="Z634" t="str">
        <f>IFERROR(MID(AA634,FIND("-",H634,1)+1,20),_xlfn.IFNA(VLOOKUP(F634&amp;"-"&amp;AA634,Ref_Kontak!$A:$E,4,FALSE),Ref_Kontak!$H$2))</f>
        <v>628999007703</v>
      </c>
      <c r="AA634" t="str">
        <f t="shared" si="54"/>
        <v/>
      </c>
      <c r="AB634" t="str">
        <f t="shared" si="55"/>
        <v/>
      </c>
      <c r="AC634" t="str">
        <f t="shared" si="56"/>
        <v>628999007703</v>
      </c>
      <c r="AD634" t="str">
        <f t="shared" si="58"/>
        <v>Halo+,+Visual+AI+5S+menditeksi+Violation%3A+GUDANGACC1-LINE+6</v>
      </c>
      <c r="AE634" t="str">
        <f t="shared" si="57"/>
        <v>https://web.whatsapp.com/send/?phone=628999007703&amp;text=Halo+,+Visual+AI+5S+menditeksi+Violation%3A+GUDANGACC1-LINE+6&amp;type=phone_number&amp;app_absent=0</v>
      </c>
      <c r="AF634" t="b">
        <f>IF(ISNA(VLOOKUP(D634&amp;"-"&amp;AB634, Ref_Kontak!$A:$E, 4, FALSE)), FALSE, TRUE)</f>
        <v>0</v>
      </c>
      <c r="AG634" t="str">
        <f>_xlfn.IFNA(VLOOKUP(Z634,Ref_Kontak!H:H,1,FALSE),"FALSE")</f>
        <v>628999007703</v>
      </c>
      <c r="AH634" t="str">
        <f t="shared" si="59"/>
        <v>GUDANGACC1-LINE 6</v>
      </c>
      <c r="AI634">
        <f>COUNTIF($AH$1:AH634,AH634)</f>
        <v>36</v>
      </c>
    </row>
    <row r="635" spans="1:35">
      <c r="A635" t="s">
        <v>56</v>
      </c>
      <c r="B635" t="s">
        <v>57</v>
      </c>
      <c r="C635" t="s">
        <v>648</v>
      </c>
      <c r="D635" t="s">
        <v>570</v>
      </c>
      <c r="E635">
        <v>1</v>
      </c>
      <c r="G635" t="s">
        <v>571</v>
      </c>
      <c r="I635" t="s">
        <v>61</v>
      </c>
      <c r="Z635" t="str">
        <f>IFERROR(MID(AA635,FIND("-",H635,1)+1,20),_xlfn.IFNA(VLOOKUP(F635&amp;"-"&amp;AA635,Ref_Kontak!$A:$E,4,FALSE),Ref_Kontak!$H$2))</f>
        <v>628999007703</v>
      </c>
      <c r="AA635" t="str">
        <f t="shared" si="54"/>
        <v/>
      </c>
      <c r="AB635" t="str">
        <f t="shared" si="55"/>
        <v/>
      </c>
      <c r="AC635" t="str">
        <f t="shared" si="56"/>
        <v>628999007703</v>
      </c>
      <c r="AD635" t="str">
        <f t="shared" si="58"/>
        <v>Halo+,+Visual+AI+5S+menditeksi+Violation%3A+GUDANGACC1-LINE+11</v>
      </c>
      <c r="AE635" t="str">
        <f t="shared" si="57"/>
        <v>https://web.whatsapp.com/send/?phone=628999007703&amp;text=Halo+,+Visual+AI+5S+menditeksi+Violation%3A+GUDANGACC1-LINE+11&amp;type=phone_number&amp;app_absent=0</v>
      </c>
      <c r="AF635" t="b">
        <f>IF(ISNA(VLOOKUP(D635&amp;"-"&amp;AB635, Ref_Kontak!$A:$E, 4, FALSE)), FALSE, TRUE)</f>
        <v>0</v>
      </c>
      <c r="AG635" t="str">
        <f>_xlfn.IFNA(VLOOKUP(Z635,Ref_Kontak!H:H,1,FALSE),"FALSE")</f>
        <v>628999007703</v>
      </c>
      <c r="AH635" t="str">
        <f t="shared" si="59"/>
        <v>GUDANGACC1-LINE 11</v>
      </c>
      <c r="AI635">
        <f>COUNTIF($AH$1:AH635,AH635)</f>
        <v>73</v>
      </c>
    </row>
    <row r="636" spans="1:35">
      <c r="A636" t="s">
        <v>56</v>
      </c>
      <c r="B636" t="s">
        <v>57</v>
      </c>
      <c r="C636" t="s">
        <v>648</v>
      </c>
      <c r="D636" t="s">
        <v>627</v>
      </c>
      <c r="E636">
        <v>1</v>
      </c>
      <c r="G636" t="s">
        <v>571</v>
      </c>
      <c r="I636" t="s">
        <v>61</v>
      </c>
      <c r="Z636" t="str">
        <f>IFERROR(MID(AA636,FIND("-",H636,1)+1,20),_xlfn.IFNA(VLOOKUP(F636&amp;"-"&amp;AA636,Ref_Kontak!$A:$E,4,FALSE),Ref_Kontak!$H$2))</f>
        <v>628999007703</v>
      </c>
      <c r="AA636" t="str">
        <f t="shared" si="54"/>
        <v/>
      </c>
      <c r="AB636" t="str">
        <f t="shared" si="55"/>
        <v/>
      </c>
      <c r="AC636" t="str">
        <f t="shared" si="56"/>
        <v>628999007703</v>
      </c>
      <c r="AD636" t="str">
        <f t="shared" si="58"/>
        <v>Halo+,+Visual+AI+5S+menditeksi+Violation%3A+GUDANGACC1-LINE+5</v>
      </c>
      <c r="AE636" t="str">
        <f t="shared" si="57"/>
        <v>https://web.whatsapp.com/send/?phone=628999007703&amp;text=Halo+,+Visual+AI+5S+menditeksi+Violation%3A+GUDANGACC1-LINE+5&amp;type=phone_number&amp;app_absent=0</v>
      </c>
      <c r="AF636" t="b">
        <f>IF(ISNA(VLOOKUP(D636&amp;"-"&amp;AB636, Ref_Kontak!$A:$E, 4, FALSE)), FALSE, TRUE)</f>
        <v>0</v>
      </c>
      <c r="AG636" t="str">
        <f>_xlfn.IFNA(VLOOKUP(Z636,Ref_Kontak!H:H,1,FALSE),"FALSE")</f>
        <v>628999007703</v>
      </c>
      <c r="AH636" t="str">
        <f t="shared" si="59"/>
        <v>GUDANGACC1-LINE 5</v>
      </c>
      <c r="AI636">
        <f>COUNTIF($AH$1:AH636,AH636)</f>
        <v>21</v>
      </c>
    </row>
    <row r="637" spans="1:35">
      <c r="A637" t="s">
        <v>56</v>
      </c>
      <c r="B637" t="s">
        <v>57</v>
      </c>
      <c r="C637" t="s">
        <v>648</v>
      </c>
      <c r="D637" t="s">
        <v>609</v>
      </c>
      <c r="E637">
        <v>1</v>
      </c>
      <c r="G637" t="s">
        <v>571</v>
      </c>
      <c r="I637" t="s">
        <v>61</v>
      </c>
      <c r="Z637" t="str">
        <f>IFERROR(MID(AA637,FIND("-",H637,1)+1,20),_xlfn.IFNA(VLOOKUP(F637&amp;"-"&amp;AA637,Ref_Kontak!$A:$E,4,FALSE),Ref_Kontak!$H$2))</f>
        <v>628999007703</v>
      </c>
      <c r="AA637" t="str">
        <f t="shared" si="54"/>
        <v/>
      </c>
      <c r="AB637" t="str">
        <f t="shared" si="55"/>
        <v/>
      </c>
      <c r="AC637" t="str">
        <f t="shared" si="56"/>
        <v>628999007703</v>
      </c>
      <c r="AD637" t="str">
        <f t="shared" si="58"/>
        <v>Halo+,+Visual+AI+5S+menditeksi+Violation%3A+GUDANGACC1-LINE+6</v>
      </c>
      <c r="AE637" t="str">
        <f t="shared" si="57"/>
        <v>https://web.whatsapp.com/send/?phone=628999007703&amp;text=Halo+,+Visual+AI+5S+menditeksi+Violation%3A+GUDANGACC1-LINE+6&amp;type=phone_number&amp;app_absent=0</v>
      </c>
      <c r="AF637" t="b">
        <f>IF(ISNA(VLOOKUP(D637&amp;"-"&amp;AB637, Ref_Kontak!$A:$E, 4, FALSE)), FALSE, TRUE)</f>
        <v>0</v>
      </c>
      <c r="AG637" t="str">
        <f>_xlfn.IFNA(VLOOKUP(Z637,Ref_Kontak!H:H,1,FALSE),"FALSE")</f>
        <v>628999007703</v>
      </c>
      <c r="AH637" t="str">
        <f t="shared" si="59"/>
        <v>GUDANGACC1-LINE 6</v>
      </c>
      <c r="AI637">
        <f>COUNTIF($AH$1:AH637,AH637)</f>
        <v>37</v>
      </c>
    </row>
    <row r="638" spans="1:35">
      <c r="A638" t="s">
        <v>56</v>
      </c>
      <c r="B638" t="s">
        <v>57</v>
      </c>
      <c r="C638" t="s">
        <v>649</v>
      </c>
      <c r="D638" t="s">
        <v>570</v>
      </c>
      <c r="E638">
        <v>1</v>
      </c>
      <c r="G638" t="s">
        <v>571</v>
      </c>
      <c r="I638" t="s">
        <v>61</v>
      </c>
      <c r="Z638" t="str">
        <f>IFERROR(MID(AA638,FIND("-",H638,1)+1,20),_xlfn.IFNA(VLOOKUP(F638&amp;"-"&amp;AA638,Ref_Kontak!$A:$E,4,FALSE),Ref_Kontak!$H$2))</f>
        <v>628999007703</v>
      </c>
      <c r="AA638" t="str">
        <f t="shared" si="54"/>
        <v/>
      </c>
      <c r="AB638" t="str">
        <f t="shared" si="55"/>
        <v/>
      </c>
      <c r="AC638" t="str">
        <f t="shared" si="56"/>
        <v>628999007703</v>
      </c>
      <c r="AD638" t="str">
        <f t="shared" si="58"/>
        <v>Halo+,+Visual+AI+5S+menditeksi+Violation%3A+GUDANGACC1-LINE+11</v>
      </c>
      <c r="AE638" t="str">
        <f t="shared" si="57"/>
        <v>https://web.whatsapp.com/send/?phone=628999007703&amp;text=Halo+,+Visual+AI+5S+menditeksi+Violation%3A+GUDANGACC1-LINE+11&amp;type=phone_number&amp;app_absent=0</v>
      </c>
      <c r="AF638" t="b">
        <f>IF(ISNA(VLOOKUP(D638&amp;"-"&amp;AB638, Ref_Kontak!$A:$E, 4, FALSE)), FALSE, TRUE)</f>
        <v>0</v>
      </c>
      <c r="AG638" t="str">
        <f>_xlfn.IFNA(VLOOKUP(Z638,Ref_Kontak!H:H,1,FALSE),"FALSE")</f>
        <v>628999007703</v>
      </c>
      <c r="AH638" t="str">
        <f t="shared" si="59"/>
        <v>GUDANGACC1-LINE 11</v>
      </c>
      <c r="AI638">
        <f>COUNTIF($AH$1:AH638,AH638)</f>
        <v>74</v>
      </c>
    </row>
    <row r="639" spans="1:35">
      <c r="A639" t="s">
        <v>56</v>
      </c>
      <c r="B639" t="s">
        <v>57</v>
      </c>
      <c r="C639" t="s">
        <v>649</v>
      </c>
      <c r="D639" t="s">
        <v>627</v>
      </c>
      <c r="E639">
        <v>1</v>
      </c>
      <c r="G639" t="s">
        <v>571</v>
      </c>
      <c r="I639" t="s">
        <v>61</v>
      </c>
      <c r="Z639" t="str">
        <f>IFERROR(MID(AA639,FIND("-",H639,1)+1,20),_xlfn.IFNA(VLOOKUP(F639&amp;"-"&amp;AA639,Ref_Kontak!$A:$E,4,FALSE),Ref_Kontak!$H$2))</f>
        <v>628999007703</v>
      </c>
      <c r="AA639" t="str">
        <f t="shared" si="54"/>
        <v/>
      </c>
      <c r="AB639" t="str">
        <f t="shared" si="55"/>
        <v/>
      </c>
      <c r="AC639" t="str">
        <f t="shared" si="56"/>
        <v>628999007703</v>
      </c>
      <c r="AD639" t="str">
        <f t="shared" si="58"/>
        <v>Halo+,+Visual+AI+5S+menditeksi+Violation%3A+GUDANGACC1-LINE+5</v>
      </c>
      <c r="AE639" t="str">
        <f t="shared" si="57"/>
        <v>https://web.whatsapp.com/send/?phone=628999007703&amp;text=Halo+,+Visual+AI+5S+menditeksi+Violation%3A+GUDANGACC1-LINE+5&amp;type=phone_number&amp;app_absent=0</v>
      </c>
      <c r="AF639" t="b">
        <f>IF(ISNA(VLOOKUP(D639&amp;"-"&amp;AB639, Ref_Kontak!$A:$E, 4, FALSE)), FALSE, TRUE)</f>
        <v>0</v>
      </c>
      <c r="AG639" t="str">
        <f>_xlfn.IFNA(VLOOKUP(Z639,Ref_Kontak!H:H,1,FALSE),"FALSE")</f>
        <v>628999007703</v>
      </c>
      <c r="AH639" t="str">
        <f t="shared" si="59"/>
        <v>GUDANGACC1-LINE 5</v>
      </c>
      <c r="AI639">
        <f>COUNTIF($AH$1:AH639,AH639)</f>
        <v>22</v>
      </c>
    </row>
    <row r="640" spans="1:35">
      <c r="A640" t="s">
        <v>56</v>
      </c>
      <c r="B640" t="s">
        <v>57</v>
      </c>
      <c r="C640" t="s">
        <v>649</v>
      </c>
      <c r="D640" t="s">
        <v>609</v>
      </c>
      <c r="E640">
        <v>1</v>
      </c>
      <c r="G640" t="s">
        <v>571</v>
      </c>
      <c r="I640" t="s">
        <v>61</v>
      </c>
      <c r="Z640" t="str">
        <f>IFERROR(MID(AA640,FIND("-",H640,1)+1,20),_xlfn.IFNA(VLOOKUP(F640&amp;"-"&amp;AA640,Ref_Kontak!$A:$E,4,FALSE),Ref_Kontak!$H$2))</f>
        <v>628999007703</v>
      </c>
      <c r="AA640" t="str">
        <f t="shared" si="54"/>
        <v/>
      </c>
      <c r="AB640" t="str">
        <f t="shared" si="55"/>
        <v/>
      </c>
      <c r="AC640" t="str">
        <f t="shared" si="56"/>
        <v>628999007703</v>
      </c>
      <c r="AD640" t="str">
        <f t="shared" si="58"/>
        <v>Halo+,+Visual+AI+5S+menditeksi+Violation%3A+GUDANGACC1-LINE+6</v>
      </c>
      <c r="AE640" t="str">
        <f t="shared" si="57"/>
        <v>https://web.whatsapp.com/send/?phone=628999007703&amp;text=Halo+,+Visual+AI+5S+menditeksi+Violation%3A+GUDANGACC1-LINE+6&amp;type=phone_number&amp;app_absent=0</v>
      </c>
      <c r="AF640" t="b">
        <f>IF(ISNA(VLOOKUP(D640&amp;"-"&amp;AB640, Ref_Kontak!$A:$E, 4, FALSE)), FALSE, TRUE)</f>
        <v>0</v>
      </c>
      <c r="AG640" t="str">
        <f>_xlfn.IFNA(VLOOKUP(Z640,Ref_Kontak!H:H,1,FALSE),"FALSE")</f>
        <v>628999007703</v>
      </c>
      <c r="AH640" t="str">
        <f t="shared" si="59"/>
        <v>GUDANGACC1-LINE 6</v>
      </c>
      <c r="AI640">
        <f>COUNTIF($AH$1:AH640,AH640)</f>
        <v>38</v>
      </c>
    </row>
    <row r="641" spans="1:35">
      <c r="A641" t="s">
        <v>56</v>
      </c>
      <c r="B641" t="s">
        <v>57</v>
      </c>
      <c r="C641" t="s">
        <v>650</v>
      </c>
      <c r="D641" t="s">
        <v>570</v>
      </c>
      <c r="E641">
        <v>1</v>
      </c>
      <c r="G641" t="s">
        <v>571</v>
      </c>
      <c r="I641" t="s">
        <v>61</v>
      </c>
      <c r="Z641" t="str">
        <f>IFERROR(MID(AA641,FIND("-",H641,1)+1,20),_xlfn.IFNA(VLOOKUP(F641&amp;"-"&amp;AA641,Ref_Kontak!$A:$E,4,FALSE),Ref_Kontak!$H$2))</f>
        <v>628999007703</v>
      </c>
      <c r="AA641" t="str">
        <f t="shared" si="54"/>
        <v/>
      </c>
      <c r="AB641" t="str">
        <f t="shared" si="55"/>
        <v/>
      </c>
      <c r="AC641" t="str">
        <f t="shared" si="56"/>
        <v>628999007703</v>
      </c>
      <c r="AD641" t="str">
        <f t="shared" si="58"/>
        <v>Halo+,+Visual+AI+5S+menditeksi+Violation%3A+GUDANGACC1-LINE+11</v>
      </c>
      <c r="AE641" t="str">
        <f t="shared" si="57"/>
        <v>https://web.whatsapp.com/send/?phone=628999007703&amp;text=Halo+,+Visual+AI+5S+menditeksi+Violation%3A+GUDANGACC1-LINE+11&amp;type=phone_number&amp;app_absent=0</v>
      </c>
      <c r="AF641" t="b">
        <f>IF(ISNA(VLOOKUP(D641&amp;"-"&amp;AB641, Ref_Kontak!$A:$E, 4, FALSE)), FALSE, TRUE)</f>
        <v>0</v>
      </c>
      <c r="AG641" t="str">
        <f>_xlfn.IFNA(VLOOKUP(Z641,Ref_Kontak!H:H,1,FALSE),"FALSE")</f>
        <v>628999007703</v>
      </c>
      <c r="AH641" t="str">
        <f t="shared" si="59"/>
        <v>GUDANGACC1-LINE 11</v>
      </c>
      <c r="AI641">
        <f>COUNTIF($AH$1:AH641,AH641)</f>
        <v>75</v>
      </c>
    </row>
    <row r="642" spans="1:35">
      <c r="A642" t="s">
        <v>56</v>
      </c>
      <c r="B642" t="s">
        <v>57</v>
      </c>
      <c r="C642" t="s">
        <v>650</v>
      </c>
      <c r="D642" t="s">
        <v>627</v>
      </c>
      <c r="E642">
        <v>1</v>
      </c>
      <c r="G642" t="s">
        <v>571</v>
      </c>
      <c r="I642" t="s">
        <v>61</v>
      </c>
      <c r="Z642" t="str">
        <f>IFERROR(MID(AA642,FIND("-",H642,1)+1,20),_xlfn.IFNA(VLOOKUP(F642&amp;"-"&amp;AA642,Ref_Kontak!$A:$E,4,FALSE),Ref_Kontak!$H$2))</f>
        <v>628999007703</v>
      </c>
      <c r="AA642" t="str">
        <f t="shared" ref="AA642:AA705" si="60">CLEAN(SUBSTITUTE(H642," ",""))</f>
        <v/>
      </c>
      <c r="AB642" t="str">
        <f t="shared" ref="AB642:AB705" si="61">IFERROR(LEFT(AA642,FIND("-",H642,1)-1),CLEAN(SUBSTITUTE(SUBSTITUTE(H642," ",""),"-","")))</f>
        <v/>
      </c>
      <c r="AC642" t="str">
        <f t="shared" ref="AC642:AC705" si="62">IF(LEFT(Z642,1)="0","62"&amp; MID(Z642,2,999),Z642)</f>
        <v>628999007703</v>
      </c>
      <c r="AD642" t="str">
        <f t="shared" si="58"/>
        <v>Halo+,+Visual+AI+5S+menditeksi+Violation%3A+GUDANGACC1-LINE+5</v>
      </c>
      <c r="AE642" t="str">
        <f t="shared" ref="AE642:AE705" si="63">"https://web.whatsapp.com/send/?phone="&amp;AC642&amp;"&amp;text="&amp;AD642&amp;"&amp;type=phone_number&amp;app_absent=0"</f>
        <v>https://web.whatsapp.com/send/?phone=628999007703&amp;text=Halo+,+Visual+AI+5S+menditeksi+Violation%3A+GUDANGACC1-LINE+5&amp;type=phone_number&amp;app_absent=0</v>
      </c>
      <c r="AF642" t="b">
        <f>IF(ISNA(VLOOKUP(D642&amp;"-"&amp;AB642, Ref_Kontak!$A:$E, 4, FALSE)), FALSE, TRUE)</f>
        <v>0</v>
      </c>
      <c r="AG642" t="str">
        <f>_xlfn.IFNA(VLOOKUP(Z642,Ref_Kontak!H:H,1,FALSE),"FALSE")</f>
        <v>628999007703</v>
      </c>
      <c r="AH642" t="str">
        <f t="shared" si="59"/>
        <v>GUDANGACC1-LINE 5</v>
      </c>
      <c r="AI642">
        <f>COUNTIF($AH$1:AH642,AH642)</f>
        <v>23</v>
      </c>
    </row>
    <row r="643" spans="1:35">
      <c r="A643" t="s">
        <v>56</v>
      </c>
      <c r="B643" t="s">
        <v>57</v>
      </c>
      <c r="C643" t="s">
        <v>650</v>
      </c>
      <c r="D643" t="s">
        <v>609</v>
      </c>
      <c r="E643">
        <v>1</v>
      </c>
      <c r="G643" t="s">
        <v>571</v>
      </c>
      <c r="I643" t="s">
        <v>61</v>
      </c>
      <c r="Z643" t="str">
        <f>IFERROR(MID(AA643,FIND("-",H643,1)+1,20),_xlfn.IFNA(VLOOKUP(F643&amp;"-"&amp;AA643,Ref_Kontak!$A:$E,4,FALSE),Ref_Kontak!$H$2))</f>
        <v>628999007703</v>
      </c>
      <c r="AA643" t="str">
        <f t="shared" si="60"/>
        <v/>
      </c>
      <c r="AB643" t="str">
        <f t="shared" si="61"/>
        <v/>
      </c>
      <c r="AC643" t="str">
        <f t="shared" si="62"/>
        <v>628999007703</v>
      </c>
      <c r="AD643" t="str">
        <f t="shared" ref="AD643:AD706" si="64">"Halo+"&amp;AB643&amp;","&amp;"+Visual+AI+5S+menditeksi+Violation%3A+"&amp;SUBSTITUTE(AH643," ","+")</f>
        <v>Halo+,+Visual+AI+5S+menditeksi+Violation%3A+GUDANGACC1-LINE+6</v>
      </c>
      <c r="AE643" t="str">
        <f t="shared" si="63"/>
        <v>https://web.whatsapp.com/send/?phone=628999007703&amp;text=Halo+,+Visual+AI+5S+menditeksi+Violation%3A+GUDANGACC1-LINE+6&amp;type=phone_number&amp;app_absent=0</v>
      </c>
      <c r="AF643" t="b">
        <f>IF(ISNA(VLOOKUP(D643&amp;"-"&amp;AB643, Ref_Kontak!$A:$E, 4, FALSE)), FALSE, TRUE)</f>
        <v>0</v>
      </c>
      <c r="AG643" t="str">
        <f>_xlfn.IFNA(VLOOKUP(Z643,Ref_Kontak!H:H,1,FALSE),"FALSE")</f>
        <v>628999007703</v>
      </c>
      <c r="AH643" t="str">
        <f t="shared" ref="AH643:AH706" si="65">G643&amp;"-"&amp;D643</f>
        <v>GUDANGACC1-LINE 6</v>
      </c>
      <c r="AI643">
        <f>COUNTIF($AH$1:AH643,AH643)</f>
        <v>39</v>
      </c>
    </row>
    <row r="644" spans="1:35">
      <c r="A644" t="s">
        <v>56</v>
      </c>
      <c r="B644" t="s">
        <v>57</v>
      </c>
      <c r="C644" t="s">
        <v>651</v>
      </c>
      <c r="D644" t="s">
        <v>570</v>
      </c>
      <c r="E644">
        <v>1</v>
      </c>
      <c r="G644" t="s">
        <v>571</v>
      </c>
      <c r="I644" t="s">
        <v>61</v>
      </c>
      <c r="Z644" t="str">
        <f>IFERROR(MID(AA644,FIND("-",H644,1)+1,20),_xlfn.IFNA(VLOOKUP(F644&amp;"-"&amp;AA644,Ref_Kontak!$A:$E,4,FALSE),Ref_Kontak!$H$2))</f>
        <v>628999007703</v>
      </c>
      <c r="AA644" t="str">
        <f t="shared" si="60"/>
        <v/>
      </c>
      <c r="AB644" t="str">
        <f t="shared" si="61"/>
        <v/>
      </c>
      <c r="AC644" t="str">
        <f t="shared" si="62"/>
        <v>628999007703</v>
      </c>
      <c r="AD644" t="str">
        <f t="shared" si="64"/>
        <v>Halo+,+Visual+AI+5S+menditeksi+Violation%3A+GUDANGACC1-LINE+11</v>
      </c>
      <c r="AE644" t="str">
        <f t="shared" si="63"/>
        <v>https://web.whatsapp.com/send/?phone=628999007703&amp;text=Halo+,+Visual+AI+5S+menditeksi+Violation%3A+GUDANGACC1-LINE+11&amp;type=phone_number&amp;app_absent=0</v>
      </c>
      <c r="AF644" t="b">
        <f>IF(ISNA(VLOOKUP(D644&amp;"-"&amp;AB644, Ref_Kontak!$A:$E, 4, FALSE)), FALSE, TRUE)</f>
        <v>0</v>
      </c>
      <c r="AG644" t="str">
        <f>_xlfn.IFNA(VLOOKUP(Z644,Ref_Kontak!H:H,1,FALSE),"FALSE")</f>
        <v>628999007703</v>
      </c>
      <c r="AH644" t="str">
        <f t="shared" si="65"/>
        <v>GUDANGACC1-LINE 11</v>
      </c>
      <c r="AI644">
        <f>COUNTIF($AH$1:AH644,AH644)</f>
        <v>76</v>
      </c>
    </row>
    <row r="645" spans="1:35">
      <c r="A645" t="s">
        <v>56</v>
      </c>
      <c r="B645" t="s">
        <v>57</v>
      </c>
      <c r="C645" t="s">
        <v>651</v>
      </c>
      <c r="D645" t="s">
        <v>627</v>
      </c>
      <c r="E645">
        <v>1</v>
      </c>
      <c r="G645" t="s">
        <v>571</v>
      </c>
      <c r="I645" t="s">
        <v>61</v>
      </c>
      <c r="Z645" t="str">
        <f>IFERROR(MID(AA645,FIND("-",H645,1)+1,20),_xlfn.IFNA(VLOOKUP(F645&amp;"-"&amp;AA645,Ref_Kontak!$A:$E,4,FALSE),Ref_Kontak!$H$2))</f>
        <v>628999007703</v>
      </c>
      <c r="AA645" t="str">
        <f t="shared" si="60"/>
        <v/>
      </c>
      <c r="AB645" t="str">
        <f t="shared" si="61"/>
        <v/>
      </c>
      <c r="AC645" t="str">
        <f t="shared" si="62"/>
        <v>628999007703</v>
      </c>
      <c r="AD645" t="str">
        <f t="shared" si="64"/>
        <v>Halo+,+Visual+AI+5S+menditeksi+Violation%3A+GUDANGACC1-LINE+5</v>
      </c>
      <c r="AE645" t="str">
        <f t="shared" si="63"/>
        <v>https://web.whatsapp.com/send/?phone=628999007703&amp;text=Halo+,+Visual+AI+5S+menditeksi+Violation%3A+GUDANGACC1-LINE+5&amp;type=phone_number&amp;app_absent=0</v>
      </c>
      <c r="AF645" t="b">
        <f>IF(ISNA(VLOOKUP(D645&amp;"-"&amp;AB645, Ref_Kontak!$A:$E, 4, FALSE)), FALSE, TRUE)</f>
        <v>0</v>
      </c>
      <c r="AG645" t="str">
        <f>_xlfn.IFNA(VLOOKUP(Z645,Ref_Kontak!H:H,1,FALSE),"FALSE")</f>
        <v>628999007703</v>
      </c>
      <c r="AH645" t="str">
        <f t="shared" si="65"/>
        <v>GUDANGACC1-LINE 5</v>
      </c>
      <c r="AI645">
        <f>COUNTIF($AH$1:AH645,AH645)</f>
        <v>24</v>
      </c>
    </row>
    <row r="646" spans="1:35">
      <c r="A646" t="s">
        <v>56</v>
      </c>
      <c r="B646" t="s">
        <v>57</v>
      </c>
      <c r="C646" t="s">
        <v>651</v>
      </c>
      <c r="D646" t="s">
        <v>609</v>
      </c>
      <c r="E646">
        <v>1</v>
      </c>
      <c r="G646" t="s">
        <v>571</v>
      </c>
      <c r="I646" t="s">
        <v>61</v>
      </c>
      <c r="Z646" t="str">
        <f>IFERROR(MID(AA646,FIND("-",H646,1)+1,20),_xlfn.IFNA(VLOOKUP(F646&amp;"-"&amp;AA646,Ref_Kontak!$A:$E,4,FALSE),Ref_Kontak!$H$2))</f>
        <v>628999007703</v>
      </c>
      <c r="AA646" t="str">
        <f t="shared" si="60"/>
        <v/>
      </c>
      <c r="AB646" t="str">
        <f t="shared" si="61"/>
        <v/>
      </c>
      <c r="AC646" t="str">
        <f t="shared" si="62"/>
        <v>628999007703</v>
      </c>
      <c r="AD646" t="str">
        <f t="shared" si="64"/>
        <v>Halo+,+Visual+AI+5S+menditeksi+Violation%3A+GUDANGACC1-LINE+6</v>
      </c>
      <c r="AE646" t="str">
        <f t="shared" si="63"/>
        <v>https://web.whatsapp.com/send/?phone=628999007703&amp;text=Halo+,+Visual+AI+5S+menditeksi+Violation%3A+GUDANGACC1-LINE+6&amp;type=phone_number&amp;app_absent=0</v>
      </c>
      <c r="AF646" t="b">
        <f>IF(ISNA(VLOOKUP(D646&amp;"-"&amp;AB646, Ref_Kontak!$A:$E, 4, FALSE)), FALSE, TRUE)</f>
        <v>0</v>
      </c>
      <c r="AG646" t="str">
        <f>_xlfn.IFNA(VLOOKUP(Z646,Ref_Kontak!H:H,1,FALSE),"FALSE")</f>
        <v>628999007703</v>
      </c>
      <c r="AH646" t="str">
        <f t="shared" si="65"/>
        <v>GUDANGACC1-LINE 6</v>
      </c>
      <c r="AI646">
        <f>COUNTIF($AH$1:AH646,AH646)</f>
        <v>40</v>
      </c>
    </row>
    <row r="647" spans="1:35">
      <c r="A647" t="s">
        <v>56</v>
      </c>
      <c r="B647" t="s">
        <v>57</v>
      </c>
      <c r="C647" t="s">
        <v>652</v>
      </c>
      <c r="D647" t="s">
        <v>570</v>
      </c>
      <c r="E647">
        <v>1</v>
      </c>
      <c r="G647" t="s">
        <v>571</v>
      </c>
      <c r="I647" t="s">
        <v>61</v>
      </c>
      <c r="Z647" t="str">
        <f>IFERROR(MID(AA647,FIND("-",H647,1)+1,20),_xlfn.IFNA(VLOOKUP(F647&amp;"-"&amp;AA647,Ref_Kontak!$A:$E,4,FALSE),Ref_Kontak!$H$2))</f>
        <v>628999007703</v>
      </c>
      <c r="AA647" t="str">
        <f t="shared" si="60"/>
        <v/>
      </c>
      <c r="AB647" t="str">
        <f t="shared" si="61"/>
        <v/>
      </c>
      <c r="AC647" t="str">
        <f t="shared" si="62"/>
        <v>628999007703</v>
      </c>
      <c r="AD647" t="str">
        <f t="shared" si="64"/>
        <v>Halo+,+Visual+AI+5S+menditeksi+Violation%3A+GUDANGACC1-LINE+11</v>
      </c>
      <c r="AE647" t="str">
        <f t="shared" si="63"/>
        <v>https://web.whatsapp.com/send/?phone=628999007703&amp;text=Halo+,+Visual+AI+5S+menditeksi+Violation%3A+GUDANGACC1-LINE+11&amp;type=phone_number&amp;app_absent=0</v>
      </c>
      <c r="AF647" t="b">
        <f>IF(ISNA(VLOOKUP(D647&amp;"-"&amp;AB647, Ref_Kontak!$A:$E, 4, FALSE)), FALSE, TRUE)</f>
        <v>0</v>
      </c>
      <c r="AG647" t="str">
        <f>_xlfn.IFNA(VLOOKUP(Z647,Ref_Kontak!H:H,1,FALSE),"FALSE")</f>
        <v>628999007703</v>
      </c>
      <c r="AH647" t="str">
        <f t="shared" si="65"/>
        <v>GUDANGACC1-LINE 11</v>
      </c>
      <c r="AI647">
        <f>COUNTIF($AH$1:AH647,AH647)</f>
        <v>77</v>
      </c>
    </row>
    <row r="648" spans="1:35">
      <c r="A648" t="s">
        <v>56</v>
      </c>
      <c r="B648" t="s">
        <v>57</v>
      </c>
      <c r="C648" t="s">
        <v>652</v>
      </c>
      <c r="D648" t="s">
        <v>627</v>
      </c>
      <c r="E648">
        <v>1</v>
      </c>
      <c r="G648" t="s">
        <v>571</v>
      </c>
      <c r="I648" t="s">
        <v>61</v>
      </c>
      <c r="Z648" t="str">
        <f>IFERROR(MID(AA648,FIND("-",H648,1)+1,20),_xlfn.IFNA(VLOOKUP(F648&amp;"-"&amp;AA648,Ref_Kontak!$A:$E,4,FALSE),Ref_Kontak!$H$2))</f>
        <v>628999007703</v>
      </c>
      <c r="AA648" t="str">
        <f t="shared" si="60"/>
        <v/>
      </c>
      <c r="AB648" t="str">
        <f t="shared" si="61"/>
        <v/>
      </c>
      <c r="AC648" t="str">
        <f t="shared" si="62"/>
        <v>628999007703</v>
      </c>
      <c r="AD648" t="str">
        <f t="shared" si="64"/>
        <v>Halo+,+Visual+AI+5S+menditeksi+Violation%3A+GUDANGACC1-LINE+5</v>
      </c>
      <c r="AE648" t="str">
        <f t="shared" si="63"/>
        <v>https://web.whatsapp.com/send/?phone=628999007703&amp;text=Halo+,+Visual+AI+5S+menditeksi+Violation%3A+GUDANGACC1-LINE+5&amp;type=phone_number&amp;app_absent=0</v>
      </c>
      <c r="AF648" t="b">
        <f>IF(ISNA(VLOOKUP(D648&amp;"-"&amp;AB648, Ref_Kontak!$A:$E, 4, FALSE)), FALSE, TRUE)</f>
        <v>0</v>
      </c>
      <c r="AG648" t="str">
        <f>_xlfn.IFNA(VLOOKUP(Z648,Ref_Kontak!H:H,1,FALSE),"FALSE")</f>
        <v>628999007703</v>
      </c>
      <c r="AH648" t="str">
        <f t="shared" si="65"/>
        <v>GUDANGACC1-LINE 5</v>
      </c>
      <c r="AI648">
        <f>COUNTIF($AH$1:AH648,AH648)</f>
        <v>25</v>
      </c>
    </row>
    <row r="649" spans="1:35">
      <c r="A649" t="s">
        <v>56</v>
      </c>
      <c r="B649" t="s">
        <v>57</v>
      </c>
      <c r="C649" t="s">
        <v>652</v>
      </c>
      <c r="D649" t="s">
        <v>609</v>
      </c>
      <c r="E649">
        <v>1</v>
      </c>
      <c r="G649" t="s">
        <v>571</v>
      </c>
      <c r="I649" t="s">
        <v>61</v>
      </c>
      <c r="Z649" t="str">
        <f>IFERROR(MID(AA649,FIND("-",H649,1)+1,20),_xlfn.IFNA(VLOOKUP(F649&amp;"-"&amp;AA649,Ref_Kontak!$A:$E,4,FALSE),Ref_Kontak!$H$2))</f>
        <v>628999007703</v>
      </c>
      <c r="AA649" t="str">
        <f t="shared" si="60"/>
        <v/>
      </c>
      <c r="AB649" t="str">
        <f t="shared" si="61"/>
        <v/>
      </c>
      <c r="AC649" t="str">
        <f t="shared" si="62"/>
        <v>628999007703</v>
      </c>
      <c r="AD649" t="str">
        <f t="shared" si="64"/>
        <v>Halo+,+Visual+AI+5S+menditeksi+Violation%3A+GUDANGACC1-LINE+6</v>
      </c>
      <c r="AE649" t="str">
        <f t="shared" si="63"/>
        <v>https://web.whatsapp.com/send/?phone=628999007703&amp;text=Halo+,+Visual+AI+5S+menditeksi+Violation%3A+GUDANGACC1-LINE+6&amp;type=phone_number&amp;app_absent=0</v>
      </c>
      <c r="AF649" t="b">
        <f>IF(ISNA(VLOOKUP(D649&amp;"-"&amp;AB649, Ref_Kontak!$A:$E, 4, FALSE)), FALSE, TRUE)</f>
        <v>0</v>
      </c>
      <c r="AG649" t="str">
        <f>_xlfn.IFNA(VLOOKUP(Z649,Ref_Kontak!H:H,1,FALSE),"FALSE")</f>
        <v>628999007703</v>
      </c>
      <c r="AH649" t="str">
        <f t="shared" si="65"/>
        <v>GUDANGACC1-LINE 6</v>
      </c>
      <c r="AI649">
        <f>COUNTIF($AH$1:AH649,AH649)</f>
        <v>41</v>
      </c>
    </row>
    <row r="650" spans="1:35">
      <c r="A650" t="s">
        <v>56</v>
      </c>
      <c r="B650" t="s">
        <v>57</v>
      </c>
      <c r="C650" t="s">
        <v>653</v>
      </c>
      <c r="D650" t="s">
        <v>570</v>
      </c>
      <c r="E650">
        <v>1</v>
      </c>
      <c r="G650" t="s">
        <v>571</v>
      </c>
      <c r="I650" t="s">
        <v>61</v>
      </c>
      <c r="Z650" t="str">
        <f>IFERROR(MID(AA650,FIND("-",H650,1)+1,20),_xlfn.IFNA(VLOOKUP(F650&amp;"-"&amp;AA650,Ref_Kontak!$A:$E,4,FALSE),Ref_Kontak!$H$2))</f>
        <v>628999007703</v>
      </c>
      <c r="AA650" t="str">
        <f t="shared" si="60"/>
        <v/>
      </c>
      <c r="AB650" t="str">
        <f t="shared" si="61"/>
        <v/>
      </c>
      <c r="AC650" t="str">
        <f t="shared" si="62"/>
        <v>628999007703</v>
      </c>
      <c r="AD650" t="str">
        <f t="shared" si="64"/>
        <v>Halo+,+Visual+AI+5S+menditeksi+Violation%3A+GUDANGACC1-LINE+11</v>
      </c>
      <c r="AE650" t="str">
        <f t="shared" si="63"/>
        <v>https://web.whatsapp.com/send/?phone=628999007703&amp;text=Halo+,+Visual+AI+5S+menditeksi+Violation%3A+GUDANGACC1-LINE+11&amp;type=phone_number&amp;app_absent=0</v>
      </c>
      <c r="AF650" t="b">
        <f>IF(ISNA(VLOOKUP(D650&amp;"-"&amp;AB650, Ref_Kontak!$A:$E, 4, FALSE)), FALSE, TRUE)</f>
        <v>0</v>
      </c>
      <c r="AG650" t="str">
        <f>_xlfn.IFNA(VLOOKUP(Z650,Ref_Kontak!H:H,1,FALSE),"FALSE")</f>
        <v>628999007703</v>
      </c>
      <c r="AH650" t="str">
        <f t="shared" si="65"/>
        <v>GUDANGACC1-LINE 11</v>
      </c>
      <c r="AI650">
        <f>COUNTIF($AH$1:AH650,AH650)</f>
        <v>78</v>
      </c>
    </row>
    <row r="651" spans="1:35">
      <c r="A651" t="s">
        <v>56</v>
      </c>
      <c r="B651" t="s">
        <v>57</v>
      </c>
      <c r="C651" t="s">
        <v>653</v>
      </c>
      <c r="D651" t="s">
        <v>627</v>
      </c>
      <c r="E651">
        <v>1</v>
      </c>
      <c r="G651" t="s">
        <v>571</v>
      </c>
      <c r="I651" t="s">
        <v>61</v>
      </c>
      <c r="Z651" t="str">
        <f>IFERROR(MID(AA651,FIND("-",H651,1)+1,20),_xlfn.IFNA(VLOOKUP(F651&amp;"-"&amp;AA651,Ref_Kontak!$A:$E,4,FALSE),Ref_Kontak!$H$2))</f>
        <v>628999007703</v>
      </c>
      <c r="AA651" t="str">
        <f t="shared" si="60"/>
        <v/>
      </c>
      <c r="AB651" t="str">
        <f t="shared" si="61"/>
        <v/>
      </c>
      <c r="AC651" t="str">
        <f t="shared" si="62"/>
        <v>628999007703</v>
      </c>
      <c r="AD651" t="str">
        <f t="shared" si="64"/>
        <v>Halo+,+Visual+AI+5S+menditeksi+Violation%3A+GUDANGACC1-LINE+5</v>
      </c>
      <c r="AE651" t="str">
        <f t="shared" si="63"/>
        <v>https://web.whatsapp.com/send/?phone=628999007703&amp;text=Halo+,+Visual+AI+5S+menditeksi+Violation%3A+GUDANGACC1-LINE+5&amp;type=phone_number&amp;app_absent=0</v>
      </c>
      <c r="AF651" t="b">
        <f>IF(ISNA(VLOOKUP(D651&amp;"-"&amp;AB651, Ref_Kontak!$A:$E, 4, FALSE)), FALSE, TRUE)</f>
        <v>0</v>
      </c>
      <c r="AG651" t="str">
        <f>_xlfn.IFNA(VLOOKUP(Z651,Ref_Kontak!H:H,1,FALSE),"FALSE")</f>
        <v>628999007703</v>
      </c>
      <c r="AH651" t="str">
        <f t="shared" si="65"/>
        <v>GUDANGACC1-LINE 5</v>
      </c>
      <c r="AI651">
        <f>COUNTIF($AH$1:AH651,AH651)</f>
        <v>26</v>
      </c>
    </row>
    <row r="652" spans="1:35">
      <c r="A652" t="s">
        <v>56</v>
      </c>
      <c r="B652" t="s">
        <v>57</v>
      </c>
      <c r="C652" t="s">
        <v>653</v>
      </c>
      <c r="D652" t="s">
        <v>609</v>
      </c>
      <c r="E652">
        <v>1</v>
      </c>
      <c r="G652" t="s">
        <v>571</v>
      </c>
      <c r="I652" t="s">
        <v>61</v>
      </c>
      <c r="Z652" t="str">
        <f>IFERROR(MID(AA652,FIND("-",H652,1)+1,20),_xlfn.IFNA(VLOOKUP(F652&amp;"-"&amp;AA652,Ref_Kontak!$A:$E,4,FALSE),Ref_Kontak!$H$2))</f>
        <v>628999007703</v>
      </c>
      <c r="AA652" t="str">
        <f t="shared" si="60"/>
        <v/>
      </c>
      <c r="AB652" t="str">
        <f t="shared" si="61"/>
        <v/>
      </c>
      <c r="AC652" t="str">
        <f t="shared" si="62"/>
        <v>628999007703</v>
      </c>
      <c r="AD652" t="str">
        <f t="shared" si="64"/>
        <v>Halo+,+Visual+AI+5S+menditeksi+Violation%3A+GUDANGACC1-LINE+6</v>
      </c>
      <c r="AE652" t="str">
        <f t="shared" si="63"/>
        <v>https://web.whatsapp.com/send/?phone=628999007703&amp;text=Halo+,+Visual+AI+5S+menditeksi+Violation%3A+GUDANGACC1-LINE+6&amp;type=phone_number&amp;app_absent=0</v>
      </c>
      <c r="AF652" t="b">
        <f>IF(ISNA(VLOOKUP(D652&amp;"-"&amp;AB652, Ref_Kontak!$A:$E, 4, FALSE)), FALSE, TRUE)</f>
        <v>0</v>
      </c>
      <c r="AG652" t="str">
        <f>_xlfn.IFNA(VLOOKUP(Z652,Ref_Kontak!H:H,1,FALSE),"FALSE")</f>
        <v>628999007703</v>
      </c>
      <c r="AH652" t="str">
        <f t="shared" si="65"/>
        <v>GUDANGACC1-LINE 6</v>
      </c>
      <c r="AI652">
        <f>COUNTIF($AH$1:AH652,AH652)</f>
        <v>42</v>
      </c>
    </row>
    <row r="653" spans="1:35">
      <c r="A653" t="s">
        <v>56</v>
      </c>
      <c r="B653" t="s">
        <v>57</v>
      </c>
      <c r="C653" t="s">
        <v>654</v>
      </c>
      <c r="D653" t="s">
        <v>570</v>
      </c>
      <c r="E653">
        <v>1</v>
      </c>
      <c r="G653" t="s">
        <v>571</v>
      </c>
      <c r="I653" t="s">
        <v>61</v>
      </c>
      <c r="Z653" t="str">
        <f>IFERROR(MID(AA653,FIND("-",H653,1)+1,20),_xlfn.IFNA(VLOOKUP(F653&amp;"-"&amp;AA653,Ref_Kontak!$A:$E,4,FALSE),Ref_Kontak!$H$2))</f>
        <v>628999007703</v>
      </c>
      <c r="AA653" t="str">
        <f t="shared" si="60"/>
        <v/>
      </c>
      <c r="AB653" t="str">
        <f t="shared" si="61"/>
        <v/>
      </c>
      <c r="AC653" t="str">
        <f t="shared" si="62"/>
        <v>628999007703</v>
      </c>
      <c r="AD653" t="str">
        <f t="shared" si="64"/>
        <v>Halo+,+Visual+AI+5S+menditeksi+Violation%3A+GUDANGACC1-LINE+11</v>
      </c>
      <c r="AE653" t="str">
        <f t="shared" si="63"/>
        <v>https://web.whatsapp.com/send/?phone=628999007703&amp;text=Halo+,+Visual+AI+5S+menditeksi+Violation%3A+GUDANGACC1-LINE+11&amp;type=phone_number&amp;app_absent=0</v>
      </c>
      <c r="AF653" t="b">
        <f>IF(ISNA(VLOOKUP(D653&amp;"-"&amp;AB653, Ref_Kontak!$A:$E, 4, FALSE)), FALSE, TRUE)</f>
        <v>0</v>
      </c>
      <c r="AG653" t="str">
        <f>_xlfn.IFNA(VLOOKUP(Z653,Ref_Kontak!H:H,1,FALSE),"FALSE")</f>
        <v>628999007703</v>
      </c>
      <c r="AH653" t="str">
        <f t="shared" si="65"/>
        <v>GUDANGACC1-LINE 11</v>
      </c>
      <c r="AI653">
        <f>COUNTIF($AH$1:AH653,AH653)</f>
        <v>79</v>
      </c>
    </row>
    <row r="654" spans="1:35">
      <c r="A654" t="s">
        <v>56</v>
      </c>
      <c r="B654" t="s">
        <v>57</v>
      </c>
      <c r="C654" t="s">
        <v>654</v>
      </c>
      <c r="D654" t="s">
        <v>627</v>
      </c>
      <c r="E654">
        <v>1</v>
      </c>
      <c r="G654" t="s">
        <v>571</v>
      </c>
      <c r="I654" t="s">
        <v>61</v>
      </c>
      <c r="Z654" t="str">
        <f>IFERROR(MID(AA654,FIND("-",H654,1)+1,20),_xlfn.IFNA(VLOOKUP(F654&amp;"-"&amp;AA654,Ref_Kontak!$A:$E,4,FALSE),Ref_Kontak!$H$2))</f>
        <v>628999007703</v>
      </c>
      <c r="AA654" t="str">
        <f t="shared" si="60"/>
        <v/>
      </c>
      <c r="AB654" t="str">
        <f t="shared" si="61"/>
        <v/>
      </c>
      <c r="AC654" t="str">
        <f t="shared" si="62"/>
        <v>628999007703</v>
      </c>
      <c r="AD654" t="str">
        <f t="shared" si="64"/>
        <v>Halo+,+Visual+AI+5S+menditeksi+Violation%3A+GUDANGACC1-LINE+5</v>
      </c>
      <c r="AE654" t="str">
        <f t="shared" si="63"/>
        <v>https://web.whatsapp.com/send/?phone=628999007703&amp;text=Halo+,+Visual+AI+5S+menditeksi+Violation%3A+GUDANGACC1-LINE+5&amp;type=phone_number&amp;app_absent=0</v>
      </c>
      <c r="AF654" t="b">
        <f>IF(ISNA(VLOOKUP(D654&amp;"-"&amp;AB654, Ref_Kontak!$A:$E, 4, FALSE)), FALSE, TRUE)</f>
        <v>0</v>
      </c>
      <c r="AG654" t="str">
        <f>_xlfn.IFNA(VLOOKUP(Z654,Ref_Kontak!H:H,1,FALSE),"FALSE")</f>
        <v>628999007703</v>
      </c>
      <c r="AH654" t="str">
        <f t="shared" si="65"/>
        <v>GUDANGACC1-LINE 5</v>
      </c>
      <c r="AI654">
        <f>COUNTIF($AH$1:AH654,AH654)</f>
        <v>27</v>
      </c>
    </row>
    <row r="655" spans="1:35">
      <c r="A655" t="s">
        <v>56</v>
      </c>
      <c r="B655" t="s">
        <v>57</v>
      </c>
      <c r="C655" t="s">
        <v>654</v>
      </c>
      <c r="D655" t="s">
        <v>609</v>
      </c>
      <c r="E655">
        <v>1</v>
      </c>
      <c r="G655" t="s">
        <v>571</v>
      </c>
      <c r="I655" t="s">
        <v>61</v>
      </c>
      <c r="Z655" t="str">
        <f>IFERROR(MID(AA655,FIND("-",H655,1)+1,20),_xlfn.IFNA(VLOOKUP(F655&amp;"-"&amp;AA655,Ref_Kontak!$A:$E,4,FALSE),Ref_Kontak!$H$2))</f>
        <v>628999007703</v>
      </c>
      <c r="AA655" t="str">
        <f t="shared" si="60"/>
        <v/>
      </c>
      <c r="AB655" t="str">
        <f t="shared" si="61"/>
        <v/>
      </c>
      <c r="AC655" t="str">
        <f t="shared" si="62"/>
        <v>628999007703</v>
      </c>
      <c r="AD655" t="str">
        <f t="shared" si="64"/>
        <v>Halo+,+Visual+AI+5S+menditeksi+Violation%3A+GUDANGACC1-LINE+6</v>
      </c>
      <c r="AE655" t="str">
        <f t="shared" si="63"/>
        <v>https://web.whatsapp.com/send/?phone=628999007703&amp;text=Halo+,+Visual+AI+5S+menditeksi+Violation%3A+GUDANGACC1-LINE+6&amp;type=phone_number&amp;app_absent=0</v>
      </c>
      <c r="AF655" t="b">
        <f>IF(ISNA(VLOOKUP(D655&amp;"-"&amp;AB655, Ref_Kontak!$A:$E, 4, FALSE)), FALSE, TRUE)</f>
        <v>0</v>
      </c>
      <c r="AG655" t="str">
        <f>_xlfn.IFNA(VLOOKUP(Z655,Ref_Kontak!H:H,1,FALSE),"FALSE")</f>
        <v>628999007703</v>
      </c>
      <c r="AH655" t="str">
        <f t="shared" si="65"/>
        <v>GUDANGACC1-LINE 6</v>
      </c>
      <c r="AI655">
        <f>COUNTIF($AH$1:AH655,AH655)</f>
        <v>43</v>
      </c>
    </row>
    <row r="656" spans="1:35">
      <c r="A656" t="s">
        <v>56</v>
      </c>
      <c r="B656" t="s">
        <v>57</v>
      </c>
      <c r="C656" t="s">
        <v>655</v>
      </c>
      <c r="D656" t="s">
        <v>570</v>
      </c>
      <c r="E656">
        <v>1</v>
      </c>
      <c r="G656" t="s">
        <v>571</v>
      </c>
      <c r="I656" t="s">
        <v>61</v>
      </c>
      <c r="Z656" t="str">
        <f>IFERROR(MID(AA656,FIND("-",H656,1)+1,20),_xlfn.IFNA(VLOOKUP(F656&amp;"-"&amp;AA656,Ref_Kontak!$A:$E,4,FALSE),Ref_Kontak!$H$2))</f>
        <v>628999007703</v>
      </c>
      <c r="AA656" t="str">
        <f t="shared" si="60"/>
        <v/>
      </c>
      <c r="AB656" t="str">
        <f t="shared" si="61"/>
        <v/>
      </c>
      <c r="AC656" t="str">
        <f t="shared" si="62"/>
        <v>628999007703</v>
      </c>
      <c r="AD656" t="str">
        <f t="shared" si="64"/>
        <v>Halo+,+Visual+AI+5S+menditeksi+Violation%3A+GUDANGACC1-LINE+11</v>
      </c>
      <c r="AE656" t="str">
        <f t="shared" si="63"/>
        <v>https://web.whatsapp.com/send/?phone=628999007703&amp;text=Halo+,+Visual+AI+5S+menditeksi+Violation%3A+GUDANGACC1-LINE+11&amp;type=phone_number&amp;app_absent=0</v>
      </c>
      <c r="AF656" t="b">
        <f>IF(ISNA(VLOOKUP(D656&amp;"-"&amp;AB656, Ref_Kontak!$A:$E, 4, FALSE)), FALSE, TRUE)</f>
        <v>0</v>
      </c>
      <c r="AG656" t="str">
        <f>_xlfn.IFNA(VLOOKUP(Z656,Ref_Kontak!H:H,1,FALSE),"FALSE")</f>
        <v>628999007703</v>
      </c>
      <c r="AH656" t="str">
        <f t="shared" si="65"/>
        <v>GUDANGACC1-LINE 11</v>
      </c>
      <c r="AI656">
        <f>COUNTIF($AH$1:AH656,AH656)</f>
        <v>80</v>
      </c>
    </row>
    <row r="657" spans="1:35">
      <c r="A657" t="s">
        <v>56</v>
      </c>
      <c r="B657" t="s">
        <v>57</v>
      </c>
      <c r="C657" t="s">
        <v>655</v>
      </c>
      <c r="D657" t="s">
        <v>627</v>
      </c>
      <c r="E657">
        <v>1</v>
      </c>
      <c r="G657" t="s">
        <v>571</v>
      </c>
      <c r="I657" t="s">
        <v>61</v>
      </c>
      <c r="Z657" t="str">
        <f>IFERROR(MID(AA657,FIND("-",H657,1)+1,20),_xlfn.IFNA(VLOOKUP(F657&amp;"-"&amp;AA657,Ref_Kontak!$A:$E,4,FALSE),Ref_Kontak!$H$2))</f>
        <v>628999007703</v>
      </c>
      <c r="AA657" t="str">
        <f t="shared" si="60"/>
        <v/>
      </c>
      <c r="AB657" t="str">
        <f t="shared" si="61"/>
        <v/>
      </c>
      <c r="AC657" t="str">
        <f t="shared" si="62"/>
        <v>628999007703</v>
      </c>
      <c r="AD657" t="str">
        <f t="shared" si="64"/>
        <v>Halo+,+Visual+AI+5S+menditeksi+Violation%3A+GUDANGACC1-LINE+5</v>
      </c>
      <c r="AE657" t="str">
        <f t="shared" si="63"/>
        <v>https://web.whatsapp.com/send/?phone=628999007703&amp;text=Halo+,+Visual+AI+5S+menditeksi+Violation%3A+GUDANGACC1-LINE+5&amp;type=phone_number&amp;app_absent=0</v>
      </c>
      <c r="AF657" t="b">
        <f>IF(ISNA(VLOOKUP(D657&amp;"-"&amp;AB657, Ref_Kontak!$A:$E, 4, FALSE)), FALSE, TRUE)</f>
        <v>0</v>
      </c>
      <c r="AG657" t="str">
        <f>_xlfn.IFNA(VLOOKUP(Z657,Ref_Kontak!H:H,1,FALSE),"FALSE")</f>
        <v>628999007703</v>
      </c>
      <c r="AH657" t="str">
        <f t="shared" si="65"/>
        <v>GUDANGACC1-LINE 5</v>
      </c>
      <c r="AI657">
        <f>COUNTIF($AH$1:AH657,AH657)</f>
        <v>28</v>
      </c>
    </row>
    <row r="658" spans="1:35">
      <c r="A658" t="s">
        <v>56</v>
      </c>
      <c r="B658" t="s">
        <v>57</v>
      </c>
      <c r="C658" t="s">
        <v>655</v>
      </c>
      <c r="D658" t="s">
        <v>609</v>
      </c>
      <c r="E658">
        <v>1</v>
      </c>
      <c r="G658" t="s">
        <v>571</v>
      </c>
      <c r="I658" t="s">
        <v>61</v>
      </c>
      <c r="Z658" t="str">
        <f>IFERROR(MID(AA658,FIND("-",H658,1)+1,20),_xlfn.IFNA(VLOOKUP(F658&amp;"-"&amp;AA658,Ref_Kontak!$A:$E,4,FALSE),Ref_Kontak!$H$2))</f>
        <v>628999007703</v>
      </c>
      <c r="AA658" t="str">
        <f t="shared" si="60"/>
        <v/>
      </c>
      <c r="AB658" t="str">
        <f t="shared" si="61"/>
        <v/>
      </c>
      <c r="AC658" t="str">
        <f t="shared" si="62"/>
        <v>628999007703</v>
      </c>
      <c r="AD658" t="str">
        <f t="shared" si="64"/>
        <v>Halo+,+Visual+AI+5S+menditeksi+Violation%3A+GUDANGACC1-LINE+6</v>
      </c>
      <c r="AE658" t="str">
        <f t="shared" si="63"/>
        <v>https://web.whatsapp.com/send/?phone=628999007703&amp;text=Halo+,+Visual+AI+5S+menditeksi+Violation%3A+GUDANGACC1-LINE+6&amp;type=phone_number&amp;app_absent=0</v>
      </c>
      <c r="AF658" t="b">
        <f>IF(ISNA(VLOOKUP(D658&amp;"-"&amp;AB658, Ref_Kontak!$A:$E, 4, FALSE)), FALSE, TRUE)</f>
        <v>0</v>
      </c>
      <c r="AG658" t="str">
        <f>_xlfn.IFNA(VLOOKUP(Z658,Ref_Kontak!H:H,1,FALSE),"FALSE")</f>
        <v>628999007703</v>
      </c>
      <c r="AH658" t="str">
        <f t="shared" si="65"/>
        <v>GUDANGACC1-LINE 6</v>
      </c>
      <c r="AI658">
        <f>COUNTIF($AH$1:AH658,AH658)</f>
        <v>44</v>
      </c>
    </row>
    <row r="659" spans="1:35">
      <c r="A659" t="s">
        <v>56</v>
      </c>
      <c r="B659" t="s">
        <v>57</v>
      </c>
      <c r="C659" t="s">
        <v>656</v>
      </c>
      <c r="D659" t="s">
        <v>570</v>
      </c>
      <c r="E659">
        <v>1</v>
      </c>
      <c r="G659" t="s">
        <v>571</v>
      </c>
      <c r="I659" t="s">
        <v>61</v>
      </c>
      <c r="Z659" t="str">
        <f>IFERROR(MID(AA659,FIND("-",H659,1)+1,20),_xlfn.IFNA(VLOOKUP(F659&amp;"-"&amp;AA659,Ref_Kontak!$A:$E,4,FALSE),Ref_Kontak!$H$2))</f>
        <v>628999007703</v>
      </c>
      <c r="AA659" t="str">
        <f t="shared" si="60"/>
        <v/>
      </c>
      <c r="AB659" t="str">
        <f t="shared" si="61"/>
        <v/>
      </c>
      <c r="AC659" t="str">
        <f t="shared" si="62"/>
        <v>628999007703</v>
      </c>
      <c r="AD659" t="str">
        <f t="shared" si="64"/>
        <v>Halo+,+Visual+AI+5S+menditeksi+Violation%3A+GUDANGACC1-LINE+11</v>
      </c>
      <c r="AE659" t="str">
        <f t="shared" si="63"/>
        <v>https://web.whatsapp.com/send/?phone=628999007703&amp;text=Halo+,+Visual+AI+5S+menditeksi+Violation%3A+GUDANGACC1-LINE+11&amp;type=phone_number&amp;app_absent=0</v>
      </c>
      <c r="AF659" t="b">
        <f>IF(ISNA(VLOOKUP(D659&amp;"-"&amp;AB659, Ref_Kontak!$A:$E, 4, FALSE)), FALSE, TRUE)</f>
        <v>0</v>
      </c>
      <c r="AG659" t="str">
        <f>_xlfn.IFNA(VLOOKUP(Z659,Ref_Kontak!H:H,1,FALSE),"FALSE")</f>
        <v>628999007703</v>
      </c>
      <c r="AH659" t="str">
        <f t="shared" si="65"/>
        <v>GUDANGACC1-LINE 11</v>
      </c>
      <c r="AI659">
        <f>COUNTIF($AH$1:AH659,AH659)</f>
        <v>81</v>
      </c>
    </row>
    <row r="660" spans="1:35">
      <c r="A660" t="s">
        <v>56</v>
      </c>
      <c r="B660" t="s">
        <v>57</v>
      </c>
      <c r="C660" t="s">
        <v>656</v>
      </c>
      <c r="D660" t="s">
        <v>627</v>
      </c>
      <c r="E660">
        <v>1</v>
      </c>
      <c r="G660" t="s">
        <v>571</v>
      </c>
      <c r="I660" t="s">
        <v>61</v>
      </c>
      <c r="Z660" t="str">
        <f>IFERROR(MID(AA660,FIND("-",H660,1)+1,20),_xlfn.IFNA(VLOOKUP(F660&amp;"-"&amp;AA660,Ref_Kontak!$A:$E,4,FALSE),Ref_Kontak!$H$2))</f>
        <v>628999007703</v>
      </c>
      <c r="AA660" t="str">
        <f t="shared" si="60"/>
        <v/>
      </c>
      <c r="AB660" t="str">
        <f t="shared" si="61"/>
        <v/>
      </c>
      <c r="AC660" t="str">
        <f t="shared" si="62"/>
        <v>628999007703</v>
      </c>
      <c r="AD660" t="str">
        <f t="shared" si="64"/>
        <v>Halo+,+Visual+AI+5S+menditeksi+Violation%3A+GUDANGACC1-LINE+5</v>
      </c>
      <c r="AE660" t="str">
        <f t="shared" si="63"/>
        <v>https://web.whatsapp.com/send/?phone=628999007703&amp;text=Halo+,+Visual+AI+5S+menditeksi+Violation%3A+GUDANGACC1-LINE+5&amp;type=phone_number&amp;app_absent=0</v>
      </c>
      <c r="AF660" t="b">
        <f>IF(ISNA(VLOOKUP(D660&amp;"-"&amp;AB660, Ref_Kontak!$A:$E, 4, FALSE)), FALSE, TRUE)</f>
        <v>0</v>
      </c>
      <c r="AG660" t="str">
        <f>_xlfn.IFNA(VLOOKUP(Z660,Ref_Kontak!H:H,1,FALSE),"FALSE")</f>
        <v>628999007703</v>
      </c>
      <c r="AH660" t="str">
        <f t="shared" si="65"/>
        <v>GUDANGACC1-LINE 5</v>
      </c>
      <c r="AI660">
        <f>COUNTIF($AH$1:AH660,AH660)</f>
        <v>29</v>
      </c>
    </row>
    <row r="661" spans="1:35">
      <c r="A661" t="s">
        <v>56</v>
      </c>
      <c r="B661" t="s">
        <v>57</v>
      </c>
      <c r="C661" t="s">
        <v>657</v>
      </c>
      <c r="D661" t="s">
        <v>570</v>
      </c>
      <c r="E661">
        <v>1</v>
      </c>
      <c r="G661" t="s">
        <v>571</v>
      </c>
      <c r="I661" t="s">
        <v>61</v>
      </c>
      <c r="Z661" t="str">
        <f>IFERROR(MID(AA661,FIND("-",H661,1)+1,20),_xlfn.IFNA(VLOOKUP(F661&amp;"-"&amp;AA661,Ref_Kontak!$A:$E,4,FALSE),Ref_Kontak!$H$2))</f>
        <v>628999007703</v>
      </c>
      <c r="AA661" t="str">
        <f t="shared" si="60"/>
        <v/>
      </c>
      <c r="AB661" t="str">
        <f t="shared" si="61"/>
        <v/>
      </c>
      <c r="AC661" t="str">
        <f t="shared" si="62"/>
        <v>628999007703</v>
      </c>
      <c r="AD661" t="str">
        <f t="shared" si="64"/>
        <v>Halo+,+Visual+AI+5S+menditeksi+Violation%3A+GUDANGACC1-LINE+11</v>
      </c>
      <c r="AE661" t="str">
        <f t="shared" si="63"/>
        <v>https://web.whatsapp.com/send/?phone=628999007703&amp;text=Halo+,+Visual+AI+5S+menditeksi+Violation%3A+GUDANGACC1-LINE+11&amp;type=phone_number&amp;app_absent=0</v>
      </c>
      <c r="AF661" t="b">
        <f>IF(ISNA(VLOOKUP(D661&amp;"-"&amp;AB661, Ref_Kontak!$A:$E, 4, FALSE)), FALSE, TRUE)</f>
        <v>0</v>
      </c>
      <c r="AG661" t="str">
        <f>_xlfn.IFNA(VLOOKUP(Z661,Ref_Kontak!H:H,1,FALSE),"FALSE")</f>
        <v>628999007703</v>
      </c>
      <c r="AH661" t="str">
        <f t="shared" si="65"/>
        <v>GUDANGACC1-LINE 11</v>
      </c>
      <c r="AI661">
        <f>COUNTIF($AH$1:AH661,AH661)</f>
        <v>82</v>
      </c>
    </row>
    <row r="662" spans="1:35">
      <c r="A662" t="s">
        <v>56</v>
      </c>
      <c r="B662" t="s">
        <v>57</v>
      </c>
      <c r="C662" t="s">
        <v>657</v>
      </c>
      <c r="D662" t="s">
        <v>627</v>
      </c>
      <c r="E662">
        <v>1</v>
      </c>
      <c r="G662" t="s">
        <v>571</v>
      </c>
      <c r="I662" t="s">
        <v>61</v>
      </c>
      <c r="Z662" t="str">
        <f>IFERROR(MID(AA662,FIND("-",H662,1)+1,20),_xlfn.IFNA(VLOOKUP(F662&amp;"-"&amp;AA662,Ref_Kontak!$A:$E,4,FALSE),Ref_Kontak!$H$2))</f>
        <v>628999007703</v>
      </c>
      <c r="AA662" t="str">
        <f t="shared" si="60"/>
        <v/>
      </c>
      <c r="AB662" t="str">
        <f t="shared" si="61"/>
        <v/>
      </c>
      <c r="AC662" t="str">
        <f t="shared" si="62"/>
        <v>628999007703</v>
      </c>
      <c r="AD662" t="str">
        <f t="shared" si="64"/>
        <v>Halo+,+Visual+AI+5S+menditeksi+Violation%3A+GUDANGACC1-LINE+5</v>
      </c>
      <c r="AE662" t="str">
        <f t="shared" si="63"/>
        <v>https://web.whatsapp.com/send/?phone=628999007703&amp;text=Halo+,+Visual+AI+5S+menditeksi+Violation%3A+GUDANGACC1-LINE+5&amp;type=phone_number&amp;app_absent=0</v>
      </c>
      <c r="AF662" t="b">
        <f>IF(ISNA(VLOOKUP(D662&amp;"-"&amp;AB662, Ref_Kontak!$A:$E, 4, FALSE)), FALSE, TRUE)</f>
        <v>0</v>
      </c>
      <c r="AG662" t="str">
        <f>_xlfn.IFNA(VLOOKUP(Z662,Ref_Kontak!H:H,1,FALSE),"FALSE")</f>
        <v>628999007703</v>
      </c>
      <c r="AH662" t="str">
        <f t="shared" si="65"/>
        <v>GUDANGACC1-LINE 5</v>
      </c>
      <c r="AI662">
        <f>COUNTIF($AH$1:AH662,AH662)</f>
        <v>30</v>
      </c>
    </row>
    <row r="663" spans="1:35">
      <c r="A663" t="s">
        <v>56</v>
      </c>
      <c r="B663" t="s">
        <v>57</v>
      </c>
      <c r="C663" t="s">
        <v>658</v>
      </c>
      <c r="D663" t="s">
        <v>570</v>
      </c>
      <c r="E663">
        <v>1</v>
      </c>
      <c r="G663" t="s">
        <v>571</v>
      </c>
      <c r="I663" t="s">
        <v>61</v>
      </c>
      <c r="Z663" t="str">
        <f>IFERROR(MID(AA663,FIND("-",H663,1)+1,20),_xlfn.IFNA(VLOOKUP(F663&amp;"-"&amp;AA663,Ref_Kontak!$A:$E,4,FALSE),Ref_Kontak!$H$2))</f>
        <v>628999007703</v>
      </c>
      <c r="AA663" t="str">
        <f t="shared" si="60"/>
        <v/>
      </c>
      <c r="AB663" t="str">
        <f t="shared" si="61"/>
        <v/>
      </c>
      <c r="AC663" t="str">
        <f t="shared" si="62"/>
        <v>628999007703</v>
      </c>
      <c r="AD663" t="str">
        <f t="shared" si="64"/>
        <v>Halo+,+Visual+AI+5S+menditeksi+Violation%3A+GUDANGACC1-LINE+11</v>
      </c>
      <c r="AE663" t="str">
        <f t="shared" si="63"/>
        <v>https://web.whatsapp.com/send/?phone=628999007703&amp;text=Halo+,+Visual+AI+5S+menditeksi+Violation%3A+GUDANGACC1-LINE+11&amp;type=phone_number&amp;app_absent=0</v>
      </c>
      <c r="AF663" t="b">
        <f>IF(ISNA(VLOOKUP(D663&amp;"-"&amp;AB663, Ref_Kontak!$A:$E, 4, FALSE)), FALSE, TRUE)</f>
        <v>0</v>
      </c>
      <c r="AG663" t="str">
        <f>_xlfn.IFNA(VLOOKUP(Z663,Ref_Kontak!H:H,1,FALSE),"FALSE")</f>
        <v>628999007703</v>
      </c>
      <c r="AH663" t="str">
        <f t="shared" si="65"/>
        <v>GUDANGACC1-LINE 11</v>
      </c>
      <c r="AI663">
        <f>COUNTIF($AH$1:AH663,AH663)</f>
        <v>83</v>
      </c>
    </row>
    <row r="664" spans="1:35">
      <c r="A664" t="s">
        <v>56</v>
      </c>
      <c r="B664" t="s">
        <v>57</v>
      </c>
      <c r="C664" t="s">
        <v>658</v>
      </c>
      <c r="D664" t="s">
        <v>627</v>
      </c>
      <c r="E664">
        <v>1</v>
      </c>
      <c r="G664" t="s">
        <v>571</v>
      </c>
      <c r="I664" t="s">
        <v>61</v>
      </c>
      <c r="Z664" t="str">
        <f>IFERROR(MID(AA664,FIND("-",H664,1)+1,20),_xlfn.IFNA(VLOOKUP(F664&amp;"-"&amp;AA664,Ref_Kontak!$A:$E,4,FALSE),Ref_Kontak!$H$2))</f>
        <v>628999007703</v>
      </c>
      <c r="AA664" t="str">
        <f t="shared" si="60"/>
        <v/>
      </c>
      <c r="AB664" t="str">
        <f t="shared" si="61"/>
        <v/>
      </c>
      <c r="AC664" t="str">
        <f t="shared" si="62"/>
        <v>628999007703</v>
      </c>
      <c r="AD664" t="str">
        <f t="shared" si="64"/>
        <v>Halo+,+Visual+AI+5S+menditeksi+Violation%3A+GUDANGACC1-LINE+5</v>
      </c>
      <c r="AE664" t="str">
        <f t="shared" si="63"/>
        <v>https://web.whatsapp.com/send/?phone=628999007703&amp;text=Halo+,+Visual+AI+5S+menditeksi+Violation%3A+GUDANGACC1-LINE+5&amp;type=phone_number&amp;app_absent=0</v>
      </c>
      <c r="AF664" t="b">
        <f>IF(ISNA(VLOOKUP(D664&amp;"-"&amp;AB664, Ref_Kontak!$A:$E, 4, FALSE)), FALSE, TRUE)</f>
        <v>0</v>
      </c>
      <c r="AG664" t="str">
        <f>_xlfn.IFNA(VLOOKUP(Z664,Ref_Kontak!H:H,1,FALSE),"FALSE")</f>
        <v>628999007703</v>
      </c>
      <c r="AH664" t="str">
        <f t="shared" si="65"/>
        <v>GUDANGACC1-LINE 5</v>
      </c>
      <c r="AI664">
        <f>COUNTIF($AH$1:AH664,AH664)</f>
        <v>31</v>
      </c>
    </row>
    <row r="665" spans="1:35">
      <c r="A665" t="s">
        <v>56</v>
      </c>
      <c r="B665" t="s">
        <v>57</v>
      </c>
      <c r="C665" t="s">
        <v>659</v>
      </c>
      <c r="D665" t="s">
        <v>570</v>
      </c>
      <c r="E665">
        <v>1</v>
      </c>
      <c r="G665" t="s">
        <v>571</v>
      </c>
      <c r="I665" t="s">
        <v>61</v>
      </c>
      <c r="Z665" t="str">
        <f>IFERROR(MID(AA665,FIND("-",H665,1)+1,20),_xlfn.IFNA(VLOOKUP(F665&amp;"-"&amp;AA665,Ref_Kontak!$A:$E,4,FALSE),Ref_Kontak!$H$2))</f>
        <v>628999007703</v>
      </c>
      <c r="AA665" t="str">
        <f t="shared" si="60"/>
        <v/>
      </c>
      <c r="AB665" t="str">
        <f t="shared" si="61"/>
        <v/>
      </c>
      <c r="AC665" t="str">
        <f t="shared" si="62"/>
        <v>628999007703</v>
      </c>
      <c r="AD665" t="str">
        <f t="shared" si="64"/>
        <v>Halo+,+Visual+AI+5S+menditeksi+Violation%3A+GUDANGACC1-LINE+11</v>
      </c>
      <c r="AE665" t="str">
        <f t="shared" si="63"/>
        <v>https://web.whatsapp.com/send/?phone=628999007703&amp;text=Halo+,+Visual+AI+5S+menditeksi+Violation%3A+GUDANGACC1-LINE+11&amp;type=phone_number&amp;app_absent=0</v>
      </c>
      <c r="AF665" t="b">
        <f>IF(ISNA(VLOOKUP(D665&amp;"-"&amp;AB665, Ref_Kontak!$A:$E, 4, FALSE)), FALSE, TRUE)</f>
        <v>0</v>
      </c>
      <c r="AG665" t="str">
        <f>_xlfn.IFNA(VLOOKUP(Z665,Ref_Kontak!H:H,1,FALSE),"FALSE")</f>
        <v>628999007703</v>
      </c>
      <c r="AH665" t="str">
        <f t="shared" si="65"/>
        <v>GUDANGACC1-LINE 11</v>
      </c>
      <c r="AI665">
        <f>COUNTIF($AH$1:AH665,AH665)</f>
        <v>84</v>
      </c>
    </row>
    <row r="666" spans="1:35">
      <c r="A666" t="s">
        <v>56</v>
      </c>
      <c r="B666" t="s">
        <v>57</v>
      </c>
      <c r="C666" t="s">
        <v>659</v>
      </c>
      <c r="D666" t="s">
        <v>627</v>
      </c>
      <c r="E666">
        <v>1</v>
      </c>
      <c r="G666" t="s">
        <v>571</v>
      </c>
      <c r="I666" t="s">
        <v>61</v>
      </c>
      <c r="Z666" t="str">
        <f>IFERROR(MID(AA666,FIND("-",H666,1)+1,20),_xlfn.IFNA(VLOOKUP(F666&amp;"-"&amp;AA666,Ref_Kontak!$A:$E,4,FALSE),Ref_Kontak!$H$2))</f>
        <v>628999007703</v>
      </c>
      <c r="AA666" t="str">
        <f t="shared" si="60"/>
        <v/>
      </c>
      <c r="AB666" t="str">
        <f t="shared" si="61"/>
        <v/>
      </c>
      <c r="AC666" t="str">
        <f t="shared" si="62"/>
        <v>628999007703</v>
      </c>
      <c r="AD666" t="str">
        <f t="shared" si="64"/>
        <v>Halo+,+Visual+AI+5S+menditeksi+Violation%3A+GUDANGACC1-LINE+5</v>
      </c>
      <c r="AE666" t="str">
        <f t="shared" si="63"/>
        <v>https://web.whatsapp.com/send/?phone=628999007703&amp;text=Halo+,+Visual+AI+5S+menditeksi+Violation%3A+GUDANGACC1-LINE+5&amp;type=phone_number&amp;app_absent=0</v>
      </c>
      <c r="AF666" t="b">
        <f>IF(ISNA(VLOOKUP(D666&amp;"-"&amp;AB666, Ref_Kontak!$A:$E, 4, FALSE)), FALSE, TRUE)</f>
        <v>0</v>
      </c>
      <c r="AG666" t="str">
        <f>_xlfn.IFNA(VLOOKUP(Z666,Ref_Kontak!H:H,1,FALSE),"FALSE")</f>
        <v>628999007703</v>
      </c>
      <c r="AH666" t="str">
        <f t="shared" si="65"/>
        <v>GUDANGACC1-LINE 5</v>
      </c>
      <c r="AI666">
        <f>COUNTIF($AH$1:AH666,AH666)</f>
        <v>32</v>
      </c>
    </row>
    <row r="667" spans="1:35">
      <c r="A667" t="s">
        <v>56</v>
      </c>
      <c r="B667" t="s">
        <v>57</v>
      </c>
      <c r="C667" t="s">
        <v>660</v>
      </c>
      <c r="D667" t="s">
        <v>570</v>
      </c>
      <c r="E667">
        <v>1</v>
      </c>
      <c r="G667" t="s">
        <v>571</v>
      </c>
      <c r="I667" t="s">
        <v>61</v>
      </c>
      <c r="Z667" t="str">
        <f>IFERROR(MID(AA667,FIND("-",H667,1)+1,20),_xlfn.IFNA(VLOOKUP(F667&amp;"-"&amp;AA667,Ref_Kontak!$A:$E,4,FALSE),Ref_Kontak!$H$2))</f>
        <v>628999007703</v>
      </c>
      <c r="AA667" t="str">
        <f t="shared" si="60"/>
        <v/>
      </c>
      <c r="AB667" t="str">
        <f t="shared" si="61"/>
        <v/>
      </c>
      <c r="AC667" t="str">
        <f t="shared" si="62"/>
        <v>628999007703</v>
      </c>
      <c r="AD667" t="str">
        <f t="shared" si="64"/>
        <v>Halo+,+Visual+AI+5S+menditeksi+Violation%3A+GUDANGACC1-LINE+11</v>
      </c>
      <c r="AE667" t="str">
        <f t="shared" si="63"/>
        <v>https://web.whatsapp.com/send/?phone=628999007703&amp;text=Halo+,+Visual+AI+5S+menditeksi+Violation%3A+GUDANGACC1-LINE+11&amp;type=phone_number&amp;app_absent=0</v>
      </c>
      <c r="AF667" t="b">
        <f>IF(ISNA(VLOOKUP(D667&amp;"-"&amp;AB667, Ref_Kontak!$A:$E, 4, FALSE)), FALSE, TRUE)</f>
        <v>0</v>
      </c>
      <c r="AG667" t="str">
        <f>_xlfn.IFNA(VLOOKUP(Z667,Ref_Kontak!H:H,1,FALSE),"FALSE")</f>
        <v>628999007703</v>
      </c>
      <c r="AH667" t="str">
        <f t="shared" si="65"/>
        <v>GUDANGACC1-LINE 11</v>
      </c>
      <c r="AI667">
        <f>COUNTIF($AH$1:AH667,AH667)</f>
        <v>85</v>
      </c>
    </row>
    <row r="668" spans="1:35">
      <c r="A668" t="s">
        <v>56</v>
      </c>
      <c r="B668" t="s">
        <v>57</v>
      </c>
      <c r="C668" t="s">
        <v>660</v>
      </c>
      <c r="D668" t="s">
        <v>627</v>
      </c>
      <c r="E668">
        <v>1</v>
      </c>
      <c r="G668" t="s">
        <v>571</v>
      </c>
      <c r="I668" t="s">
        <v>61</v>
      </c>
      <c r="Z668" t="str">
        <f>IFERROR(MID(AA668,FIND("-",H668,1)+1,20),_xlfn.IFNA(VLOOKUP(F668&amp;"-"&amp;AA668,Ref_Kontak!$A:$E,4,FALSE),Ref_Kontak!$H$2))</f>
        <v>628999007703</v>
      </c>
      <c r="AA668" t="str">
        <f t="shared" si="60"/>
        <v/>
      </c>
      <c r="AB668" t="str">
        <f t="shared" si="61"/>
        <v/>
      </c>
      <c r="AC668" t="str">
        <f t="shared" si="62"/>
        <v>628999007703</v>
      </c>
      <c r="AD668" t="str">
        <f t="shared" si="64"/>
        <v>Halo+,+Visual+AI+5S+menditeksi+Violation%3A+GUDANGACC1-LINE+5</v>
      </c>
      <c r="AE668" t="str">
        <f t="shared" si="63"/>
        <v>https://web.whatsapp.com/send/?phone=628999007703&amp;text=Halo+,+Visual+AI+5S+menditeksi+Violation%3A+GUDANGACC1-LINE+5&amp;type=phone_number&amp;app_absent=0</v>
      </c>
      <c r="AF668" t="b">
        <f>IF(ISNA(VLOOKUP(D668&amp;"-"&amp;AB668, Ref_Kontak!$A:$E, 4, FALSE)), FALSE, TRUE)</f>
        <v>0</v>
      </c>
      <c r="AG668" t="str">
        <f>_xlfn.IFNA(VLOOKUP(Z668,Ref_Kontak!H:H,1,FALSE),"FALSE")</f>
        <v>628999007703</v>
      </c>
      <c r="AH668" t="str">
        <f t="shared" si="65"/>
        <v>GUDANGACC1-LINE 5</v>
      </c>
      <c r="AI668">
        <f>COUNTIF($AH$1:AH668,AH668)</f>
        <v>33</v>
      </c>
    </row>
    <row r="669" spans="1:35">
      <c r="A669" t="s">
        <v>56</v>
      </c>
      <c r="B669" t="s">
        <v>57</v>
      </c>
      <c r="C669" t="s">
        <v>661</v>
      </c>
      <c r="D669" t="s">
        <v>570</v>
      </c>
      <c r="E669">
        <v>1</v>
      </c>
      <c r="G669" t="s">
        <v>571</v>
      </c>
      <c r="I669" t="s">
        <v>61</v>
      </c>
      <c r="Z669" t="str">
        <f>IFERROR(MID(AA669,FIND("-",H669,1)+1,20),_xlfn.IFNA(VLOOKUP(F669&amp;"-"&amp;AA669,Ref_Kontak!$A:$E,4,FALSE),Ref_Kontak!$H$2))</f>
        <v>628999007703</v>
      </c>
      <c r="AA669" t="str">
        <f t="shared" si="60"/>
        <v/>
      </c>
      <c r="AB669" t="str">
        <f t="shared" si="61"/>
        <v/>
      </c>
      <c r="AC669" t="str">
        <f t="shared" si="62"/>
        <v>628999007703</v>
      </c>
      <c r="AD669" t="str">
        <f t="shared" si="64"/>
        <v>Halo+,+Visual+AI+5S+menditeksi+Violation%3A+GUDANGACC1-LINE+11</v>
      </c>
      <c r="AE669" t="str">
        <f t="shared" si="63"/>
        <v>https://web.whatsapp.com/send/?phone=628999007703&amp;text=Halo+,+Visual+AI+5S+menditeksi+Violation%3A+GUDANGACC1-LINE+11&amp;type=phone_number&amp;app_absent=0</v>
      </c>
      <c r="AF669" t="b">
        <f>IF(ISNA(VLOOKUP(D669&amp;"-"&amp;AB669, Ref_Kontak!$A:$E, 4, FALSE)), FALSE, TRUE)</f>
        <v>0</v>
      </c>
      <c r="AG669" t="str">
        <f>_xlfn.IFNA(VLOOKUP(Z669,Ref_Kontak!H:H,1,FALSE),"FALSE")</f>
        <v>628999007703</v>
      </c>
      <c r="AH669" t="str">
        <f t="shared" si="65"/>
        <v>GUDANGACC1-LINE 11</v>
      </c>
      <c r="AI669">
        <f>COUNTIF($AH$1:AH669,AH669)</f>
        <v>86</v>
      </c>
    </row>
    <row r="670" spans="1:35">
      <c r="A670" t="s">
        <v>56</v>
      </c>
      <c r="B670" t="s">
        <v>57</v>
      </c>
      <c r="C670" t="s">
        <v>662</v>
      </c>
      <c r="D670" t="s">
        <v>570</v>
      </c>
      <c r="E670">
        <v>1</v>
      </c>
      <c r="G670" t="s">
        <v>571</v>
      </c>
      <c r="I670" t="s">
        <v>61</v>
      </c>
      <c r="Z670" t="str">
        <f>IFERROR(MID(AA670,FIND("-",H670,1)+1,20),_xlfn.IFNA(VLOOKUP(F670&amp;"-"&amp;AA670,Ref_Kontak!$A:$E,4,FALSE),Ref_Kontak!$H$2))</f>
        <v>628999007703</v>
      </c>
      <c r="AA670" t="str">
        <f t="shared" si="60"/>
        <v/>
      </c>
      <c r="AB670" t="str">
        <f t="shared" si="61"/>
        <v/>
      </c>
      <c r="AC670" t="str">
        <f t="shared" si="62"/>
        <v>628999007703</v>
      </c>
      <c r="AD670" t="str">
        <f t="shared" si="64"/>
        <v>Halo+,+Visual+AI+5S+menditeksi+Violation%3A+GUDANGACC1-LINE+11</v>
      </c>
      <c r="AE670" t="str">
        <f t="shared" si="63"/>
        <v>https://web.whatsapp.com/send/?phone=628999007703&amp;text=Halo+,+Visual+AI+5S+menditeksi+Violation%3A+GUDANGACC1-LINE+11&amp;type=phone_number&amp;app_absent=0</v>
      </c>
      <c r="AF670" t="b">
        <f>IF(ISNA(VLOOKUP(D670&amp;"-"&amp;AB670, Ref_Kontak!$A:$E, 4, FALSE)), FALSE, TRUE)</f>
        <v>0</v>
      </c>
      <c r="AG670" t="str">
        <f>_xlfn.IFNA(VLOOKUP(Z670,Ref_Kontak!H:H,1,FALSE),"FALSE")</f>
        <v>628999007703</v>
      </c>
      <c r="AH670" t="str">
        <f t="shared" si="65"/>
        <v>GUDANGACC1-LINE 11</v>
      </c>
      <c r="AI670">
        <f>COUNTIF($AH$1:AH670,AH670)</f>
        <v>87</v>
      </c>
    </row>
    <row r="671" spans="1:35">
      <c r="A671" t="s">
        <v>56</v>
      </c>
      <c r="B671" t="s">
        <v>57</v>
      </c>
      <c r="C671" t="s">
        <v>663</v>
      </c>
      <c r="D671" t="s">
        <v>570</v>
      </c>
      <c r="E671">
        <v>1</v>
      </c>
      <c r="G671" t="s">
        <v>571</v>
      </c>
      <c r="I671" t="s">
        <v>61</v>
      </c>
      <c r="Z671" t="str">
        <f>IFERROR(MID(AA671,FIND("-",H671,1)+1,20),_xlfn.IFNA(VLOOKUP(F671&amp;"-"&amp;AA671,Ref_Kontak!$A:$E,4,FALSE),Ref_Kontak!$H$2))</f>
        <v>628999007703</v>
      </c>
      <c r="AA671" t="str">
        <f t="shared" si="60"/>
        <v/>
      </c>
      <c r="AB671" t="str">
        <f t="shared" si="61"/>
        <v/>
      </c>
      <c r="AC671" t="str">
        <f t="shared" si="62"/>
        <v>628999007703</v>
      </c>
      <c r="AD671" t="str">
        <f t="shared" si="64"/>
        <v>Halo+,+Visual+AI+5S+menditeksi+Violation%3A+GUDANGACC1-LINE+11</v>
      </c>
      <c r="AE671" t="str">
        <f t="shared" si="63"/>
        <v>https://web.whatsapp.com/send/?phone=628999007703&amp;text=Halo+,+Visual+AI+5S+menditeksi+Violation%3A+GUDANGACC1-LINE+11&amp;type=phone_number&amp;app_absent=0</v>
      </c>
      <c r="AF671" t="b">
        <f>IF(ISNA(VLOOKUP(D671&amp;"-"&amp;AB671, Ref_Kontak!$A:$E, 4, FALSE)), FALSE, TRUE)</f>
        <v>0</v>
      </c>
      <c r="AG671" t="str">
        <f>_xlfn.IFNA(VLOOKUP(Z671,Ref_Kontak!H:H,1,FALSE),"FALSE")</f>
        <v>628999007703</v>
      </c>
      <c r="AH671" t="str">
        <f t="shared" si="65"/>
        <v>GUDANGACC1-LINE 11</v>
      </c>
      <c r="AI671">
        <f>COUNTIF($AH$1:AH671,AH671)</f>
        <v>88</v>
      </c>
    </row>
    <row r="672" spans="1:35">
      <c r="A672" t="s">
        <v>56</v>
      </c>
      <c r="B672" t="s">
        <v>57</v>
      </c>
      <c r="C672" t="s">
        <v>664</v>
      </c>
      <c r="D672" t="s">
        <v>609</v>
      </c>
      <c r="E672">
        <v>1</v>
      </c>
      <c r="G672" t="s">
        <v>665</v>
      </c>
      <c r="I672" t="s">
        <v>61</v>
      </c>
      <c r="K672" t="s">
        <v>666</v>
      </c>
      <c r="Z672" t="str">
        <f>IFERROR(MID(AA672,FIND("-",H672,1)+1,20),_xlfn.IFNA(VLOOKUP(F672&amp;"-"&amp;AA672,Ref_Kontak!$A:$E,4,FALSE),Ref_Kontak!$H$2))</f>
        <v>628999007703</v>
      </c>
      <c r="AA672" t="str">
        <f t="shared" si="60"/>
        <v/>
      </c>
      <c r="AB672" t="str">
        <f t="shared" si="61"/>
        <v/>
      </c>
      <c r="AC672" t="str">
        <f t="shared" si="62"/>
        <v>628999007703</v>
      </c>
      <c r="AD672" t="str">
        <f t="shared" si="64"/>
        <v>Halo+,+Visual+AI+5S+menditeksi+Violation%3A+METALDET1-LINE+6</v>
      </c>
      <c r="AE672" t="str">
        <f t="shared" si="63"/>
        <v>https://web.whatsapp.com/send/?phone=628999007703&amp;text=Halo+,+Visual+AI+5S+menditeksi+Violation%3A+METALDET1-LINE+6&amp;type=phone_number&amp;app_absent=0</v>
      </c>
      <c r="AF672" t="b">
        <f>IF(ISNA(VLOOKUP(D672&amp;"-"&amp;AB672, Ref_Kontak!$A:$E, 4, FALSE)), FALSE, TRUE)</f>
        <v>0</v>
      </c>
      <c r="AG672" t="str">
        <f>_xlfn.IFNA(VLOOKUP(Z672,Ref_Kontak!H:H,1,FALSE),"FALSE")</f>
        <v>628999007703</v>
      </c>
      <c r="AH672" t="str">
        <f t="shared" si="65"/>
        <v>METALDET1-LINE 6</v>
      </c>
      <c r="AI672">
        <f>COUNTIF($AH$1:AH672,AH672)</f>
        <v>1</v>
      </c>
    </row>
    <row r="673" spans="1:35">
      <c r="A673" t="s">
        <v>56</v>
      </c>
      <c r="B673" t="s">
        <v>57</v>
      </c>
      <c r="C673" t="s">
        <v>667</v>
      </c>
      <c r="D673" t="s">
        <v>609</v>
      </c>
      <c r="E673">
        <v>1</v>
      </c>
      <c r="G673" t="s">
        <v>665</v>
      </c>
      <c r="I673" t="s">
        <v>61</v>
      </c>
      <c r="Z673" t="str">
        <f>IFERROR(MID(AA673,FIND("-",H673,1)+1,20),_xlfn.IFNA(VLOOKUP(F673&amp;"-"&amp;AA673,Ref_Kontak!$A:$E,4,FALSE),Ref_Kontak!$H$2))</f>
        <v>628999007703</v>
      </c>
      <c r="AA673" t="str">
        <f t="shared" si="60"/>
        <v/>
      </c>
      <c r="AB673" t="str">
        <f t="shared" si="61"/>
        <v/>
      </c>
      <c r="AC673" t="str">
        <f t="shared" si="62"/>
        <v>628999007703</v>
      </c>
      <c r="AD673" t="str">
        <f t="shared" si="64"/>
        <v>Halo+,+Visual+AI+5S+menditeksi+Violation%3A+METALDET1-LINE+6</v>
      </c>
      <c r="AE673" t="str">
        <f t="shared" si="63"/>
        <v>https://web.whatsapp.com/send/?phone=628999007703&amp;text=Halo+,+Visual+AI+5S+menditeksi+Violation%3A+METALDET1-LINE+6&amp;type=phone_number&amp;app_absent=0</v>
      </c>
      <c r="AF673" t="b">
        <f>IF(ISNA(VLOOKUP(D673&amp;"-"&amp;AB673, Ref_Kontak!$A:$E, 4, FALSE)), FALSE, TRUE)</f>
        <v>0</v>
      </c>
      <c r="AG673" t="str">
        <f>_xlfn.IFNA(VLOOKUP(Z673,Ref_Kontak!H:H,1,FALSE),"FALSE")</f>
        <v>628999007703</v>
      </c>
      <c r="AH673" t="str">
        <f t="shared" si="65"/>
        <v>METALDET1-LINE 6</v>
      </c>
      <c r="AI673">
        <f>COUNTIF($AH$1:AH673,AH673)</f>
        <v>2</v>
      </c>
    </row>
    <row r="674" spans="1:35">
      <c r="A674" t="s">
        <v>56</v>
      </c>
      <c r="B674" t="s">
        <v>57</v>
      </c>
      <c r="C674" t="s">
        <v>668</v>
      </c>
      <c r="D674" t="s">
        <v>609</v>
      </c>
      <c r="E674">
        <v>1</v>
      </c>
      <c r="G674" t="s">
        <v>665</v>
      </c>
      <c r="I674" t="s">
        <v>61</v>
      </c>
      <c r="Z674" t="str">
        <f>IFERROR(MID(AA674,FIND("-",H674,1)+1,20),_xlfn.IFNA(VLOOKUP(F674&amp;"-"&amp;AA674,Ref_Kontak!$A:$E,4,FALSE),Ref_Kontak!$H$2))</f>
        <v>628999007703</v>
      </c>
      <c r="AA674" t="str">
        <f t="shared" si="60"/>
        <v/>
      </c>
      <c r="AB674" t="str">
        <f t="shared" si="61"/>
        <v/>
      </c>
      <c r="AC674" t="str">
        <f t="shared" si="62"/>
        <v>628999007703</v>
      </c>
      <c r="AD674" t="str">
        <f t="shared" si="64"/>
        <v>Halo+,+Visual+AI+5S+menditeksi+Violation%3A+METALDET1-LINE+6</v>
      </c>
      <c r="AE674" t="str">
        <f t="shared" si="63"/>
        <v>https://web.whatsapp.com/send/?phone=628999007703&amp;text=Halo+,+Visual+AI+5S+menditeksi+Violation%3A+METALDET1-LINE+6&amp;type=phone_number&amp;app_absent=0</v>
      </c>
      <c r="AF674" t="b">
        <f>IF(ISNA(VLOOKUP(D674&amp;"-"&amp;AB674, Ref_Kontak!$A:$E, 4, FALSE)), FALSE, TRUE)</f>
        <v>0</v>
      </c>
      <c r="AG674" t="str">
        <f>_xlfn.IFNA(VLOOKUP(Z674,Ref_Kontak!H:H,1,FALSE),"FALSE")</f>
        <v>628999007703</v>
      </c>
      <c r="AH674" t="str">
        <f t="shared" si="65"/>
        <v>METALDET1-LINE 6</v>
      </c>
      <c r="AI674">
        <f>COUNTIF($AH$1:AH674,AH674)</f>
        <v>3</v>
      </c>
    </row>
    <row r="675" spans="1:35">
      <c r="A675" t="s">
        <v>56</v>
      </c>
      <c r="B675" t="s">
        <v>57</v>
      </c>
      <c r="C675" t="s">
        <v>669</v>
      </c>
      <c r="D675" t="s">
        <v>609</v>
      </c>
      <c r="E675">
        <v>1</v>
      </c>
      <c r="G675" t="s">
        <v>665</v>
      </c>
      <c r="I675" t="s">
        <v>61</v>
      </c>
      <c r="Z675" t="str">
        <f>IFERROR(MID(AA675,FIND("-",H675,1)+1,20),_xlfn.IFNA(VLOOKUP(F675&amp;"-"&amp;AA675,Ref_Kontak!$A:$E,4,FALSE),Ref_Kontak!$H$2))</f>
        <v>628999007703</v>
      </c>
      <c r="AA675" t="str">
        <f t="shared" si="60"/>
        <v/>
      </c>
      <c r="AB675" t="str">
        <f t="shared" si="61"/>
        <v/>
      </c>
      <c r="AC675" t="str">
        <f t="shared" si="62"/>
        <v>628999007703</v>
      </c>
      <c r="AD675" t="str">
        <f t="shared" si="64"/>
        <v>Halo+,+Visual+AI+5S+menditeksi+Violation%3A+METALDET1-LINE+6</v>
      </c>
      <c r="AE675" t="str">
        <f t="shared" si="63"/>
        <v>https://web.whatsapp.com/send/?phone=628999007703&amp;text=Halo+,+Visual+AI+5S+menditeksi+Violation%3A+METALDET1-LINE+6&amp;type=phone_number&amp;app_absent=0</v>
      </c>
      <c r="AF675" t="b">
        <f>IF(ISNA(VLOOKUP(D675&amp;"-"&amp;AB675, Ref_Kontak!$A:$E, 4, FALSE)), FALSE, TRUE)</f>
        <v>0</v>
      </c>
      <c r="AG675" t="str">
        <f>_xlfn.IFNA(VLOOKUP(Z675,Ref_Kontak!H:H,1,FALSE),"FALSE")</f>
        <v>628999007703</v>
      </c>
      <c r="AH675" t="str">
        <f t="shared" si="65"/>
        <v>METALDET1-LINE 6</v>
      </c>
      <c r="AI675">
        <f>COUNTIF($AH$1:AH675,AH675)</f>
        <v>4</v>
      </c>
    </row>
    <row r="676" spans="1:35">
      <c r="A676" t="s">
        <v>56</v>
      </c>
      <c r="B676" t="s">
        <v>57</v>
      </c>
      <c r="C676" t="s">
        <v>670</v>
      </c>
      <c r="D676" t="s">
        <v>609</v>
      </c>
      <c r="E676">
        <v>1</v>
      </c>
      <c r="G676" t="s">
        <v>665</v>
      </c>
      <c r="I676" t="s">
        <v>61</v>
      </c>
      <c r="Z676" t="str">
        <f>IFERROR(MID(AA676,FIND("-",H676,1)+1,20),_xlfn.IFNA(VLOOKUP(F676&amp;"-"&amp;AA676,Ref_Kontak!$A:$E,4,FALSE),Ref_Kontak!$H$2))</f>
        <v>628999007703</v>
      </c>
      <c r="AA676" t="str">
        <f t="shared" si="60"/>
        <v/>
      </c>
      <c r="AB676" t="str">
        <f t="shared" si="61"/>
        <v/>
      </c>
      <c r="AC676" t="str">
        <f t="shared" si="62"/>
        <v>628999007703</v>
      </c>
      <c r="AD676" t="str">
        <f t="shared" si="64"/>
        <v>Halo+,+Visual+AI+5S+menditeksi+Violation%3A+METALDET1-LINE+6</v>
      </c>
      <c r="AE676" t="str">
        <f t="shared" si="63"/>
        <v>https://web.whatsapp.com/send/?phone=628999007703&amp;text=Halo+,+Visual+AI+5S+menditeksi+Violation%3A+METALDET1-LINE+6&amp;type=phone_number&amp;app_absent=0</v>
      </c>
      <c r="AF676" t="b">
        <f>IF(ISNA(VLOOKUP(D676&amp;"-"&amp;AB676, Ref_Kontak!$A:$E, 4, FALSE)), FALSE, TRUE)</f>
        <v>0</v>
      </c>
      <c r="AG676" t="str">
        <f>_xlfn.IFNA(VLOOKUP(Z676,Ref_Kontak!H:H,1,FALSE),"FALSE")</f>
        <v>628999007703</v>
      </c>
      <c r="AH676" t="str">
        <f t="shared" si="65"/>
        <v>METALDET1-LINE 6</v>
      </c>
      <c r="AI676">
        <f>COUNTIF($AH$1:AH676,AH676)</f>
        <v>5</v>
      </c>
    </row>
    <row r="677" spans="1:35">
      <c r="A677" t="s">
        <v>56</v>
      </c>
      <c r="B677" t="s">
        <v>57</v>
      </c>
      <c r="C677" t="s">
        <v>671</v>
      </c>
      <c r="D677" t="s">
        <v>609</v>
      </c>
      <c r="E677">
        <v>1</v>
      </c>
      <c r="G677" t="s">
        <v>665</v>
      </c>
      <c r="I677" t="s">
        <v>61</v>
      </c>
      <c r="Z677" t="str">
        <f>IFERROR(MID(AA677,FIND("-",H677,1)+1,20),_xlfn.IFNA(VLOOKUP(F677&amp;"-"&amp;AA677,Ref_Kontak!$A:$E,4,FALSE),Ref_Kontak!$H$2))</f>
        <v>628999007703</v>
      </c>
      <c r="AA677" t="str">
        <f t="shared" si="60"/>
        <v/>
      </c>
      <c r="AB677" t="str">
        <f t="shared" si="61"/>
        <v/>
      </c>
      <c r="AC677" t="str">
        <f t="shared" si="62"/>
        <v>628999007703</v>
      </c>
      <c r="AD677" t="str">
        <f t="shared" si="64"/>
        <v>Halo+,+Visual+AI+5S+menditeksi+Violation%3A+METALDET1-LINE+6</v>
      </c>
      <c r="AE677" t="str">
        <f t="shared" si="63"/>
        <v>https://web.whatsapp.com/send/?phone=628999007703&amp;text=Halo+,+Visual+AI+5S+menditeksi+Violation%3A+METALDET1-LINE+6&amp;type=phone_number&amp;app_absent=0</v>
      </c>
      <c r="AF677" t="b">
        <f>IF(ISNA(VLOOKUP(D677&amp;"-"&amp;AB677, Ref_Kontak!$A:$E, 4, FALSE)), FALSE, TRUE)</f>
        <v>0</v>
      </c>
      <c r="AG677" t="str">
        <f>_xlfn.IFNA(VLOOKUP(Z677,Ref_Kontak!H:H,1,FALSE),"FALSE")</f>
        <v>628999007703</v>
      </c>
      <c r="AH677" t="str">
        <f t="shared" si="65"/>
        <v>METALDET1-LINE 6</v>
      </c>
      <c r="AI677">
        <f>COUNTIF($AH$1:AH677,AH677)</f>
        <v>6</v>
      </c>
    </row>
    <row r="678" spans="1:35">
      <c r="A678" t="s">
        <v>56</v>
      </c>
      <c r="B678" t="s">
        <v>57</v>
      </c>
      <c r="C678" t="s">
        <v>672</v>
      </c>
      <c r="D678" t="s">
        <v>609</v>
      </c>
      <c r="E678">
        <v>1</v>
      </c>
      <c r="G678" t="s">
        <v>665</v>
      </c>
      <c r="I678" t="s">
        <v>61</v>
      </c>
      <c r="Z678" t="str">
        <f>IFERROR(MID(AA678,FIND("-",H678,1)+1,20),_xlfn.IFNA(VLOOKUP(F678&amp;"-"&amp;AA678,Ref_Kontak!$A:$E,4,FALSE),Ref_Kontak!$H$2))</f>
        <v>628999007703</v>
      </c>
      <c r="AA678" t="str">
        <f t="shared" si="60"/>
        <v/>
      </c>
      <c r="AB678" t="str">
        <f t="shared" si="61"/>
        <v/>
      </c>
      <c r="AC678" t="str">
        <f t="shared" si="62"/>
        <v>628999007703</v>
      </c>
      <c r="AD678" t="str">
        <f t="shared" si="64"/>
        <v>Halo+,+Visual+AI+5S+menditeksi+Violation%3A+METALDET1-LINE+6</v>
      </c>
      <c r="AE678" t="str">
        <f t="shared" si="63"/>
        <v>https://web.whatsapp.com/send/?phone=628999007703&amp;text=Halo+,+Visual+AI+5S+menditeksi+Violation%3A+METALDET1-LINE+6&amp;type=phone_number&amp;app_absent=0</v>
      </c>
      <c r="AF678" t="b">
        <f>IF(ISNA(VLOOKUP(D678&amp;"-"&amp;AB678, Ref_Kontak!$A:$E, 4, FALSE)), FALSE, TRUE)</f>
        <v>0</v>
      </c>
      <c r="AG678" t="str">
        <f>_xlfn.IFNA(VLOOKUP(Z678,Ref_Kontak!H:H,1,FALSE),"FALSE")</f>
        <v>628999007703</v>
      </c>
      <c r="AH678" t="str">
        <f t="shared" si="65"/>
        <v>METALDET1-LINE 6</v>
      </c>
      <c r="AI678">
        <f>COUNTIF($AH$1:AH678,AH678)</f>
        <v>7</v>
      </c>
    </row>
    <row r="679" spans="1:35">
      <c r="A679" t="s">
        <v>56</v>
      </c>
      <c r="B679" t="s">
        <v>57</v>
      </c>
      <c r="C679" t="s">
        <v>673</v>
      </c>
      <c r="D679" t="s">
        <v>609</v>
      </c>
      <c r="E679">
        <v>1</v>
      </c>
      <c r="G679" t="s">
        <v>665</v>
      </c>
      <c r="I679" t="s">
        <v>61</v>
      </c>
      <c r="Z679" t="str">
        <f>IFERROR(MID(AA679,FIND("-",H679,1)+1,20),_xlfn.IFNA(VLOOKUP(F679&amp;"-"&amp;AA679,Ref_Kontak!$A:$E,4,FALSE),Ref_Kontak!$H$2))</f>
        <v>628999007703</v>
      </c>
      <c r="AA679" t="str">
        <f t="shared" si="60"/>
        <v/>
      </c>
      <c r="AB679" t="str">
        <f t="shared" si="61"/>
        <v/>
      </c>
      <c r="AC679" t="str">
        <f t="shared" si="62"/>
        <v>628999007703</v>
      </c>
      <c r="AD679" t="str">
        <f t="shared" si="64"/>
        <v>Halo+,+Visual+AI+5S+menditeksi+Violation%3A+METALDET1-LINE+6</v>
      </c>
      <c r="AE679" t="str">
        <f t="shared" si="63"/>
        <v>https://web.whatsapp.com/send/?phone=628999007703&amp;text=Halo+,+Visual+AI+5S+menditeksi+Violation%3A+METALDET1-LINE+6&amp;type=phone_number&amp;app_absent=0</v>
      </c>
      <c r="AF679" t="b">
        <f>IF(ISNA(VLOOKUP(D679&amp;"-"&amp;AB679, Ref_Kontak!$A:$E, 4, FALSE)), FALSE, TRUE)</f>
        <v>0</v>
      </c>
      <c r="AG679" t="str">
        <f>_xlfn.IFNA(VLOOKUP(Z679,Ref_Kontak!H:H,1,FALSE),"FALSE")</f>
        <v>628999007703</v>
      </c>
      <c r="AH679" t="str">
        <f t="shared" si="65"/>
        <v>METALDET1-LINE 6</v>
      </c>
      <c r="AI679">
        <f>COUNTIF($AH$1:AH679,AH679)</f>
        <v>8</v>
      </c>
    </row>
    <row r="680" spans="1:35">
      <c r="A680" t="s">
        <v>56</v>
      </c>
      <c r="B680" t="s">
        <v>57</v>
      </c>
      <c r="C680" t="s">
        <v>674</v>
      </c>
      <c r="D680" t="s">
        <v>609</v>
      </c>
      <c r="E680">
        <v>1</v>
      </c>
      <c r="G680" t="s">
        <v>665</v>
      </c>
      <c r="I680" t="s">
        <v>61</v>
      </c>
      <c r="Z680" t="str">
        <f>IFERROR(MID(AA680,FIND("-",H680,1)+1,20),_xlfn.IFNA(VLOOKUP(F680&amp;"-"&amp;AA680,Ref_Kontak!$A:$E,4,FALSE),Ref_Kontak!$H$2))</f>
        <v>628999007703</v>
      </c>
      <c r="AA680" t="str">
        <f t="shared" si="60"/>
        <v/>
      </c>
      <c r="AB680" t="str">
        <f t="shared" si="61"/>
        <v/>
      </c>
      <c r="AC680" t="str">
        <f t="shared" si="62"/>
        <v>628999007703</v>
      </c>
      <c r="AD680" t="str">
        <f t="shared" si="64"/>
        <v>Halo+,+Visual+AI+5S+menditeksi+Violation%3A+METALDET1-LINE+6</v>
      </c>
      <c r="AE680" t="str">
        <f t="shared" si="63"/>
        <v>https://web.whatsapp.com/send/?phone=628999007703&amp;text=Halo+,+Visual+AI+5S+menditeksi+Violation%3A+METALDET1-LINE+6&amp;type=phone_number&amp;app_absent=0</v>
      </c>
      <c r="AF680" t="b">
        <f>IF(ISNA(VLOOKUP(D680&amp;"-"&amp;AB680, Ref_Kontak!$A:$E, 4, FALSE)), FALSE, TRUE)</f>
        <v>0</v>
      </c>
      <c r="AG680" t="str">
        <f>_xlfn.IFNA(VLOOKUP(Z680,Ref_Kontak!H:H,1,FALSE),"FALSE")</f>
        <v>628999007703</v>
      </c>
      <c r="AH680" t="str">
        <f t="shared" si="65"/>
        <v>METALDET1-LINE 6</v>
      </c>
      <c r="AI680">
        <f>COUNTIF($AH$1:AH680,AH680)</f>
        <v>9</v>
      </c>
    </row>
    <row r="681" spans="1:35">
      <c r="A681" t="s">
        <v>56</v>
      </c>
      <c r="B681" t="s">
        <v>57</v>
      </c>
      <c r="C681" t="s">
        <v>675</v>
      </c>
      <c r="D681" t="s">
        <v>609</v>
      </c>
      <c r="E681">
        <v>1</v>
      </c>
      <c r="G681" t="s">
        <v>665</v>
      </c>
      <c r="I681" t="s">
        <v>61</v>
      </c>
      <c r="Z681" t="str">
        <f>IFERROR(MID(AA681,FIND("-",H681,1)+1,20),_xlfn.IFNA(VLOOKUP(F681&amp;"-"&amp;AA681,Ref_Kontak!$A:$E,4,FALSE),Ref_Kontak!$H$2))</f>
        <v>628999007703</v>
      </c>
      <c r="AA681" t="str">
        <f t="shared" si="60"/>
        <v/>
      </c>
      <c r="AB681" t="str">
        <f t="shared" si="61"/>
        <v/>
      </c>
      <c r="AC681" t="str">
        <f t="shared" si="62"/>
        <v>628999007703</v>
      </c>
      <c r="AD681" t="str">
        <f t="shared" si="64"/>
        <v>Halo+,+Visual+AI+5S+menditeksi+Violation%3A+METALDET1-LINE+6</v>
      </c>
      <c r="AE681" t="str">
        <f t="shared" si="63"/>
        <v>https://web.whatsapp.com/send/?phone=628999007703&amp;text=Halo+,+Visual+AI+5S+menditeksi+Violation%3A+METALDET1-LINE+6&amp;type=phone_number&amp;app_absent=0</v>
      </c>
      <c r="AF681" t="b">
        <f>IF(ISNA(VLOOKUP(D681&amp;"-"&amp;AB681, Ref_Kontak!$A:$E, 4, FALSE)), FALSE, TRUE)</f>
        <v>0</v>
      </c>
      <c r="AG681" t="str">
        <f>_xlfn.IFNA(VLOOKUP(Z681,Ref_Kontak!H:H,1,FALSE),"FALSE")</f>
        <v>628999007703</v>
      </c>
      <c r="AH681" t="str">
        <f t="shared" si="65"/>
        <v>METALDET1-LINE 6</v>
      </c>
      <c r="AI681">
        <f>COUNTIF($AH$1:AH681,AH681)</f>
        <v>10</v>
      </c>
    </row>
    <row r="682" spans="1:35">
      <c r="A682" t="s">
        <v>56</v>
      </c>
      <c r="B682" t="s">
        <v>57</v>
      </c>
      <c r="C682" t="s">
        <v>676</v>
      </c>
      <c r="D682" t="s">
        <v>609</v>
      </c>
      <c r="E682">
        <v>1</v>
      </c>
      <c r="G682" t="s">
        <v>665</v>
      </c>
      <c r="I682" t="s">
        <v>61</v>
      </c>
      <c r="Z682" t="str">
        <f>IFERROR(MID(AA682,FIND("-",H682,1)+1,20),_xlfn.IFNA(VLOOKUP(F682&amp;"-"&amp;AA682,Ref_Kontak!$A:$E,4,FALSE),Ref_Kontak!$H$2))</f>
        <v>628999007703</v>
      </c>
      <c r="AA682" t="str">
        <f t="shared" si="60"/>
        <v/>
      </c>
      <c r="AB682" t="str">
        <f t="shared" si="61"/>
        <v/>
      </c>
      <c r="AC682" t="str">
        <f t="shared" si="62"/>
        <v>628999007703</v>
      </c>
      <c r="AD682" t="str">
        <f t="shared" si="64"/>
        <v>Halo+,+Visual+AI+5S+menditeksi+Violation%3A+METALDET1-LINE+6</v>
      </c>
      <c r="AE682" t="str">
        <f t="shared" si="63"/>
        <v>https://web.whatsapp.com/send/?phone=628999007703&amp;text=Halo+,+Visual+AI+5S+menditeksi+Violation%3A+METALDET1-LINE+6&amp;type=phone_number&amp;app_absent=0</v>
      </c>
      <c r="AF682" t="b">
        <f>IF(ISNA(VLOOKUP(D682&amp;"-"&amp;AB682, Ref_Kontak!$A:$E, 4, FALSE)), FALSE, TRUE)</f>
        <v>0</v>
      </c>
      <c r="AG682" t="str">
        <f>_xlfn.IFNA(VLOOKUP(Z682,Ref_Kontak!H:H,1,FALSE),"FALSE")</f>
        <v>628999007703</v>
      </c>
      <c r="AH682" t="str">
        <f t="shared" si="65"/>
        <v>METALDET1-LINE 6</v>
      </c>
      <c r="AI682">
        <f>COUNTIF($AH$1:AH682,AH682)</f>
        <v>11</v>
      </c>
    </row>
    <row r="683" spans="1:35">
      <c r="A683" t="s">
        <v>56</v>
      </c>
      <c r="B683" t="s">
        <v>57</v>
      </c>
      <c r="C683" t="s">
        <v>677</v>
      </c>
      <c r="D683" t="s">
        <v>609</v>
      </c>
      <c r="E683">
        <v>1</v>
      </c>
      <c r="G683" t="s">
        <v>665</v>
      </c>
      <c r="I683" t="s">
        <v>61</v>
      </c>
      <c r="Z683" t="str">
        <f>IFERROR(MID(AA683,FIND("-",H683,1)+1,20),_xlfn.IFNA(VLOOKUP(F683&amp;"-"&amp;AA683,Ref_Kontak!$A:$E,4,FALSE),Ref_Kontak!$H$2))</f>
        <v>628999007703</v>
      </c>
      <c r="AA683" t="str">
        <f t="shared" si="60"/>
        <v/>
      </c>
      <c r="AB683" t="str">
        <f t="shared" si="61"/>
        <v/>
      </c>
      <c r="AC683" t="str">
        <f t="shared" si="62"/>
        <v>628999007703</v>
      </c>
      <c r="AD683" t="str">
        <f t="shared" si="64"/>
        <v>Halo+,+Visual+AI+5S+menditeksi+Violation%3A+METALDET1-LINE+6</v>
      </c>
      <c r="AE683" t="str">
        <f t="shared" si="63"/>
        <v>https://web.whatsapp.com/send/?phone=628999007703&amp;text=Halo+,+Visual+AI+5S+menditeksi+Violation%3A+METALDET1-LINE+6&amp;type=phone_number&amp;app_absent=0</v>
      </c>
      <c r="AF683" t="b">
        <f>IF(ISNA(VLOOKUP(D683&amp;"-"&amp;AB683, Ref_Kontak!$A:$E, 4, FALSE)), FALSE, TRUE)</f>
        <v>0</v>
      </c>
      <c r="AG683" t="str">
        <f>_xlfn.IFNA(VLOOKUP(Z683,Ref_Kontak!H:H,1,FALSE),"FALSE")</f>
        <v>628999007703</v>
      </c>
      <c r="AH683" t="str">
        <f t="shared" si="65"/>
        <v>METALDET1-LINE 6</v>
      </c>
      <c r="AI683">
        <f>COUNTIF($AH$1:AH683,AH683)</f>
        <v>12</v>
      </c>
    </row>
    <row r="684" spans="1:35">
      <c r="A684" t="s">
        <v>56</v>
      </c>
      <c r="B684" t="s">
        <v>57</v>
      </c>
      <c r="C684" t="s">
        <v>678</v>
      </c>
      <c r="D684" t="s">
        <v>609</v>
      </c>
      <c r="E684">
        <v>1</v>
      </c>
      <c r="G684" t="s">
        <v>665</v>
      </c>
      <c r="I684" t="s">
        <v>61</v>
      </c>
      <c r="Z684" t="str">
        <f>IFERROR(MID(AA684,FIND("-",H684,1)+1,20),_xlfn.IFNA(VLOOKUP(F684&amp;"-"&amp;AA684,Ref_Kontak!$A:$E,4,FALSE),Ref_Kontak!$H$2))</f>
        <v>628999007703</v>
      </c>
      <c r="AA684" t="str">
        <f t="shared" si="60"/>
        <v/>
      </c>
      <c r="AB684" t="str">
        <f t="shared" si="61"/>
        <v/>
      </c>
      <c r="AC684" t="str">
        <f t="shared" si="62"/>
        <v>628999007703</v>
      </c>
      <c r="AD684" t="str">
        <f t="shared" si="64"/>
        <v>Halo+,+Visual+AI+5S+menditeksi+Violation%3A+METALDET1-LINE+6</v>
      </c>
      <c r="AE684" t="str">
        <f t="shared" si="63"/>
        <v>https://web.whatsapp.com/send/?phone=628999007703&amp;text=Halo+,+Visual+AI+5S+menditeksi+Violation%3A+METALDET1-LINE+6&amp;type=phone_number&amp;app_absent=0</v>
      </c>
      <c r="AF684" t="b">
        <f>IF(ISNA(VLOOKUP(D684&amp;"-"&amp;AB684, Ref_Kontak!$A:$E, 4, FALSE)), FALSE, TRUE)</f>
        <v>0</v>
      </c>
      <c r="AG684" t="str">
        <f>_xlfn.IFNA(VLOOKUP(Z684,Ref_Kontak!H:H,1,FALSE),"FALSE")</f>
        <v>628999007703</v>
      </c>
      <c r="AH684" t="str">
        <f t="shared" si="65"/>
        <v>METALDET1-LINE 6</v>
      </c>
      <c r="AI684">
        <f>COUNTIF($AH$1:AH684,AH684)</f>
        <v>13</v>
      </c>
    </row>
    <row r="685" spans="1:35">
      <c r="A685" t="s">
        <v>56</v>
      </c>
      <c r="B685" t="s">
        <v>57</v>
      </c>
      <c r="C685" t="s">
        <v>679</v>
      </c>
      <c r="D685" t="s">
        <v>609</v>
      </c>
      <c r="E685">
        <v>1</v>
      </c>
      <c r="G685" t="s">
        <v>665</v>
      </c>
      <c r="I685" t="s">
        <v>61</v>
      </c>
      <c r="Z685" t="str">
        <f>IFERROR(MID(AA685,FIND("-",H685,1)+1,20),_xlfn.IFNA(VLOOKUP(F685&amp;"-"&amp;AA685,Ref_Kontak!$A:$E,4,FALSE),Ref_Kontak!$H$2))</f>
        <v>628999007703</v>
      </c>
      <c r="AA685" t="str">
        <f t="shared" si="60"/>
        <v/>
      </c>
      <c r="AB685" t="str">
        <f t="shared" si="61"/>
        <v/>
      </c>
      <c r="AC685" t="str">
        <f t="shared" si="62"/>
        <v>628999007703</v>
      </c>
      <c r="AD685" t="str">
        <f t="shared" si="64"/>
        <v>Halo+,+Visual+AI+5S+menditeksi+Violation%3A+METALDET1-LINE+6</v>
      </c>
      <c r="AE685" t="str">
        <f t="shared" si="63"/>
        <v>https://web.whatsapp.com/send/?phone=628999007703&amp;text=Halo+,+Visual+AI+5S+menditeksi+Violation%3A+METALDET1-LINE+6&amp;type=phone_number&amp;app_absent=0</v>
      </c>
      <c r="AF685" t="b">
        <f>IF(ISNA(VLOOKUP(D685&amp;"-"&amp;AB685, Ref_Kontak!$A:$E, 4, FALSE)), FALSE, TRUE)</f>
        <v>0</v>
      </c>
      <c r="AG685" t="str">
        <f>_xlfn.IFNA(VLOOKUP(Z685,Ref_Kontak!H:H,1,FALSE),"FALSE")</f>
        <v>628999007703</v>
      </c>
      <c r="AH685" t="str">
        <f t="shared" si="65"/>
        <v>METALDET1-LINE 6</v>
      </c>
      <c r="AI685">
        <f>COUNTIF($AH$1:AH685,AH685)</f>
        <v>14</v>
      </c>
    </row>
    <row r="686" spans="1:35">
      <c r="A686" t="s">
        <v>56</v>
      </c>
      <c r="B686" t="s">
        <v>57</v>
      </c>
      <c r="C686" t="s">
        <v>680</v>
      </c>
      <c r="D686" t="s">
        <v>609</v>
      </c>
      <c r="E686">
        <v>1</v>
      </c>
      <c r="G686" t="s">
        <v>665</v>
      </c>
      <c r="I686" t="s">
        <v>61</v>
      </c>
      <c r="Z686" t="str">
        <f>IFERROR(MID(AA686,FIND("-",H686,1)+1,20),_xlfn.IFNA(VLOOKUP(F686&amp;"-"&amp;AA686,Ref_Kontak!$A:$E,4,FALSE),Ref_Kontak!$H$2))</f>
        <v>628999007703</v>
      </c>
      <c r="AA686" t="str">
        <f t="shared" si="60"/>
        <v/>
      </c>
      <c r="AB686" t="str">
        <f t="shared" si="61"/>
        <v/>
      </c>
      <c r="AC686" t="str">
        <f t="shared" si="62"/>
        <v>628999007703</v>
      </c>
      <c r="AD686" t="str">
        <f t="shared" si="64"/>
        <v>Halo+,+Visual+AI+5S+menditeksi+Violation%3A+METALDET1-LINE+6</v>
      </c>
      <c r="AE686" t="str">
        <f t="shared" si="63"/>
        <v>https://web.whatsapp.com/send/?phone=628999007703&amp;text=Halo+,+Visual+AI+5S+menditeksi+Violation%3A+METALDET1-LINE+6&amp;type=phone_number&amp;app_absent=0</v>
      </c>
      <c r="AF686" t="b">
        <f>IF(ISNA(VLOOKUP(D686&amp;"-"&amp;AB686, Ref_Kontak!$A:$E, 4, FALSE)), FALSE, TRUE)</f>
        <v>0</v>
      </c>
      <c r="AG686" t="str">
        <f>_xlfn.IFNA(VLOOKUP(Z686,Ref_Kontak!H:H,1,FALSE),"FALSE")</f>
        <v>628999007703</v>
      </c>
      <c r="AH686" t="str">
        <f t="shared" si="65"/>
        <v>METALDET1-LINE 6</v>
      </c>
      <c r="AI686">
        <f>COUNTIF($AH$1:AH686,AH686)</f>
        <v>15</v>
      </c>
    </row>
    <row r="687" spans="1:35">
      <c r="A687" t="s">
        <v>56</v>
      </c>
      <c r="B687" t="s">
        <v>57</v>
      </c>
      <c r="C687" t="s">
        <v>681</v>
      </c>
      <c r="D687" t="s">
        <v>609</v>
      </c>
      <c r="E687">
        <v>1</v>
      </c>
      <c r="G687" t="s">
        <v>665</v>
      </c>
      <c r="I687" t="s">
        <v>61</v>
      </c>
      <c r="Z687" t="str">
        <f>IFERROR(MID(AA687,FIND("-",H687,1)+1,20),_xlfn.IFNA(VLOOKUP(F687&amp;"-"&amp;AA687,Ref_Kontak!$A:$E,4,FALSE),Ref_Kontak!$H$2))</f>
        <v>628999007703</v>
      </c>
      <c r="AA687" t="str">
        <f t="shared" si="60"/>
        <v/>
      </c>
      <c r="AB687" t="str">
        <f t="shared" si="61"/>
        <v/>
      </c>
      <c r="AC687" t="str">
        <f t="shared" si="62"/>
        <v>628999007703</v>
      </c>
      <c r="AD687" t="str">
        <f t="shared" si="64"/>
        <v>Halo+,+Visual+AI+5S+menditeksi+Violation%3A+METALDET1-LINE+6</v>
      </c>
      <c r="AE687" t="str">
        <f t="shared" si="63"/>
        <v>https://web.whatsapp.com/send/?phone=628999007703&amp;text=Halo+,+Visual+AI+5S+menditeksi+Violation%3A+METALDET1-LINE+6&amp;type=phone_number&amp;app_absent=0</v>
      </c>
      <c r="AF687" t="b">
        <f>IF(ISNA(VLOOKUP(D687&amp;"-"&amp;AB687, Ref_Kontak!$A:$E, 4, FALSE)), FALSE, TRUE)</f>
        <v>0</v>
      </c>
      <c r="AG687" t="str">
        <f>_xlfn.IFNA(VLOOKUP(Z687,Ref_Kontak!H:H,1,FALSE),"FALSE")</f>
        <v>628999007703</v>
      </c>
      <c r="AH687" t="str">
        <f t="shared" si="65"/>
        <v>METALDET1-LINE 6</v>
      </c>
      <c r="AI687">
        <f>COUNTIF($AH$1:AH687,AH687)</f>
        <v>16</v>
      </c>
    </row>
    <row r="688" spans="1:35">
      <c r="A688" t="s">
        <v>56</v>
      </c>
      <c r="B688" t="s">
        <v>57</v>
      </c>
      <c r="C688" t="s">
        <v>682</v>
      </c>
      <c r="D688" t="s">
        <v>609</v>
      </c>
      <c r="E688">
        <v>1</v>
      </c>
      <c r="G688" t="s">
        <v>665</v>
      </c>
      <c r="I688" t="s">
        <v>61</v>
      </c>
      <c r="Z688" t="str">
        <f>IFERROR(MID(AA688,FIND("-",H688,1)+1,20),_xlfn.IFNA(VLOOKUP(F688&amp;"-"&amp;AA688,Ref_Kontak!$A:$E,4,FALSE),Ref_Kontak!$H$2))</f>
        <v>628999007703</v>
      </c>
      <c r="AA688" t="str">
        <f t="shared" si="60"/>
        <v/>
      </c>
      <c r="AB688" t="str">
        <f t="shared" si="61"/>
        <v/>
      </c>
      <c r="AC688" t="str">
        <f t="shared" si="62"/>
        <v>628999007703</v>
      </c>
      <c r="AD688" t="str">
        <f t="shared" si="64"/>
        <v>Halo+,+Visual+AI+5S+menditeksi+Violation%3A+METALDET1-LINE+6</v>
      </c>
      <c r="AE688" t="str">
        <f t="shared" si="63"/>
        <v>https://web.whatsapp.com/send/?phone=628999007703&amp;text=Halo+,+Visual+AI+5S+menditeksi+Violation%3A+METALDET1-LINE+6&amp;type=phone_number&amp;app_absent=0</v>
      </c>
      <c r="AF688" t="b">
        <f>IF(ISNA(VLOOKUP(D688&amp;"-"&amp;AB688, Ref_Kontak!$A:$E, 4, FALSE)), FALSE, TRUE)</f>
        <v>0</v>
      </c>
      <c r="AG688" t="str">
        <f>_xlfn.IFNA(VLOOKUP(Z688,Ref_Kontak!H:H,1,FALSE),"FALSE")</f>
        <v>628999007703</v>
      </c>
      <c r="AH688" t="str">
        <f t="shared" si="65"/>
        <v>METALDET1-LINE 6</v>
      </c>
      <c r="AI688">
        <f>COUNTIF($AH$1:AH688,AH688)</f>
        <v>17</v>
      </c>
    </row>
    <row r="689" spans="1:35">
      <c r="A689" t="s">
        <v>56</v>
      </c>
      <c r="B689" t="s">
        <v>57</v>
      </c>
      <c r="C689" t="s">
        <v>683</v>
      </c>
      <c r="D689" t="s">
        <v>609</v>
      </c>
      <c r="E689">
        <v>1</v>
      </c>
      <c r="G689" t="s">
        <v>665</v>
      </c>
      <c r="I689" t="s">
        <v>61</v>
      </c>
      <c r="Z689" t="str">
        <f>IFERROR(MID(AA689,FIND("-",H689,1)+1,20),_xlfn.IFNA(VLOOKUP(F689&amp;"-"&amp;AA689,Ref_Kontak!$A:$E,4,FALSE),Ref_Kontak!$H$2))</f>
        <v>628999007703</v>
      </c>
      <c r="AA689" t="str">
        <f t="shared" si="60"/>
        <v/>
      </c>
      <c r="AB689" t="str">
        <f t="shared" si="61"/>
        <v/>
      </c>
      <c r="AC689" t="str">
        <f t="shared" si="62"/>
        <v>628999007703</v>
      </c>
      <c r="AD689" t="str">
        <f t="shared" si="64"/>
        <v>Halo+,+Visual+AI+5S+menditeksi+Violation%3A+METALDET1-LINE+6</v>
      </c>
      <c r="AE689" t="str">
        <f t="shared" si="63"/>
        <v>https://web.whatsapp.com/send/?phone=628999007703&amp;text=Halo+,+Visual+AI+5S+menditeksi+Violation%3A+METALDET1-LINE+6&amp;type=phone_number&amp;app_absent=0</v>
      </c>
      <c r="AF689" t="b">
        <f>IF(ISNA(VLOOKUP(D689&amp;"-"&amp;AB689, Ref_Kontak!$A:$E, 4, FALSE)), FALSE, TRUE)</f>
        <v>0</v>
      </c>
      <c r="AG689" t="str">
        <f>_xlfn.IFNA(VLOOKUP(Z689,Ref_Kontak!H:H,1,FALSE),"FALSE")</f>
        <v>628999007703</v>
      </c>
      <c r="AH689" t="str">
        <f t="shared" si="65"/>
        <v>METALDET1-LINE 6</v>
      </c>
      <c r="AI689">
        <f>COUNTIF($AH$1:AH689,AH689)</f>
        <v>18</v>
      </c>
    </row>
    <row r="690" spans="1:35">
      <c r="A690" t="s">
        <v>56</v>
      </c>
      <c r="B690" t="s">
        <v>57</v>
      </c>
      <c r="C690" t="s">
        <v>684</v>
      </c>
      <c r="D690" t="s">
        <v>609</v>
      </c>
      <c r="E690">
        <v>1</v>
      </c>
      <c r="G690" t="s">
        <v>665</v>
      </c>
      <c r="I690" t="s">
        <v>61</v>
      </c>
      <c r="Z690" t="str">
        <f>IFERROR(MID(AA690,FIND("-",H690,1)+1,20),_xlfn.IFNA(VLOOKUP(F690&amp;"-"&amp;AA690,Ref_Kontak!$A:$E,4,FALSE),Ref_Kontak!$H$2))</f>
        <v>628999007703</v>
      </c>
      <c r="AA690" t="str">
        <f t="shared" si="60"/>
        <v/>
      </c>
      <c r="AB690" t="str">
        <f t="shared" si="61"/>
        <v/>
      </c>
      <c r="AC690" t="str">
        <f t="shared" si="62"/>
        <v>628999007703</v>
      </c>
      <c r="AD690" t="str">
        <f t="shared" si="64"/>
        <v>Halo+,+Visual+AI+5S+menditeksi+Violation%3A+METALDET1-LINE+6</v>
      </c>
      <c r="AE690" t="str">
        <f t="shared" si="63"/>
        <v>https://web.whatsapp.com/send/?phone=628999007703&amp;text=Halo+,+Visual+AI+5S+menditeksi+Violation%3A+METALDET1-LINE+6&amp;type=phone_number&amp;app_absent=0</v>
      </c>
      <c r="AF690" t="b">
        <f>IF(ISNA(VLOOKUP(D690&amp;"-"&amp;AB690, Ref_Kontak!$A:$E, 4, FALSE)), FALSE, TRUE)</f>
        <v>0</v>
      </c>
      <c r="AG690" t="str">
        <f>_xlfn.IFNA(VLOOKUP(Z690,Ref_Kontak!H:H,1,FALSE),"FALSE")</f>
        <v>628999007703</v>
      </c>
      <c r="AH690" t="str">
        <f t="shared" si="65"/>
        <v>METALDET1-LINE 6</v>
      </c>
      <c r="AI690">
        <f>COUNTIF($AH$1:AH690,AH690)</f>
        <v>19</v>
      </c>
    </row>
    <row r="691" spans="1:35">
      <c r="A691" t="s">
        <v>56</v>
      </c>
      <c r="B691" t="s">
        <v>57</v>
      </c>
      <c r="C691" t="s">
        <v>685</v>
      </c>
      <c r="D691" t="s">
        <v>609</v>
      </c>
      <c r="E691">
        <v>1</v>
      </c>
      <c r="G691" t="s">
        <v>665</v>
      </c>
      <c r="I691" t="s">
        <v>61</v>
      </c>
      <c r="Z691" t="str">
        <f>IFERROR(MID(AA691,FIND("-",H691,1)+1,20),_xlfn.IFNA(VLOOKUP(F691&amp;"-"&amp;AA691,Ref_Kontak!$A:$E,4,FALSE),Ref_Kontak!$H$2))</f>
        <v>628999007703</v>
      </c>
      <c r="AA691" t="str">
        <f t="shared" si="60"/>
        <v/>
      </c>
      <c r="AB691" t="str">
        <f t="shared" si="61"/>
        <v/>
      </c>
      <c r="AC691" t="str">
        <f t="shared" si="62"/>
        <v>628999007703</v>
      </c>
      <c r="AD691" t="str">
        <f t="shared" si="64"/>
        <v>Halo+,+Visual+AI+5S+menditeksi+Violation%3A+METALDET1-LINE+6</v>
      </c>
      <c r="AE691" t="str">
        <f t="shared" si="63"/>
        <v>https://web.whatsapp.com/send/?phone=628999007703&amp;text=Halo+,+Visual+AI+5S+menditeksi+Violation%3A+METALDET1-LINE+6&amp;type=phone_number&amp;app_absent=0</v>
      </c>
      <c r="AF691" t="b">
        <f>IF(ISNA(VLOOKUP(D691&amp;"-"&amp;AB691, Ref_Kontak!$A:$E, 4, FALSE)), FALSE, TRUE)</f>
        <v>0</v>
      </c>
      <c r="AG691" t="str">
        <f>_xlfn.IFNA(VLOOKUP(Z691,Ref_Kontak!H:H,1,FALSE),"FALSE")</f>
        <v>628999007703</v>
      </c>
      <c r="AH691" t="str">
        <f t="shared" si="65"/>
        <v>METALDET1-LINE 6</v>
      </c>
      <c r="AI691">
        <f>COUNTIF($AH$1:AH691,AH691)</f>
        <v>20</v>
      </c>
    </row>
    <row r="692" spans="1:35">
      <c r="A692" t="s">
        <v>56</v>
      </c>
      <c r="B692" t="s">
        <v>57</v>
      </c>
      <c r="C692" t="s">
        <v>686</v>
      </c>
      <c r="D692" t="s">
        <v>609</v>
      </c>
      <c r="E692">
        <v>1</v>
      </c>
      <c r="G692" t="s">
        <v>665</v>
      </c>
      <c r="I692" t="s">
        <v>61</v>
      </c>
      <c r="Z692" t="str">
        <f>IFERROR(MID(AA692,FIND("-",H692,1)+1,20),_xlfn.IFNA(VLOOKUP(F692&amp;"-"&amp;AA692,Ref_Kontak!$A:$E,4,FALSE),Ref_Kontak!$H$2))</f>
        <v>628999007703</v>
      </c>
      <c r="AA692" t="str">
        <f t="shared" si="60"/>
        <v/>
      </c>
      <c r="AB692" t="str">
        <f t="shared" si="61"/>
        <v/>
      </c>
      <c r="AC692" t="str">
        <f t="shared" si="62"/>
        <v>628999007703</v>
      </c>
      <c r="AD692" t="str">
        <f t="shared" si="64"/>
        <v>Halo+,+Visual+AI+5S+menditeksi+Violation%3A+METALDET1-LINE+6</v>
      </c>
      <c r="AE692" t="str">
        <f t="shared" si="63"/>
        <v>https://web.whatsapp.com/send/?phone=628999007703&amp;text=Halo+,+Visual+AI+5S+menditeksi+Violation%3A+METALDET1-LINE+6&amp;type=phone_number&amp;app_absent=0</v>
      </c>
      <c r="AF692" t="b">
        <f>IF(ISNA(VLOOKUP(D692&amp;"-"&amp;AB692, Ref_Kontak!$A:$E, 4, FALSE)), FALSE, TRUE)</f>
        <v>0</v>
      </c>
      <c r="AG692" t="str">
        <f>_xlfn.IFNA(VLOOKUP(Z692,Ref_Kontak!H:H,1,FALSE),"FALSE")</f>
        <v>628999007703</v>
      </c>
      <c r="AH692" t="str">
        <f t="shared" si="65"/>
        <v>METALDET1-LINE 6</v>
      </c>
      <c r="AI692">
        <f>COUNTIF($AH$1:AH692,AH692)</f>
        <v>21</v>
      </c>
    </row>
    <row r="693" spans="1:35">
      <c r="A693" t="s">
        <v>56</v>
      </c>
      <c r="B693" t="s">
        <v>57</v>
      </c>
      <c r="C693" t="s">
        <v>687</v>
      </c>
      <c r="D693" t="s">
        <v>609</v>
      </c>
      <c r="E693">
        <v>1</v>
      </c>
      <c r="G693" t="s">
        <v>665</v>
      </c>
      <c r="I693" t="s">
        <v>61</v>
      </c>
      <c r="Z693" t="str">
        <f>IFERROR(MID(AA693,FIND("-",H693,1)+1,20),_xlfn.IFNA(VLOOKUP(F693&amp;"-"&amp;AA693,Ref_Kontak!$A:$E,4,FALSE),Ref_Kontak!$H$2))</f>
        <v>628999007703</v>
      </c>
      <c r="AA693" t="str">
        <f t="shared" si="60"/>
        <v/>
      </c>
      <c r="AB693" t="str">
        <f t="shared" si="61"/>
        <v/>
      </c>
      <c r="AC693" t="str">
        <f t="shared" si="62"/>
        <v>628999007703</v>
      </c>
      <c r="AD693" t="str">
        <f t="shared" si="64"/>
        <v>Halo+,+Visual+AI+5S+menditeksi+Violation%3A+METALDET1-LINE+6</v>
      </c>
      <c r="AE693" t="str">
        <f t="shared" si="63"/>
        <v>https://web.whatsapp.com/send/?phone=628999007703&amp;text=Halo+,+Visual+AI+5S+menditeksi+Violation%3A+METALDET1-LINE+6&amp;type=phone_number&amp;app_absent=0</v>
      </c>
      <c r="AF693" t="b">
        <f>IF(ISNA(VLOOKUP(D693&amp;"-"&amp;AB693, Ref_Kontak!$A:$E, 4, FALSE)), FALSE, TRUE)</f>
        <v>0</v>
      </c>
      <c r="AG693" t="str">
        <f>_xlfn.IFNA(VLOOKUP(Z693,Ref_Kontak!H:H,1,FALSE),"FALSE")</f>
        <v>628999007703</v>
      </c>
      <c r="AH693" t="str">
        <f t="shared" si="65"/>
        <v>METALDET1-LINE 6</v>
      </c>
      <c r="AI693">
        <f>COUNTIF($AH$1:AH693,AH693)</f>
        <v>22</v>
      </c>
    </row>
    <row r="694" spans="1:35">
      <c r="A694" t="s">
        <v>56</v>
      </c>
      <c r="B694" t="s">
        <v>57</v>
      </c>
      <c r="C694" t="s">
        <v>688</v>
      </c>
      <c r="D694" t="s">
        <v>609</v>
      </c>
      <c r="E694">
        <v>1</v>
      </c>
      <c r="G694" t="s">
        <v>665</v>
      </c>
      <c r="I694" t="s">
        <v>61</v>
      </c>
      <c r="Z694" t="str">
        <f>IFERROR(MID(AA694,FIND("-",H694,1)+1,20),_xlfn.IFNA(VLOOKUP(F694&amp;"-"&amp;AA694,Ref_Kontak!$A:$E,4,FALSE),Ref_Kontak!$H$2))</f>
        <v>628999007703</v>
      </c>
      <c r="AA694" t="str">
        <f t="shared" si="60"/>
        <v/>
      </c>
      <c r="AB694" t="str">
        <f t="shared" si="61"/>
        <v/>
      </c>
      <c r="AC694" t="str">
        <f t="shared" si="62"/>
        <v>628999007703</v>
      </c>
      <c r="AD694" t="str">
        <f t="shared" si="64"/>
        <v>Halo+,+Visual+AI+5S+menditeksi+Violation%3A+METALDET1-LINE+6</v>
      </c>
      <c r="AE694" t="str">
        <f t="shared" si="63"/>
        <v>https://web.whatsapp.com/send/?phone=628999007703&amp;text=Halo+,+Visual+AI+5S+menditeksi+Violation%3A+METALDET1-LINE+6&amp;type=phone_number&amp;app_absent=0</v>
      </c>
      <c r="AF694" t="b">
        <f>IF(ISNA(VLOOKUP(D694&amp;"-"&amp;AB694, Ref_Kontak!$A:$E, 4, FALSE)), FALSE, TRUE)</f>
        <v>0</v>
      </c>
      <c r="AG694" t="str">
        <f>_xlfn.IFNA(VLOOKUP(Z694,Ref_Kontak!H:H,1,FALSE),"FALSE")</f>
        <v>628999007703</v>
      </c>
      <c r="AH694" t="str">
        <f t="shared" si="65"/>
        <v>METALDET1-LINE 6</v>
      </c>
      <c r="AI694">
        <f>COUNTIF($AH$1:AH694,AH694)</f>
        <v>23</v>
      </c>
    </row>
    <row r="695" spans="1:35">
      <c r="A695" t="s">
        <v>56</v>
      </c>
      <c r="B695" t="s">
        <v>57</v>
      </c>
      <c r="C695" t="s">
        <v>689</v>
      </c>
      <c r="D695" t="s">
        <v>609</v>
      </c>
      <c r="E695">
        <v>1</v>
      </c>
      <c r="G695" t="s">
        <v>665</v>
      </c>
      <c r="I695" t="s">
        <v>61</v>
      </c>
      <c r="Z695" t="str">
        <f>IFERROR(MID(AA695,FIND("-",H695,1)+1,20),_xlfn.IFNA(VLOOKUP(F695&amp;"-"&amp;AA695,Ref_Kontak!$A:$E,4,FALSE),Ref_Kontak!$H$2))</f>
        <v>628999007703</v>
      </c>
      <c r="AA695" t="str">
        <f t="shared" si="60"/>
        <v/>
      </c>
      <c r="AB695" t="str">
        <f t="shared" si="61"/>
        <v/>
      </c>
      <c r="AC695" t="str">
        <f t="shared" si="62"/>
        <v>628999007703</v>
      </c>
      <c r="AD695" t="str">
        <f t="shared" si="64"/>
        <v>Halo+,+Visual+AI+5S+menditeksi+Violation%3A+METALDET1-LINE+6</v>
      </c>
      <c r="AE695" t="str">
        <f t="shared" si="63"/>
        <v>https://web.whatsapp.com/send/?phone=628999007703&amp;text=Halo+,+Visual+AI+5S+menditeksi+Violation%3A+METALDET1-LINE+6&amp;type=phone_number&amp;app_absent=0</v>
      </c>
      <c r="AF695" t="b">
        <f>IF(ISNA(VLOOKUP(D695&amp;"-"&amp;AB695, Ref_Kontak!$A:$E, 4, FALSE)), FALSE, TRUE)</f>
        <v>0</v>
      </c>
      <c r="AG695" t="str">
        <f>_xlfn.IFNA(VLOOKUP(Z695,Ref_Kontak!H:H,1,FALSE),"FALSE")</f>
        <v>628999007703</v>
      </c>
      <c r="AH695" t="str">
        <f t="shared" si="65"/>
        <v>METALDET1-LINE 6</v>
      </c>
      <c r="AI695">
        <f>COUNTIF($AH$1:AH695,AH695)</f>
        <v>24</v>
      </c>
    </row>
    <row r="696" spans="1:35">
      <c r="A696" t="s">
        <v>56</v>
      </c>
      <c r="B696" t="s">
        <v>57</v>
      </c>
      <c r="C696" t="s">
        <v>690</v>
      </c>
      <c r="D696" t="s">
        <v>609</v>
      </c>
      <c r="E696">
        <v>1</v>
      </c>
      <c r="G696" t="s">
        <v>665</v>
      </c>
      <c r="I696" t="s">
        <v>61</v>
      </c>
      <c r="Z696" t="str">
        <f>IFERROR(MID(AA696,FIND("-",H696,1)+1,20),_xlfn.IFNA(VLOOKUP(F696&amp;"-"&amp;AA696,Ref_Kontak!$A:$E,4,FALSE),Ref_Kontak!$H$2))</f>
        <v>628999007703</v>
      </c>
      <c r="AA696" t="str">
        <f t="shared" si="60"/>
        <v/>
      </c>
      <c r="AB696" t="str">
        <f t="shared" si="61"/>
        <v/>
      </c>
      <c r="AC696" t="str">
        <f t="shared" si="62"/>
        <v>628999007703</v>
      </c>
      <c r="AD696" t="str">
        <f t="shared" si="64"/>
        <v>Halo+,+Visual+AI+5S+menditeksi+Violation%3A+METALDET1-LINE+6</v>
      </c>
      <c r="AE696" t="str">
        <f t="shared" si="63"/>
        <v>https://web.whatsapp.com/send/?phone=628999007703&amp;text=Halo+,+Visual+AI+5S+menditeksi+Violation%3A+METALDET1-LINE+6&amp;type=phone_number&amp;app_absent=0</v>
      </c>
      <c r="AF696" t="b">
        <f>IF(ISNA(VLOOKUP(D696&amp;"-"&amp;AB696, Ref_Kontak!$A:$E, 4, FALSE)), FALSE, TRUE)</f>
        <v>0</v>
      </c>
      <c r="AG696" t="str">
        <f>_xlfn.IFNA(VLOOKUP(Z696,Ref_Kontak!H:H,1,FALSE),"FALSE")</f>
        <v>628999007703</v>
      </c>
      <c r="AH696" t="str">
        <f t="shared" si="65"/>
        <v>METALDET1-LINE 6</v>
      </c>
      <c r="AI696">
        <f>COUNTIF($AH$1:AH696,AH696)</f>
        <v>25</v>
      </c>
    </row>
    <row r="697" spans="1:35">
      <c r="A697" t="s">
        <v>56</v>
      </c>
      <c r="B697" t="s">
        <v>57</v>
      </c>
      <c r="C697" t="s">
        <v>691</v>
      </c>
      <c r="D697" t="s">
        <v>609</v>
      </c>
      <c r="E697">
        <v>1</v>
      </c>
      <c r="G697" t="s">
        <v>665</v>
      </c>
      <c r="I697" t="s">
        <v>61</v>
      </c>
      <c r="Z697" t="str">
        <f>IFERROR(MID(AA697,FIND("-",H697,1)+1,20),_xlfn.IFNA(VLOOKUP(F697&amp;"-"&amp;AA697,Ref_Kontak!$A:$E,4,FALSE),Ref_Kontak!$H$2))</f>
        <v>628999007703</v>
      </c>
      <c r="AA697" t="str">
        <f t="shared" si="60"/>
        <v/>
      </c>
      <c r="AB697" t="str">
        <f t="shared" si="61"/>
        <v/>
      </c>
      <c r="AC697" t="str">
        <f t="shared" si="62"/>
        <v>628999007703</v>
      </c>
      <c r="AD697" t="str">
        <f t="shared" si="64"/>
        <v>Halo+,+Visual+AI+5S+menditeksi+Violation%3A+METALDET1-LINE+6</v>
      </c>
      <c r="AE697" t="str">
        <f t="shared" si="63"/>
        <v>https://web.whatsapp.com/send/?phone=628999007703&amp;text=Halo+,+Visual+AI+5S+menditeksi+Violation%3A+METALDET1-LINE+6&amp;type=phone_number&amp;app_absent=0</v>
      </c>
      <c r="AF697" t="b">
        <f>IF(ISNA(VLOOKUP(D697&amp;"-"&amp;AB697, Ref_Kontak!$A:$E, 4, FALSE)), FALSE, TRUE)</f>
        <v>0</v>
      </c>
      <c r="AG697" t="str">
        <f>_xlfn.IFNA(VLOOKUP(Z697,Ref_Kontak!H:H,1,FALSE),"FALSE")</f>
        <v>628999007703</v>
      </c>
      <c r="AH697" t="str">
        <f t="shared" si="65"/>
        <v>METALDET1-LINE 6</v>
      </c>
      <c r="AI697">
        <f>COUNTIF($AH$1:AH697,AH697)</f>
        <v>26</v>
      </c>
    </row>
    <row r="698" spans="1:35">
      <c r="A698" t="s">
        <v>56</v>
      </c>
      <c r="B698" t="s">
        <v>57</v>
      </c>
      <c r="C698" t="s">
        <v>692</v>
      </c>
      <c r="D698" t="s">
        <v>609</v>
      </c>
      <c r="E698">
        <v>1</v>
      </c>
      <c r="G698" t="s">
        <v>665</v>
      </c>
      <c r="I698" t="s">
        <v>61</v>
      </c>
      <c r="Z698" t="str">
        <f>IFERROR(MID(AA698,FIND("-",H698,1)+1,20),_xlfn.IFNA(VLOOKUP(F698&amp;"-"&amp;AA698,Ref_Kontak!$A:$E,4,FALSE),Ref_Kontak!$H$2))</f>
        <v>628999007703</v>
      </c>
      <c r="AA698" t="str">
        <f t="shared" si="60"/>
        <v/>
      </c>
      <c r="AB698" t="str">
        <f t="shared" si="61"/>
        <v/>
      </c>
      <c r="AC698" t="str">
        <f t="shared" si="62"/>
        <v>628999007703</v>
      </c>
      <c r="AD698" t="str">
        <f t="shared" si="64"/>
        <v>Halo+,+Visual+AI+5S+menditeksi+Violation%3A+METALDET1-LINE+6</v>
      </c>
      <c r="AE698" t="str">
        <f t="shared" si="63"/>
        <v>https://web.whatsapp.com/send/?phone=628999007703&amp;text=Halo+,+Visual+AI+5S+menditeksi+Violation%3A+METALDET1-LINE+6&amp;type=phone_number&amp;app_absent=0</v>
      </c>
      <c r="AF698" t="b">
        <f>IF(ISNA(VLOOKUP(D698&amp;"-"&amp;AB698, Ref_Kontak!$A:$E, 4, FALSE)), FALSE, TRUE)</f>
        <v>0</v>
      </c>
      <c r="AG698" t="str">
        <f>_xlfn.IFNA(VLOOKUP(Z698,Ref_Kontak!H:H,1,FALSE),"FALSE")</f>
        <v>628999007703</v>
      </c>
      <c r="AH698" t="str">
        <f t="shared" si="65"/>
        <v>METALDET1-LINE 6</v>
      </c>
      <c r="AI698">
        <f>COUNTIF($AH$1:AH698,AH698)</f>
        <v>27</v>
      </c>
    </row>
    <row r="699" spans="1:35">
      <c r="A699" t="s">
        <v>56</v>
      </c>
      <c r="B699" t="s">
        <v>57</v>
      </c>
      <c r="C699" t="s">
        <v>693</v>
      </c>
      <c r="D699" t="s">
        <v>609</v>
      </c>
      <c r="E699">
        <v>1</v>
      </c>
      <c r="G699" t="s">
        <v>665</v>
      </c>
      <c r="I699" t="s">
        <v>61</v>
      </c>
      <c r="Z699" t="str">
        <f>IFERROR(MID(AA699,FIND("-",H699,1)+1,20),_xlfn.IFNA(VLOOKUP(F699&amp;"-"&amp;AA699,Ref_Kontak!$A:$E,4,FALSE),Ref_Kontak!$H$2))</f>
        <v>628999007703</v>
      </c>
      <c r="AA699" t="str">
        <f t="shared" si="60"/>
        <v/>
      </c>
      <c r="AB699" t="str">
        <f t="shared" si="61"/>
        <v/>
      </c>
      <c r="AC699" t="str">
        <f t="shared" si="62"/>
        <v>628999007703</v>
      </c>
      <c r="AD699" t="str">
        <f t="shared" si="64"/>
        <v>Halo+,+Visual+AI+5S+menditeksi+Violation%3A+METALDET1-LINE+6</v>
      </c>
      <c r="AE699" t="str">
        <f t="shared" si="63"/>
        <v>https://web.whatsapp.com/send/?phone=628999007703&amp;text=Halo+,+Visual+AI+5S+menditeksi+Violation%3A+METALDET1-LINE+6&amp;type=phone_number&amp;app_absent=0</v>
      </c>
      <c r="AF699" t="b">
        <f>IF(ISNA(VLOOKUP(D699&amp;"-"&amp;AB699, Ref_Kontak!$A:$E, 4, FALSE)), FALSE, TRUE)</f>
        <v>0</v>
      </c>
      <c r="AG699" t="str">
        <f>_xlfn.IFNA(VLOOKUP(Z699,Ref_Kontak!H:H,1,FALSE),"FALSE")</f>
        <v>628999007703</v>
      </c>
      <c r="AH699" t="str">
        <f t="shared" si="65"/>
        <v>METALDET1-LINE 6</v>
      </c>
      <c r="AI699">
        <f>COUNTIF($AH$1:AH699,AH699)</f>
        <v>28</v>
      </c>
    </row>
    <row r="700" spans="1:35">
      <c r="A700" t="s">
        <v>56</v>
      </c>
      <c r="B700" t="s">
        <v>57</v>
      </c>
      <c r="C700" t="s">
        <v>694</v>
      </c>
      <c r="D700" t="s">
        <v>609</v>
      </c>
      <c r="E700">
        <v>1</v>
      </c>
      <c r="G700" t="s">
        <v>665</v>
      </c>
      <c r="I700" t="s">
        <v>61</v>
      </c>
      <c r="Z700" t="str">
        <f>IFERROR(MID(AA700,FIND("-",H700,1)+1,20),_xlfn.IFNA(VLOOKUP(F700&amp;"-"&amp;AA700,Ref_Kontak!$A:$E,4,FALSE),Ref_Kontak!$H$2))</f>
        <v>628999007703</v>
      </c>
      <c r="AA700" t="str">
        <f t="shared" si="60"/>
        <v/>
      </c>
      <c r="AB700" t="str">
        <f t="shared" si="61"/>
        <v/>
      </c>
      <c r="AC700" t="str">
        <f t="shared" si="62"/>
        <v>628999007703</v>
      </c>
      <c r="AD700" t="str">
        <f t="shared" si="64"/>
        <v>Halo+,+Visual+AI+5S+menditeksi+Violation%3A+METALDET1-LINE+6</v>
      </c>
      <c r="AE700" t="str">
        <f t="shared" si="63"/>
        <v>https://web.whatsapp.com/send/?phone=628999007703&amp;text=Halo+,+Visual+AI+5S+menditeksi+Violation%3A+METALDET1-LINE+6&amp;type=phone_number&amp;app_absent=0</v>
      </c>
      <c r="AF700" t="b">
        <f>IF(ISNA(VLOOKUP(D700&amp;"-"&amp;AB700, Ref_Kontak!$A:$E, 4, FALSE)), FALSE, TRUE)</f>
        <v>0</v>
      </c>
      <c r="AG700" t="str">
        <f>_xlfn.IFNA(VLOOKUP(Z700,Ref_Kontak!H:H,1,FALSE),"FALSE")</f>
        <v>628999007703</v>
      </c>
      <c r="AH700" t="str">
        <f t="shared" si="65"/>
        <v>METALDET1-LINE 6</v>
      </c>
      <c r="AI700">
        <f>COUNTIF($AH$1:AH700,AH700)</f>
        <v>29</v>
      </c>
    </row>
    <row r="701" spans="1:35">
      <c r="A701" t="s">
        <v>56</v>
      </c>
      <c r="B701" t="s">
        <v>57</v>
      </c>
      <c r="C701" t="s">
        <v>695</v>
      </c>
      <c r="D701" t="s">
        <v>609</v>
      </c>
      <c r="E701">
        <v>1</v>
      </c>
      <c r="G701" t="s">
        <v>665</v>
      </c>
      <c r="I701" t="s">
        <v>61</v>
      </c>
      <c r="Z701" t="str">
        <f>IFERROR(MID(AA701,FIND("-",H701,1)+1,20),_xlfn.IFNA(VLOOKUP(F701&amp;"-"&amp;AA701,Ref_Kontak!$A:$E,4,FALSE),Ref_Kontak!$H$2))</f>
        <v>628999007703</v>
      </c>
      <c r="AA701" t="str">
        <f t="shared" si="60"/>
        <v/>
      </c>
      <c r="AB701" t="str">
        <f t="shared" si="61"/>
        <v/>
      </c>
      <c r="AC701" t="str">
        <f t="shared" si="62"/>
        <v>628999007703</v>
      </c>
      <c r="AD701" t="str">
        <f t="shared" si="64"/>
        <v>Halo+,+Visual+AI+5S+menditeksi+Violation%3A+METALDET1-LINE+6</v>
      </c>
      <c r="AE701" t="str">
        <f t="shared" si="63"/>
        <v>https://web.whatsapp.com/send/?phone=628999007703&amp;text=Halo+,+Visual+AI+5S+menditeksi+Violation%3A+METALDET1-LINE+6&amp;type=phone_number&amp;app_absent=0</v>
      </c>
      <c r="AF701" t="b">
        <f>IF(ISNA(VLOOKUP(D701&amp;"-"&amp;AB701, Ref_Kontak!$A:$E, 4, FALSE)), FALSE, TRUE)</f>
        <v>0</v>
      </c>
      <c r="AG701" t="str">
        <f>_xlfn.IFNA(VLOOKUP(Z701,Ref_Kontak!H:H,1,FALSE),"FALSE")</f>
        <v>628999007703</v>
      </c>
      <c r="AH701" t="str">
        <f t="shared" si="65"/>
        <v>METALDET1-LINE 6</v>
      </c>
      <c r="AI701">
        <f>COUNTIF($AH$1:AH701,AH701)</f>
        <v>30</v>
      </c>
    </row>
    <row r="702" spans="1:35">
      <c r="A702" t="s">
        <v>56</v>
      </c>
      <c r="B702" t="s">
        <v>57</v>
      </c>
      <c r="C702" t="s">
        <v>696</v>
      </c>
      <c r="D702" t="s">
        <v>609</v>
      </c>
      <c r="E702">
        <v>1</v>
      </c>
      <c r="G702" t="s">
        <v>665</v>
      </c>
      <c r="I702" t="s">
        <v>61</v>
      </c>
      <c r="Z702" t="str">
        <f>IFERROR(MID(AA702,FIND("-",H702,1)+1,20),_xlfn.IFNA(VLOOKUP(F702&amp;"-"&amp;AA702,Ref_Kontak!$A:$E,4,FALSE),Ref_Kontak!$H$2))</f>
        <v>628999007703</v>
      </c>
      <c r="AA702" t="str">
        <f t="shared" si="60"/>
        <v/>
      </c>
      <c r="AB702" t="str">
        <f t="shared" si="61"/>
        <v/>
      </c>
      <c r="AC702" t="str">
        <f t="shared" si="62"/>
        <v>628999007703</v>
      </c>
      <c r="AD702" t="str">
        <f t="shared" si="64"/>
        <v>Halo+,+Visual+AI+5S+menditeksi+Violation%3A+METALDET1-LINE+6</v>
      </c>
      <c r="AE702" t="str">
        <f t="shared" si="63"/>
        <v>https://web.whatsapp.com/send/?phone=628999007703&amp;text=Halo+,+Visual+AI+5S+menditeksi+Violation%3A+METALDET1-LINE+6&amp;type=phone_number&amp;app_absent=0</v>
      </c>
      <c r="AF702" t="b">
        <f>IF(ISNA(VLOOKUP(D702&amp;"-"&amp;AB702, Ref_Kontak!$A:$E, 4, FALSE)), FALSE, TRUE)</f>
        <v>0</v>
      </c>
      <c r="AG702" t="str">
        <f>_xlfn.IFNA(VLOOKUP(Z702,Ref_Kontak!H:H,1,FALSE),"FALSE")</f>
        <v>628999007703</v>
      </c>
      <c r="AH702" t="str">
        <f t="shared" si="65"/>
        <v>METALDET1-LINE 6</v>
      </c>
      <c r="AI702">
        <f>COUNTIF($AH$1:AH702,AH702)</f>
        <v>31</v>
      </c>
    </row>
    <row r="703" spans="1:35">
      <c r="A703" t="s">
        <v>56</v>
      </c>
      <c r="B703" t="s">
        <v>57</v>
      </c>
      <c r="C703" t="s">
        <v>697</v>
      </c>
      <c r="D703" t="s">
        <v>609</v>
      </c>
      <c r="E703">
        <v>1</v>
      </c>
      <c r="G703" t="s">
        <v>665</v>
      </c>
      <c r="I703" t="s">
        <v>61</v>
      </c>
      <c r="Z703" t="str">
        <f>IFERROR(MID(AA703,FIND("-",H703,1)+1,20),_xlfn.IFNA(VLOOKUP(F703&amp;"-"&amp;AA703,Ref_Kontak!$A:$E,4,FALSE),Ref_Kontak!$H$2))</f>
        <v>628999007703</v>
      </c>
      <c r="AA703" t="str">
        <f t="shared" si="60"/>
        <v/>
      </c>
      <c r="AB703" t="str">
        <f t="shared" si="61"/>
        <v/>
      </c>
      <c r="AC703" t="str">
        <f t="shared" si="62"/>
        <v>628999007703</v>
      </c>
      <c r="AD703" t="str">
        <f t="shared" si="64"/>
        <v>Halo+,+Visual+AI+5S+menditeksi+Violation%3A+METALDET1-LINE+6</v>
      </c>
      <c r="AE703" t="str">
        <f t="shared" si="63"/>
        <v>https://web.whatsapp.com/send/?phone=628999007703&amp;text=Halo+,+Visual+AI+5S+menditeksi+Violation%3A+METALDET1-LINE+6&amp;type=phone_number&amp;app_absent=0</v>
      </c>
      <c r="AF703" t="b">
        <f>IF(ISNA(VLOOKUP(D703&amp;"-"&amp;AB703, Ref_Kontak!$A:$E, 4, FALSE)), FALSE, TRUE)</f>
        <v>0</v>
      </c>
      <c r="AG703" t="str">
        <f>_xlfn.IFNA(VLOOKUP(Z703,Ref_Kontak!H:H,1,FALSE),"FALSE")</f>
        <v>628999007703</v>
      </c>
      <c r="AH703" t="str">
        <f t="shared" si="65"/>
        <v>METALDET1-LINE 6</v>
      </c>
      <c r="AI703">
        <f>COUNTIF($AH$1:AH703,AH703)</f>
        <v>32</v>
      </c>
    </row>
    <row r="704" spans="1:35">
      <c r="A704" t="s">
        <v>56</v>
      </c>
      <c r="B704" t="s">
        <v>57</v>
      </c>
      <c r="C704" t="s">
        <v>698</v>
      </c>
      <c r="D704" t="s">
        <v>609</v>
      </c>
      <c r="E704">
        <v>1</v>
      </c>
      <c r="G704" t="s">
        <v>665</v>
      </c>
      <c r="I704" t="s">
        <v>61</v>
      </c>
      <c r="Z704" t="str">
        <f>IFERROR(MID(AA704,FIND("-",H704,1)+1,20),_xlfn.IFNA(VLOOKUP(F704&amp;"-"&amp;AA704,Ref_Kontak!$A:$E,4,FALSE),Ref_Kontak!$H$2))</f>
        <v>628999007703</v>
      </c>
      <c r="AA704" t="str">
        <f t="shared" si="60"/>
        <v/>
      </c>
      <c r="AB704" t="str">
        <f t="shared" si="61"/>
        <v/>
      </c>
      <c r="AC704" t="str">
        <f t="shared" si="62"/>
        <v>628999007703</v>
      </c>
      <c r="AD704" t="str">
        <f t="shared" si="64"/>
        <v>Halo+,+Visual+AI+5S+menditeksi+Violation%3A+METALDET1-LINE+6</v>
      </c>
      <c r="AE704" t="str">
        <f t="shared" si="63"/>
        <v>https://web.whatsapp.com/send/?phone=628999007703&amp;text=Halo+,+Visual+AI+5S+menditeksi+Violation%3A+METALDET1-LINE+6&amp;type=phone_number&amp;app_absent=0</v>
      </c>
      <c r="AF704" t="b">
        <f>IF(ISNA(VLOOKUP(D704&amp;"-"&amp;AB704, Ref_Kontak!$A:$E, 4, FALSE)), FALSE, TRUE)</f>
        <v>0</v>
      </c>
      <c r="AG704" t="str">
        <f>_xlfn.IFNA(VLOOKUP(Z704,Ref_Kontak!H:H,1,FALSE),"FALSE")</f>
        <v>628999007703</v>
      </c>
      <c r="AH704" t="str">
        <f t="shared" si="65"/>
        <v>METALDET1-LINE 6</v>
      </c>
      <c r="AI704">
        <f>COUNTIF($AH$1:AH704,AH704)</f>
        <v>33</v>
      </c>
    </row>
    <row r="705" spans="1:35">
      <c r="A705" t="s">
        <v>56</v>
      </c>
      <c r="B705" t="s">
        <v>57</v>
      </c>
      <c r="C705" t="s">
        <v>699</v>
      </c>
      <c r="D705" t="s">
        <v>609</v>
      </c>
      <c r="E705">
        <v>1</v>
      </c>
      <c r="G705" t="s">
        <v>665</v>
      </c>
      <c r="I705" t="s">
        <v>61</v>
      </c>
      <c r="Z705" t="str">
        <f>IFERROR(MID(AA705,FIND("-",H705,1)+1,20),_xlfn.IFNA(VLOOKUP(F705&amp;"-"&amp;AA705,Ref_Kontak!$A:$E,4,FALSE),Ref_Kontak!$H$2))</f>
        <v>628999007703</v>
      </c>
      <c r="AA705" t="str">
        <f t="shared" si="60"/>
        <v/>
      </c>
      <c r="AB705" t="str">
        <f t="shared" si="61"/>
        <v/>
      </c>
      <c r="AC705" t="str">
        <f t="shared" si="62"/>
        <v>628999007703</v>
      </c>
      <c r="AD705" t="str">
        <f t="shared" si="64"/>
        <v>Halo+,+Visual+AI+5S+menditeksi+Violation%3A+METALDET1-LINE+6</v>
      </c>
      <c r="AE705" t="str">
        <f t="shared" si="63"/>
        <v>https://web.whatsapp.com/send/?phone=628999007703&amp;text=Halo+,+Visual+AI+5S+menditeksi+Violation%3A+METALDET1-LINE+6&amp;type=phone_number&amp;app_absent=0</v>
      </c>
      <c r="AF705" t="b">
        <f>IF(ISNA(VLOOKUP(D705&amp;"-"&amp;AB705, Ref_Kontak!$A:$E, 4, FALSE)), FALSE, TRUE)</f>
        <v>0</v>
      </c>
      <c r="AG705" t="str">
        <f>_xlfn.IFNA(VLOOKUP(Z705,Ref_Kontak!H:H,1,FALSE),"FALSE")</f>
        <v>628999007703</v>
      </c>
      <c r="AH705" t="str">
        <f t="shared" si="65"/>
        <v>METALDET1-LINE 6</v>
      </c>
      <c r="AI705">
        <f>COUNTIF($AH$1:AH705,AH705)</f>
        <v>34</v>
      </c>
    </row>
    <row r="706" spans="1:35">
      <c r="A706" t="s">
        <v>56</v>
      </c>
      <c r="B706" t="s">
        <v>57</v>
      </c>
      <c r="C706" t="s">
        <v>700</v>
      </c>
      <c r="D706" t="s">
        <v>609</v>
      </c>
      <c r="E706">
        <v>1</v>
      </c>
      <c r="G706" t="s">
        <v>665</v>
      </c>
      <c r="I706" t="s">
        <v>61</v>
      </c>
      <c r="Z706" t="str">
        <f>IFERROR(MID(AA706,FIND("-",H706,1)+1,20),_xlfn.IFNA(VLOOKUP(F706&amp;"-"&amp;AA706,Ref_Kontak!$A:$E,4,FALSE),Ref_Kontak!$H$2))</f>
        <v>628999007703</v>
      </c>
      <c r="AA706" t="str">
        <f t="shared" ref="AA706:AA769" si="66">CLEAN(SUBSTITUTE(H706," ",""))</f>
        <v/>
      </c>
      <c r="AB706" t="str">
        <f t="shared" ref="AB706:AB769" si="67">IFERROR(LEFT(AA706,FIND("-",H706,1)-1),CLEAN(SUBSTITUTE(SUBSTITUTE(H706," ",""),"-","")))</f>
        <v/>
      </c>
      <c r="AC706" t="str">
        <f t="shared" ref="AC706:AC769" si="68">IF(LEFT(Z706,1)="0","62"&amp; MID(Z706,2,999),Z706)</f>
        <v>628999007703</v>
      </c>
      <c r="AD706" t="str">
        <f t="shared" si="64"/>
        <v>Halo+,+Visual+AI+5S+menditeksi+Violation%3A+METALDET1-LINE+6</v>
      </c>
      <c r="AE706" t="str">
        <f t="shared" ref="AE706:AE769" si="69">"https://web.whatsapp.com/send/?phone="&amp;AC706&amp;"&amp;text="&amp;AD706&amp;"&amp;type=phone_number&amp;app_absent=0"</f>
        <v>https://web.whatsapp.com/send/?phone=628999007703&amp;text=Halo+,+Visual+AI+5S+menditeksi+Violation%3A+METALDET1-LINE+6&amp;type=phone_number&amp;app_absent=0</v>
      </c>
      <c r="AF706" t="b">
        <f>IF(ISNA(VLOOKUP(D706&amp;"-"&amp;AB706, Ref_Kontak!$A:$E, 4, FALSE)), FALSE, TRUE)</f>
        <v>0</v>
      </c>
      <c r="AG706" t="str">
        <f>_xlfn.IFNA(VLOOKUP(Z706,Ref_Kontak!H:H,1,FALSE),"FALSE")</f>
        <v>628999007703</v>
      </c>
      <c r="AH706" t="str">
        <f t="shared" si="65"/>
        <v>METALDET1-LINE 6</v>
      </c>
      <c r="AI706">
        <f>COUNTIF($AH$1:AH706,AH706)</f>
        <v>35</v>
      </c>
    </row>
    <row r="707" spans="1:35">
      <c r="A707" t="s">
        <v>56</v>
      </c>
      <c r="B707" t="s">
        <v>57</v>
      </c>
      <c r="C707" t="s">
        <v>701</v>
      </c>
      <c r="D707" t="s">
        <v>609</v>
      </c>
      <c r="E707">
        <v>1</v>
      </c>
      <c r="G707" t="s">
        <v>665</v>
      </c>
      <c r="I707" t="s">
        <v>61</v>
      </c>
      <c r="Z707" t="str">
        <f>IFERROR(MID(AA707,FIND("-",H707,1)+1,20),_xlfn.IFNA(VLOOKUP(F707&amp;"-"&amp;AA707,Ref_Kontak!$A:$E,4,FALSE),Ref_Kontak!$H$2))</f>
        <v>628999007703</v>
      </c>
      <c r="AA707" t="str">
        <f t="shared" si="66"/>
        <v/>
      </c>
      <c r="AB707" t="str">
        <f t="shared" si="67"/>
        <v/>
      </c>
      <c r="AC707" t="str">
        <f t="shared" si="68"/>
        <v>628999007703</v>
      </c>
      <c r="AD707" t="str">
        <f t="shared" ref="AD707:AD770" si="70">"Halo+"&amp;AB707&amp;","&amp;"+Visual+AI+5S+menditeksi+Violation%3A+"&amp;SUBSTITUTE(AH707," ","+")</f>
        <v>Halo+,+Visual+AI+5S+menditeksi+Violation%3A+METALDET1-LINE+6</v>
      </c>
      <c r="AE707" t="str">
        <f t="shared" si="69"/>
        <v>https://web.whatsapp.com/send/?phone=628999007703&amp;text=Halo+,+Visual+AI+5S+menditeksi+Violation%3A+METALDET1-LINE+6&amp;type=phone_number&amp;app_absent=0</v>
      </c>
      <c r="AF707" t="b">
        <f>IF(ISNA(VLOOKUP(D707&amp;"-"&amp;AB707, Ref_Kontak!$A:$E, 4, FALSE)), FALSE, TRUE)</f>
        <v>0</v>
      </c>
      <c r="AG707" t="str">
        <f>_xlfn.IFNA(VLOOKUP(Z707,Ref_Kontak!H:H,1,FALSE),"FALSE")</f>
        <v>628999007703</v>
      </c>
      <c r="AH707" t="str">
        <f t="shared" ref="AH707:AH770" si="71">G707&amp;"-"&amp;D707</f>
        <v>METALDET1-LINE 6</v>
      </c>
      <c r="AI707">
        <f>COUNTIF($AH$1:AH707,AH707)</f>
        <v>36</v>
      </c>
    </row>
    <row r="708" spans="1:35">
      <c r="A708" t="s">
        <v>56</v>
      </c>
      <c r="B708" t="s">
        <v>57</v>
      </c>
      <c r="C708" t="s">
        <v>702</v>
      </c>
      <c r="D708" t="s">
        <v>609</v>
      </c>
      <c r="E708">
        <v>1</v>
      </c>
      <c r="G708" t="s">
        <v>665</v>
      </c>
      <c r="I708" t="s">
        <v>61</v>
      </c>
      <c r="Z708" t="str">
        <f>IFERROR(MID(AA708,FIND("-",H708,1)+1,20),_xlfn.IFNA(VLOOKUP(F708&amp;"-"&amp;AA708,Ref_Kontak!$A:$E,4,FALSE),Ref_Kontak!$H$2))</f>
        <v>628999007703</v>
      </c>
      <c r="AA708" t="str">
        <f t="shared" si="66"/>
        <v/>
      </c>
      <c r="AB708" t="str">
        <f t="shared" si="67"/>
        <v/>
      </c>
      <c r="AC708" t="str">
        <f t="shared" si="68"/>
        <v>628999007703</v>
      </c>
      <c r="AD708" t="str">
        <f t="shared" si="70"/>
        <v>Halo+,+Visual+AI+5S+menditeksi+Violation%3A+METALDET1-LINE+6</v>
      </c>
      <c r="AE708" t="str">
        <f t="shared" si="69"/>
        <v>https://web.whatsapp.com/send/?phone=628999007703&amp;text=Halo+,+Visual+AI+5S+menditeksi+Violation%3A+METALDET1-LINE+6&amp;type=phone_number&amp;app_absent=0</v>
      </c>
      <c r="AF708" t="b">
        <f>IF(ISNA(VLOOKUP(D708&amp;"-"&amp;AB708, Ref_Kontak!$A:$E, 4, FALSE)), FALSE, TRUE)</f>
        <v>0</v>
      </c>
      <c r="AG708" t="str">
        <f>_xlfn.IFNA(VLOOKUP(Z708,Ref_Kontak!H:H,1,FALSE),"FALSE")</f>
        <v>628999007703</v>
      </c>
      <c r="AH708" t="str">
        <f t="shared" si="71"/>
        <v>METALDET1-LINE 6</v>
      </c>
      <c r="AI708">
        <f>COUNTIF($AH$1:AH708,AH708)</f>
        <v>37</v>
      </c>
    </row>
    <row r="709" spans="1:35">
      <c r="A709" t="s">
        <v>56</v>
      </c>
      <c r="B709" t="s">
        <v>57</v>
      </c>
      <c r="C709" t="s">
        <v>703</v>
      </c>
      <c r="D709" t="s">
        <v>609</v>
      </c>
      <c r="E709">
        <v>1</v>
      </c>
      <c r="G709" t="s">
        <v>665</v>
      </c>
      <c r="I709" t="s">
        <v>61</v>
      </c>
      <c r="Z709" t="str">
        <f>IFERROR(MID(AA709,FIND("-",H709,1)+1,20),_xlfn.IFNA(VLOOKUP(F709&amp;"-"&amp;AA709,Ref_Kontak!$A:$E,4,FALSE),Ref_Kontak!$H$2))</f>
        <v>628999007703</v>
      </c>
      <c r="AA709" t="str">
        <f t="shared" si="66"/>
        <v/>
      </c>
      <c r="AB709" t="str">
        <f t="shared" si="67"/>
        <v/>
      </c>
      <c r="AC709" t="str">
        <f t="shared" si="68"/>
        <v>628999007703</v>
      </c>
      <c r="AD709" t="str">
        <f t="shared" si="70"/>
        <v>Halo+,+Visual+AI+5S+menditeksi+Violation%3A+METALDET1-LINE+6</v>
      </c>
      <c r="AE709" t="str">
        <f t="shared" si="69"/>
        <v>https://web.whatsapp.com/send/?phone=628999007703&amp;text=Halo+,+Visual+AI+5S+menditeksi+Violation%3A+METALDET1-LINE+6&amp;type=phone_number&amp;app_absent=0</v>
      </c>
      <c r="AF709" t="b">
        <f>IF(ISNA(VLOOKUP(D709&amp;"-"&amp;AB709, Ref_Kontak!$A:$E, 4, FALSE)), FALSE, TRUE)</f>
        <v>0</v>
      </c>
      <c r="AG709" t="str">
        <f>_xlfn.IFNA(VLOOKUP(Z709,Ref_Kontak!H:H,1,FALSE),"FALSE")</f>
        <v>628999007703</v>
      </c>
      <c r="AH709" t="str">
        <f t="shared" si="71"/>
        <v>METALDET1-LINE 6</v>
      </c>
      <c r="AI709">
        <f>COUNTIF($AH$1:AH709,AH709)</f>
        <v>38</v>
      </c>
    </row>
    <row r="710" spans="1:35">
      <c r="A710" t="s">
        <v>56</v>
      </c>
      <c r="B710" t="s">
        <v>57</v>
      </c>
      <c r="C710" t="s">
        <v>704</v>
      </c>
      <c r="D710" t="s">
        <v>609</v>
      </c>
      <c r="E710">
        <v>1</v>
      </c>
      <c r="G710" t="s">
        <v>665</v>
      </c>
      <c r="I710" t="s">
        <v>61</v>
      </c>
      <c r="Z710" t="str">
        <f>IFERROR(MID(AA710,FIND("-",H710,1)+1,20),_xlfn.IFNA(VLOOKUP(F710&amp;"-"&amp;AA710,Ref_Kontak!$A:$E,4,FALSE),Ref_Kontak!$H$2))</f>
        <v>628999007703</v>
      </c>
      <c r="AA710" t="str">
        <f t="shared" si="66"/>
        <v/>
      </c>
      <c r="AB710" t="str">
        <f t="shared" si="67"/>
        <v/>
      </c>
      <c r="AC710" t="str">
        <f t="shared" si="68"/>
        <v>628999007703</v>
      </c>
      <c r="AD710" t="str">
        <f t="shared" si="70"/>
        <v>Halo+,+Visual+AI+5S+menditeksi+Violation%3A+METALDET1-LINE+6</v>
      </c>
      <c r="AE710" t="str">
        <f t="shared" si="69"/>
        <v>https://web.whatsapp.com/send/?phone=628999007703&amp;text=Halo+,+Visual+AI+5S+menditeksi+Violation%3A+METALDET1-LINE+6&amp;type=phone_number&amp;app_absent=0</v>
      </c>
      <c r="AF710" t="b">
        <f>IF(ISNA(VLOOKUP(D710&amp;"-"&amp;AB710, Ref_Kontak!$A:$E, 4, FALSE)), FALSE, TRUE)</f>
        <v>0</v>
      </c>
      <c r="AG710" t="str">
        <f>_xlfn.IFNA(VLOOKUP(Z710,Ref_Kontak!H:H,1,FALSE),"FALSE")</f>
        <v>628999007703</v>
      </c>
      <c r="AH710" t="str">
        <f t="shared" si="71"/>
        <v>METALDET1-LINE 6</v>
      </c>
      <c r="AI710">
        <f>COUNTIF($AH$1:AH710,AH710)</f>
        <v>39</v>
      </c>
    </row>
    <row r="711" spans="1:35">
      <c r="A711" t="s">
        <v>56</v>
      </c>
      <c r="B711" t="s">
        <v>57</v>
      </c>
      <c r="C711" t="s">
        <v>705</v>
      </c>
      <c r="D711" t="s">
        <v>609</v>
      </c>
      <c r="E711">
        <v>1</v>
      </c>
      <c r="G711" t="s">
        <v>665</v>
      </c>
      <c r="I711" t="s">
        <v>61</v>
      </c>
      <c r="Z711" t="str">
        <f>IFERROR(MID(AA711,FIND("-",H711,1)+1,20),_xlfn.IFNA(VLOOKUP(F711&amp;"-"&amp;AA711,Ref_Kontak!$A:$E,4,FALSE),Ref_Kontak!$H$2))</f>
        <v>628999007703</v>
      </c>
      <c r="AA711" t="str">
        <f t="shared" si="66"/>
        <v/>
      </c>
      <c r="AB711" t="str">
        <f t="shared" si="67"/>
        <v/>
      </c>
      <c r="AC711" t="str">
        <f t="shared" si="68"/>
        <v>628999007703</v>
      </c>
      <c r="AD711" t="str">
        <f t="shared" si="70"/>
        <v>Halo+,+Visual+AI+5S+menditeksi+Violation%3A+METALDET1-LINE+6</v>
      </c>
      <c r="AE711" t="str">
        <f t="shared" si="69"/>
        <v>https://web.whatsapp.com/send/?phone=628999007703&amp;text=Halo+,+Visual+AI+5S+menditeksi+Violation%3A+METALDET1-LINE+6&amp;type=phone_number&amp;app_absent=0</v>
      </c>
      <c r="AF711" t="b">
        <f>IF(ISNA(VLOOKUP(D711&amp;"-"&amp;AB711, Ref_Kontak!$A:$E, 4, FALSE)), FALSE, TRUE)</f>
        <v>0</v>
      </c>
      <c r="AG711" t="str">
        <f>_xlfn.IFNA(VLOOKUP(Z711,Ref_Kontak!H:H,1,FALSE),"FALSE")</f>
        <v>628999007703</v>
      </c>
      <c r="AH711" t="str">
        <f t="shared" si="71"/>
        <v>METALDET1-LINE 6</v>
      </c>
      <c r="AI711">
        <f>COUNTIF($AH$1:AH711,AH711)</f>
        <v>40</v>
      </c>
    </row>
    <row r="712" spans="1:35">
      <c r="A712" t="s">
        <v>56</v>
      </c>
      <c r="B712" t="s">
        <v>57</v>
      </c>
      <c r="C712" t="s">
        <v>706</v>
      </c>
      <c r="D712" t="s">
        <v>609</v>
      </c>
      <c r="E712">
        <v>1</v>
      </c>
      <c r="G712" t="s">
        <v>665</v>
      </c>
      <c r="I712" t="s">
        <v>61</v>
      </c>
      <c r="Z712" t="str">
        <f>IFERROR(MID(AA712,FIND("-",H712,1)+1,20),_xlfn.IFNA(VLOOKUP(F712&amp;"-"&amp;AA712,Ref_Kontak!$A:$E,4,FALSE),Ref_Kontak!$H$2))</f>
        <v>628999007703</v>
      </c>
      <c r="AA712" t="str">
        <f t="shared" si="66"/>
        <v/>
      </c>
      <c r="AB712" t="str">
        <f t="shared" si="67"/>
        <v/>
      </c>
      <c r="AC712" t="str">
        <f t="shared" si="68"/>
        <v>628999007703</v>
      </c>
      <c r="AD712" t="str">
        <f t="shared" si="70"/>
        <v>Halo+,+Visual+AI+5S+menditeksi+Violation%3A+METALDET1-LINE+6</v>
      </c>
      <c r="AE712" t="str">
        <f t="shared" si="69"/>
        <v>https://web.whatsapp.com/send/?phone=628999007703&amp;text=Halo+,+Visual+AI+5S+menditeksi+Violation%3A+METALDET1-LINE+6&amp;type=phone_number&amp;app_absent=0</v>
      </c>
      <c r="AF712" t="b">
        <f>IF(ISNA(VLOOKUP(D712&amp;"-"&amp;AB712, Ref_Kontak!$A:$E, 4, FALSE)), FALSE, TRUE)</f>
        <v>0</v>
      </c>
      <c r="AG712" t="str">
        <f>_xlfn.IFNA(VLOOKUP(Z712,Ref_Kontak!H:H,1,FALSE),"FALSE")</f>
        <v>628999007703</v>
      </c>
      <c r="AH712" t="str">
        <f t="shared" si="71"/>
        <v>METALDET1-LINE 6</v>
      </c>
      <c r="AI712">
        <f>COUNTIF($AH$1:AH712,AH712)</f>
        <v>41</v>
      </c>
    </row>
    <row r="713" spans="1:35">
      <c r="A713" t="s">
        <v>56</v>
      </c>
      <c r="B713" t="s">
        <v>57</v>
      </c>
      <c r="C713" t="s">
        <v>707</v>
      </c>
      <c r="D713" t="s">
        <v>609</v>
      </c>
      <c r="E713">
        <v>1</v>
      </c>
      <c r="G713" t="s">
        <v>665</v>
      </c>
      <c r="I713" t="s">
        <v>61</v>
      </c>
      <c r="Z713" t="str">
        <f>IFERROR(MID(AA713,FIND("-",H713,1)+1,20),_xlfn.IFNA(VLOOKUP(F713&amp;"-"&amp;AA713,Ref_Kontak!$A:$E,4,FALSE),Ref_Kontak!$H$2))</f>
        <v>628999007703</v>
      </c>
      <c r="AA713" t="str">
        <f t="shared" si="66"/>
        <v/>
      </c>
      <c r="AB713" t="str">
        <f t="shared" si="67"/>
        <v/>
      </c>
      <c r="AC713" t="str">
        <f t="shared" si="68"/>
        <v>628999007703</v>
      </c>
      <c r="AD713" t="str">
        <f t="shared" si="70"/>
        <v>Halo+,+Visual+AI+5S+menditeksi+Violation%3A+METALDET1-LINE+6</v>
      </c>
      <c r="AE713" t="str">
        <f t="shared" si="69"/>
        <v>https://web.whatsapp.com/send/?phone=628999007703&amp;text=Halo+,+Visual+AI+5S+menditeksi+Violation%3A+METALDET1-LINE+6&amp;type=phone_number&amp;app_absent=0</v>
      </c>
      <c r="AF713" t="b">
        <f>IF(ISNA(VLOOKUP(D713&amp;"-"&amp;AB713, Ref_Kontak!$A:$E, 4, FALSE)), FALSE, TRUE)</f>
        <v>0</v>
      </c>
      <c r="AG713" t="str">
        <f>_xlfn.IFNA(VLOOKUP(Z713,Ref_Kontak!H:H,1,FALSE),"FALSE")</f>
        <v>628999007703</v>
      </c>
      <c r="AH713" t="str">
        <f t="shared" si="71"/>
        <v>METALDET1-LINE 6</v>
      </c>
      <c r="AI713">
        <f>COUNTIF($AH$1:AH713,AH713)</f>
        <v>42</v>
      </c>
    </row>
    <row r="714" spans="1:35">
      <c r="A714" t="s">
        <v>56</v>
      </c>
      <c r="B714" t="s">
        <v>57</v>
      </c>
      <c r="C714" t="s">
        <v>708</v>
      </c>
      <c r="D714" t="s">
        <v>609</v>
      </c>
      <c r="E714">
        <v>1</v>
      </c>
      <c r="G714" t="s">
        <v>665</v>
      </c>
      <c r="I714" t="s">
        <v>61</v>
      </c>
      <c r="Z714" t="str">
        <f>IFERROR(MID(AA714,FIND("-",H714,1)+1,20),_xlfn.IFNA(VLOOKUP(F714&amp;"-"&amp;AA714,Ref_Kontak!$A:$E,4,FALSE),Ref_Kontak!$H$2))</f>
        <v>628999007703</v>
      </c>
      <c r="AA714" t="str">
        <f t="shared" si="66"/>
        <v/>
      </c>
      <c r="AB714" t="str">
        <f t="shared" si="67"/>
        <v/>
      </c>
      <c r="AC714" t="str">
        <f t="shared" si="68"/>
        <v>628999007703</v>
      </c>
      <c r="AD714" t="str">
        <f t="shared" si="70"/>
        <v>Halo+,+Visual+AI+5S+menditeksi+Violation%3A+METALDET1-LINE+6</v>
      </c>
      <c r="AE714" t="str">
        <f t="shared" si="69"/>
        <v>https://web.whatsapp.com/send/?phone=628999007703&amp;text=Halo+,+Visual+AI+5S+menditeksi+Violation%3A+METALDET1-LINE+6&amp;type=phone_number&amp;app_absent=0</v>
      </c>
      <c r="AF714" t="b">
        <f>IF(ISNA(VLOOKUP(D714&amp;"-"&amp;AB714, Ref_Kontak!$A:$E, 4, FALSE)), FALSE, TRUE)</f>
        <v>0</v>
      </c>
      <c r="AG714" t="str">
        <f>_xlfn.IFNA(VLOOKUP(Z714,Ref_Kontak!H:H,1,FALSE),"FALSE")</f>
        <v>628999007703</v>
      </c>
      <c r="AH714" t="str">
        <f t="shared" si="71"/>
        <v>METALDET1-LINE 6</v>
      </c>
      <c r="AI714">
        <f>COUNTIF($AH$1:AH714,AH714)</f>
        <v>43</v>
      </c>
    </row>
    <row r="715" spans="1:35">
      <c r="A715" t="s">
        <v>56</v>
      </c>
      <c r="B715" t="s">
        <v>57</v>
      </c>
      <c r="C715" t="s">
        <v>709</v>
      </c>
      <c r="D715" t="s">
        <v>609</v>
      </c>
      <c r="E715">
        <v>1</v>
      </c>
      <c r="G715" t="s">
        <v>665</v>
      </c>
      <c r="I715" t="s">
        <v>61</v>
      </c>
      <c r="Z715" t="str">
        <f>IFERROR(MID(AA715,FIND("-",H715,1)+1,20),_xlfn.IFNA(VLOOKUP(F715&amp;"-"&amp;AA715,Ref_Kontak!$A:$E,4,FALSE),Ref_Kontak!$H$2))</f>
        <v>628999007703</v>
      </c>
      <c r="AA715" t="str">
        <f t="shared" si="66"/>
        <v/>
      </c>
      <c r="AB715" t="str">
        <f t="shared" si="67"/>
        <v/>
      </c>
      <c r="AC715" t="str">
        <f t="shared" si="68"/>
        <v>628999007703</v>
      </c>
      <c r="AD715" t="str">
        <f t="shared" si="70"/>
        <v>Halo+,+Visual+AI+5S+menditeksi+Violation%3A+METALDET1-LINE+6</v>
      </c>
      <c r="AE715" t="str">
        <f t="shared" si="69"/>
        <v>https://web.whatsapp.com/send/?phone=628999007703&amp;text=Halo+,+Visual+AI+5S+menditeksi+Violation%3A+METALDET1-LINE+6&amp;type=phone_number&amp;app_absent=0</v>
      </c>
      <c r="AF715" t="b">
        <f>IF(ISNA(VLOOKUP(D715&amp;"-"&amp;AB715, Ref_Kontak!$A:$E, 4, FALSE)), FALSE, TRUE)</f>
        <v>0</v>
      </c>
      <c r="AG715" t="str">
        <f>_xlfn.IFNA(VLOOKUP(Z715,Ref_Kontak!H:H,1,FALSE),"FALSE")</f>
        <v>628999007703</v>
      </c>
      <c r="AH715" t="str">
        <f t="shared" si="71"/>
        <v>METALDET1-LINE 6</v>
      </c>
      <c r="AI715">
        <f>COUNTIF($AH$1:AH715,AH715)</f>
        <v>44</v>
      </c>
    </row>
    <row r="716" spans="1:35">
      <c r="A716" t="s">
        <v>56</v>
      </c>
      <c r="B716" t="s">
        <v>57</v>
      </c>
      <c r="C716" t="s">
        <v>710</v>
      </c>
      <c r="D716" t="s">
        <v>609</v>
      </c>
      <c r="E716">
        <v>1</v>
      </c>
      <c r="G716" t="s">
        <v>665</v>
      </c>
      <c r="I716" t="s">
        <v>61</v>
      </c>
      <c r="Z716" t="str">
        <f>IFERROR(MID(AA716,FIND("-",H716,1)+1,20),_xlfn.IFNA(VLOOKUP(F716&amp;"-"&amp;AA716,Ref_Kontak!$A:$E,4,FALSE),Ref_Kontak!$H$2))</f>
        <v>628999007703</v>
      </c>
      <c r="AA716" t="str">
        <f t="shared" si="66"/>
        <v/>
      </c>
      <c r="AB716" t="str">
        <f t="shared" si="67"/>
        <v/>
      </c>
      <c r="AC716" t="str">
        <f t="shared" si="68"/>
        <v>628999007703</v>
      </c>
      <c r="AD716" t="str">
        <f t="shared" si="70"/>
        <v>Halo+,+Visual+AI+5S+menditeksi+Violation%3A+METALDET1-LINE+6</v>
      </c>
      <c r="AE716" t="str">
        <f t="shared" si="69"/>
        <v>https://web.whatsapp.com/send/?phone=628999007703&amp;text=Halo+,+Visual+AI+5S+menditeksi+Violation%3A+METALDET1-LINE+6&amp;type=phone_number&amp;app_absent=0</v>
      </c>
      <c r="AF716" t="b">
        <f>IF(ISNA(VLOOKUP(D716&amp;"-"&amp;AB716, Ref_Kontak!$A:$E, 4, FALSE)), FALSE, TRUE)</f>
        <v>0</v>
      </c>
      <c r="AG716" t="str">
        <f>_xlfn.IFNA(VLOOKUP(Z716,Ref_Kontak!H:H,1,FALSE),"FALSE")</f>
        <v>628999007703</v>
      </c>
      <c r="AH716" t="str">
        <f t="shared" si="71"/>
        <v>METALDET1-LINE 6</v>
      </c>
      <c r="AI716">
        <f>COUNTIF($AH$1:AH716,AH716)</f>
        <v>45</v>
      </c>
    </row>
    <row r="717" spans="1:35">
      <c r="A717" t="s">
        <v>56</v>
      </c>
      <c r="B717" t="s">
        <v>57</v>
      </c>
      <c r="C717" t="s">
        <v>711</v>
      </c>
      <c r="D717" t="s">
        <v>609</v>
      </c>
      <c r="E717">
        <v>1</v>
      </c>
      <c r="G717" t="s">
        <v>665</v>
      </c>
      <c r="I717" t="s">
        <v>61</v>
      </c>
      <c r="Z717" t="str">
        <f>IFERROR(MID(AA717,FIND("-",H717,1)+1,20),_xlfn.IFNA(VLOOKUP(F717&amp;"-"&amp;AA717,Ref_Kontak!$A:$E,4,FALSE),Ref_Kontak!$H$2))</f>
        <v>628999007703</v>
      </c>
      <c r="AA717" t="str">
        <f t="shared" si="66"/>
        <v/>
      </c>
      <c r="AB717" t="str">
        <f t="shared" si="67"/>
        <v/>
      </c>
      <c r="AC717" t="str">
        <f t="shared" si="68"/>
        <v>628999007703</v>
      </c>
      <c r="AD717" t="str">
        <f t="shared" si="70"/>
        <v>Halo+,+Visual+AI+5S+menditeksi+Violation%3A+METALDET1-LINE+6</v>
      </c>
      <c r="AE717" t="str">
        <f t="shared" si="69"/>
        <v>https://web.whatsapp.com/send/?phone=628999007703&amp;text=Halo+,+Visual+AI+5S+menditeksi+Violation%3A+METALDET1-LINE+6&amp;type=phone_number&amp;app_absent=0</v>
      </c>
      <c r="AF717" t="b">
        <f>IF(ISNA(VLOOKUP(D717&amp;"-"&amp;AB717, Ref_Kontak!$A:$E, 4, FALSE)), FALSE, TRUE)</f>
        <v>0</v>
      </c>
      <c r="AG717" t="str">
        <f>_xlfn.IFNA(VLOOKUP(Z717,Ref_Kontak!H:H,1,FALSE),"FALSE")</f>
        <v>628999007703</v>
      </c>
      <c r="AH717" t="str">
        <f t="shared" si="71"/>
        <v>METALDET1-LINE 6</v>
      </c>
      <c r="AI717">
        <f>COUNTIF($AH$1:AH717,AH717)</f>
        <v>46</v>
      </c>
    </row>
    <row r="718" spans="1:35">
      <c r="A718" t="s">
        <v>56</v>
      </c>
      <c r="B718" t="s">
        <v>57</v>
      </c>
      <c r="C718" t="s">
        <v>712</v>
      </c>
      <c r="D718" t="s">
        <v>609</v>
      </c>
      <c r="E718">
        <v>1</v>
      </c>
      <c r="G718" t="s">
        <v>665</v>
      </c>
      <c r="I718" t="s">
        <v>61</v>
      </c>
      <c r="Z718" t="str">
        <f>IFERROR(MID(AA718,FIND("-",H718,1)+1,20),_xlfn.IFNA(VLOOKUP(F718&amp;"-"&amp;AA718,Ref_Kontak!$A:$E,4,FALSE),Ref_Kontak!$H$2))</f>
        <v>628999007703</v>
      </c>
      <c r="AA718" t="str">
        <f t="shared" si="66"/>
        <v/>
      </c>
      <c r="AB718" t="str">
        <f t="shared" si="67"/>
        <v/>
      </c>
      <c r="AC718" t="str">
        <f t="shared" si="68"/>
        <v>628999007703</v>
      </c>
      <c r="AD718" t="str">
        <f t="shared" si="70"/>
        <v>Halo+,+Visual+AI+5S+menditeksi+Violation%3A+METALDET1-LINE+6</v>
      </c>
      <c r="AE718" t="str">
        <f t="shared" si="69"/>
        <v>https://web.whatsapp.com/send/?phone=628999007703&amp;text=Halo+,+Visual+AI+5S+menditeksi+Violation%3A+METALDET1-LINE+6&amp;type=phone_number&amp;app_absent=0</v>
      </c>
      <c r="AF718" t="b">
        <f>IF(ISNA(VLOOKUP(D718&amp;"-"&amp;AB718, Ref_Kontak!$A:$E, 4, FALSE)), FALSE, TRUE)</f>
        <v>0</v>
      </c>
      <c r="AG718" t="str">
        <f>_xlfn.IFNA(VLOOKUP(Z718,Ref_Kontak!H:H,1,FALSE),"FALSE")</f>
        <v>628999007703</v>
      </c>
      <c r="AH718" t="str">
        <f t="shared" si="71"/>
        <v>METALDET1-LINE 6</v>
      </c>
      <c r="AI718">
        <f>COUNTIF($AH$1:AH718,AH718)</f>
        <v>47</v>
      </c>
    </row>
    <row r="719" spans="1:35">
      <c r="A719" t="s">
        <v>56</v>
      </c>
      <c r="B719" t="s">
        <v>57</v>
      </c>
      <c r="C719" t="s">
        <v>713</v>
      </c>
      <c r="D719" t="s">
        <v>609</v>
      </c>
      <c r="E719">
        <v>1</v>
      </c>
      <c r="G719" t="s">
        <v>665</v>
      </c>
      <c r="I719" t="s">
        <v>61</v>
      </c>
      <c r="Z719" t="str">
        <f>IFERROR(MID(AA719,FIND("-",H719,1)+1,20),_xlfn.IFNA(VLOOKUP(F719&amp;"-"&amp;AA719,Ref_Kontak!$A:$E,4,FALSE),Ref_Kontak!$H$2))</f>
        <v>628999007703</v>
      </c>
      <c r="AA719" t="str">
        <f t="shared" si="66"/>
        <v/>
      </c>
      <c r="AB719" t="str">
        <f t="shared" si="67"/>
        <v/>
      </c>
      <c r="AC719" t="str">
        <f t="shared" si="68"/>
        <v>628999007703</v>
      </c>
      <c r="AD719" t="str">
        <f t="shared" si="70"/>
        <v>Halo+,+Visual+AI+5S+menditeksi+Violation%3A+METALDET1-LINE+6</v>
      </c>
      <c r="AE719" t="str">
        <f t="shared" si="69"/>
        <v>https://web.whatsapp.com/send/?phone=628999007703&amp;text=Halo+,+Visual+AI+5S+menditeksi+Violation%3A+METALDET1-LINE+6&amp;type=phone_number&amp;app_absent=0</v>
      </c>
      <c r="AF719" t="b">
        <f>IF(ISNA(VLOOKUP(D719&amp;"-"&amp;AB719, Ref_Kontak!$A:$E, 4, FALSE)), FALSE, TRUE)</f>
        <v>0</v>
      </c>
      <c r="AG719" t="str">
        <f>_xlfn.IFNA(VLOOKUP(Z719,Ref_Kontak!H:H,1,FALSE),"FALSE")</f>
        <v>628999007703</v>
      </c>
      <c r="AH719" t="str">
        <f t="shared" si="71"/>
        <v>METALDET1-LINE 6</v>
      </c>
      <c r="AI719">
        <f>COUNTIF($AH$1:AH719,AH719)</f>
        <v>48</v>
      </c>
    </row>
    <row r="720" spans="1:35">
      <c r="A720" t="s">
        <v>56</v>
      </c>
      <c r="B720" t="s">
        <v>57</v>
      </c>
      <c r="C720" t="s">
        <v>714</v>
      </c>
      <c r="D720" t="s">
        <v>609</v>
      </c>
      <c r="E720">
        <v>1</v>
      </c>
      <c r="G720" t="s">
        <v>665</v>
      </c>
      <c r="I720" t="s">
        <v>61</v>
      </c>
      <c r="Z720" t="str">
        <f>IFERROR(MID(AA720,FIND("-",H720,1)+1,20),_xlfn.IFNA(VLOOKUP(F720&amp;"-"&amp;AA720,Ref_Kontak!$A:$E,4,FALSE),Ref_Kontak!$H$2))</f>
        <v>628999007703</v>
      </c>
      <c r="AA720" t="str">
        <f t="shared" si="66"/>
        <v/>
      </c>
      <c r="AB720" t="str">
        <f t="shared" si="67"/>
        <v/>
      </c>
      <c r="AC720" t="str">
        <f t="shared" si="68"/>
        <v>628999007703</v>
      </c>
      <c r="AD720" t="str">
        <f t="shared" si="70"/>
        <v>Halo+,+Visual+AI+5S+menditeksi+Violation%3A+METALDET1-LINE+6</v>
      </c>
      <c r="AE720" t="str">
        <f t="shared" si="69"/>
        <v>https://web.whatsapp.com/send/?phone=628999007703&amp;text=Halo+,+Visual+AI+5S+menditeksi+Violation%3A+METALDET1-LINE+6&amp;type=phone_number&amp;app_absent=0</v>
      </c>
      <c r="AF720" t="b">
        <f>IF(ISNA(VLOOKUP(D720&amp;"-"&amp;AB720, Ref_Kontak!$A:$E, 4, FALSE)), FALSE, TRUE)</f>
        <v>0</v>
      </c>
      <c r="AG720" t="str">
        <f>_xlfn.IFNA(VLOOKUP(Z720,Ref_Kontak!H:H,1,FALSE),"FALSE")</f>
        <v>628999007703</v>
      </c>
      <c r="AH720" t="str">
        <f t="shared" si="71"/>
        <v>METALDET1-LINE 6</v>
      </c>
      <c r="AI720">
        <f>COUNTIF($AH$1:AH720,AH720)</f>
        <v>49</v>
      </c>
    </row>
    <row r="721" spans="1:35">
      <c r="A721" t="s">
        <v>56</v>
      </c>
      <c r="B721" t="s">
        <v>57</v>
      </c>
      <c r="C721" t="s">
        <v>715</v>
      </c>
      <c r="D721" t="s">
        <v>609</v>
      </c>
      <c r="E721">
        <v>1</v>
      </c>
      <c r="G721" t="s">
        <v>665</v>
      </c>
      <c r="I721" t="s">
        <v>61</v>
      </c>
      <c r="Z721" t="str">
        <f>IFERROR(MID(AA721,FIND("-",H721,1)+1,20),_xlfn.IFNA(VLOOKUP(F721&amp;"-"&amp;AA721,Ref_Kontak!$A:$E,4,FALSE),Ref_Kontak!$H$2))</f>
        <v>628999007703</v>
      </c>
      <c r="AA721" t="str">
        <f t="shared" si="66"/>
        <v/>
      </c>
      <c r="AB721" t="str">
        <f t="shared" si="67"/>
        <v/>
      </c>
      <c r="AC721" t="str">
        <f t="shared" si="68"/>
        <v>628999007703</v>
      </c>
      <c r="AD721" t="str">
        <f t="shared" si="70"/>
        <v>Halo+,+Visual+AI+5S+menditeksi+Violation%3A+METALDET1-LINE+6</v>
      </c>
      <c r="AE721" t="str">
        <f t="shared" si="69"/>
        <v>https://web.whatsapp.com/send/?phone=628999007703&amp;text=Halo+,+Visual+AI+5S+menditeksi+Violation%3A+METALDET1-LINE+6&amp;type=phone_number&amp;app_absent=0</v>
      </c>
      <c r="AF721" t="b">
        <f>IF(ISNA(VLOOKUP(D721&amp;"-"&amp;AB721, Ref_Kontak!$A:$E, 4, FALSE)), FALSE, TRUE)</f>
        <v>0</v>
      </c>
      <c r="AG721" t="str">
        <f>_xlfn.IFNA(VLOOKUP(Z721,Ref_Kontak!H:H,1,FALSE),"FALSE")</f>
        <v>628999007703</v>
      </c>
      <c r="AH721" t="str">
        <f t="shared" si="71"/>
        <v>METALDET1-LINE 6</v>
      </c>
      <c r="AI721">
        <f>COUNTIF($AH$1:AH721,AH721)</f>
        <v>50</v>
      </c>
    </row>
    <row r="722" spans="1:35">
      <c r="A722" t="s">
        <v>56</v>
      </c>
      <c r="B722" t="s">
        <v>57</v>
      </c>
      <c r="C722" t="s">
        <v>716</v>
      </c>
      <c r="D722" t="s">
        <v>609</v>
      </c>
      <c r="E722">
        <v>1</v>
      </c>
      <c r="G722" t="s">
        <v>665</v>
      </c>
      <c r="I722" t="s">
        <v>61</v>
      </c>
      <c r="Z722" t="str">
        <f>IFERROR(MID(AA722,FIND("-",H722,1)+1,20),_xlfn.IFNA(VLOOKUP(F722&amp;"-"&amp;AA722,Ref_Kontak!$A:$E,4,FALSE),Ref_Kontak!$H$2))</f>
        <v>628999007703</v>
      </c>
      <c r="AA722" t="str">
        <f t="shared" si="66"/>
        <v/>
      </c>
      <c r="AB722" t="str">
        <f t="shared" si="67"/>
        <v/>
      </c>
      <c r="AC722" t="str">
        <f t="shared" si="68"/>
        <v>628999007703</v>
      </c>
      <c r="AD722" t="str">
        <f t="shared" si="70"/>
        <v>Halo+,+Visual+AI+5S+menditeksi+Violation%3A+METALDET1-LINE+6</v>
      </c>
      <c r="AE722" t="str">
        <f t="shared" si="69"/>
        <v>https://web.whatsapp.com/send/?phone=628999007703&amp;text=Halo+,+Visual+AI+5S+menditeksi+Violation%3A+METALDET1-LINE+6&amp;type=phone_number&amp;app_absent=0</v>
      </c>
      <c r="AF722" t="b">
        <f>IF(ISNA(VLOOKUP(D722&amp;"-"&amp;AB722, Ref_Kontak!$A:$E, 4, FALSE)), FALSE, TRUE)</f>
        <v>0</v>
      </c>
      <c r="AG722" t="str">
        <f>_xlfn.IFNA(VLOOKUP(Z722,Ref_Kontak!H:H,1,FALSE),"FALSE")</f>
        <v>628999007703</v>
      </c>
      <c r="AH722" t="str">
        <f t="shared" si="71"/>
        <v>METALDET1-LINE 6</v>
      </c>
      <c r="AI722">
        <f>COUNTIF($AH$1:AH722,AH722)</f>
        <v>51</v>
      </c>
    </row>
    <row r="723" spans="1:35">
      <c r="A723" t="s">
        <v>56</v>
      </c>
      <c r="B723" t="s">
        <v>57</v>
      </c>
      <c r="C723" t="s">
        <v>717</v>
      </c>
      <c r="D723" t="s">
        <v>609</v>
      </c>
      <c r="E723">
        <v>1</v>
      </c>
      <c r="G723" t="s">
        <v>665</v>
      </c>
      <c r="I723" t="s">
        <v>61</v>
      </c>
      <c r="Z723" t="str">
        <f>IFERROR(MID(AA723,FIND("-",H723,1)+1,20),_xlfn.IFNA(VLOOKUP(F723&amp;"-"&amp;AA723,Ref_Kontak!$A:$E,4,FALSE),Ref_Kontak!$H$2))</f>
        <v>628999007703</v>
      </c>
      <c r="AA723" t="str">
        <f t="shared" si="66"/>
        <v/>
      </c>
      <c r="AB723" t="str">
        <f t="shared" si="67"/>
        <v/>
      </c>
      <c r="AC723" t="str">
        <f t="shared" si="68"/>
        <v>628999007703</v>
      </c>
      <c r="AD723" t="str">
        <f t="shared" si="70"/>
        <v>Halo+,+Visual+AI+5S+menditeksi+Violation%3A+METALDET1-LINE+6</v>
      </c>
      <c r="AE723" t="str">
        <f t="shared" si="69"/>
        <v>https://web.whatsapp.com/send/?phone=628999007703&amp;text=Halo+,+Visual+AI+5S+menditeksi+Violation%3A+METALDET1-LINE+6&amp;type=phone_number&amp;app_absent=0</v>
      </c>
      <c r="AF723" t="b">
        <f>IF(ISNA(VLOOKUP(D723&amp;"-"&amp;AB723, Ref_Kontak!$A:$E, 4, FALSE)), FALSE, TRUE)</f>
        <v>0</v>
      </c>
      <c r="AG723" t="str">
        <f>_xlfn.IFNA(VLOOKUP(Z723,Ref_Kontak!H:H,1,FALSE),"FALSE")</f>
        <v>628999007703</v>
      </c>
      <c r="AH723" t="str">
        <f t="shared" si="71"/>
        <v>METALDET1-LINE 6</v>
      </c>
      <c r="AI723">
        <f>COUNTIF($AH$1:AH723,AH723)</f>
        <v>52</v>
      </c>
    </row>
    <row r="724" spans="1:35">
      <c r="A724" t="s">
        <v>56</v>
      </c>
      <c r="B724" t="s">
        <v>57</v>
      </c>
      <c r="C724" t="s">
        <v>718</v>
      </c>
      <c r="D724" t="s">
        <v>609</v>
      </c>
      <c r="E724">
        <v>1</v>
      </c>
      <c r="G724" t="s">
        <v>665</v>
      </c>
      <c r="I724" t="s">
        <v>61</v>
      </c>
      <c r="Z724" t="str">
        <f>IFERROR(MID(AA724,FIND("-",H724,1)+1,20),_xlfn.IFNA(VLOOKUP(F724&amp;"-"&amp;AA724,Ref_Kontak!$A:$E,4,FALSE),Ref_Kontak!$H$2))</f>
        <v>628999007703</v>
      </c>
      <c r="AA724" t="str">
        <f t="shared" si="66"/>
        <v/>
      </c>
      <c r="AB724" t="str">
        <f t="shared" si="67"/>
        <v/>
      </c>
      <c r="AC724" t="str">
        <f t="shared" si="68"/>
        <v>628999007703</v>
      </c>
      <c r="AD724" t="str">
        <f t="shared" si="70"/>
        <v>Halo+,+Visual+AI+5S+menditeksi+Violation%3A+METALDET1-LINE+6</v>
      </c>
      <c r="AE724" t="str">
        <f t="shared" si="69"/>
        <v>https://web.whatsapp.com/send/?phone=628999007703&amp;text=Halo+,+Visual+AI+5S+menditeksi+Violation%3A+METALDET1-LINE+6&amp;type=phone_number&amp;app_absent=0</v>
      </c>
      <c r="AF724" t="b">
        <f>IF(ISNA(VLOOKUP(D724&amp;"-"&amp;AB724, Ref_Kontak!$A:$E, 4, FALSE)), FALSE, TRUE)</f>
        <v>0</v>
      </c>
      <c r="AG724" t="str">
        <f>_xlfn.IFNA(VLOOKUP(Z724,Ref_Kontak!H:H,1,FALSE),"FALSE")</f>
        <v>628999007703</v>
      </c>
      <c r="AH724" t="str">
        <f t="shared" si="71"/>
        <v>METALDET1-LINE 6</v>
      </c>
      <c r="AI724">
        <f>COUNTIF($AH$1:AH724,AH724)</f>
        <v>53</v>
      </c>
    </row>
    <row r="725" spans="1:35">
      <c r="A725" t="s">
        <v>56</v>
      </c>
      <c r="B725" t="s">
        <v>57</v>
      </c>
      <c r="C725" t="s">
        <v>719</v>
      </c>
      <c r="D725" t="s">
        <v>609</v>
      </c>
      <c r="E725">
        <v>1</v>
      </c>
      <c r="G725" t="s">
        <v>665</v>
      </c>
      <c r="I725" t="s">
        <v>61</v>
      </c>
      <c r="Z725" t="str">
        <f>IFERROR(MID(AA725,FIND("-",H725,1)+1,20),_xlfn.IFNA(VLOOKUP(F725&amp;"-"&amp;AA725,Ref_Kontak!$A:$E,4,FALSE),Ref_Kontak!$H$2))</f>
        <v>628999007703</v>
      </c>
      <c r="AA725" t="str">
        <f t="shared" si="66"/>
        <v/>
      </c>
      <c r="AB725" t="str">
        <f t="shared" si="67"/>
        <v/>
      </c>
      <c r="AC725" t="str">
        <f t="shared" si="68"/>
        <v>628999007703</v>
      </c>
      <c r="AD725" t="str">
        <f t="shared" si="70"/>
        <v>Halo+,+Visual+AI+5S+menditeksi+Violation%3A+METALDET1-LINE+6</v>
      </c>
      <c r="AE725" t="str">
        <f t="shared" si="69"/>
        <v>https://web.whatsapp.com/send/?phone=628999007703&amp;text=Halo+,+Visual+AI+5S+menditeksi+Violation%3A+METALDET1-LINE+6&amp;type=phone_number&amp;app_absent=0</v>
      </c>
      <c r="AF725" t="b">
        <f>IF(ISNA(VLOOKUP(D725&amp;"-"&amp;AB725, Ref_Kontak!$A:$E, 4, FALSE)), FALSE, TRUE)</f>
        <v>0</v>
      </c>
      <c r="AG725" t="str">
        <f>_xlfn.IFNA(VLOOKUP(Z725,Ref_Kontak!H:H,1,FALSE),"FALSE")</f>
        <v>628999007703</v>
      </c>
      <c r="AH725" t="str">
        <f t="shared" si="71"/>
        <v>METALDET1-LINE 6</v>
      </c>
      <c r="AI725">
        <f>COUNTIF($AH$1:AH725,AH725)</f>
        <v>54</v>
      </c>
    </row>
    <row r="726" spans="1:35">
      <c r="A726" t="s">
        <v>56</v>
      </c>
      <c r="B726" t="s">
        <v>57</v>
      </c>
      <c r="C726" t="s">
        <v>720</v>
      </c>
      <c r="D726" t="s">
        <v>609</v>
      </c>
      <c r="E726">
        <v>1</v>
      </c>
      <c r="G726" t="s">
        <v>665</v>
      </c>
      <c r="I726" t="s">
        <v>61</v>
      </c>
      <c r="Z726" t="str">
        <f>IFERROR(MID(AA726,FIND("-",H726,1)+1,20),_xlfn.IFNA(VLOOKUP(F726&amp;"-"&amp;AA726,Ref_Kontak!$A:$E,4,FALSE),Ref_Kontak!$H$2))</f>
        <v>628999007703</v>
      </c>
      <c r="AA726" t="str">
        <f t="shared" si="66"/>
        <v/>
      </c>
      <c r="AB726" t="str">
        <f t="shared" si="67"/>
        <v/>
      </c>
      <c r="AC726" t="str">
        <f t="shared" si="68"/>
        <v>628999007703</v>
      </c>
      <c r="AD726" t="str">
        <f t="shared" si="70"/>
        <v>Halo+,+Visual+AI+5S+menditeksi+Violation%3A+METALDET1-LINE+6</v>
      </c>
      <c r="AE726" t="str">
        <f t="shared" si="69"/>
        <v>https://web.whatsapp.com/send/?phone=628999007703&amp;text=Halo+,+Visual+AI+5S+menditeksi+Violation%3A+METALDET1-LINE+6&amp;type=phone_number&amp;app_absent=0</v>
      </c>
      <c r="AF726" t="b">
        <f>IF(ISNA(VLOOKUP(D726&amp;"-"&amp;AB726, Ref_Kontak!$A:$E, 4, FALSE)), FALSE, TRUE)</f>
        <v>0</v>
      </c>
      <c r="AG726" t="str">
        <f>_xlfn.IFNA(VLOOKUP(Z726,Ref_Kontak!H:H,1,FALSE),"FALSE")</f>
        <v>628999007703</v>
      </c>
      <c r="AH726" t="str">
        <f t="shared" si="71"/>
        <v>METALDET1-LINE 6</v>
      </c>
      <c r="AI726">
        <f>COUNTIF($AH$1:AH726,AH726)</f>
        <v>55</v>
      </c>
    </row>
    <row r="727" spans="1:35">
      <c r="A727" t="s">
        <v>56</v>
      </c>
      <c r="B727" t="s">
        <v>57</v>
      </c>
      <c r="C727" t="s">
        <v>721</v>
      </c>
      <c r="D727" t="s">
        <v>609</v>
      </c>
      <c r="E727">
        <v>1</v>
      </c>
      <c r="G727" t="s">
        <v>665</v>
      </c>
      <c r="I727" t="s">
        <v>61</v>
      </c>
      <c r="Z727" t="str">
        <f>IFERROR(MID(AA727,FIND("-",H727,1)+1,20),_xlfn.IFNA(VLOOKUP(F727&amp;"-"&amp;AA727,Ref_Kontak!$A:$E,4,FALSE),Ref_Kontak!$H$2))</f>
        <v>628999007703</v>
      </c>
      <c r="AA727" t="str">
        <f t="shared" si="66"/>
        <v/>
      </c>
      <c r="AB727" t="str">
        <f t="shared" si="67"/>
        <v/>
      </c>
      <c r="AC727" t="str">
        <f t="shared" si="68"/>
        <v>628999007703</v>
      </c>
      <c r="AD727" t="str">
        <f t="shared" si="70"/>
        <v>Halo+,+Visual+AI+5S+menditeksi+Violation%3A+METALDET1-LINE+6</v>
      </c>
      <c r="AE727" t="str">
        <f t="shared" si="69"/>
        <v>https://web.whatsapp.com/send/?phone=628999007703&amp;text=Halo+,+Visual+AI+5S+menditeksi+Violation%3A+METALDET1-LINE+6&amp;type=phone_number&amp;app_absent=0</v>
      </c>
      <c r="AF727" t="b">
        <f>IF(ISNA(VLOOKUP(D727&amp;"-"&amp;AB727, Ref_Kontak!$A:$E, 4, FALSE)), FALSE, TRUE)</f>
        <v>0</v>
      </c>
      <c r="AG727" t="str">
        <f>_xlfn.IFNA(VLOOKUP(Z727,Ref_Kontak!H:H,1,FALSE),"FALSE")</f>
        <v>628999007703</v>
      </c>
      <c r="AH727" t="str">
        <f t="shared" si="71"/>
        <v>METALDET1-LINE 6</v>
      </c>
      <c r="AI727">
        <f>COUNTIF($AH$1:AH727,AH727)</f>
        <v>56</v>
      </c>
    </row>
    <row r="728" spans="1:35">
      <c r="A728" t="s">
        <v>56</v>
      </c>
      <c r="B728" t="s">
        <v>57</v>
      </c>
      <c r="C728" t="s">
        <v>722</v>
      </c>
      <c r="D728" t="s">
        <v>609</v>
      </c>
      <c r="E728">
        <v>1</v>
      </c>
      <c r="G728" t="s">
        <v>665</v>
      </c>
      <c r="I728" t="s">
        <v>61</v>
      </c>
      <c r="Z728" t="str">
        <f>IFERROR(MID(AA728,FIND("-",H728,1)+1,20),_xlfn.IFNA(VLOOKUP(F728&amp;"-"&amp;AA728,Ref_Kontak!$A:$E,4,FALSE),Ref_Kontak!$H$2))</f>
        <v>628999007703</v>
      </c>
      <c r="AA728" t="str">
        <f t="shared" si="66"/>
        <v/>
      </c>
      <c r="AB728" t="str">
        <f t="shared" si="67"/>
        <v/>
      </c>
      <c r="AC728" t="str">
        <f t="shared" si="68"/>
        <v>628999007703</v>
      </c>
      <c r="AD728" t="str">
        <f t="shared" si="70"/>
        <v>Halo+,+Visual+AI+5S+menditeksi+Violation%3A+METALDET1-LINE+6</v>
      </c>
      <c r="AE728" t="str">
        <f t="shared" si="69"/>
        <v>https://web.whatsapp.com/send/?phone=628999007703&amp;text=Halo+,+Visual+AI+5S+menditeksi+Violation%3A+METALDET1-LINE+6&amp;type=phone_number&amp;app_absent=0</v>
      </c>
      <c r="AF728" t="b">
        <f>IF(ISNA(VLOOKUP(D728&amp;"-"&amp;AB728, Ref_Kontak!$A:$E, 4, FALSE)), FALSE, TRUE)</f>
        <v>0</v>
      </c>
      <c r="AG728" t="str">
        <f>_xlfn.IFNA(VLOOKUP(Z728,Ref_Kontak!H:H,1,FALSE),"FALSE")</f>
        <v>628999007703</v>
      </c>
      <c r="AH728" t="str">
        <f t="shared" si="71"/>
        <v>METALDET1-LINE 6</v>
      </c>
      <c r="AI728">
        <f>COUNTIF($AH$1:AH728,AH728)</f>
        <v>57</v>
      </c>
    </row>
    <row r="729" spans="1:35">
      <c r="A729" t="s">
        <v>56</v>
      </c>
      <c r="B729" t="s">
        <v>57</v>
      </c>
      <c r="C729" t="s">
        <v>723</v>
      </c>
      <c r="D729" t="s">
        <v>609</v>
      </c>
      <c r="E729">
        <v>1</v>
      </c>
      <c r="G729" t="s">
        <v>665</v>
      </c>
      <c r="I729" t="s">
        <v>61</v>
      </c>
      <c r="Z729" t="str">
        <f>IFERROR(MID(AA729,FIND("-",H729,1)+1,20),_xlfn.IFNA(VLOOKUP(F729&amp;"-"&amp;AA729,Ref_Kontak!$A:$E,4,FALSE),Ref_Kontak!$H$2))</f>
        <v>628999007703</v>
      </c>
      <c r="AA729" t="str">
        <f t="shared" si="66"/>
        <v/>
      </c>
      <c r="AB729" t="str">
        <f t="shared" si="67"/>
        <v/>
      </c>
      <c r="AC729" t="str">
        <f t="shared" si="68"/>
        <v>628999007703</v>
      </c>
      <c r="AD729" t="str">
        <f t="shared" si="70"/>
        <v>Halo+,+Visual+AI+5S+menditeksi+Violation%3A+METALDET1-LINE+6</v>
      </c>
      <c r="AE729" t="str">
        <f t="shared" si="69"/>
        <v>https://web.whatsapp.com/send/?phone=628999007703&amp;text=Halo+,+Visual+AI+5S+menditeksi+Violation%3A+METALDET1-LINE+6&amp;type=phone_number&amp;app_absent=0</v>
      </c>
      <c r="AF729" t="b">
        <f>IF(ISNA(VLOOKUP(D729&amp;"-"&amp;AB729, Ref_Kontak!$A:$E, 4, FALSE)), FALSE, TRUE)</f>
        <v>0</v>
      </c>
      <c r="AG729" t="str">
        <f>_xlfn.IFNA(VLOOKUP(Z729,Ref_Kontak!H:H,1,FALSE),"FALSE")</f>
        <v>628999007703</v>
      </c>
      <c r="AH729" t="str">
        <f t="shared" si="71"/>
        <v>METALDET1-LINE 6</v>
      </c>
      <c r="AI729">
        <f>COUNTIF($AH$1:AH729,AH729)</f>
        <v>58</v>
      </c>
    </row>
    <row r="730" spans="1:35">
      <c r="A730" t="s">
        <v>56</v>
      </c>
      <c r="B730" t="s">
        <v>57</v>
      </c>
      <c r="C730" t="s">
        <v>724</v>
      </c>
      <c r="D730" t="s">
        <v>609</v>
      </c>
      <c r="E730">
        <v>1</v>
      </c>
      <c r="G730" t="s">
        <v>665</v>
      </c>
      <c r="I730" t="s">
        <v>61</v>
      </c>
      <c r="Z730" t="str">
        <f>IFERROR(MID(AA730,FIND("-",H730,1)+1,20),_xlfn.IFNA(VLOOKUP(F730&amp;"-"&amp;AA730,Ref_Kontak!$A:$E,4,FALSE),Ref_Kontak!$H$2))</f>
        <v>628999007703</v>
      </c>
      <c r="AA730" t="str">
        <f t="shared" si="66"/>
        <v/>
      </c>
      <c r="AB730" t="str">
        <f t="shared" si="67"/>
        <v/>
      </c>
      <c r="AC730" t="str">
        <f t="shared" si="68"/>
        <v>628999007703</v>
      </c>
      <c r="AD730" t="str">
        <f t="shared" si="70"/>
        <v>Halo+,+Visual+AI+5S+menditeksi+Violation%3A+METALDET1-LINE+6</v>
      </c>
      <c r="AE730" t="str">
        <f t="shared" si="69"/>
        <v>https://web.whatsapp.com/send/?phone=628999007703&amp;text=Halo+,+Visual+AI+5S+menditeksi+Violation%3A+METALDET1-LINE+6&amp;type=phone_number&amp;app_absent=0</v>
      </c>
      <c r="AF730" t="b">
        <f>IF(ISNA(VLOOKUP(D730&amp;"-"&amp;AB730, Ref_Kontak!$A:$E, 4, FALSE)), FALSE, TRUE)</f>
        <v>0</v>
      </c>
      <c r="AG730" t="str">
        <f>_xlfn.IFNA(VLOOKUP(Z730,Ref_Kontak!H:H,1,FALSE),"FALSE")</f>
        <v>628999007703</v>
      </c>
      <c r="AH730" t="str">
        <f t="shared" si="71"/>
        <v>METALDET1-LINE 6</v>
      </c>
      <c r="AI730">
        <f>COUNTIF($AH$1:AH730,AH730)</f>
        <v>59</v>
      </c>
    </row>
    <row r="731" spans="1:35">
      <c r="A731" t="s">
        <v>56</v>
      </c>
      <c r="B731" t="s">
        <v>57</v>
      </c>
      <c r="C731" t="s">
        <v>725</v>
      </c>
      <c r="D731" t="s">
        <v>609</v>
      </c>
      <c r="E731">
        <v>1</v>
      </c>
      <c r="G731" t="s">
        <v>665</v>
      </c>
      <c r="I731" t="s">
        <v>61</v>
      </c>
      <c r="Z731" t="str">
        <f>IFERROR(MID(AA731,FIND("-",H731,1)+1,20),_xlfn.IFNA(VLOOKUP(F731&amp;"-"&amp;AA731,Ref_Kontak!$A:$E,4,FALSE),Ref_Kontak!$H$2))</f>
        <v>628999007703</v>
      </c>
      <c r="AA731" t="str">
        <f t="shared" si="66"/>
        <v/>
      </c>
      <c r="AB731" t="str">
        <f t="shared" si="67"/>
        <v/>
      </c>
      <c r="AC731" t="str">
        <f t="shared" si="68"/>
        <v>628999007703</v>
      </c>
      <c r="AD731" t="str">
        <f t="shared" si="70"/>
        <v>Halo+,+Visual+AI+5S+menditeksi+Violation%3A+METALDET1-LINE+6</v>
      </c>
      <c r="AE731" t="str">
        <f t="shared" si="69"/>
        <v>https://web.whatsapp.com/send/?phone=628999007703&amp;text=Halo+,+Visual+AI+5S+menditeksi+Violation%3A+METALDET1-LINE+6&amp;type=phone_number&amp;app_absent=0</v>
      </c>
      <c r="AF731" t="b">
        <f>IF(ISNA(VLOOKUP(D731&amp;"-"&amp;AB731, Ref_Kontak!$A:$E, 4, FALSE)), FALSE, TRUE)</f>
        <v>0</v>
      </c>
      <c r="AG731" t="str">
        <f>_xlfn.IFNA(VLOOKUP(Z731,Ref_Kontak!H:H,1,FALSE),"FALSE")</f>
        <v>628999007703</v>
      </c>
      <c r="AH731" t="str">
        <f t="shared" si="71"/>
        <v>METALDET1-LINE 6</v>
      </c>
      <c r="AI731">
        <f>COUNTIF($AH$1:AH731,AH731)</f>
        <v>60</v>
      </c>
    </row>
    <row r="732" spans="1:35">
      <c r="A732" t="s">
        <v>56</v>
      </c>
      <c r="B732" t="s">
        <v>57</v>
      </c>
      <c r="C732" t="s">
        <v>726</v>
      </c>
      <c r="D732" t="s">
        <v>609</v>
      </c>
      <c r="E732">
        <v>1</v>
      </c>
      <c r="G732" t="s">
        <v>665</v>
      </c>
      <c r="I732" t="s">
        <v>61</v>
      </c>
      <c r="Z732" t="str">
        <f>IFERROR(MID(AA732,FIND("-",H732,1)+1,20),_xlfn.IFNA(VLOOKUP(F732&amp;"-"&amp;AA732,Ref_Kontak!$A:$E,4,FALSE),Ref_Kontak!$H$2))</f>
        <v>628999007703</v>
      </c>
      <c r="AA732" t="str">
        <f t="shared" si="66"/>
        <v/>
      </c>
      <c r="AB732" t="str">
        <f t="shared" si="67"/>
        <v/>
      </c>
      <c r="AC732" t="str">
        <f t="shared" si="68"/>
        <v>628999007703</v>
      </c>
      <c r="AD732" t="str">
        <f t="shared" si="70"/>
        <v>Halo+,+Visual+AI+5S+menditeksi+Violation%3A+METALDET1-LINE+6</v>
      </c>
      <c r="AE732" t="str">
        <f t="shared" si="69"/>
        <v>https://web.whatsapp.com/send/?phone=628999007703&amp;text=Halo+,+Visual+AI+5S+menditeksi+Violation%3A+METALDET1-LINE+6&amp;type=phone_number&amp;app_absent=0</v>
      </c>
      <c r="AF732" t="b">
        <f>IF(ISNA(VLOOKUP(D732&amp;"-"&amp;AB732, Ref_Kontak!$A:$E, 4, FALSE)), FALSE, TRUE)</f>
        <v>0</v>
      </c>
      <c r="AG732" t="str">
        <f>_xlfn.IFNA(VLOOKUP(Z732,Ref_Kontak!H:H,1,FALSE),"FALSE")</f>
        <v>628999007703</v>
      </c>
      <c r="AH732" t="str">
        <f t="shared" si="71"/>
        <v>METALDET1-LINE 6</v>
      </c>
      <c r="AI732">
        <f>COUNTIF($AH$1:AH732,AH732)</f>
        <v>61</v>
      </c>
    </row>
    <row r="733" spans="1:35">
      <c r="A733" t="s">
        <v>56</v>
      </c>
      <c r="B733" t="s">
        <v>57</v>
      </c>
      <c r="C733" t="s">
        <v>727</v>
      </c>
      <c r="D733" t="s">
        <v>609</v>
      </c>
      <c r="E733">
        <v>1</v>
      </c>
      <c r="G733" t="s">
        <v>665</v>
      </c>
      <c r="I733" t="s">
        <v>61</v>
      </c>
      <c r="Z733" t="str">
        <f>IFERROR(MID(AA733,FIND("-",H733,1)+1,20),_xlfn.IFNA(VLOOKUP(F733&amp;"-"&amp;AA733,Ref_Kontak!$A:$E,4,FALSE),Ref_Kontak!$H$2))</f>
        <v>628999007703</v>
      </c>
      <c r="AA733" t="str">
        <f t="shared" si="66"/>
        <v/>
      </c>
      <c r="AB733" t="str">
        <f t="shared" si="67"/>
        <v/>
      </c>
      <c r="AC733" t="str">
        <f t="shared" si="68"/>
        <v>628999007703</v>
      </c>
      <c r="AD733" t="str">
        <f t="shared" si="70"/>
        <v>Halo+,+Visual+AI+5S+menditeksi+Violation%3A+METALDET1-LINE+6</v>
      </c>
      <c r="AE733" t="str">
        <f t="shared" si="69"/>
        <v>https://web.whatsapp.com/send/?phone=628999007703&amp;text=Halo+,+Visual+AI+5S+menditeksi+Violation%3A+METALDET1-LINE+6&amp;type=phone_number&amp;app_absent=0</v>
      </c>
      <c r="AF733" t="b">
        <f>IF(ISNA(VLOOKUP(D733&amp;"-"&amp;AB733, Ref_Kontak!$A:$E, 4, FALSE)), FALSE, TRUE)</f>
        <v>0</v>
      </c>
      <c r="AG733" t="str">
        <f>_xlfn.IFNA(VLOOKUP(Z733,Ref_Kontak!H:H,1,FALSE),"FALSE")</f>
        <v>628999007703</v>
      </c>
      <c r="AH733" t="str">
        <f t="shared" si="71"/>
        <v>METALDET1-LINE 6</v>
      </c>
      <c r="AI733">
        <f>COUNTIF($AH$1:AH733,AH733)</f>
        <v>62</v>
      </c>
    </row>
    <row r="734" spans="1:35">
      <c r="A734" t="s">
        <v>56</v>
      </c>
      <c r="B734" t="s">
        <v>57</v>
      </c>
      <c r="C734" t="s">
        <v>728</v>
      </c>
      <c r="D734" t="s">
        <v>609</v>
      </c>
      <c r="E734">
        <v>1</v>
      </c>
      <c r="G734" t="s">
        <v>665</v>
      </c>
      <c r="I734" t="s">
        <v>61</v>
      </c>
      <c r="Z734" t="str">
        <f>IFERROR(MID(AA734,FIND("-",H734,1)+1,20),_xlfn.IFNA(VLOOKUP(F734&amp;"-"&amp;AA734,Ref_Kontak!$A:$E,4,FALSE),Ref_Kontak!$H$2))</f>
        <v>628999007703</v>
      </c>
      <c r="AA734" t="str">
        <f t="shared" si="66"/>
        <v/>
      </c>
      <c r="AB734" t="str">
        <f t="shared" si="67"/>
        <v/>
      </c>
      <c r="AC734" t="str">
        <f t="shared" si="68"/>
        <v>628999007703</v>
      </c>
      <c r="AD734" t="str">
        <f t="shared" si="70"/>
        <v>Halo+,+Visual+AI+5S+menditeksi+Violation%3A+METALDET1-LINE+6</v>
      </c>
      <c r="AE734" t="str">
        <f t="shared" si="69"/>
        <v>https://web.whatsapp.com/send/?phone=628999007703&amp;text=Halo+,+Visual+AI+5S+menditeksi+Violation%3A+METALDET1-LINE+6&amp;type=phone_number&amp;app_absent=0</v>
      </c>
      <c r="AF734" t="b">
        <f>IF(ISNA(VLOOKUP(D734&amp;"-"&amp;AB734, Ref_Kontak!$A:$E, 4, FALSE)), FALSE, TRUE)</f>
        <v>0</v>
      </c>
      <c r="AG734" t="str">
        <f>_xlfn.IFNA(VLOOKUP(Z734,Ref_Kontak!H:H,1,FALSE),"FALSE")</f>
        <v>628999007703</v>
      </c>
      <c r="AH734" t="str">
        <f t="shared" si="71"/>
        <v>METALDET1-LINE 6</v>
      </c>
      <c r="AI734">
        <f>COUNTIF($AH$1:AH734,AH734)</f>
        <v>63</v>
      </c>
    </row>
    <row r="735" spans="1:35">
      <c r="A735" t="s">
        <v>56</v>
      </c>
      <c r="B735" t="s">
        <v>57</v>
      </c>
      <c r="C735" t="s">
        <v>729</v>
      </c>
      <c r="D735" t="s">
        <v>609</v>
      </c>
      <c r="E735">
        <v>1</v>
      </c>
      <c r="G735" t="s">
        <v>665</v>
      </c>
      <c r="I735" t="s">
        <v>61</v>
      </c>
      <c r="Z735" t="str">
        <f>IFERROR(MID(AA735,FIND("-",H735,1)+1,20),_xlfn.IFNA(VLOOKUP(F735&amp;"-"&amp;AA735,Ref_Kontak!$A:$E,4,FALSE),Ref_Kontak!$H$2))</f>
        <v>628999007703</v>
      </c>
      <c r="AA735" t="str">
        <f t="shared" si="66"/>
        <v/>
      </c>
      <c r="AB735" t="str">
        <f t="shared" si="67"/>
        <v/>
      </c>
      <c r="AC735" t="str">
        <f t="shared" si="68"/>
        <v>628999007703</v>
      </c>
      <c r="AD735" t="str">
        <f t="shared" si="70"/>
        <v>Halo+,+Visual+AI+5S+menditeksi+Violation%3A+METALDET1-LINE+6</v>
      </c>
      <c r="AE735" t="str">
        <f t="shared" si="69"/>
        <v>https://web.whatsapp.com/send/?phone=628999007703&amp;text=Halo+,+Visual+AI+5S+menditeksi+Violation%3A+METALDET1-LINE+6&amp;type=phone_number&amp;app_absent=0</v>
      </c>
      <c r="AF735" t="b">
        <f>IF(ISNA(VLOOKUP(D735&amp;"-"&amp;AB735, Ref_Kontak!$A:$E, 4, FALSE)), FALSE, TRUE)</f>
        <v>0</v>
      </c>
      <c r="AG735" t="str">
        <f>_xlfn.IFNA(VLOOKUP(Z735,Ref_Kontak!H:H,1,FALSE),"FALSE")</f>
        <v>628999007703</v>
      </c>
      <c r="AH735" t="str">
        <f t="shared" si="71"/>
        <v>METALDET1-LINE 6</v>
      </c>
      <c r="AI735">
        <f>COUNTIF($AH$1:AH735,AH735)</f>
        <v>64</v>
      </c>
    </row>
    <row r="736" spans="1:35">
      <c r="A736" t="s">
        <v>56</v>
      </c>
      <c r="B736" t="s">
        <v>57</v>
      </c>
      <c r="C736" t="s">
        <v>730</v>
      </c>
      <c r="D736" t="s">
        <v>609</v>
      </c>
      <c r="E736">
        <v>1</v>
      </c>
      <c r="G736" t="s">
        <v>665</v>
      </c>
      <c r="I736" t="s">
        <v>61</v>
      </c>
      <c r="Z736" t="str">
        <f>IFERROR(MID(AA736,FIND("-",H736,1)+1,20),_xlfn.IFNA(VLOOKUP(F736&amp;"-"&amp;AA736,Ref_Kontak!$A:$E,4,FALSE),Ref_Kontak!$H$2))</f>
        <v>628999007703</v>
      </c>
      <c r="AA736" t="str">
        <f t="shared" si="66"/>
        <v/>
      </c>
      <c r="AB736" t="str">
        <f t="shared" si="67"/>
        <v/>
      </c>
      <c r="AC736" t="str">
        <f t="shared" si="68"/>
        <v>628999007703</v>
      </c>
      <c r="AD736" t="str">
        <f t="shared" si="70"/>
        <v>Halo+,+Visual+AI+5S+menditeksi+Violation%3A+METALDET1-LINE+6</v>
      </c>
      <c r="AE736" t="str">
        <f t="shared" si="69"/>
        <v>https://web.whatsapp.com/send/?phone=628999007703&amp;text=Halo+,+Visual+AI+5S+menditeksi+Violation%3A+METALDET1-LINE+6&amp;type=phone_number&amp;app_absent=0</v>
      </c>
      <c r="AF736" t="b">
        <f>IF(ISNA(VLOOKUP(D736&amp;"-"&amp;AB736, Ref_Kontak!$A:$E, 4, FALSE)), FALSE, TRUE)</f>
        <v>0</v>
      </c>
      <c r="AG736" t="str">
        <f>_xlfn.IFNA(VLOOKUP(Z736,Ref_Kontak!H:H,1,FALSE),"FALSE")</f>
        <v>628999007703</v>
      </c>
      <c r="AH736" t="str">
        <f t="shared" si="71"/>
        <v>METALDET1-LINE 6</v>
      </c>
      <c r="AI736">
        <f>COUNTIF($AH$1:AH736,AH736)</f>
        <v>65</v>
      </c>
    </row>
    <row r="737" spans="1:35">
      <c r="A737" t="s">
        <v>56</v>
      </c>
      <c r="B737" t="s">
        <v>57</v>
      </c>
      <c r="C737" t="s">
        <v>731</v>
      </c>
      <c r="D737" t="s">
        <v>609</v>
      </c>
      <c r="E737">
        <v>1</v>
      </c>
      <c r="G737" t="s">
        <v>665</v>
      </c>
      <c r="I737" t="s">
        <v>61</v>
      </c>
      <c r="Z737" t="str">
        <f>IFERROR(MID(AA737,FIND("-",H737,1)+1,20),_xlfn.IFNA(VLOOKUP(F737&amp;"-"&amp;AA737,Ref_Kontak!$A:$E,4,FALSE),Ref_Kontak!$H$2))</f>
        <v>628999007703</v>
      </c>
      <c r="AA737" t="str">
        <f t="shared" si="66"/>
        <v/>
      </c>
      <c r="AB737" t="str">
        <f t="shared" si="67"/>
        <v/>
      </c>
      <c r="AC737" t="str">
        <f t="shared" si="68"/>
        <v>628999007703</v>
      </c>
      <c r="AD737" t="str">
        <f t="shared" si="70"/>
        <v>Halo+,+Visual+AI+5S+menditeksi+Violation%3A+METALDET1-LINE+6</v>
      </c>
      <c r="AE737" t="str">
        <f t="shared" si="69"/>
        <v>https://web.whatsapp.com/send/?phone=628999007703&amp;text=Halo+,+Visual+AI+5S+menditeksi+Violation%3A+METALDET1-LINE+6&amp;type=phone_number&amp;app_absent=0</v>
      </c>
      <c r="AF737" t="b">
        <f>IF(ISNA(VLOOKUP(D737&amp;"-"&amp;AB737, Ref_Kontak!$A:$E, 4, FALSE)), FALSE, TRUE)</f>
        <v>0</v>
      </c>
      <c r="AG737" t="str">
        <f>_xlfn.IFNA(VLOOKUP(Z737,Ref_Kontak!H:H,1,FALSE),"FALSE")</f>
        <v>628999007703</v>
      </c>
      <c r="AH737" t="str">
        <f t="shared" si="71"/>
        <v>METALDET1-LINE 6</v>
      </c>
      <c r="AI737">
        <f>COUNTIF($AH$1:AH737,AH737)</f>
        <v>66</v>
      </c>
    </row>
    <row r="738" spans="1:35">
      <c r="A738" t="s">
        <v>56</v>
      </c>
      <c r="B738" t="s">
        <v>57</v>
      </c>
      <c r="C738" t="s">
        <v>732</v>
      </c>
      <c r="D738" t="s">
        <v>609</v>
      </c>
      <c r="E738">
        <v>1</v>
      </c>
      <c r="G738" t="s">
        <v>665</v>
      </c>
      <c r="I738" t="s">
        <v>61</v>
      </c>
      <c r="Z738" t="str">
        <f>IFERROR(MID(AA738,FIND("-",H738,1)+1,20),_xlfn.IFNA(VLOOKUP(F738&amp;"-"&amp;AA738,Ref_Kontak!$A:$E,4,FALSE),Ref_Kontak!$H$2))</f>
        <v>628999007703</v>
      </c>
      <c r="AA738" t="str">
        <f t="shared" si="66"/>
        <v/>
      </c>
      <c r="AB738" t="str">
        <f t="shared" si="67"/>
        <v/>
      </c>
      <c r="AC738" t="str">
        <f t="shared" si="68"/>
        <v>628999007703</v>
      </c>
      <c r="AD738" t="str">
        <f t="shared" si="70"/>
        <v>Halo+,+Visual+AI+5S+menditeksi+Violation%3A+METALDET1-LINE+6</v>
      </c>
      <c r="AE738" t="str">
        <f t="shared" si="69"/>
        <v>https://web.whatsapp.com/send/?phone=628999007703&amp;text=Halo+,+Visual+AI+5S+menditeksi+Violation%3A+METALDET1-LINE+6&amp;type=phone_number&amp;app_absent=0</v>
      </c>
      <c r="AF738" t="b">
        <f>IF(ISNA(VLOOKUP(D738&amp;"-"&amp;AB738, Ref_Kontak!$A:$E, 4, FALSE)), FALSE, TRUE)</f>
        <v>0</v>
      </c>
      <c r="AG738" t="str">
        <f>_xlfn.IFNA(VLOOKUP(Z738,Ref_Kontak!H:H,1,FALSE),"FALSE")</f>
        <v>628999007703</v>
      </c>
      <c r="AH738" t="str">
        <f t="shared" si="71"/>
        <v>METALDET1-LINE 6</v>
      </c>
      <c r="AI738">
        <f>COUNTIF($AH$1:AH738,AH738)</f>
        <v>67</v>
      </c>
    </row>
    <row r="739" spans="1:35">
      <c r="A739" t="s">
        <v>56</v>
      </c>
      <c r="B739" t="s">
        <v>57</v>
      </c>
      <c r="C739" t="s">
        <v>733</v>
      </c>
      <c r="D739" t="s">
        <v>609</v>
      </c>
      <c r="E739">
        <v>1</v>
      </c>
      <c r="G739" t="s">
        <v>665</v>
      </c>
      <c r="I739" t="s">
        <v>61</v>
      </c>
      <c r="Z739" t="str">
        <f>IFERROR(MID(AA739,FIND("-",H739,1)+1,20),_xlfn.IFNA(VLOOKUP(F739&amp;"-"&amp;AA739,Ref_Kontak!$A:$E,4,FALSE),Ref_Kontak!$H$2))</f>
        <v>628999007703</v>
      </c>
      <c r="AA739" t="str">
        <f t="shared" si="66"/>
        <v/>
      </c>
      <c r="AB739" t="str">
        <f t="shared" si="67"/>
        <v/>
      </c>
      <c r="AC739" t="str">
        <f t="shared" si="68"/>
        <v>628999007703</v>
      </c>
      <c r="AD739" t="str">
        <f t="shared" si="70"/>
        <v>Halo+,+Visual+AI+5S+menditeksi+Violation%3A+METALDET1-LINE+6</v>
      </c>
      <c r="AE739" t="str">
        <f t="shared" si="69"/>
        <v>https://web.whatsapp.com/send/?phone=628999007703&amp;text=Halo+,+Visual+AI+5S+menditeksi+Violation%3A+METALDET1-LINE+6&amp;type=phone_number&amp;app_absent=0</v>
      </c>
      <c r="AF739" t="b">
        <f>IF(ISNA(VLOOKUP(D739&amp;"-"&amp;AB739, Ref_Kontak!$A:$E, 4, FALSE)), FALSE, TRUE)</f>
        <v>0</v>
      </c>
      <c r="AG739" t="str">
        <f>_xlfn.IFNA(VLOOKUP(Z739,Ref_Kontak!H:H,1,FALSE),"FALSE")</f>
        <v>628999007703</v>
      </c>
      <c r="AH739" t="str">
        <f t="shared" si="71"/>
        <v>METALDET1-LINE 6</v>
      </c>
      <c r="AI739">
        <f>COUNTIF($AH$1:AH739,AH739)</f>
        <v>68</v>
      </c>
    </row>
    <row r="740" spans="1:35">
      <c r="A740" t="s">
        <v>56</v>
      </c>
      <c r="B740" t="s">
        <v>57</v>
      </c>
      <c r="C740" t="s">
        <v>734</v>
      </c>
      <c r="D740" t="s">
        <v>609</v>
      </c>
      <c r="E740">
        <v>1</v>
      </c>
      <c r="G740" t="s">
        <v>665</v>
      </c>
      <c r="I740" t="s">
        <v>61</v>
      </c>
      <c r="Z740" t="str">
        <f>IFERROR(MID(AA740,FIND("-",H740,1)+1,20),_xlfn.IFNA(VLOOKUP(F740&amp;"-"&amp;AA740,Ref_Kontak!$A:$E,4,FALSE),Ref_Kontak!$H$2))</f>
        <v>628999007703</v>
      </c>
      <c r="AA740" t="str">
        <f t="shared" si="66"/>
        <v/>
      </c>
      <c r="AB740" t="str">
        <f t="shared" si="67"/>
        <v/>
      </c>
      <c r="AC740" t="str">
        <f t="shared" si="68"/>
        <v>628999007703</v>
      </c>
      <c r="AD740" t="str">
        <f t="shared" si="70"/>
        <v>Halo+,+Visual+AI+5S+menditeksi+Violation%3A+METALDET1-LINE+6</v>
      </c>
      <c r="AE740" t="str">
        <f t="shared" si="69"/>
        <v>https://web.whatsapp.com/send/?phone=628999007703&amp;text=Halo+,+Visual+AI+5S+menditeksi+Violation%3A+METALDET1-LINE+6&amp;type=phone_number&amp;app_absent=0</v>
      </c>
      <c r="AF740" t="b">
        <f>IF(ISNA(VLOOKUP(D740&amp;"-"&amp;AB740, Ref_Kontak!$A:$E, 4, FALSE)), FALSE, TRUE)</f>
        <v>0</v>
      </c>
      <c r="AG740" t="str">
        <f>_xlfn.IFNA(VLOOKUP(Z740,Ref_Kontak!H:H,1,FALSE),"FALSE")</f>
        <v>628999007703</v>
      </c>
      <c r="AH740" t="str">
        <f t="shared" si="71"/>
        <v>METALDET1-LINE 6</v>
      </c>
      <c r="AI740">
        <f>COUNTIF($AH$1:AH740,AH740)</f>
        <v>69</v>
      </c>
    </row>
    <row r="741" spans="1:35">
      <c r="A741" t="s">
        <v>56</v>
      </c>
      <c r="B741" t="s">
        <v>57</v>
      </c>
      <c r="C741" t="s">
        <v>735</v>
      </c>
      <c r="D741" t="s">
        <v>609</v>
      </c>
      <c r="E741">
        <v>1</v>
      </c>
      <c r="G741" t="s">
        <v>665</v>
      </c>
      <c r="I741" t="s">
        <v>61</v>
      </c>
      <c r="Z741" t="str">
        <f>IFERROR(MID(AA741,FIND("-",H741,1)+1,20),_xlfn.IFNA(VLOOKUP(F741&amp;"-"&amp;AA741,Ref_Kontak!$A:$E,4,FALSE),Ref_Kontak!$H$2))</f>
        <v>628999007703</v>
      </c>
      <c r="AA741" t="str">
        <f t="shared" si="66"/>
        <v/>
      </c>
      <c r="AB741" t="str">
        <f t="shared" si="67"/>
        <v/>
      </c>
      <c r="AC741" t="str">
        <f t="shared" si="68"/>
        <v>628999007703</v>
      </c>
      <c r="AD741" t="str">
        <f t="shared" si="70"/>
        <v>Halo+,+Visual+AI+5S+menditeksi+Violation%3A+METALDET1-LINE+6</v>
      </c>
      <c r="AE741" t="str">
        <f t="shared" si="69"/>
        <v>https://web.whatsapp.com/send/?phone=628999007703&amp;text=Halo+,+Visual+AI+5S+menditeksi+Violation%3A+METALDET1-LINE+6&amp;type=phone_number&amp;app_absent=0</v>
      </c>
      <c r="AF741" t="b">
        <f>IF(ISNA(VLOOKUP(D741&amp;"-"&amp;AB741, Ref_Kontak!$A:$E, 4, FALSE)), FALSE, TRUE)</f>
        <v>0</v>
      </c>
      <c r="AG741" t="str">
        <f>_xlfn.IFNA(VLOOKUP(Z741,Ref_Kontak!H:H,1,FALSE),"FALSE")</f>
        <v>628999007703</v>
      </c>
      <c r="AH741" t="str">
        <f t="shared" si="71"/>
        <v>METALDET1-LINE 6</v>
      </c>
      <c r="AI741">
        <f>COUNTIF($AH$1:AH741,AH741)</f>
        <v>70</v>
      </c>
    </row>
    <row r="742" spans="1:35">
      <c r="A742" t="s">
        <v>56</v>
      </c>
      <c r="B742" t="s">
        <v>57</v>
      </c>
      <c r="C742" t="s">
        <v>736</v>
      </c>
      <c r="D742" t="s">
        <v>609</v>
      </c>
      <c r="E742">
        <v>1</v>
      </c>
      <c r="G742" t="s">
        <v>665</v>
      </c>
      <c r="I742" t="s">
        <v>61</v>
      </c>
      <c r="Z742" t="str">
        <f>IFERROR(MID(AA742,FIND("-",H742,1)+1,20),_xlfn.IFNA(VLOOKUP(F742&amp;"-"&amp;AA742,Ref_Kontak!$A:$E,4,FALSE),Ref_Kontak!$H$2))</f>
        <v>628999007703</v>
      </c>
      <c r="AA742" t="str">
        <f t="shared" si="66"/>
        <v/>
      </c>
      <c r="AB742" t="str">
        <f t="shared" si="67"/>
        <v/>
      </c>
      <c r="AC742" t="str">
        <f t="shared" si="68"/>
        <v>628999007703</v>
      </c>
      <c r="AD742" t="str">
        <f t="shared" si="70"/>
        <v>Halo+,+Visual+AI+5S+menditeksi+Violation%3A+METALDET1-LINE+6</v>
      </c>
      <c r="AE742" t="str">
        <f t="shared" si="69"/>
        <v>https://web.whatsapp.com/send/?phone=628999007703&amp;text=Halo+,+Visual+AI+5S+menditeksi+Violation%3A+METALDET1-LINE+6&amp;type=phone_number&amp;app_absent=0</v>
      </c>
      <c r="AF742" t="b">
        <f>IF(ISNA(VLOOKUP(D742&amp;"-"&amp;AB742, Ref_Kontak!$A:$E, 4, FALSE)), FALSE, TRUE)</f>
        <v>0</v>
      </c>
      <c r="AG742" t="str">
        <f>_xlfn.IFNA(VLOOKUP(Z742,Ref_Kontak!H:H,1,FALSE),"FALSE")</f>
        <v>628999007703</v>
      </c>
      <c r="AH742" t="str">
        <f t="shared" si="71"/>
        <v>METALDET1-LINE 6</v>
      </c>
      <c r="AI742">
        <f>COUNTIF($AH$1:AH742,AH742)</f>
        <v>71</v>
      </c>
    </row>
    <row r="743" spans="1:35">
      <c r="A743" t="s">
        <v>56</v>
      </c>
      <c r="B743" t="s">
        <v>57</v>
      </c>
      <c r="C743" t="s">
        <v>737</v>
      </c>
      <c r="D743" t="s">
        <v>609</v>
      </c>
      <c r="E743">
        <v>1</v>
      </c>
      <c r="G743" t="s">
        <v>665</v>
      </c>
      <c r="I743" t="s">
        <v>61</v>
      </c>
      <c r="Z743" t="str">
        <f>IFERROR(MID(AA743,FIND("-",H743,1)+1,20),_xlfn.IFNA(VLOOKUP(F743&amp;"-"&amp;AA743,Ref_Kontak!$A:$E,4,FALSE),Ref_Kontak!$H$2))</f>
        <v>628999007703</v>
      </c>
      <c r="AA743" t="str">
        <f t="shared" si="66"/>
        <v/>
      </c>
      <c r="AB743" t="str">
        <f t="shared" si="67"/>
        <v/>
      </c>
      <c r="AC743" t="str">
        <f t="shared" si="68"/>
        <v>628999007703</v>
      </c>
      <c r="AD743" t="str">
        <f t="shared" si="70"/>
        <v>Halo+,+Visual+AI+5S+menditeksi+Violation%3A+METALDET1-LINE+6</v>
      </c>
      <c r="AE743" t="str">
        <f t="shared" si="69"/>
        <v>https://web.whatsapp.com/send/?phone=628999007703&amp;text=Halo+,+Visual+AI+5S+menditeksi+Violation%3A+METALDET1-LINE+6&amp;type=phone_number&amp;app_absent=0</v>
      </c>
      <c r="AF743" t="b">
        <f>IF(ISNA(VLOOKUP(D743&amp;"-"&amp;AB743, Ref_Kontak!$A:$E, 4, FALSE)), FALSE, TRUE)</f>
        <v>0</v>
      </c>
      <c r="AG743" t="str">
        <f>_xlfn.IFNA(VLOOKUP(Z743,Ref_Kontak!H:H,1,FALSE),"FALSE")</f>
        <v>628999007703</v>
      </c>
      <c r="AH743" t="str">
        <f t="shared" si="71"/>
        <v>METALDET1-LINE 6</v>
      </c>
      <c r="AI743">
        <f>COUNTIF($AH$1:AH743,AH743)</f>
        <v>72</v>
      </c>
    </row>
    <row r="744" spans="1:35">
      <c r="A744" t="s">
        <v>56</v>
      </c>
      <c r="B744" t="s">
        <v>57</v>
      </c>
      <c r="C744" t="s">
        <v>738</v>
      </c>
      <c r="D744" t="s">
        <v>609</v>
      </c>
      <c r="E744">
        <v>1</v>
      </c>
      <c r="G744" t="s">
        <v>665</v>
      </c>
      <c r="I744" t="s">
        <v>61</v>
      </c>
      <c r="Z744" t="str">
        <f>IFERROR(MID(AA744,FIND("-",H744,1)+1,20),_xlfn.IFNA(VLOOKUP(F744&amp;"-"&amp;AA744,Ref_Kontak!$A:$E,4,FALSE),Ref_Kontak!$H$2))</f>
        <v>628999007703</v>
      </c>
      <c r="AA744" t="str">
        <f t="shared" si="66"/>
        <v/>
      </c>
      <c r="AB744" t="str">
        <f t="shared" si="67"/>
        <v/>
      </c>
      <c r="AC744" t="str">
        <f t="shared" si="68"/>
        <v>628999007703</v>
      </c>
      <c r="AD744" t="str">
        <f t="shared" si="70"/>
        <v>Halo+,+Visual+AI+5S+menditeksi+Violation%3A+METALDET1-LINE+6</v>
      </c>
      <c r="AE744" t="str">
        <f t="shared" si="69"/>
        <v>https://web.whatsapp.com/send/?phone=628999007703&amp;text=Halo+,+Visual+AI+5S+menditeksi+Violation%3A+METALDET1-LINE+6&amp;type=phone_number&amp;app_absent=0</v>
      </c>
      <c r="AF744" t="b">
        <f>IF(ISNA(VLOOKUP(D744&amp;"-"&amp;AB744, Ref_Kontak!$A:$E, 4, FALSE)), FALSE, TRUE)</f>
        <v>0</v>
      </c>
      <c r="AG744" t="str">
        <f>_xlfn.IFNA(VLOOKUP(Z744,Ref_Kontak!H:H,1,FALSE),"FALSE")</f>
        <v>628999007703</v>
      </c>
      <c r="AH744" t="str">
        <f t="shared" si="71"/>
        <v>METALDET1-LINE 6</v>
      </c>
      <c r="AI744">
        <f>COUNTIF($AH$1:AH744,AH744)</f>
        <v>73</v>
      </c>
    </row>
    <row r="745" spans="1:35">
      <c r="A745" t="s">
        <v>56</v>
      </c>
      <c r="B745" t="s">
        <v>57</v>
      </c>
      <c r="C745" t="s">
        <v>739</v>
      </c>
      <c r="D745" t="s">
        <v>609</v>
      </c>
      <c r="E745">
        <v>1</v>
      </c>
      <c r="G745" t="s">
        <v>665</v>
      </c>
      <c r="I745" t="s">
        <v>61</v>
      </c>
      <c r="Z745" t="str">
        <f>IFERROR(MID(AA745,FIND("-",H745,1)+1,20),_xlfn.IFNA(VLOOKUP(F745&amp;"-"&amp;AA745,Ref_Kontak!$A:$E,4,FALSE),Ref_Kontak!$H$2))</f>
        <v>628999007703</v>
      </c>
      <c r="AA745" t="str">
        <f t="shared" si="66"/>
        <v/>
      </c>
      <c r="AB745" t="str">
        <f t="shared" si="67"/>
        <v/>
      </c>
      <c r="AC745" t="str">
        <f t="shared" si="68"/>
        <v>628999007703</v>
      </c>
      <c r="AD745" t="str">
        <f t="shared" si="70"/>
        <v>Halo+,+Visual+AI+5S+menditeksi+Violation%3A+METALDET1-LINE+6</v>
      </c>
      <c r="AE745" t="str">
        <f t="shared" si="69"/>
        <v>https://web.whatsapp.com/send/?phone=628999007703&amp;text=Halo+,+Visual+AI+5S+menditeksi+Violation%3A+METALDET1-LINE+6&amp;type=phone_number&amp;app_absent=0</v>
      </c>
      <c r="AF745" t="b">
        <f>IF(ISNA(VLOOKUP(D745&amp;"-"&amp;AB745, Ref_Kontak!$A:$E, 4, FALSE)), FALSE, TRUE)</f>
        <v>0</v>
      </c>
      <c r="AG745" t="str">
        <f>_xlfn.IFNA(VLOOKUP(Z745,Ref_Kontak!H:H,1,FALSE),"FALSE")</f>
        <v>628999007703</v>
      </c>
      <c r="AH745" t="str">
        <f t="shared" si="71"/>
        <v>METALDET1-LINE 6</v>
      </c>
      <c r="AI745">
        <f>COUNTIF($AH$1:AH745,AH745)</f>
        <v>74</v>
      </c>
    </row>
    <row r="746" spans="1:35">
      <c r="A746" t="s">
        <v>56</v>
      </c>
      <c r="B746" t="s">
        <v>57</v>
      </c>
      <c r="C746" t="s">
        <v>740</v>
      </c>
      <c r="D746" t="s">
        <v>609</v>
      </c>
      <c r="E746">
        <v>1</v>
      </c>
      <c r="G746" t="s">
        <v>665</v>
      </c>
      <c r="I746" t="s">
        <v>61</v>
      </c>
      <c r="Z746" t="str">
        <f>IFERROR(MID(AA746,FIND("-",H746,1)+1,20),_xlfn.IFNA(VLOOKUP(F746&amp;"-"&amp;AA746,Ref_Kontak!$A:$E,4,FALSE),Ref_Kontak!$H$2))</f>
        <v>628999007703</v>
      </c>
      <c r="AA746" t="str">
        <f t="shared" si="66"/>
        <v/>
      </c>
      <c r="AB746" t="str">
        <f t="shared" si="67"/>
        <v/>
      </c>
      <c r="AC746" t="str">
        <f t="shared" si="68"/>
        <v>628999007703</v>
      </c>
      <c r="AD746" t="str">
        <f t="shared" si="70"/>
        <v>Halo+,+Visual+AI+5S+menditeksi+Violation%3A+METALDET1-LINE+6</v>
      </c>
      <c r="AE746" t="str">
        <f t="shared" si="69"/>
        <v>https://web.whatsapp.com/send/?phone=628999007703&amp;text=Halo+,+Visual+AI+5S+menditeksi+Violation%3A+METALDET1-LINE+6&amp;type=phone_number&amp;app_absent=0</v>
      </c>
      <c r="AF746" t="b">
        <f>IF(ISNA(VLOOKUP(D746&amp;"-"&amp;AB746, Ref_Kontak!$A:$E, 4, FALSE)), FALSE, TRUE)</f>
        <v>0</v>
      </c>
      <c r="AG746" t="str">
        <f>_xlfn.IFNA(VLOOKUP(Z746,Ref_Kontak!H:H,1,FALSE),"FALSE")</f>
        <v>628999007703</v>
      </c>
      <c r="AH746" t="str">
        <f t="shared" si="71"/>
        <v>METALDET1-LINE 6</v>
      </c>
      <c r="AI746">
        <f>COUNTIF($AH$1:AH746,AH746)</f>
        <v>75</v>
      </c>
    </row>
    <row r="747" spans="1:35">
      <c r="A747" t="s">
        <v>56</v>
      </c>
      <c r="B747" t="s">
        <v>57</v>
      </c>
      <c r="C747" t="s">
        <v>741</v>
      </c>
      <c r="D747" t="s">
        <v>609</v>
      </c>
      <c r="E747">
        <v>1</v>
      </c>
      <c r="G747" t="s">
        <v>665</v>
      </c>
      <c r="I747" t="s">
        <v>61</v>
      </c>
      <c r="Z747" t="str">
        <f>IFERROR(MID(AA747,FIND("-",H747,1)+1,20),_xlfn.IFNA(VLOOKUP(F747&amp;"-"&amp;AA747,Ref_Kontak!$A:$E,4,FALSE),Ref_Kontak!$H$2))</f>
        <v>628999007703</v>
      </c>
      <c r="AA747" t="str">
        <f t="shared" si="66"/>
        <v/>
      </c>
      <c r="AB747" t="str">
        <f t="shared" si="67"/>
        <v/>
      </c>
      <c r="AC747" t="str">
        <f t="shared" si="68"/>
        <v>628999007703</v>
      </c>
      <c r="AD747" t="str">
        <f t="shared" si="70"/>
        <v>Halo+,+Visual+AI+5S+menditeksi+Violation%3A+METALDET1-LINE+6</v>
      </c>
      <c r="AE747" t="str">
        <f t="shared" si="69"/>
        <v>https://web.whatsapp.com/send/?phone=628999007703&amp;text=Halo+,+Visual+AI+5S+menditeksi+Violation%3A+METALDET1-LINE+6&amp;type=phone_number&amp;app_absent=0</v>
      </c>
      <c r="AF747" t="b">
        <f>IF(ISNA(VLOOKUP(D747&amp;"-"&amp;AB747, Ref_Kontak!$A:$E, 4, FALSE)), FALSE, TRUE)</f>
        <v>0</v>
      </c>
      <c r="AG747" t="str">
        <f>_xlfn.IFNA(VLOOKUP(Z747,Ref_Kontak!H:H,1,FALSE),"FALSE")</f>
        <v>628999007703</v>
      </c>
      <c r="AH747" t="str">
        <f t="shared" si="71"/>
        <v>METALDET1-LINE 6</v>
      </c>
      <c r="AI747">
        <f>COUNTIF($AH$1:AH747,AH747)</f>
        <v>76</v>
      </c>
    </row>
    <row r="748" spans="1:35">
      <c r="A748" t="s">
        <v>56</v>
      </c>
      <c r="B748" t="s">
        <v>57</v>
      </c>
      <c r="C748" t="s">
        <v>742</v>
      </c>
      <c r="D748" t="s">
        <v>609</v>
      </c>
      <c r="E748">
        <v>1</v>
      </c>
      <c r="G748" t="s">
        <v>665</v>
      </c>
      <c r="I748" t="s">
        <v>61</v>
      </c>
      <c r="Z748" t="str">
        <f>IFERROR(MID(AA748,FIND("-",H748,1)+1,20),_xlfn.IFNA(VLOOKUP(F748&amp;"-"&amp;AA748,Ref_Kontak!$A:$E,4,FALSE),Ref_Kontak!$H$2))</f>
        <v>628999007703</v>
      </c>
      <c r="AA748" t="str">
        <f t="shared" si="66"/>
        <v/>
      </c>
      <c r="AB748" t="str">
        <f t="shared" si="67"/>
        <v/>
      </c>
      <c r="AC748" t="str">
        <f t="shared" si="68"/>
        <v>628999007703</v>
      </c>
      <c r="AD748" t="str">
        <f t="shared" si="70"/>
        <v>Halo+,+Visual+AI+5S+menditeksi+Violation%3A+METALDET1-LINE+6</v>
      </c>
      <c r="AE748" t="str">
        <f t="shared" si="69"/>
        <v>https://web.whatsapp.com/send/?phone=628999007703&amp;text=Halo+,+Visual+AI+5S+menditeksi+Violation%3A+METALDET1-LINE+6&amp;type=phone_number&amp;app_absent=0</v>
      </c>
      <c r="AF748" t="b">
        <f>IF(ISNA(VLOOKUP(D748&amp;"-"&amp;AB748, Ref_Kontak!$A:$E, 4, FALSE)), FALSE, TRUE)</f>
        <v>0</v>
      </c>
      <c r="AG748" t="str">
        <f>_xlfn.IFNA(VLOOKUP(Z748,Ref_Kontak!H:H,1,FALSE),"FALSE")</f>
        <v>628999007703</v>
      </c>
      <c r="AH748" t="str">
        <f t="shared" si="71"/>
        <v>METALDET1-LINE 6</v>
      </c>
      <c r="AI748">
        <f>COUNTIF($AH$1:AH748,AH748)</f>
        <v>77</v>
      </c>
    </row>
    <row r="749" spans="1:35">
      <c r="A749" t="s">
        <v>56</v>
      </c>
      <c r="B749" t="s">
        <v>57</v>
      </c>
      <c r="C749" t="s">
        <v>743</v>
      </c>
      <c r="D749" t="s">
        <v>609</v>
      </c>
      <c r="E749">
        <v>1</v>
      </c>
      <c r="G749" t="s">
        <v>665</v>
      </c>
      <c r="I749" t="s">
        <v>61</v>
      </c>
      <c r="Z749" t="str">
        <f>IFERROR(MID(AA749,FIND("-",H749,1)+1,20),_xlfn.IFNA(VLOOKUP(F749&amp;"-"&amp;AA749,Ref_Kontak!$A:$E,4,FALSE),Ref_Kontak!$H$2))</f>
        <v>628999007703</v>
      </c>
      <c r="AA749" t="str">
        <f t="shared" si="66"/>
        <v/>
      </c>
      <c r="AB749" t="str">
        <f t="shared" si="67"/>
        <v/>
      </c>
      <c r="AC749" t="str">
        <f t="shared" si="68"/>
        <v>628999007703</v>
      </c>
      <c r="AD749" t="str">
        <f t="shared" si="70"/>
        <v>Halo+,+Visual+AI+5S+menditeksi+Violation%3A+METALDET1-LINE+6</v>
      </c>
      <c r="AE749" t="str">
        <f t="shared" si="69"/>
        <v>https://web.whatsapp.com/send/?phone=628999007703&amp;text=Halo+,+Visual+AI+5S+menditeksi+Violation%3A+METALDET1-LINE+6&amp;type=phone_number&amp;app_absent=0</v>
      </c>
      <c r="AF749" t="b">
        <f>IF(ISNA(VLOOKUP(D749&amp;"-"&amp;AB749, Ref_Kontak!$A:$E, 4, FALSE)), FALSE, TRUE)</f>
        <v>0</v>
      </c>
      <c r="AG749" t="str">
        <f>_xlfn.IFNA(VLOOKUP(Z749,Ref_Kontak!H:H,1,FALSE),"FALSE")</f>
        <v>628999007703</v>
      </c>
      <c r="AH749" t="str">
        <f t="shared" si="71"/>
        <v>METALDET1-LINE 6</v>
      </c>
      <c r="AI749">
        <f>COUNTIF($AH$1:AH749,AH749)</f>
        <v>78</v>
      </c>
    </row>
    <row r="750" spans="1:35">
      <c r="A750" t="s">
        <v>56</v>
      </c>
      <c r="B750" t="s">
        <v>57</v>
      </c>
      <c r="C750" t="s">
        <v>744</v>
      </c>
      <c r="D750" t="s">
        <v>609</v>
      </c>
      <c r="E750">
        <v>1</v>
      </c>
      <c r="G750" t="s">
        <v>665</v>
      </c>
      <c r="I750" t="s">
        <v>61</v>
      </c>
      <c r="Z750" t="str">
        <f>IFERROR(MID(AA750,FIND("-",H750,1)+1,20),_xlfn.IFNA(VLOOKUP(F750&amp;"-"&amp;AA750,Ref_Kontak!$A:$E,4,FALSE),Ref_Kontak!$H$2))</f>
        <v>628999007703</v>
      </c>
      <c r="AA750" t="str">
        <f t="shared" si="66"/>
        <v/>
      </c>
      <c r="AB750" t="str">
        <f t="shared" si="67"/>
        <v/>
      </c>
      <c r="AC750" t="str">
        <f t="shared" si="68"/>
        <v>628999007703</v>
      </c>
      <c r="AD750" t="str">
        <f t="shared" si="70"/>
        <v>Halo+,+Visual+AI+5S+menditeksi+Violation%3A+METALDET1-LINE+6</v>
      </c>
      <c r="AE750" t="str">
        <f t="shared" si="69"/>
        <v>https://web.whatsapp.com/send/?phone=628999007703&amp;text=Halo+,+Visual+AI+5S+menditeksi+Violation%3A+METALDET1-LINE+6&amp;type=phone_number&amp;app_absent=0</v>
      </c>
      <c r="AF750" t="b">
        <f>IF(ISNA(VLOOKUP(D750&amp;"-"&amp;AB750, Ref_Kontak!$A:$E, 4, FALSE)), FALSE, TRUE)</f>
        <v>0</v>
      </c>
      <c r="AG750" t="str">
        <f>_xlfn.IFNA(VLOOKUP(Z750,Ref_Kontak!H:H,1,FALSE),"FALSE")</f>
        <v>628999007703</v>
      </c>
      <c r="AH750" t="str">
        <f t="shared" si="71"/>
        <v>METALDET1-LINE 6</v>
      </c>
      <c r="AI750">
        <f>COUNTIF($AH$1:AH750,AH750)</f>
        <v>79</v>
      </c>
    </row>
    <row r="751" spans="1:35">
      <c r="A751" t="s">
        <v>56</v>
      </c>
      <c r="B751" t="s">
        <v>57</v>
      </c>
      <c r="C751" t="s">
        <v>745</v>
      </c>
      <c r="D751" t="s">
        <v>609</v>
      </c>
      <c r="E751">
        <v>1</v>
      </c>
      <c r="G751" t="s">
        <v>665</v>
      </c>
      <c r="I751" t="s">
        <v>61</v>
      </c>
      <c r="Z751" t="str">
        <f>IFERROR(MID(AA751,FIND("-",H751,1)+1,20),_xlfn.IFNA(VLOOKUP(F751&amp;"-"&amp;AA751,Ref_Kontak!$A:$E,4,FALSE),Ref_Kontak!$H$2))</f>
        <v>628999007703</v>
      </c>
      <c r="AA751" t="str">
        <f t="shared" si="66"/>
        <v/>
      </c>
      <c r="AB751" t="str">
        <f t="shared" si="67"/>
        <v/>
      </c>
      <c r="AC751" t="str">
        <f t="shared" si="68"/>
        <v>628999007703</v>
      </c>
      <c r="AD751" t="str">
        <f t="shared" si="70"/>
        <v>Halo+,+Visual+AI+5S+menditeksi+Violation%3A+METALDET1-LINE+6</v>
      </c>
      <c r="AE751" t="str">
        <f t="shared" si="69"/>
        <v>https://web.whatsapp.com/send/?phone=628999007703&amp;text=Halo+,+Visual+AI+5S+menditeksi+Violation%3A+METALDET1-LINE+6&amp;type=phone_number&amp;app_absent=0</v>
      </c>
      <c r="AF751" t="b">
        <f>IF(ISNA(VLOOKUP(D751&amp;"-"&amp;AB751, Ref_Kontak!$A:$E, 4, FALSE)), FALSE, TRUE)</f>
        <v>0</v>
      </c>
      <c r="AG751" t="str">
        <f>_xlfn.IFNA(VLOOKUP(Z751,Ref_Kontak!H:H,1,FALSE),"FALSE")</f>
        <v>628999007703</v>
      </c>
      <c r="AH751" t="str">
        <f t="shared" si="71"/>
        <v>METALDET1-LINE 6</v>
      </c>
      <c r="AI751">
        <f>COUNTIF($AH$1:AH751,AH751)</f>
        <v>80</v>
      </c>
    </row>
    <row r="752" spans="1:35">
      <c r="A752" t="s">
        <v>56</v>
      </c>
      <c r="B752" t="s">
        <v>57</v>
      </c>
      <c r="C752" t="s">
        <v>746</v>
      </c>
      <c r="D752" t="s">
        <v>609</v>
      </c>
      <c r="E752">
        <v>1</v>
      </c>
      <c r="G752" t="s">
        <v>665</v>
      </c>
      <c r="I752" t="s">
        <v>61</v>
      </c>
      <c r="Z752" t="str">
        <f>IFERROR(MID(AA752,FIND("-",H752,1)+1,20),_xlfn.IFNA(VLOOKUP(F752&amp;"-"&amp;AA752,Ref_Kontak!$A:$E,4,FALSE),Ref_Kontak!$H$2))</f>
        <v>628999007703</v>
      </c>
      <c r="AA752" t="str">
        <f t="shared" si="66"/>
        <v/>
      </c>
      <c r="AB752" t="str">
        <f t="shared" si="67"/>
        <v/>
      </c>
      <c r="AC752" t="str">
        <f t="shared" si="68"/>
        <v>628999007703</v>
      </c>
      <c r="AD752" t="str">
        <f t="shared" si="70"/>
        <v>Halo+,+Visual+AI+5S+menditeksi+Violation%3A+METALDET1-LINE+6</v>
      </c>
      <c r="AE752" t="str">
        <f t="shared" si="69"/>
        <v>https://web.whatsapp.com/send/?phone=628999007703&amp;text=Halo+,+Visual+AI+5S+menditeksi+Violation%3A+METALDET1-LINE+6&amp;type=phone_number&amp;app_absent=0</v>
      </c>
      <c r="AF752" t="b">
        <f>IF(ISNA(VLOOKUP(D752&amp;"-"&amp;AB752, Ref_Kontak!$A:$E, 4, FALSE)), FALSE, TRUE)</f>
        <v>0</v>
      </c>
      <c r="AG752" t="str">
        <f>_xlfn.IFNA(VLOOKUP(Z752,Ref_Kontak!H:H,1,FALSE),"FALSE")</f>
        <v>628999007703</v>
      </c>
      <c r="AH752" t="str">
        <f t="shared" si="71"/>
        <v>METALDET1-LINE 6</v>
      </c>
      <c r="AI752">
        <f>COUNTIF($AH$1:AH752,AH752)</f>
        <v>81</v>
      </c>
    </row>
    <row r="753" spans="1:35">
      <c r="A753" t="s">
        <v>56</v>
      </c>
      <c r="B753" t="s">
        <v>57</v>
      </c>
      <c r="C753" t="s">
        <v>747</v>
      </c>
      <c r="D753" t="s">
        <v>609</v>
      </c>
      <c r="E753">
        <v>1</v>
      </c>
      <c r="G753" t="s">
        <v>665</v>
      </c>
      <c r="I753" t="s">
        <v>61</v>
      </c>
      <c r="Z753" t="str">
        <f>IFERROR(MID(AA753,FIND("-",H753,1)+1,20),_xlfn.IFNA(VLOOKUP(F753&amp;"-"&amp;AA753,Ref_Kontak!$A:$E,4,FALSE),Ref_Kontak!$H$2))</f>
        <v>628999007703</v>
      </c>
      <c r="AA753" t="str">
        <f t="shared" si="66"/>
        <v/>
      </c>
      <c r="AB753" t="str">
        <f t="shared" si="67"/>
        <v/>
      </c>
      <c r="AC753" t="str">
        <f t="shared" si="68"/>
        <v>628999007703</v>
      </c>
      <c r="AD753" t="str">
        <f t="shared" si="70"/>
        <v>Halo+,+Visual+AI+5S+menditeksi+Violation%3A+METALDET1-LINE+6</v>
      </c>
      <c r="AE753" t="str">
        <f t="shared" si="69"/>
        <v>https://web.whatsapp.com/send/?phone=628999007703&amp;text=Halo+,+Visual+AI+5S+menditeksi+Violation%3A+METALDET1-LINE+6&amp;type=phone_number&amp;app_absent=0</v>
      </c>
      <c r="AF753" t="b">
        <f>IF(ISNA(VLOOKUP(D753&amp;"-"&amp;AB753, Ref_Kontak!$A:$E, 4, FALSE)), FALSE, TRUE)</f>
        <v>0</v>
      </c>
      <c r="AG753" t="str">
        <f>_xlfn.IFNA(VLOOKUP(Z753,Ref_Kontak!H:H,1,FALSE),"FALSE")</f>
        <v>628999007703</v>
      </c>
      <c r="AH753" t="str">
        <f t="shared" si="71"/>
        <v>METALDET1-LINE 6</v>
      </c>
      <c r="AI753">
        <f>COUNTIF($AH$1:AH753,AH753)</f>
        <v>82</v>
      </c>
    </row>
    <row r="754" spans="1:35">
      <c r="A754" t="s">
        <v>56</v>
      </c>
      <c r="B754" t="s">
        <v>57</v>
      </c>
      <c r="C754" t="s">
        <v>748</v>
      </c>
      <c r="D754" t="s">
        <v>609</v>
      </c>
      <c r="E754">
        <v>1</v>
      </c>
      <c r="G754" t="s">
        <v>665</v>
      </c>
      <c r="I754" t="s">
        <v>61</v>
      </c>
      <c r="Z754" t="str">
        <f>IFERROR(MID(AA754,FIND("-",H754,1)+1,20),_xlfn.IFNA(VLOOKUP(F754&amp;"-"&amp;AA754,Ref_Kontak!$A:$E,4,FALSE),Ref_Kontak!$H$2))</f>
        <v>628999007703</v>
      </c>
      <c r="AA754" t="str">
        <f t="shared" si="66"/>
        <v/>
      </c>
      <c r="AB754" t="str">
        <f t="shared" si="67"/>
        <v/>
      </c>
      <c r="AC754" t="str">
        <f t="shared" si="68"/>
        <v>628999007703</v>
      </c>
      <c r="AD754" t="str">
        <f t="shared" si="70"/>
        <v>Halo+,+Visual+AI+5S+menditeksi+Violation%3A+METALDET1-LINE+6</v>
      </c>
      <c r="AE754" t="str">
        <f t="shared" si="69"/>
        <v>https://web.whatsapp.com/send/?phone=628999007703&amp;text=Halo+,+Visual+AI+5S+menditeksi+Violation%3A+METALDET1-LINE+6&amp;type=phone_number&amp;app_absent=0</v>
      </c>
      <c r="AF754" t="b">
        <f>IF(ISNA(VLOOKUP(D754&amp;"-"&amp;AB754, Ref_Kontak!$A:$E, 4, FALSE)), FALSE, TRUE)</f>
        <v>0</v>
      </c>
      <c r="AG754" t="str">
        <f>_xlfn.IFNA(VLOOKUP(Z754,Ref_Kontak!H:H,1,FALSE),"FALSE")</f>
        <v>628999007703</v>
      </c>
      <c r="AH754" t="str">
        <f t="shared" si="71"/>
        <v>METALDET1-LINE 6</v>
      </c>
      <c r="AI754">
        <f>COUNTIF($AH$1:AH754,AH754)</f>
        <v>83</v>
      </c>
    </row>
    <row r="755" spans="1:35">
      <c r="A755" t="s">
        <v>56</v>
      </c>
      <c r="B755" t="s">
        <v>57</v>
      </c>
      <c r="C755" t="s">
        <v>749</v>
      </c>
      <c r="D755" t="s">
        <v>609</v>
      </c>
      <c r="E755">
        <v>1</v>
      </c>
      <c r="G755" t="s">
        <v>665</v>
      </c>
      <c r="I755" t="s">
        <v>61</v>
      </c>
      <c r="Z755" t="str">
        <f>IFERROR(MID(AA755,FIND("-",H755,1)+1,20),_xlfn.IFNA(VLOOKUP(F755&amp;"-"&amp;AA755,Ref_Kontak!$A:$E,4,FALSE),Ref_Kontak!$H$2))</f>
        <v>628999007703</v>
      </c>
      <c r="AA755" t="str">
        <f t="shared" si="66"/>
        <v/>
      </c>
      <c r="AB755" t="str">
        <f t="shared" si="67"/>
        <v/>
      </c>
      <c r="AC755" t="str">
        <f t="shared" si="68"/>
        <v>628999007703</v>
      </c>
      <c r="AD755" t="str">
        <f t="shared" si="70"/>
        <v>Halo+,+Visual+AI+5S+menditeksi+Violation%3A+METALDET1-LINE+6</v>
      </c>
      <c r="AE755" t="str">
        <f t="shared" si="69"/>
        <v>https://web.whatsapp.com/send/?phone=628999007703&amp;text=Halo+,+Visual+AI+5S+menditeksi+Violation%3A+METALDET1-LINE+6&amp;type=phone_number&amp;app_absent=0</v>
      </c>
      <c r="AF755" t="b">
        <f>IF(ISNA(VLOOKUP(D755&amp;"-"&amp;AB755, Ref_Kontak!$A:$E, 4, FALSE)), FALSE, TRUE)</f>
        <v>0</v>
      </c>
      <c r="AG755" t="str">
        <f>_xlfn.IFNA(VLOOKUP(Z755,Ref_Kontak!H:H,1,FALSE),"FALSE")</f>
        <v>628999007703</v>
      </c>
      <c r="AH755" t="str">
        <f t="shared" si="71"/>
        <v>METALDET1-LINE 6</v>
      </c>
      <c r="AI755">
        <f>COUNTIF($AH$1:AH755,AH755)</f>
        <v>84</v>
      </c>
    </row>
    <row r="756" spans="1:35">
      <c r="A756" t="s">
        <v>56</v>
      </c>
      <c r="B756" t="s">
        <v>57</v>
      </c>
      <c r="C756" t="s">
        <v>750</v>
      </c>
      <c r="D756" t="s">
        <v>609</v>
      </c>
      <c r="E756">
        <v>1</v>
      </c>
      <c r="G756" t="s">
        <v>665</v>
      </c>
      <c r="I756" t="s">
        <v>61</v>
      </c>
      <c r="Z756" t="str">
        <f>IFERROR(MID(AA756,FIND("-",H756,1)+1,20),_xlfn.IFNA(VLOOKUP(F756&amp;"-"&amp;AA756,Ref_Kontak!$A:$E,4,FALSE),Ref_Kontak!$H$2))</f>
        <v>628999007703</v>
      </c>
      <c r="AA756" t="str">
        <f t="shared" si="66"/>
        <v/>
      </c>
      <c r="AB756" t="str">
        <f t="shared" si="67"/>
        <v/>
      </c>
      <c r="AC756" t="str">
        <f t="shared" si="68"/>
        <v>628999007703</v>
      </c>
      <c r="AD756" t="str">
        <f t="shared" si="70"/>
        <v>Halo+,+Visual+AI+5S+menditeksi+Violation%3A+METALDET1-LINE+6</v>
      </c>
      <c r="AE756" t="str">
        <f t="shared" si="69"/>
        <v>https://web.whatsapp.com/send/?phone=628999007703&amp;text=Halo+,+Visual+AI+5S+menditeksi+Violation%3A+METALDET1-LINE+6&amp;type=phone_number&amp;app_absent=0</v>
      </c>
      <c r="AF756" t="b">
        <f>IF(ISNA(VLOOKUP(D756&amp;"-"&amp;AB756, Ref_Kontak!$A:$E, 4, FALSE)), FALSE, TRUE)</f>
        <v>0</v>
      </c>
      <c r="AG756" t="str">
        <f>_xlfn.IFNA(VLOOKUP(Z756,Ref_Kontak!H:H,1,FALSE),"FALSE")</f>
        <v>628999007703</v>
      </c>
      <c r="AH756" t="str">
        <f t="shared" si="71"/>
        <v>METALDET1-LINE 6</v>
      </c>
      <c r="AI756">
        <f>COUNTIF($AH$1:AH756,AH756)</f>
        <v>85</v>
      </c>
    </row>
    <row r="757" spans="1:35">
      <c r="A757" t="s">
        <v>56</v>
      </c>
      <c r="B757" t="s">
        <v>57</v>
      </c>
      <c r="C757" t="s">
        <v>751</v>
      </c>
      <c r="D757" t="s">
        <v>609</v>
      </c>
      <c r="E757">
        <v>1</v>
      </c>
      <c r="G757" t="s">
        <v>665</v>
      </c>
      <c r="I757" t="s">
        <v>61</v>
      </c>
      <c r="Z757" t="str">
        <f>IFERROR(MID(AA757,FIND("-",H757,1)+1,20),_xlfn.IFNA(VLOOKUP(F757&amp;"-"&amp;AA757,Ref_Kontak!$A:$E,4,FALSE),Ref_Kontak!$H$2))</f>
        <v>628999007703</v>
      </c>
      <c r="AA757" t="str">
        <f t="shared" si="66"/>
        <v/>
      </c>
      <c r="AB757" t="str">
        <f t="shared" si="67"/>
        <v/>
      </c>
      <c r="AC757" t="str">
        <f t="shared" si="68"/>
        <v>628999007703</v>
      </c>
      <c r="AD757" t="str">
        <f t="shared" si="70"/>
        <v>Halo+,+Visual+AI+5S+menditeksi+Violation%3A+METALDET1-LINE+6</v>
      </c>
      <c r="AE757" t="str">
        <f t="shared" si="69"/>
        <v>https://web.whatsapp.com/send/?phone=628999007703&amp;text=Halo+,+Visual+AI+5S+menditeksi+Violation%3A+METALDET1-LINE+6&amp;type=phone_number&amp;app_absent=0</v>
      </c>
      <c r="AF757" t="b">
        <f>IF(ISNA(VLOOKUP(D757&amp;"-"&amp;AB757, Ref_Kontak!$A:$E, 4, FALSE)), FALSE, TRUE)</f>
        <v>0</v>
      </c>
      <c r="AG757" t="str">
        <f>_xlfn.IFNA(VLOOKUP(Z757,Ref_Kontak!H:H,1,FALSE),"FALSE")</f>
        <v>628999007703</v>
      </c>
      <c r="AH757" t="str">
        <f t="shared" si="71"/>
        <v>METALDET1-LINE 6</v>
      </c>
      <c r="AI757">
        <f>COUNTIF($AH$1:AH757,AH757)</f>
        <v>86</v>
      </c>
    </row>
    <row r="758" spans="1:35">
      <c r="A758" t="s">
        <v>56</v>
      </c>
      <c r="B758" t="s">
        <v>57</v>
      </c>
      <c r="C758" t="s">
        <v>752</v>
      </c>
      <c r="D758" t="s">
        <v>609</v>
      </c>
      <c r="E758">
        <v>1</v>
      </c>
      <c r="G758" t="s">
        <v>665</v>
      </c>
      <c r="I758" t="s">
        <v>61</v>
      </c>
      <c r="Z758" t="str">
        <f>IFERROR(MID(AA758,FIND("-",H758,1)+1,20),_xlfn.IFNA(VLOOKUP(F758&amp;"-"&amp;AA758,Ref_Kontak!$A:$E,4,FALSE),Ref_Kontak!$H$2))</f>
        <v>628999007703</v>
      </c>
      <c r="AA758" t="str">
        <f t="shared" si="66"/>
        <v/>
      </c>
      <c r="AB758" t="str">
        <f t="shared" si="67"/>
        <v/>
      </c>
      <c r="AC758" t="str">
        <f t="shared" si="68"/>
        <v>628999007703</v>
      </c>
      <c r="AD758" t="str">
        <f t="shared" si="70"/>
        <v>Halo+,+Visual+AI+5S+menditeksi+Violation%3A+METALDET1-LINE+6</v>
      </c>
      <c r="AE758" t="str">
        <f t="shared" si="69"/>
        <v>https://web.whatsapp.com/send/?phone=628999007703&amp;text=Halo+,+Visual+AI+5S+menditeksi+Violation%3A+METALDET1-LINE+6&amp;type=phone_number&amp;app_absent=0</v>
      </c>
      <c r="AF758" t="b">
        <f>IF(ISNA(VLOOKUP(D758&amp;"-"&amp;AB758, Ref_Kontak!$A:$E, 4, FALSE)), FALSE, TRUE)</f>
        <v>0</v>
      </c>
      <c r="AG758" t="str">
        <f>_xlfn.IFNA(VLOOKUP(Z758,Ref_Kontak!H:H,1,FALSE),"FALSE")</f>
        <v>628999007703</v>
      </c>
      <c r="AH758" t="str">
        <f t="shared" si="71"/>
        <v>METALDET1-LINE 6</v>
      </c>
      <c r="AI758">
        <f>COUNTIF($AH$1:AH758,AH758)</f>
        <v>87</v>
      </c>
    </row>
    <row r="759" spans="1:35">
      <c r="A759" t="s">
        <v>56</v>
      </c>
      <c r="B759" t="s">
        <v>57</v>
      </c>
      <c r="C759" t="s">
        <v>753</v>
      </c>
      <c r="D759" t="s">
        <v>609</v>
      </c>
      <c r="E759">
        <v>1</v>
      </c>
      <c r="G759" t="s">
        <v>665</v>
      </c>
      <c r="I759" t="s">
        <v>61</v>
      </c>
      <c r="Z759" t="str">
        <f>IFERROR(MID(AA759,FIND("-",H759,1)+1,20),_xlfn.IFNA(VLOOKUP(F759&amp;"-"&amp;AA759,Ref_Kontak!$A:$E,4,FALSE),Ref_Kontak!$H$2))</f>
        <v>628999007703</v>
      </c>
      <c r="AA759" t="str">
        <f t="shared" si="66"/>
        <v/>
      </c>
      <c r="AB759" t="str">
        <f t="shared" si="67"/>
        <v/>
      </c>
      <c r="AC759" t="str">
        <f t="shared" si="68"/>
        <v>628999007703</v>
      </c>
      <c r="AD759" t="str">
        <f t="shared" si="70"/>
        <v>Halo+,+Visual+AI+5S+menditeksi+Violation%3A+METALDET1-LINE+6</v>
      </c>
      <c r="AE759" t="str">
        <f t="shared" si="69"/>
        <v>https://web.whatsapp.com/send/?phone=628999007703&amp;text=Halo+,+Visual+AI+5S+menditeksi+Violation%3A+METALDET1-LINE+6&amp;type=phone_number&amp;app_absent=0</v>
      </c>
      <c r="AF759" t="b">
        <f>IF(ISNA(VLOOKUP(D759&amp;"-"&amp;AB759, Ref_Kontak!$A:$E, 4, FALSE)), FALSE, TRUE)</f>
        <v>0</v>
      </c>
      <c r="AG759" t="str">
        <f>_xlfn.IFNA(VLOOKUP(Z759,Ref_Kontak!H:H,1,FALSE),"FALSE")</f>
        <v>628999007703</v>
      </c>
      <c r="AH759" t="str">
        <f t="shared" si="71"/>
        <v>METALDET1-LINE 6</v>
      </c>
      <c r="AI759">
        <f>COUNTIF($AH$1:AH759,AH759)</f>
        <v>88</v>
      </c>
    </row>
    <row r="760" spans="1:35">
      <c r="A760" t="s">
        <v>56</v>
      </c>
      <c r="B760" t="s">
        <v>57</v>
      </c>
      <c r="C760" t="s">
        <v>754</v>
      </c>
      <c r="D760" t="s">
        <v>609</v>
      </c>
      <c r="E760">
        <v>1</v>
      </c>
      <c r="G760" t="s">
        <v>665</v>
      </c>
      <c r="I760" t="s">
        <v>61</v>
      </c>
      <c r="Z760" t="str">
        <f>IFERROR(MID(AA760,FIND("-",H760,1)+1,20),_xlfn.IFNA(VLOOKUP(F760&amp;"-"&amp;AA760,Ref_Kontak!$A:$E,4,FALSE),Ref_Kontak!$H$2))</f>
        <v>628999007703</v>
      </c>
      <c r="AA760" t="str">
        <f t="shared" si="66"/>
        <v/>
      </c>
      <c r="AB760" t="str">
        <f t="shared" si="67"/>
        <v/>
      </c>
      <c r="AC760" t="str">
        <f t="shared" si="68"/>
        <v>628999007703</v>
      </c>
      <c r="AD760" t="str">
        <f t="shared" si="70"/>
        <v>Halo+,+Visual+AI+5S+menditeksi+Violation%3A+METALDET1-LINE+6</v>
      </c>
      <c r="AE760" t="str">
        <f t="shared" si="69"/>
        <v>https://web.whatsapp.com/send/?phone=628999007703&amp;text=Halo+,+Visual+AI+5S+menditeksi+Violation%3A+METALDET1-LINE+6&amp;type=phone_number&amp;app_absent=0</v>
      </c>
      <c r="AF760" t="b">
        <f>IF(ISNA(VLOOKUP(D760&amp;"-"&amp;AB760, Ref_Kontak!$A:$E, 4, FALSE)), FALSE, TRUE)</f>
        <v>0</v>
      </c>
      <c r="AG760" t="str">
        <f>_xlfn.IFNA(VLOOKUP(Z760,Ref_Kontak!H:H,1,FALSE),"FALSE")</f>
        <v>628999007703</v>
      </c>
      <c r="AH760" t="str">
        <f t="shared" si="71"/>
        <v>METALDET1-LINE 6</v>
      </c>
      <c r="AI760">
        <f>COUNTIF($AH$1:AH760,AH760)</f>
        <v>89</v>
      </c>
    </row>
    <row r="761" spans="1:35">
      <c r="A761" t="s">
        <v>56</v>
      </c>
      <c r="B761" t="s">
        <v>57</v>
      </c>
      <c r="C761" t="s">
        <v>755</v>
      </c>
      <c r="D761" t="s">
        <v>609</v>
      </c>
      <c r="E761">
        <v>1</v>
      </c>
      <c r="G761" t="s">
        <v>665</v>
      </c>
      <c r="I761" t="s">
        <v>61</v>
      </c>
      <c r="Z761" t="str">
        <f>IFERROR(MID(AA761,FIND("-",H761,1)+1,20),_xlfn.IFNA(VLOOKUP(F761&amp;"-"&amp;AA761,Ref_Kontak!$A:$E,4,FALSE),Ref_Kontak!$H$2))</f>
        <v>628999007703</v>
      </c>
      <c r="AA761" t="str">
        <f t="shared" si="66"/>
        <v/>
      </c>
      <c r="AB761" t="str">
        <f t="shared" si="67"/>
        <v/>
      </c>
      <c r="AC761" t="str">
        <f t="shared" si="68"/>
        <v>628999007703</v>
      </c>
      <c r="AD761" t="str">
        <f t="shared" si="70"/>
        <v>Halo+,+Visual+AI+5S+menditeksi+Violation%3A+METALDET1-LINE+6</v>
      </c>
      <c r="AE761" t="str">
        <f t="shared" si="69"/>
        <v>https://web.whatsapp.com/send/?phone=628999007703&amp;text=Halo+,+Visual+AI+5S+menditeksi+Violation%3A+METALDET1-LINE+6&amp;type=phone_number&amp;app_absent=0</v>
      </c>
      <c r="AF761" t="b">
        <f>IF(ISNA(VLOOKUP(D761&amp;"-"&amp;AB761, Ref_Kontak!$A:$E, 4, FALSE)), FALSE, TRUE)</f>
        <v>0</v>
      </c>
      <c r="AG761" t="str">
        <f>_xlfn.IFNA(VLOOKUP(Z761,Ref_Kontak!H:H,1,FALSE),"FALSE")</f>
        <v>628999007703</v>
      </c>
      <c r="AH761" t="str">
        <f t="shared" si="71"/>
        <v>METALDET1-LINE 6</v>
      </c>
      <c r="AI761">
        <f>COUNTIF($AH$1:AH761,AH761)</f>
        <v>90</v>
      </c>
    </row>
    <row r="762" spans="1:35">
      <c r="A762" t="s">
        <v>56</v>
      </c>
      <c r="B762" t="s">
        <v>57</v>
      </c>
      <c r="C762" t="s">
        <v>756</v>
      </c>
      <c r="D762" t="s">
        <v>609</v>
      </c>
      <c r="E762">
        <v>1</v>
      </c>
      <c r="G762" t="s">
        <v>665</v>
      </c>
      <c r="I762" t="s">
        <v>61</v>
      </c>
      <c r="Z762" t="str">
        <f>IFERROR(MID(AA762,FIND("-",H762,1)+1,20),_xlfn.IFNA(VLOOKUP(F762&amp;"-"&amp;AA762,Ref_Kontak!$A:$E,4,FALSE),Ref_Kontak!$H$2))</f>
        <v>628999007703</v>
      </c>
      <c r="AA762" t="str">
        <f t="shared" si="66"/>
        <v/>
      </c>
      <c r="AB762" t="str">
        <f t="shared" si="67"/>
        <v/>
      </c>
      <c r="AC762" t="str">
        <f t="shared" si="68"/>
        <v>628999007703</v>
      </c>
      <c r="AD762" t="str">
        <f t="shared" si="70"/>
        <v>Halo+,+Visual+AI+5S+menditeksi+Violation%3A+METALDET1-LINE+6</v>
      </c>
      <c r="AE762" t="str">
        <f t="shared" si="69"/>
        <v>https://web.whatsapp.com/send/?phone=628999007703&amp;text=Halo+,+Visual+AI+5S+menditeksi+Violation%3A+METALDET1-LINE+6&amp;type=phone_number&amp;app_absent=0</v>
      </c>
      <c r="AF762" t="b">
        <f>IF(ISNA(VLOOKUP(D762&amp;"-"&amp;AB762, Ref_Kontak!$A:$E, 4, FALSE)), FALSE, TRUE)</f>
        <v>0</v>
      </c>
      <c r="AG762" t="str">
        <f>_xlfn.IFNA(VLOOKUP(Z762,Ref_Kontak!H:H,1,FALSE),"FALSE")</f>
        <v>628999007703</v>
      </c>
      <c r="AH762" t="str">
        <f t="shared" si="71"/>
        <v>METALDET1-LINE 6</v>
      </c>
      <c r="AI762">
        <f>COUNTIF($AH$1:AH762,AH762)</f>
        <v>91</v>
      </c>
    </row>
    <row r="763" spans="1:35">
      <c r="A763" t="s">
        <v>56</v>
      </c>
      <c r="B763" t="s">
        <v>57</v>
      </c>
      <c r="C763" t="s">
        <v>757</v>
      </c>
      <c r="D763" t="s">
        <v>609</v>
      </c>
      <c r="E763">
        <v>1</v>
      </c>
      <c r="G763" t="s">
        <v>665</v>
      </c>
      <c r="I763" t="s">
        <v>61</v>
      </c>
      <c r="Z763" t="str">
        <f>IFERROR(MID(AA763,FIND("-",H763,1)+1,20),_xlfn.IFNA(VLOOKUP(F763&amp;"-"&amp;AA763,Ref_Kontak!$A:$E,4,FALSE),Ref_Kontak!$H$2))</f>
        <v>628999007703</v>
      </c>
      <c r="AA763" t="str">
        <f t="shared" si="66"/>
        <v/>
      </c>
      <c r="AB763" t="str">
        <f t="shared" si="67"/>
        <v/>
      </c>
      <c r="AC763" t="str">
        <f t="shared" si="68"/>
        <v>628999007703</v>
      </c>
      <c r="AD763" t="str">
        <f t="shared" si="70"/>
        <v>Halo+,+Visual+AI+5S+menditeksi+Violation%3A+METALDET1-LINE+6</v>
      </c>
      <c r="AE763" t="str">
        <f t="shared" si="69"/>
        <v>https://web.whatsapp.com/send/?phone=628999007703&amp;text=Halo+,+Visual+AI+5S+menditeksi+Violation%3A+METALDET1-LINE+6&amp;type=phone_number&amp;app_absent=0</v>
      </c>
      <c r="AF763" t="b">
        <f>IF(ISNA(VLOOKUP(D763&amp;"-"&amp;AB763, Ref_Kontak!$A:$E, 4, FALSE)), FALSE, TRUE)</f>
        <v>0</v>
      </c>
      <c r="AG763" t="str">
        <f>_xlfn.IFNA(VLOOKUP(Z763,Ref_Kontak!H:H,1,FALSE),"FALSE")</f>
        <v>628999007703</v>
      </c>
      <c r="AH763" t="str">
        <f t="shared" si="71"/>
        <v>METALDET1-LINE 6</v>
      </c>
      <c r="AI763">
        <f>COUNTIF($AH$1:AH763,AH763)</f>
        <v>92</v>
      </c>
    </row>
    <row r="764" spans="1:35">
      <c r="A764" t="s">
        <v>56</v>
      </c>
      <c r="B764" t="s">
        <v>57</v>
      </c>
      <c r="C764" t="s">
        <v>758</v>
      </c>
      <c r="D764" t="s">
        <v>609</v>
      </c>
      <c r="E764">
        <v>1</v>
      </c>
      <c r="G764" t="s">
        <v>665</v>
      </c>
      <c r="I764" t="s">
        <v>61</v>
      </c>
      <c r="Z764" t="str">
        <f>IFERROR(MID(AA764,FIND("-",H764,1)+1,20),_xlfn.IFNA(VLOOKUP(F764&amp;"-"&amp;AA764,Ref_Kontak!$A:$E,4,FALSE),Ref_Kontak!$H$2))</f>
        <v>628999007703</v>
      </c>
      <c r="AA764" t="str">
        <f t="shared" si="66"/>
        <v/>
      </c>
      <c r="AB764" t="str">
        <f t="shared" si="67"/>
        <v/>
      </c>
      <c r="AC764" t="str">
        <f t="shared" si="68"/>
        <v>628999007703</v>
      </c>
      <c r="AD764" t="str">
        <f t="shared" si="70"/>
        <v>Halo+,+Visual+AI+5S+menditeksi+Violation%3A+METALDET1-LINE+6</v>
      </c>
      <c r="AE764" t="str">
        <f t="shared" si="69"/>
        <v>https://web.whatsapp.com/send/?phone=628999007703&amp;text=Halo+,+Visual+AI+5S+menditeksi+Violation%3A+METALDET1-LINE+6&amp;type=phone_number&amp;app_absent=0</v>
      </c>
      <c r="AF764" t="b">
        <f>IF(ISNA(VLOOKUP(D764&amp;"-"&amp;AB764, Ref_Kontak!$A:$E, 4, FALSE)), FALSE, TRUE)</f>
        <v>0</v>
      </c>
      <c r="AG764" t="str">
        <f>_xlfn.IFNA(VLOOKUP(Z764,Ref_Kontak!H:H,1,FALSE),"FALSE")</f>
        <v>628999007703</v>
      </c>
      <c r="AH764" t="str">
        <f t="shared" si="71"/>
        <v>METALDET1-LINE 6</v>
      </c>
      <c r="AI764">
        <f>COUNTIF($AH$1:AH764,AH764)</f>
        <v>93</v>
      </c>
    </row>
    <row r="765" spans="1:35">
      <c r="A765" t="s">
        <v>56</v>
      </c>
      <c r="B765" t="s">
        <v>57</v>
      </c>
      <c r="C765" t="s">
        <v>759</v>
      </c>
      <c r="D765" t="s">
        <v>609</v>
      </c>
      <c r="E765">
        <v>1</v>
      </c>
      <c r="G765" t="s">
        <v>665</v>
      </c>
      <c r="I765" t="s">
        <v>61</v>
      </c>
      <c r="Z765" t="str">
        <f>IFERROR(MID(AA765,FIND("-",H765,1)+1,20),_xlfn.IFNA(VLOOKUP(F765&amp;"-"&amp;AA765,Ref_Kontak!$A:$E,4,FALSE),Ref_Kontak!$H$2))</f>
        <v>628999007703</v>
      </c>
      <c r="AA765" t="str">
        <f t="shared" si="66"/>
        <v/>
      </c>
      <c r="AB765" t="str">
        <f t="shared" si="67"/>
        <v/>
      </c>
      <c r="AC765" t="str">
        <f t="shared" si="68"/>
        <v>628999007703</v>
      </c>
      <c r="AD765" t="str">
        <f t="shared" si="70"/>
        <v>Halo+,+Visual+AI+5S+menditeksi+Violation%3A+METALDET1-LINE+6</v>
      </c>
      <c r="AE765" t="str">
        <f t="shared" si="69"/>
        <v>https://web.whatsapp.com/send/?phone=628999007703&amp;text=Halo+,+Visual+AI+5S+menditeksi+Violation%3A+METALDET1-LINE+6&amp;type=phone_number&amp;app_absent=0</v>
      </c>
      <c r="AF765" t="b">
        <f>IF(ISNA(VLOOKUP(D765&amp;"-"&amp;AB765, Ref_Kontak!$A:$E, 4, FALSE)), FALSE, TRUE)</f>
        <v>0</v>
      </c>
      <c r="AG765" t="str">
        <f>_xlfn.IFNA(VLOOKUP(Z765,Ref_Kontak!H:H,1,FALSE),"FALSE")</f>
        <v>628999007703</v>
      </c>
      <c r="AH765" t="str">
        <f t="shared" si="71"/>
        <v>METALDET1-LINE 6</v>
      </c>
      <c r="AI765">
        <f>COUNTIF($AH$1:AH765,AH765)</f>
        <v>94</v>
      </c>
    </row>
    <row r="766" spans="1:35">
      <c r="A766" t="s">
        <v>56</v>
      </c>
      <c r="B766" t="s">
        <v>57</v>
      </c>
      <c r="C766" t="s">
        <v>760</v>
      </c>
      <c r="D766" t="s">
        <v>609</v>
      </c>
      <c r="E766">
        <v>1</v>
      </c>
      <c r="G766" t="s">
        <v>665</v>
      </c>
      <c r="I766" t="s">
        <v>61</v>
      </c>
      <c r="Z766" t="str">
        <f>IFERROR(MID(AA766,FIND("-",H766,1)+1,20),_xlfn.IFNA(VLOOKUP(F766&amp;"-"&amp;AA766,Ref_Kontak!$A:$E,4,FALSE),Ref_Kontak!$H$2))</f>
        <v>628999007703</v>
      </c>
      <c r="AA766" t="str">
        <f t="shared" si="66"/>
        <v/>
      </c>
      <c r="AB766" t="str">
        <f t="shared" si="67"/>
        <v/>
      </c>
      <c r="AC766" t="str">
        <f t="shared" si="68"/>
        <v>628999007703</v>
      </c>
      <c r="AD766" t="str">
        <f t="shared" si="70"/>
        <v>Halo+,+Visual+AI+5S+menditeksi+Violation%3A+METALDET1-LINE+6</v>
      </c>
      <c r="AE766" t="str">
        <f t="shared" si="69"/>
        <v>https://web.whatsapp.com/send/?phone=628999007703&amp;text=Halo+,+Visual+AI+5S+menditeksi+Violation%3A+METALDET1-LINE+6&amp;type=phone_number&amp;app_absent=0</v>
      </c>
      <c r="AF766" t="b">
        <f>IF(ISNA(VLOOKUP(D766&amp;"-"&amp;AB766, Ref_Kontak!$A:$E, 4, FALSE)), FALSE, TRUE)</f>
        <v>0</v>
      </c>
      <c r="AG766" t="str">
        <f>_xlfn.IFNA(VLOOKUP(Z766,Ref_Kontak!H:H,1,FALSE),"FALSE")</f>
        <v>628999007703</v>
      </c>
      <c r="AH766" t="str">
        <f t="shared" si="71"/>
        <v>METALDET1-LINE 6</v>
      </c>
      <c r="AI766">
        <f>COUNTIF($AH$1:AH766,AH766)</f>
        <v>95</v>
      </c>
    </row>
    <row r="767" spans="1:35">
      <c r="A767" t="s">
        <v>56</v>
      </c>
      <c r="B767" t="s">
        <v>57</v>
      </c>
      <c r="C767" t="s">
        <v>761</v>
      </c>
      <c r="D767" t="s">
        <v>609</v>
      </c>
      <c r="E767">
        <v>1</v>
      </c>
      <c r="G767" t="s">
        <v>665</v>
      </c>
      <c r="I767" t="s">
        <v>61</v>
      </c>
      <c r="Z767" t="str">
        <f>IFERROR(MID(AA767,FIND("-",H767,1)+1,20),_xlfn.IFNA(VLOOKUP(F767&amp;"-"&amp;AA767,Ref_Kontak!$A:$E,4,FALSE),Ref_Kontak!$H$2))</f>
        <v>628999007703</v>
      </c>
      <c r="AA767" t="str">
        <f t="shared" si="66"/>
        <v/>
      </c>
      <c r="AB767" t="str">
        <f t="shared" si="67"/>
        <v/>
      </c>
      <c r="AC767" t="str">
        <f t="shared" si="68"/>
        <v>628999007703</v>
      </c>
      <c r="AD767" t="str">
        <f t="shared" si="70"/>
        <v>Halo+,+Visual+AI+5S+menditeksi+Violation%3A+METALDET1-LINE+6</v>
      </c>
      <c r="AE767" t="str">
        <f t="shared" si="69"/>
        <v>https://web.whatsapp.com/send/?phone=628999007703&amp;text=Halo+,+Visual+AI+5S+menditeksi+Violation%3A+METALDET1-LINE+6&amp;type=phone_number&amp;app_absent=0</v>
      </c>
      <c r="AF767" t="b">
        <f>IF(ISNA(VLOOKUP(D767&amp;"-"&amp;AB767, Ref_Kontak!$A:$E, 4, FALSE)), FALSE, TRUE)</f>
        <v>0</v>
      </c>
      <c r="AG767" t="str">
        <f>_xlfn.IFNA(VLOOKUP(Z767,Ref_Kontak!H:H,1,FALSE),"FALSE")</f>
        <v>628999007703</v>
      </c>
      <c r="AH767" t="str">
        <f t="shared" si="71"/>
        <v>METALDET1-LINE 6</v>
      </c>
      <c r="AI767">
        <f>COUNTIF($AH$1:AH767,AH767)</f>
        <v>96</v>
      </c>
    </row>
    <row r="768" spans="1:35">
      <c r="A768" t="s">
        <v>56</v>
      </c>
      <c r="B768" t="s">
        <v>57</v>
      </c>
      <c r="C768" t="s">
        <v>762</v>
      </c>
      <c r="D768" t="s">
        <v>609</v>
      </c>
      <c r="E768">
        <v>1</v>
      </c>
      <c r="G768" t="s">
        <v>665</v>
      </c>
      <c r="I768" t="s">
        <v>61</v>
      </c>
      <c r="Z768" t="str">
        <f>IFERROR(MID(AA768,FIND("-",H768,1)+1,20),_xlfn.IFNA(VLOOKUP(F768&amp;"-"&amp;AA768,Ref_Kontak!$A:$E,4,FALSE),Ref_Kontak!$H$2))</f>
        <v>628999007703</v>
      </c>
      <c r="AA768" t="str">
        <f t="shared" si="66"/>
        <v/>
      </c>
      <c r="AB768" t="str">
        <f t="shared" si="67"/>
        <v/>
      </c>
      <c r="AC768" t="str">
        <f t="shared" si="68"/>
        <v>628999007703</v>
      </c>
      <c r="AD768" t="str">
        <f t="shared" si="70"/>
        <v>Halo+,+Visual+AI+5S+menditeksi+Violation%3A+METALDET1-LINE+6</v>
      </c>
      <c r="AE768" t="str">
        <f t="shared" si="69"/>
        <v>https://web.whatsapp.com/send/?phone=628999007703&amp;text=Halo+,+Visual+AI+5S+menditeksi+Violation%3A+METALDET1-LINE+6&amp;type=phone_number&amp;app_absent=0</v>
      </c>
      <c r="AF768" t="b">
        <f>IF(ISNA(VLOOKUP(D768&amp;"-"&amp;AB768, Ref_Kontak!$A:$E, 4, FALSE)), FALSE, TRUE)</f>
        <v>0</v>
      </c>
      <c r="AG768" t="str">
        <f>_xlfn.IFNA(VLOOKUP(Z768,Ref_Kontak!H:H,1,FALSE),"FALSE")</f>
        <v>628999007703</v>
      </c>
      <c r="AH768" t="str">
        <f t="shared" si="71"/>
        <v>METALDET1-LINE 6</v>
      </c>
      <c r="AI768">
        <f>COUNTIF($AH$1:AH768,AH768)</f>
        <v>97</v>
      </c>
    </row>
    <row r="769" spans="1:35">
      <c r="A769" t="s">
        <v>56</v>
      </c>
      <c r="B769" t="s">
        <v>57</v>
      </c>
      <c r="C769" t="s">
        <v>763</v>
      </c>
      <c r="D769" t="s">
        <v>609</v>
      </c>
      <c r="E769">
        <v>1</v>
      </c>
      <c r="G769" t="s">
        <v>665</v>
      </c>
      <c r="I769" t="s">
        <v>61</v>
      </c>
      <c r="Z769" t="str">
        <f>IFERROR(MID(AA769,FIND("-",H769,1)+1,20),_xlfn.IFNA(VLOOKUP(F769&amp;"-"&amp;AA769,Ref_Kontak!$A:$E,4,FALSE),Ref_Kontak!$H$2))</f>
        <v>628999007703</v>
      </c>
      <c r="AA769" t="str">
        <f t="shared" si="66"/>
        <v/>
      </c>
      <c r="AB769" t="str">
        <f t="shared" si="67"/>
        <v/>
      </c>
      <c r="AC769" t="str">
        <f t="shared" si="68"/>
        <v>628999007703</v>
      </c>
      <c r="AD769" t="str">
        <f t="shared" si="70"/>
        <v>Halo+,+Visual+AI+5S+menditeksi+Violation%3A+METALDET1-LINE+6</v>
      </c>
      <c r="AE769" t="str">
        <f t="shared" si="69"/>
        <v>https://web.whatsapp.com/send/?phone=628999007703&amp;text=Halo+,+Visual+AI+5S+menditeksi+Violation%3A+METALDET1-LINE+6&amp;type=phone_number&amp;app_absent=0</v>
      </c>
      <c r="AF769" t="b">
        <f>IF(ISNA(VLOOKUP(D769&amp;"-"&amp;AB769, Ref_Kontak!$A:$E, 4, FALSE)), FALSE, TRUE)</f>
        <v>0</v>
      </c>
      <c r="AG769" t="str">
        <f>_xlfn.IFNA(VLOOKUP(Z769,Ref_Kontak!H:H,1,FALSE),"FALSE")</f>
        <v>628999007703</v>
      </c>
      <c r="AH769" t="str">
        <f t="shared" si="71"/>
        <v>METALDET1-LINE 6</v>
      </c>
      <c r="AI769">
        <f>COUNTIF($AH$1:AH769,AH769)</f>
        <v>98</v>
      </c>
    </row>
    <row r="770" spans="1:35">
      <c r="A770" t="s">
        <v>56</v>
      </c>
      <c r="B770" t="s">
        <v>57</v>
      </c>
      <c r="C770" t="s">
        <v>764</v>
      </c>
      <c r="D770" t="s">
        <v>609</v>
      </c>
      <c r="E770">
        <v>1</v>
      </c>
      <c r="G770" t="s">
        <v>665</v>
      </c>
      <c r="I770" t="s">
        <v>61</v>
      </c>
      <c r="Z770" t="str">
        <f>IFERROR(MID(AA770,FIND("-",H770,1)+1,20),_xlfn.IFNA(VLOOKUP(F770&amp;"-"&amp;AA770,Ref_Kontak!$A:$E,4,FALSE),Ref_Kontak!$H$2))</f>
        <v>628999007703</v>
      </c>
      <c r="AA770" t="str">
        <f t="shared" ref="AA770:AA833" si="72">CLEAN(SUBSTITUTE(H770," ",""))</f>
        <v/>
      </c>
      <c r="AB770" t="str">
        <f t="shared" ref="AB770:AB833" si="73">IFERROR(LEFT(AA770,FIND("-",H770,1)-1),CLEAN(SUBSTITUTE(SUBSTITUTE(H770," ",""),"-","")))</f>
        <v/>
      </c>
      <c r="AC770" t="str">
        <f t="shared" ref="AC770:AC833" si="74">IF(LEFT(Z770,1)="0","62"&amp; MID(Z770,2,999),Z770)</f>
        <v>628999007703</v>
      </c>
      <c r="AD770" t="str">
        <f t="shared" si="70"/>
        <v>Halo+,+Visual+AI+5S+menditeksi+Violation%3A+METALDET1-LINE+6</v>
      </c>
      <c r="AE770" t="str">
        <f t="shared" ref="AE770:AE833" si="75">"https://web.whatsapp.com/send/?phone="&amp;AC770&amp;"&amp;text="&amp;AD770&amp;"&amp;type=phone_number&amp;app_absent=0"</f>
        <v>https://web.whatsapp.com/send/?phone=628999007703&amp;text=Halo+,+Visual+AI+5S+menditeksi+Violation%3A+METALDET1-LINE+6&amp;type=phone_number&amp;app_absent=0</v>
      </c>
      <c r="AF770" t="b">
        <f>IF(ISNA(VLOOKUP(D770&amp;"-"&amp;AB770, Ref_Kontak!$A:$E, 4, FALSE)), FALSE, TRUE)</f>
        <v>0</v>
      </c>
      <c r="AG770" t="str">
        <f>_xlfn.IFNA(VLOOKUP(Z770,Ref_Kontak!H:H,1,FALSE),"FALSE")</f>
        <v>628999007703</v>
      </c>
      <c r="AH770" t="str">
        <f t="shared" si="71"/>
        <v>METALDET1-LINE 6</v>
      </c>
      <c r="AI770">
        <f>COUNTIF($AH$1:AH770,AH770)</f>
        <v>99</v>
      </c>
    </row>
    <row r="771" spans="1:35">
      <c r="A771" t="s">
        <v>56</v>
      </c>
      <c r="B771" t="s">
        <v>57</v>
      </c>
      <c r="C771" t="s">
        <v>765</v>
      </c>
      <c r="D771" t="s">
        <v>609</v>
      </c>
      <c r="E771">
        <v>1</v>
      </c>
      <c r="G771" t="s">
        <v>665</v>
      </c>
      <c r="I771" t="s">
        <v>61</v>
      </c>
      <c r="Z771" t="str">
        <f>IFERROR(MID(AA771,FIND("-",H771,1)+1,20),_xlfn.IFNA(VLOOKUP(F771&amp;"-"&amp;AA771,Ref_Kontak!$A:$E,4,FALSE),Ref_Kontak!$H$2))</f>
        <v>628999007703</v>
      </c>
      <c r="AA771" t="str">
        <f t="shared" si="72"/>
        <v/>
      </c>
      <c r="AB771" t="str">
        <f t="shared" si="73"/>
        <v/>
      </c>
      <c r="AC771" t="str">
        <f t="shared" si="74"/>
        <v>628999007703</v>
      </c>
      <c r="AD771" t="str">
        <f t="shared" ref="AD771:AD834" si="76">"Halo+"&amp;AB771&amp;","&amp;"+Visual+AI+5S+menditeksi+Violation%3A+"&amp;SUBSTITUTE(AH771," ","+")</f>
        <v>Halo+,+Visual+AI+5S+menditeksi+Violation%3A+METALDET1-LINE+6</v>
      </c>
      <c r="AE771" t="str">
        <f t="shared" si="75"/>
        <v>https://web.whatsapp.com/send/?phone=628999007703&amp;text=Halo+,+Visual+AI+5S+menditeksi+Violation%3A+METALDET1-LINE+6&amp;type=phone_number&amp;app_absent=0</v>
      </c>
      <c r="AF771" t="b">
        <f>IF(ISNA(VLOOKUP(D771&amp;"-"&amp;AB771, Ref_Kontak!$A:$E, 4, FALSE)), FALSE, TRUE)</f>
        <v>0</v>
      </c>
      <c r="AG771" t="str">
        <f>_xlfn.IFNA(VLOOKUP(Z771,Ref_Kontak!H:H,1,FALSE),"FALSE")</f>
        <v>628999007703</v>
      </c>
      <c r="AH771" t="str">
        <f t="shared" ref="AH771:AH834" si="77">G771&amp;"-"&amp;D771</f>
        <v>METALDET1-LINE 6</v>
      </c>
      <c r="AI771">
        <f>COUNTIF($AH$1:AH771,AH771)</f>
        <v>100</v>
      </c>
    </row>
    <row r="772" spans="1:35">
      <c r="A772" t="s">
        <v>56</v>
      </c>
      <c r="B772" t="s">
        <v>57</v>
      </c>
      <c r="C772" t="s">
        <v>766</v>
      </c>
      <c r="D772" t="s">
        <v>609</v>
      </c>
      <c r="E772">
        <v>1</v>
      </c>
      <c r="G772" t="s">
        <v>665</v>
      </c>
      <c r="I772" t="s">
        <v>61</v>
      </c>
      <c r="Z772" t="str">
        <f>IFERROR(MID(AA772,FIND("-",H772,1)+1,20),_xlfn.IFNA(VLOOKUP(F772&amp;"-"&amp;AA772,Ref_Kontak!$A:$E,4,FALSE),Ref_Kontak!$H$2))</f>
        <v>628999007703</v>
      </c>
      <c r="AA772" t="str">
        <f t="shared" si="72"/>
        <v/>
      </c>
      <c r="AB772" t="str">
        <f t="shared" si="73"/>
        <v/>
      </c>
      <c r="AC772" t="str">
        <f t="shared" si="74"/>
        <v>628999007703</v>
      </c>
      <c r="AD772" t="str">
        <f t="shared" si="76"/>
        <v>Halo+,+Visual+AI+5S+menditeksi+Violation%3A+METALDET1-LINE+6</v>
      </c>
      <c r="AE772" t="str">
        <f t="shared" si="75"/>
        <v>https://web.whatsapp.com/send/?phone=628999007703&amp;text=Halo+,+Visual+AI+5S+menditeksi+Violation%3A+METALDET1-LINE+6&amp;type=phone_number&amp;app_absent=0</v>
      </c>
      <c r="AF772" t="b">
        <f>IF(ISNA(VLOOKUP(D772&amp;"-"&amp;AB772, Ref_Kontak!$A:$E, 4, FALSE)), FALSE, TRUE)</f>
        <v>0</v>
      </c>
      <c r="AG772" t="str">
        <f>_xlfn.IFNA(VLOOKUP(Z772,Ref_Kontak!H:H,1,FALSE),"FALSE")</f>
        <v>628999007703</v>
      </c>
      <c r="AH772" t="str">
        <f t="shared" si="77"/>
        <v>METALDET1-LINE 6</v>
      </c>
      <c r="AI772">
        <f>COUNTIF($AH$1:AH772,AH772)</f>
        <v>101</v>
      </c>
    </row>
    <row r="773" spans="1:35">
      <c r="A773" t="s">
        <v>56</v>
      </c>
      <c r="B773" t="s">
        <v>57</v>
      </c>
      <c r="C773" t="s">
        <v>767</v>
      </c>
      <c r="D773" t="s">
        <v>609</v>
      </c>
      <c r="E773">
        <v>1</v>
      </c>
      <c r="G773" t="s">
        <v>665</v>
      </c>
      <c r="I773" t="s">
        <v>61</v>
      </c>
      <c r="Z773" t="str">
        <f>IFERROR(MID(AA773,FIND("-",H773,1)+1,20),_xlfn.IFNA(VLOOKUP(F773&amp;"-"&amp;AA773,Ref_Kontak!$A:$E,4,FALSE),Ref_Kontak!$H$2))</f>
        <v>628999007703</v>
      </c>
      <c r="AA773" t="str">
        <f t="shared" si="72"/>
        <v/>
      </c>
      <c r="AB773" t="str">
        <f t="shared" si="73"/>
        <v/>
      </c>
      <c r="AC773" t="str">
        <f t="shared" si="74"/>
        <v>628999007703</v>
      </c>
      <c r="AD773" t="str">
        <f t="shared" si="76"/>
        <v>Halo+,+Visual+AI+5S+menditeksi+Violation%3A+METALDET1-LINE+6</v>
      </c>
      <c r="AE773" t="str">
        <f t="shared" si="75"/>
        <v>https://web.whatsapp.com/send/?phone=628999007703&amp;text=Halo+,+Visual+AI+5S+menditeksi+Violation%3A+METALDET1-LINE+6&amp;type=phone_number&amp;app_absent=0</v>
      </c>
      <c r="AF773" t="b">
        <f>IF(ISNA(VLOOKUP(D773&amp;"-"&amp;AB773, Ref_Kontak!$A:$E, 4, FALSE)), FALSE, TRUE)</f>
        <v>0</v>
      </c>
      <c r="AG773" t="str">
        <f>_xlfn.IFNA(VLOOKUP(Z773,Ref_Kontak!H:H,1,FALSE),"FALSE")</f>
        <v>628999007703</v>
      </c>
      <c r="AH773" t="str">
        <f t="shared" si="77"/>
        <v>METALDET1-LINE 6</v>
      </c>
      <c r="AI773">
        <f>COUNTIF($AH$1:AH773,AH773)</f>
        <v>102</v>
      </c>
    </row>
    <row r="774" spans="1:35">
      <c r="A774" t="s">
        <v>56</v>
      </c>
      <c r="B774" t="s">
        <v>57</v>
      </c>
      <c r="C774" t="s">
        <v>768</v>
      </c>
      <c r="D774" t="s">
        <v>609</v>
      </c>
      <c r="E774">
        <v>1</v>
      </c>
      <c r="G774" t="s">
        <v>665</v>
      </c>
      <c r="I774" t="s">
        <v>61</v>
      </c>
      <c r="Z774" t="str">
        <f>IFERROR(MID(AA774,FIND("-",H774,1)+1,20),_xlfn.IFNA(VLOOKUP(F774&amp;"-"&amp;AA774,Ref_Kontak!$A:$E,4,FALSE),Ref_Kontak!$H$2))</f>
        <v>628999007703</v>
      </c>
      <c r="AA774" t="str">
        <f t="shared" si="72"/>
        <v/>
      </c>
      <c r="AB774" t="str">
        <f t="shared" si="73"/>
        <v/>
      </c>
      <c r="AC774" t="str">
        <f t="shared" si="74"/>
        <v>628999007703</v>
      </c>
      <c r="AD774" t="str">
        <f t="shared" si="76"/>
        <v>Halo+,+Visual+AI+5S+menditeksi+Violation%3A+METALDET1-LINE+6</v>
      </c>
      <c r="AE774" t="str">
        <f t="shared" si="75"/>
        <v>https://web.whatsapp.com/send/?phone=628999007703&amp;text=Halo+,+Visual+AI+5S+menditeksi+Violation%3A+METALDET1-LINE+6&amp;type=phone_number&amp;app_absent=0</v>
      </c>
      <c r="AF774" t="b">
        <f>IF(ISNA(VLOOKUP(D774&amp;"-"&amp;AB774, Ref_Kontak!$A:$E, 4, FALSE)), FALSE, TRUE)</f>
        <v>0</v>
      </c>
      <c r="AG774" t="str">
        <f>_xlfn.IFNA(VLOOKUP(Z774,Ref_Kontak!H:H,1,FALSE),"FALSE")</f>
        <v>628999007703</v>
      </c>
      <c r="AH774" t="str">
        <f t="shared" si="77"/>
        <v>METALDET1-LINE 6</v>
      </c>
      <c r="AI774">
        <f>COUNTIF($AH$1:AH774,AH774)</f>
        <v>103</v>
      </c>
    </row>
    <row r="775" spans="1:35">
      <c r="A775" t="s">
        <v>56</v>
      </c>
      <c r="B775" t="s">
        <v>57</v>
      </c>
      <c r="C775" t="s">
        <v>769</v>
      </c>
      <c r="D775" t="s">
        <v>609</v>
      </c>
      <c r="E775">
        <v>1</v>
      </c>
      <c r="G775" t="s">
        <v>665</v>
      </c>
      <c r="I775" t="s">
        <v>61</v>
      </c>
      <c r="Z775" t="str">
        <f>IFERROR(MID(AA775,FIND("-",H775,1)+1,20),_xlfn.IFNA(VLOOKUP(F775&amp;"-"&amp;AA775,Ref_Kontak!$A:$E,4,FALSE),Ref_Kontak!$H$2))</f>
        <v>628999007703</v>
      </c>
      <c r="AA775" t="str">
        <f t="shared" si="72"/>
        <v/>
      </c>
      <c r="AB775" t="str">
        <f t="shared" si="73"/>
        <v/>
      </c>
      <c r="AC775" t="str">
        <f t="shared" si="74"/>
        <v>628999007703</v>
      </c>
      <c r="AD775" t="str">
        <f t="shared" si="76"/>
        <v>Halo+,+Visual+AI+5S+menditeksi+Violation%3A+METALDET1-LINE+6</v>
      </c>
      <c r="AE775" t="str">
        <f t="shared" si="75"/>
        <v>https://web.whatsapp.com/send/?phone=628999007703&amp;text=Halo+,+Visual+AI+5S+menditeksi+Violation%3A+METALDET1-LINE+6&amp;type=phone_number&amp;app_absent=0</v>
      </c>
      <c r="AF775" t="b">
        <f>IF(ISNA(VLOOKUP(D775&amp;"-"&amp;AB775, Ref_Kontak!$A:$E, 4, FALSE)), FALSE, TRUE)</f>
        <v>0</v>
      </c>
      <c r="AG775" t="str">
        <f>_xlfn.IFNA(VLOOKUP(Z775,Ref_Kontak!H:H,1,FALSE),"FALSE")</f>
        <v>628999007703</v>
      </c>
      <c r="AH775" t="str">
        <f t="shared" si="77"/>
        <v>METALDET1-LINE 6</v>
      </c>
      <c r="AI775">
        <f>COUNTIF($AH$1:AH775,AH775)</f>
        <v>104</v>
      </c>
    </row>
    <row r="776" spans="1:35">
      <c r="A776" t="s">
        <v>56</v>
      </c>
      <c r="B776" t="s">
        <v>57</v>
      </c>
      <c r="C776" t="s">
        <v>770</v>
      </c>
      <c r="D776" t="s">
        <v>609</v>
      </c>
      <c r="E776">
        <v>1</v>
      </c>
      <c r="G776" t="s">
        <v>665</v>
      </c>
      <c r="I776" t="s">
        <v>61</v>
      </c>
      <c r="Z776" t="str">
        <f>IFERROR(MID(AA776,FIND("-",H776,1)+1,20),_xlfn.IFNA(VLOOKUP(F776&amp;"-"&amp;AA776,Ref_Kontak!$A:$E,4,FALSE),Ref_Kontak!$H$2))</f>
        <v>628999007703</v>
      </c>
      <c r="AA776" t="str">
        <f t="shared" si="72"/>
        <v/>
      </c>
      <c r="AB776" t="str">
        <f t="shared" si="73"/>
        <v/>
      </c>
      <c r="AC776" t="str">
        <f t="shared" si="74"/>
        <v>628999007703</v>
      </c>
      <c r="AD776" t="str">
        <f t="shared" si="76"/>
        <v>Halo+,+Visual+AI+5S+menditeksi+Violation%3A+METALDET1-LINE+6</v>
      </c>
      <c r="AE776" t="str">
        <f t="shared" si="75"/>
        <v>https://web.whatsapp.com/send/?phone=628999007703&amp;text=Halo+,+Visual+AI+5S+menditeksi+Violation%3A+METALDET1-LINE+6&amp;type=phone_number&amp;app_absent=0</v>
      </c>
      <c r="AF776" t="b">
        <f>IF(ISNA(VLOOKUP(D776&amp;"-"&amp;AB776, Ref_Kontak!$A:$E, 4, FALSE)), FALSE, TRUE)</f>
        <v>0</v>
      </c>
      <c r="AG776" t="str">
        <f>_xlfn.IFNA(VLOOKUP(Z776,Ref_Kontak!H:H,1,FALSE),"FALSE")</f>
        <v>628999007703</v>
      </c>
      <c r="AH776" t="str">
        <f t="shared" si="77"/>
        <v>METALDET1-LINE 6</v>
      </c>
      <c r="AI776">
        <f>COUNTIF($AH$1:AH776,AH776)</f>
        <v>105</v>
      </c>
    </row>
    <row r="777" spans="1:35">
      <c r="A777" t="s">
        <v>56</v>
      </c>
      <c r="B777" t="s">
        <v>57</v>
      </c>
      <c r="C777" t="s">
        <v>771</v>
      </c>
      <c r="D777" t="s">
        <v>609</v>
      </c>
      <c r="E777">
        <v>1</v>
      </c>
      <c r="G777" t="s">
        <v>665</v>
      </c>
      <c r="I777" t="s">
        <v>61</v>
      </c>
      <c r="Z777" t="str">
        <f>IFERROR(MID(AA777,FIND("-",H777,1)+1,20),_xlfn.IFNA(VLOOKUP(F777&amp;"-"&amp;AA777,Ref_Kontak!$A:$E,4,FALSE),Ref_Kontak!$H$2))</f>
        <v>628999007703</v>
      </c>
      <c r="AA777" t="str">
        <f t="shared" si="72"/>
        <v/>
      </c>
      <c r="AB777" t="str">
        <f t="shared" si="73"/>
        <v/>
      </c>
      <c r="AC777" t="str">
        <f t="shared" si="74"/>
        <v>628999007703</v>
      </c>
      <c r="AD777" t="str">
        <f t="shared" si="76"/>
        <v>Halo+,+Visual+AI+5S+menditeksi+Violation%3A+METALDET1-LINE+6</v>
      </c>
      <c r="AE777" t="str">
        <f t="shared" si="75"/>
        <v>https://web.whatsapp.com/send/?phone=628999007703&amp;text=Halo+,+Visual+AI+5S+menditeksi+Violation%3A+METALDET1-LINE+6&amp;type=phone_number&amp;app_absent=0</v>
      </c>
      <c r="AF777" t="b">
        <f>IF(ISNA(VLOOKUP(D777&amp;"-"&amp;AB777, Ref_Kontak!$A:$E, 4, FALSE)), FALSE, TRUE)</f>
        <v>0</v>
      </c>
      <c r="AG777" t="str">
        <f>_xlfn.IFNA(VLOOKUP(Z777,Ref_Kontak!H:H,1,FALSE),"FALSE")</f>
        <v>628999007703</v>
      </c>
      <c r="AH777" t="str">
        <f t="shared" si="77"/>
        <v>METALDET1-LINE 6</v>
      </c>
      <c r="AI777">
        <f>COUNTIF($AH$1:AH777,AH777)</f>
        <v>106</v>
      </c>
    </row>
    <row r="778" spans="1:35">
      <c r="A778" t="s">
        <v>56</v>
      </c>
      <c r="B778" t="s">
        <v>57</v>
      </c>
      <c r="C778" t="s">
        <v>772</v>
      </c>
      <c r="D778" t="s">
        <v>609</v>
      </c>
      <c r="E778">
        <v>1</v>
      </c>
      <c r="G778" t="s">
        <v>665</v>
      </c>
      <c r="I778" t="s">
        <v>61</v>
      </c>
      <c r="Z778" t="str">
        <f>IFERROR(MID(AA778,FIND("-",H778,1)+1,20),_xlfn.IFNA(VLOOKUP(F778&amp;"-"&amp;AA778,Ref_Kontak!$A:$E,4,FALSE),Ref_Kontak!$H$2))</f>
        <v>628999007703</v>
      </c>
      <c r="AA778" t="str">
        <f t="shared" si="72"/>
        <v/>
      </c>
      <c r="AB778" t="str">
        <f t="shared" si="73"/>
        <v/>
      </c>
      <c r="AC778" t="str">
        <f t="shared" si="74"/>
        <v>628999007703</v>
      </c>
      <c r="AD778" t="str">
        <f t="shared" si="76"/>
        <v>Halo+,+Visual+AI+5S+menditeksi+Violation%3A+METALDET1-LINE+6</v>
      </c>
      <c r="AE778" t="str">
        <f t="shared" si="75"/>
        <v>https://web.whatsapp.com/send/?phone=628999007703&amp;text=Halo+,+Visual+AI+5S+menditeksi+Violation%3A+METALDET1-LINE+6&amp;type=phone_number&amp;app_absent=0</v>
      </c>
      <c r="AF778" t="b">
        <f>IF(ISNA(VLOOKUP(D778&amp;"-"&amp;AB778, Ref_Kontak!$A:$E, 4, FALSE)), FALSE, TRUE)</f>
        <v>0</v>
      </c>
      <c r="AG778" t="str">
        <f>_xlfn.IFNA(VLOOKUP(Z778,Ref_Kontak!H:H,1,FALSE),"FALSE")</f>
        <v>628999007703</v>
      </c>
      <c r="AH778" t="str">
        <f t="shared" si="77"/>
        <v>METALDET1-LINE 6</v>
      </c>
      <c r="AI778">
        <f>COUNTIF($AH$1:AH778,AH778)</f>
        <v>107</v>
      </c>
    </row>
    <row r="779" spans="1:35">
      <c r="A779" t="s">
        <v>56</v>
      </c>
      <c r="B779" t="s">
        <v>57</v>
      </c>
      <c r="C779" t="s">
        <v>773</v>
      </c>
      <c r="D779" t="s">
        <v>609</v>
      </c>
      <c r="E779">
        <v>1</v>
      </c>
      <c r="G779" t="s">
        <v>665</v>
      </c>
      <c r="I779" t="s">
        <v>61</v>
      </c>
      <c r="Z779" t="str">
        <f>IFERROR(MID(AA779,FIND("-",H779,1)+1,20),_xlfn.IFNA(VLOOKUP(F779&amp;"-"&amp;AA779,Ref_Kontak!$A:$E,4,FALSE),Ref_Kontak!$H$2))</f>
        <v>628999007703</v>
      </c>
      <c r="AA779" t="str">
        <f t="shared" si="72"/>
        <v/>
      </c>
      <c r="AB779" t="str">
        <f t="shared" si="73"/>
        <v/>
      </c>
      <c r="AC779" t="str">
        <f t="shared" si="74"/>
        <v>628999007703</v>
      </c>
      <c r="AD779" t="str">
        <f t="shared" si="76"/>
        <v>Halo+,+Visual+AI+5S+menditeksi+Violation%3A+METALDET1-LINE+6</v>
      </c>
      <c r="AE779" t="str">
        <f t="shared" si="75"/>
        <v>https://web.whatsapp.com/send/?phone=628999007703&amp;text=Halo+,+Visual+AI+5S+menditeksi+Violation%3A+METALDET1-LINE+6&amp;type=phone_number&amp;app_absent=0</v>
      </c>
      <c r="AF779" t="b">
        <f>IF(ISNA(VLOOKUP(D779&amp;"-"&amp;AB779, Ref_Kontak!$A:$E, 4, FALSE)), FALSE, TRUE)</f>
        <v>0</v>
      </c>
      <c r="AG779" t="str">
        <f>_xlfn.IFNA(VLOOKUP(Z779,Ref_Kontak!H:H,1,FALSE),"FALSE")</f>
        <v>628999007703</v>
      </c>
      <c r="AH779" t="str">
        <f t="shared" si="77"/>
        <v>METALDET1-LINE 6</v>
      </c>
      <c r="AI779">
        <f>COUNTIF($AH$1:AH779,AH779)</f>
        <v>108</v>
      </c>
    </row>
    <row r="780" spans="1:35">
      <c r="A780" t="s">
        <v>56</v>
      </c>
      <c r="B780" t="s">
        <v>57</v>
      </c>
      <c r="C780" t="s">
        <v>774</v>
      </c>
      <c r="D780" t="s">
        <v>609</v>
      </c>
      <c r="E780">
        <v>1</v>
      </c>
      <c r="G780" t="s">
        <v>665</v>
      </c>
      <c r="I780" t="s">
        <v>61</v>
      </c>
      <c r="Z780" t="str">
        <f>IFERROR(MID(AA780,FIND("-",H780,1)+1,20),_xlfn.IFNA(VLOOKUP(F780&amp;"-"&amp;AA780,Ref_Kontak!$A:$E,4,FALSE),Ref_Kontak!$H$2))</f>
        <v>628999007703</v>
      </c>
      <c r="AA780" t="str">
        <f t="shared" si="72"/>
        <v/>
      </c>
      <c r="AB780" t="str">
        <f t="shared" si="73"/>
        <v/>
      </c>
      <c r="AC780" t="str">
        <f t="shared" si="74"/>
        <v>628999007703</v>
      </c>
      <c r="AD780" t="str">
        <f t="shared" si="76"/>
        <v>Halo+,+Visual+AI+5S+menditeksi+Violation%3A+METALDET1-LINE+6</v>
      </c>
      <c r="AE780" t="str">
        <f t="shared" si="75"/>
        <v>https://web.whatsapp.com/send/?phone=628999007703&amp;text=Halo+,+Visual+AI+5S+menditeksi+Violation%3A+METALDET1-LINE+6&amp;type=phone_number&amp;app_absent=0</v>
      </c>
      <c r="AF780" t="b">
        <f>IF(ISNA(VLOOKUP(D780&amp;"-"&amp;AB780, Ref_Kontak!$A:$E, 4, FALSE)), FALSE, TRUE)</f>
        <v>0</v>
      </c>
      <c r="AG780" t="str">
        <f>_xlfn.IFNA(VLOOKUP(Z780,Ref_Kontak!H:H,1,FALSE),"FALSE")</f>
        <v>628999007703</v>
      </c>
      <c r="AH780" t="str">
        <f t="shared" si="77"/>
        <v>METALDET1-LINE 6</v>
      </c>
      <c r="AI780">
        <f>COUNTIF($AH$1:AH780,AH780)</f>
        <v>109</v>
      </c>
    </row>
    <row r="781" spans="1:35">
      <c r="A781" t="s">
        <v>56</v>
      </c>
      <c r="B781" t="s">
        <v>57</v>
      </c>
      <c r="C781" t="s">
        <v>775</v>
      </c>
      <c r="D781" t="s">
        <v>609</v>
      </c>
      <c r="E781">
        <v>1</v>
      </c>
      <c r="G781" t="s">
        <v>665</v>
      </c>
      <c r="I781" t="s">
        <v>61</v>
      </c>
      <c r="Z781" t="str">
        <f>IFERROR(MID(AA781,FIND("-",H781,1)+1,20),_xlfn.IFNA(VLOOKUP(F781&amp;"-"&amp;AA781,Ref_Kontak!$A:$E,4,FALSE),Ref_Kontak!$H$2))</f>
        <v>628999007703</v>
      </c>
      <c r="AA781" t="str">
        <f t="shared" si="72"/>
        <v/>
      </c>
      <c r="AB781" t="str">
        <f t="shared" si="73"/>
        <v/>
      </c>
      <c r="AC781" t="str">
        <f t="shared" si="74"/>
        <v>628999007703</v>
      </c>
      <c r="AD781" t="str">
        <f t="shared" si="76"/>
        <v>Halo+,+Visual+AI+5S+menditeksi+Violation%3A+METALDET1-LINE+6</v>
      </c>
      <c r="AE781" t="str">
        <f t="shared" si="75"/>
        <v>https://web.whatsapp.com/send/?phone=628999007703&amp;text=Halo+,+Visual+AI+5S+menditeksi+Violation%3A+METALDET1-LINE+6&amp;type=phone_number&amp;app_absent=0</v>
      </c>
      <c r="AF781" t="b">
        <f>IF(ISNA(VLOOKUP(D781&amp;"-"&amp;AB781, Ref_Kontak!$A:$E, 4, FALSE)), FALSE, TRUE)</f>
        <v>0</v>
      </c>
      <c r="AG781" t="str">
        <f>_xlfn.IFNA(VLOOKUP(Z781,Ref_Kontak!H:H,1,FALSE),"FALSE")</f>
        <v>628999007703</v>
      </c>
      <c r="AH781" t="str">
        <f t="shared" si="77"/>
        <v>METALDET1-LINE 6</v>
      </c>
      <c r="AI781">
        <f>COUNTIF($AH$1:AH781,AH781)</f>
        <v>110</v>
      </c>
    </row>
    <row r="782" spans="1:35">
      <c r="A782" t="s">
        <v>56</v>
      </c>
      <c r="B782" t="s">
        <v>57</v>
      </c>
      <c r="C782" t="s">
        <v>776</v>
      </c>
      <c r="D782" t="s">
        <v>609</v>
      </c>
      <c r="E782">
        <v>1</v>
      </c>
      <c r="G782" t="s">
        <v>665</v>
      </c>
      <c r="I782" t="s">
        <v>61</v>
      </c>
      <c r="Z782" t="str">
        <f>IFERROR(MID(AA782,FIND("-",H782,1)+1,20),_xlfn.IFNA(VLOOKUP(F782&amp;"-"&amp;AA782,Ref_Kontak!$A:$E,4,FALSE),Ref_Kontak!$H$2))</f>
        <v>628999007703</v>
      </c>
      <c r="AA782" t="str">
        <f t="shared" si="72"/>
        <v/>
      </c>
      <c r="AB782" t="str">
        <f t="shared" si="73"/>
        <v/>
      </c>
      <c r="AC782" t="str">
        <f t="shared" si="74"/>
        <v>628999007703</v>
      </c>
      <c r="AD782" t="str">
        <f t="shared" si="76"/>
        <v>Halo+,+Visual+AI+5S+menditeksi+Violation%3A+METALDET1-LINE+6</v>
      </c>
      <c r="AE782" t="str">
        <f t="shared" si="75"/>
        <v>https://web.whatsapp.com/send/?phone=628999007703&amp;text=Halo+,+Visual+AI+5S+menditeksi+Violation%3A+METALDET1-LINE+6&amp;type=phone_number&amp;app_absent=0</v>
      </c>
      <c r="AF782" t="b">
        <f>IF(ISNA(VLOOKUP(D782&amp;"-"&amp;AB782, Ref_Kontak!$A:$E, 4, FALSE)), FALSE, TRUE)</f>
        <v>0</v>
      </c>
      <c r="AG782" t="str">
        <f>_xlfn.IFNA(VLOOKUP(Z782,Ref_Kontak!H:H,1,FALSE),"FALSE")</f>
        <v>628999007703</v>
      </c>
      <c r="AH782" t="str">
        <f t="shared" si="77"/>
        <v>METALDET1-LINE 6</v>
      </c>
      <c r="AI782">
        <f>COUNTIF($AH$1:AH782,AH782)</f>
        <v>111</v>
      </c>
    </row>
    <row r="783" spans="1:35">
      <c r="A783" t="s">
        <v>56</v>
      </c>
      <c r="B783" t="s">
        <v>57</v>
      </c>
      <c r="C783" t="s">
        <v>777</v>
      </c>
      <c r="D783" t="s">
        <v>609</v>
      </c>
      <c r="E783">
        <v>1</v>
      </c>
      <c r="G783" t="s">
        <v>665</v>
      </c>
      <c r="I783" t="s">
        <v>61</v>
      </c>
      <c r="Z783" t="str">
        <f>IFERROR(MID(AA783,FIND("-",H783,1)+1,20),_xlfn.IFNA(VLOOKUP(F783&amp;"-"&amp;AA783,Ref_Kontak!$A:$E,4,FALSE),Ref_Kontak!$H$2))</f>
        <v>628999007703</v>
      </c>
      <c r="AA783" t="str">
        <f t="shared" si="72"/>
        <v/>
      </c>
      <c r="AB783" t="str">
        <f t="shared" si="73"/>
        <v/>
      </c>
      <c r="AC783" t="str">
        <f t="shared" si="74"/>
        <v>628999007703</v>
      </c>
      <c r="AD783" t="str">
        <f t="shared" si="76"/>
        <v>Halo+,+Visual+AI+5S+menditeksi+Violation%3A+METALDET1-LINE+6</v>
      </c>
      <c r="AE783" t="str">
        <f t="shared" si="75"/>
        <v>https://web.whatsapp.com/send/?phone=628999007703&amp;text=Halo+,+Visual+AI+5S+menditeksi+Violation%3A+METALDET1-LINE+6&amp;type=phone_number&amp;app_absent=0</v>
      </c>
      <c r="AF783" t="b">
        <f>IF(ISNA(VLOOKUP(D783&amp;"-"&amp;AB783, Ref_Kontak!$A:$E, 4, FALSE)), FALSE, TRUE)</f>
        <v>0</v>
      </c>
      <c r="AG783" t="str">
        <f>_xlfn.IFNA(VLOOKUP(Z783,Ref_Kontak!H:H,1,FALSE),"FALSE")</f>
        <v>628999007703</v>
      </c>
      <c r="AH783" t="str">
        <f t="shared" si="77"/>
        <v>METALDET1-LINE 6</v>
      </c>
      <c r="AI783">
        <f>COUNTIF($AH$1:AH783,AH783)</f>
        <v>112</v>
      </c>
    </row>
    <row r="784" spans="1:35">
      <c r="A784" t="s">
        <v>56</v>
      </c>
      <c r="B784" t="s">
        <v>57</v>
      </c>
      <c r="C784" t="s">
        <v>778</v>
      </c>
      <c r="D784" t="s">
        <v>609</v>
      </c>
      <c r="E784">
        <v>1</v>
      </c>
      <c r="G784" t="s">
        <v>665</v>
      </c>
      <c r="I784" t="s">
        <v>61</v>
      </c>
      <c r="Z784" t="str">
        <f>IFERROR(MID(AA784,FIND("-",H784,1)+1,20),_xlfn.IFNA(VLOOKUP(F784&amp;"-"&amp;AA784,Ref_Kontak!$A:$E,4,FALSE),Ref_Kontak!$H$2))</f>
        <v>628999007703</v>
      </c>
      <c r="AA784" t="str">
        <f t="shared" si="72"/>
        <v/>
      </c>
      <c r="AB784" t="str">
        <f t="shared" si="73"/>
        <v/>
      </c>
      <c r="AC784" t="str">
        <f t="shared" si="74"/>
        <v>628999007703</v>
      </c>
      <c r="AD784" t="str">
        <f t="shared" si="76"/>
        <v>Halo+,+Visual+AI+5S+menditeksi+Violation%3A+METALDET1-LINE+6</v>
      </c>
      <c r="AE784" t="str">
        <f t="shared" si="75"/>
        <v>https://web.whatsapp.com/send/?phone=628999007703&amp;text=Halo+,+Visual+AI+5S+menditeksi+Violation%3A+METALDET1-LINE+6&amp;type=phone_number&amp;app_absent=0</v>
      </c>
      <c r="AF784" t="b">
        <f>IF(ISNA(VLOOKUP(D784&amp;"-"&amp;AB784, Ref_Kontak!$A:$E, 4, FALSE)), FALSE, TRUE)</f>
        <v>0</v>
      </c>
      <c r="AG784" t="str">
        <f>_xlfn.IFNA(VLOOKUP(Z784,Ref_Kontak!H:H,1,FALSE),"FALSE")</f>
        <v>628999007703</v>
      </c>
      <c r="AH784" t="str">
        <f t="shared" si="77"/>
        <v>METALDET1-LINE 6</v>
      </c>
      <c r="AI784">
        <f>COUNTIF($AH$1:AH784,AH784)</f>
        <v>113</v>
      </c>
    </row>
    <row r="785" spans="1:35">
      <c r="A785" t="s">
        <v>56</v>
      </c>
      <c r="B785" t="s">
        <v>57</v>
      </c>
      <c r="C785" t="s">
        <v>779</v>
      </c>
      <c r="D785" t="s">
        <v>609</v>
      </c>
      <c r="E785">
        <v>1</v>
      </c>
      <c r="G785" t="s">
        <v>665</v>
      </c>
      <c r="I785" t="s">
        <v>61</v>
      </c>
      <c r="Z785" t="str">
        <f>IFERROR(MID(AA785,FIND("-",H785,1)+1,20),_xlfn.IFNA(VLOOKUP(F785&amp;"-"&amp;AA785,Ref_Kontak!$A:$E,4,FALSE),Ref_Kontak!$H$2))</f>
        <v>628999007703</v>
      </c>
      <c r="AA785" t="str">
        <f t="shared" si="72"/>
        <v/>
      </c>
      <c r="AB785" t="str">
        <f t="shared" si="73"/>
        <v/>
      </c>
      <c r="AC785" t="str">
        <f t="shared" si="74"/>
        <v>628999007703</v>
      </c>
      <c r="AD785" t="str">
        <f t="shared" si="76"/>
        <v>Halo+,+Visual+AI+5S+menditeksi+Violation%3A+METALDET1-LINE+6</v>
      </c>
      <c r="AE785" t="str">
        <f t="shared" si="75"/>
        <v>https://web.whatsapp.com/send/?phone=628999007703&amp;text=Halo+,+Visual+AI+5S+menditeksi+Violation%3A+METALDET1-LINE+6&amp;type=phone_number&amp;app_absent=0</v>
      </c>
      <c r="AF785" t="b">
        <f>IF(ISNA(VLOOKUP(D785&amp;"-"&amp;AB785, Ref_Kontak!$A:$E, 4, FALSE)), FALSE, TRUE)</f>
        <v>0</v>
      </c>
      <c r="AG785" t="str">
        <f>_xlfn.IFNA(VLOOKUP(Z785,Ref_Kontak!H:H,1,FALSE),"FALSE")</f>
        <v>628999007703</v>
      </c>
      <c r="AH785" t="str">
        <f t="shared" si="77"/>
        <v>METALDET1-LINE 6</v>
      </c>
      <c r="AI785">
        <f>COUNTIF($AH$1:AH785,AH785)</f>
        <v>114</v>
      </c>
    </row>
    <row r="786" spans="1:35">
      <c r="A786" t="s">
        <v>56</v>
      </c>
      <c r="B786" t="s">
        <v>57</v>
      </c>
      <c r="C786" t="s">
        <v>780</v>
      </c>
      <c r="D786" t="s">
        <v>609</v>
      </c>
      <c r="E786">
        <v>1</v>
      </c>
      <c r="G786" t="s">
        <v>665</v>
      </c>
      <c r="I786" t="s">
        <v>61</v>
      </c>
      <c r="Z786" t="str">
        <f>IFERROR(MID(AA786,FIND("-",H786,1)+1,20),_xlfn.IFNA(VLOOKUP(F786&amp;"-"&amp;AA786,Ref_Kontak!$A:$E,4,FALSE),Ref_Kontak!$H$2))</f>
        <v>628999007703</v>
      </c>
      <c r="AA786" t="str">
        <f t="shared" si="72"/>
        <v/>
      </c>
      <c r="AB786" t="str">
        <f t="shared" si="73"/>
        <v/>
      </c>
      <c r="AC786" t="str">
        <f t="shared" si="74"/>
        <v>628999007703</v>
      </c>
      <c r="AD786" t="str">
        <f t="shared" si="76"/>
        <v>Halo+,+Visual+AI+5S+menditeksi+Violation%3A+METALDET1-LINE+6</v>
      </c>
      <c r="AE786" t="str">
        <f t="shared" si="75"/>
        <v>https://web.whatsapp.com/send/?phone=628999007703&amp;text=Halo+,+Visual+AI+5S+menditeksi+Violation%3A+METALDET1-LINE+6&amp;type=phone_number&amp;app_absent=0</v>
      </c>
      <c r="AF786" t="b">
        <f>IF(ISNA(VLOOKUP(D786&amp;"-"&amp;AB786, Ref_Kontak!$A:$E, 4, FALSE)), FALSE, TRUE)</f>
        <v>0</v>
      </c>
      <c r="AG786" t="str">
        <f>_xlfn.IFNA(VLOOKUP(Z786,Ref_Kontak!H:H,1,FALSE),"FALSE")</f>
        <v>628999007703</v>
      </c>
      <c r="AH786" t="str">
        <f t="shared" si="77"/>
        <v>METALDET1-LINE 6</v>
      </c>
      <c r="AI786">
        <f>COUNTIF($AH$1:AH786,AH786)</f>
        <v>115</v>
      </c>
    </row>
    <row r="787" spans="1:35">
      <c r="A787" t="s">
        <v>56</v>
      </c>
      <c r="B787" t="s">
        <v>57</v>
      </c>
      <c r="C787" t="s">
        <v>781</v>
      </c>
      <c r="D787" t="s">
        <v>609</v>
      </c>
      <c r="E787">
        <v>1</v>
      </c>
      <c r="G787" t="s">
        <v>665</v>
      </c>
      <c r="I787" t="s">
        <v>61</v>
      </c>
      <c r="Z787" t="str">
        <f>IFERROR(MID(AA787,FIND("-",H787,1)+1,20),_xlfn.IFNA(VLOOKUP(F787&amp;"-"&amp;AA787,Ref_Kontak!$A:$E,4,FALSE),Ref_Kontak!$H$2))</f>
        <v>628999007703</v>
      </c>
      <c r="AA787" t="str">
        <f t="shared" si="72"/>
        <v/>
      </c>
      <c r="AB787" t="str">
        <f t="shared" si="73"/>
        <v/>
      </c>
      <c r="AC787" t="str">
        <f t="shared" si="74"/>
        <v>628999007703</v>
      </c>
      <c r="AD787" t="str">
        <f t="shared" si="76"/>
        <v>Halo+,+Visual+AI+5S+menditeksi+Violation%3A+METALDET1-LINE+6</v>
      </c>
      <c r="AE787" t="str">
        <f t="shared" si="75"/>
        <v>https://web.whatsapp.com/send/?phone=628999007703&amp;text=Halo+,+Visual+AI+5S+menditeksi+Violation%3A+METALDET1-LINE+6&amp;type=phone_number&amp;app_absent=0</v>
      </c>
      <c r="AF787" t="b">
        <f>IF(ISNA(VLOOKUP(D787&amp;"-"&amp;AB787, Ref_Kontak!$A:$E, 4, FALSE)), FALSE, TRUE)</f>
        <v>0</v>
      </c>
      <c r="AG787" t="str">
        <f>_xlfn.IFNA(VLOOKUP(Z787,Ref_Kontak!H:H,1,FALSE),"FALSE")</f>
        <v>628999007703</v>
      </c>
      <c r="AH787" t="str">
        <f t="shared" si="77"/>
        <v>METALDET1-LINE 6</v>
      </c>
      <c r="AI787">
        <f>COUNTIF($AH$1:AH787,AH787)</f>
        <v>116</v>
      </c>
    </row>
    <row r="788" spans="1:35">
      <c r="A788" t="s">
        <v>56</v>
      </c>
      <c r="B788" t="s">
        <v>57</v>
      </c>
      <c r="C788" t="s">
        <v>782</v>
      </c>
      <c r="D788" t="s">
        <v>609</v>
      </c>
      <c r="E788">
        <v>1</v>
      </c>
      <c r="G788" t="s">
        <v>665</v>
      </c>
      <c r="I788" t="s">
        <v>61</v>
      </c>
      <c r="Z788" t="str">
        <f>IFERROR(MID(AA788,FIND("-",H788,1)+1,20),_xlfn.IFNA(VLOOKUP(F788&amp;"-"&amp;AA788,Ref_Kontak!$A:$E,4,FALSE),Ref_Kontak!$H$2))</f>
        <v>628999007703</v>
      </c>
      <c r="AA788" t="str">
        <f t="shared" si="72"/>
        <v/>
      </c>
      <c r="AB788" t="str">
        <f t="shared" si="73"/>
        <v/>
      </c>
      <c r="AC788" t="str">
        <f t="shared" si="74"/>
        <v>628999007703</v>
      </c>
      <c r="AD788" t="str">
        <f t="shared" si="76"/>
        <v>Halo+,+Visual+AI+5S+menditeksi+Violation%3A+METALDET1-LINE+6</v>
      </c>
      <c r="AE788" t="str">
        <f t="shared" si="75"/>
        <v>https://web.whatsapp.com/send/?phone=628999007703&amp;text=Halo+,+Visual+AI+5S+menditeksi+Violation%3A+METALDET1-LINE+6&amp;type=phone_number&amp;app_absent=0</v>
      </c>
      <c r="AF788" t="b">
        <f>IF(ISNA(VLOOKUP(D788&amp;"-"&amp;AB788, Ref_Kontak!$A:$E, 4, FALSE)), FALSE, TRUE)</f>
        <v>0</v>
      </c>
      <c r="AG788" t="str">
        <f>_xlfn.IFNA(VLOOKUP(Z788,Ref_Kontak!H:H,1,FALSE),"FALSE")</f>
        <v>628999007703</v>
      </c>
      <c r="AH788" t="str">
        <f t="shared" si="77"/>
        <v>METALDET1-LINE 6</v>
      </c>
      <c r="AI788">
        <f>COUNTIF($AH$1:AH788,AH788)</f>
        <v>117</v>
      </c>
    </row>
    <row r="789" spans="1:35">
      <c r="A789" t="s">
        <v>56</v>
      </c>
      <c r="B789" t="s">
        <v>57</v>
      </c>
      <c r="C789" t="s">
        <v>783</v>
      </c>
      <c r="D789" t="s">
        <v>609</v>
      </c>
      <c r="E789">
        <v>1</v>
      </c>
      <c r="G789" t="s">
        <v>665</v>
      </c>
      <c r="I789" t="s">
        <v>61</v>
      </c>
      <c r="Z789" t="str">
        <f>IFERROR(MID(AA789,FIND("-",H789,1)+1,20),_xlfn.IFNA(VLOOKUP(F789&amp;"-"&amp;AA789,Ref_Kontak!$A:$E,4,FALSE),Ref_Kontak!$H$2))</f>
        <v>628999007703</v>
      </c>
      <c r="AA789" t="str">
        <f t="shared" si="72"/>
        <v/>
      </c>
      <c r="AB789" t="str">
        <f t="shared" si="73"/>
        <v/>
      </c>
      <c r="AC789" t="str">
        <f t="shared" si="74"/>
        <v>628999007703</v>
      </c>
      <c r="AD789" t="str">
        <f t="shared" si="76"/>
        <v>Halo+,+Visual+AI+5S+menditeksi+Violation%3A+METALDET1-LINE+6</v>
      </c>
      <c r="AE789" t="str">
        <f t="shared" si="75"/>
        <v>https://web.whatsapp.com/send/?phone=628999007703&amp;text=Halo+,+Visual+AI+5S+menditeksi+Violation%3A+METALDET1-LINE+6&amp;type=phone_number&amp;app_absent=0</v>
      </c>
      <c r="AF789" t="b">
        <f>IF(ISNA(VLOOKUP(D789&amp;"-"&amp;AB789, Ref_Kontak!$A:$E, 4, FALSE)), FALSE, TRUE)</f>
        <v>0</v>
      </c>
      <c r="AG789" t="str">
        <f>_xlfn.IFNA(VLOOKUP(Z789,Ref_Kontak!H:H,1,FALSE),"FALSE")</f>
        <v>628999007703</v>
      </c>
      <c r="AH789" t="str">
        <f t="shared" si="77"/>
        <v>METALDET1-LINE 6</v>
      </c>
      <c r="AI789">
        <f>COUNTIF($AH$1:AH789,AH789)</f>
        <v>118</v>
      </c>
    </row>
    <row r="790" spans="1:35">
      <c r="A790" t="s">
        <v>56</v>
      </c>
      <c r="B790" t="s">
        <v>57</v>
      </c>
      <c r="C790" t="s">
        <v>784</v>
      </c>
      <c r="D790" t="s">
        <v>609</v>
      </c>
      <c r="E790">
        <v>1</v>
      </c>
      <c r="G790" t="s">
        <v>665</v>
      </c>
      <c r="I790" t="s">
        <v>61</v>
      </c>
      <c r="Z790" t="str">
        <f>IFERROR(MID(AA790,FIND("-",H790,1)+1,20),_xlfn.IFNA(VLOOKUP(F790&amp;"-"&amp;AA790,Ref_Kontak!$A:$E,4,FALSE),Ref_Kontak!$H$2))</f>
        <v>628999007703</v>
      </c>
      <c r="AA790" t="str">
        <f t="shared" si="72"/>
        <v/>
      </c>
      <c r="AB790" t="str">
        <f t="shared" si="73"/>
        <v/>
      </c>
      <c r="AC790" t="str">
        <f t="shared" si="74"/>
        <v>628999007703</v>
      </c>
      <c r="AD790" t="str">
        <f t="shared" si="76"/>
        <v>Halo+,+Visual+AI+5S+menditeksi+Violation%3A+METALDET1-LINE+6</v>
      </c>
      <c r="AE790" t="str">
        <f t="shared" si="75"/>
        <v>https://web.whatsapp.com/send/?phone=628999007703&amp;text=Halo+,+Visual+AI+5S+menditeksi+Violation%3A+METALDET1-LINE+6&amp;type=phone_number&amp;app_absent=0</v>
      </c>
      <c r="AF790" t="b">
        <f>IF(ISNA(VLOOKUP(D790&amp;"-"&amp;AB790, Ref_Kontak!$A:$E, 4, FALSE)), FALSE, TRUE)</f>
        <v>0</v>
      </c>
      <c r="AG790" t="str">
        <f>_xlfn.IFNA(VLOOKUP(Z790,Ref_Kontak!H:H,1,FALSE),"FALSE")</f>
        <v>628999007703</v>
      </c>
      <c r="AH790" t="str">
        <f t="shared" si="77"/>
        <v>METALDET1-LINE 6</v>
      </c>
      <c r="AI790">
        <f>COUNTIF($AH$1:AH790,AH790)</f>
        <v>119</v>
      </c>
    </row>
    <row r="791" spans="1:35">
      <c r="A791" t="s">
        <v>56</v>
      </c>
      <c r="B791" t="s">
        <v>57</v>
      </c>
      <c r="C791" t="s">
        <v>785</v>
      </c>
      <c r="D791" t="s">
        <v>609</v>
      </c>
      <c r="E791">
        <v>1</v>
      </c>
      <c r="G791" t="s">
        <v>665</v>
      </c>
      <c r="I791" t="s">
        <v>61</v>
      </c>
      <c r="Z791" t="str">
        <f>IFERROR(MID(AA791,FIND("-",H791,1)+1,20),_xlfn.IFNA(VLOOKUP(F791&amp;"-"&amp;AA791,Ref_Kontak!$A:$E,4,FALSE),Ref_Kontak!$H$2))</f>
        <v>628999007703</v>
      </c>
      <c r="AA791" t="str">
        <f t="shared" si="72"/>
        <v/>
      </c>
      <c r="AB791" t="str">
        <f t="shared" si="73"/>
        <v/>
      </c>
      <c r="AC791" t="str">
        <f t="shared" si="74"/>
        <v>628999007703</v>
      </c>
      <c r="AD791" t="str">
        <f t="shared" si="76"/>
        <v>Halo+,+Visual+AI+5S+menditeksi+Violation%3A+METALDET1-LINE+6</v>
      </c>
      <c r="AE791" t="str">
        <f t="shared" si="75"/>
        <v>https://web.whatsapp.com/send/?phone=628999007703&amp;text=Halo+,+Visual+AI+5S+menditeksi+Violation%3A+METALDET1-LINE+6&amp;type=phone_number&amp;app_absent=0</v>
      </c>
      <c r="AF791" t="b">
        <f>IF(ISNA(VLOOKUP(D791&amp;"-"&amp;AB791, Ref_Kontak!$A:$E, 4, FALSE)), FALSE, TRUE)</f>
        <v>0</v>
      </c>
      <c r="AG791" t="str">
        <f>_xlfn.IFNA(VLOOKUP(Z791,Ref_Kontak!H:H,1,FALSE),"FALSE")</f>
        <v>628999007703</v>
      </c>
      <c r="AH791" t="str">
        <f t="shared" si="77"/>
        <v>METALDET1-LINE 6</v>
      </c>
      <c r="AI791">
        <f>COUNTIF($AH$1:AH791,AH791)</f>
        <v>120</v>
      </c>
    </row>
    <row r="792" spans="1:35">
      <c r="A792" t="s">
        <v>56</v>
      </c>
      <c r="B792" t="s">
        <v>57</v>
      </c>
      <c r="C792" t="s">
        <v>786</v>
      </c>
      <c r="D792" t="s">
        <v>609</v>
      </c>
      <c r="E792">
        <v>1</v>
      </c>
      <c r="G792" t="s">
        <v>665</v>
      </c>
      <c r="I792" t="s">
        <v>61</v>
      </c>
      <c r="Z792" t="str">
        <f>IFERROR(MID(AA792,FIND("-",H792,1)+1,20),_xlfn.IFNA(VLOOKUP(F792&amp;"-"&amp;AA792,Ref_Kontak!$A:$E,4,FALSE),Ref_Kontak!$H$2))</f>
        <v>628999007703</v>
      </c>
      <c r="AA792" t="str">
        <f t="shared" si="72"/>
        <v/>
      </c>
      <c r="AB792" t="str">
        <f t="shared" si="73"/>
        <v/>
      </c>
      <c r="AC792" t="str">
        <f t="shared" si="74"/>
        <v>628999007703</v>
      </c>
      <c r="AD792" t="str">
        <f t="shared" si="76"/>
        <v>Halo+,+Visual+AI+5S+menditeksi+Violation%3A+METALDET1-LINE+6</v>
      </c>
      <c r="AE792" t="str">
        <f t="shared" si="75"/>
        <v>https://web.whatsapp.com/send/?phone=628999007703&amp;text=Halo+,+Visual+AI+5S+menditeksi+Violation%3A+METALDET1-LINE+6&amp;type=phone_number&amp;app_absent=0</v>
      </c>
      <c r="AF792" t="b">
        <f>IF(ISNA(VLOOKUP(D792&amp;"-"&amp;AB792, Ref_Kontak!$A:$E, 4, FALSE)), FALSE, TRUE)</f>
        <v>0</v>
      </c>
      <c r="AG792" t="str">
        <f>_xlfn.IFNA(VLOOKUP(Z792,Ref_Kontak!H:H,1,FALSE),"FALSE")</f>
        <v>628999007703</v>
      </c>
      <c r="AH792" t="str">
        <f t="shared" si="77"/>
        <v>METALDET1-LINE 6</v>
      </c>
      <c r="AI792">
        <f>COUNTIF($AH$1:AH792,AH792)</f>
        <v>121</v>
      </c>
    </row>
    <row r="793" spans="1:35">
      <c r="A793" t="s">
        <v>56</v>
      </c>
      <c r="B793" t="s">
        <v>57</v>
      </c>
      <c r="C793" t="s">
        <v>787</v>
      </c>
      <c r="D793" t="s">
        <v>609</v>
      </c>
      <c r="E793">
        <v>1</v>
      </c>
      <c r="G793" t="s">
        <v>665</v>
      </c>
      <c r="I793" t="s">
        <v>61</v>
      </c>
      <c r="Z793" t="str">
        <f>IFERROR(MID(AA793,FIND("-",H793,1)+1,20),_xlfn.IFNA(VLOOKUP(F793&amp;"-"&amp;AA793,Ref_Kontak!$A:$E,4,FALSE),Ref_Kontak!$H$2))</f>
        <v>628999007703</v>
      </c>
      <c r="AA793" t="str">
        <f t="shared" si="72"/>
        <v/>
      </c>
      <c r="AB793" t="str">
        <f t="shared" si="73"/>
        <v/>
      </c>
      <c r="AC793" t="str">
        <f t="shared" si="74"/>
        <v>628999007703</v>
      </c>
      <c r="AD793" t="str">
        <f t="shared" si="76"/>
        <v>Halo+,+Visual+AI+5S+menditeksi+Violation%3A+METALDET1-LINE+6</v>
      </c>
      <c r="AE793" t="str">
        <f t="shared" si="75"/>
        <v>https://web.whatsapp.com/send/?phone=628999007703&amp;text=Halo+,+Visual+AI+5S+menditeksi+Violation%3A+METALDET1-LINE+6&amp;type=phone_number&amp;app_absent=0</v>
      </c>
      <c r="AF793" t="b">
        <f>IF(ISNA(VLOOKUP(D793&amp;"-"&amp;AB793, Ref_Kontak!$A:$E, 4, FALSE)), FALSE, TRUE)</f>
        <v>0</v>
      </c>
      <c r="AG793" t="str">
        <f>_xlfn.IFNA(VLOOKUP(Z793,Ref_Kontak!H:H,1,FALSE),"FALSE")</f>
        <v>628999007703</v>
      </c>
      <c r="AH793" t="str">
        <f t="shared" si="77"/>
        <v>METALDET1-LINE 6</v>
      </c>
      <c r="AI793">
        <f>COUNTIF($AH$1:AH793,AH793)</f>
        <v>122</v>
      </c>
    </row>
    <row r="794" spans="1:35">
      <c r="A794" t="s">
        <v>56</v>
      </c>
      <c r="B794" t="s">
        <v>57</v>
      </c>
      <c r="C794" t="s">
        <v>788</v>
      </c>
      <c r="D794" t="s">
        <v>609</v>
      </c>
      <c r="E794">
        <v>1</v>
      </c>
      <c r="G794" t="s">
        <v>665</v>
      </c>
      <c r="I794" t="s">
        <v>61</v>
      </c>
      <c r="Z794" t="str">
        <f>IFERROR(MID(AA794,FIND("-",H794,1)+1,20),_xlfn.IFNA(VLOOKUP(F794&amp;"-"&amp;AA794,Ref_Kontak!$A:$E,4,FALSE),Ref_Kontak!$H$2))</f>
        <v>628999007703</v>
      </c>
      <c r="AA794" t="str">
        <f t="shared" si="72"/>
        <v/>
      </c>
      <c r="AB794" t="str">
        <f t="shared" si="73"/>
        <v/>
      </c>
      <c r="AC794" t="str">
        <f t="shared" si="74"/>
        <v>628999007703</v>
      </c>
      <c r="AD794" t="str">
        <f t="shared" si="76"/>
        <v>Halo+,+Visual+AI+5S+menditeksi+Violation%3A+METALDET1-LINE+6</v>
      </c>
      <c r="AE794" t="str">
        <f t="shared" si="75"/>
        <v>https://web.whatsapp.com/send/?phone=628999007703&amp;text=Halo+,+Visual+AI+5S+menditeksi+Violation%3A+METALDET1-LINE+6&amp;type=phone_number&amp;app_absent=0</v>
      </c>
      <c r="AF794" t="b">
        <f>IF(ISNA(VLOOKUP(D794&amp;"-"&amp;AB794, Ref_Kontak!$A:$E, 4, FALSE)), FALSE, TRUE)</f>
        <v>0</v>
      </c>
      <c r="AG794" t="str">
        <f>_xlfn.IFNA(VLOOKUP(Z794,Ref_Kontak!H:H,1,FALSE),"FALSE")</f>
        <v>628999007703</v>
      </c>
      <c r="AH794" t="str">
        <f t="shared" si="77"/>
        <v>METALDET1-LINE 6</v>
      </c>
      <c r="AI794">
        <f>COUNTIF($AH$1:AH794,AH794)</f>
        <v>123</v>
      </c>
    </row>
    <row r="795" spans="1:35">
      <c r="A795" t="s">
        <v>56</v>
      </c>
      <c r="B795" t="s">
        <v>57</v>
      </c>
      <c r="C795" t="s">
        <v>789</v>
      </c>
      <c r="D795" t="s">
        <v>609</v>
      </c>
      <c r="E795">
        <v>1</v>
      </c>
      <c r="G795" t="s">
        <v>665</v>
      </c>
      <c r="I795" t="s">
        <v>61</v>
      </c>
      <c r="Z795" t="str">
        <f>IFERROR(MID(AA795,FIND("-",H795,1)+1,20),_xlfn.IFNA(VLOOKUP(F795&amp;"-"&amp;AA795,Ref_Kontak!$A:$E,4,FALSE),Ref_Kontak!$H$2))</f>
        <v>628999007703</v>
      </c>
      <c r="AA795" t="str">
        <f t="shared" si="72"/>
        <v/>
      </c>
      <c r="AB795" t="str">
        <f t="shared" si="73"/>
        <v/>
      </c>
      <c r="AC795" t="str">
        <f t="shared" si="74"/>
        <v>628999007703</v>
      </c>
      <c r="AD795" t="str">
        <f t="shared" si="76"/>
        <v>Halo+,+Visual+AI+5S+menditeksi+Violation%3A+METALDET1-LINE+6</v>
      </c>
      <c r="AE795" t="str">
        <f t="shared" si="75"/>
        <v>https://web.whatsapp.com/send/?phone=628999007703&amp;text=Halo+,+Visual+AI+5S+menditeksi+Violation%3A+METALDET1-LINE+6&amp;type=phone_number&amp;app_absent=0</v>
      </c>
      <c r="AF795" t="b">
        <f>IF(ISNA(VLOOKUP(D795&amp;"-"&amp;AB795, Ref_Kontak!$A:$E, 4, FALSE)), FALSE, TRUE)</f>
        <v>0</v>
      </c>
      <c r="AG795" t="str">
        <f>_xlfn.IFNA(VLOOKUP(Z795,Ref_Kontak!H:H,1,FALSE),"FALSE")</f>
        <v>628999007703</v>
      </c>
      <c r="AH795" t="str">
        <f t="shared" si="77"/>
        <v>METALDET1-LINE 6</v>
      </c>
      <c r="AI795">
        <f>COUNTIF($AH$1:AH795,AH795)</f>
        <v>124</v>
      </c>
    </row>
    <row r="796" spans="1:35">
      <c r="A796" t="s">
        <v>56</v>
      </c>
      <c r="B796" t="s">
        <v>57</v>
      </c>
      <c r="C796" t="s">
        <v>790</v>
      </c>
      <c r="D796" t="s">
        <v>609</v>
      </c>
      <c r="E796">
        <v>1</v>
      </c>
      <c r="G796" t="s">
        <v>665</v>
      </c>
      <c r="I796" t="s">
        <v>61</v>
      </c>
      <c r="Z796" t="str">
        <f>IFERROR(MID(AA796,FIND("-",H796,1)+1,20),_xlfn.IFNA(VLOOKUP(F796&amp;"-"&amp;AA796,Ref_Kontak!$A:$E,4,FALSE),Ref_Kontak!$H$2))</f>
        <v>628999007703</v>
      </c>
      <c r="AA796" t="str">
        <f t="shared" si="72"/>
        <v/>
      </c>
      <c r="AB796" t="str">
        <f t="shared" si="73"/>
        <v/>
      </c>
      <c r="AC796" t="str">
        <f t="shared" si="74"/>
        <v>628999007703</v>
      </c>
      <c r="AD796" t="str">
        <f t="shared" si="76"/>
        <v>Halo+,+Visual+AI+5S+menditeksi+Violation%3A+METALDET1-LINE+6</v>
      </c>
      <c r="AE796" t="str">
        <f t="shared" si="75"/>
        <v>https://web.whatsapp.com/send/?phone=628999007703&amp;text=Halo+,+Visual+AI+5S+menditeksi+Violation%3A+METALDET1-LINE+6&amp;type=phone_number&amp;app_absent=0</v>
      </c>
      <c r="AF796" t="b">
        <f>IF(ISNA(VLOOKUP(D796&amp;"-"&amp;AB796, Ref_Kontak!$A:$E, 4, FALSE)), FALSE, TRUE)</f>
        <v>0</v>
      </c>
      <c r="AG796" t="str">
        <f>_xlfn.IFNA(VLOOKUP(Z796,Ref_Kontak!H:H,1,FALSE),"FALSE")</f>
        <v>628999007703</v>
      </c>
      <c r="AH796" t="str">
        <f t="shared" si="77"/>
        <v>METALDET1-LINE 6</v>
      </c>
      <c r="AI796">
        <f>COUNTIF($AH$1:AH796,AH796)</f>
        <v>125</v>
      </c>
    </row>
    <row r="797" spans="1:35">
      <c r="A797" t="s">
        <v>56</v>
      </c>
      <c r="B797" t="s">
        <v>57</v>
      </c>
      <c r="C797" t="s">
        <v>791</v>
      </c>
      <c r="D797" t="s">
        <v>609</v>
      </c>
      <c r="E797">
        <v>1</v>
      </c>
      <c r="G797" t="s">
        <v>665</v>
      </c>
      <c r="I797" t="s">
        <v>61</v>
      </c>
      <c r="Z797" t="str">
        <f>IFERROR(MID(AA797,FIND("-",H797,1)+1,20),_xlfn.IFNA(VLOOKUP(F797&amp;"-"&amp;AA797,Ref_Kontak!$A:$E,4,FALSE),Ref_Kontak!$H$2))</f>
        <v>628999007703</v>
      </c>
      <c r="AA797" t="str">
        <f t="shared" si="72"/>
        <v/>
      </c>
      <c r="AB797" t="str">
        <f t="shared" si="73"/>
        <v/>
      </c>
      <c r="AC797" t="str">
        <f t="shared" si="74"/>
        <v>628999007703</v>
      </c>
      <c r="AD797" t="str">
        <f t="shared" si="76"/>
        <v>Halo+,+Visual+AI+5S+menditeksi+Violation%3A+METALDET1-LINE+6</v>
      </c>
      <c r="AE797" t="str">
        <f t="shared" si="75"/>
        <v>https://web.whatsapp.com/send/?phone=628999007703&amp;text=Halo+,+Visual+AI+5S+menditeksi+Violation%3A+METALDET1-LINE+6&amp;type=phone_number&amp;app_absent=0</v>
      </c>
      <c r="AF797" t="b">
        <f>IF(ISNA(VLOOKUP(D797&amp;"-"&amp;AB797, Ref_Kontak!$A:$E, 4, FALSE)), FALSE, TRUE)</f>
        <v>0</v>
      </c>
      <c r="AG797" t="str">
        <f>_xlfn.IFNA(VLOOKUP(Z797,Ref_Kontak!H:H,1,FALSE),"FALSE")</f>
        <v>628999007703</v>
      </c>
      <c r="AH797" t="str">
        <f t="shared" si="77"/>
        <v>METALDET1-LINE 6</v>
      </c>
      <c r="AI797">
        <f>COUNTIF($AH$1:AH797,AH797)</f>
        <v>126</v>
      </c>
    </row>
    <row r="798" spans="1:35">
      <c r="A798" t="s">
        <v>56</v>
      </c>
      <c r="B798" t="s">
        <v>57</v>
      </c>
      <c r="C798" t="s">
        <v>792</v>
      </c>
      <c r="D798" t="s">
        <v>609</v>
      </c>
      <c r="E798">
        <v>1</v>
      </c>
      <c r="G798" t="s">
        <v>665</v>
      </c>
      <c r="I798" t="s">
        <v>61</v>
      </c>
      <c r="Z798" t="str">
        <f>IFERROR(MID(AA798,FIND("-",H798,1)+1,20),_xlfn.IFNA(VLOOKUP(F798&amp;"-"&amp;AA798,Ref_Kontak!$A:$E,4,FALSE),Ref_Kontak!$H$2))</f>
        <v>628999007703</v>
      </c>
      <c r="AA798" t="str">
        <f t="shared" si="72"/>
        <v/>
      </c>
      <c r="AB798" t="str">
        <f t="shared" si="73"/>
        <v/>
      </c>
      <c r="AC798" t="str">
        <f t="shared" si="74"/>
        <v>628999007703</v>
      </c>
      <c r="AD798" t="str">
        <f t="shared" si="76"/>
        <v>Halo+,+Visual+AI+5S+menditeksi+Violation%3A+METALDET1-LINE+6</v>
      </c>
      <c r="AE798" t="str">
        <f t="shared" si="75"/>
        <v>https://web.whatsapp.com/send/?phone=628999007703&amp;text=Halo+,+Visual+AI+5S+menditeksi+Violation%3A+METALDET1-LINE+6&amp;type=phone_number&amp;app_absent=0</v>
      </c>
      <c r="AF798" t="b">
        <f>IF(ISNA(VLOOKUP(D798&amp;"-"&amp;AB798, Ref_Kontak!$A:$E, 4, FALSE)), FALSE, TRUE)</f>
        <v>0</v>
      </c>
      <c r="AG798" t="str">
        <f>_xlfn.IFNA(VLOOKUP(Z798,Ref_Kontak!H:H,1,FALSE),"FALSE")</f>
        <v>628999007703</v>
      </c>
      <c r="AH798" t="str">
        <f t="shared" si="77"/>
        <v>METALDET1-LINE 6</v>
      </c>
      <c r="AI798">
        <f>COUNTIF($AH$1:AH798,AH798)</f>
        <v>127</v>
      </c>
    </row>
    <row r="799" spans="1:35">
      <c r="A799" t="s">
        <v>56</v>
      </c>
      <c r="B799" t="s">
        <v>57</v>
      </c>
      <c r="C799" t="s">
        <v>793</v>
      </c>
      <c r="D799" t="s">
        <v>609</v>
      </c>
      <c r="E799">
        <v>1</v>
      </c>
      <c r="G799" t="s">
        <v>665</v>
      </c>
      <c r="I799" t="s">
        <v>61</v>
      </c>
      <c r="Z799" t="str">
        <f>IFERROR(MID(AA799,FIND("-",H799,1)+1,20),_xlfn.IFNA(VLOOKUP(F799&amp;"-"&amp;AA799,Ref_Kontak!$A:$E,4,FALSE),Ref_Kontak!$H$2))</f>
        <v>628999007703</v>
      </c>
      <c r="AA799" t="str">
        <f t="shared" si="72"/>
        <v/>
      </c>
      <c r="AB799" t="str">
        <f t="shared" si="73"/>
        <v/>
      </c>
      <c r="AC799" t="str">
        <f t="shared" si="74"/>
        <v>628999007703</v>
      </c>
      <c r="AD799" t="str">
        <f t="shared" si="76"/>
        <v>Halo+,+Visual+AI+5S+menditeksi+Violation%3A+METALDET1-LINE+6</v>
      </c>
      <c r="AE799" t="str">
        <f t="shared" si="75"/>
        <v>https://web.whatsapp.com/send/?phone=628999007703&amp;text=Halo+,+Visual+AI+5S+menditeksi+Violation%3A+METALDET1-LINE+6&amp;type=phone_number&amp;app_absent=0</v>
      </c>
      <c r="AF799" t="b">
        <f>IF(ISNA(VLOOKUP(D799&amp;"-"&amp;AB799, Ref_Kontak!$A:$E, 4, FALSE)), FALSE, TRUE)</f>
        <v>0</v>
      </c>
      <c r="AG799" t="str">
        <f>_xlfn.IFNA(VLOOKUP(Z799,Ref_Kontak!H:H,1,FALSE),"FALSE")</f>
        <v>628999007703</v>
      </c>
      <c r="AH799" t="str">
        <f t="shared" si="77"/>
        <v>METALDET1-LINE 6</v>
      </c>
      <c r="AI799">
        <f>COUNTIF($AH$1:AH799,AH799)</f>
        <v>128</v>
      </c>
    </row>
    <row r="800" spans="1:35">
      <c r="A800" t="s">
        <v>56</v>
      </c>
      <c r="B800" t="s">
        <v>57</v>
      </c>
      <c r="C800" t="s">
        <v>794</v>
      </c>
      <c r="D800" t="s">
        <v>609</v>
      </c>
      <c r="E800">
        <v>1</v>
      </c>
      <c r="G800" t="s">
        <v>665</v>
      </c>
      <c r="I800" t="s">
        <v>61</v>
      </c>
      <c r="Z800" t="str">
        <f>IFERROR(MID(AA800,FIND("-",H800,1)+1,20),_xlfn.IFNA(VLOOKUP(F800&amp;"-"&amp;AA800,Ref_Kontak!$A:$E,4,FALSE),Ref_Kontak!$H$2))</f>
        <v>628999007703</v>
      </c>
      <c r="AA800" t="str">
        <f t="shared" si="72"/>
        <v/>
      </c>
      <c r="AB800" t="str">
        <f t="shared" si="73"/>
        <v/>
      </c>
      <c r="AC800" t="str">
        <f t="shared" si="74"/>
        <v>628999007703</v>
      </c>
      <c r="AD800" t="str">
        <f t="shared" si="76"/>
        <v>Halo+,+Visual+AI+5S+menditeksi+Violation%3A+METALDET1-LINE+6</v>
      </c>
      <c r="AE800" t="str">
        <f t="shared" si="75"/>
        <v>https://web.whatsapp.com/send/?phone=628999007703&amp;text=Halo+,+Visual+AI+5S+menditeksi+Violation%3A+METALDET1-LINE+6&amp;type=phone_number&amp;app_absent=0</v>
      </c>
      <c r="AF800" t="b">
        <f>IF(ISNA(VLOOKUP(D800&amp;"-"&amp;AB800, Ref_Kontak!$A:$E, 4, FALSE)), FALSE, TRUE)</f>
        <v>0</v>
      </c>
      <c r="AG800" t="str">
        <f>_xlfn.IFNA(VLOOKUP(Z800,Ref_Kontak!H:H,1,FALSE),"FALSE")</f>
        <v>628999007703</v>
      </c>
      <c r="AH800" t="str">
        <f t="shared" si="77"/>
        <v>METALDET1-LINE 6</v>
      </c>
      <c r="AI800">
        <f>COUNTIF($AH$1:AH800,AH800)</f>
        <v>129</v>
      </c>
    </row>
    <row r="801" spans="1:35">
      <c r="A801" t="s">
        <v>56</v>
      </c>
      <c r="B801" t="s">
        <v>57</v>
      </c>
      <c r="C801" t="s">
        <v>795</v>
      </c>
      <c r="D801" t="s">
        <v>609</v>
      </c>
      <c r="E801">
        <v>1</v>
      </c>
      <c r="G801" t="s">
        <v>665</v>
      </c>
      <c r="I801" t="s">
        <v>61</v>
      </c>
      <c r="Z801" t="str">
        <f>IFERROR(MID(AA801,FIND("-",H801,1)+1,20),_xlfn.IFNA(VLOOKUP(F801&amp;"-"&amp;AA801,Ref_Kontak!$A:$E,4,FALSE),Ref_Kontak!$H$2))</f>
        <v>628999007703</v>
      </c>
      <c r="AA801" t="str">
        <f t="shared" si="72"/>
        <v/>
      </c>
      <c r="AB801" t="str">
        <f t="shared" si="73"/>
        <v/>
      </c>
      <c r="AC801" t="str">
        <f t="shared" si="74"/>
        <v>628999007703</v>
      </c>
      <c r="AD801" t="str">
        <f t="shared" si="76"/>
        <v>Halo+,+Visual+AI+5S+menditeksi+Violation%3A+METALDET1-LINE+6</v>
      </c>
      <c r="AE801" t="str">
        <f t="shared" si="75"/>
        <v>https://web.whatsapp.com/send/?phone=628999007703&amp;text=Halo+,+Visual+AI+5S+menditeksi+Violation%3A+METALDET1-LINE+6&amp;type=phone_number&amp;app_absent=0</v>
      </c>
      <c r="AF801" t="b">
        <f>IF(ISNA(VLOOKUP(D801&amp;"-"&amp;AB801, Ref_Kontak!$A:$E, 4, FALSE)), FALSE, TRUE)</f>
        <v>0</v>
      </c>
      <c r="AG801" t="str">
        <f>_xlfn.IFNA(VLOOKUP(Z801,Ref_Kontak!H:H,1,FALSE),"FALSE")</f>
        <v>628999007703</v>
      </c>
      <c r="AH801" t="str">
        <f t="shared" si="77"/>
        <v>METALDET1-LINE 6</v>
      </c>
      <c r="AI801">
        <f>COUNTIF($AH$1:AH801,AH801)</f>
        <v>130</v>
      </c>
    </row>
    <row r="802" spans="1:35">
      <c r="A802" t="s">
        <v>56</v>
      </c>
      <c r="B802" t="s">
        <v>57</v>
      </c>
      <c r="C802" t="s">
        <v>796</v>
      </c>
      <c r="D802" t="s">
        <v>609</v>
      </c>
      <c r="E802">
        <v>1</v>
      </c>
      <c r="G802" t="s">
        <v>665</v>
      </c>
      <c r="I802" t="s">
        <v>61</v>
      </c>
      <c r="Z802" t="str">
        <f>IFERROR(MID(AA802,FIND("-",H802,1)+1,20),_xlfn.IFNA(VLOOKUP(F802&amp;"-"&amp;AA802,Ref_Kontak!$A:$E,4,FALSE),Ref_Kontak!$H$2))</f>
        <v>628999007703</v>
      </c>
      <c r="AA802" t="str">
        <f t="shared" si="72"/>
        <v/>
      </c>
      <c r="AB802" t="str">
        <f t="shared" si="73"/>
        <v/>
      </c>
      <c r="AC802" t="str">
        <f t="shared" si="74"/>
        <v>628999007703</v>
      </c>
      <c r="AD802" t="str">
        <f t="shared" si="76"/>
        <v>Halo+,+Visual+AI+5S+menditeksi+Violation%3A+METALDET1-LINE+6</v>
      </c>
      <c r="AE802" t="str">
        <f t="shared" si="75"/>
        <v>https://web.whatsapp.com/send/?phone=628999007703&amp;text=Halo+,+Visual+AI+5S+menditeksi+Violation%3A+METALDET1-LINE+6&amp;type=phone_number&amp;app_absent=0</v>
      </c>
      <c r="AF802" t="b">
        <f>IF(ISNA(VLOOKUP(D802&amp;"-"&amp;AB802, Ref_Kontak!$A:$E, 4, FALSE)), FALSE, TRUE)</f>
        <v>0</v>
      </c>
      <c r="AG802" t="str">
        <f>_xlfn.IFNA(VLOOKUP(Z802,Ref_Kontak!H:H,1,FALSE),"FALSE")</f>
        <v>628999007703</v>
      </c>
      <c r="AH802" t="str">
        <f t="shared" si="77"/>
        <v>METALDET1-LINE 6</v>
      </c>
      <c r="AI802">
        <f>COUNTIF($AH$1:AH802,AH802)</f>
        <v>131</v>
      </c>
    </row>
    <row r="803" spans="1:35">
      <c r="A803" t="s">
        <v>56</v>
      </c>
      <c r="B803" t="s">
        <v>57</v>
      </c>
      <c r="C803" t="s">
        <v>797</v>
      </c>
      <c r="D803" t="s">
        <v>609</v>
      </c>
      <c r="E803">
        <v>1</v>
      </c>
      <c r="G803" t="s">
        <v>665</v>
      </c>
      <c r="I803" t="s">
        <v>61</v>
      </c>
      <c r="Z803" t="str">
        <f>IFERROR(MID(AA803,FIND("-",H803,1)+1,20),_xlfn.IFNA(VLOOKUP(F803&amp;"-"&amp;AA803,Ref_Kontak!$A:$E,4,FALSE),Ref_Kontak!$H$2))</f>
        <v>628999007703</v>
      </c>
      <c r="AA803" t="str">
        <f t="shared" si="72"/>
        <v/>
      </c>
      <c r="AB803" t="str">
        <f t="shared" si="73"/>
        <v/>
      </c>
      <c r="AC803" t="str">
        <f t="shared" si="74"/>
        <v>628999007703</v>
      </c>
      <c r="AD803" t="str">
        <f t="shared" si="76"/>
        <v>Halo+,+Visual+AI+5S+menditeksi+Violation%3A+METALDET1-LINE+6</v>
      </c>
      <c r="AE803" t="str">
        <f t="shared" si="75"/>
        <v>https://web.whatsapp.com/send/?phone=628999007703&amp;text=Halo+,+Visual+AI+5S+menditeksi+Violation%3A+METALDET1-LINE+6&amp;type=phone_number&amp;app_absent=0</v>
      </c>
      <c r="AF803" t="b">
        <f>IF(ISNA(VLOOKUP(D803&amp;"-"&amp;AB803, Ref_Kontak!$A:$E, 4, FALSE)), FALSE, TRUE)</f>
        <v>0</v>
      </c>
      <c r="AG803" t="str">
        <f>_xlfn.IFNA(VLOOKUP(Z803,Ref_Kontak!H:H,1,FALSE),"FALSE")</f>
        <v>628999007703</v>
      </c>
      <c r="AH803" t="str">
        <f t="shared" si="77"/>
        <v>METALDET1-LINE 6</v>
      </c>
      <c r="AI803">
        <f>COUNTIF($AH$1:AH803,AH803)</f>
        <v>132</v>
      </c>
    </row>
    <row r="804" spans="1:35">
      <c r="A804" t="s">
        <v>56</v>
      </c>
      <c r="B804" t="s">
        <v>57</v>
      </c>
      <c r="C804" t="s">
        <v>798</v>
      </c>
      <c r="D804" t="s">
        <v>609</v>
      </c>
      <c r="E804">
        <v>1</v>
      </c>
      <c r="G804" t="s">
        <v>665</v>
      </c>
      <c r="I804" t="s">
        <v>61</v>
      </c>
      <c r="Z804" t="str">
        <f>IFERROR(MID(AA804,FIND("-",H804,1)+1,20),_xlfn.IFNA(VLOOKUP(F804&amp;"-"&amp;AA804,Ref_Kontak!$A:$E,4,FALSE),Ref_Kontak!$H$2))</f>
        <v>628999007703</v>
      </c>
      <c r="AA804" t="str">
        <f t="shared" si="72"/>
        <v/>
      </c>
      <c r="AB804" t="str">
        <f t="shared" si="73"/>
        <v/>
      </c>
      <c r="AC804" t="str">
        <f t="shared" si="74"/>
        <v>628999007703</v>
      </c>
      <c r="AD804" t="str">
        <f t="shared" si="76"/>
        <v>Halo+,+Visual+AI+5S+menditeksi+Violation%3A+METALDET1-LINE+6</v>
      </c>
      <c r="AE804" t="str">
        <f t="shared" si="75"/>
        <v>https://web.whatsapp.com/send/?phone=628999007703&amp;text=Halo+,+Visual+AI+5S+menditeksi+Violation%3A+METALDET1-LINE+6&amp;type=phone_number&amp;app_absent=0</v>
      </c>
      <c r="AF804" t="b">
        <f>IF(ISNA(VLOOKUP(D804&amp;"-"&amp;AB804, Ref_Kontak!$A:$E, 4, FALSE)), FALSE, TRUE)</f>
        <v>0</v>
      </c>
      <c r="AG804" t="str">
        <f>_xlfn.IFNA(VLOOKUP(Z804,Ref_Kontak!H:H,1,FALSE),"FALSE")</f>
        <v>628999007703</v>
      </c>
      <c r="AH804" t="str">
        <f t="shared" si="77"/>
        <v>METALDET1-LINE 6</v>
      </c>
      <c r="AI804">
        <f>COUNTIF($AH$1:AH804,AH804)</f>
        <v>133</v>
      </c>
    </row>
    <row r="805" spans="1:35">
      <c r="A805" t="s">
        <v>56</v>
      </c>
      <c r="B805" t="s">
        <v>57</v>
      </c>
      <c r="C805" t="s">
        <v>799</v>
      </c>
      <c r="D805" t="s">
        <v>609</v>
      </c>
      <c r="E805">
        <v>1</v>
      </c>
      <c r="G805" t="s">
        <v>665</v>
      </c>
      <c r="I805" t="s">
        <v>61</v>
      </c>
      <c r="Z805" t="str">
        <f>IFERROR(MID(AA805,FIND("-",H805,1)+1,20),_xlfn.IFNA(VLOOKUP(F805&amp;"-"&amp;AA805,Ref_Kontak!$A:$E,4,FALSE),Ref_Kontak!$H$2))</f>
        <v>628999007703</v>
      </c>
      <c r="AA805" t="str">
        <f t="shared" si="72"/>
        <v/>
      </c>
      <c r="AB805" t="str">
        <f t="shared" si="73"/>
        <v/>
      </c>
      <c r="AC805" t="str">
        <f t="shared" si="74"/>
        <v>628999007703</v>
      </c>
      <c r="AD805" t="str">
        <f t="shared" si="76"/>
        <v>Halo+,+Visual+AI+5S+menditeksi+Violation%3A+METALDET1-LINE+6</v>
      </c>
      <c r="AE805" t="str">
        <f t="shared" si="75"/>
        <v>https://web.whatsapp.com/send/?phone=628999007703&amp;text=Halo+,+Visual+AI+5S+menditeksi+Violation%3A+METALDET1-LINE+6&amp;type=phone_number&amp;app_absent=0</v>
      </c>
      <c r="AF805" t="b">
        <f>IF(ISNA(VLOOKUP(D805&amp;"-"&amp;AB805, Ref_Kontak!$A:$E, 4, FALSE)), FALSE, TRUE)</f>
        <v>0</v>
      </c>
      <c r="AG805" t="str">
        <f>_xlfn.IFNA(VLOOKUP(Z805,Ref_Kontak!H:H,1,FALSE),"FALSE")</f>
        <v>628999007703</v>
      </c>
      <c r="AH805" t="str">
        <f t="shared" si="77"/>
        <v>METALDET1-LINE 6</v>
      </c>
      <c r="AI805">
        <f>COUNTIF($AH$1:AH805,AH805)</f>
        <v>134</v>
      </c>
    </row>
    <row r="806" spans="1:35">
      <c r="A806" t="s">
        <v>56</v>
      </c>
      <c r="B806" t="s">
        <v>57</v>
      </c>
      <c r="C806" t="s">
        <v>800</v>
      </c>
      <c r="D806" t="s">
        <v>609</v>
      </c>
      <c r="E806">
        <v>1</v>
      </c>
      <c r="G806" t="s">
        <v>665</v>
      </c>
      <c r="I806" t="s">
        <v>61</v>
      </c>
      <c r="Z806" t="str">
        <f>IFERROR(MID(AA806,FIND("-",H806,1)+1,20),_xlfn.IFNA(VLOOKUP(F806&amp;"-"&amp;AA806,Ref_Kontak!$A:$E,4,FALSE),Ref_Kontak!$H$2))</f>
        <v>628999007703</v>
      </c>
      <c r="AA806" t="str">
        <f t="shared" si="72"/>
        <v/>
      </c>
      <c r="AB806" t="str">
        <f t="shared" si="73"/>
        <v/>
      </c>
      <c r="AC806" t="str">
        <f t="shared" si="74"/>
        <v>628999007703</v>
      </c>
      <c r="AD806" t="str">
        <f t="shared" si="76"/>
        <v>Halo+,+Visual+AI+5S+menditeksi+Violation%3A+METALDET1-LINE+6</v>
      </c>
      <c r="AE806" t="str">
        <f t="shared" si="75"/>
        <v>https://web.whatsapp.com/send/?phone=628999007703&amp;text=Halo+,+Visual+AI+5S+menditeksi+Violation%3A+METALDET1-LINE+6&amp;type=phone_number&amp;app_absent=0</v>
      </c>
      <c r="AF806" t="b">
        <f>IF(ISNA(VLOOKUP(D806&amp;"-"&amp;AB806, Ref_Kontak!$A:$E, 4, FALSE)), FALSE, TRUE)</f>
        <v>0</v>
      </c>
      <c r="AG806" t="str">
        <f>_xlfn.IFNA(VLOOKUP(Z806,Ref_Kontak!H:H,1,FALSE),"FALSE")</f>
        <v>628999007703</v>
      </c>
      <c r="AH806" t="str">
        <f t="shared" si="77"/>
        <v>METALDET1-LINE 6</v>
      </c>
      <c r="AI806">
        <f>COUNTIF($AH$1:AH806,AH806)</f>
        <v>135</v>
      </c>
    </row>
    <row r="807" spans="1:35">
      <c r="A807" t="s">
        <v>56</v>
      </c>
      <c r="B807" t="s">
        <v>57</v>
      </c>
      <c r="C807" t="s">
        <v>801</v>
      </c>
      <c r="D807" t="s">
        <v>609</v>
      </c>
      <c r="E807">
        <v>1</v>
      </c>
      <c r="G807" t="s">
        <v>665</v>
      </c>
      <c r="I807" t="s">
        <v>61</v>
      </c>
      <c r="Z807" t="str">
        <f>IFERROR(MID(AA807,FIND("-",H807,1)+1,20),_xlfn.IFNA(VLOOKUP(F807&amp;"-"&amp;AA807,Ref_Kontak!$A:$E,4,FALSE),Ref_Kontak!$H$2))</f>
        <v>628999007703</v>
      </c>
      <c r="AA807" t="str">
        <f t="shared" si="72"/>
        <v/>
      </c>
      <c r="AB807" t="str">
        <f t="shared" si="73"/>
        <v/>
      </c>
      <c r="AC807" t="str">
        <f t="shared" si="74"/>
        <v>628999007703</v>
      </c>
      <c r="AD807" t="str">
        <f t="shared" si="76"/>
        <v>Halo+,+Visual+AI+5S+menditeksi+Violation%3A+METALDET1-LINE+6</v>
      </c>
      <c r="AE807" t="str">
        <f t="shared" si="75"/>
        <v>https://web.whatsapp.com/send/?phone=628999007703&amp;text=Halo+,+Visual+AI+5S+menditeksi+Violation%3A+METALDET1-LINE+6&amp;type=phone_number&amp;app_absent=0</v>
      </c>
      <c r="AF807" t="b">
        <f>IF(ISNA(VLOOKUP(D807&amp;"-"&amp;AB807, Ref_Kontak!$A:$E, 4, FALSE)), FALSE, TRUE)</f>
        <v>0</v>
      </c>
      <c r="AG807" t="str">
        <f>_xlfn.IFNA(VLOOKUP(Z807,Ref_Kontak!H:H,1,FALSE),"FALSE")</f>
        <v>628999007703</v>
      </c>
      <c r="AH807" t="str">
        <f t="shared" si="77"/>
        <v>METALDET1-LINE 6</v>
      </c>
      <c r="AI807">
        <f>COUNTIF($AH$1:AH807,AH807)</f>
        <v>136</v>
      </c>
    </row>
    <row r="808" spans="1:35">
      <c r="A808" t="s">
        <v>56</v>
      </c>
      <c r="B808" t="s">
        <v>57</v>
      </c>
      <c r="C808" t="s">
        <v>802</v>
      </c>
      <c r="D808" t="s">
        <v>609</v>
      </c>
      <c r="E808">
        <v>1</v>
      </c>
      <c r="G808" t="s">
        <v>665</v>
      </c>
      <c r="I808" t="s">
        <v>61</v>
      </c>
      <c r="Z808" t="str">
        <f>IFERROR(MID(AA808,FIND("-",H808,1)+1,20),_xlfn.IFNA(VLOOKUP(F808&amp;"-"&amp;AA808,Ref_Kontak!$A:$E,4,FALSE),Ref_Kontak!$H$2))</f>
        <v>628999007703</v>
      </c>
      <c r="AA808" t="str">
        <f t="shared" si="72"/>
        <v/>
      </c>
      <c r="AB808" t="str">
        <f t="shared" si="73"/>
        <v/>
      </c>
      <c r="AC808" t="str">
        <f t="shared" si="74"/>
        <v>628999007703</v>
      </c>
      <c r="AD808" t="str">
        <f t="shared" si="76"/>
        <v>Halo+,+Visual+AI+5S+menditeksi+Violation%3A+METALDET1-LINE+6</v>
      </c>
      <c r="AE808" t="str">
        <f t="shared" si="75"/>
        <v>https://web.whatsapp.com/send/?phone=628999007703&amp;text=Halo+,+Visual+AI+5S+menditeksi+Violation%3A+METALDET1-LINE+6&amp;type=phone_number&amp;app_absent=0</v>
      </c>
      <c r="AF808" t="b">
        <f>IF(ISNA(VLOOKUP(D808&amp;"-"&amp;AB808, Ref_Kontak!$A:$E, 4, FALSE)), FALSE, TRUE)</f>
        <v>0</v>
      </c>
      <c r="AG808" t="str">
        <f>_xlfn.IFNA(VLOOKUP(Z808,Ref_Kontak!H:H,1,FALSE),"FALSE")</f>
        <v>628999007703</v>
      </c>
      <c r="AH808" t="str">
        <f t="shared" si="77"/>
        <v>METALDET1-LINE 6</v>
      </c>
      <c r="AI808">
        <f>COUNTIF($AH$1:AH808,AH808)</f>
        <v>137</v>
      </c>
    </row>
    <row r="809" spans="1:35">
      <c r="A809" t="s">
        <v>56</v>
      </c>
      <c r="B809" t="s">
        <v>57</v>
      </c>
      <c r="C809" t="s">
        <v>803</v>
      </c>
      <c r="D809" t="s">
        <v>609</v>
      </c>
      <c r="E809">
        <v>1</v>
      </c>
      <c r="G809" t="s">
        <v>665</v>
      </c>
      <c r="I809" t="s">
        <v>61</v>
      </c>
      <c r="Z809" t="str">
        <f>IFERROR(MID(AA809,FIND("-",H809,1)+1,20),_xlfn.IFNA(VLOOKUP(F809&amp;"-"&amp;AA809,Ref_Kontak!$A:$E,4,FALSE),Ref_Kontak!$H$2))</f>
        <v>628999007703</v>
      </c>
      <c r="AA809" t="str">
        <f t="shared" si="72"/>
        <v/>
      </c>
      <c r="AB809" t="str">
        <f t="shared" si="73"/>
        <v/>
      </c>
      <c r="AC809" t="str">
        <f t="shared" si="74"/>
        <v>628999007703</v>
      </c>
      <c r="AD809" t="str">
        <f t="shared" si="76"/>
        <v>Halo+,+Visual+AI+5S+menditeksi+Violation%3A+METALDET1-LINE+6</v>
      </c>
      <c r="AE809" t="str">
        <f t="shared" si="75"/>
        <v>https://web.whatsapp.com/send/?phone=628999007703&amp;text=Halo+,+Visual+AI+5S+menditeksi+Violation%3A+METALDET1-LINE+6&amp;type=phone_number&amp;app_absent=0</v>
      </c>
      <c r="AF809" t="b">
        <f>IF(ISNA(VLOOKUP(D809&amp;"-"&amp;AB809, Ref_Kontak!$A:$E, 4, FALSE)), FALSE, TRUE)</f>
        <v>0</v>
      </c>
      <c r="AG809" t="str">
        <f>_xlfn.IFNA(VLOOKUP(Z809,Ref_Kontak!H:H,1,FALSE),"FALSE")</f>
        <v>628999007703</v>
      </c>
      <c r="AH809" t="str">
        <f t="shared" si="77"/>
        <v>METALDET1-LINE 6</v>
      </c>
      <c r="AI809">
        <f>COUNTIF($AH$1:AH809,AH809)</f>
        <v>138</v>
      </c>
    </row>
    <row r="810" spans="1:35">
      <c r="A810" t="s">
        <v>56</v>
      </c>
      <c r="B810" t="s">
        <v>57</v>
      </c>
      <c r="C810" t="s">
        <v>804</v>
      </c>
      <c r="D810" t="s">
        <v>609</v>
      </c>
      <c r="E810">
        <v>1</v>
      </c>
      <c r="G810" t="s">
        <v>665</v>
      </c>
      <c r="I810" t="s">
        <v>61</v>
      </c>
      <c r="Z810" t="str">
        <f>IFERROR(MID(AA810,FIND("-",H810,1)+1,20),_xlfn.IFNA(VLOOKUP(F810&amp;"-"&amp;AA810,Ref_Kontak!$A:$E,4,FALSE),Ref_Kontak!$H$2))</f>
        <v>628999007703</v>
      </c>
      <c r="AA810" t="str">
        <f t="shared" si="72"/>
        <v/>
      </c>
      <c r="AB810" t="str">
        <f t="shared" si="73"/>
        <v/>
      </c>
      <c r="AC810" t="str">
        <f t="shared" si="74"/>
        <v>628999007703</v>
      </c>
      <c r="AD810" t="str">
        <f t="shared" si="76"/>
        <v>Halo+,+Visual+AI+5S+menditeksi+Violation%3A+METALDET1-LINE+6</v>
      </c>
      <c r="AE810" t="str">
        <f t="shared" si="75"/>
        <v>https://web.whatsapp.com/send/?phone=628999007703&amp;text=Halo+,+Visual+AI+5S+menditeksi+Violation%3A+METALDET1-LINE+6&amp;type=phone_number&amp;app_absent=0</v>
      </c>
      <c r="AF810" t="b">
        <f>IF(ISNA(VLOOKUP(D810&amp;"-"&amp;AB810, Ref_Kontak!$A:$E, 4, FALSE)), FALSE, TRUE)</f>
        <v>0</v>
      </c>
      <c r="AG810" t="str">
        <f>_xlfn.IFNA(VLOOKUP(Z810,Ref_Kontak!H:H,1,FALSE),"FALSE")</f>
        <v>628999007703</v>
      </c>
      <c r="AH810" t="str">
        <f t="shared" si="77"/>
        <v>METALDET1-LINE 6</v>
      </c>
      <c r="AI810">
        <f>COUNTIF($AH$1:AH810,AH810)</f>
        <v>139</v>
      </c>
    </row>
    <row r="811" spans="1:35">
      <c r="A811" t="s">
        <v>56</v>
      </c>
      <c r="B811" t="s">
        <v>57</v>
      </c>
      <c r="C811" t="s">
        <v>805</v>
      </c>
      <c r="D811" t="s">
        <v>609</v>
      </c>
      <c r="E811">
        <v>1</v>
      </c>
      <c r="G811" t="s">
        <v>665</v>
      </c>
      <c r="I811" t="s">
        <v>61</v>
      </c>
      <c r="Z811" t="str">
        <f>IFERROR(MID(AA811,FIND("-",H811,1)+1,20),_xlfn.IFNA(VLOOKUP(F811&amp;"-"&amp;AA811,Ref_Kontak!$A:$E,4,FALSE),Ref_Kontak!$H$2))</f>
        <v>628999007703</v>
      </c>
      <c r="AA811" t="str">
        <f t="shared" si="72"/>
        <v/>
      </c>
      <c r="AB811" t="str">
        <f t="shared" si="73"/>
        <v/>
      </c>
      <c r="AC811" t="str">
        <f t="shared" si="74"/>
        <v>628999007703</v>
      </c>
      <c r="AD811" t="str">
        <f t="shared" si="76"/>
        <v>Halo+,+Visual+AI+5S+menditeksi+Violation%3A+METALDET1-LINE+6</v>
      </c>
      <c r="AE811" t="str">
        <f t="shared" si="75"/>
        <v>https://web.whatsapp.com/send/?phone=628999007703&amp;text=Halo+,+Visual+AI+5S+menditeksi+Violation%3A+METALDET1-LINE+6&amp;type=phone_number&amp;app_absent=0</v>
      </c>
      <c r="AF811" t="b">
        <f>IF(ISNA(VLOOKUP(D811&amp;"-"&amp;AB811, Ref_Kontak!$A:$E, 4, FALSE)), FALSE, TRUE)</f>
        <v>0</v>
      </c>
      <c r="AG811" t="str">
        <f>_xlfn.IFNA(VLOOKUP(Z811,Ref_Kontak!H:H,1,FALSE),"FALSE")</f>
        <v>628999007703</v>
      </c>
      <c r="AH811" t="str">
        <f t="shared" si="77"/>
        <v>METALDET1-LINE 6</v>
      </c>
      <c r="AI811">
        <f>COUNTIF($AH$1:AH811,AH811)</f>
        <v>140</v>
      </c>
    </row>
    <row r="812" spans="1:35">
      <c r="A812" t="s">
        <v>56</v>
      </c>
      <c r="B812" t="s">
        <v>57</v>
      </c>
      <c r="C812" t="s">
        <v>806</v>
      </c>
      <c r="D812" t="s">
        <v>609</v>
      </c>
      <c r="E812">
        <v>1</v>
      </c>
      <c r="G812" t="s">
        <v>665</v>
      </c>
      <c r="I812" t="s">
        <v>61</v>
      </c>
      <c r="Z812" t="str">
        <f>IFERROR(MID(AA812,FIND("-",H812,1)+1,20),_xlfn.IFNA(VLOOKUP(F812&amp;"-"&amp;AA812,Ref_Kontak!$A:$E,4,FALSE),Ref_Kontak!$H$2))</f>
        <v>628999007703</v>
      </c>
      <c r="AA812" t="str">
        <f t="shared" si="72"/>
        <v/>
      </c>
      <c r="AB812" t="str">
        <f t="shared" si="73"/>
        <v/>
      </c>
      <c r="AC812" t="str">
        <f t="shared" si="74"/>
        <v>628999007703</v>
      </c>
      <c r="AD812" t="str">
        <f t="shared" si="76"/>
        <v>Halo+,+Visual+AI+5S+menditeksi+Violation%3A+METALDET1-LINE+6</v>
      </c>
      <c r="AE812" t="str">
        <f t="shared" si="75"/>
        <v>https://web.whatsapp.com/send/?phone=628999007703&amp;text=Halo+,+Visual+AI+5S+menditeksi+Violation%3A+METALDET1-LINE+6&amp;type=phone_number&amp;app_absent=0</v>
      </c>
      <c r="AF812" t="b">
        <f>IF(ISNA(VLOOKUP(D812&amp;"-"&amp;AB812, Ref_Kontak!$A:$E, 4, FALSE)), FALSE, TRUE)</f>
        <v>0</v>
      </c>
      <c r="AG812" t="str">
        <f>_xlfn.IFNA(VLOOKUP(Z812,Ref_Kontak!H:H,1,FALSE),"FALSE")</f>
        <v>628999007703</v>
      </c>
      <c r="AH812" t="str">
        <f t="shared" si="77"/>
        <v>METALDET1-LINE 6</v>
      </c>
      <c r="AI812">
        <f>COUNTIF($AH$1:AH812,AH812)</f>
        <v>141</v>
      </c>
    </row>
    <row r="813" spans="1:35">
      <c r="A813" t="s">
        <v>56</v>
      </c>
      <c r="B813" t="s">
        <v>57</v>
      </c>
      <c r="C813" t="s">
        <v>807</v>
      </c>
      <c r="D813" t="s">
        <v>609</v>
      </c>
      <c r="E813">
        <v>1</v>
      </c>
      <c r="G813" t="s">
        <v>665</v>
      </c>
      <c r="I813" t="s">
        <v>61</v>
      </c>
      <c r="Z813" t="str">
        <f>IFERROR(MID(AA813,FIND("-",H813,1)+1,20),_xlfn.IFNA(VLOOKUP(F813&amp;"-"&amp;AA813,Ref_Kontak!$A:$E,4,FALSE),Ref_Kontak!$H$2))</f>
        <v>628999007703</v>
      </c>
      <c r="AA813" t="str">
        <f t="shared" si="72"/>
        <v/>
      </c>
      <c r="AB813" t="str">
        <f t="shared" si="73"/>
        <v/>
      </c>
      <c r="AC813" t="str">
        <f t="shared" si="74"/>
        <v>628999007703</v>
      </c>
      <c r="AD813" t="str">
        <f t="shared" si="76"/>
        <v>Halo+,+Visual+AI+5S+menditeksi+Violation%3A+METALDET1-LINE+6</v>
      </c>
      <c r="AE813" t="str">
        <f t="shared" si="75"/>
        <v>https://web.whatsapp.com/send/?phone=628999007703&amp;text=Halo+,+Visual+AI+5S+menditeksi+Violation%3A+METALDET1-LINE+6&amp;type=phone_number&amp;app_absent=0</v>
      </c>
      <c r="AF813" t="b">
        <f>IF(ISNA(VLOOKUP(D813&amp;"-"&amp;AB813, Ref_Kontak!$A:$E, 4, FALSE)), FALSE, TRUE)</f>
        <v>0</v>
      </c>
      <c r="AG813" t="str">
        <f>_xlfn.IFNA(VLOOKUP(Z813,Ref_Kontak!H:H,1,FALSE),"FALSE")</f>
        <v>628999007703</v>
      </c>
      <c r="AH813" t="str">
        <f t="shared" si="77"/>
        <v>METALDET1-LINE 6</v>
      </c>
      <c r="AI813">
        <f>COUNTIF($AH$1:AH813,AH813)</f>
        <v>142</v>
      </c>
    </row>
    <row r="814" spans="1:35">
      <c r="A814" t="s">
        <v>56</v>
      </c>
      <c r="B814" t="s">
        <v>57</v>
      </c>
      <c r="C814" t="s">
        <v>808</v>
      </c>
      <c r="D814" t="s">
        <v>609</v>
      </c>
      <c r="E814">
        <v>1</v>
      </c>
      <c r="G814" t="s">
        <v>665</v>
      </c>
      <c r="I814" t="s">
        <v>61</v>
      </c>
      <c r="Z814" t="str">
        <f>IFERROR(MID(AA814,FIND("-",H814,1)+1,20),_xlfn.IFNA(VLOOKUP(F814&amp;"-"&amp;AA814,Ref_Kontak!$A:$E,4,FALSE),Ref_Kontak!$H$2))</f>
        <v>628999007703</v>
      </c>
      <c r="AA814" t="str">
        <f t="shared" si="72"/>
        <v/>
      </c>
      <c r="AB814" t="str">
        <f t="shared" si="73"/>
        <v/>
      </c>
      <c r="AC814" t="str">
        <f t="shared" si="74"/>
        <v>628999007703</v>
      </c>
      <c r="AD814" t="str">
        <f t="shared" si="76"/>
        <v>Halo+,+Visual+AI+5S+menditeksi+Violation%3A+METALDET1-LINE+6</v>
      </c>
      <c r="AE814" t="str">
        <f t="shared" si="75"/>
        <v>https://web.whatsapp.com/send/?phone=628999007703&amp;text=Halo+,+Visual+AI+5S+menditeksi+Violation%3A+METALDET1-LINE+6&amp;type=phone_number&amp;app_absent=0</v>
      </c>
      <c r="AF814" t="b">
        <f>IF(ISNA(VLOOKUP(D814&amp;"-"&amp;AB814, Ref_Kontak!$A:$E, 4, FALSE)), FALSE, TRUE)</f>
        <v>0</v>
      </c>
      <c r="AG814" t="str">
        <f>_xlfn.IFNA(VLOOKUP(Z814,Ref_Kontak!H:H,1,FALSE),"FALSE")</f>
        <v>628999007703</v>
      </c>
      <c r="AH814" t="str">
        <f t="shared" si="77"/>
        <v>METALDET1-LINE 6</v>
      </c>
      <c r="AI814">
        <f>COUNTIF($AH$1:AH814,AH814)</f>
        <v>143</v>
      </c>
    </row>
    <row r="815" spans="1:35">
      <c r="A815" t="s">
        <v>56</v>
      </c>
      <c r="B815" t="s">
        <v>57</v>
      </c>
      <c r="C815" t="s">
        <v>809</v>
      </c>
      <c r="D815" t="s">
        <v>609</v>
      </c>
      <c r="E815">
        <v>1</v>
      </c>
      <c r="G815" t="s">
        <v>665</v>
      </c>
      <c r="I815" t="s">
        <v>61</v>
      </c>
      <c r="Z815" t="str">
        <f>IFERROR(MID(AA815,FIND("-",H815,1)+1,20),_xlfn.IFNA(VLOOKUP(F815&amp;"-"&amp;AA815,Ref_Kontak!$A:$E,4,FALSE),Ref_Kontak!$H$2))</f>
        <v>628999007703</v>
      </c>
      <c r="AA815" t="str">
        <f t="shared" si="72"/>
        <v/>
      </c>
      <c r="AB815" t="str">
        <f t="shared" si="73"/>
        <v/>
      </c>
      <c r="AC815" t="str">
        <f t="shared" si="74"/>
        <v>628999007703</v>
      </c>
      <c r="AD815" t="str">
        <f t="shared" si="76"/>
        <v>Halo+,+Visual+AI+5S+menditeksi+Violation%3A+METALDET1-LINE+6</v>
      </c>
      <c r="AE815" t="str">
        <f t="shared" si="75"/>
        <v>https://web.whatsapp.com/send/?phone=628999007703&amp;text=Halo+,+Visual+AI+5S+menditeksi+Violation%3A+METALDET1-LINE+6&amp;type=phone_number&amp;app_absent=0</v>
      </c>
      <c r="AF815" t="b">
        <f>IF(ISNA(VLOOKUP(D815&amp;"-"&amp;AB815, Ref_Kontak!$A:$E, 4, FALSE)), FALSE, TRUE)</f>
        <v>0</v>
      </c>
      <c r="AG815" t="str">
        <f>_xlfn.IFNA(VLOOKUP(Z815,Ref_Kontak!H:H,1,FALSE),"FALSE")</f>
        <v>628999007703</v>
      </c>
      <c r="AH815" t="str">
        <f t="shared" si="77"/>
        <v>METALDET1-LINE 6</v>
      </c>
      <c r="AI815">
        <f>COUNTIF($AH$1:AH815,AH815)</f>
        <v>144</v>
      </c>
    </row>
    <row r="816" spans="1:35">
      <c r="A816" t="s">
        <v>56</v>
      </c>
      <c r="B816" t="s">
        <v>57</v>
      </c>
      <c r="C816" t="s">
        <v>810</v>
      </c>
      <c r="D816" t="s">
        <v>609</v>
      </c>
      <c r="E816">
        <v>1</v>
      </c>
      <c r="G816" t="s">
        <v>665</v>
      </c>
      <c r="I816" t="s">
        <v>61</v>
      </c>
      <c r="Z816" t="str">
        <f>IFERROR(MID(AA816,FIND("-",H816,1)+1,20),_xlfn.IFNA(VLOOKUP(F816&amp;"-"&amp;AA816,Ref_Kontak!$A:$E,4,FALSE),Ref_Kontak!$H$2))</f>
        <v>628999007703</v>
      </c>
      <c r="AA816" t="str">
        <f t="shared" si="72"/>
        <v/>
      </c>
      <c r="AB816" t="str">
        <f t="shared" si="73"/>
        <v/>
      </c>
      <c r="AC816" t="str">
        <f t="shared" si="74"/>
        <v>628999007703</v>
      </c>
      <c r="AD816" t="str">
        <f t="shared" si="76"/>
        <v>Halo+,+Visual+AI+5S+menditeksi+Violation%3A+METALDET1-LINE+6</v>
      </c>
      <c r="AE816" t="str">
        <f t="shared" si="75"/>
        <v>https://web.whatsapp.com/send/?phone=628999007703&amp;text=Halo+,+Visual+AI+5S+menditeksi+Violation%3A+METALDET1-LINE+6&amp;type=phone_number&amp;app_absent=0</v>
      </c>
      <c r="AF816" t="b">
        <f>IF(ISNA(VLOOKUP(D816&amp;"-"&amp;AB816, Ref_Kontak!$A:$E, 4, FALSE)), FALSE, TRUE)</f>
        <v>0</v>
      </c>
      <c r="AG816" t="str">
        <f>_xlfn.IFNA(VLOOKUP(Z816,Ref_Kontak!H:H,1,FALSE),"FALSE")</f>
        <v>628999007703</v>
      </c>
      <c r="AH816" t="str">
        <f t="shared" si="77"/>
        <v>METALDET1-LINE 6</v>
      </c>
      <c r="AI816">
        <f>COUNTIF($AH$1:AH816,AH816)</f>
        <v>145</v>
      </c>
    </row>
    <row r="817" spans="1:35">
      <c r="A817" t="s">
        <v>56</v>
      </c>
      <c r="B817" t="s">
        <v>57</v>
      </c>
      <c r="C817" t="s">
        <v>811</v>
      </c>
      <c r="D817" t="s">
        <v>609</v>
      </c>
      <c r="E817">
        <v>1</v>
      </c>
      <c r="G817" t="s">
        <v>665</v>
      </c>
      <c r="I817" t="s">
        <v>61</v>
      </c>
      <c r="Z817" t="str">
        <f>IFERROR(MID(AA817,FIND("-",H817,1)+1,20),_xlfn.IFNA(VLOOKUP(F817&amp;"-"&amp;AA817,Ref_Kontak!$A:$E,4,FALSE),Ref_Kontak!$H$2))</f>
        <v>628999007703</v>
      </c>
      <c r="AA817" t="str">
        <f t="shared" si="72"/>
        <v/>
      </c>
      <c r="AB817" t="str">
        <f t="shared" si="73"/>
        <v/>
      </c>
      <c r="AC817" t="str">
        <f t="shared" si="74"/>
        <v>628999007703</v>
      </c>
      <c r="AD817" t="str">
        <f t="shared" si="76"/>
        <v>Halo+,+Visual+AI+5S+menditeksi+Violation%3A+METALDET1-LINE+6</v>
      </c>
      <c r="AE817" t="str">
        <f t="shared" si="75"/>
        <v>https://web.whatsapp.com/send/?phone=628999007703&amp;text=Halo+,+Visual+AI+5S+menditeksi+Violation%3A+METALDET1-LINE+6&amp;type=phone_number&amp;app_absent=0</v>
      </c>
      <c r="AF817" t="b">
        <f>IF(ISNA(VLOOKUP(D817&amp;"-"&amp;AB817, Ref_Kontak!$A:$E, 4, FALSE)), FALSE, TRUE)</f>
        <v>0</v>
      </c>
      <c r="AG817" t="str">
        <f>_xlfn.IFNA(VLOOKUP(Z817,Ref_Kontak!H:H,1,FALSE),"FALSE")</f>
        <v>628999007703</v>
      </c>
      <c r="AH817" t="str">
        <f t="shared" si="77"/>
        <v>METALDET1-LINE 6</v>
      </c>
      <c r="AI817">
        <f>COUNTIF($AH$1:AH817,AH817)</f>
        <v>146</v>
      </c>
    </row>
    <row r="818" spans="1:35">
      <c r="A818" t="s">
        <v>56</v>
      </c>
      <c r="B818" t="s">
        <v>57</v>
      </c>
      <c r="C818" t="s">
        <v>812</v>
      </c>
      <c r="D818" t="s">
        <v>609</v>
      </c>
      <c r="E818">
        <v>1</v>
      </c>
      <c r="G818" t="s">
        <v>665</v>
      </c>
      <c r="I818" t="s">
        <v>61</v>
      </c>
      <c r="Z818" t="str">
        <f>IFERROR(MID(AA818,FIND("-",H818,1)+1,20),_xlfn.IFNA(VLOOKUP(F818&amp;"-"&amp;AA818,Ref_Kontak!$A:$E,4,FALSE),Ref_Kontak!$H$2))</f>
        <v>628999007703</v>
      </c>
      <c r="AA818" t="str">
        <f t="shared" si="72"/>
        <v/>
      </c>
      <c r="AB818" t="str">
        <f t="shared" si="73"/>
        <v/>
      </c>
      <c r="AC818" t="str">
        <f t="shared" si="74"/>
        <v>628999007703</v>
      </c>
      <c r="AD818" t="str">
        <f t="shared" si="76"/>
        <v>Halo+,+Visual+AI+5S+menditeksi+Violation%3A+METALDET1-LINE+6</v>
      </c>
      <c r="AE818" t="str">
        <f t="shared" si="75"/>
        <v>https://web.whatsapp.com/send/?phone=628999007703&amp;text=Halo+,+Visual+AI+5S+menditeksi+Violation%3A+METALDET1-LINE+6&amp;type=phone_number&amp;app_absent=0</v>
      </c>
      <c r="AF818" t="b">
        <f>IF(ISNA(VLOOKUP(D818&amp;"-"&amp;AB818, Ref_Kontak!$A:$E, 4, FALSE)), FALSE, TRUE)</f>
        <v>0</v>
      </c>
      <c r="AG818" t="str">
        <f>_xlfn.IFNA(VLOOKUP(Z818,Ref_Kontak!H:H,1,FALSE),"FALSE")</f>
        <v>628999007703</v>
      </c>
      <c r="AH818" t="str">
        <f t="shared" si="77"/>
        <v>METALDET1-LINE 6</v>
      </c>
      <c r="AI818">
        <f>COUNTIF($AH$1:AH818,AH818)</f>
        <v>147</v>
      </c>
    </row>
    <row r="819" spans="1:35">
      <c r="A819" t="s">
        <v>56</v>
      </c>
      <c r="B819" t="s">
        <v>57</v>
      </c>
      <c r="C819" t="s">
        <v>813</v>
      </c>
      <c r="D819" t="s">
        <v>609</v>
      </c>
      <c r="E819">
        <v>1</v>
      </c>
      <c r="G819" t="s">
        <v>665</v>
      </c>
      <c r="I819" t="s">
        <v>61</v>
      </c>
      <c r="Z819" t="str">
        <f>IFERROR(MID(AA819,FIND("-",H819,1)+1,20),_xlfn.IFNA(VLOOKUP(F819&amp;"-"&amp;AA819,Ref_Kontak!$A:$E,4,FALSE),Ref_Kontak!$H$2))</f>
        <v>628999007703</v>
      </c>
      <c r="AA819" t="str">
        <f t="shared" si="72"/>
        <v/>
      </c>
      <c r="AB819" t="str">
        <f t="shared" si="73"/>
        <v/>
      </c>
      <c r="AC819" t="str">
        <f t="shared" si="74"/>
        <v>628999007703</v>
      </c>
      <c r="AD819" t="str">
        <f t="shared" si="76"/>
        <v>Halo+,+Visual+AI+5S+menditeksi+Violation%3A+METALDET1-LINE+6</v>
      </c>
      <c r="AE819" t="str">
        <f t="shared" si="75"/>
        <v>https://web.whatsapp.com/send/?phone=628999007703&amp;text=Halo+,+Visual+AI+5S+menditeksi+Violation%3A+METALDET1-LINE+6&amp;type=phone_number&amp;app_absent=0</v>
      </c>
      <c r="AF819" t="b">
        <f>IF(ISNA(VLOOKUP(D819&amp;"-"&amp;AB819, Ref_Kontak!$A:$E, 4, FALSE)), FALSE, TRUE)</f>
        <v>0</v>
      </c>
      <c r="AG819" t="str">
        <f>_xlfn.IFNA(VLOOKUP(Z819,Ref_Kontak!H:H,1,FALSE),"FALSE")</f>
        <v>628999007703</v>
      </c>
      <c r="AH819" t="str">
        <f t="shared" si="77"/>
        <v>METALDET1-LINE 6</v>
      </c>
      <c r="AI819">
        <f>COUNTIF($AH$1:AH819,AH819)</f>
        <v>148</v>
      </c>
    </row>
    <row r="820" spans="1:35">
      <c r="A820" t="s">
        <v>56</v>
      </c>
      <c r="B820" t="s">
        <v>57</v>
      </c>
      <c r="C820" t="s">
        <v>814</v>
      </c>
      <c r="D820" t="s">
        <v>609</v>
      </c>
      <c r="E820">
        <v>1</v>
      </c>
      <c r="G820" t="s">
        <v>665</v>
      </c>
      <c r="I820" t="s">
        <v>61</v>
      </c>
      <c r="Z820" t="str">
        <f>IFERROR(MID(AA820,FIND("-",H820,1)+1,20),_xlfn.IFNA(VLOOKUP(F820&amp;"-"&amp;AA820,Ref_Kontak!$A:$E,4,FALSE),Ref_Kontak!$H$2))</f>
        <v>628999007703</v>
      </c>
      <c r="AA820" t="str">
        <f t="shared" si="72"/>
        <v/>
      </c>
      <c r="AB820" t="str">
        <f t="shared" si="73"/>
        <v/>
      </c>
      <c r="AC820" t="str">
        <f t="shared" si="74"/>
        <v>628999007703</v>
      </c>
      <c r="AD820" t="str">
        <f t="shared" si="76"/>
        <v>Halo+,+Visual+AI+5S+menditeksi+Violation%3A+METALDET1-LINE+6</v>
      </c>
      <c r="AE820" t="str">
        <f t="shared" si="75"/>
        <v>https://web.whatsapp.com/send/?phone=628999007703&amp;text=Halo+,+Visual+AI+5S+menditeksi+Violation%3A+METALDET1-LINE+6&amp;type=phone_number&amp;app_absent=0</v>
      </c>
      <c r="AF820" t="b">
        <f>IF(ISNA(VLOOKUP(D820&amp;"-"&amp;AB820, Ref_Kontak!$A:$E, 4, FALSE)), FALSE, TRUE)</f>
        <v>0</v>
      </c>
      <c r="AG820" t="str">
        <f>_xlfn.IFNA(VLOOKUP(Z820,Ref_Kontak!H:H,1,FALSE),"FALSE")</f>
        <v>628999007703</v>
      </c>
      <c r="AH820" t="str">
        <f t="shared" si="77"/>
        <v>METALDET1-LINE 6</v>
      </c>
      <c r="AI820">
        <f>COUNTIF($AH$1:AH820,AH820)</f>
        <v>149</v>
      </c>
    </row>
    <row r="821" spans="1:35">
      <c r="A821" t="s">
        <v>56</v>
      </c>
      <c r="B821" t="s">
        <v>57</v>
      </c>
      <c r="C821" t="s">
        <v>815</v>
      </c>
      <c r="D821" t="s">
        <v>609</v>
      </c>
      <c r="E821">
        <v>1</v>
      </c>
      <c r="G821" t="s">
        <v>665</v>
      </c>
      <c r="I821" t="s">
        <v>61</v>
      </c>
      <c r="Z821" t="str">
        <f>IFERROR(MID(AA821,FIND("-",H821,1)+1,20),_xlfn.IFNA(VLOOKUP(F821&amp;"-"&amp;AA821,Ref_Kontak!$A:$E,4,FALSE),Ref_Kontak!$H$2))</f>
        <v>628999007703</v>
      </c>
      <c r="AA821" t="str">
        <f t="shared" si="72"/>
        <v/>
      </c>
      <c r="AB821" t="str">
        <f t="shared" si="73"/>
        <v/>
      </c>
      <c r="AC821" t="str">
        <f t="shared" si="74"/>
        <v>628999007703</v>
      </c>
      <c r="AD821" t="str">
        <f t="shared" si="76"/>
        <v>Halo+,+Visual+AI+5S+menditeksi+Violation%3A+METALDET1-LINE+6</v>
      </c>
      <c r="AE821" t="str">
        <f t="shared" si="75"/>
        <v>https://web.whatsapp.com/send/?phone=628999007703&amp;text=Halo+,+Visual+AI+5S+menditeksi+Violation%3A+METALDET1-LINE+6&amp;type=phone_number&amp;app_absent=0</v>
      </c>
      <c r="AF821" t="b">
        <f>IF(ISNA(VLOOKUP(D821&amp;"-"&amp;AB821, Ref_Kontak!$A:$E, 4, FALSE)), FALSE, TRUE)</f>
        <v>0</v>
      </c>
      <c r="AG821" t="str">
        <f>_xlfn.IFNA(VLOOKUP(Z821,Ref_Kontak!H:H,1,FALSE),"FALSE")</f>
        <v>628999007703</v>
      </c>
      <c r="AH821" t="str">
        <f t="shared" si="77"/>
        <v>METALDET1-LINE 6</v>
      </c>
      <c r="AI821">
        <f>COUNTIF($AH$1:AH821,AH821)</f>
        <v>150</v>
      </c>
    </row>
    <row r="822" spans="1:35">
      <c r="A822" t="s">
        <v>56</v>
      </c>
      <c r="B822" t="s">
        <v>57</v>
      </c>
      <c r="C822" t="s">
        <v>816</v>
      </c>
      <c r="D822" t="s">
        <v>609</v>
      </c>
      <c r="E822">
        <v>1</v>
      </c>
      <c r="G822" t="s">
        <v>665</v>
      </c>
      <c r="I822" t="s">
        <v>61</v>
      </c>
      <c r="Z822" t="str">
        <f>IFERROR(MID(AA822,FIND("-",H822,1)+1,20),_xlfn.IFNA(VLOOKUP(F822&amp;"-"&amp;AA822,Ref_Kontak!$A:$E,4,FALSE),Ref_Kontak!$H$2))</f>
        <v>628999007703</v>
      </c>
      <c r="AA822" t="str">
        <f t="shared" si="72"/>
        <v/>
      </c>
      <c r="AB822" t="str">
        <f t="shared" si="73"/>
        <v/>
      </c>
      <c r="AC822" t="str">
        <f t="shared" si="74"/>
        <v>628999007703</v>
      </c>
      <c r="AD822" t="str">
        <f t="shared" si="76"/>
        <v>Halo+,+Visual+AI+5S+menditeksi+Violation%3A+METALDET1-LINE+6</v>
      </c>
      <c r="AE822" t="str">
        <f t="shared" si="75"/>
        <v>https://web.whatsapp.com/send/?phone=628999007703&amp;text=Halo+,+Visual+AI+5S+menditeksi+Violation%3A+METALDET1-LINE+6&amp;type=phone_number&amp;app_absent=0</v>
      </c>
      <c r="AF822" t="b">
        <f>IF(ISNA(VLOOKUP(D822&amp;"-"&amp;AB822, Ref_Kontak!$A:$E, 4, FALSE)), FALSE, TRUE)</f>
        <v>0</v>
      </c>
      <c r="AG822" t="str">
        <f>_xlfn.IFNA(VLOOKUP(Z822,Ref_Kontak!H:H,1,FALSE),"FALSE")</f>
        <v>628999007703</v>
      </c>
      <c r="AH822" t="str">
        <f t="shared" si="77"/>
        <v>METALDET1-LINE 6</v>
      </c>
      <c r="AI822">
        <f>COUNTIF($AH$1:AH822,AH822)</f>
        <v>151</v>
      </c>
    </row>
    <row r="823" spans="1:35">
      <c r="A823" t="s">
        <v>56</v>
      </c>
      <c r="B823" t="s">
        <v>57</v>
      </c>
      <c r="C823" t="s">
        <v>817</v>
      </c>
      <c r="D823" t="s">
        <v>609</v>
      </c>
      <c r="E823">
        <v>1</v>
      </c>
      <c r="G823" t="s">
        <v>665</v>
      </c>
      <c r="I823" t="s">
        <v>61</v>
      </c>
      <c r="Z823" t="str">
        <f>IFERROR(MID(AA823,FIND("-",H823,1)+1,20),_xlfn.IFNA(VLOOKUP(F823&amp;"-"&amp;AA823,Ref_Kontak!$A:$E,4,FALSE),Ref_Kontak!$H$2))</f>
        <v>628999007703</v>
      </c>
      <c r="AA823" t="str">
        <f t="shared" si="72"/>
        <v/>
      </c>
      <c r="AB823" t="str">
        <f t="shared" si="73"/>
        <v/>
      </c>
      <c r="AC823" t="str">
        <f t="shared" si="74"/>
        <v>628999007703</v>
      </c>
      <c r="AD823" t="str">
        <f t="shared" si="76"/>
        <v>Halo+,+Visual+AI+5S+menditeksi+Violation%3A+METALDET1-LINE+6</v>
      </c>
      <c r="AE823" t="str">
        <f t="shared" si="75"/>
        <v>https://web.whatsapp.com/send/?phone=628999007703&amp;text=Halo+,+Visual+AI+5S+menditeksi+Violation%3A+METALDET1-LINE+6&amp;type=phone_number&amp;app_absent=0</v>
      </c>
      <c r="AF823" t="b">
        <f>IF(ISNA(VLOOKUP(D823&amp;"-"&amp;AB823, Ref_Kontak!$A:$E, 4, FALSE)), FALSE, TRUE)</f>
        <v>0</v>
      </c>
      <c r="AG823" t="str">
        <f>_xlfn.IFNA(VLOOKUP(Z823,Ref_Kontak!H:H,1,FALSE),"FALSE")</f>
        <v>628999007703</v>
      </c>
      <c r="AH823" t="str">
        <f t="shared" si="77"/>
        <v>METALDET1-LINE 6</v>
      </c>
      <c r="AI823">
        <f>COUNTIF($AH$1:AH823,AH823)</f>
        <v>152</v>
      </c>
    </row>
    <row r="824" spans="1:35">
      <c r="A824" t="s">
        <v>56</v>
      </c>
      <c r="B824" t="s">
        <v>57</v>
      </c>
      <c r="C824" t="s">
        <v>818</v>
      </c>
      <c r="D824" t="s">
        <v>609</v>
      </c>
      <c r="E824">
        <v>1</v>
      </c>
      <c r="G824" t="s">
        <v>665</v>
      </c>
      <c r="I824" t="s">
        <v>61</v>
      </c>
      <c r="Z824" t="str">
        <f>IFERROR(MID(AA824,FIND("-",H824,1)+1,20),_xlfn.IFNA(VLOOKUP(F824&amp;"-"&amp;AA824,Ref_Kontak!$A:$E,4,FALSE),Ref_Kontak!$H$2))</f>
        <v>628999007703</v>
      </c>
      <c r="AA824" t="str">
        <f t="shared" si="72"/>
        <v/>
      </c>
      <c r="AB824" t="str">
        <f t="shared" si="73"/>
        <v/>
      </c>
      <c r="AC824" t="str">
        <f t="shared" si="74"/>
        <v>628999007703</v>
      </c>
      <c r="AD824" t="str">
        <f t="shared" si="76"/>
        <v>Halo+,+Visual+AI+5S+menditeksi+Violation%3A+METALDET1-LINE+6</v>
      </c>
      <c r="AE824" t="str">
        <f t="shared" si="75"/>
        <v>https://web.whatsapp.com/send/?phone=628999007703&amp;text=Halo+,+Visual+AI+5S+menditeksi+Violation%3A+METALDET1-LINE+6&amp;type=phone_number&amp;app_absent=0</v>
      </c>
      <c r="AF824" t="b">
        <f>IF(ISNA(VLOOKUP(D824&amp;"-"&amp;AB824, Ref_Kontak!$A:$E, 4, FALSE)), FALSE, TRUE)</f>
        <v>0</v>
      </c>
      <c r="AG824" t="str">
        <f>_xlfn.IFNA(VLOOKUP(Z824,Ref_Kontak!H:H,1,FALSE),"FALSE")</f>
        <v>628999007703</v>
      </c>
      <c r="AH824" t="str">
        <f t="shared" si="77"/>
        <v>METALDET1-LINE 6</v>
      </c>
      <c r="AI824">
        <f>COUNTIF($AH$1:AH824,AH824)</f>
        <v>153</v>
      </c>
    </row>
    <row r="825" spans="1:35">
      <c r="A825" t="s">
        <v>56</v>
      </c>
      <c r="B825" t="s">
        <v>57</v>
      </c>
      <c r="C825" t="s">
        <v>819</v>
      </c>
      <c r="D825" t="s">
        <v>609</v>
      </c>
      <c r="E825">
        <v>1</v>
      </c>
      <c r="G825" t="s">
        <v>665</v>
      </c>
      <c r="I825" t="s">
        <v>61</v>
      </c>
      <c r="Z825" t="str">
        <f>IFERROR(MID(AA825,FIND("-",H825,1)+1,20),_xlfn.IFNA(VLOOKUP(F825&amp;"-"&amp;AA825,Ref_Kontak!$A:$E,4,FALSE),Ref_Kontak!$H$2))</f>
        <v>628999007703</v>
      </c>
      <c r="AA825" t="str">
        <f t="shared" si="72"/>
        <v/>
      </c>
      <c r="AB825" t="str">
        <f t="shared" si="73"/>
        <v/>
      </c>
      <c r="AC825" t="str">
        <f t="shared" si="74"/>
        <v>628999007703</v>
      </c>
      <c r="AD825" t="str">
        <f t="shared" si="76"/>
        <v>Halo+,+Visual+AI+5S+menditeksi+Violation%3A+METALDET1-LINE+6</v>
      </c>
      <c r="AE825" t="str">
        <f t="shared" si="75"/>
        <v>https://web.whatsapp.com/send/?phone=628999007703&amp;text=Halo+,+Visual+AI+5S+menditeksi+Violation%3A+METALDET1-LINE+6&amp;type=phone_number&amp;app_absent=0</v>
      </c>
      <c r="AF825" t="b">
        <f>IF(ISNA(VLOOKUP(D825&amp;"-"&amp;AB825, Ref_Kontak!$A:$E, 4, FALSE)), FALSE, TRUE)</f>
        <v>0</v>
      </c>
      <c r="AG825" t="str">
        <f>_xlfn.IFNA(VLOOKUP(Z825,Ref_Kontak!H:H,1,FALSE),"FALSE")</f>
        <v>628999007703</v>
      </c>
      <c r="AH825" t="str">
        <f t="shared" si="77"/>
        <v>METALDET1-LINE 6</v>
      </c>
      <c r="AI825">
        <f>COUNTIF($AH$1:AH825,AH825)</f>
        <v>154</v>
      </c>
    </row>
    <row r="826" spans="1:35">
      <c r="A826" t="s">
        <v>56</v>
      </c>
      <c r="B826" t="s">
        <v>57</v>
      </c>
      <c r="C826" t="s">
        <v>820</v>
      </c>
      <c r="D826" t="s">
        <v>609</v>
      </c>
      <c r="E826">
        <v>1</v>
      </c>
      <c r="G826" t="s">
        <v>665</v>
      </c>
      <c r="I826" t="s">
        <v>61</v>
      </c>
      <c r="Z826" t="str">
        <f>IFERROR(MID(AA826,FIND("-",H826,1)+1,20),_xlfn.IFNA(VLOOKUP(F826&amp;"-"&amp;AA826,Ref_Kontak!$A:$E,4,FALSE),Ref_Kontak!$H$2))</f>
        <v>628999007703</v>
      </c>
      <c r="AA826" t="str">
        <f t="shared" si="72"/>
        <v/>
      </c>
      <c r="AB826" t="str">
        <f t="shared" si="73"/>
        <v/>
      </c>
      <c r="AC826" t="str">
        <f t="shared" si="74"/>
        <v>628999007703</v>
      </c>
      <c r="AD826" t="str">
        <f t="shared" si="76"/>
        <v>Halo+,+Visual+AI+5S+menditeksi+Violation%3A+METALDET1-LINE+6</v>
      </c>
      <c r="AE826" t="str">
        <f t="shared" si="75"/>
        <v>https://web.whatsapp.com/send/?phone=628999007703&amp;text=Halo+,+Visual+AI+5S+menditeksi+Violation%3A+METALDET1-LINE+6&amp;type=phone_number&amp;app_absent=0</v>
      </c>
      <c r="AF826" t="b">
        <f>IF(ISNA(VLOOKUP(D826&amp;"-"&amp;AB826, Ref_Kontak!$A:$E, 4, FALSE)), FALSE, TRUE)</f>
        <v>0</v>
      </c>
      <c r="AG826" t="str">
        <f>_xlfn.IFNA(VLOOKUP(Z826,Ref_Kontak!H:H,1,FALSE),"FALSE")</f>
        <v>628999007703</v>
      </c>
      <c r="AH826" t="str">
        <f t="shared" si="77"/>
        <v>METALDET1-LINE 6</v>
      </c>
      <c r="AI826">
        <f>COUNTIF($AH$1:AH826,AH826)</f>
        <v>155</v>
      </c>
    </row>
    <row r="827" spans="1:35">
      <c r="A827" t="s">
        <v>56</v>
      </c>
      <c r="B827" t="s">
        <v>57</v>
      </c>
      <c r="C827" t="s">
        <v>821</v>
      </c>
      <c r="D827" t="s">
        <v>609</v>
      </c>
      <c r="E827">
        <v>1</v>
      </c>
      <c r="G827" t="s">
        <v>665</v>
      </c>
      <c r="I827" t="s">
        <v>61</v>
      </c>
      <c r="Z827" t="str">
        <f>IFERROR(MID(AA827,FIND("-",H827,1)+1,20),_xlfn.IFNA(VLOOKUP(F827&amp;"-"&amp;AA827,Ref_Kontak!$A:$E,4,FALSE),Ref_Kontak!$H$2))</f>
        <v>628999007703</v>
      </c>
      <c r="AA827" t="str">
        <f t="shared" si="72"/>
        <v/>
      </c>
      <c r="AB827" t="str">
        <f t="shared" si="73"/>
        <v/>
      </c>
      <c r="AC827" t="str">
        <f t="shared" si="74"/>
        <v>628999007703</v>
      </c>
      <c r="AD827" t="str">
        <f t="shared" si="76"/>
        <v>Halo+,+Visual+AI+5S+menditeksi+Violation%3A+METALDET1-LINE+6</v>
      </c>
      <c r="AE827" t="str">
        <f t="shared" si="75"/>
        <v>https://web.whatsapp.com/send/?phone=628999007703&amp;text=Halo+,+Visual+AI+5S+menditeksi+Violation%3A+METALDET1-LINE+6&amp;type=phone_number&amp;app_absent=0</v>
      </c>
      <c r="AF827" t="b">
        <f>IF(ISNA(VLOOKUP(D827&amp;"-"&amp;AB827, Ref_Kontak!$A:$E, 4, FALSE)), FALSE, TRUE)</f>
        <v>0</v>
      </c>
      <c r="AG827" t="str">
        <f>_xlfn.IFNA(VLOOKUP(Z827,Ref_Kontak!H:H,1,FALSE),"FALSE")</f>
        <v>628999007703</v>
      </c>
      <c r="AH827" t="str">
        <f t="shared" si="77"/>
        <v>METALDET1-LINE 6</v>
      </c>
      <c r="AI827">
        <f>COUNTIF($AH$1:AH827,AH827)</f>
        <v>156</v>
      </c>
    </row>
    <row r="828" spans="1:35">
      <c r="A828" t="s">
        <v>56</v>
      </c>
      <c r="B828" t="s">
        <v>57</v>
      </c>
      <c r="C828" t="s">
        <v>822</v>
      </c>
      <c r="D828" t="s">
        <v>609</v>
      </c>
      <c r="E828">
        <v>1</v>
      </c>
      <c r="G828" t="s">
        <v>665</v>
      </c>
      <c r="I828" t="s">
        <v>61</v>
      </c>
      <c r="Z828" t="str">
        <f>IFERROR(MID(AA828,FIND("-",H828,1)+1,20),_xlfn.IFNA(VLOOKUP(F828&amp;"-"&amp;AA828,Ref_Kontak!$A:$E,4,FALSE),Ref_Kontak!$H$2))</f>
        <v>628999007703</v>
      </c>
      <c r="AA828" t="str">
        <f t="shared" si="72"/>
        <v/>
      </c>
      <c r="AB828" t="str">
        <f t="shared" si="73"/>
        <v/>
      </c>
      <c r="AC828" t="str">
        <f t="shared" si="74"/>
        <v>628999007703</v>
      </c>
      <c r="AD828" t="str">
        <f t="shared" si="76"/>
        <v>Halo+,+Visual+AI+5S+menditeksi+Violation%3A+METALDET1-LINE+6</v>
      </c>
      <c r="AE828" t="str">
        <f t="shared" si="75"/>
        <v>https://web.whatsapp.com/send/?phone=628999007703&amp;text=Halo+,+Visual+AI+5S+menditeksi+Violation%3A+METALDET1-LINE+6&amp;type=phone_number&amp;app_absent=0</v>
      </c>
      <c r="AF828" t="b">
        <f>IF(ISNA(VLOOKUP(D828&amp;"-"&amp;AB828, Ref_Kontak!$A:$E, 4, FALSE)), FALSE, TRUE)</f>
        <v>0</v>
      </c>
      <c r="AG828" t="str">
        <f>_xlfn.IFNA(VLOOKUP(Z828,Ref_Kontak!H:H,1,FALSE),"FALSE")</f>
        <v>628999007703</v>
      </c>
      <c r="AH828" t="str">
        <f t="shared" si="77"/>
        <v>METALDET1-LINE 6</v>
      </c>
      <c r="AI828">
        <f>COUNTIF($AH$1:AH828,AH828)</f>
        <v>157</v>
      </c>
    </row>
    <row r="829" spans="1:35">
      <c r="A829" t="s">
        <v>56</v>
      </c>
      <c r="B829" t="s">
        <v>57</v>
      </c>
      <c r="C829" t="s">
        <v>823</v>
      </c>
      <c r="D829" t="s">
        <v>609</v>
      </c>
      <c r="E829">
        <v>1</v>
      </c>
      <c r="G829" t="s">
        <v>665</v>
      </c>
      <c r="I829" t="s">
        <v>61</v>
      </c>
      <c r="Z829" t="str">
        <f>IFERROR(MID(AA829,FIND("-",H829,1)+1,20),_xlfn.IFNA(VLOOKUP(F829&amp;"-"&amp;AA829,Ref_Kontak!$A:$E,4,FALSE),Ref_Kontak!$H$2))</f>
        <v>628999007703</v>
      </c>
      <c r="AA829" t="str">
        <f t="shared" si="72"/>
        <v/>
      </c>
      <c r="AB829" t="str">
        <f t="shared" si="73"/>
        <v/>
      </c>
      <c r="AC829" t="str">
        <f t="shared" si="74"/>
        <v>628999007703</v>
      </c>
      <c r="AD829" t="str">
        <f t="shared" si="76"/>
        <v>Halo+,+Visual+AI+5S+menditeksi+Violation%3A+METALDET1-LINE+6</v>
      </c>
      <c r="AE829" t="str">
        <f t="shared" si="75"/>
        <v>https://web.whatsapp.com/send/?phone=628999007703&amp;text=Halo+,+Visual+AI+5S+menditeksi+Violation%3A+METALDET1-LINE+6&amp;type=phone_number&amp;app_absent=0</v>
      </c>
      <c r="AF829" t="b">
        <f>IF(ISNA(VLOOKUP(D829&amp;"-"&amp;AB829, Ref_Kontak!$A:$E, 4, FALSE)), FALSE, TRUE)</f>
        <v>0</v>
      </c>
      <c r="AG829" t="str">
        <f>_xlfn.IFNA(VLOOKUP(Z829,Ref_Kontak!H:H,1,FALSE),"FALSE")</f>
        <v>628999007703</v>
      </c>
      <c r="AH829" t="str">
        <f t="shared" si="77"/>
        <v>METALDET1-LINE 6</v>
      </c>
      <c r="AI829">
        <f>COUNTIF($AH$1:AH829,AH829)</f>
        <v>158</v>
      </c>
    </row>
    <row r="830" spans="1:35">
      <c r="A830" t="s">
        <v>56</v>
      </c>
      <c r="B830" t="s">
        <v>57</v>
      </c>
      <c r="C830" t="s">
        <v>824</v>
      </c>
      <c r="D830" t="s">
        <v>609</v>
      </c>
      <c r="E830">
        <v>1</v>
      </c>
      <c r="G830" t="s">
        <v>665</v>
      </c>
      <c r="I830" t="s">
        <v>61</v>
      </c>
      <c r="Z830" t="str">
        <f>IFERROR(MID(AA830,FIND("-",H830,1)+1,20),_xlfn.IFNA(VLOOKUP(F830&amp;"-"&amp;AA830,Ref_Kontak!$A:$E,4,FALSE),Ref_Kontak!$H$2))</f>
        <v>628999007703</v>
      </c>
      <c r="AA830" t="str">
        <f t="shared" si="72"/>
        <v/>
      </c>
      <c r="AB830" t="str">
        <f t="shared" si="73"/>
        <v/>
      </c>
      <c r="AC830" t="str">
        <f t="shared" si="74"/>
        <v>628999007703</v>
      </c>
      <c r="AD830" t="str">
        <f t="shared" si="76"/>
        <v>Halo+,+Visual+AI+5S+menditeksi+Violation%3A+METALDET1-LINE+6</v>
      </c>
      <c r="AE830" t="str">
        <f t="shared" si="75"/>
        <v>https://web.whatsapp.com/send/?phone=628999007703&amp;text=Halo+,+Visual+AI+5S+menditeksi+Violation%3A+METALDET1-LINE+6&amp;type=phone_number&amp;app_absent=0</v>
      </c>
      <c r="AF830" t="b">
        <f>IF(ISNA(VLOOKUP(D830&amp;"-"&amp;AB830, Ref_Kontak!$A:$E, 4, FALSE)), FALSE, TRUE)</f>
        <v>0</v>
      </c>
      <c r="AG830" t="str">
        <f>_xlfn.IFNA(VLOOKUP(Z830,Ref_Kontak!H:H,1,FALSE),"FALSE")</f>
        <v>628999007703</v>
      </c>
      <c r="AH830" t="str">
        <f t="shared" si="77"/>
        <v>METALDET1-LINE 6</v>
      </c>
      <c r="AI830">
        <f>COUNTIF($AH$1:AH830,AH830)</f>
        <v>159</v>
      </c>
    </row>
    <row r="831" spans="1:35">
      <c r="A831" t="s">
        <v>56</v>
      </c>
      <c r="B831" t="s">
        <v>57</v>
      </c>
      <c r="C831" t="s">
        <v>825</v>
      </c>
      <c r="D831" t="s">
        <v>609</v>
      </c>
      <c r="E831">
        <v>1</v>
      </c>
      <c r="G831" t="s">
        <v>665</v>
      </c>
      <c r="I831" t="s">
        <v>61</v>
      </c>
      <c r="Z831" t="str">
        <f>IFERROR(MID(AA831,FIND("-",H831,1)+1,20),_xlfn.IFNA(VLOOKUP(F831&amp;"-"&amp;AA831,Ref_Kontak!$A:$E,4,FALSE),Ref_Kontak!$H$2))</f>
        <v>628999007703</v>
      </c>
      <c r="AA831" t="str">
        <f t="shared" si="72"/>
        <v/>
      </c>
      <c r="AB831" t="str">
        <f t="shared" si="73"/>
        <v/>
      </c>
      <c r="AC831" t="str">
        <f t="shared" si="74"/>
        <v>628999007703</v>
      </c>
      <c r="AD831" t="str">
        <f t="shared" si="76"/>
        <v>Halo+,+Visual+AI+5S+menditeksi+Violation%3A+METALDET1-LINE+6</v>
      </c>
      <c r="AE831" t="str">
        <f t="shared" si="75"/>
        <v>https://web.whatsapp.com/send/?phone=628999007703&amp;text=Halo+,+Visual+AI+5S+menditeksi+Violation%3A+METALDET1-LINE+6&amp;type=phone_number&amp;app_absent=0</v>
      </c>
      <c r="AF831" t="b">
        <f>IF(ISNA(VLOOKUP(D831&amp;"-"&amp;AB831, Ref_Kontak!$A:$E, 4, FALSE)), FALSE, TRUE)</f>
        <v>0</v>
      </c>
      <c r="AG831" t="str">
        <f>_xlfn.IFNA(VLOOKUP(Z831,Ref_Kontak!H:H,1,FALSE),"FALSE")</f>
        <v>628999007703</v>
      </c>
      <c r="AH831" t="str">
        <f t="shared" si="77"/>
        <v>METALDET1-LINE 6</v>
      </c>
      <c r="AI831">
        <f>COUNTIF($AH$1:AH831,AH831)</f>
        <v>160</v>
      </c>
    </row>
    <row r="832" spans="1:35">
      <c r="A832" t="s">
        <v>56</v>
      </c>
      <c r="B832" t="s">
        <v>57</v>
      </c>
      <c r="C832" t="s">
        <v>826</v>
      </c>
      <c r="D832" t="s">
        <v>609</v>
      </c>
      <c r="E832">
        <v>1</v>
      </c>
      <c r="G832" t="s">
        <v>665</v>
      </c>
      <c r="I832" t="s">
        <v>61</v>
      </c>
      <c r="Z832" t="str">
        <f>IFERROR(MID(AA832,FIND("-",H832,1)+1,20),_xlfn.IFNA(VLOOKUP(F832&amp;"-"&amp;AA832,Ref_Kontak!$A:$E,4,FALSE),Ref_Kontak!$H$2))</f>
        <v>628999007703</v>
      </c>
      <c r="AA832" t="str">
        <f t="shared" si="72"/>
        <v/>
      </c>
      <c r="AB832" t="str">
        <f t="shared" si="73"/>
        <v/>
      </c>
      <c r="AC832" t="str">
        <f t="shared" si="74"/>
        <v>628999007703</v>
      </c>
      <c r="AD832" t="str">
        <f t="shared" si="76"/>
        <v>Halo+,+Visual+AI+5S+menditeksi+Violation%3A+METALDET1-LINE+6</v>
      </c>
      <c r="AE832" t="str">
        <f t="shared" si="75"/>
        <v>https://web.whatsapp.com/send/?phone=628999007703&amp;text=Halo+,+Visual+AI+5S+menditeksi+Violation%3A+METALDET1-LINE+6&amp;type=phone_number&amp;app_absent=0</v>
      </c>
      <c r="AF832" t="b">
        <f>IF(ISNA(VLOOKUP(D832&amp;"-"&amp;AB832, Ref_Kontak!$A:$E, 4, FALSE)), FALSE, TRUE)</f>
        <v>0</v>
      </c>
      <c r="AG832" t="str">
        <f>_xlfn.IFNA(VLOOKUP(Z832,Ref_Kontak!H:H,1,FALSE),"FALSE")</f>
        <v>628999007703</v>
      </c>
      <c r="AH832" t="str">
        <f t="shared" si="77"/>
        <v>METALDET1-LINE 6</v>
      </c>
      <c r="AI832">
        <f>COUNTIF($AH$1:AH832,AH832)</f>
        <v>161</v>
      </c>
    </row>
    <row r="833" spans="1:35">
      <c r="A833" t="s">
        <v>56</v>
      </c>
      <c r="B833" t="s">
        <v>57</v>
      </c>
      <c r="C833" t="s">
        <v>827</v>
      </c>
      <c r="D833" t="s">
        <v>609</v>
      </c>
      <c r="E833">
        <v>1</v>
      </c>
      <c r="G833" t="s">
        <v>665</v>
      </c>
      <c r="I833" t="s">
        <v>61</v>
      </c>
      <c r="Z833" t="str">
        <f>IFERROR(MID(AA833,FIND("-",H833,1)+1,20),_xlfn.IFNA(VLOOKUP(F833&amp;"-"&amp;AA833,Ref_Kontak!$A:$E,4,FALSE),Ref_Kontak!$H$2))</f>
        <v>628999007703</v>
      </c>
      <c r="AA833" t="str">
        <f t="shared" si="72"/>
        <v/>
      </c>
      <c r="AB833" t="str">
        <f t="shared" si="73"/>
        <v/>
      </c>
      <c r="AC833" t="str">
        <f t="shared" si="74"/>
        <v>628999007703</v>
      </c>
      <c r="AD833" t="str">
        <f t="shared" si="76"/>
        <v>Halo+,+Visual+AI+5S+menditeksi+Violation%3A+METALDET1-LINE+6</v>
      </c>
      <c r="AE833" t="str">
        <f t="shared" si="75"/>
        <v>https://web.whatsapp.com/send/?phone=628999007703&amp;text=Halo+,+Visual+AI+5S+menditeksi+Violation%3A+METALDET1-LINE+6&amp;type=phone_number&amp;app_absent=0</v>
      </c>
      <c r="AF833" t="b">
        <f>IF(ISNA(VLOOKUP(D833&amp;"-"&amp;AB833, Ref_Kontak!$A:$E, 4, FALSE)), FALSE, TRUE)</f>
        <v>0</v>
      </c>
      <c r="AG833" t="str">
        <f>_xlfn.IFNA(VLOOKUP(Z833,Ref_Kontak!H:H,1,FALSE),"FALSE")</f>
        <v>628999007703</v>
      </c>
      <c r="AH833" t="str">
        <f t="shared" si="77"/>
        <v>METALDET1-LINE 6</v>
      </c>
      <c r="AI833">
        <f>COUNTIF($AH$1:AH833,AH833)</f>
        <v>162</v>
      </c>
    </row>
    <row r="834" spans="1:35">
      <c r="A834" t="s">
        <v>56</v>
      </c>
      <c r="B834" t="s">
        <v>57</v>
      </c>
      <c r="C834" t="s">
        <v>828</v>
      </c>
      <c r="D834" t="s">
        <v>609</v>
      </c>
      <c r="E834">
        <v>1</v>
      </c>
      <c r="G834" t="s">
        <v>665</v>
      </c>
      <c r="I834" t="s">
        <v>61</v>
      </c>
      <c r="Z834" t="str">
        <f>IFERROR(MID(AA834,FIND("-",H834,1)+1,20),_xlfn.IFNA(VLOOKUP(F834&amp;"-"&amp;AA834,Ref_Kontak!$A:$E,4,FALSE),Ref_Kontak!$H$2))</f>
        <v>628999007703</v>
      </c>
      <c r="AA834" t="str">
        <f t="shared" ref="AA834:AA883" si="78">CLEAN(SUBSTITUTE(H834," ",""))</f>
        <v/>
      </c>
      <c r="AB834" t="str">
        <f t="shared" ref="AB834:AB883" si="79">IFERROR(LEFT(AA834,FIND("-",H834,1)-1),CLEAN(SUBSTITUTE(SUBSTITUTE(H834," ",""),"-","")))</f>
        <v/>
      </c>
      <c r="AC834" t="str">
        <f t="shared" ref="AC834:AC883" si="80">IF(LEFT(Z834,1)="0","62"&amp; MID(Z834,2,999),Z834)</f>
        <v>628999007703</v>
      </c>
      <c r="AD834" t="str">
        <f t="shared" si="76"/>
        <v>Halo+,+Visual+AI+5S+menditeksi+Violation%3A+METALDET1-LINE+6</v>
      </c>
      <c r="AE834" t="str">
        <f t="shared" ref="AE834:AE883" si="81">"https://web.whatsapp.com/send/?phone="&amp;AC834&amp;"&amp;text="&amp;AD834&amp;"&amp;type=phone_number&amp;app_absent=0"</f>
        <v>https://web.whatsapp.com/send/?phone=628999007703&amp;text=Halo+,+Visual+AI+5S+menditeksi+Violation%3A+METALDET1-LINE+6&amp;type=phone_number&amp;app_absent=0</v>
      </c>
      <c r="AF834" t="b">
        <f>IF(ISNA(VLOOKUP(D834&amp;"-"&amp;AB834, Ref_Kontak!$A:$E, 4, FALSE)), FALSE, TRUE)</f>
        <v>0</v>
      </c>
      <c r="AG834" t="str">
        <f>_xlfn.IFNA(VLOOKUP(Z834,Ref_Kontak!H:H,1,FALSE),"FALSE")</f>
        <v>628999007703</v>
      </c>
      <c r="AH834" t="str">
        <f t="shared" si="77"/>
        <v>METALDET1-LINE 6</v>
      </c>
      <c r="AI834">
        <f>COUNTIF($AH$1:AH834,AH834)</f>
        <v>163</v>
      </c>
    </row>
    <row r="835" spans="1:35">
      <c r="A835" t="s">
        <v>56</v>
      </c>
      <c r="B835" t="s">
        <v>57</v>
      </c>
      <c r="C835" t="s">
        <v>829</v>
      </c>
      <c r="D835" t="s">
        <v>609</v>
      </c>
      <c r="E835">
        <v>1</v>
      </c>
      <c r="G835" t="s">
        <v>665</v>
      </c>
      <c r="I835" t="s">
        <v>61</v>
      </c>
      <c r="Z835" t="str">
        <f>IFERROR(MID(AA835,FIND("-",H835,1)+1,20),_xlfn.IFNA(VLOOKUP(F835&amp;"-"&amp;AA835,Ref_Kontak!$A:$E,4,FALSE),Ref_Kontak!$H$2))</f>
        <v>628999007703</v>
      </c>
      <c r="AA835" t="str">
        <f t="shared" si="78"/>
        <v/>
      </c>
      <c r="AB835" t="str">
        <f t="shared" si="79"/>
        <v/>
      </c>
      <c r="AC835" t="str">
        <f t="shared" si="80"/>
        <v>628999007703</v>
      </c>
      <c r="AD835" t="str">
        <f t="shared" ref="AD835:AD883" si="82">"Halo+"&amp;AB835&amp;","&amp;"+Visual+AI+5S+menditeksi+Violation%3A+"&amp;SUBSTITUTE(AH835," ","+")</f>
        <v>Halo+,+Visual+AI+5S+menditeksi+Violation%3A+METALDET1-LINE+6</v>
      </c>
      <c r="AE835" t="str">
        <f t="shared" si="81"/>
        <v>https://web.whatsapp.com/send/?phone=628999007703&amp;text=Halo+,+Visual+AI+5S+menditeksi+Violation%3A+METALDET1-LINE+6&amp;type=phone_number&amp;app_absent=0</v>
      </c>
      <c r="AF835" t="b">
        <f>IF(ISNA(VLOOKUP(D835&amp;"-"&amp;AB835, Ref_Kontak!$A:$E, 4, FALSE)), FALSE, TRUE)</f>
        <v>0</v>
      </c>
      <c r="AG835" t="str">
        <f>_xlfn.IFNA(VLOOKUP(Z835,Ref_Kontak!H:H,1,FALSE),"FALSE")</f>
        <v>628999007703</v>
      </c>
      <c r="AH835" t="str">
        <f t="shared" ref="AH835:AH883" si="83">G835&amp;"-"&amp;D835</f>
        <v>METALDET1-LINE 6</v>
      </c>
      <c r="AI835">
        <f>COUNTIF($AH$1:AH835,AH835)</f>
        <v>164</v>
      </c>
    </row>
    <row r="836" spans="1:35">
      <c r="A836" t="s">
        <v>56</v>
      </c>
      <c r="B836" t="s">
        <v>57</v>
      </c>
      <c r="C836" t="s">
        <v>830</v>
      </c>
      <c r="D836" t="s">
        <v>609</v>
      </c>
      <c r="E836">
        <v>1</v>
      </c>
      <c r="G836" t="s">
        <v>665</v>
      </c>
      <c r="I836" t="s">
        <v>61</v>
      </c>
      <c r="Z836" t="str">
        <f>IFERROR(MID(AA836,FIND("-",H836,1)+1,20),_xlfn.IFNA(VLOOKUP(F836&amp;"-"&amp;AA836,Ref_Kontak!$A:$E,4,FALSE),Ref_Kontak!$H$2))</f>
        <v>628999007703</v>
      </c>
      <c r="AA836" t="str">
        <f t="shared" si="78"/>
        <v/>
      </c>
      <c r="AB836" t="str">
        <f t="shared" si="79"/>
        <v/>
      </c>
      <c r="AC836" t="str">
        <f t="shared" si="80"/>
        <v>628999007703</v>
      </c>
      <c r="AD836" t="str">
        <f t="shared" si="82"/>
        <v>Halo+,+Visual+AI+5S+menditeksi+Violation%3A+METALDET1-LINE+6</v>
      </c>
      <c r="AE836" t="str">
        <f t="shared" si="81"/>
        <v>https://web.whatsapp.com/send/?phone=628999007703&amp;text=Halo+,+Visual+AI+5S+menditeksi+Violation%3A+METALDET1-LINE+6&amp;type=phone_number&amp;app_absent=0</v>
      </c>
      <c r="AF836" t="b">
        <f>IF(ISNA(VLOOKUP(D836&amp;"-"&amp;AB836, Ref_Kontak!$A:$E, 4, FALSE)), FALSE, TRUE)</f>
        <v>0</v>
      </c>
      <c r="AG836" t="str">
        <f>_xlfn.IFNA(VLOOKUP(Z836,Ref_Kontak!H:H,1,FALSE),"FALSE")</f>
        <v>628999007703</v>
      </c>
      <c r="AH836" t="str">
        <f t="shared" si="83"/>
        <v>METALDET1-LINE 6</v>
      </c>
      <c r="AI836">
        <f>COUNTIF($AH$1:AH836,AH836)</f>
        <v>165</v>
      </c>
    </row>
    <row r="837" spans="1:35">
      <c r="A837" t="s">
        <v>56</v>
      </c>
      <c r="B837" t="s">
        <v>57</v>
      </c>
      <c r="C837" t="s">
        <v>831</v>
      </c>
      <c r="D837" t="s">
        <v>832</v>
      </c>
      <c r="E837">
        <v>1</v>
      </c>
      <c r="G837" t="s">
        <v>60</v>
      </c>
      <c r="I837" t="s">
        <v>61</v>
      </c>
      <c r="K837" t="s">
        <v>833</v>
      </c>
      <c r="Z837" t="str">
        <f>IFERROR(MID(AA837,FIND("-",H837,1)+1,20),_xlfn.IFNA(VLOOKUP(F837&amp;"-"&amp;AA837,Ref_Kontak!$A:$E,4,FALSE),Ref_Kontak!$H$2))</f>
        <v>628999007703</v>
      </c>
      <c r="AA837" t="str">
        <f t="shared" si="78"/>
        <v/>
      </c>
      <c r="AB837" t="str">
        <f t="shared" si="79"/>
        <v/>
      </c>
      <c r="AC837" t="str">
        <f t="shared" si="80"/>
        <v>628999007703</v>
      </c>
      <c r="AD837" t="str">
        <f t="shared" si="82"/>
        <v>Halo+,+Visual+AI+5S+menditeksi+Violation%3A+GUDANGEXP1-LINE+14</v>
      </c>
      <c r="AE837" t="str">
        <f t="shared" si="81"/>
        <v>https://web.whatsapp.com/send/?phone=628999007703&amp;text=Halo+,+Visual+AI+5S+menditeksi+Violation%3A+GUDANGEXP1-LINE+14&amp;type=phone_number&amp;app_absent=0</v>
      </c>
      <c r="AF837" t="b">
        <f>IF(ISNA(VLOOKUP(D837&amp;"-"&amp;AB837, Ref_Kontak!$A:$E, 4, FALSE)), FALSE, TRUE)</f>
        <v>0</v>
      </c>
      <c r="AG837" t="str">
        <f>_xlfn.IFNA(VLOOKUP(Z837,Ref_Kontak!H:H,1,FALSE),"FALSE")</f>
        <v>628999007703</v>
      </c>
      <c r="AH837" t="str">
        <f t="shared" si="83"/>
        <v>GUDANGEXP1-LINE 14</v>
      </c>
      <c r="AI837">
        <f>COUNTIF($AH$1:AH837,AH837)</f>
        <v>1</v>
      </c>
    </row>
    <row r="838" spans="1:35">
      <c r="A838" t="s">
        <v>56</v>
      </c>
      <c r="B838" t="s">
        <v>57</v>
      </c>
      <c r="C838" t="s">
        <v>834</v>
      </c>
      <c r="D838" t="s">
        <v>832</v>
      </c>
      <c r="E838">
        <v>1</v>
      </c>
      <c r="G838" t="s">
        <v>60</v>
      </c>
      <c r="I838" t="s">
        <v>61</v>
      </c>
      <c r="Z838" t="str">
        <f>IFERROR(MID(AA838,FIND("-",H838,1)+1,20),_xlfn.IFNA(VLOOKUP(F838&amp;"-"&amp;AA838,Ref_Kontak!$A:$E,4,FALSE),Ref_Kontak!$H$2))</f>
        <v>628999007703</v>
      </c>
      <c r="AA838" t="str">
        <f t="shared" si="78"/>
        <v/>
      </c>
      <c r="AB838" t="str">
        <f t="shared" si="79"/>
        <v/>
      </c>
      <c r="AC838" t="str">
        <f t="shared" si="80"/>
        <v>628999007703</v>
      </c>
      <c r="AD838" t="str">
        <f t="shared" si="82"/>
        <v>Halo+,+Visual+AI+5S+menditeksi+Violation%3A+GUDANGEXP1-LINE+14</v>
      </c>
      <c r="AE838" t="str">
        <f t="shared" si="81"/>
        <v>https://web.whatsapp.com/send/?phone=628999007703&amp;text=Halo+,+Visual+AI+5S+menditeksi+Violation%3A+GUDANGEXP1-LINE+14&amp;type=phone_number&amp;app_absent=0</v>
      </c>
      <c r="AF838" t="b">
        <f>IF(ISNA(VLOOKUP(D838&amp;"-"&amp;AB838, Ref_Kontak!$A:$E, 4, FALSE)), FALSE, TRUE)</f>
        <v>0</v>
      </c>
      <c r="AG838" t="str">
        <f>_xlfn.IFNA(VLOOKUP(Z838,Ref_Kontak!H:H,1,FALSE),"FALSE")</f>
        <v>628999007703</v>
      </c>
      <c r="AH838" t="str">
        <f t="shared" si="83"/>
        <v>GUDANGEXP1-LINE 14</v>
      </c>
      <c r="AI838">
        <f>COUNTIF($AH$1:AH838,AH838)</f>
        <v>2</v>
      </c>
    </row>
    <row r="839" spans="1:35">
      <c r="A839" t="s">
        <v>56</v>
      </c>
      <c r="B839" t="s">
        <v>57</v>
      </c>
      <c r="C839" t="s">
        <v>835</v>
      </c>
      <c r="D839" t="s">
        <v>832</v>
      </c>
      <c r="E839">
        <v>1</v>
      </c>
      <c r="G839" t="s">
        <v>60</v>
      </c>
      <c r="I839" t="s">
        <v>61</v>
      </c>
      <c r="Z839" t="str">
        <f>IFERROR(MID(AA839,FIND("-",H839,1)+1,20),_xlfn.IFNA(VLOOKUP(F839&amp;"-"&amp;AA839,Ref_Kontak!$A:$E,4,FALSE),Ref_Kontak!$H$2))</f>
        <v>628999007703</v>
      </c>
      <c r="AA839" t="str">
        <f t="shared" si="78"/>
        <v/>
      </c>
      <c r="AB839" t="str">
        <f t="shared" si="79"/>
        <v/>
      </c>
      <c r="AC839" t="str">
        <f t="shared" si="80"/>
        <v>628999007703</v>
      </c>
      <c r="AD839" t="str">
        <f t="shared" si="82"/>
        <v>Halo+,+Visual+AI+5S+menditeksi+Violation%3A+GUDANGEXP1-LINE+14</v>
      </c>
      <c r="AE839" t="str">
        <f t="shared" si="81"/>
        <v>https://web.whatsapp.com/send/?phone=628999007703&amp;text=Halo+,+Visual+AI+5S+menditeksi+Violation%3A+GUDANGEXP1-LINE+14&amp;type=phone_number&amp;app_absent=0</v>
      </c>
      <c r="AF839" t="b">
        <f>IF(ISNA(VLOOKUP(D839&amp;"-"&amp;AB839, Ref_Kontak!$A:$E, 4, FALSE)), FALSE, TRUE)</f>
        <v>0</v>
      </c>
      <c r="AG839" t="str">
        <f>_xlfn.IFNA(VLOOKUP(Z839,Ref_Kontak!H:H,1,FALSE),"FALSE")</f>
        <v>628999007703</v>
      </c>
      <c r="AH839" t="str">
        <f t="shared" si="83"/>
        <v>GUDANGEXP1-LINE 14</v>
      </c>
      <c r="AI839">
        <f>COUNTIF($AH$1:AH839,AH839)</f>
        <v>3</v>
      </c>
    </row>
    <row r="840" spans="1:35">
      <c r="A840" t="s">
        <v>56</v>
      </c>
      <c r="B840" t="s">
        <v>57</v>
      </c>
      <c r="C840" t="s">
        <v>836</v>
      </c>
      <c r="D840" t="s">
        <v>832</v>
      </c>
      <c r="E840">
        <v>1</v>
      </c>
      <c r="G840" t="s">
        <v>60</v>
      </c>
      <c r="I840" t="s">
        <v>61</v>
      </c>
      <c r="Z840" t="str">
        <f>IFERROR(MID(AA840,FIND("-",H840,1)+1,20),_xlfn.IFNA(VLOOKUP(F840&amp;"-"&amp;AA840,Ref_Kontak!$A:$E,4,FALSE),Ref_Kontak!$H$2))</f>
        <v>628999007703</v>
      </c>
      <c r="AA840" t="str">
        <f t="shared" si="78"/>
        <v/>
      </c>
      <c r="AB840" t="str">
        <f t="shared" si="79"/>
        <v/>
      </c>
      <c r="AC840" t="str">
        <f t="shared" si="80"/>
        <v>628999007703</v>
      </c>
      <c r="AD840" t="str">
        <f t="shared" si="82"/>
        <v>Halo+,+Visual+AI+5S+menditeksi+Violation%3A+GUDANGEXP1-LINE+14</v>
      </c>
      <c r="AE840" t="str">
        <f t="shared" si="81"/>
        <v>https://web.whatsapp.com/send/?phone=628999007703&amp;text=Halo+,+Visual+AI+5S+menditeksi+Violation%3A+GUDANGEXP1-LINE+14&amp;type=phone_number&amp;app_absent=0</v>
      </c>
      <c r="AF840" t="b">
        <f>IF(ISNA(VLOOKUP(D840&amp;"-"&amp;AB840, Ref_Kontak!$A:$E, 4, FALSE)), FALSE, TRUE)</f>
        <v>0</v>
      </c>
      <c r="AG840" t="str">
        <f>_xlfn.IFNA(VLOOKUP(Z840,Ref_Kontak!H:H,1,FALSE),"FALSE")</f>
        <v>628999007703</v>
      </c>
      <c r="AH840" t="str">
        <f t="shared" si="83"/>
        <v>GUDANGEXP1-LINE 14</v>
      </c>
      <c r="AI840">
        <f>COUNTIF($AH$1:AH840,AH840)</f>
        <v>4</v>
      </c>
    </row>
    <row r="841" spans="1:35">
      <c r="A841" t="s">
        <v>56</v>
      </c>
      <c r="B841" t="s">
        <v>57</v>
      </c>
      <c r="C841" t="s">
        <v>837</v>
      </c>
      <c r="D841" t="s">
        <v>832</v>
      </c>
      <c r="E841">
        <v>1</v>
      </c>
      <c r="G841" t="s">
        <v>60</v>
      </c>
      <c r="I841" t="s">
        <v>61</v>
      </c>
      <c r="Z841" t="str">
        <f>IFERROR(MID(AA841,FIND("-",H841,1)+1,20),_xlfn.IFNA(VLOOKUP(F841&amp;"-"&amp;AA841,Ref_Kontak!$A:$E,4,FALSE),Ref_Kontak!$H$2))</f>
        <v>628999007703</v>
      </c>
      <c r="AA841" t="str">
        <f t="shared" si="78"/>
        <v/>
      </c>
      <c r="AB841" t="str">
        <f t="shared" si="79"/>
        <v/>
      </c>
      <c r="AC841" t="str">
        <f t="shared" si="80"/>
        <v>628999007703</v>
      </c>
      <c r="AD841" t="str">
        <f t="shared" si="82"/>
        <v>Halo+,+Visual+AI+5S+menditeksi+Violation%3A+GUDANGEXP1-LINE+14</v>
      </c>
      <c r="AE841" t="str">
        <f t="shared" si="81"/>
        <v>https://web.whatsapp.com/send/?phone=628999007703&amp;text=Halo+,+Visual+AI+5S+menditeksi+Violation%3A+GUDANGEXP1-LINE+14&amp;type=phone_number&amp;app_absent=0</v>
      </c>
      <c r="AF841" t="b">
        <f>IF(ISNA(VLOOKUP(D841&amp;"-"&amp;AB841, Ref_Kontak!$A:$E, 4, FALSE)), FALSE, TRUE)</f>
        <v>0</v>
      </c>
      <c r="AG841" t="str">
        <f>_xlfn.IFNA(VLOOKUP(Z841,Ref_Kontak!H:H,1,FALSE),"FALSE")</f>
        <v>628999007703</v>
      </c>
      <c r="AH841" t="str">
        <f t="shared" si="83"/>
        <v>GUDANGEXP1-LINE 14</v>
      </c>
      <c r="AI841">
        <f>COUNTIF($AH$1:AH841,AH841)</f>
        <v>5</v>
      </c>
    </row>
    <row r="842" spans="1:35">
      <c r="A842" t="s">
        <v>56</v>
      </c>
      <c r="B842" t="s">
        <v>57</v>
      </c>
      <c r="C842" t="s">
        <v>838</v>
      </c>
      <c r="D842" t="s">
        <v>832</v>
      </c>
      <c r="E842">
        <v>1</v>
      </c>
      <c r="G842" t="s">
        <v>60</v>
      </c>
      <c r="I842" t="s">
        <v>61</v>
      </c>
      <c r="Z842" t="str">
        <f>IFERROR(MID(AA842,FIND("-",H842,1)+1,20),_xlfn.IFNA(VLOOKUP(F842&amp;"-"&amp;AA842,Ref_Kontak!$A:$E,4,FALSE),Ref_Kontak!$H$2))</f>
        <v>628999007703</v>
      </c>
      <c r="AA842" t="str">
        <f t="shared" si="78"/>
        <v/>
      </c>
      <c r="AB842" t="str">
        <f t="shared" si="79"/>
        <v/>
      </c>
      <c r="AC842" t="str">
        <f t="shared" si="80"/>
        <v>628999007703</v>
      </c>
      <c r="AD842" t="str">
        <f t="shared" si="82"/>
        <v>Halo+,+Visual+AI+5S+menditeksi+Violation%3A+GUDANGEXP1-LINE+14</v>
      </c>
      <c r="AE842" t="str">
        <f t="shared" si="81"/>
        <v>https://web.whatsapp.com/send/?phone=628999007703&amp;text=Halo+,+Visual+AI+5S+menditeksi+Violation%3A+GUDANGEXP1-LINE+14&amp;type=phone_number&amp;app_absent=0</v>
      </c>
      <c r="AF842" t="b">
        <f>IF(ISNA(VLOOKUP(D842&amp;"-"&amp;AB842, Ref_Kontak!$A:$E, 4, FALSE)), FALSE, TRUE)</f>
        <v>0</v>
      </c>
      <c r="AG842" t="str">
        <f>_xlfn.IFNA(VLOOKUP(Z842,Ref_Kontak!H:H,1,FALSE),"FALSE")</f>
        <v>628999007703</v>
      </c>
      <c r="AH842" t="str">
        <f t="shared" si="83"/>
        <v>GUDANGEXP1-LINE 14</v>
      </c>
      <c r="AI842">
        <f>COUNTIF($AH$1:AH842,AH842)</f>
        <v>6</v>
      </c>
    </row>
    <row r="843" spans="1:35">
      <c r="A843" t="s">
        <v>56</v>
      </c>
      <c r="B843" t="s">
        <v>57</v>
      </c>
      <c r="C843" t="s">
        <v>839</v>
      </c>
      <c r="D843" t="s">
        <v>832</v>
      </c>
      <c r="E843">
        <v>1</v>
      </c>
      <c r="G843" t="s">
        <v>60</v>
      </c>
      <c r="I843" t="s">
        <v>61</v>
      </c>
      <c r="Z843" t="str">
        <f>IFERROR(MID(AA843,FIND("-",H843,1)+1,20),_xlfn.IFNA(VLOOKUP(F843&amp;"-"&amp;AA843,Ref_Kontak!$A:$E,4,FALSE),Ref_Kontak!$H$2))</f>
        <v>628999007703</v>
      </c>
      <c r="AA843" t="str">
        <f t="shared" si="78"/>
        <v/>
      </c>
      <c r="AB843" t="str">
        <f t="shared" si="79"/>
        <v/>
      </c>
      <c r="AC843" t="str">
        <f t="shared" si="80"/>
        <v>628999007703</v>
      </c>
      <c r="AD843" t="str">
        <f t="shared" si="82"/>
        <v>Halo+,+Visual+AI+5S+menditeksi+Violation%3A+GUDANGEXP1-LINE+14</v>
      </c>
      <c r="AE843" t="str">
        <f t="shared" si="81"/>
        <v>https://web.whatsapp.com/send/?phone=628999007703&amp;text=Halo+,+Visual+AI+5S+menditeksi+Violation%3A+GUDANGEXP1-LINE+14&amp;type=phone_number&amp;app_absent=0</v>
      </c>
      <c r="AF843" t="b">
        <f>IF(ISNA(VLOOKUP(D843&amp;"-"&amp;AB843, Ref_Kontak!$A:$E, 4, FALSE)), FALSE, TRUE)</f>
        <v>0</v>
      </c>
      <c r="AG843" t="str">
        <f>_xlfn.IFNA(VLOOKUP(Z843,Ref_Kontak!H:H,1,FALSE),"FALSE")</f>
        <v>628999007703</v>
      </c>
      <c r="AH843" t="str">
        <f t="shared" si="83"/>
        <v>GUDANGEXP1-LINE 14</v>
      </c>
      <c r="AI843">
        <f>COUNTIF($AH$1:AH843,AH843)</f>
        <v>7</v>
      </c>
    </row>
    <row r="844" spans="1:35">
      <c r="A844" t="s">
        <v>56</v>
      </c>
      <c r="B844" t="s">
        <v>57</v>
      </c>
      <c r="C844" t="s">
        <v>840</v>
      </c>
      <c r="D844" t="s">
        <v>832</v>
      </c>
      <c r="E844">
        <v>1</v>
      </c>
      <c r="G844" t="s">
        <v>60</v>
      </c>
      <c r="I844" t="s">
        <v>61</v>
      </c>
      <c r="Z844" t="str">
        <f>IFERROR(MID(AA844,FIND("-",H844,1)+1,20),_xlfn.IFNA(VLOOKUP(F844&amp;"-"&amp;AA844,Ref_Kontak!$A:$E,4,FALSE),Ref_Kontak!$H$2))</f>
        <v>628999007703</v>
      </c>
      <c r="AA844" t="str">
        <f t="shared" si="78"/>
        <v/>
      </c>
      <c r="AB844" t="str">
        <f t="shared" si="79"/>
        <v/>
      </c>
      <c r="AC844" t="str">
        <f t="shared" si="80"/>
        <v>628999007703</v>
      </c>
      <c r="AD844" t="str">
        <f t="shared" si="82"/>
        <v>Halo+,+Visual+AI+5S+menditeksi+Violation%3A+GUDANGEXP1-LINE+14</v>
      </c>
      <c r="AE844" t="str">
        <f t="shared" si="81"/>
        <v>https://web.whatsapp.com/send/?phone=628999007703&amp;text=Halo+,+Visual+AI+5S+menditeksi+Violation%3A+GUDANGEXP1-LINE+14&amp;type=phone_number&amp;app_absent=0</v>
      </c>
      <c r="AF844" t="b">
        <f>IF(ISNA(VLOOKUP(D844&amp;"-"&amp;AB844, Ref_Kontak!$A:$E, 4, FALSE)), FALSE, TRUE)</f>
        <v>0</v>
      </c>
      <c r="AG844" t="str">
        <f>_xlfn.IFNA(VLOOKUP(Z844,Ref_Kontak!H:H,1,FALSE),"FALSE")</f>
        <v>628999007703</v>
      </c>
      <c r="AH844" t="str">
        <f t="shared" si="83"/>
        <v>GUDANGEXP1-LINE 14</v>
      </c>
      <c r="AI844">
        <f>COUNTIF($AH$1:AH844,AH844)</f>
        <v>8</v>
      </c>
    </row>
    <row r="845" spans="1:35">
      <c r="A845" t="s">
        <v>56</v>
      </c>
      <c r="B845" t="s">
        <v>57</v>
      </c>
      <c r="C845" t="s">
        <v>841</v>
      </c>
      <c r="D845" t="s">
        <v>832</v>
      </c>
      <c r="E845">
        <v>1</v>
      </c>
      <c r="G845" t="s">
        <v>60</v>
      </c>
      <c r="I845" t="s">
        <v>61</v>
      </c>
      <c r="Z845" t="str">
        <f>IFERROR(MID(AA845,FIND("-",H845,1)+1,20),_xlfn.IFNA(VLOOKUP(F845&amp;"-"&amp;AA845,Ref_Kontak!$A:$E,4,FALSE),Ref_Kontak!$H$2))</f>
        <v>628999007703</v>
      </c>
      <c r="AA845" t="str">
        <f t="shared" si="78"/>
        <v/>
      </c>
      <c r="AB845" t="str">
        <f t="shared" si="79"/>
        <v/>
      </c>
      <c r="AC845" t="str">
        <f t="shared" si="80"/>
        <v>628999007703</v>
      </c>
      <c r="AD845" t="str">
        <f t="shared" si="82"/>
        <v>Halo+,+Visual+AI+5S+menditeksi+Violation%3A+GUDANGEXP1-LINE+14</v>
      </c>
      <c r="AE845" t="str">
        <f t="shared" si="81"/>
        <v>https://web.whatsapp.com/send/?phone=628999007703&amp;text=Halo+,+Visual+AI+5S+menditeksi+Violation%3A+GUDANGEXP1-LINE+14&amp;type=phone_number&amp;app_absent=0</v>
      </c>
      <c r="AF845" t="b">
        <f>IF(ISNA(VLOOKUP(D845&amp;"-"&amp;AB845, Ref_Kontak!$A:$E, 4, FALSE)), FALSE, TRUE)</f>
        <v>0</v>
      </c>
      <c r="AG845" t="str">
        <f>_xlfn.IFNA(VLOOKUP(Z845,Ref_Kontak!H:H,1,FALSE),"FALSE")</f>
        <v>628999007703</v>
      </c>
      <c r="AH845" t="str">
        <f t="shared" si="83"/>
        <v>GUDANGEXP1-LINE 14</v>
      </c>
      <c r="AI845">
        <f>COUNTIF($AH$1:AH845,AH845)</f>
        <v>9</v>
      </c>
    </row>
    <row r="846" spans="1:35">
      <c r="A846" t="s">
        <v>56</v>
      </c>
      <c r="B846" t="s">
        <v>57</v>
      </c>
      <c r="C846" t="s">
        <v>842</v>
      </c>
      <c r="D846" t="s">
        <v>832</v>
      </c>
      <c r="E846">
        <v>1</v>
      </c>
      <c r="G846" t="s">
        <v>60</v>
      </c>
      <c r="I846" t="s">
        <v>61</v>
      </c>
      <c r="Z846" t="str">
        <f>IFERROR(MID(AA846,FIND("-",H846,1)+1,20),_xlfn.IFNA(VLOOKUP(F846&amp;"-"&amp;AA846,Ref_Kontak!$A:$E,4,FALSE),Ref_Kontak!$H$2))</f>
        <v>628999007703</v>
      </c>
      <c r="AA846" t="str">
        <f t="shared" si="78"/>
        <v/>
      </c>
      <c r="AB846" t="str">
        <f t="shared" si="79"/>
        <v/>
      </c>
      <c r="AC846" t="str">
        <f t="shared" si="80"/>
        <v>628999007703</v>
      </c>
      <c r="AD846" t="str">
        <f t="shared" si="82"/>
        <v>Halo+,+Visual+AI+5S+menditeksi+Violation%3A+GUDANGEXP1-LINE+14</v>
      </c>
      <c r="AE846" t="str">
        <f t="shared" si="81"/>
        <v>https://web.whatsapp.com/send/?phone=628999007703&amp;text=Halo+,+Visual+AI+5S+menditeksi+Violation%3A+GUDANGEXP1-LINE+14&amp;type=phone_number&amp;app_absent=0</v>
      </c>
      <c r="AF846" t="b">
        <f>IF(ISNA(VLOOKUP(D846&amp;"-"&amp;AB846, Ref_Kontak!$A:$E, 4, FALSE)), FALSE, TRUE)</f>
        <v>0</v>
      </c>
      <c r="AG846" t="str">
        <f>_xlfn.IFNA(VLOOKUP(Z846,Ref_Kontak!H:H,1,FALSE),"FALSE")</f>
        <v>628999007703</v>
      </c>
      <c r="AH846" t="str">
        <f t="shared" si="83"/>
        <v>GUDANGEXP1-LINE 14</v>
      </c>
      <c r="AI846">
        <f>COUNTIF($AH$1:AH846,AH846)</f>
        <v>10</v>
      </c>
    </row>
    <row r="847" spans="1:35">
      <c r="A847" t="s">
        <v>56</v>
      </c>
      <c r="B847" t="s">
        <v>57</v>
      </c>
      <c r="C847" t="s">
        <v>843</v>
      </c>
      <c r="D847" t="s">
        <v>832</v>
      </c>
      <c r="E847">
        <v>1</v>
      </c>
      <c r="G847" t="s">
        <v>60</v>
      </c>
      <c r="I847" t="s">
        <v>61</v>
      </c>
      <c r="Z847" t="str">
        <f>IFERROR(MID(AA847,FIND("-",H847,1)+1,20),_xlfn.IFNA(VLOOKUP(F847&amp;"-"&amp;AA847,Ref_Kontak!$A:$E,4,FALSE),Ref_Kontak!$H$2))</f>
        <v>628999007703</v>
      </c>
      <c r="AA847" t="str">
        <f t="shared" si="78"/>
        <v/>
      </c>
      <c r="AB847" t="str">
        <f t="shared" si="79"/>
        <v/>
      </c>
      <c r="AC847" t="str">
        <f t="shared" si="80"/>
        <v>628999007703</v>
      </c>
      <c r="AD847" t="str">
        <f t="shared" si="82"/>
        <v>Halo+,+Visual+AI+5S+menditeksi+Violation%3A+GUDANGEXP1-LINE+14</v>
      </c>
      <c r="AE847" t="str">
        <f t="shared" si="81"/>
        <v>https://web.whatsapp.com/send/?phone=628999007703&amp;text=Halo+,+Visual+AI+5S+menditeksi+Violation%3A+GUDANGEXP1-LINE+14&amp;type=phone_number&amp;app_absent=0</v>
      </c>
      <c r="AF847" t="b">
        <f>IF(ISNA(VLOOKUP(D847&amp;"-"&amp;AB847, Ref_Kontak!$A:$E, 4, FALSE)), FALSE, TRUE)</f>
        <v>0</v>
      </c>
      <c r="AG847" t="str">
        <f>_xlfn.IFNA(VLOOKUP(Z847,Ref_Kontak!H:H,1,FALSE),"FALSE")</f>
        <v>628999007703</v>
      </c>
      <c r="AH847" t="str">
        <f t="shared" si="83"/>
        <v>GUDANGEXP1-LINE 14</v>
      </c>
      <c r="AI847">
        <f>COUNTIF($AH$1:AH847,AH847)</f>
        <v>11</v>
      </c>
    </row>
    <row r="848" spans="1:35">
      <c r="A848" t="s">
        <v>56</v>
      </c>
      <c r="B848" t="s">
        <v>57</v>
      </c>
      <c r="C848" t="s">
        <v>844</v>
      </c>
      <c r="D848" t="s">
        <v>832</v>
      </c>
      <c r="E848">
        <v>1</v>
      </c>
      <c r="G848" t="s">
        <v>60</v>
      </c>
      <c r="I848" t="s">
        <v>61</v>
      </c>
      <c r="Z848" t="str">
        <f>IFERROR(MID(AA848,FIND("-",H848,1)+1,20),_xlfn.IFNA(VLOOKUP(F848&amp;"-"&amp;AA848,Ref_Kontak!$A:$E,4,FALSE),Ref_Kontak!$H$2))</f>
        <v>628999007703</v>
      </c>
      <c r="AA848" t="str">
        <f t="shared" si="78"/>
        <v/>
      </c>
      <c r="AB848" t="str">
        <f t="shared" si="79"/>
        <v/>
      </c>
      <c r="AC848" t="str">
        <f t="shared" si="80"/>
        <v>628999007703</v>
      </c>
      <c r="AD848" t="str">
        <f t="shared" si="82"/>
        <v>Halo+,+Visual+AI+5S+menditeksi+Violation%3A+GUDANGEXP1-LINE+14</v>
      </c>
      <c r="AE848" t="str">
        <f t="shared" si="81"/>
        <v>https://web.whatsapp.com/send/?phone=628999007703&amp;text=Halo+,+Visual+AI+5S+menditeksi+Violation%3A+GUDANGEXP1-LINE+14&amp;type=phone_number&amp;app_absent=0</v>
      </c>
      <c r="AF848" t="b">
        <f>IF(ISNA(VLOOKUP(D848&amp;"-"&amp;AB848, Ref_Kontak!$A:$E, 4, FALSE)), FALSE, TRUE)</f>
        <v>0</v>
      </c>
      <c r="AG848" t="str">
        <f>_xlfn.IFNA(VLOOKUP(Z848,Ref_Kontak!H:H,1,FALSE),"FALSE")</f>
        <v>628999007703</v>
      </c>
      <c r="AH848" t="str">
        <f t="shared" si="83"/>
        <v>GUDANGEXP1-LINE 14</v>
      </c>
      <c r="AI848">
        <f>COUNTIF($AH$1:AH848,AH848)</f>
        <v>12</v>
      </c>
    </row>
    <row r="849" spans="1:35">
      <c r="A849" t="s">
        <v>56</v>
      </c>
      <c r="B849" t="s">
        <v>57</v>
      </c>
      <c r="C849" t="s">
        <v>845</v>
      </c>
      <c r="D849" t="s">
        <v>832</v>
      </c>
      <c r="E849">
        <v>1</v>
      </c>
      <c r="G849" t="s">
        <v>60</v>
      </c>
      <c r="I849" t="s">
        <v>61</v>
      </c>
      <c r="Z849" t="str">
        <f>IFERROR(MID(AA849,FIND("-",H849,1)+1,20),_xlfn.IFNA(VLOOKUP(F849&amp;"-"&amp;AA849,Ref_Kontak!$A:$E,4,FALSE),Ref_Kontak!$H$2))</f>
        <v>628999007703</v>
      </c>
      <c r="AA849" t="str">
        <f t="shared" si="78"/>
        <v/>
      </c>
      <c r="AB849" t="str">
        <f t="shared" si="79"/>
        <v/>
      </c>
      <c r="AC849" t="str">
        <f t="shared" si="80"/>
        <v>628999007703</v>
      </c>
      <c r="AD849" t="str">
        <f t="shared" si="82"/>
        <v>Halo+,+Visual+AI+5S+menditeksi+Violation%3A+GUDANGEXP1-LINE+14</v>
      </c>
      <c r="AE849" t="str">
        <f t="shared" si="81"/>
        <v>https://web.whatsapp.com/send/?phone=628999007703&amp;text=Halo+,+Visual+AI+5S+menditeksi+Violation%3A+GUDANGEXP1-LINE+14&amp;type=phone_number&amp;app_absent=0</v>
      </c>
      <c r="AF849" t="b">
        <f>IF(ISNA(VLOOKUP(D849&amp;"-"&amp;AB849, Ref_Kontak!$A:$E, 4, FALSE)), FALSE, TRUE)</f>
        <v>0</v>
      </c>
      <c r="AG849" t="str">
        <f>_xlfn.IFNA(VLOOKUP(Z849,Ref_Kontak!H:H,1,FALSE),"FALSE")</f>
        <v>628999007703</v>
      </c>
      <c r="AH849" t="str">
        <f t="shared" si="83"/>
        <v>GUDANGEXP1-LINE 14</v>
      </c>
      <c r="AI849">
        <f>COUNTIF($AH$1:AH849,AH849)</f>
        <v>13</v>
      </c>
    </row>
    <row r="850" spans="1:35">
      <c r="A850" t="s">
        <v>56</v>
      </c>
      <c r="B850" t="s">
        <v>57</v>
      </c>
      <c r="C850" t="s">
        <v>846</v>
      </c>
      <c r="D850" t="s">
        <v>832</v>
      </c>
      <c r="E850">
        <v>1</v>
      </c>
      <c r="G850" t="s">
        <v>60</v>
      </c>
      <c r="I850" t="s">
        <v>61</v>
      </c>
      <c r="Z850" t="str">
        <f>IFERROR(MID(AA850,FIND("-",H850,1)+1,20),_xlfn.IFNA(VLOOKUP(F850&amp;"-"&amp;AA850,Ref_Kontak!$A:$E,4,FALSE),Ref_Kontak!$H$2))</f>
        <v>628999007703</v>
      </c>
      <c r="AA850" t="str">
        <f t="shared" si="78"/>
        <v/>
      </c>
      <c r="AB850" t="str">
        <f t="shared" si="79"/>
        <v/>
      </c>
      <c r="AC850" t="str">
        <f t="shared" si="80"/>
        <v>628999007703</v>
      </c>
      <c r="AD850" t="str">
        <f t="shared" si="82"/>
        <v>Halo+,+Visual+AI+5S+menditeksi+Violation%3A+GUDANGEXP1-LINE+14</v>
      </c>
      <c r="AE850" t="str">
        <f t="shared" si="81"/>
        <v>https://web.whatsapp.com/send/?phone=628999007703&amp;text=Halo+,+Visual+AI+5S+menditeksi+Violation%3A+GUDANGEXP1-LINE+14&amp;type=phone_number&amp;app_absent=0</v>
      </c>
      <c r="AF850" t="b">
        <f>IF(ISNA(VLOOKUP(D850&amp;"-"&amp;AB850, Ref_Kontak!$A:$E, 4, FALSE)), FALSE, TRUE)</f>
        <v>0</v>
      </c>
      <c r="AG850" t="str">
        <f>_xlfn.IFNA(VLOOKUP(Z850,Ref_Kontak!H:H,1,FALSE),"FALSE")</f>
        <v>628999007703</v>
      </c>
      <c r="AH850" t="str">
        <f t="shared" si="83"/>
        <v>GUDANGEXP1-LINE 14</v>
      </c>
      <c r="AI850">
        <f>COUNTIF($AH$1:AH850,AH850)</f>
        <v>14</v>
      </c>
    </row>
    <row r="851" spans="1:35">
      <c r="A851" t="s">
        <v>56</v>
      </c>
      <c r="B851" t="s">
        <v>57</v>
      </c>
      <c r="C851" t="s">
        <v>847</v>
      </c>
      <c r="D851" t="s">
        <v>832</v>
      </c>
      <c r="E851">
        <v>1</v>
      </c>
      <c r="G851" t="s">
        <v>60</v>
      </c>
      <c r="I851" t="s">
        <v>61</v>
      </c>
      <c r="Z851" t="str">
        <f>IFERROR(MID(AA851,FIND("-",H851,1)+1,20),_xlfn.IFNA(VLOOKUP(F851&amp;"-"&amp;AA851,Ref_Kontak!$A:$E,4,FALSE),Ref_Kontak!$H$2))</f>
        <v>628999007703</v>
      </c>
      <c r="AA851" t="str">
        <f t="shared" si="78"/>
        <v/>
      </c>
      <c r="AB851" t="str">
        <f t="shared" si="79"/>
        <v/>
      </c>
      <c r="AC851" t="str">
        <f t="shared" si="80"/>
        <v>628999007703</v>
      </c>
      <c r="AD851" t="str">
        <f t="shared" si="82"/>
        <v>Halo+,+Visual+AI+5S+menditeksi+Violation%3A+GUDANGEXP1-LINE+14</v>
      </c>
      <c r="AE851" t="str">
        <f t="shared" si="81"/>
        <v>https://web.whatsapp.com/send/?phone=628999007703&amp;text=Halo+,+Visual+AI+5S+menditeksi+Violation%3A+GUDANGEXP1-LINE+14&amp;type=phone_number&amp;app_absent=0</v>
      </c>
      <c r="AF851" t="b">
        <f>IF(ISNA(VLOOKUP(D851&amp;"-"&amp;AB851, Ref_Kontak!$A:$E, 4, FALSE)), FALSE, TRUE)</f>
        <v>0</v>
      </c>
      <c r="AG851" t="str">
        <f>_xlfn.IFNA(VLOOKUP(Z851,Ref_Kontak!H:H,1,FALSE),"FALSE")</f>
        <v>628999007703</v>
      </c>
      <c r="AH851" t="str">
        <f t="shared" si="83"/>
        <v>GUDANGEXP1-LINE 14</v>
      </c>
      <c r="AI851">
        <f>COUNTIF($AH$1:AH851,AH851)</f>
        <v>15</v>
      </c>
    </row>
    <row r="852" spans="1:35">
      <c r="A852" t="s">
        <v>56</v>
      </c>
      <c r="B852" t="s">
        <v>57</v>
      </c>
      <c r="C852" t="s">
        <v>848</v>
      </c>
      <c r="D852" t="s">
        <v>832</v>
      </c>
      <c r="E852">
        <v>1</v>
      </c>
      <c r="G852" t="s">
        <v>60</v>
      </c>
      <c r="I852" t="s">
        <v>61</v>
      </c>
      <c r="Z852" t="str">
        <f>IFERROR(MID(AA852,FIND("-",H852,1)+1,20),_xlfn.IFNA(VLOOKUP(F852&amp;"-"&amp;AA852,Ref_Kontak!$A:$E,4,FALSE),Ref_Kontak!$H$2))</f>
        <v>628999007703</v>
      </c>
      <c r="AA852" t="str">
        <f t="shared" si="78"/>
        <v/>
      </c>
      <c r="AB852" t="str">
        <f t="shared" si="79"/>
        <v/>
      </c>
      <c r="AC852" t="str">
        <f t="shared" si="80"/>
        <v>628999007703</v>
      </c>
      <c r="AD852" t="str">
        <f t="shared" si="82"/>
        <v>Halo+,+Visual+AI+5S+menditeksi+Violation%3A+GUDANGEXP1-LINE+14</v>
      </c>
      <c r="AE852" t="str">
        <f t="shared" si="81"/>
        <v>https://web.whatsapp.com/send/?phone=628999007703&amp;text=Halo+,+Visual+AI+5S+menditeksi+Violation%3A+GUDANGEXP1-LINE+14&amp;type=phone_number&amp;app_absent=0</v>
      </c>
      <c r="AF852" t="b">
        <f>IF(ISNA(VLOOKUP(D852&amp;"-"&amp;AB852, Ref_Kontak!$A:$E, 4, FALSE)), FALSE, TRUE)</f>
        <v>0</v>
      </c>
      <c r="AG852" t="str">
        <f>_xlfn.IFNA(VLOOKUP(Z852,Ref_Kontak!H:H,1,FALSE),"FALSE")</f>
        <v>628999007703</v>
      </c>
      <c r="AH852" t="str">
        <f t="shared" si="83"/>
        <v>GUDANGEXP1-LINE 14</v>
      </c>
      <c r="AI852">
        <f>COUNTIF($AH$1:AH852,AH852)</f>
        <v>16</v>
      </c>
    </row>
    <row r="853" spans="1:35">
      <c r="A853" t="s">
        <v>56</v>
      </c>
      <c r="B853" t="s">
        <v>57</v>
      </c>
      <c r="C853" t="s">
        <v>849</v>
      </c>
      <c r="D853" t="s">
        <v>832</v>
      </c>
      <c r="E853">
        <v>1</v>
      </c>
      <c r="G853" t="s">
        <v>60</v>
      </c>
      <c r="I853" t="s">
        <v>61</v>
      </c>
      <c r="Z853" t="str">
        <f>IFERROR(MID(AA853,FIND("-",H853,1)+1,20),_xlfn.IFNA(VLOOKUP(F853&amp;"-"&amp;AA853,Ref_Kontak!$A:$E,4,FALSE),Ref_Kontak!$H$2))</f>
        <v>628999007703</v>
      </c>
      <c r="AA853" t="str">
        <f t="shared" si="78"/>
        <v/>
      </c>
      <c r="AB853" t="str">
        <f t="shared" si="79"/>
        <v/>
      </c>
      <c r="AC853" t="str">
        <f t="shared" si="80"/>
        <v>628999007703</v>
      </c>
      <c r="AD853" t="str">
        <f t="shared" si="82"/>
        <v>Halo+,+Visual+AI+5S+menditeksi+Violation%3A+GUDANGEXP1-LINE+14</v>
      </c>
      <c r="AE853" t="str">
        <f t="shared" si="81"/>
        <v>https://web.whatsapp.com/send/?phone=628999007703&amp;text=Halo+,+Visual+AI+5S+menditeksi+Violation%3A+GUDANGEXP1-LINE+14&amp;type=phone_number&amp;app_absent=0</v>
      </c>
      <c r="AF853" t="b">
        <f>IF(ISNA(VLOOKUP(D853&amp;"-"&amp;AB853, Ref_Kontak!$A:$E, 4, FALSE)), FALSE, TRUE)</f>
        <v>0</v>
      </c>
      <c r="AG853" t="str">
        <f>_xlfn.IFNA(VLOOKUP(Z853,Ref_Kontak!H:H,1,FALSE),"FALSE")</f>
        <v>628999007703</v>
      </c>
      <c r="AH853" t="str">
        <f t="shared" si="83"/>
        <v>GUDANGEXP1-LINE 14</v>
      </c>
      <c r="AI853">
        <f>COUNTIF($AH$1:AH853,AH853)</f>
        <v>17</v>
      </c>
    </row>
    <row r="854" spans="1:35">
      <c r="A854" t="s">
        <v>56</v>
      </c>
      <c r="B854" t="s">
        <v>57</v>
      </c>
      <c r="C854" t="s">
        <v>850</v>
      </c>
      <c r="D854" t="s">
        <v>832</v>
      </c>
      <c r="E854">
        <v>1</v>
      </c>
      <c r="G854" t="s">
        <v>60</v>
      </c>
      <c r="I854" t="s">
        <v>61</v>
      </c>
      <c r="Z854" t="str">
        <f>IFERROR(MID(AA854,FIND("-",H854,1)+1,20),_xlfn.IFNA(VLOOKUP(F854&amp;"-"&amp;AA854,Ref_Kontak!$A:$E,4,FALSE),Ref_Kontak!$H$2))</f>
        <v>628999007703</v>
      </c>
      <c r="AA854" t="str">
        <f t="shared" si="78"/>
        <v/>
      </c>
      <c r="AB854" t="str">
        <f t="shared" si="79"/>
        <v/>
      </c>
      <c r="AC854" t="str">
        <f t="shared" si="80"/>
        <v>628999007703</v>
      </c>
      <c r="AD854" t="str">
        <f t="shared" si="82"/>
        <v>Halo+,+Visual+AI+5S+menditeksi+Violation%3A+GUDANGEXP1-LINE+14</v>
      </c>
      <c r="AE854" t="str">
        <f t="shared" si="81"/>
        <v>https://web.whatsapp.com/send/?phone=628999007703&amp;text=Halo+,+Visual+AI+5S+menditeksi+Violation%3A+GUDANGEXP1-LINE+14&amp;type=phone_number&amp;app_absent=0</v>
      </c>
      <c r="AF854" t="b">
        <f>IF(ISNA(VLOOKUP(D854&amp;"-"&amp;AB854, Ref_Kontak!$A:$E, 4, FALSE)), FALSE, TRUE)</f>
        <v>0</v>
      </c>
      <c r="AG854" t="str">
        <f>_xlfn.IFNA(VLOOKUP(Z854,Ref_Kontak!H:H,1,FALSE),"FALSE")</f>
        <v>628999007703</v>
      </c>
      <c r="AH854" t="str">
        <f t="shared" si="83"/>
        <v>GUDANGEXP1-LINE 14</v>
      </c>
      <c r="AI854">
        <f>COUNTIF($AH$1:AH854,AH854)</f>
        <v>18</v>
      </c>
    </row>
    <row r="855" spans="1:35">
      <c r="A855" t="s">
        <v>56</v>
      </c>
      <c r="B855" t="s">
        <v>57</v>
      </c>
      <c r="C855" t="s">
        <v>851</v>
      </c>
      <c r="D855" t="s">
        <v>832</v>
      </c>
      <c r="E855">
        <v>1</v>
      </c>
      <c r="G855" t="s">
        <v>60</v>
      </c>
      <c r="I855" t="s">
        <v>61</v>
      </c>
      <c r="Z855" t="str">
        <f>IFERROR(MID(AA855,FIND("-",H855,1)+1,20),_xlfn.IFNA(VLOOKUP(F855&amp;"-"&amp;AA855,Ref_Kontak!$A:$E,4,FALSE),Ref_Kontak!$H$2))</f>
        <v>628999007703</v>
      </c>
      <c r="AA855" t="str">
        <f t="shared" si="78"/>
        <v/>
      </c>
      <c r="AB855" t="str">
        <f t="shared" si="79"/>
        <v/>
      </c>
      <c r="AC855" t="str">
        <f t="shared" si="80"/>
        <v>628999007703</v>
      </c>
      <c r="AD855" t="str">
        <f t="shared" si="82"/>
        <v>Halo+,+Visual+AI+5S+menditeksi+Violation%3A+GUDANGEXP1-LINE+14</v>
      </c>
      <c r="AE855" t="str">
        <f t="shared" si="81"/>
        <v>https://web.whatsapp.com/send/?phone=628999007703&amp;text=Halo+,+Visual+AI+5S+menditeksi+Violation%3A+GUDANGEXP1-LINE+14&amp;type=phone_number&amp;app_absent=0</v>
      </c>
      <c r="AF855" t="b">
        <f>IF(ISNA(VLOOKUP(D855&amp;"-"&amp;AB855, Ref_Kontak!$A:$E, 4, FALSE)), FALSE, TRUE)</f>
        <v>0</v>
      </c>
      <c r="AG855" t="str">
        <f>_xlfn.IFNA(VLOOKUP(Z855,Ref_Kontak!H:H,1,FALSE),"FALSE")</f>
        <v>628999007703</v>
      </c>
      <c r="AH855" t="str">
        <f t="shared" si="83"/>
        <v>GUDANGEXP1-LINE 14</v>
      </c>
      <c r="AI855">
        <f>COUNTIF($AH$1:AH855,AH855)</f>
        <v>19</v>
      </c>
    </row>
    <row r="856" spans="1:35">
      <c r="A856" t="s">
        <v>56</v>
      </c>
      <c r="B856" t="s">
        <v>57</v>
      </c>
      <c r="C856" t="s">
        <v>852</v>
      </c>
      <c r="D856" t="s">
        <v>832</v>
      </c>
      <c r="E856">
        <v>1</v>
      </c>
      <c r="G856" t="s">
        <v>60</v>
      </c>
      <c r="I856" t="s">
        <v>61</v>
      </c>
      <c r="Z856" t="str">
        <f>IFERROR(MID(AA856,FIND("-",H856,1)+1,20),_xlfn.IFNA(VLOOKUP(F856&amp;"-"&amp;AA856,Ref_Kontak!$A:$E,4,FALSE),Ref_Kontak!$H$2))</f>
        <v>628999007703</v>
      </c>
      <c r="AA856" t="str">
        <f t="shared" si="78"/>
        <v/>
      </c>
      <c r="AB856" t="str">
        <f t="shared" si="79"/>
        <v/>
      </c>
      <c r="AC856" t="str">
        <f t="shared" si="80"/>
        <v>628999007703</v>
      </c>
      <c r="AD856" t="str">
        <f t="shared" si="82"/>
        <v>Halo+,+Visual+AI+5S+menditeksi+Violation%3A+GUDANGEXP1-LINE+14</v>
      </c>
      <c r="AE856" t="str">
        <f t="shared" si="81"/>
        <v>https://web.whatsapp.com/send/?phone=628999007703&amp;text=Halo+,+Visual+AI+5S+menditeksi+Violation%3A+GUDANGEXP1-LINE+14&amp;type=phone_number&amp;app_absent=0</v>
      </c>
      <c r="AF856" t="b">
        <f>IF(ISNA(VLOOKUP(D856&amp;"-"&amp;AB856, Ref_Kontak!$A:$E, 4, FALSE)), FALSE, TRUE)</f>
        <v>0</v>
      </c>
      <c r="AG856" t="str">
        <f>_xlfn.IFNA(VLOOKUP(Z856,Ref_Kontak!H:H,1,FALSE),"FALSE")</f>
        <v>628999007703</v>
      </c>
      <c r="AH856" t="str">
        <f t="shared" si="83"/>
        <v>GUDANGEXP1-LINE 14</v>
      </c>
      <c r="AI856">
        <f>COUNTIF($AH$1:AH856,AH856)</f>
        <v>20</v>
      </c>
    </row>
    <row r="857" spans="1:35">
      <c r="A857" t="s">
        <v>56</v>
      </c>
      <c r="B857" t="s">
        <v>57</v>
      </c>
      <c r="C857" t="s">
        <v>853</v>
      </c>
      <c r="D857" t="s">
        <v>832</v>
      </c>
      <c r="E857">
        <v>1</v>
      </c>
      <c r="G857" t="s">
        <v>60</v>
      </c>
      <c r="I857" t="s">
        <v>61</v>
      </c>
      <c r="Z857" t="str">
        <f>IFERROR(MID(AA857,FIND("-",H857,1)+1,20),_xlfn.IFNA(VLOOKUP(F857&amp;"-"&amp;AA857,Ref_Kontak!$A:$E,4,FALSE),Ref_Kontak!$H$2))</f>
        <v>628999007703</v>
      </c>
      <c r="AA857" t="str">
        <f t="shared" si="78"/>
        <v/>
      </c>
      <c r="AB857" t="str">
        <f t="shared" si="79"/>
        <v/>
      </c>
      <c r="AC857" t="str">
        <f t="shared" si="80"/>
        <v>628999007703</v>
      </c>
      <c r="AD857" t="str">
        <f t="shared" si="82"/>
        <v>Halo+,+Visual+AI+5S+menditeksi+Violation%3A+GUDANGEXP1-LINE+14</v>
      </c>
      <c r="AE857" t="str">
        <f t="shared" si="81"/>
        <v>https://web.whatsapp.com/send/?phone=628999007703&amp;text=Halo+,+Visual+AI+5S+menditeksi+Violation%3A+GUDANGEXP1-LINE+14&amp;type=phone_number&amp;app_absent=0</v>
      </c>
      <c r="AF857" t="b">
        <f>IF(ISNA(VLOOKUP(D857&amp;"-"&amp;AB857, Ref_Kontak!$A:$E, 4, FALSE)), FALSE, TRUE)</f>
        <v>0</v>
      </c>
      <c r="AG857" t="str">
        <f>_xlfn.IFNA(VLOOKUP(Z857,Ref_Kontak!H:H,1,FALSE),"FALSE")</f>
        <v>628999007703</v>
      </c>
      <c r="AH857" t="str">
        <f t="shared" si="83"/>
        <v>GUDANGEXP1-LINE 14</v>
      </c>
      <c r="AI857">
        <f>COUNTIF($AH$1:AH857,AH857)</f>
        <v>21</v>
      </c>
    </row>
    <row r="858" spans="1:35">
      <c r="A858" t="s">
        <v>56</v>
      </c>
      <c r="B858" t="s">
        <v>57</v>
      </c>
      <c r="C858" t="s">
        <v>854</v>
      </c>
      <c r="D858" t="s">
        <v>832</v>
      </c>
      <c r="E858">
        <v>1</v>
      </c>
      <c r="G858" t="s">
        <v>60</v>
      </c>
      <c r="I858" t="s">
        <v>61</v>
      </c>
      <c r="Z858" t="str">
        <f>IFERROR(MID(AA858,FIND("-",H858,1)+1,20),_xlfn.IFNA(VLOOKUP(F858&amp;"-"&amp;AA858,Ref_Kontak!$A:$E,4,FALSE),Ref_Kontak!$H$2))</f>
        <v>628999007703</v>
      </c>
      <c r="AA858" t="str">
        <f t="shared" si="78"/>
        <v/>
      </c>
      <c r="AB858" t="str">
        <f t="shared" si="79"/>
        <v/>
      </c>
      <c r="AC858" t="str">
        <f t="shared" si="80"/>
        <v>628999007703</v>
      </c>
      <c r="AD858" t="str">
        <f t="shared" si="82"/>
        <v>Halo+,+Visual+AI+5S+menditeksi+Violation%3A+GUDANGEXP1-LINE+14</v>
      </c>
      <c r="AE858" t="str">
        <f t="shared" si="81"/>
        <v>https://web.whatsapp.com/send/?phone=628999007703&amp;text=Halo+,+Visual+AI+5S+menditeksi+Violation%3A+GUDANGEXP1-LINE+14&amp;type=phone_number&amp;app_absent=0</v>
      </c>
      <c r="AF858" t="b">
        <f>IF(ISNA(VLOOKUP(D858&amp;"-"&amp;AB858, Ref_Kontak!$A:$E, 4, FALSE)), FALSE, TRUE)</f>
        <v>0</v>
      </c>
      <c r="AG858" t="str">
        <f>_xlfn.IFNA(VLOOKUP(Z858,Ref_Kontak!H:H,1,FALSE),"FALSE")</f>
        <v>628999007703</v>
      </c>
      <c r="AH858" t="str">
        <f t="shared" si="83"/>
        <v>GUDANGEXP1-LINE 14</v>
      </c>
      <c r="AI858">
        <f>COUNTIF($AH$1:AH858,AH858)</f>
        <v>22</v>
      </c>
    </row>
    <row r="859" spans="1:35">
      <c r="A859" t="s">
        <v>56</v>
      </c>
      <c r="B859" t="s">
        <v>57</v>
      </c>
      <c r="C859" t="s">
        <v>855</v>
      </c>
      <c r="D859" t="s">
        <v>832</v>
      </c>
      <c r="E859">
        <v>1</v>
      </c>
      <c r="G859" t="s">
        <v>60</v>
      </c>
      <c r="I859" t="s">
        <v>61</v>
      </c>
      <c r="Z859" t="str">
        <f>IFERROR(MID(AA859,FIND("-",H859,1)+1,20),_xlfn.IFNA(VLOOKUP(F859&amp;"-"&amp;AA859,Ref_Kontak!$A:$E,4,FALSE),Ref_Kontak!$H$2))</f>
        <v>628999007703</v>
      </c>
      <c r="AA859" t="str">
        <f t="shared" si="78"/>
        <v/>
      </c>
      <c r="AB859" t="str">
        <f t="shared" si="79"/>
        <v/>
      </c>
      <c r="AC859" t="str">
        <f t="shared" si="80"/>
        <v>628999007703</v>
      </c>
      <c r="AD859" t="str">
        <f t="shared" si="82"/>
        <v>Halo+,+Visual+AI+5S+menditeksi+Violation%3A+GUDANGEXP1-LINE+14</v>
      </c>
      <c r="AE859" t="str">
        <f t="shared" si="81"/>
        <v>https://web.whatsapp.com/send/?phone=628999007703&amp;text=Halo+,+Visual+AI+5S+menditeksi+Violation%3A+GUDANGEXP1-LINE+14&amp;type=phone_number&amp;app_absent=0</v>
      </c>
      <c r="AF859" t="b">
        <f>IF(ISNA(VLOOKUP(D859&amp;"-"&amp;AB859, Ref_Kontak!$A:$E, 4, FALSE)), FALSE, TRUE)</f>
        <v>0</v>
      </c>
      <c r="AG859" t="str">
        <f>_xlfn.IFNA(VLOOKUP(Z859,Ref_Kontak!H:H,1,FALSE),"FALSE")</f>
        <v>628999007703</v>
      </c>
      <c r="AH859" t="str">
        <f t="shared" si="83"/>
        <v>GUDANGEXP1-LINE 14</v>
      </c>
      <c r="AI859">
        <f>COUNTIF($AH$1:AH859,AH859)</f>
        <v>23</v>
      </c>
    </row>
    <row r="860" spans="1:35">
      <c r="A860" t="s">
        <v>56</v>
      </c>
      <c r="B860" t="s">
        <v>57</v>
      </c>
      <c r="C860" t="s">
        <v>856</v>
      </c>
      <c r="D860" t="s">
        <v>832</v>
      </c>
      <c r="E860">
        <v>1</v>
      </c>
      <c r="G860" t="s">
        <v>60</v>
      </c>
      <c r="I860" t="s">
        <v>61</v>
      </c>
      <c r="Z860" t="str">
        <f>IFERROR(MID(AA860,FIND("-",H860,1)+1,20),_xlfn.IFNA(VLOOKUP(F860&amp;"-"&amp;AA860,Ref_Kontak!$A:$E,4,FALSE),Ref_Kontak!$H$2))</f>
        <v>628999007703</v>
      </c>
      <c r="AA860" t="str">
        <f t="shared" si="78"/>
        <v/>
      </c>
      <c r="AB860" t="str">
        <f t="shared" si="79"/>
        <v/>
      </c>
      <c r="AC860" t="str">
        <f t="shared" si="80"/>
        <v>628999007703</v>
      </c>
      <c r="AD860" t="str">
        <f t="shared" si="82"/>
        <v>Halo+,+Visual+AI+5S+menditeksi+Violation%3A+GUDANGEXP1-LINE+14</v>
      </c>
      <c r="AE860" t="str">
        <f t="shared" si="81"/>
        <v>https://web.whatsapp.com/send/?phone=628999007703&amp;text=Halo+,+Visual+AI+5S+menditeksi+Violation%3A+GUDANGEXP1-LINE+14&amp;type=phone_number&amp;app_absent=0</v>
      </c>
      <c r="AF860" t="b">
        <f>IF(ISNA(VLOOKUP(D860&amp;"-"&amp;AB860, Ref_Kontak!$A:$E, 4, FALSE)), FALSE, TRUE)</f>
        <v>0</v>
      </c>
      <c r="AG860" t="str">
        <f>_xlfn.IFNA(VLOOKUP(Z860,Ref_Kontak!H:H,1,FALSE),"FALSE")</f>
        <v>628999007703</v>
      </c>
      <c r="AH860" t="str">
        <f t="shared" si="83"/>
        <v>GUDANGEXP1-LINE 14</v>
      </c>
      <c r="AI860">
        <f>COUNTIF($AH$1:AH860,AH860)</f>
        <v>24</v>
      </c>
    </row>
    <row r="861" spans="1:35">
      <c r="A861" t="s">
        <v>56</v>
      </c>
      <c r="B861" t="s">
        <v>57</v>
      </c>
      <c r="C861" t="s">
        <v>857</v>
      </c>
      <c r="D861" t="s">
        <v>832</v>
      </c>
      <c r="E861">
        <v>1</v>
      </c>
      <c r="G861" t="s">
        <v>60</v>
      </c>
      <c r="I861" t="s">
        <v>61</v>
      </c>
      <c r="Z861" t="str">
        <f>IFERROR(MID(AA861,FIND("-",H861,1)+1,20),_xlfn.IFNA(VLOOKUP(F861&amp;"-"&amp;AA861,Ref_Kontak!$A:$E,4,FALSE),Ref_Kontak!$H$2))</f>
        <v>628999007703</v>
      </c>
      <c r="AA861" t="str">
        <f t="shared" si="78"/>
        <v/>
      </c>
      <c r="AB861" t="str">
        <f t="shared" si="79"/>
        <v/>
      </c>
      <c r="AC861" t="str">
        <f t="shared" si="80"/>
        <v>628999007703</v>
      </c>
      <c r="AD861" t="str">
        <f t="shared" si="82"/>
        <v>Halo+,+Visual+AI+5S+menditeksi+Violation%3A+GUDANGEXP1-LINE+14</v>
      </c>
      <c r="AE861" t="str">
        <f t="shared" si="81"/>
        <v>https://web.whatsapp.com/send/?phone=628999007703&amp;text=Halo+,+Visual+AI+5S+menditeksi+Violation%3A+GUDANGEXP1-LINE+14&amp;type=phone_number&amp;app_absent=0</v>
      </c>
      <c r="AF861" t="b">
        <f>IF(ISNA(VLOOKUP(D861&amp;"-"&amp;AB861, Ref_Kontak!$A:$E, 4, FALSE)), FALSE, TRUE)</f>
        <v>0</v>
      </c>
      <c r="AG861" t="str">
        <f>_xlfn.IFNA(VLOOKUP(Z861,Ref_Kontak!H:H,1,FALSE),"FALSE")</f>
        <v>628999007703</v>
      </c>
      <c r="AH861" t="str">
        <f t="shared" si="83"/>
        <v>GUDANGEXP1-LINE 14</v>
      </c>
      <c r="AI861">
        <f>COUNTIF($AH$1:AH861,AH861)</f>
        <v>25</v>
      </c>
    </row>
    <row r="862" spans="1:35">
      <c r="A862" t="s">
        <v>56</v>
      </c>
      <c r="B862" t="s">
        <v>57</v>
      </c>
      <c r="C862" t="s">
        <v>858</v>
      </c>
      <c r="D862" t="s">
        <v>832</v>
      </c>
      <c r="E862">
        <v>1</v>
      </c>
      <c r="G862" t="s">
        <v>60</v>
      </c>
      <c r="I862" t="s">
        <v>61</v>
      </c>
      <c r="Z862" t="str">
        <f>IFERROR(MID(AA862,FIND("-",H862,1)+1,20),_xlfn.IFNA(VLOOKUP(F862&amp;"-"&amp;AA862,Ref_Kontak!$A:$E,4,FALSE),Ref_Kontak!$H$2))</f>
        <v>628999007703</v>
      </c>
      <c r="AA862" t="str">
        <f t="shared" si="78"/>
        <v/>
      </c>
      <c r="AB862" t="str">
        <f t="shared" si="79"/>
        <v/>
      </c>
      <c r="AC862" t="str">
        <f t="shared" si="80"/>
        <v>628999007703</v>
      </c>
      <c r="AD862" t="str">
        <f t="shared" si="82"/>
        <v>Halo+,+Visual+AI+5S+menditeksi+Violation%3A+GUDANGEXP1-LINE+14</v>
      </c>
      <c r="AE862" t="str">
        <f t="shared" si="81"/>
        <v>https://web.whatsapp.com/send/?phone=628999007703&amp;text=Halo+,+Visual+AI+5S+menditeksi+Violation%3A+GUDANGEXP1-LINE+14&amp;type=phone_number&amp;app_absent=0</v>
      </c>
      <c r="AF862" t="b">
        <f>IF(ISNA(VLOOKUP(D862&amp;"-"&amp;AB862, Ref_Kontak!$A:$E, 4, FALSE)), FALSE, TRUE)</f>
        <v>0</v>
      </c>
      <c r="AG862" t="str">
        <f>_xlfn.IFNA(VLOOKUP(Z862,Ref_Kontak!H:H,1,FALSE),"FALSE")</f>
        <v>628999007703</v>
      </c>
      <c r="AH862" t="str">
        <f t="shared" si="83"/>
        <v>GUDANGEXP1-LINE 14</v>
      </c>
      <c r="AI862">
        <f>COUNTIF($AH$1:AH862,AH862)</f>
        <v>26</v>
      </c>
    </row>
    <row r="863" spans="1:35">
      <c r="A863" t="s">
        <v>56</v>
      </c>
      <c r="B863" t="s">
        <v>57</v>
      </c>
      <c r="C863" t="s">
        <v>859</v>
      </c>
      <c r="D863" t="s">
        <v>832</v>
      </c>
      <c r="E863">
        <v>1</v>
      </c>
      <c r="G863" t="s">
        <v>60</v>
      </c>
      <c r="I863" t="s">
        <v>61</v>
      </c>
      <c r="Z863" t="str">
        <f>IFERROR(MID(AA863,FIND("-",H863,1)+1,20),_xlfn.IFNA(VLOOKUP(F863&amp;"-"&amp;AA863,Ref_Kontak!$A:$E,4,FALSE),Ref_Kontak!$H$2))</f>
        <v>628999007703</v>
      </c>
      <c r="AA863" t="str">
        <f t="shared" si="78"/>
        <v/>
      </c>
      <c r="AB863" t="str">
        <f t="shared" si="79"/>
        <v/>
      </c>
      <c r="AC863" t="str">
        <f t="shared" si="80"/>
        <v>628999007703</v>
      </c>
      <c r="AD863" t="str">
        <f t="shared" si="82"/>
        <v>Halo+,+Visual+AI+5S+menditeksi+Violation%3A+GUDANGEXP1-LINE+14</v>
      </c>
      <c r="AE863" t="str">
        <f t="shared" si="81"/>
        <v>https://web.whatsapp.com/send/?phone=628999007703&amp;text=Halo+,+Visual+AI+5S+menditeksi+Violation%3A+GUDANGEXP1-LINE+14&amp;type=phone_number&amp;app_absent=0</v>
      </c>
      <c r="AF863" t="b">
        <f>IF(ISNA(VLOOKUP(D863&amp;"-"&amp;AB863, Ref_Kontak!$A:$E, 4, FALSE)), FALSE, TRUE)</f>
        <v>0</v>
      </c>
      <c r="AG863" t="str">
        <f>_xlfn.IFNA(VLOOKUP(Z863,Ref_Kontak!H:H,1,FALSE),"FALSE")</f>
        <v>628999007703</v>
      </c>
      <c r="AH863" t="str">
        <f t="shared" si="83"/>
        <v>GUDANGEXP1-LINE 14</v>
      </c>
      <c r="AI863">
        <f>COUNTIF($AH$1:AH863,AH863)</f>
        <v>27</v>
      </c>
    </row>
    <row r="864" spans="1:35">
      <c r="A864" t="s">
        <v>56</v>
      </c>
      <c r="B864" t="s">
        <v>57</v>
      </c>
      <c r="C864" t="s">
        <v>860</v>
      </c>
      <c r="D864" t="s">
        <v>832</v>
      </c>
      <c r="E864">
        <v>1</v>
      </c>
      <c r="G864" t="s">
        <v>60</v>
      </c>
      <c r="I864" t="s">
        <v>61</v>
      </c>
      <c r="Z864" t="str">
        <f>IFERROR(MID(AA864,FIND("-",H864,1)+1,20),_xlfn.IFNA(VLOOKUP(F864&amp;"-"&amp;AA864,Ref_Kontak!$A:$E,4,FALSE),Ref_Kontak!$H$2))</f>
        <v>628999007703</v>
      </c>
      <c r="AA864" t="str">
        <f t="shared" si="78"/>
        <v/>
      </c>
      <c r="AB864" t="str">
        <f t="shared" si="79"/>
        <v/>
      </c>
      <c r="AC864" t="str">
        <f t="shared" si="80"/>
        <v>628999007703</v>
      </c>
      <c r="AD864" t="str">
        <f t="shared" si="82"/>
        <v>Halo+,+Visual+AI+5S+menditeksi+Violation%3A+GUDANGEXP1-LINE+14</v>
      </c>
      <c r="AE864" t="str">
        <f t="shared" si="81"/>
        <v>https://web.whatsapp.com/send/?phone=628999007703&amp;text=Halo+,+Visual+AI+5S+menditeksi+Violation%3A+GUDANGEXP1-LINE+14&amp;type=phone_number&amp;app_absent=0</v>
      </c>
      <c r="AF864" t="b">
        <f>IF(ISNA(VLOOKUP(D864&amp;"-"&amp;AB864, Ref_Kontak!$A:$E, 4, FALSE)), FALSE, TRUE)</f>
        <v>0</v>
      </c>
      <c r="AG864" t="str">
        <f>_xlfn.IFNA(VLOOKUP(Z864,Ref_Kontak!H:H,1,FALSE),"FALSE")</f>
        <v>628999007703</v>
      </c>
      <c r="AH864" t="str">
        <f t="shared" si="83"/>
        <v>GUDANGEXP1-LINE 14</v>
      </c>
      <c r="AI864">
        <f>COUNTIF($AH$1:AH864,AH864)</f>
        <v>28</v>
      </c>
    </row>
    <row r="865" spans="1:35">
      <c r="A865" t="s">
        <v>56</v>
      </c>
      <c r="B865" t="s">
        <v>57</v>
      </c>
      <c r="C865" t="s">
        <v>861</v>
      </c>
      <c r="D865" t="s">
        <v>832</v>
      </c>
      <c r="E865">
        <v>1</v>
      </c>
      <c r="G865" t="s">
        <v>60</v>
      </c>
      <c r="I865" t="s">
        <v>61</v>
      </c>
      <c r="Z865" t="str">
        <f>IFERROR(MID(AA865,FIND("-",H865,1)+1,20),_xlfn.IFNA(VLOOKUP(F865&amp;"-"&amp;AA865,Ref_Kontak!$A:$E,4,FALSE),Ref_Kontak!$H$2))</f>
        <v>628999007703</v>
      </c>
      <c r="AA865" t="str">
        <f t="shared" si="78"/>
        <v/>
      </c>
      <c r="AB865" t="str">
        <f t="shared" si="79"/>
        <v/>
      </c>
      <c r="AC865" t="str">
        <f t="shared" si="80"/>
        <v>628999007703</v>
      </c>
      <c r="AD865" t="str">
        <f t="shared" si="82"/>
        <v>Halo+,+Visual+AI+5S+menditeksi+Violation%3A+GUDANGEXP1-LINE+14</v>
      </c>
      <c r="AE865" t="str">
        <f t="shared" si="81"/>
        <v>https://web.whatsapp.com/send/?phone=628999007703&amp;text=Halo+,+Visual+AI+5S+menditeksi+Violation%3A+GUDANGEXP1-LINE+14&amp;type=phone_number&amp;app_absent=0</v>
      </c>
      <c r="AF865" t="b">
        <f>IF(ISNA(VLOOKUP(D865&amp;"-"&amp;AB865, Ref_Kontak!$A:$E, 4, FALSE)), FALSE, TRUE)</f>
        <v>0</v>
      </c>
      <c r="AG865" t="str">
        <f>_xlfn.IFNA(VLOOKUP(Z865,Ref_Kontak!H:H,1,FALSE),"FALSE")</f>
        <v>628999007703</v>
      </c>
      <c r="AH865" t="str">
        <f t="shared" si="83"/>
        <v>GUDANGEXP1-LINE 14</v>
      </c>
      <c r="AI865">
        <f>COUNTIF($AH$1:AH865,AH865)</f>
        <v>29</v>
      </c>
    </row>
    <row r="866" spans="1:35">
      <c r="A866" t="s">
        <v>56</v>
      </c>
      <c r="B866" t="s">
        <v>57</v>
      </c>
      <c r="C866" t="s">
        <v>862</v>
      </c>
      <c r="D866" t="s">
        <v>832</v>
      </c>
      <c r="E866">
        <v>1</v>
      </c>
      <c r="G866" t="s">
        <v>60</v>
      </c>
      <c r="I866" t="s">
        <v>61</v>
      </c>
      <c r="Z866" t="str">
        <f>IFERROR(MID(AA866,FIND("-",H866,1)+1,20),_xlfn.IFNA(VLOOKUP(F866&amp;"-"&amp;AA866,Ref_Kontak!$A:$E,4,FALSE),Ref_Kontak!$H$2))</f>
        <v>628999007703</v>
      </c>
      <c r="AA866" t="str">
        <f t="shared" si="78"/>
        <v/>
      </c>
      <c r="AB866" t="str">
        <f t="shared" si="79"/>
        <v/>
      </c>
      <c r="AC866" t="str">
        <f t="shared" si="80"/>
        <v>628999007703</v>
      </c>
      <c r="AD866" t="str">
        <f t="shared" si="82"/>
        <v>Halo+,+Visual+AI+5S+menditeksi+Violation%3A+GUDANGEXP1-LINE+14</v>
      </c>
      <c r="AE866" t="str">
        <f t="shared" si="81"/>
        <v>https://web.whatsapp.com/send/?phone=628999007703&amp;text=Halo+,+Visual+AI+5S+menditeksi+Violation%3A+GUDANGEXP1-LINE+14&amp;type=phone_number&amp;app_absent=0</v>
      </c>
      <c r="AF866" t="b">
        <f>IF(ISNA(VLOOKUP(D866&amp;"-"&amp;AB866, Ref_Kontak!$A:$E, 4, FALSE)), FALSE, TRUE)</f>
        <v>0</v>
      </c>
      <c r="AG866" t="str">
        <f>_xlfn.IFNA(VLOOKUP(Z866,Ref_Kontak!H:H,1,FALSE),"FALSE")</f>
        <v>628999007703</v>
      </c>
      <c r="AH866" t="str">
        <f t="shared" si="83"/>
        <v>GUDANGEXP1-LINE 14</v>
      </c>
      <c r="AI866">
        <f>COUNTIF($AH$1:AH866,AH866)</f>
        <v>30</v>
      </c>
    </row>
    <row r="867" spans="1:35">
      <c r="A867" t="s">
        <v>56</v>
      </c>
      <c r="B867" t="s">
        <v>57</v>
      </c>
      <c r="C867" t="s">
        <v>863</v>
      </c>
      <c r="D867" t="s">
        <v>832</v>
      </c>
      <c r="E867">
        <v>1</v>
      </c>
      <c r="G867" t="s">
        <v>60</v>
      </c>
      <c r="I867" t="s">
        <v>61</v>
      </c>
      <c r="Z867" t="str">
        <f>IFERROR(MID(AA867,FIND("-",H867,1)+1,20),_xlfn.IFNA(VLOOKUP(F867&amp;"-"&amp;AA867,Ref_Kontak!$A:$E,4,FALSE),Ref_Kontak!$H$2))</f>
        <v>628999007703</v>
      </c>
      <c r="AA867" t="str">
        <f t="shared" si="78"/>
        <v/>
      </c>
      <c r="AB867" t="str">
        <f t="shared" si="79"/>
        <v/>
      </c>
      <c r="AC867" t="str">
        <f t="shared" si="80"/>
        <v>628999007703</v>
      </c>
      <c r="AD867" t="str">
        <f t="shared" si="82"/>
        <v>Halo+,+Visual+AI+5S+menditeksi+Violation%3A+GUDANGEXP1-LINE+14</v>
      </c>
      <c r="AE867" t="str">
        <f t="shared" si="81"/>
        <v>https://web.whatsapp.com/send/?phone=628999007703&amp;text=Halo+,+Visual+AI+5S+menditeksi+Violation%3A+GUDANGEXP1-LINE+14&amp;type=phone_number&amp;app_absent=0</v>
      </c>
      <c r="AF867" t="b">
        <f>IF(ISNA(VLOOKUP(D867&amp;"-"&amp;AB867, Ref_Kontak!$A:$E, 4, FALSE)), FALSE, TRUE)</f>
        <v>0</v>
      </c>
      <c r="AG867" t="str">
        <f>_xlfn.IFNA(VLOOKUP(Z867,Ref_Kontak!H:H,1,FALSE),"FALSE")</f>
        <v>628999007703</v>
      </c>
      <c r="AH867" t="str">
        <f t="shared" si="83"/>
        <v>GUDANGEXP1-LINE 14</v>
      </c>
      <c r="AI867">
        <f>COUNTIF($AH$1:AH867,AH867)</f>
        <v>31</v>
      </c>
    </row>
    <row r="868" spans="1:35">
      <c r="A868" t="s">
        <v>56</v>
      </c>
      <c r="B868" t="s">
        <v>57</v>
      </c>
      <c r="C868" t="s">
        <v>864</v>
      </c>
      <c r="D868" t="s">
        <v>832</v>
      </c>
      <c r="E868">
        <v>1</v>
      </c>
      <c r="G868" t="s">
        <v>60</v>
      </c>
      <c r="I868" t="s">
        <v>61</v>
      </c>
      <c r="Z868" t="str">
        <f>IFERROR(MID(AA868,FIND("-",H868,1)+1,20),_xlfn.IFNA(VLOOKUP(F868&amp;"-"&amp;AA868,Ref_Kontak!$A:$E,4,FALSE),Ref_Kontak!$H$2))</f>
        <v>628999007703</v>
      </c>
      <c r="AA868" t="str">
        <f t="shared" si="78"/>
        <v/>
      </c>
      <c r="AB868" t="str">
        <f t="shared" si="79"/>
        <v/>
      </c>
      <c r="AC868" t="str">
        <f t="shared" si="80"/>
        <v>628999007703</v>
      </c>
      <c r="AD868" t="str">
        <f t="shared" si="82"/>
        <v>Halo+,+Visual+AI+5S+menditeksi+Violation%3A+GUDANGEXP1-LINE+14</v>
      </c>
      <c r="AE868" t="str">
        <f t="shared" si="81"/>
        <v>https://web.whatsapp.com/send/?phone=628999007703&amp;text=Halo+,+Visual+AI+5S+menditeksi+Violation%3A+GUDANGEXP1-LINE+14&amp;type=phone_number&amp;app_absent=0</v>
      </c>
      <c r="AF868" t="b">
        <f>IF(ISNA(VLOOKUP(D868&amp;"-"&amp;AB868, Ref_Kontak!$A:$E, 4, FALSE)), FALSE, TRUE)</f>
        <v>0</v>
      </c>
      <c r="AG868" t="str">
        <f>_xlfn.IFNA(VLOOKUP(Z868,Ref_Kontak!H:H,1,FALSE),"FALSE")</f>
        <v>628999007703</v>
      </c>
      <c r="AH868" t="str">
        <f t="shared" si="83"/>
        <v>GUDANGEXP1-LINE 14</v>
      </c>
      <c r="AI868">
        <f>COUNTIF($AH$1:AH868,AH868)</f>
        <v>32</v>
      </c>
    </row>
    <row r="869" spans="1:35">
      <c r="A869" t="s">
        <v>56</v>
      </c>
      <c r="B869" t="s">
        <v>57</v>
      </c>
      <c r="C869" t="s">
        <v>865</v>
      </c>
      <c r="D869" t="s">
        <v>832</v>
      </c>
      <c r="E869">
        <v>1</v>
      </c>
      <c r="G869" t="s">
        <v>60</v>
      </c>
      <c r="I869" t="s">
        <v>61</v>
      </c>
      <c r="Z869" t="str">
        <f>IFERROR(MID(AA869,FIND("-",H869,1)+1,20),_xlfn.IFNA(VLOOKUP(F869&amp;"-"&amp;AA869,Ref_Kontak!$A:$E,4,FALSE),Ref_Kontak!$H$2))</f>
        <v>628999007703</v>
      </c>
      <c r="AA869" t="str">
        <f t="shared" si="78"/>
        <v/>
      </c>
      <c r="AB869" t="str">
        <f t="shared" si="79"/>
        <v/>
      </c>
      <c r="AC869" t="str">
        <f t="shared" si="80"/>
        <v>628999007703</v>
      </c>
      <c r="AD869" t="str">
        <f t="shared" si="82"/>
        <v>Halo+,+Visual+AI+5S+menditeksi+Violation%3A+GUDANGEXP1-LINE+14</v>
      </c>
      <c r="AE869" t="str">
        <f t="shared" si="81"/>
        <v>https://web.whatsapp.com/send/?phone=628999007703&amp;text=Halo+,+Visual+AI+5S+menditeksi+Violation%3A+GUDANGEXP1-LINE+14&amp;type=phone_number&amp;app_absent=0</v>
      </c>
      <c r="AF869" t="b">
        <f>IF(ISNA(VLOOKUP(D869&amp;"-"&amp;AB869, Ref_Kontak!$A:$E, 4, FALSE)), FALSE, TRUE)</f>
        <v>0</v>
      </c>
      <c r="AG869" t="str">
        <f>_xlfn.IFNA(VLOOKUP(Z869,Ref_Kontak!H:H,1,FALSE),"FALSE")</f>
        <v>628999007703</v>
      </c>
      <c r="AH869" t="str">
        <f t="shared" si="83"/>
        <v>GUDANGEXP1-LINE 14</v>
      </c>
      <c r="AI869">
        <f>COUNTIF($AH$1:AH869,AH869)</f>
        <v>33</v>
      </c>
    </row>
    <row r="870" spans="1:35">
      <c r="A870" t="s">
        <v>56</v>
      </c>
      <c r="B870" t="s">
        <v>57</v>
      </c>
      <c r="C870" t="s">
        <v>866</v>
      </c>
      <c r="D870" t="s">
        <v>832</v>
      </c>
      <c r="E870">
        <v>1</v>
      </c>
      <c r="G870" t="s">
        <v>60</v>
      </c>
      <c r="I870" t="s">
        <v>61</v>
      </c>
      <c r="Z870" t="str">
        <f>IFERROR(MID(AA870,FIND("-",H870,1)+1,20),_xlfn.IFNA(VLOOKUP(F870&amp;"-"&amp;AA870,Ref_Kontak!$A:$E,4,FALSE),Ref_Kontak!$H$2))</f>
        <v>628999007703</v>
      </c>
      <c r="AA870" t="str">
        <f t="shared" si="78"/>
        <v/>
      </c>
      <c r="AB870" t="str">
        <f t="shared" si="79"/>
        <v/>
      </c>
      <c r="AC870" t="str">
        <f t="shared" si="80"/>
        <v>628999007703</v>
      </c>
      <c r="AD870" t="str">
        <f t="shared" si="82"/>
        <v>Halo+,+Visual+AI+5S+menditeksi+Violation%3A+GUDANGEXP1-LINE+14</v>
      </c>
      <c r="AE870" t="str">
        <f t="shared" si="81"/>
        <v>https://web.whatsapp.com/send/?phone=628999007703&amp;text=Halo+,+Visual+AI+5S+menditeksi+Violation%3A+GUDANGEXP1-LINE+14&amp;type=phone_number&amp;app_absent=0</v>
      </c>
      <c r="AF870" t="b">
        <f>IF(ISNA(VLOOKUP(D870&amp;"-"&amp;AB870, Ref_Kontak!$A:$E, 4, FALSE)), FALSE, TRUE)</f>
        <v>0</v>
      </c>
      <c r="AG870" t="str">
        <f>_xlfn.IFNA(VLOOKUP(Z870,Ref_Kontak!H:H,1,FALSE),"FALSE")</f>
        <v>628999007703</v>
      </c>
      <c r="AH870" t="str">
        <f t="shared" si="83"/>
        <v>GUDANGEXP1-LINE 14</v>
      </c>
      <c r="AI870">
        <f>COUNTIF($AH$1:AH870,AH870)</f>
        <v>34</v>
      </c>
    </row>
    <row r="871" spans="1:35">
      <c r="A871" t="s">
        <v>56</v>
      </c>
      <c r="B871" t="s">
        <v>57</v>
      </c>
      <c r="C871" t="s">
        <v>867</v>
      </c>
      <c r="D871" t="s">
        <v>832</v>
      </c>
      <c r="E871">
        <v>1</v>
      </c>
      <c r="G871" t="s">
        <v>60</v>
      </c>
      <c r="I871" t="s">
        <v>61</v>
      </c>
      <c r="Z871" t="str">
        <f>IFERROR(MID(AA871,FIND("-",H871,1)+1,20),_xlfn.IFNA(VLOOKUP(F871&amp;"-"&amp;AA871,Ref_Kontak!$A:$E,4,FALSE),Ref_Kontak!$H$2))</f>
        <v>628999007703</v>
      </c>
      <c r="AA871" t="str">
        <f t="shared" si="78"/>
        <v/>
      </c>
      <c r="AB871" t="str">
        <f t="shared" si="79"/>
        <v/>
      </c>
      <c r="AC871" t="str">
        <f t="shared" si="80"/>
        <v>628999007703</v>
      </c>
      <c r="AD871" t="str">
        <f t="shared" si="82"/>
        <v>Halo+,+Visual+AI+5S+menditeksi+Violation%3A+GUDANGEXP1-LINE+14</v>
      </c>
      <c r="AE871" t="str">
        <f t="shared" si="81"/>
        <v>https://web.whatsapp.com/send/?phone=628999007703&amp;text=Halo+,+Visual+AI+5S+menditeksi+Violation%3A+GUDANGEXP1-LINE+14&amp;type=phone_number&amp;app_absent=0</v>
      </c>
      <c r="AF871" t="b">
        <f>IF(ISNA(VLOOKUP(D871&amp;"-"&amp;AB871, Ref_Kontak!$A:$E, 4, FALSE)), FALSE, TRUE)</f>
        <v>0</v>
      </c>
      <c r="AG871" t="str">
        <f>_xlfn.IFNA(VLOOKUP(Z871,Ref_Kontak!H:H,1,FALSE),"FALSE")</f>
        <v>628999007703</v>
      </c>
      <c r="AH871" t="str">
        <f t="shared" si="83"/>
        <v>GUDANGEXP1-LINE 14</v>
      </c>
      <c r="AI871">
        <f>COUNTIF($AH$1:AH871,AH871)</f>
        <v>35</v>
      </c>
    </row>
    <row r="872" spans="1:35">
      <c r="A872" t="s">
        <v>56</v>
      </c>
      <c r="B872" t="s">
        <v>57</v>
      </c>
      <c r="C872" t="s">
        <v>868</v>
      </c>
      <c r="D872" t="s">
        <v>832</v>
      </c>
      <c r="E872">
        <v>1</v>
      </c>
      <c r="G872" t="s">
        <v>60</v>
      </c>
      <c r="I872" t="s">
        <v>61</v>
      </c>
      <c r="Z872" t="str">
        <f>IFERROR(MID(AA872,FIND("-",H872,1)+1,20),_xlfn.IFNA(VLOOKUP(F872&amp;"-"&amp;AA872,Ref_Kontak!$A:$E,4,FALSE),Ref_Kontak!$H$2))</f>
        <v>628999007703</v>
      </c>
      <c r="AA872" t="str">
        <f t="shared" si="78"/>
        <v/>
      </c>
      <c r="AB872" t="str">
        <f t="shared" si="79"/>
        <v/>
      </c>
      <c r="AC872" t="str">
        <f t="shared" si="80"/>
        <v>628999007703</v>
      </c>
      <c r="AD872" t="str">
        <f t="shared" si="82"/>
        <v>Halo+,+Visual+AI+5S+menditeksi+Violation%3A+GUDANGEXP1-LINE+14</v>
      </c>
      <c r="AE872" t="str">
        <f t="shared" si="81"/>
        <v>https://web.whatsapp.com/send/?phone=628999007703&amp;text=Halo+,+Visual+AI+5S+menditeksi+Violation%3A+GUDANGEXP1-LINE+14&amp;type=phone_number&amp;app_absent=0</v>
      </c>
      <c r="AF872" t="b">
        <f>IF(ISNA(VLOOKUP(D872&amp;"-"&amp;AB872, Ref_Kontak!$A:$E, 4, FALSE)), FALSE, TRUE)</f>
        <v>0</v>
      </c>
      <c r="AG872" t="str">
        <f>_xlfn.IFNA(VLOOKUP(Z872,Ref_Kontak!H:H,1,FALSE),"FALSE")</f>
        <v>628999007703</v>
      </c>
      <c r="AH872" t="str">
        <f t="shared" si="83"/>
        <v>GUDANGEXP1-LINE 14</v>
      </c>
      <c r="AI872">
        <f>COUNTIF($AH$1:AH872,AH872)</f>
        <v>36</v>
      </c>
    </row>
    <row r="873" spans="1:35">
      <c r="A873" t="s">
        <v>56</v>
      </c>
      <c r="B873" t="s">
        <v>57</v>
      </c>
      <c r="C873" t="s">
        <v>869</v>
      </c>
      <c r="D873" t="s">
        <v>832</v>
      </c>
      <c r="E873">
        <v>1</v>
      </c>
      <c r="G873" t="s">
        <v>60</v>
      </c>
      <c r="I873" t="s">
        <v>61</v>
      </c>
      <c r="Z873" t="str">
        <f>IFERROR(MID(AA873,FIND("-",H873,1)+1,20),_xlfn.IFNA(VLOOKUP(F873&amp;"-"&amp;AA873,Ref_Kontak!$A:$E,4,FALSE),Ref_Kontak!$H$2))</f>
        <v>628999007703</v>
      </c>
      <c r="AA873" t="str">
        <f t="shared" si="78"/>
        <v/>
      </c>
      <c r="AB873" t="str">
        <f t="shared" si="79"/>
        <v/>
      </c>
      <c r="AC873" t="str">
        <f t="shared" si="80"/>
        <v>628999007703</v>
      </c>
      <c r="AD873" t="str">
        <f t="shared" si="82"/>
        <v>Halo+,+Visual+AI+5S+menditeksi+Violation%3A+GUDANGEXP1-LINE+14</v>
      </c>
      <c r="AE873" t="str">
        <f t="shared" si="81"/>
        <v>https://web.whatsapp.com/send/?phone=628999007703&amp;text=Halo+,+Visual+AI+5S+menditeksi+Violation%3A+GUDANGEXP1-LINE+14&amp;type=phone_number&amp;app_absent=0</v>
      </c>
      <c r="AF873" t="b">
        <f>IF(ISNA(VLOOKUP(D873&amp;"-"&amp;AB873, Ref_Kontak!$A:$E, 4, FALSE)), FALSE, TRUE)</f>
        <v>0</v>
      </c>
      <c r="AG873" t="str">
        <f>_xlfn.IFNA(VLOOKUP(Z873,Ref_Kontak!H:H,1,FALSE),"FALSE")</f>
        <v>628999007703</v>
      </c>
      <c r="AH873" t="str">
        <f t="shared" si="83"/>
        <v>GUDANGEXP1-LINE 14</v>
      </c>
      <c r="AI873">
        <f>COUNTIF($AH$1:AH873,AH873)</f>
        <v>37</v>
      </c>
    </row>
    <row r="874" spans="1:35">
      <c r="A874" t="s">
        <v>56</v>
      </c>
      <c r="B874" t="s">
        <v>57</v>
      </c>
      <c r="C874" t="s">
        <v>870</v>
      </c>
      <c r="D874" t="s">
        <v>832</v>
      </c>
      <c r="E874">
        <v>1</v>
      </c>
      <c r="G874" t="s">
        <v>60</v>
      </c>
      <c r="I874" t="s">
        <v>61</v>
      </c>
      <c r="Z874" t="str">
        <f>IFERROR(MID(AA874,FIND("-",H874,1)+1,20),_xlfn.IFNA(VLOOKUP(F874&amp;"-"&amp;AA874,Ref_Kontak!$A:$E,4,FALSE),Ref_Kontak!$H$2))</f>
        <v>628999007703</v>
      </c>
      <c r="AA874" t="str">
        <f t="shared" si="78"/>
        <v/>
      </c>
      <c r="AB874" t="str">
        <f t="shared" si="79"/>
        <v/>
      </c>
      <c r="AC874" t="str">
        <f t="shared" si="80"/>
        <v>628999007703</v>
      </c>
      <c r="AD874" t="str">
        <f t="shared" si="82"/>
        <v>Halo+,+Visual+AI+5S+menditeksi+Violation%3A+GUDANGEXP1-LINE+14</v>
      </c>
      <c r="AE874" t="str">
        <f t="shared" si="81"/>
        <v>https://web.whatsapp.com/send/?phone=628999007703&amp;text=Halo+,+Visual+AI+5S+menditeksi+Violation%3A+GUDANGEXP1-LINE+14&amp;type=phone_number&amp;app_absent=0</v>
      </c>
      <c r="AF874" t="b">
        <f>IF(ISNA(VLOOKUP(D874&amp;"-"&amp;AB874, Ref_Kontak!$A:$E, 4, FALSE)), FALSE, TRUE)</f>
        <v>0</v>
      </c>
      <c r="AG874" t="str">
        <f>_xlfn.IFNA(VLOOKUP(Z874,Ref_Kontak!H:H,1,FALSE),"FALSE")</f>
        <v>628999007703</v>
      </c>
      <c r="AH874" t="str">
        <f t="shared" si="83"/>
        <v>GUDANGEXP1-LINE 14</v>
      </c>
      <c r="AI874">
        <f>COUNTIF($AH$1:AH874,AH874)</f>
        <v>38</v>
      </c>
    </row>
    <row r="875" spans="1:35">
      <c r="A875" t="s">
        <v>56</v>
      </c>
      <c r="B875" t="s">
        <v>57</v>
      </c>
      <c r="C875" t="s">
        <v>871</v>
      </c>
      <c r="D875" t="s">
        <v>832</v>
      </c>
      <c r="E875">
        <v>1</v>
      </c>
      <c r="G875" t="s">
        <v>60</v>
      </c>
      <c r="I875" t="s">
        <v>61</v>
      </c>
      <c r="Z875" t="str">
        <f>IFERROR(MID(AA875,FIND("-",H875,1)+1,20),_xlfn.IFNA(VLOOKUP(F875&amp;"-"&amp;AA875,Ref_Kontak!$A:$E,4,FALSE),Ref_Kontak!$H$2))</f>
        <v>628999007703</v>
      </c>
      <c r="AA875" t="str">
        <f t="shared" si="78"/>
        <v/>
      </c>
      <c r="AB875" t="str">
        <f t="shared" si="79"/>
        <v/>
      </c>
      <c r="AC875" t="str">
        <f t="shared" si="80"/>
        <v>628999007703</v>
      </c>
      <c r="AD875" t="str">
        <f t="shared" si="82"/>
        <v>Halo+,+Visual+AI+5S+menditeksi+Violation%3A+GUDANGEXP1-LINE+14</v>
      </c>
      <c r="AE875" t="str">
        <f t="shared" si="81"/>
        <v>https://web.whatsapp.com/send/?phone=628999007703&amp;text=Halo+,+Visual+AI+5S+menditeksi+Violation%3A+GUDANGEXP1-LINE+14&amp;type=phone_number&amp;app_absent=0</v>
      </c>
      <c r="AF875" t="b">
        <f>IF(ISNA(VLOOKUP(D875&amp;"-"&amp;AB875, Ref_Kontak!$A:$E, 4, FALSE)), FALSE, TRUE)</f>
        <v>0</v>
      </c>
      <c r="AG875" t="str">
        <f>_xlfn.IFNA(VLOOKUP(Z875,Ref_Kontak!H:H,1,FALSE),"FALSE")</f>
        <v>628999007703</v>
      </c>
      <c r="AH875" t="str">
        <f t="shared" si="83"/>
        <v>GUDANGEXP1-LINE 14</v>
      </c>
      <c r="AI875">
        <f>COUNTIF($AH$1:AH875,AH875)</f>
        <v>39</v>
      </c>
    </row>
    <row r="876" spans="1:35">
      <c r="A876" t="s">
        <v>56</v>
      </c>
      <c r="B876" t="s">
        <v>57</v>
      </c>
      <c r="C876" t="s">
        <v>872</v>
      </c>
      <c r="D876" t="s">
        <v>832</v>
      </c>
      <c r="E876">
        <v>1</v>
      </c>
      <c r="G876" t="s">
        <v>60</v>
      </c>
      <c r="I876" t="s">
        <v>61</v>
      </c>
      <c r="Z876" t="str">
        <f>IFERROR(MID(AA876,FIND("-",H876,1)+1,20),_xlfn.IFNA(VLOOKUP(F876&amp;"-"&amp;AA876,Ref_Kontak!$A:$E,4,FALSE),Ref_Kontak!$H$2))</f>
        <v>628999007703</v>
      </c>
      <c r="AA876" t="str">
        <f t="shared" si="78"/>
        <v/>
      </c>
      <c r="AB876" t="str">
        <f t="shared" si="79"/>
        <v/>
      </c>
      <c r="AC876" t="str">
        <f t="shared" si="80"/>
        <v>628999007703</v>
      </c>
      <c r="AD876" t="str">
        <f t="shared" si="82"/>
        <v>Halo+,+Visual+AI+5S+menditeksi+Violation%3A+GUDANGEXP1-LINE+14</v>
      </c>
      <c r="AE876" t="str">
        <f t="shared" si="81"/>
        <v>https://web.whatsapp.com/send/?phone=628999007703&amp;text=Halo+,+Visual+AI+5S+menditeksi+Violation%3A+GUDANGEXP1-LINE+14&amp;type=phone_number&amp;app_absent=0</v>
      </c>
      <c r="AF876" t="b">
        <f>IF(ISNA(VLOOKUP(D876&amp;"-"&amp;AB876, Ref_Kontak!$A:$E, 4, FALSE)), FALSE, TRUE)</f>
        <v>0</v>
      </c>
      <c r="AG876" t="str">
        <f>_xlfn.IFNA(VLOOKUP(Z876,Ref_Kontak!H:H,1,FALSE),"FALSE")</f>
        <v>628999007703</v>
      </c>
      <c r="AH876" t="str">
        <f t="shared" si="83"/>
        <v>GUDANGEXP1-LINE 14</v>
      </c>
      <c r="AI876">
        <f>COUNTIF($AH$1:AH876,AH876)</f>
        <v>40</v>
      </c>
    </row>
    <row r="877" spans="1:35">
      <c r="A877" t="s">
        <v>56</v>
      </c>
      <c r="B877" t="s">
        <v>57</v>
      </c>
      <c r="C877" t="s">
        <v>873</v>
      </c>
      <c r="D877" t="s">
        <v>832</v>
      </c>
      <c r="E877">
        <v>1</v>
      </c>
      <c r="G877" t="s">
        <v>60</v>
      </c>
      <c r="I877" t="s">
        <v>61</v>
      </c>
      <c r="Z877" t="str">
        <f>IFERROR(MID(AA877,FIND("-",H877,1)+1,20),_xlfn.IFNA(VLOOKUP(F877&amp;"-"&amp;AA877,Ref_Kontak!$A:$E,4,FALSE),Ref_Kontak!$H$2))</f>
        <v>628999007703</v>
      </c>
      <c r="AA877" t="str">
        <f t="shared" si="78"/>
        <v/>
      </c>
      <c r="AB877" t="str">
        <f t="shared" si="79"/>
        <v/>
      </c>
      <c r="AC877" t="str">
        <f t="shared" si="80"/>
        <v>628999007703</v>
      </c>
      <c r="AD877" t="str">
        <f t="shared" si="82"/>
        <v>Halo+,+Visual+AI+5S+menditeksi+Violation%3A+GUDANGEXP1-LINE+14</v>
      </c>
      <c r="AE877" t="str">
        <f t="shared" si="81"/>
        <v>https://web.whatsapp.com/send/?phone=628999007703&amp;text=Halo+,+Visual+AI+5S+menditeksi+Violation%3A+GUDANGEXP1-LINE+14&amp;type=phone_number&amp;app_absent=0</v>
      </c>
      <c r="AF877" t="b">
        <f>IF(ISNA(VLOOKUP(D877&amp;"-"&amp;AB877, Ref_Kontak!$A:$E, 4, FALSE)), FALSE, TRUE)</f>
        <v>0</v>
      </c>
      <c r="AG877" t="str">
        <f>_xlfn.IFNA(VLOOKUP(Z877,Ref_Kontak!H:H,1,FALSE),"FALSE")</f>
        <v>628999007703</v>
      </c>
      <c r="AH877" t="str">
        <f t="shared" si="83"/>
        <v>GUDANGEXP1-LINE 14</v>
      </c>
      <c r="AI877">
        <f>COUNTIF($AH$1:AH877,AH877)</f>
        <v>41</v>
      </c>
    </row>
    <row r="878" spans="1:35">
      <c r="A878" t="s">
        <v>56</v>
      </c>
      <c r="B878" t="s">
        <v>57</v>
      </c>
      <c r="C878" t="s">
        <v>874</v>
      </c>
      <c r="D878" t="s">
        <v>832</v>
      </c>
      <c r="E878">
        <v>1</v>
      </c>
      <c r="G878" t="s">
        <v>60</v>
      </c>
      <c r="I878" t="s">
        <v>61</v>
      </c>
      <c r="Z878" t="str">
        <f>IFERROR(MID(AA878,FIND("-",H878,1)+1,20),_xlfn.IFNA(VLOOKUP(F878&amp;"-"&amp;AA878,Ref_Kontak!$A:$E,4,FALSE),Ref_Kontak!$H$2))</f>
        <v>628999007703</v>
      </c>
      <c r="AA878" t="str">
        <f t="shared" si="78"/>
        <v/>
      </c>
      <c r="AB878" t="str">
        <f t="shared" si="79"/>
        <v/>
      </c>
      <c r="AC878" t="str">
        <f t="shared" si="80"/>
        <v>628999007703</v>
      </c>
      <c r="AD878" t="str">
        <f t="shared" si="82"/>
        <v>Halo+,+Visual+AI+5S+menditeksi+Violation%3A+GUDANGEXP1-LINE+14</v>
      </c>
      <c r="AE878" t="str">
        <f t="shared" si="81"/>
        <v>https://web.whatsapp.com/send/?phone=628999007703&amp;text=Halo+,+Visual+AI+5S+menditeksi+Violation%3A+GUDANGEXP1-LINE+14&amp;type=phone_number&amp;app_absent=0</v>
      </c>
      <c r="AF878" t="b">
        <f>IF(ISNA(VLOOKUP(D878&amp;"-"&amp;AB878, Ref_Kontak!$A:$E, 4, FALSE)), FALSE, TRUE)</f>
        <v>0</v>
      </c>
      <c r="AG878" t="str">
        <f>_xlfn.IFNA(VLOOKUP(Z878,Ref_Kontak!H:H,1,FALSE),"FALSE")</f>
        <v>628999007703</v>
      </c>
      <c r="AH878" t="str">
        <f t="shared" si="83"/>
        <v>GUDANGEXP1-LINE 14</v>
      </c>
      <c r="AI878">
        <f>COUNTIF($AH$1:AH878,AH878)</f>
        <v>42</v>
      </c>
    </row>
    <row r="879" spans="1:35">
      <c r="A879" t="s">
        <v>56</v>
      </c>
      <c r="B879" t="s">
        <v>57</v>
      </c>
      <c r="C879" t="s">
        <v>875</v>
      </c>
      <c r="D879" t="s">
        <v>832</v>
      </c>
      <c r="E879">
        <v>1</v>
      </c>
      <c r="G879" t="s">
        <v>60</v>
      </c>
      <c r="I879" t="s">
        <v>61</v>
      </c>
      <c r="Z879" t="str">
        <f>IFERROR(MID(AA879,FIND("-",H879,1)+1,20),_xlfn.IFNA(VLOOKUP(F879&amp;"-"&amp;AA879,Ref_Kontak!$A:$E,4,FALSE),Ref_Kontak!$H$2))</f>
        <v>628999007703</v>
      </c>
      <c r="AA879" t="str">
        <f t="shared" si="78"/>
        <v/>
      </c>
      <c r="AB879" t="str">
        <f t="shared" si="79"/>
        <v/>
      </c>
      <c r="AC879" t="str">
        <f t="shared" si="80"/>
        <v>628999007703</v>
      </c>
      <c r="AD879" t="str">
        <f t="shared" si="82"/>
        <v>Halo+,+Visual+AI+5S+menditeksi+Violation%3A+GUDANGEXP1-LINE+14</v>
      </c>
      <c r="AE879" t="str">
        <f t="shared" si="81"/>
        <v>https://web.whatsapp.com/send/?phone=628999007703&amp;text=Halo+,+Visual+AI+5S+menditeksi+Violation%3A+GUDANGEXP1-LINE+14&amp;type=phone_number&amp;app_absent=0</v>
      </c>
      <c r="AF879" t="b">
        <f>IF(ISNA(VLOOKUP(D879&amp;"-"&amp;AB879, Ref_Kontak!$A:$E, 4, FALSE)), FALSE, TRUE)</f>
        <v>0</v>
      </c>
      <c r="AG879" t="str">
        <f>_xlfn.IFNA(VLOOKUP(Z879,Ref_Kontak!H:H,1,FALSE),"FALSE")</f>
        <v>628999007703</v>
      </c>
      <c r="AH879" t="str">
        <f t="shared" si="83"/>
        <v>GUDANGEXP1-LINE 14</v>
      </c>
      <c r="AI879">
        <f>COUNTIF($AH$1:AH879,AH879)</f>
        <v>43</v>
      </c>
    </row>
    <row r="880" spans="1:35">
      <c r="A880" t="s">
        <v>56</v>
      </c>
      <c r="B880" t="s">
        <v>57</v>
      </c>
      <c r="C880" t="s">
        <v>876</v>
      </c>
      <c r="D880" t="s">
        <v>832</v>
      </c>
      <c r="E880">
        <v>1</v>
      </c>
      <c r="G880" t="s">
        <v>60</v>
      </c>
      <c r="I880" t="s">
        <v>61</v>
      </c>
      <c r="Z880" t="str">
        <f>IFERROR(MID(AA880,FIND("-",H880,1)+1,20),_xlfn.IFNA(VLOOKUP(F880&amp;"-"&amp;AA880,Ref_Kontak!$A:$E,4,FALSE),Ref_Kontak!$H$2))</f>
        <v>628999007703</v>
      </c>
      <c r="AA880" t="str">
        <f t="shared" si="78"/>
        <v/>
      </c>
      <c r="AB880" t="str">
        <f t="shared" si="79"/>
        <v/>
      </c>
      <c r="AC880" t="str">
        <f t="shared" si="80"/>
        <v>628999007703</v>
      </c>
      <c r="AD880" t="str">
        <f t="shared" si="82"/>
        <v>Halo+,+Visual+AI+5S+menditeksi+Violation%3A+GUDANGEXP1-LINE+14</v>
      </c>
      <c r="AE880" t="str">
        <f t="shared" si="81"/>
        <v>https://web.whatsapp.com/send/?phone=628999007703&amp;text=Halo+,+Visual+AI+5S+menditeksi+Violation%3A+GUDANGEXP1-LINE+14&amp;type=phone_number&amp;app_absent=0</v>
      </c>
      <c r="AF880" t="b">
        <f>IF(ISNA(VLOOKUP(D880&amp;"-"&amp;AB880, Ref_Kontak!$A:$E, 4, FALSE)), FALSE, TRUE)</f>
        <v>0</v>
      </c>
      <c r="AG880" t="str">
        <f>_xlfn.IFNA(VLOOKUP(Z880,Ref_Kontak!H:H,1,FALSE),"FALSE")</f>
        <v>628999007703</v>
      </c>
      <c r="AH880" t="str">
        <f t="shared" si="83"/>
        <v>GUDANGEXP1-LINE 14</v>
      </c>
      <c r="AI880">
        <f>COUNTIF($AH$1:AH880,AH880)</f>
        <v>44</v>
      </c>
    </row>
    <row r="881" spans="1:35">
      <c r="A881" t="s">
        <v>56</v>
      </c>
      <c r="B881" t="s">
        <v>57</v>
      </c>
      <c r="C881" t="s">
        <v>877</v>
      </c>
      <c r="D881" t="s">
        <v>832</v>
      </c>
      <c r="E881">
        <v>1</v>
      </c>
      <c r="G881" t="s">
        <v>60</v>
      </c>
      <c r="I881" t="s">
        <v>61</v>
      </c>
      <c r="Z881" t="str">
        <f>IFERROR(MID(AA881,FIND("-",H881,1)+1,20),_xlfn.IFNA(VLOOKUP(F881&amp;"-"&amp;AA881,Ref_Kontak!$A:$E,4,FALSE),Ref_Kontak!$H$2))</f>
        <v>628999007703</v>
      </c>
      <c r="AA881" t="str">
        <f t="shared" si="78"/>
        <v/>
      </c>
      <c r="AB881" t="str">
        <f t="shared" si="79"/>
        <v/>
      </c>
      <c r="AC881" t="str">
        <f t="shared" si="80"/>
        <v>628999007703</v>
      </c>
      <c r="AD881" t="str">
        <f t="shared" si="82"/>
        <v>Halo+,+Visual+AI+5S+menditeksi+Violation%3A+GUDANGEXP1-LINE+14</v>
      </c>
      <c r="AE881" t="str">
        <f t="shared" si="81"/>
        <v>https://web.whatsapp.com/send/?phone=628999007703&amp;text=Halo+,+Visual+AI+5S+menditeksi+Violation%3A+GUDANGEXP1-LINE+14&amp;type=phone_number&amp;app_absent=0</v>
      </c>
      <c r="AF881" t="b">
        <f>IF(ISNA(VLOOKUP(D881&amp;"-"&amp;AB881, Ref_Kontak!$A:$E, 4, FALSE)), FALSE, TRUE)</f>
        <v>0</v>
      </c>
      <c r="AG881" t="str">
        <f>_xlfn.IFNA(VLOOKUP(Z881,Ref_Kontak!H:H,1,FALSE),"FALSE")</f>
        <v>628999007703</v>
      </c>
      <c r="AH881" t="str">
        <f t="shared" si="83"/>
        <v>GUDANGEXP1-LINE 14</v>
      </c>
      <c r="AI881">
        <f>COUNTIF($AH$1:AH881,AH881)</f>
        <v>45</v>
      </c>
    </row>
    <row r="882" spans="1:35">
      <c r="A882" t="s">
        <v>56</v>
      </c>
      <c r="B882" t="s">
        <v>57</v>
      </c>
      <c r="C882" t="s">
        <v>878</v>
      </c>
      <c r="D882" t="s">
        <v>832</v>
      </c>
      <c r="E882">
        <v>1</v>
      </c>
      <c r="G882" t="s">
        <v>60</v>
      </c>
      <c r="I882" t="s">
        <v>61</v>
      </c>
      <c r="Z882" t="str">
        <f>IFERROR(MID(AA882,FIND("-",H882,1)+1,20),_xlfn.IFNA(VLOOKUP(F882&amp;"-"&amp;AA882,Ref_Kontak!$A:$E,4,FALSE),Ref_Kontak!$H$2))</f>
        <v>628999007703</v>
      </c>
      <c r="AA882" t="str">
        <f t="shared" si="78"/>
        <v/>
      </c>
      <c r="AB882" t="str">
        <f t="shared" si="79"/>
        <v/>
      </c>
      <c r="AC882" t="str">
        <f t="shared" si="80"/>
        <v>628999007703</v>
      </c>
      <c r="AD882" t="str">
        <f t="shared" si="82"/>
        <v>Halo+,+Visual+AI+5S+menditeksi+Violation%3A+GUDANGEXP1-LINE+14</v>
      </c>
      <c r="AE882" t="str">
        <f t="shared" si="81"/>
        <v>https://web.whatsapp.com/send/?phone=628999007703&amp;text=Halo+,+Visual+AI+5S+menditeksi+Violation%3A+GUDANGEXP1-LINE+14&amp;type=phone_number&amp;app_absent=0</v>
      </c>
      <c r="AF882" t="b">
        <f>IF(ISNA(VLOOKUP(D882&amp;"-"&amp;AB882, Ref_Kontak!$A:$E, 4, FALSE)), FALSE, TRUE)</f>
        <v>0</v>
      </c>
      <c r="AG882" t="str">
        <f>_xlfn.IFNA(VLOOKUP(Z882,Ref_Kontak!H:H,1,FALSE),"FALSE")</f>
        <v>628999007703</v>
      </c>
      <c r="AH882" t="str">
        <f t="shared" si="83"/>
        <v>GUDANGEXP1-LINE 14</v>
      </c>
      <c r="AI882">
        <f>COUNTIF($AH$1:AH882,AH882)</f>
        <v>46</v>
      </c>
    </row>
    <row r="883" spans="1:35">
      <c r="A883" t="s">
        <v>56</v>
      </c>
      <c r="B883" t="s">
        <v>57</v>
      </c>
      <c r="C883" t="s">
        <v>879</v>
      </c>
      <c r="D883" t="s">
        <v>832</v>
      </c>
      <c r="E883">
        <v>1</v>
      </c>
      <c r="G883" t="s">
        <v>60</v>
      </c>
      <c r="I883" t="s">
        <v>61</v>
      </c>
      <c r="Z883" t="str">
        <f>IFERROR(MID(AA883,FIND("-",H883,1)+1,20),_xlfn.IFNA(VLOOKUP(F883&amp;"-"&amp;AA883,Ref_Kontak!$A:$E,4,FALSE),Ref_Kontak!$H$2))</f>
        <v>628999007703</v>
      </c>
      <c r="AA883" t="str">
        <f t="shared" si="78"/>
        <v/>
      </c>
      <c r="AB883" t="str">
        <f t="shared" si="79"/>
        <v/>
      </c>
      <c r="AC883" t="str">
        <f t="shared" si="80"/>
        <v>628999007703</v>
      </c>
      <c r="AD883" t="str">
        <f t="shared" si="82"/>
        <v>Halo+,+Visual+AI+5S+menditeksi+Violation%3A+GUDANGEXP1-LINE+14</v>
      </c>
      <c r="AE883" t="str">
        <f t="shared" si="81"/>
        <v>https://web.whatsapp.com/send/?phone=628999007703&amp;text=Halo+,+Visual+AI+5S+menditeksi+Violation%3A+GUDANGEXP1-LINE+14&amp;type=phone_number&amp;app_absent=0</v>
      </c>
      <c r="AF883" t="b">
        <f>IF(ISNA(VLOOKUP(D883&amp;"-"&amp;AB883, Ref_Kontak!$A:$E, 4, FALSE)), FALSE, TRUE)</f>
        <v>0</v>
      </c>
      <c r="AG883" t="str">
        <f>_xlfn.IFNA(VLOOKUP(Z883,Ref_Kontak!H:H,1,FALSE),"FALSE")</f>
        <v>628999007703</v>
      </c>
      <c r="AH883" t="str">
        <f t="shared" si="83"/>
        <v>GUDANGEXP1-LINE 14</v>
      </c>
      <c r="AI883">
        <f>COUNTIF($AH$1:AH883,AH883)</f>
        <v>47</v>
      </c>
    </row>
    <row r="888" spans="1:35">
      <c r="H888" t="s">
        <v>888</v>
      </c>
    </row>
  </sheetData>
  <autoFilter ref="A1:AI883" xr:uid="{2F7BAC5F-97BE-4A46-9ED7-85D74FC123BB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B969A-FC1B-4AEC-B7D0-20A7A22FF900}">
  <dimension ref="A1:A2"/>
  <sheetViews>
    <sheetView workbookViewId="0"/>
  </sheetViews>
  <sheetFormatPr defaultRowHeight="14.5"/>
  <cols>
    <col min="1" max="1" width="11.1796875" bestFit="1" customWidth="1"/>
  </cols>
  <sheetData>
    <row r="1" spans="1:1">
      <c r="A1" t="s">
        <v>30</v>
      </c>
    </row>
    <row r="2" spans="1:1">
      <c r="A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27D7B-E0A0-4D41-B525-D06B6B36BC0E}">
  <dimension ref="A1:C1"/>
  <sheetViews>
    <sheetView workbookViewId="0">
      <selection activeCell="A2" sqref="A2"/>
    </sheetView>
  </sheetViews>
  <sheetFormatPr defaultRowHeight="14.5"/>
  <cols>
    <col min="1" max="1" width="138" bestFit="1" customWidth="1"/>
    <col min="2" max="2" width="23" bestFit="1" customWidth="1"/>
    <col min="3" max="3" width="10.54296875" bestFit="1" customWidth="1"/>
  </cols>
  <sheetData>
    <row r="1" spans="1:3">
      <c r="A1" t="s">
        <v>17</v>
      </c>
      <c r="B1" t="s">
        <v>11</v>
      </c>
      <c r="C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History_WA</vt:lpstr>
      <vt:lpstr>Ref_Pesan</vt:lpstr>
      <vt:lpstr>HOME</vt:lpstr>
      <vt:lpstr>Ref_Kontak</vt:lpstr>
      <vt:lpstr>RPA1</vt:lpstr>
      <vt:lpstr>CC1_VisualAI</vt:lpstr>
      <vt:lpstr>RPA2</vt:lpstr>
      <vt:lpstr>RPA2_WA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ASUS Vivobook</cp:lastModifiedBy>
  <dcterms:created xsi:type="dcterms:W3CDTF">2024-09-20T10:08:24Z</dcterms:created>
  <dcterms:modified xsi:type="dcterms:W3CDTF">2024-10-08T04:34:31Z</dcterms:modified>
</cp:coreProperties>
</file>