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path file\MACRO - Validasi Sample tidak berbayar\Backup\20250111\DEVELOP\"/>
    </mc:Choice>
  </mc:AlternateContent>
  <xr:revisionPtr revIDLastSave="0" documentId="13_ncr:1_{963AE002-E830-47ED-9AB5-3727542F01B8}" xr6:coauthVersionLast="47" xr6:coauthVersionMax="47" xr10:uidLastSave="{00000000-0000-0000-0000-000000000000}"/>
  <bookViews>
    <workbookView xWindow="-120" yWindow="-120" windowWidth="20730" windowHeight="11160" firstSheet="1" activeTab="1" xr2:uid="{2CCE3C95-2940-4053-8BE7-2A6EFE1350AC}"/>
  </bookViews>
  <sheets>
    <sheet name="Temp_Validasi" sheetId="7" state="hidden" r:id="rId1"/>
    <sheet name="HOME" sheetId="2" r:id="rId2"/>
    <sheet name="CC1_TarikanGCC" sheetId="15" r:id="rId3"/>
    <sheet name="VALIDASI" sheetId="16" r:id="rId4"/>
  </sheets>
  <functionGroups builtInGroupCount="19"/>
  <externalReferences>
    <externalReference r:id="rId5"/>
  </externalReferences>
  <definedNames>
    <definedName name="_xlnm._FilterDatabase" localSheetId="0" hidden="1">Temp_Validasi!$A$3:$Z$1048564</definedName>
    <definedName name="_xlnm._FilterDatabase" localSheetId="3" hidden="1">VALIDASI!$A$3:$Z$1048564</definedName>
    <definedName name="Excel_BuiltIn__FilterDatabase" localSheetId="0">#REF!</definedName>
    <definedName name="Excel_BuiltIn__FilterDatabase" localSheetId="3">#REF!</definedName>
    <definedName name="Excel_BuiltIn__FilterDatabase">#REF!</definedName>
    <definedName name="Excel_BuiltIn__FilterDatabase_1" localSheetId="0">#REF!</definedName>
    <definedName name="Excel_BuiltIn__FilterDatabase_1" localSheetId="3">#REF!</definedName>
    <definedName name="Excel_BuiltIn__FilterDatabase_1">#REF!</definedName>
    <definedName name="Excel_BuiltIn_Print_Area_1" localSheetId="0">#REF!</definedName>
    <definedName name="Excel_BuiltIn_Print_Area_1" localSheetId="3">#REF!</definedName>
    <definedName name="Excel_BuiltIn_Print_Area_1">#REF!</definedName>
    <definedName name="Excel_BuiltIn_Print_Area_2" localSheetId="0">#REF!</definedName>
    <definedName name="Excel_BuiltIn_Print_Area_2" localSheetId="3">#REF!</definedName>
    <definedName name="Excel_BuiltIn_Print_Area_2">#REF!</definedName>
    <definedName name="Excel_BuiltIn_Print_Area_3" localSheetId="0">#REF!</definedName>
    <definedName name="Excel_BuiltIn_Print_Area_3" localSheetId="3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4" i="16" l="1"/>
  <c r="X5" i="16"/>
  <c r="X6" i="16"/>
  <c r="X7" i="16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X21" i="16"/>
  <c r="X22" i="16"/>
  <c r="X23" i="16"/>
  <c r="X24" i="16"/>
  <c r="X25" i="16"/>
  <c r="X26" i="16"/>
  <c r="X27" i="16"/>
  <c r="X28" i="16"/>
  <c r="X29" i="16"/>
  <c r="X30" i="16"/>
  <c r="X31" i="16"/>
  <c r="X32" i="16"/>
  <c r="X33" i="16"/>
  <c r="X34" i="16"/>
  <c r="X35" i="16"/>
  <c r="X36" i="16"/>
  <c r="X37" i="16"/>
  <c r="X38" i="16"/>
  <c r="X39" i="16"/>
  <c r="X40" i="16"/>
  <c r="X41" i="16"/>
  <c r="X42" i="16"/>
  <c r="X43" i="16"/>
  <c r="X44" i="16"/>
  <c r="X45" i="16"/>
  <c r="X46" i="16"/>
  <c r="X47" i="16"/>
  <c r="X48" i="16"/>
  <c r="X49" i="16"/>
  <c r="X50" i="16"/>
  <c r="X51" i="16"/>
  <c r="X52" i="16"/>
  <c r="X53" i="16"/>
  <c r="X54" i="16"/>
  <c r="X55" i="16"/>
  <c r="X56" i="16"/>
  <c r="X57" i="16"/>
  <c r="X58" i="16"/>
  <c r="X59" i="16"/>
  <c r="X60" i="16"/>
  <c r="X61" i="16"/>
  <c r="X62" i="16"/>
  <c r="X63" i="16"/>
  <c r="X64" i="16"/>
  <c r="X65" i="16"/>
  <c r="X66" i="16"/>
  <c r="X67" i="16"/>
  <c r="X68" i="16"/>
  <c r="X69" i="16"/>
  <c r="X70" i="16"/>
  <c r="X71" i="16"/>
  <c r="X72" i="16"/>
  <c r="W4" i="16"/>
  <c r="W5" i="16"/>
  <c r="Y5" i="16" s="1"/>
  <c r="W6" i="16"/>
  <c r="Y6" i="16" s="1"/>
  <c r="W7" i="16"/>
  <c r="Y7" i="16" s="1"/>
  <c r="W8" i="16"/>
  <c r="Y8" i="16" s="1"/>
  <c r="W9" i="16"/>
  <c r="Y9" i="16" s="1"/>
  <c r="W10" i="16"/>
  <c r="Y10" i="16" s="1"/>
  <c r="W11" i="16"/>
  <c r="W12" i="16"/>
  <c r="W13" i="16"/>
  <c r="W14" i="16"/>
  <c r="W15" i="16"/>
  <c r="Y15" i="16" s="1"/>
  <c r="W16" i="16"/>
  <c r="W17" i="16"/>
  <c r="Y17" i="16" s="1"/>
  <c r="W18" i="16"/>
  <c r="Y18" i="16" s="1"/>
  <c r="W19" i="16"/>
  <c r="Y19" i="16" s="1"/>
  <c r="W20" i="16"/>
  <c r="Y20" i="16" s="1"/>
  <c r="W21" i="16"/>
  <c r="Y21" i="16" s="1"/>
  <c r="W22" i="16"/>
  <c r="Y22" i="16" s="1"/>
  <c r="W23" i="16"/>
  <c r="W24" i="16"/>
  <c r="W25" i="16"/>
  <c r="W26" i="16"/>
  <c r="W27" i="16"/>
  <c r="Y27" i="16" s="1"/>
  <c r="W28" i="16"/>
  <c r="W29" i="16"/>
  <c r="Y29" i="16" s="1"/>
  <c r="W30" i="16"/>
  <c r="W31" i="16"/>
  <c r="Y31" i="16" s="1"/>
  <c r="W32" i="16"/>
  <c r="Y32" i="16" s="1"/>
  <c r="W33" i="16"/>
  <c r="Y33" i="16" s="1"/>
  <c r="W34" i="16"/>
  <c r="Y34" i="16" s="1"/>
  <c r="W35" i="16"/>
  <c r="W36" i="16"/>
  <c r="W37" i="16"/>
  <c r="W38" i="16"/>
  <c r="W39" i="16"/>
  <c r="Y39" i="16" s="1"/>
  <c r="W40" i="16"/>
  <c r="W41" i="16"/>
  <c r="Y41" i="16" s="1"/>
  <c r="W42" i="16"/>
  <c r="W43" i="16"/>
  <c r="Y43" i="16" s="1"/>
  <c r="W44" i="16"/>
  <c r="Y44" i="16" s="1"/>
  <c r="W45" i="16"/>
  <c r="Y45" i="16" s="1"/>
  <c r="W46" i="16"/>
  <c r="Y46" i="16" s="1"/>
  <c r="W47" i="16"/>
  <c r="W48" i="16"/>
  <c r="W49" i="16"/>
  <c r="W50" i="16"/>
  <c r="W51" i="16"/>
  <c r="Y51" i="16" s="1"/>
  <c r="W52" i="16"/>
  <c r="W53" i="16"/>
  <c r="Y53" i="16" s="1"/>
  <c r="W54" i="16"/>
  <c r="W55" i="16"/>
  <c r="Y55" i="16" s="1"/>
  <c r="W56" i="16"/>
  <c r="W57" i="16"/>
  <c r="Y57" i="16" s="1"/>
  <c r="W58" i="16"/>
  <c r="Y58" i="16" s="1"/>
  <c r="W59" i="16"/>
  <c r="W60" i="16"/>
  <c r="W61" i="16"/>
  <c r="W62" i="16"/>
  <c r="W63" i="16"/>
  <c r="W64" i="16"/>
  <c r="W65" i="16"/>
  <c r="W66" i="16"/>
  <c r="W67" i="16"/>
  <c r="Y67" i="16" s="1"/>
  <c r="W68" i="16"/>
  <c r="W69" i="16"/>
  <c r="Y69" i="16" s="1"/>
  <c r="W70" i="16"/>
  <c r="W71" i="16"/>
  <c r="W72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S4" i="16"/>
  <c r="S5" i="16"/>
  <c r="V5" i="16" s="1"/>
  <c r="S6" i="16"/>
  <c r="V6" i="16" s="1"/>
  <c r="S7" i="16"/>
  <c r="S8" i="16"/>
  <c r="S9" i="16"/>
  <c r="S10" i="16"/>
  <c r="S11" i="16"/>
  <c r="S12" i="16"/>
  <c r="S13" i="16"/>
  <c r="S14" i="16"/>
  <c r="S15" i="16"/>
  <c r="S16" i="16"/>
  <c r="S17" i="16"/>
  <c r="V17" i="16" s="1"/>
  <c r="S18" i="16"/>
  <c r="V18" i="16" s="1"/>
  <c r="S19" i="16"/>
  <c r="S20" i="16"/>
  <c r="S21" i="16"/>
  <c r="S22" i="16"/>
  <c r="S23" i="16"/>
  <c r="S24" i="16"/>
  <c r="S25" i="16"/>
  <c r="S26" i="16"/>
  <c r="S27" i="16"/>
  <c r="S28" i="16"/>
  <c r="S29" i="16"/>
  <c r="V29" i="16" s="1"/>
  <c r="S30" i="16"/>
  <c r="V30" i="16" s="1"/>
  <c r="S31" i="16"/>
  <c r="S32" i="16"/>
  <c r="S33" i="16"/>
  <c r="S34" i="16"/>
  <c r="S35" i="16"/>
  <c r="S36" i="16"/>
  <c r="S37" i="16"/>
  <c r="S38" i="16"/>
  <c r="S39" i="16"/>
  <c r="S40" i="16"/>
  <c r="S41" i="16"/>
  <c r="V41" i="16" s="1"/>
  <c r="S42" i="16"/>
  <c r="V42" i="16" s="1"/>
  <c r="S43" i="16"/>
  <c r="S44" i="16"/>
  <c r="S45" i="16"/>
  <c r="S46" i="16"/>
  <c r="S47" i="16"/>
  <c r="S48" i="16"/>
  <c r="S49" i="16"/>
  <c r="S50" i="16"/>
  <c r="S51" i="16"/>
  <c r="S52" i="16"/>
  <c r="S53" i="16"/>
  <c r="V53" i="16" s="1"/>
  <c r="S54" i="16"/>
  <c r="V54" i="16" s="1"/>
  <c r="S55" i="16"/>
  <c r="S56" i="16"/>
  <c r="S57" i="16"/>
  <c r="S58" i="16"/>
  <c r="S59" i="16"/>
  <c r="S60" i="16"/>
  <c r="S61" i="16"/>
  <c r="S62" i="16"/>
  <c r="S63" i="16"/>
  <c r="S64" i="16"/>
  <c r="S65" i="16"/>
  <c r="V65" i="16" s="1"/>
  <c r="S66" i="16"/>
  <c r="V66" i="16" s="1"/>
  <c r="S67" i="16"/>
  <c r="S68" i="16"/>
  <c r="S69" i="16"/>
  <c r="S70" i="16"/>
  <c r="S71" i="16"/>
  <c r="S72" i="16"/>
  <c r="Y68" i="16" l="1"/>
  <c r="Y56" i="16"/>
  <c r="Y12" i="16"/>
  <c r="Y71" i="16"/>
  <c r="Y59" i="16"/>
  <c r="Y47" i="16"/>
  <c r="Y35" i="16"/>
  <c r="Y23" i="16"/>
  <c r="Y11" i="16"/>
  <c r="V67" i="16"/>
  <c r="V55" i="16"/>
  <c r="V43" i="16"/>
  <c r="V31" i="16"/>
  <c r="V19" i="16"/>
  <c r="V7" i="16"/>
  <c r="Y66" i="16"/>
  <c r="Y54" i="16"/>
  <c r="Y42" i="16"/>
  <c r="Y30" i="16"/>
  <c r="Y63" i="16"/>
  <c r="Y62" i="16"/>
  <c r="Y50" i="16"/>
  <c r="Y38" i="16"/>
  <c r="Y26" i="16"/>
  <c r="Y14" i="16"/>
  <c r="Y61" i="16"/>
  <c r="Y49" i="16"/>
  <c r="Y37" i="16"/>
  <c r="Y25" i="16"/>
  <c r="Y13" i="16"/>
  <c r="Y72" i="16"/>
  <c r="Y60" i="16"/>
  <c r="Y48" i="16"/>
  <c r="Y36" i="16"/>
  <c r="Y24" i="16"/>
  <c r="Y65" i="16"/>
  <c r="Y64" i="16"/>
  <c r="Y52" i="16"/>
  <c r="Y40" i="16"/>
  <c r="Y28" i="16"/>
  <c r="Y16" i="16"/>
  <c r="Y4" i="16"/>
  <c r="V58" i="16"/>
  <c r="V46" i="16"/>
  <c r="V34" i="16"/>
  <c r="V22" i="16"/>
  <c r="V10" i="16"/>
  <c r="V70" i="16"/>
  <c r="V57" i="16"/>
  <c r="V45" i="16"/>
  <c r="V33" i="16"/>
  <c r="V21" i="16"/>
  <c r="V9" i="16"/>
  <c r="V69" i="16"/>
  <c r="Y70" i="16"/>
  <c r="V51" i="16"/>
  <c r="V27" i="16"/>
  <c r="V15" i="16"/>
  <c r="V63" i="16"/>
  <c r="V39" i="16"/>
  <c r="V62" i="16"/>
  <c r="V50" i="16"/>
  <c r="V38" i="16"/>
  <c r="V26" i="16"/>
  <c r="V14" i="16"/>
  <c r="V60" i="16"/>
  <c r="V48" i="16"/>
  <c r="V36" i="16"/>
  <c r="V24" i="16"/>
  <c r="V12" i="16"/>
  <c r="V72" i="16"/>
  <c r="V71" i="16"/>
  <c r="V47" i="16"/>
  <c r="V35" i="16"/>
  <c r="V23" i="16"/>
  <c r="V11" i="16"/>
  <c r="V59" i="16"/>
  <c r="V68" i="16"/>
  <c r="V56" i="16"/>
  <c r="V44" i="16"/>
  <c r="V32" i="16"/>
  <c r="V20" i="16"/>
  <c r="V8" i="16"/>
  <c r="V64" i="16"/>
  <c r="V52" i="16"/>
  <c r="V40" i="16"/>
  <c r="V28" i="16"/>
  <c r="V16" i="16"/>
  <c r="V4" i="16"/>
  <c r="V61" i="16"/>
  <c r="V49" i="16"/>
  <c r="V37" i="16"/>
  <c r="V25" i="16"/>
  <c r="V13" i="16"/>
</calcChain>
</file>

<file path=xl/sharedStrings.xml><?xml version="1.0" encoding="utf-8"?>
<sst xmlns="http://schemas.openxmlformats.org/spreadsheetml/2006/main" count="1684" uniqueCount="247">
  <si>
    <t>-</t>
  </si>
  <si>
    <t>•ENTITY</t>
  </si>
  <si>
    <t>•VALUE 1</t>
  </si>
  <si>
    <t>•VALUE 2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</si>
  <si>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</si>
  <si>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</si>
  <si>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</si>
  <si>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TTL QTY</t>
  </si>
  <si>
    <t>TTL AMOUNT</t>
  </si>
  <si>
    <r>
      <t xml:space="preserve">SERI ITEM </t>
    </r>
    <r>
      <rPr>
        <b/>
        <sz val="6"/>
        <color rgb="FFC00000"/>
        <rFont val="Calibri"/>
        <family val="2"/>
        <scheme val="minor"/>
      </rPr>
      <t>[PEB]</t>
    </r>
  </si>
  <si>
    <r>
      <t xml:space="preserve">INVOICE </t>
    </r>
    <r>
      <rPr>
        <b/>
        <sz val="6"/>
        <color rgb="FFC00000"/>
        <rFont val="Calibri"/>
        <family val="2"/>
        <scheme val="minor"/>
      </rPr>
      <t>[PEB]</t>
    </r>
  </si>
  <si>
    <r>
      <t xml:space="preserve">NO PEB </t>
    </r>
    <r>
      <rPr>
        <b/>
        <sz val="6"/>
        <color rgb="FFC00000"/>
        <rFont val="Calibri"/>
        <family val="2"/>
        <scheme val="minor"/>
      </rPr>
      <t>[PEB]</t>
    </r>
  </si>
  <si>
    <r>
      <t xml:space="preserve">TGL PEB </t>
    </r>
    <r>
      <rPr>
        <b/>
        <sz val="6"/>
        <color rgb="FFC00000"/>
        <rFont val="Calibri"/>
        <family val="2"/>
        <scheme val="minor"/>
      </rPr>
      <t>[PEB]</t>
    </r>
  </si>
  <si>
    <r>
      <t xml:space="preserve">DESCRIPTION </t>
    </r>
    <r>
      <rPr>
        <b/>
        <sz val="6"/>
        <color rgb="FFFFFF00"/>
        <rFont val="Calibri"/>
        <family val="2"/>
        <scheme val="minor"/>
      </rPr>
      <t>[INV]</t>
    </r>
  </si>
  <si>
    <r>
      <t xml:space="preserve">DESCRIPTION </t>
    </r>
    <r>
      <rPr>
        <b/>
        <sz val="6"/>
        <color rgb="FFC00000"/>
        <rFont val="Calibri"/>
        <family val="2"/>
        <scheme val="minor"/>
      </rPr>
      <t>[PEB]</t>
    </r>
  </si>
  <si>
    <r>
      <t xml:space="preserve">2nd Item No (Cust. Item No) </t>
    </r>
    <r>
      <rPr>
        <b/>
        <sz val="6"/>
        <color theme="5" tint="0.79998168889431442"/>
        <rFont val="Calibri"/>
        <family val="2"/>
        <scheme val="minor"/>
      </rPr>
      <t>[SR]</t>
    </r>
  </si>
  <si>
    <r>
      <t xml:space="preserve">PEMBELI </t>
    </r>
    <r>
      <rPr>
        <b/>
        <sz val="6"/>
        <color rgb="FFC00000"/>
        <rFont val="Calibri"/>
        <family val="2"/>
        <scheme val="minor"/>
      </rPr>
      <t>[PEB]</t>
    </r>
  </si>
  <si>
    <r>
      <t xml:space="preserve">QTY </t>
    </r>
    <r>
      <rPr>
        <b/>
        <sz val="6"/>
        <color rgb="FFC00000"/>
        <rFont val="Calibri"/>
        <family val="2"/>
        <scheme val="minor"/>
      </rPr>
      <t>[PEB]</t>
    </r>
  </si>
  <si>
    <r>
      <t xml:space="preserve">SATUAN </t>
    </r>
    <r>
      <rPr>
        <b/>
        <sz val="6"/>
        <color rgb="FFC00000"/>
        <rFont val="Calibri"/>
        <family val="2"/>
        <scheme val="minor"/>
      </rPr>
      <t>[PEB]</t>
    </r>
  </si>
  <si>
    <r>
      <t xml:space="preserve">QTY </t>
    </r>
    <r>
      <rPr>
        <b/>
        <sz val="6"/>
        <color rgb="FFFFFF00"/>
        <rFont val="Calibri"/>
        <family val="2"/>
        <scheme val="minor"/>
      </rPr>
      <t>[INV]</t>
    </r>
  </si>
  <si>
    <r>
      <t xml:space="preserve">SATUAN </t>
    </r>
    <r>
      <rPr>
        <b/>
        <sz val="6"/>
        <color rgb="FFFFFF00"/>
        <rFont val="Calibri"/>
        <family val="2"/>
        <scheme val="minor"/>
      </rPr>
      <t>[INV]</t>
    </r>
  </si>
  <si>
    <r>
      <t xml:space="preserve">QTY </t>
    </r>
    <r>
      <rPr>
        <b/>
        <sz val="6"/>
        <color theme="5" tint="0.79998168889431442"/>
        <rFont val="Calibri"/>
        <family val="2"/>
        <scheme val="minor"/>
      </rPr>
      <t>[SR]</t>
    </r>
  </si>
  <si>
    <r>
      <t xml:space="preserve">SATUAN </t>
    </r>
    <r>
      <rPr>
        <b/>
        <sz val="6"/>
        <color theme="5" tint="0.79998168889431442"/>
        <rFont val="Calibri"/>
        <family val="2"/>
        <scheme val="minor"/>
      </rPr>
      <t>[SR]</t>
    </r>
  </si>
  <si>
    <r>
      <t xml:space="preserve">UNITE PRICE </t>
    </r>
    <r>
      <rPr>
        <b/>
        <sz val="6"/>
        <color rgb="FFFFFF00"/>
        <rFont val="Calibri"/>
        <family val="2"/>
        <scheme val="minor"/>
      </rPr>
      <t>[INV]</t>
    </r>
  </si>
  <si>
    <r>
      <t xml:space="preserve">Total Amount </t>
    </r>
    <r>
      <rPr>
        <b/>
        <sz val="6"/>
        <color rgb="FFFFFF00"/>
        <rFont val="Calibri"/>
        <family val="2"/>
        <scheme val="minor"/>
      </rPr>
      <t>[INV]</t>
    </r>
  </si>
  <si>
    <r>
      <t xml:space="preserve">TOTAL AMOUNT </t>
    </r>
    <r>
      <rPr>
        <b/>
        <sz val="6"/>
        <color rgb="FFC00000"/>
        <rFont val="Calibri"/>
        <family val="2"/>
        <scheme val="minor"/>
      </rPr>
      <t>[PEB]</t>
    </r>
  </si>
  <si>
    <t>PEB</t>
  </si>
  <si>
    <t>INV</t>
  </si>
  <si>
    <t>SR</t>
  </si>
  <si>
    <t>CHECK</t>
  </si>
  <si>
    <t>KETERANGAN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</si>
  <si>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Tarikan GCC</t>
    </r>
    <r>
      <rPr>
        <sz val="11"/>
        <color theme="4" tint="-0.499984740745262"/>
        <rFont val="Calibri"/>
        <family val="2"/>
        <scheme val="minor"/>
      </rPr>
      <t>)</t>
    </r>
  </si>
  <si>
    <t>No</t>
  </si>
  <si>
    <t>Invoice [PEB]</t>
  </si>
  <si>
    <t>Seri Item [PEB]</t>
  </si>
  <si>
    <t>No AJU [PEB]</t>
  </si>
  <si>
    <t>No PEB [PEB]</t>
  </si>
  <si>
    <t>Tanggal PEB [PEB]</t>
  </si>
  <si>
    <t>No KPBC [PEB]</t>
  </si>
  <si>
    <t>Penerima [PEB]</t>
  </si>
  <si>
    <t>Kode Negara Tuju [PEB]</t>
  </si>
  <si>
    <t>Description [PEB]</t>
  </si>
  <si>
    <t>Description [INV]</t>
  </si>
  <si>
    <t>2nd Item No (Cust. Item No) [SR]</t>
  </si>
  <si>
    <t>Qty [PEB]</t>
  </si>
  <si>
    <t>Satuan [PEB]</t>
  </si>
  <si>
    <t>Qty [INV]</t>
  </si>
  <si>
    <t>Satuan [INV]</t>
  </si>
  <si>
    <t>Qty [SR]</t>
  </si>
  <si>
    <t>Satuan [SR]</t>
  </si>
  <si>
    <t>WO [SR]</t>
  </si>
  <si>
    <t>WO Type</t>
  </si>
  <si>
    <t>Line [SR]</t>
  </si>
  <si>
    <t>Order No [SR]</t>
  </si>
  <si>
    <t>Customer No [SR]</t>
  </si>
  <si>
    <t>NW [PEB]</t>
  </si>
  <si>
    <t>GW [PEB]</t>
  </si>
  <si>
    <t>Unit Price USD [INV]</t>
  </si>
  <si>
    <t>Total Amount [INV]</t>
  </si>
  <si>
    <t>Total Amount [PEB]</t>
  </si>
  <si>
    <t>Jml Koli [PEB]</t>
  </si>
  <si>
    <t>Kemasan [PEB]</t>
  </si>
  <si>
    <t>Tgl Perkiraan Eksport [PEB]</t>
  </si>
  <si>
    <t>BU</t>
  </si>
  <si>
    <t>Tgl Kembali PEB</t>
  </si>
  <si>
    <t>Weekly Period</t>
  </si>
  <si>
    <t>MD</t>
  </si>
  <si>
    <t>Kurir</t>
  </si>
  <si>
    <t>No AWB</t>
  </si>
  <si>
    <t>Pick NUMBER</t>
  </si>
  <si>
    <t>Unique Key ID</t>
  </si>
  <si>
    <t>002SEXPGGI2025</t>
  </si>
  <si>
    <t>00003031560820250103000004</t>
  </si>
  <si>
    <t>050500</t>
  </si>
  <si>
    <t>HEXAPOLE COMPANY LIMITED</t>
  </si>
  <si>
    <t>HK</t>
  </si>
  <si>
    <t>C3D20055-Q, 90% POLYAMIDE 10% ELASTANE
RABOT LIGHT SOFTSHELL SHORTS MEN</t>
  </si>
  <si>
    <t>C3D20055-Q, 90% POLYAMIDE 10% ELASTANE</t>
  </si>
  <si>
    <t>PCE</t>
  </si>
  <si>
    <t>PC</t>
  </si>
  <si>
    <t>WO</t>
  </si>
  <si>
    <t>PK</t>
  </si>
  <si>
    <t>week 1</t>
  </si>
  <si>
    <t>WINTA SIHOTANG</t>
  </si>
  <si>
    <t>Fedex</t>
  </si>
  <si>
    <t>C3D20055-Q, 90% POLYAMIDE 10% ELASTANE
VAAGAA LIGHT SOFTSHELL SHORT WOMEN</t>
  </si>
  <si>
    <t>C3D20055-Q, 90% POLYAMIDE 10% ELASTANE
VAAGAA LIGHT SOFTSHELL SHORT MEN</t>
  </si>
  <si>
    <t>C3D20055-Q, 90% POLYAMIDE 10% ELASTANE
RABOT LIGHT SOFTSHELL SHORTS WOMEN</t>
  </si>
  <si>
    <t>004SEXPGGI2025</t>
  </si>
  <si>
    <t>00003031560820250106000006</t>
  </si>
  <si>
    <t>MARUBENI INTEX CO., LTD</t>
  </si>
  <si>
    <t>JP</t>
  </si>
  <si>
    <t>POLYESTER 100%, LONG SLEEVE JACKET
1ST SAMPLE</t>
  </si>
  <si>
    <t>Polyester 100%, LONG SLEEVE JACKET</t>
  </si>
  <si>
    <t>SPT22111</t>
  </si>
  <si>
    <t>pcs</t>
  </si>
  <si>
    <t>WS</t>
  </si>
  <si>
    <t>CT</t>
  </si>
  <si>
    <t>SUCI ENJELLIES</t>
  </si>
  <si>
    <t>DHL</t>
  </si>
  <si>
    <t>POLYESTER 100%, CARGO PANT
1ST SAMPLE</t>
  </si>
  <si>
    <t>Polyester 100%, CARGO PANT</t>
  </si>
  <si>
    <t>SPT22115</t>
  </si>
  <si>
    <t>001SEXPGGXII2024</t>
  </si>
  <si>
    <t>00003031560820241202995070</t>
  </si>
  <si>
    <t>RED WING SHOE COMPANY LLC</t>
  </si>
  <si>
    <t>US</t>
  </si>
  <si>
    <t>COVERALL, 93% META ARAMID, 5% PARA ARAMID, 2% ANTISTATIC</t>
  </si>
  <si>
    <t>Coverall, 93% Meta aramid, 5% Para aramid, 2% Antistatic</t>
  </si>
  <si>
    <t>DEWITA NURAENI,A.Md</t>
  </si>
  <si>
    <t>TROUSER, 93% META ARAMID, 5% PARA ARAMID, 2% ANTISTATIC</t>
  </si>
  <si>
    <t>Trouser, 93% Meta aramid, 5% Para aramid, 2% Antistatic</t>
  </si>
  <si>
    <t>002SEXPGGXII2024</t>
  </si>
  <si>
    <t>00003031560820241204995071</t>
  </si>
  <si>
    <t>NP043AWF105 100% NYLON OXFORD
HERITAGE JUMPSUIT</t>
  </si>
  <si>
    <t>NP043AWF105 100% NYLON OXFORD</t>
  </si>
  <si>
    <t>NP043AWF105 100% NYLON OXFORD
HERITAGE RAIN JACKET</t>
  </si>
  <si>
    <t>004SEXPGGXII2024</t>
  </si>
  <si>
    <t>00003031560820241206995074</t>
  </si>
  <si>
    <t>MARUBENI FASHION LINK LTD.</t>
  </si>
  <si>
    <t>100% COTTON CREEPE 40X40 70X54 BOY PANTS</t>
  </si>
  <si>
    <t>100% COTTON CREEPE 40X40 70X54</t>
  </si>
  <si>
    <t>25M-MDSS421</t>
  </si>
  <si>
    <t>PCS</t>
  </si>
  <si>
    <t>BAYU RIZKIA HIDAYAT</t>
  </si>
  <si>
    <t>003SEXPGGXII2024</t>
  </si>
  <si>
    <t>00003031560820241209995075</t>
  </si>
  <si>
    <t>SUN ARROW CORP</t>
  </si>
  <si>
    <t>100% POLYESTER MEDICAL SCRUB TOP</t>
  </si>
  <si>
    <t>133-97</t>
  </si>
  <si>
    <t>week 2</t>
  </si>
  <si>
    <t>100% POLYESTER MEDICA SCRUB PANTS</t>
  </si>
  <si>
    <t>155-78</t>
  </si>
  <si>
    <t>007SEXPGGXII2024</t>
  </si>
  <si>
    <t>00003031560820241209995076</t>
  </si>
  <si>
    <t>70% COTTON 27% POLYESTER 3% SPANDEX DENIM KNIT GIRLS LEGGINGS</t>
  </si>
  <si>
    <t>70% COTTON 27% POLYESTER 3% SPANDEX DENIM KNIT</t>
  </si>
  <si>
    <t>EC25SS24340</t>
  </si>
  <si>
    <t>WK</t>
  </si>
  <si>
    <t>EC25SS27340</t>
  </si>
  <si>
    <t>006SEXPGGXII2024</t>
  </si>
  <si>
    <t>00003031560820241210995077</t>
  </si>
  <si>
    <t>C3D20055-Q, 90% POLYAMIDE 10% ELASTANE SOFTSHELL LONG SHORT MEN</t>
  </si>
  <si>
    <t>C3D20055-Q, 90% POLYAMIDE 10% ELASTANE SOFTSHELL LONG SHORT WOMEN</t>
  </si>
  <si>
    <t>C3D20055-Q, 90% POLYAMIDE 10% ELASTANE SOFTSHELL PANTS WOMEN</t>
  </si>
  <si>
    <t>C3D20055-Q, 90% POLYAMIDE 10% ELASTANE SOFTSHELL SHORT WOMEN</t>
  </si>
  <si>
    <t>009SEXPGGXII2024</t>
  </si>
  <si>
    <t>00003031560820241210995078</t>
  </si>
  <si>
    <t>100% COTTON CREEPE 40X40 70X54 GIRLS PANTS</t>
  </si>
  <si>
    <t>25M-ASSB710</t>
  </si>
  <si>
    <t>25M-ASSC858</t>
  </si>
  <si>
    <t>010SEXPGGXII2024</t>
  </si>
  <si>
    <t>00003031560820241211995075</t>
  </si>
  <si>
    <t>AITOZ</t>
  </si>
  <si>
    <t>PE 100% PLAIN WEAVE DYED
INDUSTRIAL WHITE PANTS</t>
  </si>
  <si>
    <t>PE100% PLAIN WEAVE DYED</t>
  </si>
  <si>
    <t>Z4726020 (AUA34000)</t>
  </si>
  <si>
    <t>100% POLYESTER
PASS CASE</t>
  </si>
  <si>
    <t>100% POLYESTER</t>
  </si>
  <si>
    <t>A4726022-000 (AUA38400)</t>
  </si>
  <si>
    <t>012SEXPGGXII2024</t>
  </si>
  <si>
    <t>00003031560820241211995076</t>
  </si>
  <si>
    <t>100% COTTON CREEPE 40X40 70X54
GIRLS PANTS</t>
  </si>
  <si>
    <t>25M-ASSC808</t>
  </si>
  <si>
    <t>25M-MGTS324</t>
  </si>
  <si>
    <t>013SEXPGGXII2024</t>
  </si>
  <si>
    <t>00003031560820241213995079</t>
  </si>
  <si>
    <t>25M-ASSC809</t>
  </si>
  <si>
    <t>25M-ASSB711</t>
  </si>
  <si>
    <t>100% COTTON CREEPE 40X40 70X54
BOYS PANTS</t>
  </si>
  <si>
    <t>014SEXPGGXII2024</t>
  </si>
  <si>
    <t>00003031560820241213995080</t>
  </si>
  <si>
    <t>FVF4223NFK04, RECYCLE NYLON/NYLON/SPANDEX
WANDERWALL PANTS</t>
  </si>
  <si>
    <t>FVF4223NFK04, RECYCLE NYLON/NYLON/SPANDEX</t>
  </si>
  <si>
    <t>015SEXPGGXII2024</t>
  </si>
  <si>
    <t>00003031560820241213995081</t>
  </si>
  <si>
    <t>MONT BLANC</t>
  </si>
  <si>
    <t>FABRIC 65%POLYESTER 35%COTTON, TC465J</t>
  </si>
  <si>
    <t>MTR</t>
  </si>
  <si>
    <t>meter</t>
  </si>
  <si>
    <t>NON WOVEN FABRIC FUSED, KBS-22</t>
  </si>
  <si>
    <t>016SEXPGGXII2024</t>
  </si>
  <si>
    <t>00003031560820241216995082</t>
  </si>
  <si>
    <t>100% COTTON INTERLOCK
GIRLS LEGGINGS
&amp;nbsp;</t>
  </si>
  <si>
    <t>100% COTTON INTERLOCK</t>
  </si>
  <si>
    <t>EC25SS54352</t>
  </si>
  <si>
    <t>week 3</t>
  </si>
  <si>
    <t>100% COTTON INTERLOCK
GIRLS LEGGINGS</t>
  </si>
  <si>
    <t>EC25SS28352</t>
  </si>
  <si>
    <t>017SEXPGGXII2024</t>
  </si>
  <si>
    <t>00003031560820241216995083</t>
  </si>
  <si>
    <t>SUN S</t>
  </si>
  <si>
    <t>70% COTTON 30% POLY BLOUSON
SHIPPING SAMPLE</t>
  </si>
  <si>
    <t>70% COTTON 30% POLY, LONG BLOUSON</t>
  </si>
  <si>
    <t>WA161</t>
  </si>
  <si>
    <t>018SEXPGGXII2024</t>
  </si>
  <si>
    <t>00003031560820241216995084</t>
  </si>
  <si>
    <t>100% NYLON STORM CRUISER JK M'S
SHIPPING SAMPLE</t>
  </si>
  <si>
    <t>100% NYLON STORM CRUISER JK M'S</t>
  </si>
  <si>
    <t>LINDA</t>
  </si>
  <si>
    <t>020SEXPGGXII2024</t>
  </si>
  <si>
    <t>00003031560820241219995086</t>
  </si>
  <si>
    <t>100% POLYESTER MEDICAL SCRUB PANTS
SPECIAL SIZE SAMPLE
&amp;nbsp;</t>
  </si>
  <si>
    <t>100% POLYESTER MEDICAL SCRUB PANTS</t>
  </si>
  <si>
    <t>85% POLYESTER 15% COTTON DOCTORWEAR
SPECIAL SIZE SAMPLE</t>
  </si>
  <si>
    <t>85% POLYESTER 15% COTTON DOCTORWEAR</t>
  </si>
  <si>
    <t>251-90</t>
  </si>
  <si>
    <t>250-90</t>
  </si>
  <si>
    <t>021SEXPGGXII2024</t>
  </si>
  <si>
    <t>00003031560820241220995089</t>
  </si>
  <si>
    <t>100% COTTON CREEPE 40X40 70X54
BOY PANTS</t>
  </si>
  <si>
    <t>25M-ASSB709</t>
  </si>
  <si>
    <t>70% COTTON 27% POLYESTER 3% SPANDEX DENIM KNIT GIRLS PANTS</t>
  </si>
  <si>
    <t>EC25AH54115</t>
  </si>
  <si>
    <t>022SEXPGGXII2024</t>
  </si>
  <si>
    <t>00003031560820241220995090</t>
  </si>
  <si>
    <t>PE100%PLAIN WEAVE DYED #MT2163
INDUSTRIAL WHITE PANTS</t>
  </si>
  <si>
    <t>PE100%PLAIN WEAVE DYED #MT2163</t>
  </si>
  <si>
    <t>Z4726020</t>
  </si>
  <si>
    <t>023SEXPGGXII2024</t>
  </si>
  <si>
    <t>00003031560820241223995091</t>
  </si>
  <si>
    <t>week 4</t>
  </si>
  <si>
    <t>70% COTTON 27% POLYESTER 3% SPANDEX DENIM KNIT GIRLS SHORT PANTS</t>
  </si>
  <si>
    <t>EC25SS24336</t>
  </si>
  <si>
    <t>025SEXPGGXII2024</t>
  </si>
  <si>
    <t>00003031560820241227995093</t>
  </si>
  <si>
    <t>KAZEN</t>
  </si>
  <si>
    <t>65% POLYESTER 35% COTTON COOKING UNIFORM</t>
  </si>
  <si>
    <t>H2N-USHIRO</t>
  </si>
  <si>
    <t>H3N-SHIEN</t>
  </si>
  <si>
    <t>65% POLYESTER 35% COTTON CAP</t>
  </si>
  <si>
    <t>FUKUOKA-C1N</t>
  </si>
  <si>
    <t>65% POLYESTER 35% COTTON LUNCH BAG</t>
  </si>
  <si>
    <t>FUKUOKA-F1N</t>
  </si>
  <si>
    <t>H3N – DANSHI</t>
  </si>
  <si>
    <t>027SEXPGGXII2024</t>
  </si>
  <si>
    <t>00003031560820241230995097</t>
  </si>
  <si>
    <t>80% POLY 20% COTTON
LONG BLOUSON
&amp;nbsp;</t>
  </si>
  <si>
    <t>80% POLY 20% COTTON</t>
  </si>
  <si>
    <t>week 5</t>
  </si>
  <si>
    <t>80% POLY 20% COTTON
LONG BLOUSON</t>
  </si>
  <si>
    <t>028SEXPGGXII2024</t>
  </si>
  <si>
    <t>00003031560820241231995098</t>
  </si>
  <si>
    <t>25M-MDTS123</t>
  </si>
  <si>
    <t>25M-MDTS121</t>
  </si>
  <si>
    <t>25M-MGTS322</t>
  </si>
  <si>
    <t>\\10.8.0.35\Bersama\path file\MACRO - Validasi Sample tidak berbayar\Backup\20250111\Bahan\GCC - Non-Paid Sample Report (1).xlsx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</si>
</sst>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0"/>
      <color theme="1"/>
      <name val="Calibri"/>
      <family val="2"/>
      <scheme val="minor"/>
    </font>
    <font>
      <b/>
      <sz val="6"/>
      <color rgb="FFC00000"/>
      <name val="Calibri"/>
      <family val="2"/>
      <scheme val="minor"/>
    </font>
    <font>
      <b/>
      <sz val="6"/>
      <color rgb="FFFFFF00"/>
      <name val="Calibri"/>
      <family val="2"/>
      <scheme val="minor"/>
    </font>
    <font>
      <b/>
      <sz val="6"/>
      <color theme="5" tint="0.7999816888943144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rgb="FF00B050"/>
      <name val="Calibri"/>
      <family val="2"/>
      <charset val="1"/>
      <scheme val="minor"/>
    </font>
    <font>
      <b/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4" fillId="0" borderId="0" applyBorder="0" applyProtection="0"/>
  </cellStyleXfs>
  <cellXfs count="49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0" fillId="3" borderId="7" xfId="0" applyFont="1" applyFill="1" applyBorder="1" applyAlignment="1">
      <alignment vertical="center"/>
    </xf>
    <xf numFmtId="0" fontId="11" fillId="0" borderId="0" xfId="0" applyFont="1" applyAlignment="1">
      <alignment horizontal="left"/>
    </xf>
    <xf numFmtId="0" fontId="2" fillId="0" borderId="0" xfId="1"/>
    <xf numFmtId="0" fontId="10" fillId="3" borderId="0" xfId="0" applyFont="1" applyFill="1" applyAlignment="1">
      <alignment horizontal="left" vertical="center"/>
    </xf>
    <xf numFmtId="15" fontId="0" fillId="0" borderId="0" xfId="0" applyNumberFormat="1" applyAlignment="1">
      <alignment horizontal="left"/>
    </xf>
    <xf numFmtId="15" fontId="0" fillId="0" borderId="0" xfId="0" applyNumberFormat="1" applyAlignment="1">
      <alignment horizontal="right"/>
    </xf>
    <xf numFmtId="0" fontId="0" fillId="4" borderId="0" xfId="0" applyFill="1"/>
    <xf numFmtId="0" fontId="10" fillId="3" borderId="0" xfId="0" applyFont="1" applyFill="1" applyAlignment="1">
      <alignment vertical="center"/>
    </xf>
    <xf numFmtId="0" fontId="0" fillId="0" borderId="0" xfId="0" applyFill="1"/>
    <xf numFmtId="0" fontId="13" fillId="0" borderId="0" xfId="1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5" fontId="0" fillId="0" borderId="0" xfId="0" applyNumberFormat="1"/>
    <xf numFmtId="0" fontId="1" fillId="5" borderId="8" xfId="0" applyFont="1" applyFill="1" applyBorder="1" applyAlignment="1">
      <alignment vertical="center"/>
    </xf>
    <xf numFmtId="0" fontId="15" fillId="6" borderId="0" xfId="0" applyFont="1" applyFill="1" applyAlignment="1">
      <alignment horizontal="left" vertical="center" wrapText="1"/>
    </xf>
    <xf numFmtId="0" fontId="15" fillId="6" borderId="0" xfId="0" applyFont="1" applyFill="1" applyAlignment="1">
      <alignment vertical="center" wrapText="1"/>
    </xf>
    <xf numFmtId="14" fontId="15" fillId="6" borderId="0" xfId="0" applyNumberFormat="1" applyFont="1" applyFill="1" applyAlignment="1">
      <alignment vertical="center" wrapText="1"/>
    </xf>
    <xf numFmtId="0" fontId="15" fillId="0" borderId="0" xfId="0" applyFont="1" applyAlignment="1">
      <alignment vertical="center" wrapText="1"/>
    </xf>
    <xf numFmtId="0" fontId="19" fillId="7" borderId="8" xfId="0" applyFont="1" applyFill="1" applyBorder="1" applyAlignment="1">
      <alignment horizontal="center" vertical="center"/>
    </xf>
    <xf numFmtId="0" fontId="20" fillId="8" borderId="0" xfId="0" applyFont="1" applyFill="1" applyAlignment="1">
      <alignment horizontal="left" vertical="center" wrapText="1"/>
    </xf>
    <xf numFmtId="0" fontId="20" fillId="8" borderId="0" xfId="0" applyFont="1" applyFill="1" applyAlignment="1">
      <alignment horizontal="center" vertical="center" wrapText="1"/>
    </xf>
    <xf numFmtId="14" fontId="20" fillId="8" borderId="0" xfId="0" applyNumberFormat="1" applyFont="1" applyFill="1" applyAlignment="1">
      <alignment horizontal="center" vertical="center" wrapText="1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0" fillId="12" borderId="0" xfId="0" applyFill="1" applyAlignment="1">
      <alignment horizontal="center"/>
    </xf>
    <xf numFmtId="1" fontId="0" fillId="0" borderId="0" xfId="0" applyNumberFormat="1" applyAlignment="1">
      <alignment horizontal="left"/>
    </xf>
    <xf numFmtId="1" fontId="0" fillId="0" borderId="0" xfId="0" applyNumberFormat="1"/>
    <xf numFmtId="2" fontId="0" fillId="0" borderId="0" xfId="0" applyNumberFormat="1"/>
    <xf numFmtId="0" fontId="21" fillId="0" borderId="0" xfId="0" applyFont="1" applyAlignment="1">
      <alignment horizontal="center" vertical="center"/>
    </xf>
    <xf numFmtId="0" fontId="22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1" fillId="5" borderId="8" xfId="0" applyFont="1" applyFill="1" applyBorder="1" applyAlignment="1">
      <alignment horizontal="center" vertical="center"/>
    </xf>
  </cellXfs>
  <cellStyles count="3">
    <cellStyle name="Excel Built-in Normal" xfId="2" xr:uid="{D0A62D8A-F5AD-4831-AD46-5F269BDB16BC}"/>
    <cellStyle name="Hyperlink" xfId="1" builtinId="8"/>
    <cellStyle name="Normal" xfId="0" builtinId="0"/>
  </cellStyles>
  <dxfs count="26">
    <dxf>
      <font>
        <b val="0"/>
        <i val="0"/>
        <color rgb="FFC00000"/>
      </font>
    </dxf>
    <dxf>
      <font>
        <color rgb="FF00B050"/>
      </font>
    </dxf>
    <dxf>
      <font>
        <b val="0"/>
        <i val="0"/>
        <color rgb="FFC00000"/>
      </font>
    </dxf>
    <dxf>
      <font>
        <color rgb="FF00B050"/>
      </font>
    </dxf>
    <dxf>
      <font>
        <b val="0"/>
        <i val="0"/>
        <color rgb="FFC00000"/>
      </font>
    </dxf>
    <dxf>
      <font>
        <color rgb="FF00B050"/>
      </font>
    </dxf>
    <dxf>
      <font>
        <b val="0"/>
        <i val="0"/>
        <color rgb="FFC00000"/>
      </font>
    </dxf>
    <dxf>
      <font>
        <color rgb="FF00B050"/>
      </font>
    </dxf>
    <dxf>
      <font>
        <b val="0"/>
        <i val="0"/>
        <color rgb="FFC00000"/>
      </font>
    </dxf>
    <dxf>
      <font>
        <color rgb="FF00B050"/>
      </font>
    </dxf>
    <dxf>
      <font>
        <b val="0"/>
        <i val="0"/>
        <color rgb="FFC00000"/>
      </font>
    </dxf>
    <dxf>
      <font>
        <color rgb="FF00B050"/>
      </font>
    </dxf>
    <dxf>
      <font>
        <color rgb="FFFFFF00"/>
      </font>
      <fill>
        <patternFill>
          <bgColor rgb="FFFF0000"/>
        </patternFill>
      </fill>
    </dxf>
    <dxf>
      <font>
        <b val="0"/>
        <i val="0"/>
        <color rgb="FFC00000"/>
      </font>
    </dxf>
    <dxf>
      <font>
        <color rgb="FF00B050"/>
      </font>
    </dxf>
    <dxf>
      <font>
        <b val="0"/>
        <i val="0"/>
        <color rgb="FFC00000"/>
      </font>
    </dxf>
    <dxf>
      <font>
        <color rgb="FF00B050"/>
      </font>
    </dxf>
    <dxf>
      <font>
        <b val="0"/>
        <i val="0"/>
        <color rgb="FFC00000"/>
      </font>
    </dxf>
    <dxf>
      <font>
        <color rgb="FF00B050"/>
      </font>
    </dxf>
    <dxf>
      <font>
        <b val="0"/>
        <i val="0"/>
        <color rgb="FFC00000"/>
      </font>
    </dxf>
    <dxf>
      <font>
        <color rgb="FF00B050"/>
      </font>
    </dxf>
    <dxf>
      <font>
        <b val="0"/>
        <i val="0"/>
        <color rgb="FFC00000"/>
      </font>
    </dxf>
    <dxf>
      <font>
        <color rgb="FF00B050"/>
      </font>
    </dxf>
    <dxf>
      <font>
        <b val="0"/>
        <i val="0"/>
        <color rgb="FFC00000"/>
      </font>
    </dxf>
    <dxf>
      <font>
        <color rgb="FF00B050"/>
      </font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1850908</xdr:colOff>
      <xdr:row>9</xdr:row>
      <xdr:rowOff>33704</xdr:rowOff>
    </xdr:from>
    <xdr:to>
      <xdr:col>5</xdr:col>
      <xdr:colOff>2234839</xdr:colOff>
      <xdr:row>10</xdr:row>
      <xdr:rowOff>2203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283" y="1586279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2865783</xdr:colOff>
      <xdr:row>1</xdr:row>
      <xdr:rowOff>295275</xdr:rowOff>
    </xdr:from>
    <xdr:to>
      <xdr:col>4</xdr:col>
      <xdr:colOff>2200275</xdr:colOff>
      <xdr:row>7</xdr:row>
      <xdr:rowOff>38100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4846983" y="447675"/>
          <a:ext cx="2839692" cy="876300"/>
          <a:chOff x="7229475" y="219075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cmd_Execute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56841</xdr:colOff>
      <xdr:row>11</xdr:row>
      <xdr:rowOff>28212</xdr:rowOff>
    </xdr:from>
    <xdr:to>
      <xdr:col>3</xdr:col>
      <xdr:colOff>123101</xdr:colOff>
      <xdr:row>11</xdr:row>
      <xdr:rowOff>168345</xdr:rowOff>
    </xdr:to>
    <xdr:sp macro="[0]!BUTTON_CariFile_TarikanGCC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638241" y="21999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C7004-B48C-4669-8C56-2896FAFAA0F5}">
  <sheetPr codeName="Sheet14"/>
  <dimension ref="A1:Z12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19" sqref="B19"/>
    </sheetView>
  </sheetViews>
  <sheetFormatPr defaultRowHeight="15" x14ac:dyDescent="0.25"/>
  <cols>
    <col min="1" max="1" width="8" style="18" customWidth="1"/>
    <col min="2" max="2" width="19.28515625" customWidth="1"/>
    <col min="3" max="3" width="10.140625" customWidth="1"/>
    <col min="4" max="4" width="14.7109375" style="19" customWidth="1"/>
    <col min="5" max="5" width="40.5703125" bestFit="1" customWidth="1"/>
    <col min="6" max="6" width="49.7109375" customWidth="1"/>
    <col min="7" max="7" width="31.28515625" customWidth="1"/>
    <col min="8" max="8" width="26.140625" customWidth="1"/>
    <col min="9" max="9" width="4.7109375" customWidth="1"/>
    <col min="10" max="10" width="7.5703125" customWidth="1"/>
    <col min="11" max="11" width="6.5703125" customWidth="1"/>
    <col min="12" max="12" width="8.42578125" customWidth="1"/>
    <col min="13" max="13" width="11.7109375" customWidth="1"/>
    <col min="14" max="14" width="8.42578125" customWidth="1"/>
    <col min="15" max="15" width="11" customWidth="1"/>
    <col min="16" max="16" width="14" customWidth="1"/>
    <col min="17" max="17" width="13.5703125" customWidth="1"/>
    <col min="18" max="18" width="0.5703125" customWidth="1"/>
    <col min="22" max="22" width="9.140625" style="37"/>
    <col min="25" max="25" width="9.140625" style="37"/>
    <col min="26" max="26" width="35.28515625" customWidth="1"/>
  </cols>
  <sheetData>
    <row r="1" spans="1:26" x14ac:dyDescent="0.25">
      <c r="S1" s="48" t="s">
        <v>7</v>
      </c>
      <c r="T1" s="48"/>
      <c r="U1" s="48"/>
      <c r="V1" s="48"/>
      <c r="W1" s="48" t="s">
        <v>8</v>
      </c>
      <c r="X1" s="48"/>
      <c r="Y1" s="48"/>
      <c r="Z1" s="20"/>
    </row>
    <row r="2" spans="1:26" ht="33.75" x14ac:dyDescent="0.25">
      <c r="A2" s="21" t="s">
        <v>9</v>
      </c>
      <c r="B2" s="22" t="s">
        <v>10</v>
      </c>
      <c r="C2" s="22" t="s">
        <v>11</v>
      </c>
      <c r="D2" s="23" t="s">
        <v>12</v>
      </c>
      <c r="E2" s="22" t="s">
        <v>13</v>
      </c>
      <c r="F2" s="22" t="s">
        <v>14</v>
      </c>
      <c r="G2" s="22" t="s">
        <v>15</v>
      </c>
      <c r="H2" s="22" t="s">
        <v>16</v>
      </c>
      <c r="I2" s="22" t="s">
        <v>17</v>
      </c>
      <c r="J2" s="22" t="s">
        <v>18</v>
      </c>
      <c r="K2" s="22" t="s">
        <v>19</v>
      </c>
      <c r="L2" s="22" t="s">
        <v>20</v>
      </c>
      <c r="M2" s="22" t="s">
        <v>21</v>
      </c>
      <c r="N2" s="22" t="s">
        <v>22</v>
      </c>
      <c r="O2" s="22" t="s">
        <v>23</v>
      </c>
      <c r="P2" s="23" t="s">
        <v>24</v>
      </c>
      <c r="Q2" s="22" t="s">
        <v>25</v>
      </c>
      <c r="R2" s="24"/>
      <c r="S2" s="25" t="s">
        <v>26</v>
      </c>
      <c r="T2" s="25" t="s">
        <v>27</v>
      </c>
      <c r="U2" s="25" t="s">
        <v>28</v>
      </c>
      <c r="V2" s="25" t="s">
        <v>29</v>
      </c>
      <c r="W2" s="25" t="s">
        <v>26</v>
      </c>
      <c r="X2" s="25" t="s">
        <v>27</v>
      </c>
      <c r="Y2" s="25" t="s">
        <v>29</v>
      </c>
      <c r="Z2" s="25" t="s">
        <v>30</v>
      </c>
    </row>
    <row r="3" spans="1:26" s="17" customFormat="1" ht="5.25" customHeight="1" x14ac:dyDescent="0.25">
      <c r="A3" s="26" t="s">
        <v>0</v>
      </c>
      <c r="B3" s="27" t="s">
        <v>0</v>
      </c>
      <c r="C3" s="27" t="s">
        <v>0</v>
      </c>
      <c r="D3" s="28" t="s">
        <v>0</v>
      </c>
      <c r="E3" s="27" t="s">
        <v>0</v>
      </c>
      <c r="F3" s="27" t="s">
        <v>0</v>
      </c>
      <c r="G3" s="27" t="s">
        <v>0</v>
      </c>
      <c r="H3" s="27" t="s">
        <v>0</v>
      </c>
      <c r="I3" s="27" t="s">
        <v>0</v>
      </c>
      <c r="J3" s="27" t="s">
        <v>0</v>
      </c>
      <c r="K3" s="27" t="s">
        <v>0</v>
      </c>
      <c r="L3" s="27" t="s">
        <v>0</v>
      </c>
      <c r="M3" s="27" t="s">
        <v>0</v>
      </c>
      <c r="N3" s="27" t="s">
        <v>0</v>
      </c>
      <c r="O3" s="27" t="s">
        <v>0</v>
      </c>
      <c r="P3" s="28" t="s">
        <v>0</v>
      </c>
      <c r="Q3" s="27" t="s">
        <v>0</v>
      </c>
      <c r="R3" s="27" t="s">
        <v>0</v>
      </c>
      <c r="S3" s="29"/>
      <c r="T3" s="30"/>
      <c r="U3" s="31"/>
      <c r="V3" s="32" t="s">
        <v>0</v>
      </c>
      <c r="W3" s="29"/>
      <c r="X3" s="30"/>
      <c r="Y3" s="32" t="s">
        <v>0</v>
      </c>
      <c r="Z3" s="33" t="s">
        <v>0</v>
      </c>
    </row>
    <row r="4" spans="1:26" x14ac:dyDescent="0.25">
      <c r="A4" s="34"/>
      <c r="C4" s="35"/>
      <c r="G4" s="35"/>
      <c r="K4" s="35"/>
      <c r="M4" s="35"/>
      <c r="N4" s="35"/>
      <c r="O4" s="35"/>
      <c r="P4" s="35"/>
      <c r="Q4" s="36"/>
      <c r="W4" s="36"/>
    </row>
    <row r="5" spans="1:26" x14ac:dyDescent="0.25">
      <c r="A5" s="34"/>
      <c r="C5" s="35"/>
      <c r="G5" s="35"/>
      <c r="K5" s="35"/>
      <c r="M5" s="35"/>
      <c r="N5" s="35"/>
      <c r="O5" s="35"/>
      <c r="P5" s="35"/>
      <c r="Q5" s="36"/>
      <c r="W5" s="36"/>
    </row>
    <row r="6" spans="1:26" x14ac:dyDescent="0.25">
      <c r="A6" s="34"/>
      <c r="C6" s="35"/>
      <c r="G6" s="35"/>
      <c r="K6" s="35"/>
      <c r="M6" s="35"/>
      <c r="N6" s="35"/>
      <c r="O6" s="35"/>
      <c r="P6" s="35"/>
      <c r="Q6" s="36"/>
      <c r="W6" s="36"/>
    </row>
    <row r="7" spans="1:26" x14ac:dyDescent="0.25">
      <c r="A7" s="34"/>
      <c r="C7" s="35"/>
      <c r="G7" s="35"/>
      <c r="K7" s="35"/>
      <c r="M7" s="35"/>
      <c r="N7" s="35"/>
      <c r="O7" s="35"/>
      <c r="P7" s="35"/>
      <c r="Q7" s="36"/>
      <c r="W7" s="36"/>
    </row>
    <row r="8" spans="1:26" x14ac:dyDescent="0.25">
      <c r="A8" s="34"/>
      <c r="C8" s="35"/>
      <c r="G8" s="35"/>
      <c r="K8" s="35"/>
      <c r="M8" s="35"/>
      <c r="N8" s="35"/>
      <c r="O8" s="35"/>
      <c r="P8" s="35"/>
      <c r="Q8" s="36"/>
      <c r="W8" s="36"/>
    </row>
    <row r="9" spans="1:26" x14ac:dyDescent="0.25">
      <c r="A9" s="34"/>
      <c r="C9" s="35"/>
      <c r="G9" s="35"/>
      <c r="K9" s="35"/>
      <c r="M9" s="35"/>
      <c r="N9" s="35"/>
      <c r="O9" s="35"/>
      <c r="P9" s="35"/>
      <c r="Q9" s="36"/>
      <c r="W9" s="36"/>
    </row>
    <row r="10" spans="1:26" x14ac:dyDescent="0.25">
      <c r="A10" s="34"/>
      <c r="C10" s="35"/>
      <c r="G10" s="35"/>
      <c r="K10" s="35"/>
      <c r="M10" s="35"/>
      <c r="N10" s="35"/>
      <c r="O10" s="35"/>
      <c r="P10" s="35"/>
      <c r="Q10" s="36"/>
      <c r="W10" s="36"/>
    </row>
    <row r="11" spans="1:26" x14ac:dyDescent="0.25">
      <c r="A11" s="34"/>
      <c r="C11" s="35"/>
      <c r="G11" s="35"/>
      <c r="K11" s="35"/>
      <c r="M11" s="35"/>
      <c r="N11" s="35"/>
      <c r="O11" s="35"/>
      <c r="P11" s="35"/>
      <c r="Q11" s="36"/>
      <c r="W11" s="36"/>
    </row>
    <row r="12" spans="1:26" x14ac:dyDescent="0.25">
      <c r="A12" s="34"/>
      <c r="C12" s="35"/>
      <c r="G12" s="35"/>
      <c r="K12" s="35"/>
      <c r="M12" s="35"/>
      <c r="N12" s="35"/>
      <c r="O12" s="35"/>
      <c r="P12" s="35"/>
      <c r="Q12" s="36"/>
      <c r="W12" s="36"/>
    </row>
    <row r="13" spans="1:26" x14ac:dyDescent="0.25">
      <c r="A13" s="34"/>
      <c r="C13" s="35"/>
      <c r="G13" s="35"/>
      <c r="K13" s="35"/>
      <c r="M13" s="35"/>
      <c r="N13" s="35"/>
      <c r="O13" s="35"/>
      <c r="P13" s="35"/>
      <c r="Q13" s="36"/>
      <c r="W13" s="36"/>
    </row>
    <row r="14" spans="1:26" x14ac:dyDescent="0.25">
      <c r="A14" s="34"/>
      <c r="C14" s="35"/>
      <c r="G14" s="35"/>
      <c r="K14" s="35"/>
      <c r="M14" s="35"/>
      <c r="N14" s="35"/>
      <c r="O14" s="35"/>
      <c r="P14" s="35"/>
      <c r="Q14" s="36"/>
      <c r="W14" s="36"/>
    </row>
    <row r="15" spans="1:26" x14ac:dyDescent="0.25">
      <c r="A15" s="34"/>
      <c r="C15" s="35"/>
      <c r="G15" s="35"/>
      <c r="K15" s="35"/>
      <c r="M15" s="35"/>
      <c r="N15" s="35"/>
      <c r="O15" s="35"/>
      <c r="P15" s="35"/>
      <c r="Q15" s="36"/>
      <c r="W15" s="36"/>
    </row>
    <row r="16" spans="1:26" x14ac:dyDescent="0.25">
      <c r="A16" s="34"/>
      <c r="C16" s="35"/>
      <c r="G16" s="35"/>
      <c r="K16" s="35"/>
      <c r="M16" s="35"/>
      <c r="N16" s="35"/>
      <c r="O16" s="35"/>
      <c r="P16" s="35"/>
      <c r="Q16" s="36"/>
      <c r="W16" s="36"/>
    </row>
    <row r="17" spans="1:23" x14ac:dyDescent="0.25">
      <c r="A17" s="34"/>
      <c r="C17" s="35"/>
      <c r="G17" s="35"/>
      <c r="K17" s="35"/>
      <c r="M17" s="35"/>
      <c r="N17" s="35"/>
      <c r="O17" s="35"/>
      <c r="P17" s="35"/>
      <c r="Q17" s="36"/>
      <c r="W17" s="36"/>
    </row>
    <row r="18" spans="1:23" x14ac:dyDescent="0.25">
      <c r="A18" s="34"/>
      <c r="C18" s="35"/>
      <c r="G18" s="35"/>
      <c r="K18" s="35"/>
      <c r="M18" s="35"/>
      <c r="N18" s="35"/>
      <c r="O18" s="35"/>
      <c r="P18" s="35"/>
      <c r="Q18" s="36"/>
      <c r="W18" s="36"/>
    </row>
    <row r="19" spans="1:23" x14ac:dyDescent="0.25">
      <c r="A19" s="34"/>
      <c r="C19" s="35"/>
      <c r="G19" s="35"/>
      <c r="K19" s="35"/>
      <c r="M19" s="35"/>
      <c r="N19" s="35"/>
      <c r="O19" s="35"/>
      <c r="P19" s="35"/>
      <c r="Q19" s="36"/>
      <c r="W19" s="36"/>
    </row>
    <row r="20" spans="1:23" x14ac:dyDescent="0.25">
      <c r="A20" s="34"/>
      <c r="C20" s="35"/>
      <c r="G20" s="35"/>
      <c r="K20" s="35"/>
      <c r="M20" s="35"/>
      <c r="N20" s="35"/>
      <c r="O20" s="35"/>
      <c r="P20" s="35"/>
      <c r="Q20" s="36"/>
      <c r="W20" s="36"/>
    </row>
    <row r="21" spans="1:23" x14ac:dyDescent="0.25">
      <c r="A21" s="34"/>
      <c r="C21" s="35"/>
      <c r="G21" s="35"/>
      <c r="K21" s="35"/>
      <c r="M21" s="35"/>
      <c r="N21" s="35"/>
      <c r="O21" s="35"/>
      <c r="P21" s="35"/>
      <c r="Q21" s="36"/>
      <c r="W21" s="36"/>
    </row>
    <row r="22" spans="1:23" x14ac:dyDescent="0.25">
      <c r="A22" s="34"/>
      <c r="C22" s="35"/>
      <c r="G22" s="35"/>
      <c r="K22" s="35"/>
      <c r="M22" s="35"/>
      <c r="N22" s="35"/>
      <c r="O22" s="35"/>
      <c r="P22" s="35"/>
      <c r="Q22" s="36"/>
      <c r="W22" s="36"/>
    </row>
    <row r="23" spans="1:23" x14ac:dyDescent="0.25">
      <c r="A23" s="34"/>
      <c r="C23" s="35"/>
      <c r="G23" s="35"/>
      <c r="K23" s="35"/>
      <c r="M23" s="35"/>
      <c r="N23" s="35"/>
      <c r="O23" s="35"/>
      <c r="P23" s="35"/>
      <c r="Q23" s="36"/>
      <c r="W23" s="36"/>
    </row>
    <row r="24" spans="1:23" x14ac:dyDescent="0.25">
      <c r="A24" s="34"/>
      <c r="C24" s="35"/>
      <c r="G24" s="35"/>
      <c r="K24" s="35"/>
      <c r="M24" s="35"/>
      <c r="N24" s="35"/>
      <c r="O24" s="35"/>
      <c r="P24" s="35"/>
      <c r="Q24" s="36"/>
      <c r="W24" s="36"/>
    </row>
    <row r="25" spans="1:23" x14ac:dyDescent="0.25">
      <c r="A25" s="34"/>
      <c r="C25" s="35"/>
      <c r="G25" s="35"/>
      <c r="K25" s="35"/>
      <c r="M25" s="35"/>
      <c r="N25" s="35"/>
      <c r="O25" s="35"/>
      <c r="P25" s="35"/>
      <c r="Q25" s="36"/>
      <c r="W25" s="36"/>
    </row>
    <row r="26" spans="1:23" x14ac:dyDescent="0.25">
      <c r="A26" s="34"/>
      <c r="C26" s="35"/>
      <c r="G26" s="35"/>
      <c r="K26" s="35"/>
      <c r="M26" s="35"/>
      <c r="N26" s="35"/>
      <c r="O26" s="35"/>
      <c r="P26" s="35"/>
      <c r="Q26" s="36"/>
      <c r="W26" s="36"/>
    </row>
    <row r="27" spans="1:23" x14ac:dyDescent="0.25">
      <c r="A27" s="34"/>
      <c r="C27" s="35"/>
      <c r="G27" s="35"/>
      <c r="K27" s="35"/>
      <c r="M27" s="35"/>
      <c r="N27" s="35"/>
      <c r="O27" s="35"/>
      <c r="P27" s="35"/>
      <c r="Q27" s="36"/>
      <c r="W27" s="36"/>
    </row>
    <row r="28" spans="1:23" x14ac:dyDescent="0.25">
      <c r="A28" s="34"/>
      <c r="C28" s="35"/>
      <c r="G28" s="35"/>
      <c r="K28" s="35"/>
      <c r="M28" s="35"/>
      <c r="N28" s="35"/>
      <c r="O28" s="35"/>
      <c r="P28" s="35"/>
      <c r="Q28" s="36"/>
      <c r="W28" s="36"/>
    </row>
    <row r="29" spans="1:23" x14ac:dyDescent="0.25">
      <c r="A29" s="34"/>
      <c r="C29" s="35"/>
      <c r="G29" s="35"/>
      <c r="K29" s="35"/>
      <c r="M29" s="35"/>
      <c r="N29" s="35"/>
      <c r="O29" s="35"/>
      <c r="P29" s="35"/>
      <c r="Q29" s="36"/>
      <c r="W29" s="36"/>
    </row>
    <row r="30" spans="1:23" x14ac:dyDescent="0.25">
      <c r="A30" s="34"/>
      <c r="C30" s="35"/>
      <c r="G30" s="35"/>
      <c r="K30" s="35"/>
      <c r="M30" s="35"/>
      <c r="N30" s="35"/>
      <c r="O30" s="35"/>
      <c r="P30" s="35"/>
      <c r="Q30" s="36"/>
      <c r="W30" s="36"/>
    </row>
    <row r="31" spans="1:23" x14ac:dyDescent="0.25">
      <c r="A31" s="34"/>
      <c r="C31" s="35"/>
      <c r="G31" s="35"/>
      <c r="K31" s="35"/>
      <c r="M31" s="35"/>
      <c r="N31" s="35"/>
      <c r="O31" s="35"/>
      <c r="P31" s="35"/>
      <c r="Q31" s="36"/>
      <c r="W31" s="36"/>
    </row>
    <row r="32" spans="1:23" x14ac:dyDescent="0.25">
      <c r="A32" s="34"/>
      <c r="C32" s="35"/>
      <c r="G32" s="35"/>
      <c r="K32" s="35"/>
      <c r="M32" s="35"/>
      <c r="N32" s="35"/>
      <c r="O32" s="35"/>
      <c r="P32" s="35"/>
      <c r="Q32" s="36"/>
      <c r="W32" s="36"/>
    </row>
    <row r="33" spans="1:23" x14ac:dyDescent="0.25">
      <c r="A33" s="34"/>
      <c r="C33" s="35"/>
      <c r="G33" s="35"/>
      <c r="K33" s="35"/>
      <c r="M33" s="35"/>
      <c r="N33" s="35"/>
      <c r="O33" s="35"/>
      <c r="P33" s="35"/>
      <c r="Q33" s="36"/>
      <c r="W33" s="36"/>
    </row>
    <row r="34" spans="1:23" x14ac:dyDescent="0.25">
      <c r="A34" s="34"/>
      <c r="C34" s="35"/>
      <c r="G34" s="35"/>
      <c r="K34" s="35"/>
      <c r="M34" s="35"/>
      <c r="N34" s="35"/>
      <c r="O34" s="35"/>
      <c r="P34" s="35"/>
      <c r="Q34" s="36"/>
      <c r="W34" s="36"/>
    </row>
    <row r="35" spans="1:23" x14ac:dyDescent="0.25">
      <c r="A35" s="34"/>
      <c r="C35" s="35"/>
      <c r="G35" s="35"/>
      <c r="K35" s="35"/>
      <c r="M35" s="35"/>
      <c r="N35" s="35"/>
      <c r="O35" s="35"/>
      <c r="P35" s="35"/>
      <c r="Q35" s="36"/>
      <c r="W35" s="36"/>
    </row>
    <row r="36" spans="1:23" x14ac:dyDescent="0.25">
      <c r="A36" s="34"/>
      <c r="C36" s="35"/>
      <c r="G36" s="35"/>
      <c r="K36" s="35"/>
      <c r="M36" s="35"/>
      <c r="N36" s="35"/>
      <c r="O36" s="35"/>
      <c r="P36" s="35"/>
      <c r="Q36" s="36"/>
      <c r="W36" s="36"/>
    </row>
    <row r="37" spans="1:23" x14ac:dyDescent="0.25">
      <c r="A37" s="34"/>
      <c r="C37" s="35"/>
      <c r="G37" s="35"/>
      <c r="K37" s="35"/>
      <c r="M37" s="35"/>
      <c r="N37" s="35"/>
      <c r="O37" s="35"/>
      <c r="P37" s="35"/>
      <c r="Q37" s="36"/>
      <c r="W37" s="36"/>
    </row>
    <row r="38" spans="1:23" x14ac:dyDescent="0.25">
      <c r="A38" s="34"/>
      <c r="C38" s="35"/>
      <c r="G38" s="35"/>
      <c r="K38" s="35"/>
      <c r="M38" s="35"/>
      <c r="N38" s="35"/>
      <c r="O38" s="35"/>
      <c r="P38" s="35"/>
      <c r="Q38" s="36"/>
      <c r="W38" s="36"/>
    </row>
    <row r="39" spans="1:23" x14ac:dyDescent="0.25">
      <c r="A39" s="34"/>
      <c r="C39" s="35"/>
      <c r="G39" s="35"/>
      <c r="K39" s="35"/>
      <c r="M39" s="35"/>
      <c r="N39" s="35"/>
      <c r="O39" s="35"/>
      <c r="P39" s="35"/>
      <c r="Q39" s="36"/>
      <c r="W39" s="36"/>
    </row>
    <row r="40" spans="1:23" x14ac:dyDescent="0.25">
      <c r="A40" s="34"/>
      <c r="C40" s="35"/>
      <c r="G40" s="35"/>
      <c r="K40" s="35"/>
      <c r="M40" s="35"/>
      <c r="N40" s="35"/>
      <c r="O40" s="35"/>
      <c r="P40" s="35"/>
      <c r="Q40" s="36"/>
      <c r="W40" s="36"/>
    </row>
    <row r="41" spans="1:23" x14ac:dyDescent="0.25">
      <c r="A41" s="34"/>
      <c r="C41" s="35"/>
      <c r="G41" s="35"/>
      <c r="K41" s="35"/>
      <c r="M41" s="35"/>
      <c r="N41" s="35"/>
      <c r="O41" s="35"/>
      <c r="P41" s="35"/>
      <c r="Q41" s="36"/>
      <c r="W41" s="36"/>
    </row>
    <row r="42" spans="1:23" x14ac:dyDescent="0.25">
      <c r="A42" s="34"/>
      <c r="C42" s="35"/>
      <c r="G42" s="35"/>
      <c r="K42" s="35"/>
      <c r="M42" s="35"/>
      <c r="N42" s="35"/>
      <c r="O42" s="35"/>
      <c r="P42" s="35"/>
      <c r="Q42" s="36"/>
      <c r="W42" s="36"/>
    </row>
    <row r="43" spans="1:23" x14ac:dyDescent="0.25">
      <c r="A43" s="34"/>
      <c r="C43" s="35"/>
      <c r="G43" s="35"/>
      <c r="K43" s="35"/>
      <c r="M43" s="35"/>
      <c r="N43" s="35"/>
      <c r="O43" s="35"/>
      <c r="P43" s="35"/>
      <c r="Q43" s="36"/>
      <c r="W43" s="36"/>
    </row>
    <row r="44" spans="1:23" x14ac:dyDescent="0.25">
      <c r="A44" s="34"/>
      <c r="C44" s="35"/>
      <c r="G44" s="35"/>
      <c r="K44" s="35"/>
      <c r="M44" s="35"/>
      <c r="N44" s="35"/>
      <c r="O44" s="35"/>
      <c r="P44" s="35"/>
      <c r="Q44" s="36"/>
      <c r="W44" s="36"/>
    </row>
    <row r="45" spans="1:23" x14ac:dyDescent="0.25">
      <c r="A45" s="34"/>
      <c r="C45" s="35"/>
      <c r="G45" s="35"/>
      <c r="K45" s="35"/>
      <c r="M45" s="35"/>
      <c r="N45" s="35"/>
      <c r="O45" s="35"/>
      <c r="P45" s="35"/>
      <c r="Q45" s="36"/>
      <c r="W45" s="36"/>
    </row>
    <row r="46" spans="1:23" x14ac:dyDescent="0.25">
      <c r="A46" s="34"/>
      <c r="C46" s="35"/>
      <c r="G46" s="35"/>
      <c r="K46" s="35"/>
      <c r="M46" s="35"/>
      <c r="N46" s="35"/>
      <c r="O46" s="35"/>
      <c r="P46" s="35"/>
      <c r="Q46" s="36"/>
      <c r="W46" s="36"/>
    </row>
    <row r="47" spans="1:23" x14ac:dyDescent="0.25">
      <c r="A47" s="34"/>
      <c r="C47" s="35"/>
      <c r="G47" s="35"/>
      <c r="K47" s="35"/>
      <c r="M47" s="35"/>
      <c r="N47" s="35"/>
      <c r="O47" s="35"/>
      <c r="P47" s="35"/>
      <c r="Q47" s="36"/>
      <c r="W47" s="36"/>
    </row>
    <row r="48" spans="1:23" x14ac:dyDescent="0.25">
      <c r="A48" s="34"/>
      <c r="C48" s="35"/>
      <c r="G48" s="35"/>
      <c r="K48" s="35"/>
      <c r="M48" s="35"/>
      <c r="N48" s="35"/>
      <c r="O48" s="35"/>
      <c r="P48" s="35"/>
      <c r="Q48" s="36"/>
      <c r="W48" s="36"/>
    </row>
    <row r="49" spans="1:23" x14ac:dyDescent="0.25">
      <c r="A49" s="34"/>
      <c r="C49" s="35"/>
      <c r="G49" s="35"/>
      <c r="K49" s="35"/>
      <c r="M49" s="35"/>
      <c r="N49" s="35"/>
      <c r="O49" s="35"/>
      <c r="P49" s="35"/>
      <c r="Q49" s="36"/>
      <c r="W49" s="36"/>
    </row>
    <row r="50" spans="1:23" x14ac:dyDescent="0.25">
      <c r="A50" s="34"/>
      <c r="C50" s="35"/>
      <c r="G50" s="35"/>
      <c r="K50" s="35"/>
      <c r="M50" s="35"/>
      <c r="N50" s="35"/>
      <c r="O50" s="35"/>
      <c r="P50" s="35"/>
      <c r="Q50" s="36"/>
      <c r="W50" s="36"/>
    </row>
    <row r="51" spans="1:23" x14ac:dyDescent="0.25">
      <c r="A51" s="34"/>
      <c r="C51" s="35"/>
      <c r="G51" s="35"/>
      <c r="K51" s="35"/>
      <c r="M51" s="35"/>
      <c r="N51" s="35"/>
      <c r="O51" s="35"/>
      <c r="P51" s="35"/>
      <c r="Q51" s="36"/>
      <c r="W51" s="36"/>
    </row>
    <row r="52" spans="1:23" x14ac:dyDescent="0.25">
      <c r="A52" s="34"/>
      <c r="C52" s="35"/>
      <c r="G52" s="35"/>
      <c r="K52" s="35"/>
      <c r="M52" s="35"/>
      <c r="N52" s="35"/>
      <c r="O52" s="35"/>
      <c r="P52" s="35"/>
      <c r="Q52" s="36"/>
      <c r="W52" s="36"/>
    </row>
    <row r="53" spans="1:23" x14ac:dyDescent="0.25">
      <c r="A53" s="34"/>
      <c r="C53" s="35"/>
      <c r="G53" s="35"/>
      <c r="K53" s="35"/>
      <c r="M53" s="35"/>
      <c r="N53" s="35"/>
      <c r="O53" s="35"/>
      <c r="P53" s="35"/>
      <c r="Q53" s="36"/>
      <c r="W53" s="36"/>
    </row>
    <row r="54" spans="1:23" x14ac:dyDescent="0.25">
      <c r="A54" s="34"/>
      <c r="C54" s="35"/>
      <c r="G54" s="35"/>
      <c r="K54" s="35"/>
      <c r="M54" s="35"/>
      <c r="N54" s="35"/>
      <c r="O54" s="35"/>
      <c r="P54" s="35"/>
      <c r="Q54" s="36"/>
      <c r="W54" s="36"/>
    </row>
    <row r="55" spans="1:23" x14ac:dyDescent="0.25">
      <c r="A55" s="34"/>
      <c r="C55" s="35"/>
      <c r="G55" s="35"/>
      <c r="K55" s="35"/>
      <c r="M55" s="35"/>
      <c r="N55" s="35"/>
      <c r="O55" s="35"/>
      <c r="P55" s="35"/>
      <c r="Q55" s="36"/>
      <c r="W55" s="36"/>
    </row>
    <row r="56" spans="1:23" x14ac:dyDescent="0.25">
      <c r="A56" s="34"/>
      <c r="C56" s="35"/>
      <c r="G56" s="35"/>
      <c r="K56" s="35"/>
      <c r="M56" s="35"/>
      <c r="N56" s="35"/>
      <c r="O56" s="35"/>
      <c r="P56" s="35"/>
      <c r="Q56" s="36"/>
      <c r="W56" s="36"/>
    </row>
    <row r="57" spans="1:23" x14ac:dyDescent="0.25">
      <c r="A57" s="34"/>
      <c r="C57" s="35"/>
      <c r="G57" s="35"/>
      <c r="K57" s="35"/>
      <c r="M57" s="35"/>
      <c r="N57" s="35"/>
      <c r="O57" s="35"/>
      <c r="P57" s="35"/>
      <c r="Q57" s="36"/>
      <c r="W57" s="36"/>
    </row>
    <row r="58" spans="1:23" x14ac:dyDescent="0.25">
      <c r="A58" s="34"/>
      <c r="C58" s="35"/>
      <c r="G58" s="35"/>
      <c r="K58" s="35"/>
      <c r="M58" s="35"/>
      <c r="N58" s="35"/>
      <c r="O58" s="35"/>
      <c r="P58" s="35"/>
      <c r="Q58" s="36"/>
      <c r="W58" s="36"/>
    </row>
    <row r="59" spans="1:23" x14ac:dyDescent="0.25">
      <c r="A59" s="34"/>
      <c r="C59" s="35"/>
      <c r="G59" s="35"/>
      <c r="K59" s="35"/>
      <c r="M59" s="35"/>
      <c r="N59" s="35"/>
      <c r="O59" s="35"/>
      <c r="P59" s="35"/>
      <c r="Q59" s="36"/>
      <c r="W59" s="36"/>
    </row>
    <row r="60" spans="1:23" x14ac:dyDescent="0.25">
      <c r="A60" s="34"/>
      <c r="C60" s="35"/>
      <c r="G60" s="35"/>
      <c r="K60" s="35"/>
      <c r="M60" s="35"/>
      <c r="N60" s="35"/>
      <c r="O60" s="35"/>
      <c r="P60" s="35"/>
      <c r="Q60" s="36"/>
      <c r="W60" s="36"/>
    </row>
    <row r="61" spans="1:23" x14ac:dyDescent="0.25">
      <c r="A61" s="34"/>
      <c r="C61" s="35"/>
      <c r="G61" s="35"/>
      <c r="K61" s="35"/>
      <c r="M61" s="35"/>
      <c r="N61" s="35"/>
      <c r="O61" s="35"/>
      <c r="P61" s="35"/>
      <c r="Q61" s="36"/>
      <c r="W61" s="36"/>
    </row>
    <row r="62" spans="1:23" x14ac:dyDescent="0.25">
      <c r="A62" s="34"/>
      <c r="C62" s="35"/>
      <c r="G62" s="35"/>
      <c r="K62" s="35"/>
      <c r="M62" s="35"/>
      <c r="N62" s="35"/>
      <c r="O62" s="35"/>
      <c r="P62" s="35"/>
      <c r="Q62" s="36"/>
      <c r="W62" s="36"/>
    </row>
    <row r="63" spans="1:23" x14ac:dyDescent="0.25">
      <c r="A63" s="34"/>
      <c r="C63" s="35"/>
      <c r="G63" s="35"/>
      <c r="K63" s="35"/>
      <c r="M63" s="35"/>
      <c r="N63" s="35"/>
      <c r="O63" s="35"/>
      <c r="P63" s="35"/>
      <c r="Q63" s="36"/>
      <c r="W63" s="36"/>
    </row>
    <row r="64" spans="1:23" x14ac:dyDescent="0.25">
      <c r="A64" s="34"/>
      <c r="C64" s="35"/>
      <c r="G64" s="35"/>
      <c r="K64" s="35"/>
      <c r="M64" s="35"/>
      <c r="N64" s="35"/>
      <c r="O64" s="35"/>
      <c r="P64" s="35"/>
      <c r="Q64" s="36"/>
      <c r="W64" s="36"/>
    </row>
    <row r="65" spans="1:23" x14ac:dyDescent="0.25">
      <c r="A65" s="34"/>
      <c r="C65" s="35"/>
      <c r="G65" s="35"/>
      <c r="K65" s="35"/>
      <c r="M65" s="35"/>
      <c r="N65" s="35"/>
      <c r="O65" s="35"/>
      <c r="P65" s="35"/>
      <c r="Q65" s="36"/>
      <c r="W65" s="36"/>
    </row>
    <row r="66" spans="1:23" x14ac:dyDescent="0.25">
      <c r="A66" s="34"/>
      <c r="C66" s="35"/>
      <c r="G66" s="35"/>
      <c r="K66" s="35"/>
      <c r="M66" s="35"/>
      <c r="N66" s="35"/>
      <c r="O66" s="35"/>
      <c r="P66" s="35"/>
      <c r="Q66" s="36"/>
      <c r="W66" s="36"/>
    </row>
    <row r="67" spans="1:23" x14ac:dyDescent="0.25">
      <c r="A67" s="34"/>
      <c r="C67" s="35"/>
      <c r="G67" s="35"/>
      <c r="K67" s="35"/>
      <c r="M67" s="35"/>
      <c r="N67" s="35"/>
      <c r="O67" s="35"/>
      <c r="P67" s="35"/>
      <c r="Q67" s="36"/>
      <c r="W67" s="36"/>
    </row>
    <row r="68" spans="1:23" x14ac:dyDescent="0.25">
      <c r="A68" s="34"/>
      <c r="C68" s="35"/>
      <c r="G68" s="35"/>
      <c r="K68" s="35"/>
      <c r="M68" s="35"/>
      <c r="N68" s="35"/>
      <c r="O68" s="35"/>
      <c r="P68" s="35"/>
      <c r="Q68" s="36"/>
      <c r="W68" s="36"/>
    </row>
    <row r="69" spans="1:23" x14ac:dyDescent="0.25">
      <c r="A69" s="34"/>
      <c r="C69" s="35"/>
      <c r="G69" s="35"/>
      <c r="K69" s="35"/>
      <c r="M69" s="35"/>
      <c r="N69" s="35"/>
      <c r="O69" s="35"/>
      <c r="P69" s="35"/>
      <c r="Q69" s="36"/>
      <c r="W69" s="36"/>
    </row>
    <row r="70" spans="1:23" x14ac:dyDescent="0.25">
      <c r="A70" s="34"/>
      <c r="C70" s="35"/>
      <c r="G70" s="35"/>
      <c r="K70" s="35"/>
      <c r="M70" s="35"/>
      <c r="N70" s="35"/>
      <c r="O70" s="35"/>
      <c r="P70" s="35"/>
      <c r="Q70" s="36"/>
      <c r="W70" s="36"/>
    </row>
    <row r="71" spans="1:23" x14ac:dyDescent="0.25">
      <c r="A71" s="34"/>
      <c r="C71" s="35"/>
      <c r="G71" s="35"/>
      <c r="K71" s="35"/>
      <c r="M71" s="35"/>
      <c r="N71" s="35"/>
      <c r="O71" s="35"/>
      <c r="P71" s="35"/>
      <c r="Q71" s="36"/>
      <c r="W71" s="36"/>
    </row>
    <row r="72" spans="1:23" x14ac:dyDescent="0.25">
      <c r="A72" s="34"/>
      <c r="C72" s="35"/>
      <c r="G72" s="35"/>
      <c r="K72" s="35"/>
      <c r="M72" s="35"/>
      <c r="N72" s="35"/>
      <c r="O72" s="35"/>
      <c r="P72" s="35"/>
      <c r="Q72" s="36"/>
      <c r="W72" s="36"/>
    </row>
    <row r="73" spans="1:23" x14ac:dyDescent="0.25">
      <c r="A73" s="34"/>
      <c r="C73" s="35"/>
      <c r="G73" s="35"/>
      <c r="K73" s="35"/>
      <c r="M73" s="35"/>
      <c r="N73" s="35"/>
      <c r="O73" s="35"/>
      <c r="P73" s="35"/>
      <c r="Q73" s="36"/>
    </row>
    <row r="74" spans="1:23" x14ac:dyDescent="0.25">
      <c r="A74" s="34"/>
      <c r="C74" s="35"/>
      <c r="G74" s="35"/>
      <c r="K74" s="35"/>
      <c r="M74" s="35"/>
      <c r="N74" s="35"/>
      <c r="O74" s="35"/>
      <c r="P74" s="35"/>
      <c r="Q74" s="36"/>
    </row>
    <row r="75" spans="1:23" x14ac:dyDescent="0.25">
      <c r="A75" s="34"/>
      <c r="C75" s="35"/>
      <c r="G75" s="35"/>
      <c r="K75" s="35"/>
      <c r="M75" s="35"/>
      <c r="N75" s="35"/>
      <c r="O75" s="35"/>
      <c r="P75" s="35"/>
      <c r="Q75" s="36"/>
    </row>
    <row r="76" spans="1:23" x14ac:dyDescent="0.25">
      <c r="A76" s="34"/>
      <c r="C76" s="35"/>
      <c r="G76" s="35"/>
      <c r="K76" s="35"/>
      <c r="M76" s="35"/>
      <c r="N76" s="35"/>
      <c r="O76" s="35"/>
      <c r="P76" s="35"/>
      <c r="Q76" s="36"/>
    </row>
    <row r="77" spans="1:23" x14ac:dyDescent="0.25">
      <c r="A77" s="34"/>
      <c r="C77" s="35"/>
      <c r="G77" s="35"/>
      <c r="K77" s="35"/>
      <c r="M77" s="35"/>
      <c r="N77" s="35"/>
      <c r="O77" s="35"/>
      <c r="P77" s="35"/>
      <c r="Q77" s="36"/>
    </row>
    <row r="78" spans="1:23" x14ac:dyDescent="0.25">
      <c r="A78" s="34"/>
      <c r="C78" s="35"/>
      <c r="G78" s="35"/>
      <c r="K78" s="35"/>
      <c r="M78" s="35"/>
      <c r="N78" s="35"/>
      <c r="O78" s="35"/>
      <c r="P78" s="35"/>
      <c r="Q78" s="36"/>
    </row>
    <row r="79" spans="1:23" x14ac:dyDescent="0.25">
      <c r="A79" s="34"/>
      <c r="C79" s="35"/>
      <c r="G79" s="35"/>
      <c r="K79" s="35"/>
      <c r="M79" s="35"/>
      <c r="N79" s="35"/>
      <c r="O79" s="35"/>
      <c r="P79" s="35"/>
      <c r="Q79" s="36"/>
    </row>
    <row r="80" spans="1:23" x14ac:dyDescent="0.25">
      <c r="A80" s="34"/>
      <c r="C80" s="35"/>
      <c r="G80" s="35"/>
      <c r="K80" s="35"/>
      <c r="M80" s="35"/>
      <c r="N80" s="35"/>
      <c r="O80" s="35"/>
      <c r="P80" s="35"/>
      <c r="Q80" s="36"/>
    </row>
    <row r="81" spans="1:17" x14ac:dyDescent="0.25">
      <c r="A81" s="34"/>
      <c r="C81" s="35"/>
      <c r="G81" s="35"/>
      <c r="K81" s="35"/>
      <c r="M81" s="35"/>
      <c r="N81" s="35"/>
      <c r="O81" s="35"/>
      <c r="P81" s="35"/>
      <c r="Q81" s="36"/>
    </row>
    <row r="82" spans="1:17" x14ac:dyDescent="0.25">
      <c r="A82" s="34"/>
      <c r="C82" s="35"/>
      <c r="G82" s="35"/>
      <c r="K82" s="35"/>
      <c r="M82" s="35"/>
      <c r="N82" s="35"/>
      <c r="O82" s="35"/>
      <c r="P82" s="35"/>
      <c r="Q82" s="36"/>
    </row>
    <row r="83" spans="1:17" x14ac:dyDescent="0.25">
      <c r="A83" s="34"/>
      <c r="C83" s="35"/>
      <c r="G83" s="35"/>
      <c r="K83" s="35"/>
      <c r="M83" s="35"/>
      <c r="N83" s="35"/>
      <c r="O83" s="35"/>
      <c r="P83" s="35"/>
      <c r="Q83" s="36"/>
    </row>
    <row r="84" spans="1:17" x14ac:dyDescent="0.25">
      <c r="A84" s="34"/>
      <c r="C84" s="35"/>
      <c r="G84" s="35"/>
      <c r="K84" s="35"/>
      <c r="M84" s="35"/>
      <c r="N84" s="35"/>
      <c r="O84" s="35"/>
      <c r="P84" s="35"/>
      <c r="Q84" s="36"/>
    </row>
    <row r="85" spans="1:17" x14ac:dyDescent="0.25">
      <c r="A85" s="34"/>
      <c r="C85" s="35"/>
      <c r="G85" s="35"/>
      <c r="K85" s="35"/>
      <c r="M85" s="35"/>
      <c r="N85" s="35"/>
      <c r="O85" s="35"/>
      <c r="P85" s="35"/>
      <c r="Q85" s="36"/>
    </row>
    <row r="86" spans="1:17" x14ac:dyDescent="0.25">
      <c r="A86" s="34"/>
      <c r="C86" s="35"/>
      <c r="G86" s="35"/>
      <c r="K86" s="35"/>
      <c r="M86" s="35"/>
      <c r="N86" s="35"/>
      <c r="O86" s="35"/>
      <c r="P86" s="35"/>
      <c r="Q86" s="36"/>
    </row>
    <row r="87" spans="1:17" x14ac:dyDescent="0.25">
      <c r="A87" s="34"/>
      <c r="C87" s="35"/>
      <c r="G87" s="35"/>
      <c r="K87" s="35"/>
      <c r="M87" s="35"/>
      <c r="N87" s="35"/>
      <c r="O87" s="35"/>
      <c r="P87" s="35"/>
      <c r="Q87" s="36"/>
    </row>
    <row r="88" spans="1:17" x14ac:dyDescent="0.25">
      <c r="A88" s="34"/>
      <c r="C88" s="35"/>
      <c r="G88" s="35"/>
      <c r="K88" s="35"/>
      <c r="M88" s="35"/>
      <c r="N88" s="35"/>
      <c r="O88" s="35"/>
      <c r="P88" s="35"/>
      <c r="Q88" s="36"/>
    </row>
    <row r="89" spans="1:17" x14ac:dyDescent="0.25">
      <c r="A89" s="34"/>
      <c r="C89" s="35"/>
      <c r="G89" s="35"/>
      <c r="K89" s="35"/>
      <c r="M89" s="35"/>
      <c r="N89" s="35"/>
      <c r="O89" s="35"/>
      <c r="P89" s="35"/>
      <c r="Q89" s="36"/>
    </row>
    <row r="90" spans="1:17" x14ac:dyDescent="0.25">
      <c r="A90" s="34"/>
      <c r="C90" s="35"/>
      <c r="G90" s="35"/>
      <c r="K90" s="35"/>
      <c r="M90" s="35"/>
      <c r="N90" s="35"/>
      <c r="O90" s="35"/>
      <c r="P90" s="35"/>
      <c r="Q90" s="36"/>
    </row>
    <row r="91" spans="1:17" x14ac:dyDescent="0.25">
      <c r="A91" s="34"/>
      <c r="C91" s="35"/>
      <c r="G91" s="35"/>
      <c r="K91" s="35"/>
      <c r="M91" s="35"/>
      <c r="N91" s="35"/>
      <c r="O91" s="35"/>
      <c r="P91" s="35"/>
      <c r="Q91" s="36"/>
    </row>
    <row r="92" spans="1:17" x14ac:dyDescent="0.25">
      <c r="A92" s="34"/>
      <c r="C92" s="35"/>
      <c r="G92" s="35"/>
      <c r="K92" s="35"/>
      <c r="M92" s="35"/>
      <c r="N92" s="35"/>
      <c r="O92" s="35"/>
      <c r="P92" s="35"/>
      <c r="Q92" s="36"/>
    </row>
    <row r="93" spans="1:17" x14ac:dyDescent="0.25">
      <c r="A93" s="34"/>
      <c r="C93" s="35"/>
      <c r="G93" s="35"/>
      <c r="K93" s="35"/>
      <c r="M93" s="35"/>
      <c r="N93" s="35"/>
      <c r="O93" s="35"/>
      <c r="P93" s="35"/>
      <c r="Q93" s="36"/>
    </row>
    <row r="94" spans="1:17" x14ac:dyDescent="0.25">
      <c r="A94" s="34"/>
      <c r="C94" s="35"/>
      <c r="G94" s="35"/>
      <c r="K94" s="35"/>
      <c r="M94" s="35"/>
      <c r="N94" s="35"/>
      <c r="O94" s="35"/>
      <c r="P94" s="35"/>
      <c r="Q94" s="36"/>
    </row>
    <row r="95" spans="1:17" x14ac:dyDescent="0.25">
      <c r="A95" s="34"/>
      <c r="C95" s="35"/>
      <c r="G95" s="35"/>
      <c r="K95" s="35"/>
      <c r="M95" s="35"/>
      <c r="N95" s="35"/>
      <c r="O95" s="35"/>
      <c r="P95" s="35"/>
      <c r="Q95" s="36"/>
    </row>
    <row r="96" spans="1:17" x14ac:dyDescent="0.25">
      <c r="A96" s="34"/>
      <c r="C96" s="35"/>
      <c r="G96" s="35"/>
      <c r="K96" s="35"/>
      <c r="M96" s="35"/>
      <c r="N96" s="35"/>
      <c r="O96" s="35"/>
      <c r="P96" s="35"/>
      <c r="Q96" s="36"/>
    </row>
    <row r="97" spans="1:17" x14ac:dyDescent="0.25">
      <c r="A97" s="34"/>
      <c r="C97" s="35"/>
      <c r="G97" s="35"/>
      <c r="K97" s="35"/>
      <c r="M97" s="35"/>
      <c r="N97" s="35"/>
      <c r="O97" s="35"/>
      <c r="P97" s="35"/>
      <c r="Q97" s="36"/>
    </row>
    <row r="98" spans="1:17" x14ac:dyDescent="0.25">
      <c r="A98" s="34"/>
      <c r="C98" s="35"/>
      <c r="G98" s="35"/>
      <c r="K98" s="35"/>
      <c r="M98" s="35"/>
      <c r="N98" s="35"/>
      <c r="O98" s="35"/>
      <c r="P98" s="35"/>
      <c r="Q98" s="36"/>
    </row>
    <row r="99" spans="1:17" x14ac:dyDescent="0.25">
      <c r="A99" s="34"/>
      <c r="C99" s="35"/>
      <c r="G99" s="35"/>
      <c r="K99" s="35"/>
      <c r="M99" s="35"/>
      <c r="N99" s="35"/>
      <c r="O99" s="35"/>
      <c r="P99" s="35"/>
      <c r="Q99" s="36"/>
    </row>
    <row r="100" spans="1:17" x14ac:dyDescent="0.25">
      <c r="A100" s="34"/>
      <c r="C100" s="35"/>
      <c r="G100" s="35"/>
      <c r="K100" s="35"/>
      <c r="M100" s="35"/>
      <c r="N100" s="35"/>
      <c r="O100" s="35"/>
      <c r="P100" s="35"/>
      <c r="Q100" s="36"/>
    </row>
    <row r="101" spans="1:17" x14ac:dyDescent="0.25">
      <c r="A101" s="34"/>
      <c r="C101" s="35"/>
      <c r="G101" s="35"/>
      <c r="K101" s="35"/>
      <c r="M101" s="35"/>
      <c r="N101" s="35"/>
      <c r="O101" s="35"/>
      <c r="P101" s="35"/>
      <c r="Q101" s="36"/>
    </row>
    <row r="102" spans="1:17" x14ac:dyDescent="0.25">
      <c r="A102" s="34"/>
      <c r="C102" s="35"/>
      <c r="G102" s="35"/>
      <c r="K102" s="35"/>
      <c r="M102" s="35"/>
      <c r="N102" s="35"/>
      <c r="O102" s="35"/>
      <c r="P102" s="35"/>
      <c r="Q102" s="36"/>
    </row>
    <row r="103" spans="1:17" x14ac:dyDescent="0.25">
      <c r="A103" s="34"/>
      <c r="C103" s="35"/>
      <c r="G103" s="35"/>
      <c r="K103" s="35"/>
      <c r="M103" s="35"/>
      <c r="N103" s="35"/>
      <c r="O103" s="35"/>
      <c r="P103" s="35"/>
      <c r="Q103" s="36"/>
    </row>
    <row r="104" spans="1:17" x14ac:dyDescent="0.25">
      <c r="A104" s="34"/>
      <c r="C104" s="35"/>
      <c r="G104" s="35"/>
      <c r="K104" s="35"/>
      <c r="M104" s="35"/>
      <c r="N104" s="35"/>
      <c r="O104" s="35"/>
      <c r="P104" s="35"/>
      <c r="Q104" s="36"/>
    </row>
    <row r="105" spans="1:17" x14ac:dyDescent="0.25">
      <c r="A105" s="34"/>
      <c r="C105" s="35"/>
      <c r="G105" s="35"/>
      <c r="K105" s="35"/>
      <c r="M105" s="35"/>
      <c r="N105" s="35"/>
      <c r="O105" s="35"/>
      <c r="P105" s="35"/>
      <c r="Q105" s="36"/>
    </row>
    <row r="106" spans="1:17" x14ac:dyDescent="0.25">
      <c r="A106" s="34"/>
      <c r="C106" s="35"/>
      <c r="G106" s="35"/>
      <c r="K106" s="35"/>
      <c r="M106" s="35"/>
      <c r="N106" s="35"/>
      <c r="O106" s="35"/>
      <c r="P106" s="35"/>
      <c r="Q106" s="36"/>
    </row>
    <row r="107" spans="1:17" x14ac:dyDescent="0.25">
      <c r="A107" s="34"/>
      <c r="C107" s="35"/>
      <c r="G107" s="35"/>
      <c r="K107" s="35"/>
      <c r="M107" s="35"/>
      <c r="N107" s="35"/>
      <c r="O107" s="35"/>
      <c r="P107" s="35"/>
      <c r="Q107" s="36"/>
    </row>
    <row r="108" spans="1:17" x14ac:dyDescent="0.25">
      <c r="A108" s="34"/>
      <c r="C108" s="35"/>
      <c r="G108" s="35"/>
      <c r="K108" s="35"/>
      <c r="M108" s="35"/>
      <c r="N108" s="35"/>
      <c r="O108" s="35"/>
      <c r="P108" s="35"/>
      <c r="Q108" s="36"/>
    </row>
    <row r="109" spans="1:17" x14ac:dyDescent="0.25">
      <c r="A109" s="34"/>
      <c r="C109" s="35"/>
      <c r="G109" s="35"/>
      <c r="K109" s="35"/>
      <c r="M109" s="35"/>
      <c r="N109" s="35"/>
      <c r="O109" s="35"/>
      <c r="P109" s="35"/>
      <c r="Q109" s="36"/>
    </row>
    <row r="110" spans="1:17" x14ac:dyDescent="0.25">
      <c r="A110" s="34"/>
      <c r="C110" s="35"/>
      <c r="G110" s="35"/>
      <c r="K110" s="35"/>
      <c r="M110" s="35"/>
      <c r="N110" s="35"/>
      <c r="O110" s="35"/>
      <c r="P110" s="35"/>
      <c r="Q110" s="36"/>
    </row>
    <row r="111" spans="1:17" x14ac:dyDescent="0.25">
      <c r="A111" s="34"/>
      <c r="C111" s="35"/>
      <c r="G111" s="35"/>
      <c r="K111" s="35"/>
      <c r="M111" s="35"/>
      <c r="N111" s="35"/>
      <c r="O111" s="35"/>
      <c r="P111" s="35"/>
      <c r="Q111" s="36"/>
    </row>
    <row r="112" spans="1:17" x14ac:dyDescent="0.25">
      <c r="A112" s="34"/>
      <c r="C112" s="35"/>
      <c r="G112" s="35"/>
      <c r="K112" s="35"/>
      <c r="M112" s="35"/>
      <c r="N112" s="35"/>
      <c r="O112" s="35"/>
      <c r="P112" s="35"/>
      <c r="Q112" s="36"/>
    </row>
    <row r="113" spans="1:17" x14ac:dyDescent="0.25">
      <c r="A113" s="34"/>
      <c r="C113" s="35"/>
      <c r="G113" s="35"/>
      <c r="K113" s="35"/>
      <c r="M113" s="35"/>
      <c r="N113" s="35"/>
      <c r="O113" s="35"/>
      <c r="P113" s="35"/>
      <c r="Q113" s="36"/>
    </row>
    <row r="114" spans="1:17" x14ac:dyDescent="0.25">
      <c r="A114" s="34"/>
      <c r="C114" s="35"/>
      <c r="G114" s="35"/>
      <c r="K114" s="35"/>
      <c r="M114" s="35"/>
      <c r="N114" s="35"/>
      <c r="O114" s="35"/>
      <c r="P114" s="35"/>
      <c r="Q114" s="36"/>
    </row>
    <row r="115" spans="1:17" x14ac:dyDescent="0.25">
      <c r="A115" s="34"/>
      <c r="C115" s="35"/>
      <c r="G115" s="35"/>
      <c r="K115" s="35"/>
      <c r="M115" s="35"/>
      <c r="N115" s="35"/>
      <c r="O115" s="35"/>
      <c r="P115" s="35"/>
      <c r="Q115" s="36"/>
    </row>
    <row r="116" spans="1:17" x14ac:dyDescent="0.25">
      <c r="A116" s="34"/>
      <c r="C116" s="35"/>
      <c r="G116" s="35"/>
      <c r="K116" s="35"/>
      <c r="M116" s="35"/>
      <c r="N116" s="35"/>
      <c r="O116" s="35"/>
      <c r="P116" s="35"/>
      <c r="Q116" s="36"/>
    </row>
    <row r="117" spans="1:17" x14ac:dyDescent="0.25">
      <c r="A117" s="34"/>
      <c r="C117" s="35"/>
      <c r="G117" s="35"/>
      <c r="K117" s="35"/>
      <c r="M117" s="35"/>
      <c r="N117" s="35"/>
      <c r="O117" s="35"/>
      <c r="P117" s="35"/>
      <c r="Q117" s="36"/>
    </row>
    <row r="118" spans="1:17" x14ac:dyDescent="0.25">
      <c r="A118" s="34"/>
      <c r="C118" s="35"/>
      <c r="G118" s="35"/>
      <c r="K118" s="35"/>
      <c r="M118" s="35"/>
      <c r="N118" s="35"/>
      <c r="O118" s="35"/>
      <c r="P118" s="35"/>
      <c r="Q118" s="36"/>
    </row>
    <row r="119" spans="1:17" x14ac:dyDescent="0.25">
      <c r="A119" s="34"/>
      <c r="C119" s="35"/>
      <c r="G119" s="35"/>
      <c r="K119" s="35"/>
      <c r="M119" s="35"/>
      <c r="N119" s="35"/>
      <c r="O119" s="35"/>
      <c r="P119" s="35"/>
      <c r="Q119" s="36"/>
    </row>
    <row r="120" spans="1:17" x14ac:dyDescent="0.25">
      <c r="A120" s="34"/>
      <c r="C120" s="35"/>
      <c r="G120" s="35"/>
      <c r="K120" s="35"/>
      <c r="M120" s="35"/>
      <c r="N120" s="35"/>
      <c r="O120" s="35"/>
      <c r="P120" s="35"/>
      <c r="Q120" s="36"/>
    </row>
    <row r="121" spans="1:17" x14ac:dyDescent="0.25">
      <c r="A121" s="34"/>
      <c r="C121" s="35"/>
      <c r="G121" s="35"/>
      <c r="K121" s="35"/>
      <c r="M121" s="35"/>
      <c r="N121" s="35"/>
      <c r="O121" s="35"/>
      <c r="P121" s="35"/>
      <c r="Q121" s="36"/>
    </row>
    <row r="122" spans="1:17" x14ac:dyDescent="0.25">
      <c r="A122" s="34"/>
      <c r="C122" s="35"/>
      <c r="G122" s="35"/>
      <c r="K122" s="35"/>
      <c r="M122" s="35"/>
      <c r="N122" s="35"/>
      <c r="O122" s="35"/>
      <c r="P122" s="35"/>
      <c r="Q122" s="36"/>
    </row>
    <row r="123" spans="1:17" x14ac:dyDescent="0.25">
      <c r="A123" s="34"/>
      <c r="C123" s="35"/>
      <c r="G123" s="35"/>
      <c r="K123" s="35"/>
      <c r="M123" s="35"/>
      <c r="N123" s="35"/>
      <c r="O123" s="35"/>
      <c r="P123" s="35"/>
      <c r="Q123" s="36"/>
    </row>
  </sheetData>
  <autoFilter ref="A3:Z1048564" xr:uid="{00000000-0009-0000-0000-00000B000000}"/>
  <mergeCells count="2">
    <mergeCell ref="S1:V1"/>
    <mergeCell ref="W1:Y1"/>
  </mergeCells>
  <conditionalFormatting sqref="V5:V12">
    <cfRule type="containsText" dxfId="25" priority="13" operator="containsText" text="FALSE">
      <formula>NOT(ISERROR(SEARCH("FALSE",V5)))</formula>
    </cfRule>
  </conditionalFormatting>
  <conditionalFormatting sqref="V4:V1048576 Y4:Y1048576">
    <cfRule type="cellIs" dxfId="24" priority="11" operator="equal">
      <formula>0</formula>
    </cfRule>
    <cfRule type="containsText" dxfId="23" priority="12" operator="containsText" text="FALSE">
      <formula>NOT(ISERROR(SEARCH("FALSE",V4)))</formula>
    </cfRule>
  </conditionalFormatting>
  <conditionalFormatting sqref="V82">
    <cfRule type="cellIs" dxfId="22" priority="9" operator="equal">
      <formula>0</formula>
    </cfRule>
    <cfRule type="containsText" dxfId="21" priority="10" operator="containsText" text="FALSE">
      <formula>NOT(ISERROR(SEARCH("FALSE",V82)))</formula>
    </cfRule>
  </conditionalFormatting>
  <conditionalFormatting sqref="V115">
    <cfRule type="cellIs" dxfId="20" priority="7" operator="equal">
      <formula>0</formula>
    </cfRule>
    <cfRule type="containsText" dxfId="19" priority="8" operator="containsText" text="FALSE">
      <formula>NOT(ISERROR(SEARCH("FALSE",V115)))</formula>
    </cfRule>
  </conditionalFormatting>
  <conditionalFormatting sqref="V120">
    <cfRule type="cellIs" dxfId="18" priority="5" operator="equal">
      <formula>0</formula>
    </cfRule>
    <cfRule type="containsText" dxfId="17" priority="6" operator="containsText" text="FALSE">
      <formula>NOT(ISERROR(SEARCH("FALSE",V120)))</formula>
    </cfRule>
  </conditionalFormatting>
  <conditionalFormatting sqref="Y55">
    <cfRule type="cellIs" dxfId="16" priority="1" operator="equal">
      <formula>0</formula>
    </cfRule>
    <cfRule type="containsText" dxfId="15" priority="2" operator="containsText" text="FALSE">
      <formula>NOT(ISERROR(SEARCH("FALSE",Y55)))</formula>
    </cfRule>
  </conditionalFormatting>
  <conditionalFormatting sqref="V55">
    <cfRule type="cellIs" dxfId="14" priority="3" operator="equal">
      <formula>0</formula>
    </cfRule>
    <cfRule type="containsText" dxfId="13" priority="4" operator="containsText" text="FALSE">
      <formula>NOT(ISERROR(SEARCH("FALSE",V55)))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H29"/>
  <sheetViews>
    <sheetView showGridLines="0" tabSelected="1" zoomScaleNormal="100" workbookViewId="0"/>
  </sheetViews>
  <sheetFormatPr defaultRowHeight="15" x14ac:dyDescent="0.25"/>
  <cols>
    <col min="1" max="1" width="28" customWidth="1"/>
    <col min="2" max="2" width="1.7109375" customWidth="1"/>
    <col min="3" max="3" width="49.5703125" customWidth="1"/>
    <col min="4" max="4" width="3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ht="12" customHeight="1" x14ac:dyDescent="0.25">
      <c r="C1" s="45" t="s">
        <v>5</v>
      </c>
      <c r="D1" s="45"/>
      <c r="E1" s="45"/>
      <c r="F1" s="45"/>
      <c r="G1" s="1"/>
    </row>
    <row r="2" spans="1:8" ht="26.25" customHeight="1" x14ac:dyDescent="0.25">
      <c r="C2" s="42" t="s">
        <v>6</v>
      </c>
      <c r="D2" s="42"/>
      <c r="E2" s="42"/>
      <c r="F2" s="42"/>
      <c r="G2" s="2" t="s">
        <v>0</v>
      </c>
    </row>
    <row r="3" spans="1:8" ht="12" customHeight="1" x14ac:dyDescent="0.25">
      <c r="C3" s="43"/>
      <c r="D3" s="43"/>
      <c r="E3" s="43"/>
      <c r="F3" s="43"/>
      <c r="G3" s="2"/>
    </row>
    <row r="4" spans="1:8" ht="12" customHeight="1" x14ac:dyDescent="0.25">
      <c r="C4" s="43"/>
      <c r="D4" s="43"/>
      <c r="E4" s="43"/>
      <c r="F4" s="43"/>
      <c r="G4" s="2"/>
    </row>
    <row r="5" spans="1:8" ht="18" customHeight="1" x14ac:dyDescent="0.25">
      <c r="B5" s="3"/>
      <c r="C5" s="43"/>
      <c r="D5" s="43"/>
      <c r="E5" s="43"/>
      <c r="F5" s="43"/>
      <c r="G5" s="4"/>
    </row>
    <row r="6" spans="1:8" ht="3" customHeight="1" x14ac:dyDescent="0.25">
      <c r="A6" s="13"/>
      <c r="C6" s="43"/>
      <c r="D6" s="43"/>
      <c r="E6" s="43"/>
      <c r="F6" s="43"/>
      <c r="H6" s="13"/>
    </row>
    <row r="7" spans="1:8" ht="18" customHeight="1" x14ac:dyDescent="0.25">
      <c r="B7" s="5"/>
      <c r="C7" s="43"/>
      <c r="D7" s="43"/>
      <c r="E7" s="43"/>
      <c r="F7" s="43"/>
      <c r="G7" s="6"/>
    </row>
    <row r="8" spans="1:8" ht="12" customHeight="1" x14ac:dyDescent="0.25">
      <c r="C8" s="43"/>
      <c r="D8" s="43"/>
      <c r="E8" s="43"/>
      <c r="F8" s="43"/>
      <c r="G8" s="2"/>
    </row>
    <row r="9" spans="1:8" ht="6.75" customHeight="1" x14ac:dyDescent="0.25">
      <c r="A9" s="46"/>
      <c r="B9" s="46"/>
      <c r="C9" s="44"/>
      <c r="D9" s="44"/>
      <c r="E9" s="44"/>
      <c r="F9" s="44"/>
      <c r="G9" s="2"/>
    </row>
    <row r="10" spans="1:8" ht="18" customHeight="1" x14ac:dyDescent="0.25">
      <c r="A10" s="46"/>
      <c r="B10" s="46"/>
      <c r="C10" s="47" t="s">
        <v>4</v>
      </c>
      <c r="D10" s="47"/>
      <c r="E10" s="47"/>
      <c r="F10" s="47"/>
      <c r="G10" s="2"/>
    </row>
    <row r="11" spans="1:8" ht="15.75" x14ac:dyDescent="0.25">
      <c r="C11" s="7" t="s">
        <v>1</v>
      </c>
      <c r="D11" s="14" t="s">
        <v>2</v>
      </c>
      <c r="E11" s="14"/>
      <c r="F11" s="10" t="s">
        <v>3</v>
      </c>
      <c r="G11" s="2"/>
    </row>
    <row r="12" spans="1:8" x14ac:dyDescent="0.25">
      <c r="C12" s="8" t="s">
        <v>31</v>
      </c>
      <c r="D12" s="2" t="s">
        <v>0</v>
      </c>
      <c r="E12" s="15" t="s">
        <v>246</v>
      </c>
      <c r="F12" s="16" t="s">
        <v>0</v>
      </c>
      <c r="G12" s="2" t="s">
        <v>0</v>
      </c>
    </row>
    <row r="13" spans="1:8" x14ac:dyDescent="0.25">
      <c r="C13" s="8"/>
      <c r="D13" s="8"/>
      <c r="E13" s="12"/>
      <c r="F13" s="11"/>
      <c r="G13" s="2"/>
    </row>
    <row r="14" spans="1:8" x14ac:dyDescent="0.25">
      <c r="C14" s="8"/>
      <c r="D14" s="8"/>
      <c r="E14" s="9"/>
      <c r="F14" s="9"/>
      <c r="G14" s="2"/>
    </row>
    <row r="15" spans="1:8" ht="1.5" customHeight="1" x14ac:dyDescent="0.25">
      <c r="C15" s="41"/>
      <c r="D15" s="41"/>
      <c r="E15" s="41"/>
      <c r="F15" s="41"/>
      <c r="G15" s="2"/>
    </row>
    <row r="16" spans="1:8" x14ac:dyDescent="0.25">
      <c r="G16" s="2"/>
    </row>
    <row r="17" spans="7:7" x14ac:dyDescent="0.25">
      <c r="G17" s="2"/>
    </row>
    <row r="18" spans="7:7" x14ac:dyDescent="0.25">
      <c r="G18" s="2"/>
    </row>
    <row r="19" spans="7:7" x14ac:dyDescent="0.25">
      <c r="G19" s="2"/>
    </row>
    <row r="20" spans="7:7" x14ac:dyDescent="0.25">
      <c r="G20" s="2"/>
    </row>
    <row r="21" spans="7:7" x14ac:dyDescent="0.25">
      <c r="G21" s="2"/>
    </row>
    <row r="22" spans="7:7" x14ac:dyDescent="0.25">
      <c r="G22" s="2"/>
    </row>
    <row r="23" spans="7:7" x14ac:dyDescent="0.25">
      <c r="G23" s="2"/>
    </row>
    <row r="24" spans="7:7" x14ac:dyDescent="0.25">
      <c r="G24" s="2"/>
    </row>
    <row r="25" spans="7:7" x14ac:dyDescent="0.25">
      <c r="G25" s="2"/>
    </row>
    <row r="26" spans="7:7" x14ac:dyDescent="0.25">
      <c r="G26" s="2"/>
    </row>
    <row r="27" spans="7:7" x14ac:dyDescent="0.25">
      <c r="G27" s="2"/>
    </row>
    <row r="28" spans="7:7" x14ac:dyDescent="0.25">
      <c r="G28" s="2"/>
    </row>
    <row r="29" spans="7:7" x14ac:dyDescent="0.25">
      <c r="G29" s="2"/>
    </row>
  </sheetData>
  <mergeCells count="5">
    <mergeCell ref="C15:F15"/>
    <mergeCell ref="C2:F9"/>
    <mergeCell ref="C1:F1"/>
    <mergeCell ref="A9:B10"/>
    <mergeCell ref="C10:F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md_Execute">
          <controlPr defaultSize="0" autoLine="0" autoPict="0" r:id="rId5">
            <anchor moveWithCells="1">
              <from>
                <xdr:col>2</xdr:col>
                <xdr:colOff>3143250</xdr:colOff>
                <xdr:row>2</xdr:row>
                <xdr:rowOff>152400</xdr:rowOff>
              </from>
              <to>
                <xdr:col>4</xdr:col>
                <xdr:colOff>1914525</xdr:colOff>
                <xdr:row>6</xdr:row>
                <xdr:rowOff>76200</xdr:rowOff>
              </to>
            </anchor>
          </controlPr>
        </control>
      </mc:Choice>
      <mc:Fallback>
        <control shapeId="2050" r:id="rId4" name="cmd_Execu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38B77-1D97-49CA-8AD3-263D9F9B6FF4}">
  <sheetPr codeName="Sheet4"/>
  <dimension ref="A1:AM70"/>
  <sheetViews>
    <sheetView workbookViewId="0"/>
  </sheetViews>
  <sheetFormatPr defaultRowHeight="15" x14ac:dyDescent="0.25"/>
  <cols>
    <col min="1" max="1" width="3.5703125" bestFit="1" customWidth="1"/>
    <col min="2" max="2" width="17.42578125" bestFit="1" customWidth="1"/>
    <col min="3" max="3" width="14.28515625" bestFit="1" customWidth="1"/>
    <col min="4" max="4" width="27.5703125" bestFit="1" customWidth="1"/>
    <col min="5" max="5" width="12.42578125" bestFit="1" customWidth="1"/>
    <col min="6" max="6" width="16.7109375" bestFit="1" customWidth="1"/>
    <col min="7" max="7" width="13.85546875" bestFit="1" customWidth="1"/>
    <col min="8" max="8" width="28.5703125" bestFit="1" customWidth="1"/>
    <col min="9" max="9" width="22.140625" bestFit="1" customWidth="1"/>
    <col min="10" max="10" width="80.85546875" bestFit="1" customWidth="1"/>
    <col min="11" max="11" width="52.7109375" bestFit="1" customWidth="1"/>
    <col min="12" max="12" width="30.42578125" bestFit="1" customWidth="1"/>
    <col min="13" max="13" width="9.28515625" bestFit="1" customWidth="1"/>
    <col min="14" max="14" width="12.140625" bestFit="1" customWidth="1"/>
    <col min="15" max="15" width="9.28515625" bestFit="1" customWidth="1"/>
    <col min="16" max="16" width="12.140625" bestFit="1" customWidth="1"/>
    <col min="17" max="17" width="8.140625" bestFit="1" customWidth="1"/>
    <col min="18" max="18" width="11" bestFit="1" customWidth="1"/>
    <col min="19" max="19" width="8.42578125" bestFit="1" customWidth="1"/>
    <col min="21" max="21" width="8.7109375" bestFit="1" customWidth="1"/>
    <col min="22" max="22" width="13.28515625" bestFit="1" customWidth="1"/>
    <col min="23" max="23" width="16.7109375" bestFit="1" customWidth="1"/>
    <col min="24" max="25" width="9.5703125" bestFit="1" customWidth="1"/>
    <col min="26" max="26" width="19.28515625" bestFit="1" customWidth="1"/>
    <col min="27" max="28" width="18.42578125" bestFit="1" customWidth="1"/>
    <col min="29" max="29" width="13.140625" bestFit="1" customWidth="1"/>
    <col min="30" max="30" width="14.28515625" bestFit="1" customWidth="1"/>
    <col min="31" max="31" width="25" bestFit="1" customWidth="1"/>
    <col min="32" max="32" width="5" bestFit="1" customWidth="1"/>
    <col min="33" max="33" width="15.140625" bestFit="1" customWidth="1"/>
    <col min="34" max="34" width="14.28515625" bestFit="1" customWidth="1"/>
    <col min="35" max="35" width="22.28515625" bestFit="1" customWidth="1"/>
    <col min="36" max="36" width="6.42578125" bestFit="1" customWidth="1"/>
    <col min="37" max="38" width="13.140625" bestFit="1" customWidth="1"/>
    <col min="39" max="39" width="13.7109375" bestFit="1" customWidth="1"/>
  </cols>
  <sheetData>
    <row r="1" spans="1:39" x14ac:dyDescent="0.25">
      <c r="A1" s="38" t="s">
        <v>32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38" t="s">
        <v>38</v>
      </c>
      <c r="H1" s="38" t="s">
        <v>39</v>
      </c>
      <c r="I1" s="38" t="s">
        <v>40</v>
      </c>
      <c r="J1" s="38" t="s">
        <v>41</v>
      </c>
      <c r="K1" s="38" t="s">
        <v>42</v>
      </c>
      <c r="L1" s="38" t="s">
        <v>43</v>
      </c>
      <c r="M1" s="38" t="s">
        <v>44</v>
      </c>
      <c r="N1" s="38" t="s">
        <v>45</v>
      </c>
      <c r="O1" s="38" t="s">
        <v>46</v>
      </c>
      <c r="P1" s="38" t="s">
        <v>47</v>
      </c>
      <c r="Q1" s="38" t="s">
        <v>48</v>
      </c>
      <c r="R1" s="38" t="s">
        <v>49</v>
      </c>
      <c r="S1" s="38" t="s">
        <v>50</v>
      </c>
      <c r="T1" s="38" t="s">
        <v>51</v>
      </c>
      <c r="U1" s="38" t="s">
        <v>52</v>
      </c>
      <c r="V1" s="38" t="s">
        <v>53</v>
      </c>
      <c r="W1" s="38" t="s">
        <v>54</v>
      </c>
      <c r="X1" s="38" t="s">
        <v>55</v>
      </c>
      <c r="Y1" s="38" t="s">
        <v>56</v>
      </c>
      <c r="Z1" s="38" t="s">
        <v>57</v>
      </c>
      <c r="AA1" s="38" t="s">
        <v>58</v>
      </c>
      <c r="AB1" s="38" t="s">
        <v>59</v>
      </c>
      <c r="AC1" s="38" t="s">
        <v>60</v>
      </c>
      <c r="AD1" s="38" t="s">
        <v>61</v>
      </c>
      <c r="AE1" s="38" t="s">
        <v>62</v>
      </c>
      <c r="AF1" s="38" t="s">
        <v>63</v>
      </c>
      <c r="AG1" s="38" t="s">
        <v>64</v>
      </c>
      <c r="AH1" s="38" t="s">
        <v>65</v>
      </c>
      <c r="AI1" s="38" t="s">
        <v>66</v>
      </c>
      <c r="AJ1" s="38" t="s">
        <v>67</v>
      </c>
      <c r="AK1" s="38" t="s">
        <v>68</v>
      </c>
      <c r="AL1" s="38" t="s">
        <v>69</v>
      </c>
      <c r="AM1" s="38" t="s">
        <v>70</v>
      </c>
    </row>
    <row r="2" spans="1:39" x14ac:dyDescent="0.25">
      <c r="A2">
        <v>1</v>
      </c>
      <c r="B2" t="s">
        <v>71</v>
      </c>
      <c r="C2" s="35">
        <v>1</v>
      </c>
      <c r="D2" t="s">
        <v>72</v>
      </c>
      <c r="E2" s="35">
        <v>3728</v>
      </c>
      <c r="F2" s="39">
        <v>45660</v>
      </c>
      <c r="G2" t="s">
        <v>73</v>
      </c>
      <c r="H2" t="s">
        <v>74</v>
      </c>
      <c r="I2" t="s">
        <v>75</v>
      </c>
      <c r="J2" t="s">
        <v>76</v>
      </c>
      <c r="K2" t="s">
        <v>77</v>
      </c>
      <c r="L2" s="35">
        <v>3211</v>
      </c>
      <c r="M2">
        <v>2</v>
      </c>
      <c r="N2" t="s">
        <v>78</v>
      </c>
      <c r="O2" s="35">
        <v>2</v>
      </c>
      <c r="P2" t="s">
        <v>79</v>
      </c>
      <c r="Q2" s="35">
        <v>2</v>
      </c>
      <c r="R2" t="s">
        <v>79</v>
      </c>
      <c r="S2" s="35">
        <v>183881</v>
      </c>
      <c r="T2" t="s">
        <v>80</v>
      </c>
      <c r="U2" s="35">
        <v>2</v>
      </c>
      <c r="V2" s="35">
        <v>24001379</v>
      </c>
      <c r="W2" s="35">
        <v>57328621</v>
      </c>
      <c r="X2" s="36">
        <v>4.05</v>
      </c>
      <c r="Y2" s="36">
        <v>4.5</v>
      </c>
      <c r="Z2" s="35">
        <v>1</v>
      </c>
      <c r="AA2" s="35">
        <v>2</v>
      </c>
      <c r="AB2" s="36">
        <v>9</v>
      </c>
      <c r="AC2">
        <v>1</v>
      </c>
      <c r="AD2" t="s">
        <v>81</v>
      </c>
      <c r="AE2" s="39">
        <v>45667</v>
      </c>
      <c r="AF2" s="35">
        <v>1201</v>
      </c>
      <c r="AH2" t="s">
        <v>82</v>
      </c>
      <c r="AI2" t="s">
        <v>83</v>
      </c>
      <c r="AJ2" t="s">
        <v>84</v>
      </c>
      <c r="AK2" s="35">
        <v>771172931280</v>
      </c>
      <c r="AL2" s="35">
        <v>274285</v>
      </c>
    </row>
    <row r="3" spans="1:39" x14ac:dyDescent="0.25">
      <c r="A3">
        <v>2</v>
      </c>
      <c r="B3" t="s">
        <v>71</v>
      </c>
      <c r="C3" s="35">
        <v>2</v>
      </c>
      <c r="D3" t="s">
        <v>72</v>
      </c>
      <c r="E3" s="35">
        <v>3728</v>
      </c>
      <c r="F3" s="39">
        <v>45660</v>
      </c>
      <c r="G3" t="s">
        <v>73</v>
      </c>
      <c r="H3" t="s">
        <v>74</v>
      </c>
      <c r="I3" t="s">
        <v>75</v>
      </c>
      <c r="J3" t="s">
        <v>85</v>
      </c>
      <c r="K3" t="s">
        <v>77</v>
      </c>
      <c r="L3" s="35">
        <v>3190</v>
      </c>
      <c r="M3">
        <v>2</v>
      </c>
      <c r="N3" t="s">
        <v>78</v>
      </c>
      <c r="O3" s="35">
        <v>2</v>
      </c>
      <c r="P3" t="s">
        <v>79</v>
      </c>
      <c r="Q3" s="35">
        <v>2</v>
      </c>
      <c r="R3" t="s">
        <v>79</v>
      </c>
      <c r="S3" s="35">
        <v>183878</v>
      </c>
      <c r="T3" t="s">
        <v>80</v>
      </c>
      <c r="U3" s="35">
        <v>2</v>
      </c>
      <c r="V3" s="35">
        <v>24001381</v>
      </c>
      <c r="W3" s="35">
        <v>57328621</v>
      </c>
      <c r="X3" s="36">
        <v>4.05</v>
      </c>
      <c r="Y3" s="36">
        <v>4.5</v>
      </c>
      <c r="Z3" s="35">
        <v>1</v>
      </c>
      <c r="AA3" s="35">
        <v>2</v>
      </c>
      <c r="AB3" s="36">
        <v>9</v>
      </c>
      <c r="AC3">
        <v>1</v>
      </c>
      <c r="AD3" t="s">
        <v>81</v>
      </c>
      <c r="AE3" s="39">
        <v>45667</v>
      </c>
      <c r="AF3" s="35">
        <v>1201</v>
      </c>
      <c r="AH3" t="s">
        <v>82</v>
      </c>
      <c r="AI3" t="s">
        <v>83</v>
      </c>
      <c r="AJ3" t="s">
        <v>84</v>
      </c>
      <c r="AK3" s="35">
        <v>771172931280</v>
      </c>
      <c r="AL3" s="35">
        <v>274286</v>
      </c>
    </row>
    <row r="4" spans="1:39" x14ac:dyDescent="0.25">
      <c r="A4">
        <v>3</v>
      </c>
      <c r="B4" t="s">
        <v>71</v>
      </c>
      <c r="C4" s="35">
        <v>3</v>
      </c>
      <c r="D4" t="s">
        <v>72</v>
      </c>
      <c r="E4" s="35">
        <v>3728</v>
      </c>
      <c r="F4" s="39">
        <v>45660</v>
      </c>
      <c r="G4" t="s">
        <v>73</v>
      </c>
      <c r="H4" t="s">
        <v>74</v>
      </c>
      <c r="I4" t="s">
        <v>75</v>
      </c>
      <c r="J4" t="s">
        <v>86</v>
      </c>
      <c r="K4" t="s">
        <v>77</v>
      </c>
      <c r="L4" s="35">
        <v>3209</v>
      </c>
      <c r="M4">
        <v>2</v>
      </c>
      <c r="N4" t="s">
        <v>78</v>
      </c>
      <c r="O4" s="35">
        <v>2</v>
      </c>
      <c r="P4" t="s">
        <v>79</v>
      </c>
      <c r="Q4" s="35">
        <v>2</v>
      </c>
      <c r="R4" t="s">
        <v>79</v>
      </c>
      <c r="S4" s="35">
        <v>183879</v>
      </c>
      <c r="T4" t="s">
        <v>80</v>
      </c>
      <c r="U4" s="35">
        <v>2</v>
      </c>
      <c r="V4" s="35">
        <v>24001378</v>
      </c>
      <c r="W4" s="35">
        <v>57328621</v>
      </c>
      <c r="X4" s="36">
        <v>4.05</v>
      </c>
      <c r="Y4" s="36">
        <v>4.5</v>
      </c>
      <c r="Z4" s="35">
        <v>1</v>
      </c>
      <c r="AA4" s="35">
        <v>2</v>
      </c>
      <c r="AB4" s="36">
        <v>9</v>
      </c>
      <c r="AC4">
        <v>1</v>
      </c>
      <c r="AD4" t="s">
        <v>81</v>
      </c>
      <c r="AE4" s="39">
        <v>45667</v>
      </c>
      <c r="AF4" s="35">
        <v>1201</v>
      </c>
      <c r="AH4" t="s">
        <v>82</v>
      </c>
      <c r="AI4" t="s">
        <v>83</v>
      </c>
      <c r="AJ4" t="s">
        <v>84</v>
      </c>
      <c r="AK4" s="35">
        <v>771172931280</v>
      </c>
      <c r="AL4" s="35">
        <v>274287</v>
      </c>
    </row>
    <row r="5" spans="1:39" x14ac:dyDescent="0.25">
      <c r="A5">
        <v>4</v>
      </c>
      <c r="B5" t="s">
        <v>71</v>
      </c>
      <c r="C5" s="35">
        <v>4</v>
      </c>
      <c r="D5" t="s">
        <v>72</v>
      </c>
      <c r="E5" s="35">
        <v>3728</v>
      </c>
      <c r="F5" s="39">
        <v>45660</v>
      </c>
      <c r="G5" t="s">
        <v>73</v>
      </c>
      <c r="H5" t="s">
        <v>74</v>
      </c>
      <c r="I5" t="s">
        <v>75</v>
      </c>
      <c r="J5" t="s">
        <v>86</v>
      </c>
      <c r="K5" t="s">
        <v>77</v>
      </c>
      <c r="L5" s="35">
        <v>3189</v>
      </c>
      <c r="M5">
        <v>2</v>
      </c>
      <c r="N5" t="s">
        <v>78</v>
      </c>
      <c r="O5" s="35">
        <v>2</v>
      </c>
      <c r="P5" t="s">
        <v>79</v>
      </c>
      <c r="Q5" s="35">
        <v>2</v>
      </c>
      <c r="R5" t="s">
        <v>79</v>
      </c>
      <c r="S5" s="35">
        <v>183877</v>
      </c>
      <c r="T5" t="s">
        <v>80</v>
      </c>
      <c r="U5" s="35">
        <v>2</v>
      </c>
      <c r="V5" s="35">
        <v>24001377</v>
      </c>
      <c r="W5" s="35">
        <v>57328621</v>
      </c>
      <c r="X5" s="36">
        <v>4.05</v>
      </c>
      <c r="Y5" s="36">
        <v>4.5</v>
      </c>
      <c r="Z5" s="35">
        <v>1</v>
      </c>
      <c r="AA5" s="35">
        <v>2</v>
      </c>
      <c r="AB5" s="36">
        <v>9</v>
      </c>
      <c r="AC5">
        <v>1</v>
      </c>
      <c r="AD5" t="s">
        <v>81</v>
      </c>
      <c r="AE5" s="39">
        <v>45667</v>
      </c>
      <c r="AF5" s="35">
        <v>1201</v>
      </c>
      <c r="AH5" t="s">
        <v>82</v>
      </c>
      <c r="AI5" t="s">
        <v>83</v>
      </c>
      <c r="AJ5" t="s">
        <v>84</v>
      </c>
      <c r="AK5" s="35">
        <v>771172931280</v>
      </c>
      <c r="AL5" s="35">
        <v>274288</v>
      </c>
    </row>
    <row r="6" spans="1:39" x14ac:dyDescent="0.25">
      <c r="A6">
        <v>5</v>
      </c>
      <c r="B6" t="s">
        <v>71</v>
      </c>
      <c r="C6" s="35">
        <v>5</v>
      </c>
      <c r="D6" t="s">
        <v>72</v>
      </c>
      <c r="E6" s="35">
        <v>3728</v>
      </c>
      <c r="F6" s="39">
        <v>45660</v>
      </c>
      <c r="G6" t="s">
        <v>73</v>
      </c>
      <c r="H6" t="s">
        <v>74</v>
      </c>
      <c r="I6" t="s">
        <v>75</v>
      </c>
      <c r="J6" t="s">
        <v>87</v>
      </c>
      <c r="K6" t="s">
        <v>77</v>
      </c>
      <c r="L6" s="35">
        <v>3212</v>
      </c>
      <c r="M6">
        <v>1</v>
      </c>
      <c r="N6" t="s">
        <v>78</v>
      </c>
      <c r="O6" s="35">
        <v>1</v>
      </c>
      <c r="P6" t="s">
        <v>79</v>
      </c>
      <c r="Q6" s="35">
        <v>1</v>
      </c>
      <c r="R6" t="s">
        <v>79</v>
      </c>
      <c r="S6" s="35">
        <v>183882</v>
      </c>
      <c r="T6" t="s">
        <v>80</v>
      </c>
      <c r="U6" s="35">
        <v>3</v>
      </c>
      <c r="V6" s="35">
        <v>24001383</v>
      </c>
      <c r="W6" s="35">
        <v>57328621</v>
      </c>
      <c r="X6" s="36">
        <v>4.05</v>
      </c>
      <c r="Y6" s="36">
        <v>4.5</v>
      </c>
      <c r="Z6" s="35">
        <v>1</v>
      </c>
      <c r="AA6" s="35">
        <v>1</v>
      </c>
      <c r="AB6" s="36">
        <v>9</v>
      </c>
      <c r="AC6">
        <v>1</v>
      </c>
      <c r="AD6" t="s">
        <v>81</v>
      </c>
      <c r="AE6" s="39">
        <v>45667</v>
      </c>
      <c r="AF6" s="35">
        <v>1201</v>
      </c>
      <c r="AH6" t="s">
        <v>82</v>
      </c>
      <c r="AI6" t="s">
        <v>83</v>
      </c>
      <c r="AJ6" t="s">
        <v>84</v>
      </c>
      <c r="AK6" s="35">
        <v>771172931280</v>
      </c>
      <c r="AL6" s="35">
        <v>274289</v>
      </c>
    </row>
    <row r="7" spans="1:39" x14ac:dyDescent="0.25">
      <c r="A7">
        <v>6</v>
      </c>
      <c r="B7" t="s">
        <v>88</v>
      </c>
      <c r="C7" s="35">
        <v>1</v>
      </c>
      <c r="D7" t="s">
        <v>89</v>
      </c>
      <c r="E7" s="35">
        <v>6902</v>
      </c>
      <c r="F7" s="39">
        <v>45663</v>
      </c>
      <c r="G7" t="s">
        <v>73</v>
      </c>
      <c r="H7" t="s">
        <v>90</v>
      </c>
      <c r="I7" t="s">
        <v>91</v>
      </c>
      <c r="J7" t="s">
        <v>92</v>
      </c>
      <c r="K7" t="s">
        <v>93</v>
      </c>
      <c r="L7" t="s">
        <v>94</v>
      </c>
      <c r="M7">
        <v>1</v>
      </c>
      <c r="N7" t="s">
        <v>78</v>
      </c>
      <c r="O7" s="35">
        <v>1</v>
      </c>
      <c r="P7" t="s">
        <v>95</v>
      </c>
      <c r="Q7" s="35">
        <v>1</v>
      </c>
      <c r="R7" t="s">
        <v>95</v>
      </c>
      <c r="S7" s="35">
        <v>184381</v>
      </c>
      <c r="T7" t="s">
        <v>96</v>
      </c>
      <c r="U7" s="35">
        <v>12</v>
      </c>
      <c r="V7" s="35">
        <v>24001003</v>
      </c>
      <c r="W7" s="35">
        <v>57442601</v>
      </c>
      <c r="X7" s="36">
        <v>1</v>
      </c>
      <c r="Y7" s="36">
        <v>1.6</v>
      </c>
      <c r="Z7" s="35">
        <v>18</v>
      </c>
      <c r="AA7" s="35">
        <v>18</v>
      </c>
      <c r="AB7" s="36">
        <v>33</v>
      </c>
      <c r="AC7">
        <v>1</v>
      </c>
      <c r="AD7" t="s">
        <v>97</v>
      </c>
      <c r="AE7" s="39">
        <v>45670</v>
      </c>
      <c r="AF7" s="35">
        <v>1201</v>
      </c>
      <c r="AH7" t="s">
        <v>82</v>
      </c>
      <c r="AI7" t="s">
        <v>98</v>
      </c>
      <c r="AJ7" t="s">
        <v>99</v>
      </c>
      <c r="AK7" s="35">
        <v>6530110403</v>
      </c>
      <c r="AL7" s="35">
        <v>274040</v>
      </c>
    </row>
    <row r="8" spans="1:39" x14ac:dyDescent="0.25">
      <c r="A8">
        <v>7</v>
      </c>
      <c r="B8" t="s">
        <v>88</v>
      </c>
      <c r="C8" s="35">
        <v>2</v>
      </c>
      <c r="D8" t="s">
        <v>89</v>
      </c>
      <c r="E8" s="35">
        <v>6902</v>
      </c>
      <c r="F8" s="39">
        <v>45663</v>
      </c>
      <c r="G8" t="s">
        <v>73</v>
      </c>
      <c r="H8" t="s">
        <v>90</v>
      </c>
      <c r="I8" t="s">
        <v>91</v>
      </c>
      <c r="J8" t="s">
        <v>100</v>
      </c>
      <c r="K8" t="s">
        <v>101</v>
      </c>
      <c r="L8" t="s">
        <v>102</v>
      </c>
      <c r="M8">
        <v>1</v>
      </c>
      <c r="N8" t="s">
        <v>78</v>
      </c>
      <c r="O8" s="35">
        <v>1</v>
      </c>
      <c r="P8" t="s">
        <v>95</v>
      </c>
      <c r="Q8" s="35">
        <v>1</v>
      </c>
      <c r="R8" t="s">
        <v>95</v>
      </c>
      <c r="S8" s="35">
        <v>184382</v>
      </c>
      <c r="T8" t="s">
        <v>96</v>
      </c>
      <c r="U8" s="35">
        <v>13</v>
      </c>
      <c r="V8" s="35">
        <v>24001003</v>
      </c>
      <c r="W8" s="35">
        <v>57442601</v>
      </c>
      <c r="X8" s="36">
        <v>1</v>
      </c>
      <c r="Y8" s="36">
        <v>1.6</v>
      </c>
      <c r="Z8" s="35">
        <v>15</v>
      </c>
      <c r="AA8" s="35">
        <v>15</v>
      </c>
      <c r="AB8" s="36">
        <v>33</v>
      </c>
      <c r="AC8">
        <v>1</v>
      </c>
      <c r="AD8" t="s">
        <v>97</v>
      </c>
      <c r="AE8" s="39">
        <v>45670</v>
      </c>
      <c r="AF8" s="35">
        <v>1201</v>
      </c>
      <c r="AH8" t="s">
        <v>82</v>
      </c>
      <c r="AI8" t="s">
        <v>98</v>
      </c>
      <c r="AJ8" t="s">
        <v>99</v>
      </c>
      <c r="AK8" s="35">
        <v>6530110403</v>
      </c>
      <c r="AL8" s="35">
        <v>274041</v>
      </c>
    </row>
    <row r="9" spans="1:39" x14ac:dyDescent="0.25">
      <c r="A9">
        <v>8</v>
      </c>
      <c r="B9" t="s">
        <v>103</v>
      </c>
      <c r="C9" s="35">
        <v>1</v>
      </c>
      <c r="D9" t="s">
        <v>104</v>
      </c>
      <c r="E9" s="35">
        <v>205078</v>
      </c>
      <c r="F9" s="39">
        <v>45629</v>
      </c>
      <c r="G9" t="s">
        <v>73</v>
      </c>
      <c r="H9" t="s">
        <v>105</v>
      </c>
      <c r="I9" t="s">
        <v>106</v>
      </c>
      <c r="J9" t="s">
        <v>107</v>
      </c>
      <c r="K9" t="s">
        <v>108</v>
      </c>
      <c r="L9" s="35">
        <v>60804</v>
      </c>
      <c r="M9">
        <v>1</v>
      </c>
      <c r="N9" t="s">
        <v>78</v>
      </c>
      <c r="O9" s="35">
        <v>1</v>
      </c>
      <c r="P9" t="s">
        <v>95</v>
      </c>
      <c r="Q9" s="35">
        <v>1</v>
      </c>
      <c r="R9" t="s">
        <v>95</v>
      </c>
      <c r="S9" s="35">
        <v>184347</v>
      </c>
      <c r="T9" t="s">
        <v>96</v>
      </c>
      <c r="U9" s="35">
        <v>40</v>
      </c>
      <c r="V9" s="35">
        <v>24001076</v>
      </c>
      <c r="W9" s="35">
        <v>57398700</v>
      </c>
      <c r="X9" s="36">
        <v>3.2</v>
      </c>
      <c r="Y9" s="36">
        <v>4</v>
      </c>
      <c r="Z9">
        <v>0.8</v>
      </c>
      <c r="AA9">
        <v>0.8</v>
      </c>
      <c r="AB9" s="36">
        <v>3.2</v>
      </c>
      <c r="AC9">
        <v>1</v>
      </c>
      <c r="AD9" t="s">
        <v>81</v>
      </c>
      <c r="AE9" s="39">
        <v>45636</v>
      </c>
      <c r="AF9" s="35">
        <v>1201</v>
      </c>
      <c r="AH9" t="s">
        <v>82</v>
      </c>
      <c r="AI9" t="s">
        <v>109</v>
      </c>
      <c r="AJ9" t="s">
        <v>84</v>
      </c>
      <c r="AK9" s="35">
        <v>770325873336</v>
      </c>
      <c r="AL9" s="35">
        <v>274015</v>
      </c>
      <c r="AM9" s="35">
        <v>14817014</v>
      </c>
    </row>
    <row r="10" spans="1:39" x14ac:dyDescent="0.25">
      <c r="A10">
        <v>9</v>
      </c>
      <c r="B10" t="s">
        <v>103</v>
      </c>
      <c r="C10" s="35">
        <v>2</v>
      </c>
      <c r="D10" t="s">
        <v>104</v>
      </c>
      <c r="E10" s="35">
        <v>205078</v>
      </c>
      <c r="F10" s="39">
        <v>45629</v>
      </c>
      <c r="G10" t="s">
        <v>73</v>
      </c>
      <c r="H10" t="s">
        <v>105</v>
      </c>
      <c r="I10" t="s">
        <v>106</v>
      </c>
      <c r="J10" t="s">
        <v>107</v>
      </c>
      <c r="K10" t="s">
        <v>108</v>
      </c>
      <c r="L10" s="35">
        <v>81904</v>
      </c>
      <c r="M10">
        <v>1</v>
      </c>
      <c r="N10" t="s">
        <v>78</v>
      </c>
      <c r="O10" s="35">
        <v>1</v>
      </c>
      <c r="P10" t="s">
        <v>95</v>
      </c>
      <c r="Q10" s="35">
        <v>1</v>
      </c>
      <c r="R10" t="s">
        <v>95</v>
      </c>
      <c r="S10" s="35">
        <v>184349</v>
      </c>
      <c r="T10" t="s">
        <v>96</v>
      </c>
      <c r="U10" s="35">
        <v>42</v>
      </c>
      <c r="V10" s="35">
        <v>24001076</v>
      </c>
      <c r="W10" s="35">
        <v>57398700</v>
      </c>
      <c r="X10" s="36">
        <v>3.2</v>
      </c>
      <c r="Y10" s="36">
        <v>4</v>
      </c>
      <c r="Z10">
        <v>0.8</v>
      </c>
      <c r="AA10">
        <v>0.8</v>
      </c>
      <c r="AB10" s="36">
        <v>3.2</v>
      </c>
      <c r="AC10">
        <v>1</v>
      </c>
      <c r="AD10" t="s">
        <v>81</v>
      </c>
      <c r="AE10" s="39">
        <v>45636</v>
      </c>
      <c r="AF10" s="35">
        <v>1201</v>
      </c>
      <c r="AH10" t="s">
        <v>82</v>
      </c>
      <c r="AI10" t="s">
        <v>109</v>
      </c>
      <c r="AJ10" t="s">
        <v>84</v>
      </c>
      <c r="AK10" s="35">
        <v>770325873336</v>
      </c>
      <c r="AL10" s="35">
        <v>274017</v>
      </c>
      <c r="AM10" s="35">
        <v>14817016</v>
      </c>
    </row>
    <row r="11" spans="1:39" x14ac:dyDescent="0.25">
      <c r="A11">
        <v>10</v>
      </c>
      <c r="B11" t="s">
        <v>103</v>
      </c>
      <c r="C11" s="35">
        <v>3</v>
      </c>
      <c r="D11" t="s">
        <v>104</v>
      </c>
      <c r="E11" s="35">
        <v>205078</v>
      </c>
      <c r="F11" s="39">
        <v>45629</v>
      </c>
      <c r="G11" t="s">
        <v>73</v>
      </c>
      <c r="H11" t="s">
        <v>105</v>
      </c>
      <c r="I11" t="s">
        <v>106</v>
      </c>
      <c r="J11" t="s">
        <v>107</v>
      </c>
      <c r="K11" t="s">
        <v>108</v>
      </c>
      <c r="L11" s="35">
        <v>60604</v>
      </c>
      <c r="M11">
        <v>1</v>
      </c>
      <c r="N11" t="s">
        <v>78</v>
      </c>
      <c r="O11" s="35">
        <v>1</v>
      </c>
      <c r="P11" t="s">
        <v>95</v>
      </c>
      <c r="Q11" s="35">
        <v>1</v>
      </c>
      <c r="R11" t="s">
        <v>95</v>
      </c>
      <c r="S11" s="35">
        <v>184346</v>
      </c>
      <c r="T11" t="s">
        <v>96</v>
      </c>
      <c r="U11" s="35">
        <v>39</v>
      </c>
      <c r="V11" s="35">
        <v>24001076</v>
      </c>
      <c r="W11" s="35">
        <v>57398700</v>
      </c>
      <c r="X11" s="36">
        <v>3.2</v>
      </c>
      <c r="Y11" s="36">
        <v>4</v>
      </c>
      <c r="Z11">
        <v>0.8</v>
      </c>
      <c r="AA11">
        <v>0.8</v>
      </c>
      <c r="AB11" s="36">
        <v>3.2</v>
      </c>
      <c r="AC11">
        <v>1</v>
      </c>
      <c r="AD11" t="s">
        <v>81</v>
      </c>
      <c r="AE11" s="39">
        <v>45636</v>
      </c>
      <c r="AF11" s="35">
        <v>1201</v>
      </c>
      <c r="AH11" t="s">
        <v>82</v>
      </c>
      <c r="AI11" t="s">
        <v>109</v>
      </c>
      <c r="AJ11" t="s">
        <v>84</v>
      </c>
      <c r="AK11" s="35">
        <v>770325873336</v>
      </c>
      <c r="AL11" s="35">
        <v>274014</v>
      </c>
      <c r="AM11" s="35">
        <v>14817013</v>
      </c>
    </row>
    <row r="12" spans="1:39" x14ac:dyDescent="0.25">
      <c r="A12">
        <v>11</v>
      </c>
      <c r="B12" t="s">
        <v>103</v>
      </c>
      <c r="C12" s="35">
        <v>4</v>
      </c>
      <c r="D12" t="s">
        <v>104</v>
      </c>
      <c r="E12" s="35">
        <v>205078</v>
      </c>
      <c r="F12" s="39">
        <v>45629</v>
      </c>
      <c r="G12" t="s">
        <v>73</v>
      </c>
      <c r="H12" t="s">
        <v>105</v>
      </c>
      <c r="I12" t="s">
        <v>106</v>
      </c>
      <c r="J12" t="s">
        <v>110</v>
      </c>
      <c r="K12" t="s">
        <v>111</v>
      </c>
      <c r="L12" s="35">
        <v>66204</v>
      </c>
      <c r="M12">
        <v>1</v>
      </c>
      <c r="N12" t="s">
        <v>78</v>
      </c>
      <c r="O12" s="35">
        <v>1</v>
      </c>
      <c r="P12" t="s">
        <v>95</v>
      </c>
      <c r="Q12" s="35">
        <v>1</v>
      </c>
      <c r="R12" t="s">
        <v>95</v>
      </c>
      <c r="S12" s="35">
        <v>184348</v>
      </c>
      <c r="T12" t="s">
        <v>96</v>
      </c>
      <c r="U12" s="35">
        <v>41</v>
      </c>
      <c r="V12" s="35">
        <v>24001076</v>
      </c>
      <c r="W12" s="35">
        <v>57398700</v>
      </c>
      <c r="X12" s="36">
        <v>3.2</v>
      </c>
      <c r="Y12" s="36">
        <v>4</v>
      </c>
      <c r="Z12">
        <v>0.8</v>
      </c>
      <c r="AA12">
        <v>0.8</v>
      </c>
      <c r="AB12" s="36">
        <v>3.2</v>
      </c>
      <c r="AC12">
        <v>1</v>
      </c>
      <c r="AD12" t="s">
        <v>81</v>
      </c>
      <c r="AE12" s="39">
        <v>45636</v>
      </c>
      <c r="AF12" s="35">
        <v>1201</v>
      </c>
      <c r="AH12" t="s">
        <v>82</v>
      </c>
      <c r="AI12" t="s">
        <v>109</v>
      </c>
      <c r="AJ12" t="s">
        <v>84</v>
      </c>
      <c r="AK12" s="35">
        <v>770325873336</v>
      </c>
      <c r="AL12" s="35">
        <v>274016</v>
      </c>
      <c r="AM12" s="35">
        <v>14817015</v>
      </c>
    </row>
    <row r="13" spans="1:39" x14ac:dyDescent="0.25">
      <c r="A13">
        <v>12</v>
      </c>
      <c r="B13" t="s">
        <v>112</v>
      </c>
      <c r="C13" s="35">
        <v>1</v>
      </c>
      <c r="D13" t="s">
        <v>113</v>
      </c>
      <c r="E13" s="35">
        <v>208682</v>
      </c>
      <c r="F13" s="39">
        <v>45630</v>
      </c>
      <c r="G13" t="s">
        <v>73</v>
      </c>
      <c r="H13" t="s">
        <v>74</v>
      </c>
      <c r="I13" t="s">
        <v>75</v>
      </c>
      <c r="J13" t="s">
        <v>114</v>
      </c>
      <c r="K13" t="s">
        <v>115</v>
      </c>
      <c r="L13" s="35">
        <v>5058305</v>
      </c>
      <c r="M13">
        <v>2</v>
      </c>
      <c r="N13" t="s">
        <v>78</v>
      </c>
      <c r="O13" s="35">
        <v>2</v>
      </c>
      <c r="P13" t="s">
        <v>79</v>
      </c>
      <c r="Q13" s="35">
        <v>2</v>
      </c>
      <c r="R13" t="s">
        <v>79</v>
      </c>
      <c r="S13" s="35">
        <v>184326</v>
      </c>
      <c r="T13" t="s">
        <v>96</v>
      </c>
      <c r="U13" s="35">
        <v>34</v>
      </c>
      <c r="V13" s="35">
        <v>24001044</v>
      </c>
      <c r="W13" s="35">
        <v>57328621</v>
      </c>
      <c r="X13" s="36">
        <v>1.8</v>
      </c>
      <c r="Y13" s="36">
        <v>2</v>
      </c>
      <c r="Z13" s="35">
        <v>1</v>
      </c>
      <c r="AA13" s="35">
        <v>2</v>
      </c>
      <c r="AB13" s="36">
        <v>4</v>
      </c>
      <c r="AC13">
        <v>1</v>
      </c>
      <c r="AD13" t="s">
        <v>81</v>
      </c>
      <c r="AE13" s="39">
        <v>45637</v>
      </c>
      <c r="AF13" s="35">
        <v>1201</v>
      </c>
      <c r="AH13" t="s">
        <v>82</v>
      </c>
      <c r="AI13" t="s">
        <v>83</v>
      </c>
      <c r="AJ13" t="s">
        <v>84</v>
      </c>
      <c r="AK13" s="35">
        <v>770471126116</v>
      </c>
      <c r="AL13" s="35">
        <v>273972</v>
      </c>
      <c r="AM13" s="35">
        <v>14817019</v>
      </c>
    </row>
    <row r="14" spans="1:39" x14ac:dyDescent="0.25">
      <c r="A14">
        <v>13</v>
      </c>
      <c r="B14" t="s">
        <v>112</v>
      </c>
      <c r="C14" s="35">
        <v>2</v>
      </c>
      <c r="D14" t="s">
        <v>113</v>
      </c>
      <c r="E14" s="35">
        <v>208682</v>
      </c>
      <c r="F14" s="39">
        <v>45630</v>
      </c>
      <c r="G14" t="s">
        <v>73</v>
      </c>
      <c r="H14" t="s">
        <v>74</v>
      </c>
      <c r="I14" t="s">
        <v>75</v>
      </c>
      <c r="J14" t="s">
        <v>116</v>
      </c>
      <c r="K14" t="s">
        <v>115</v>
      </c>
      <c r="L14" s="35">
        <v>5059878</v>
      </c>
      <c r="M14">
        <v>2</v>
      </c>
      <c r="N14" t="s">
        <v>78</v>
      </c>
      <c r="O14" s="35">
        <v>2</v>
      </c>
      <c r="P14" t="s">
        <v>79</v>
      </c>
      <c r="Q14" s="35">
        <v>2</v>
      </c>
      <c r="R14" t="s">
        <v>79</v>
      </c>
      <c r="S14" s="35">
        <v>184330</v>
      </c>
      <c r="T14" t="s">
        <v>96</v>
      </c>
      <c r="U14">
        <v>38.1</v>
      </c>
      <c r="V14" s="35">
        <v>24001044</v>
      </c>
      <c r="W14" s="35">
        <v>57328621</v>
      </c>
      <c r="X14" s="36">
        <v>1.8</v>
      </c>
      <c r="Y14" s="36">
        <v>2</v>
      </c>
      <c r="Z14" s="35">
        <v>1</v>
      </c>
      <c r="AA14" s="35">
        <v>2</v>
      </c>
      <c r="AB14" s="36">
        <v>4</v>
      </c>
      <c r="AC14">
        <v>1</v>
      </c>
      <c r="AD14" t="s">
        <v>81</v>
      </c>
      <c r="AE14" s="39">
        <v>45637</v>
      </c>
      <c r="AF14" s="35">
        <v>1201</v>
      </c>
      <c r="AH14" t="s">
        <v>82</v>
      </c>
      <c r="AI14" t="s">
        <v>83</v>
      </c>
      <c r="AJ14" t="s">
        <v>84</v>
      </c>
      <c r="AK14" s="35">
        <v>770471126116</v>
      </c>
      <c r="AL14" s="35">
        <v>273976</v>
      </c>
      <c r="AM14" s="35">
        <v>14839764</v>
      </c>
    </row>
    <row r="15" spans="1:39" x14ac:dyDescent="0.25">
      <c r="A15">
        <v>14</v>
      </c>
      <c r="B15" t="s">
        <v>117</v>
      </c>
      <c r="C15" s="35">
        <v>1</v>
      </c>
      <c r="D15" t="s">
        <v>118</v>
      </c>
      <c r="E15" s="35">
        <v>213272</v>
      </c>
      <c r="F15" s="39">
        <v>45632</v>
      </c>
      <c r="G15" t="s">
        <v>73</v>
      </c>
      <c r="H15" t="s">
        <v>119</v>
      </c>
      <c r="I15" t="s">
        <v>91</v>
      </c>
      <c r="J15" t="s">
        <v>120</v>
      </c>
      <c r="K15" t="s">
        <v>121</v>
      </c>
      <c r="L15" t="s">
        <v>122</v>
      </c>
      <c r="M15">
        <v>2</v>
      </c>
      <c r="N15" t="s">
        <v>78</v>
      </c>
      <c r="O15" s="35">
        <v>2</v>
      </c>
      <c r="P15" t="s">
        <v>123</v>
      </c>
      <c r="Q15" s="35">
        <v>2</v>
      </c>
      <c r="R15" t="s">
        <v>123</v>
      </c>
      <c r="S15" s="35">
        <v>184366</v>
      </c>
      <c r="T15" t="s">
        <v>96</v>
      </c>
      <c r="U15" s="35">
        <v>131</v>
      </c>
      <c r="V15" s="35">
        <v>24001001</v>
      </c>
      <c r="W15" s="35">
        <v>55391977</v>
      </c>
      <c r="X15" s="36">
        <v>0.3</v>
      </c>
      <c r="Y15" s="36">
        <v>0.4</v>
      </c>
      <c r="Z15" s="35">
        <v>1</v>
      </c>
      <c r="AA15" s="35">
        <v>2</v>
      </c>
      <c r="AB15" s="36">
        <v>2</v>
      </c>
      <c r="AC15">
        <v>1</v>
      </c>
      <c r="AD15" t="s">
        <v>81</v>
      </c>
      <c r="AE15" s="39">
        <v>45639</v>
      </c>
      <c r="AF15" s="35">
        <v>1201</v>
      </c>
      <c r="AH15" t="s">
        <v>82</v>
      </c>
      <c r="AI15" t="s">
        <v>124</v>
      </c>
      <c r="AJ15" t="s">
        <v>84</v>
      </c>
      <c r="AK15" s="35">
        <v>770537909395</v>
      </c>
      <c r="AL15" s="35">
        <v>274025</v>
      </c>
      <c r="AM15" s="35">
        <v>14817059</v>
      </c>
    </row>
    <row r="16" spans="1:39" x14ac:dyDescent="0.25">
      <c r="A16">
        <v>15</v>
      </c>
      <c r="B16" t="s">
        <v>125</v>
      </c>
      <c r="C16" s="35">
        <v>1</v>
      </c>
      <c r="D16" t="s">
        <v>126</v>
      </c>
      <c r="E16" s="35">
        <v>216196</v>
      </c>
      <c r="F16" s="39">
        <v>45635</v>
      </c>
      <c r="G16" t="s">
        <v>73</v>
      </c>
      <c r="H16" t="s">
        <v>127</v>
      </c>
      <c r="I16" t="s">
        <v>91</v>
      </c>
      <c r="J16" t="s">
        <v>128</v>
      </c>
      <c r="K16" t="s">
        <v>128</v>
      </c>
      <c r="L16" t="s">
        <v>129</v>
      </c>
      <c r="M16">
        <v>2</v>
      </c>
      <c r="N16" t="s">
        <v>78</v>
      </c>
      <c r="O16" s="35">
        <v>2</v>
      </c>
      <c r="P16" t="s">
        <v>123</v>
      </c>
      <c r="Q16" s="35">
        <v>2</v>
      </c>
      <c r="R16" t="s">
        <v>123</v>
      </c>
      <c r="S16" s="35">
        <v>184332</v>
      </c>
      <c r="T16" t="s">
        <v>96</v>
      </c>
      <c r="U16" s="35">
        <v>82</v>
      </c>
      <c r="V16" s="35">
        <v>24001039</v>
      </c>
      <c r="W16" s="35">
        <v>55738459</v>
      </c>
      <c r="X16" s="36">
        <v>3.15</v>
      </c>
      <c r="Y16" s="36">
        <v>3.5</v>
      </c>
      <c r="Z16" s="36">
        <v>4.95</v>
      </c>
      <c r="AA16">
        <v>9.9</v>
      </c>
      <c r="AB16" s="36">
        <v>33.9</v>
      </c>
      <c r="AC16">
        <v>1</v>
      </c>
      <c r="AD16" t="s">
        <v>81</v>
      </c>
      <c r="AE16" s="39">
        <v>45642</v>
      </c>
      <c r="AF16" s="35">
        <v>1201</v>
      </c>
      <c r="AH16" t="s">
        <v>130</v>
      </c>
      <c r="AI16" t="s">
        <v>83</v>
      </c>
      <c r="AJ16" t="s">
        <v>99</v>
      </c>
      <c r="AK16" s="35">
        <v>1387488535</v>
      </c>
      <c r="AL16" s="35">
        <v>273990</v>
      </c>
      <c r="AM16" s="35">
        <v>14817064</v>
      </c>
    </row>
    <row r="17" spans="1:39" x14ac:dyDescent="0.25">
      <c r="A17">
        <v>16</v>
      </c>
      <c r="B17" t="s">
        <v>125</v>
      </c>
      <c r="C17" s="35">
        <v>2</v>
      </c>
      <c r="D17" t="s">
        <v>126</v>
      </c>
      <c r="E17" s="35">
        <v>216196</v>
      </c>
      <c r="F17" s="39">
        <v>45635</v>
      </c>
      <c r="G17" t="s">
        <v>73</v>
      </c>
      <c r="H17" t="s">
        <v>127</v>
      </c>
      <c r="I17" t="s">
        <v>91</v>
      </c>
      <c r="J17" t="s">
        <v>131</v>
      </c>
      <c r="K17" t="s">
        <v>131</v>
      </c>
      <c r="L17" t="s">
        <v>132</v>
      </c>
      <c r="M17">
        <v>5</v>
      </c>
      <c r="N17" t="s">
        <v>78</v>
      </c>
      <c r="O17" s="35">
        <v>5</v>
      </c>
      <c r="P17" t="s">
        <v>123</v>
      </c>
      <c r="Q17" s="35">
        <v>5</v>
      </c>
      <c r="R17" t="s">
        <v>123</v>
      </c>
      <c r="S17" s="35">
        <v>184333</v>
      </c>
      <c r="T17" t="s">
        <v>96</v>
      </c>
      <c r="U17" s="35">
        <v>83</v>
      </c>
      <c r="V17" s="35">
        <v>24001039</v>
      </c>
      <c r="W17" s="35">
        <v>55738459</v>
      </c>
      <c r="X17" s="36">
        <v>3.15</v>
      </c>
      <c r="Y17" s="36">
        <v>3.5</v>
      </c>
      <c r="Z17">
        <v>4.8</v>
      </c>
      <c r="AA17" s="35">
        <v>24</v>
      </c>
      <c r="AB17" s="36">
        <v>33.9</v>
      </c>
      <c r="AC17">
        <v>1</v>
      </c>
      <c r="AD17" t="s">
        <v>81</v>
      </c>
      <c r="AE17" s="39">
        <v>45642</v>
      </c>
      <c r="AF17" s="35">
        <v>1201</v>
      </c>
      <c r="AH17" t="s">
        <v>130</v>
      </c>
      <c r="AI17" t="s">
        <v>83</v>
      </c>
      <c r="AJ17" t="s">
        <v>99</v>
      </c>
      <c r="AK17" s="35">
        <v>1387488535</v>
      </c>
      <c r="AL17" s="35">
        <v>273991</v>
      </c>
      <c r="AM17" s="35">
        <v>14817066</v>
      </c>
    </row>
    <row r="18" spans="1:39" x14ac:dyDescent="0.25">
      <c r="A18">
        <v>17</v>
      </c>
      <c r="B18" t="s">
        <v>133</v>
      </c>
      <c r="C18" s="35">
        <v>1</v>
      </c>
      <c r="D18" t="s">
        <v>134</v>
      </c>
      <c r="E18" s="35">
        <v>216309</v>
      </c>
      <c r="F18" s="39">
        <v>45635</v>
      </c>
      <c r="G18" t="s">
        <v>73</v>
      </c>
      <c r="H18" t="s">
        <v>119</v>
      </c>
      <c r="I18" t="s">
        <v>91</v>
      </c>
      <c r="J18" t="s">
        <v>135</v>
      </c>
      <c r="K18" t="s">
        <v>136</v>
      </c>
      <c r="L18" t="s">
        <v>137</v>
      </c>
      <c r="M18">
        <v>24</v>
      </c>
      <c r="N18" t="s">
        <v>78</v>
      </c>
      <c r="O18" s="35">
        <v>12</v>
      </c>
      <c r="P18" t="s">
        <v>123</v>
      </c>
      <c r="Q18" s="35">
        <v>12</v>
      </c>
      <c r="R18" t="s">
        <v>123</v>
      </c>
      <c r="S18" s="35">
        <v>183795</v>
      </c>
      <c r="T18" t="s">
        <v>138</v>
      </c>
      <c r="U18" s="35">
        <v>3</v>
      </c>
      <c r="V18" s="35">
        <v>24001276</v>
      </c>
      <c r="W18" s="35">
        <v>55391977</v>
      </c>
      <c r="X18" s="36">
        <v>6.8</v>
      </c>
      <c r="Y18" s="36">
        <v>8.5</v>
      </c>
      <c r="Z18" s="36">
        <v>0.95</v>
      </c>
      <c r="AA18">
        <v>11.4</v>
      </c>
      <c r="AB18" s="36">
        <v>33</v>
      </c>
      <c r="AC18">
        <v>1</v>
      </c>
      <c r="AD18" t="s">
        <v>97</v>
      </c>
      <c r="AE18" s="39">
        <v>45642</v>
      </c>
      <c r="AF18" s="35">
        <v>1201</v>
      </c>
      <c r="AH18" t="s">
        <v>130</v>
      </c>
      <c r="AI18" t="s">
        <v>124</v>
      </c>
      <c r="AJ18" t="s">
        <v>84</v>
      </c>
      <c r="AK18" s="35">
        <v>770588572570</v>
      </c>
      <c r="AL18" s="35">
        <v>274059</v>
      </c>
      <c r="AM18" s="35">
        <v>14823339</v>
      </c>
    </row>
    <row r="19" spans="1:39" x14ac:dyDescent="0.25">
      <c r="A19">
        <v>18</v>
      </c>
      <c r="B19" t="s">
        <v>133</v>
      </c>
      <c r="D19" t="s">
        <v>134</v>
      </c>
      <c r="E19" s="35">
        <v>216309</v>
      </c>
      <c r="F19" s="39">
        <v>45635</v>
      </c>
      <c r="G19" t="s">
        <v>73</v>
      </c>
      <c r="H19" t="s">
        <v>119</v>
      </c>
      <c r="I19" t="s">
        <v>91</v>
      </c>
      <c r="K19" t="s">
        <v>136</v>
      </c>
      <c r="L19" t="s">
        <v>137</v>
      </c>
      <c r="O19" s="35">
        <v>12</v>
      </c>
      <c r="P19" t="s">
        <v>123</v>
      </c>
      <c r="Q19" s="35">
        <v>12</v>
      </c>
      <c r="R19" t="s">
        <v>123</v>
      </c>
      <c r="S19" s="35">
        <v>183795</v>
      </c>
      <c r="T19" t="s">
        <v>138</v>
      </c>
      <c r="U19" s="35">
        <v>3</v>
      </c>
      <c r="V19" s="35">
        <v>24001276</v>
      </c>
      <c r="W19" s="35">
        <v>55391977</v>
      </c>
      <c r="X19" s="36">
        <v>6.8</v>
      </c>
      <c r="Y19" s="36">
        <v>8.5</v>
      </c>
      <c r="Z19" s="36">
        <v>0.95</v>
      </c>
      <c r="AA19">
        <v>11.4</v>
      </c>
      <c r="AB19" s="36">
        <v>33</v>
      </c>
      <c r="AC19">
        <v>1</v>
      </c>
      <c r="AD19" t="s">
        <v>97</v>
      </c>
      <c r="AE19" s="39">
        <v>45642</v>
      </c>
      <c r="AF19" s="35">
        <v>1201</v>
      </c>
      <c r="AI19" t="s">
        <v>124</v>
      </c>
      <c r="AJ19" t="s">
        <v>84</v>
      </c>
      <c r="AK19" s="35">
        <v>770588572570</v>
      </c>
      <c r="AL19" s="35">
        <v>274059</v>
      </c>
      <c r="AM19" s="35">
        <v>14823339</v>
      </c>
    </row>
    <row r="20" spans="1:39" x14ac:dyDescent="0.25">
      <c r="A20">
        <v>19</v>
      </c>
      <c r="B20" t="s">
        <v>133</v>
      </c>
      <c r="C20" s="35">
        <v>2</v>
      </c>
      <c r="D20" t="s">
        <v>134</v>
      </c>
      <c r="E20" s="35">
        <v>216309</v>
      </c>
      <c r="F20" s="39">
        <v>45635</v>
      </c>
      <c r="G20" t="s">
        <v>73</v>
      </c>
      <c r="H20" t="s">
        <v>119</v>
      </c>
      <c r="I20" t="s">
        <v>91</v>
      </c>
      <c r="J20" t="s">
        <v>135</v>
      </c>
      <c r="K20" t="s">
        <v>136</v>
      </c>
      <c r="L20" t="s">
        <v>139</v>
      </c>
      <c r="M20">
        <v>10</v>
      </c>
      <c r="N20" t="s">
        <v>78</v>
      </c>
      <c r="O20" s="35">
        <v>5</v>
      </c>
      <c r="P20" t="s">
        <v>123</v>
      </c>
      <c r="Q20" s="35">
        <v>5</v>
      </c>
      <c r="R20" t="s">
        <v>123</v>
      </c>
      <c r="S20" s="35">
        <v>183797</v>
      </c>
      <c r="T20" t="s">
        <v>138</v>
      </c>
      <c r="U20" s="35">
        <v>2</v>
      </c>
      <c r="V20" s="35">
        <v>24001279</v>
      </c>
      <c r="W20" s="35">
        <v>55391977</v>
      </c>
      <c r="X20" s="36">
        <v>6.8</v>
      </c>
      <c r="Y20" s="36">
        <v>8.5</v>
      </c>
      <c r="Z20" s="36">
        <v>1.02</v>
      </c>
      <c r="AA20">
        <v>5.0999999999999996</v>
      </c>
      <c r="AB20" s="36">
        <v>33</v>
      </c>
      <c r="AC20">
        <v>1</v>
      </c>
      <c r="AD20" t="s">
        <v>97</v>
      </c>
      <c r="AE20" s="39">
        <v>45642</v>
      </c>
      <c r="AF20" s="35">
        <v>1201</v>
      </c>
      <c r="AH20" t="s">
        <v>130</v>
      </c>
      <c r="AI20" t="s">
        <v>124</v>
      </c>
      <c r="AJ20" t="s">
        <v>84</v>
      </c>
      <c r="AK20" s="35">
        <v>770588572570</v>
      </c>
      <c r="AL20" s="35">
        <v>274060</v>
      </c>
      <c r="AM20" s="35">
        <v>14823340</v>
      </c>
    </row>
    <row r="21" spans="1:39" x14ac:dyDescent="0.25">
      <c r="A21">
        <v>20</v>
      </c>
      <c r="B21" t="s">
        <v>133</v>
      </c>
      <c r="D21" t="s">
        <v>134</v>
      </c>
      <c r="E21" s="35">
        <v>216309</v>
      </c>
      <c r="F21" s="39">
        <v>45635</v>
      </c>
      <c r="G21" t="s">
        <v>73</v>
      </c>
      <c r="H21" t="s">
        <v>119</v>
      </c>
      <c r="I21" t="s">
        <v>91</v>
      </c>
      <c r="K21" t="s">
        <v>136</v>
      </c>
      <c r="L21" t="s">
        <v>139</v>
      </c>
      <c r="O21" s="35">
        <v>5</v>
      </c>
      <c r="P21" t="s">
        <v>123</v>
      </c>
      <c r="Q21" s="35">
        <v>5</v>
      </c>
      <c r="R21" t="s">
        <v>123</v>
      </c>
      <c r="S21" s="35">
        <v>183797</v>
      </c>
      <c r="T21" t="s">
        <v>138</v>
      </c>
      <c r="U21" s="35">
        <v>2</v>
      </c>
      <c r="V21" s="35">
        <v>24001279</v>
      </c>
      <c r="W21" s="35">
        <v>55391977</v>
      </c>
      <c r="X21" s="36">
        <v>6.8</v>
      </c>
      <c r="Y21" s="36">
        <v>8.5</v>
      </c>
      <c r="Z21" s="36">
        <v>1.02</v>
      </c>
      <c r="AA21">
        <v>5.0999999999999996</v>
      </c>
      <c r="AB21" s="36">
        <v>33</v>
      </c>
      <c r="AC21">
        <v>1</v>
      </c>
      <c r="AD21" t="s">
        <v>97</v>
      </c>
      <c r="AE21" s="39">
        <v>45642</v>
      </c>
      <c r="AF21" s="35">
        <v>1201</v>
      </c>
      <c r="AI21" t="s">
        <v>124</v>
      </c>
      <c r="AJ21" t="s">
        <v>84</v>
      </c>
      <c r="AK21" s="35">
        <v>770588572570</v>
      </c>
      <c r="AL21" s="35">
        <v>274060</v>
      </c>
      <c r="AM21" s="35">
        <v>14823340</v>
      </c>
    </row>
    <row r="22" spans="1:39" x14ac:dyDescent="0.25">
      <c r="A22">
        <v>21</v>
      </c>
      <c r="B22" t="s">
        <v>140</v>
      </c>
      <c r="C22" s="35">
        <v>1</v>
      </c>
      <c r="D22" t="s">
        <v>141</v>
      </c>
      <c r="E22" s="35">
        <v>217929</v>
      </c>
      <c r="F22" s="39">
        <v>45636</v>
      </c>
      <c r="G22" t="s">
        <v>73</v>
      </c>
      <c r="H22" t="s">
        <v>74</v>
      </c>
      <c r="I22" t="s">
        <v>75</v>
      </c>
      <c r="J22" t="s">
        <v>114</v>
      </c>
      <c r="K22" t="s">
        <v>115</v>
      </c>
      <c r="L22" s="35">
        <v>5058304</v>
      </c>
      <c r="M22">
        <v>2</v>
      </c>
      <c r="N22" t="s">
        <v>78</v>
      </c>
      <c r="O22" s="35">
        <v>2</v>
      </c>
      <c r="P22" t="s">
        <v>79</v>
      </c>
      <c r="Q22" s="35">
        <v>2</v>
      </c>
      <c r="R22" t="s">
        <v>79</v>
      </c>
      <c r="S22" s="35">
        <v>184328</v>
      </c>
      <c r="T22" t="s">
        <v>96</v>
      </c>
      <c r="U22" s="35">
        <v>36</v>
      </c>
      <c r="V22" s="35">
        <v>24001044</v>
      </c>
      <c r="W22" s="35">
        <v>57328621</v>
      </c>
      <c r="X22" s="36">
        <v>3.6</v>
      </c>
      <c r="Y22" s="36">
        <v>4</v>
      </c>
      <c r="Z22" s="35">
        <v>1</v>
      </c>
      <c r="AA22" s="35">
        <v>2</v>
      </c>
      <c r="AB22" s="36">
        <v>8</v>
      </c>
      <c r="AC22">
        <v>1</v>
      </c>
      <c r="AD22" t="s">
        <v>81</v>
      </c>
      <c r="AE22" s="39">
        <v>45643</v>
      </c>
      <c r="AF22" s="35">
        <v>1201</v>
      </c>
      <c r="AH22" t="s">
        <v>130</v>
      </c>
      <c r="AI22" t="s">
        <v>83</v>
      </c>
      <c r="AJ22" t="s">
        <v>84</v>
      </c>
      <c r="AK22" s="35">
        <v>770626109080</v>
      </c>
      <c r="AL22" s="35">
        <v>274042</v>
      </c>
      <c r="AM22" s="35">
        <v>14847443</v>
      </c>
    </row>
    <row r="23" spans="1:39" x14ac:dyDescent="0.25">
      <c r="A23">
        <v>22</v>
      </c>
      <c r="B23" t="s">
        <v>140</v>
      </c>
      <c r="C23" s="35">
        <v>2</v>
      </c>
      <c r="D23" t="s">
        <v>141</v>
      </c>
      <c r="E23" s="35">
        <v>217929</v>
      </c>
      <c r="F23" s="39">
        <v>45636</v>
      </c>
      <c r="G23" t="s">
        <v>73</v>
      </c>
      <c r="H23" t="s">
        <v>74</v>
      </c>
      <c r="I23" t="s">
        <v>75</v>
      </c>
      <c r="J23" t="s">
        <v>142</v>
      </c>
      <c r="K23" t="s">
        <v>77</v>
      </c>
      <c r="L23" s="35">
        <v>3066</v>
      </c>
      <c r="M23">
        <v>2</v>
      </c>
      <c r="N23" t="s">
        <v>78</v>
      </c>
      <c r="O23" s="35">
        <v>1</v>
      </c>
      <c r="P23" t="s">
        <v>79</v>
      </c>
      <c r="Q23" s="35">
        <v>1</v>
      </c>
      <c r="R23" t="s">
        <v>79</v>
      </c>
      <c r="S23" s="35">
        <v>183875</v>
      </c>
      <c r="T23" t="s">
        <v>80</v>
      </c>
      <c r="U23" s="35">
        <v>3</v>
      </c>
      <c r="V23" s="35">
        <v>24001376</v>
      </c>
      <c r="W23" s="35">
        <v>57328621</v>
      </c>
      <c r="X23" s="36">
        <v>3.6</v>
      </c>
      <c r="Y23" s="36">
        <v>4</v>
      </c>
      <c r="Z23" s="35">
        <v>1</v>
      </c>
      <c r="AA23" s="35">
        <v>1</v>
      </c>
      <c r="AB23" s="36">
        <v>8</v>
      </c>
      <c r="AC23">
        <v>1</v>
      </c>
      <c r="AD23" t="s">
        <v>81</v>
      </c>
      <c r="AE23" s="39">
        <v>45643</v>
      </c>
      <c r="AF23" s="35">
        <v>1201</v>
      </c>
      <c r="AH23" t="s">
        <v>130</v>
      </c>
      <c r="AI23" t="s">
        <v>83</v>
      </c>
      <c r="AJ23" t="s">
        <v>84</v>
      </c>
      <c r="AK23" s="35">
        <v>770626109080</v>
      </c>
      <c r="AL23" s="35">
        <v>274036</v>
      </c>
      <c r="AM23" s="35">
        <v>14824221</v>
      </c>
    </row>
    <row r="24" spans="1:39" x14ac:dyDescent="0.25">
      <c r="A24">
        <v>23</v>
      </c>
      <c r="B24" t="s">
        <v>140</v>
      </c>
      <c r="D24" t="s">
        <v>141</v>
      </c>
      <c r="E24" s="35">
        <v>217929</v>
      </c>
      <c r="F24" s="39">
        <v>45636</v>
      </c>
      <c r="G24" t="s">
        <v>73</v>
      </c>
      <c r="H24" t="s">
        <v>74</v>
      </c>
      <c r="I24" t="s">
        <v>75</v>
      </c>
      <c r="K24" t="s">
        <v>77</v>
      </c>
      <c r="L24" s="35">
        <v>3066</v>
      </c>
      <c r="O24" s="35">
        <v>1</v>
      </c>
      <c r="P24" t="s">
        <v>79</v>
      </c>
      <c r="Q24" s="35">
        <v>1</v>
      </c>
      <c r="R24" t="s">
        <v>79</v>
      </c>
      <c r="S24" s="35">
        <v>183875</v>
      </c>
      <c r="T24" t="s">
        <v>80</v>
      </c>
      <c r="U24" s="35">
        <v>3</v>
      </c>
      <c r="V24" s="35">
        <v>24001376</v>
      </c>
      <c r="W24" s="35">
        <v>57328621</v>
      </c>
      <c r="X24" s="36">
        <v>3.6</v>
      </c>
      <c r="Y24" s="36">
        <v>4</v>
      </c>
      <c r="Z24" s="35">
        <v>1</v>
      </c>
      <c r="AA24" s="35">
        <v>1</v>
      </c>
      <c r="AB24" s="36">
        <v>8</v>
      </c>
      <c r="AC24">
        <v>1</v>
      </c>
      <c r="AD24" t="s">
        <v>81</v>
      </c>
      <c r="AE24" s="39">
        <v>45643</v>
      </c>
      <c r="AF24" s="35">
        <v>1201</v>
      </c>
      <c r="AI24" t="s">
        <v>83</v>
      </c>
      <c r="AJ24" t="s">
        <v>84</v>
      </c>
      <c r="AK24" s="35">
        <v>770626109080</v>
      </c>
      <c r="AL24" s="35">
        <v>274036</v>
      </c>
      <c r="AM24" s="35">
        <v>14824221</v>
      </c>
    </row>
    <row r="25" spans="1:39" x14ac:dyDescent="0.25">
      <c r="A25">
        <v>24</v>
      </c>
      <c r="B25" t="s">
        <v>140</v>
      </c>
      <c r="C25" s="35">
        <v>3</v>
      </c>
      <c r="D25" t="s">
        <v>141</v>
      </c>
      <c r="E25" s="35">
        <v>217929</v>
      </c>
      <c r="F25" s="39">
        <v>45636</v>
      </c>
      <c r="G25" t="s">
        <v>73</v>
      </c>
      <c r="H25" t="s">
        <v>74</v>
      </c>
      <c r="I25" t="s">
        <v>75</v>
      </c>
      <c r="J25" t="s">
        <v>143</v>
      </c>
      <c r="K25" t="s">
        <v>77</v>
      </c>
      <c r="L25" s="35">
        <v>3067</v>
      </c>
      <c r="M25">
        <v>2</v>
      </c>
      <c r="N25" t="s">
        <v>78</v>
      </c>
      <c r="O25" s="35">
        <v>1</v>
      </c>
      <c r="P25" t="s">
        <v>79</v>
      </c>
      <c r="Q25" s="35">
        <v>1</v>
      </c>
      <c r="R25" t="s">
        <v>79</v>
      </c>
      <c r="S25" s="35">
        <v>183876</v>
      </c>
      <c r="T25" t="s">
        <v>80</v>
      </c>
      <c r="U25" s="35">
        <v>3</v>
      </c>
      <c r="V25" s="35">
        <v>24001380</v>
      </c>
      <c r="W25" s="35">
        <v>57328621</v>
      </c>
      <c r="X25" s="36">
        <v>3.6</v>
      </c>
      <c r="Y25" s="36">
        <v>4</v>
      </c>
      <c r="Z25" s="35">
        <v>1</v>
      </c>
      <c r="AA25" s="35">
        <v>1</v>
      </c>
      <c r="AB25" s="36">
        <v>8</v>
      </c>
      <c r="AC25">
        <v>1</v>
      </c>
      <c r="AD25" t="s">
        <v>81</v>
      </c>
      <c r="AE25" s="39">
        <v>45643</v>
      </c>
      <c r="AF25" s="35">
        <v>1201</v>
      </c>
      <c r="AH25" t="s">
        <v>130</v>
      </c>
      <c r="AI25" t="s">
        <v>83</v>
      </c>
      <c r="AJ25" t="s">
        <v>84</v>
      </c>
      <c r="AK25" s="35">
        <v>770626109080</v>
      </c>
      <c r="AL25" s="35">
        <v>274037</v>
      </c>
      <c r="AM25" s="35">
        <v>14824222</v>
      </c>
    </row>
    <row r="26" spans="1:39" x14ac:dyDescent="0.25">
      <c r="A26">
        <v>25</v>
      </c>
      <c r="B26" t="s">
        <v>140</v>
      </c>
      <c r="D26" t="s">
        <v>141</v>
      </c>
      <c r="E26" s="35">
        <v>217929</v>
      </c>
      <c r="F26" s="39">
        <v>45636</v>
      </c>
      <c r="G26" t="s">
        <v>73</v>
      </c>
      <c r="H26" t="s">
        <v>74</v>
      </c>
      <c r="I26" t="s">
        <v>75</v>
      </c>
      <c r="K26" t="s">
        <v>77</v>
      </c>
      <c r="L26" s="35">
        <v>3067</v>
      </c>
      <c r="O26" s="35">
        <v>1</v>
      </c>
      <c r="P26" t="s">
        <v>79</v>
      </c>
      <c r="Q26" s="35">
        <v>1</v>
      </c>
      <c r="R26" t="s">
        <v>79</v>
      </c>
      <c r="S26" s="35">
        <v>183876</v>
      </c>
      <c r="T26" t="s">
        <v>80</v>
      </c>
      <c r="U26" s="35">
        <v>3</v>
      </c>
      <c r="V26" s="35">
        <v>24001380</v>
      </c>
      <c r="W26" s="35">
        <v>57328621</v>
      </c>
      <c r="X26" s="36">
        <v>3.6</v>
      </c>
      <c r="Y26" s="36">
        <v>4</v>
      </c>
      <c r="Z26" s="35">
        <v>1</v>
      </c>
      <c r="AA26" s="35">
        <v>1</v>
      </c>
      <c r="AB26" s="36">
        <v>8</v>
      </c>
      <c r="AC26">
        <v>1</v>
      </c>
      <c r="AD26" t="s">
        <v>81</v>
      </c>
      <c r="AE26" s="39">
        <v>45643</v>
      </c>
      <c r="AF26" s="35">
        <v>1201</v>
      </c>
      <c r="AI26" t="s">
        <v>83</v>
      </c>
      <c r="AJ26" t="s">
        <v>84</v>
      </c>
      <c r="AK26" s="35">
        <v>770626109080</v>
      </c>
      <c r="AL26" s="35">
        <v>274037</v>
      </c>
      <c r="AM26" s="35">
        <v>14824222</v>
      </c>
    </row>
    <row r="27" spans="1:39" x14ac:dyDescent="0.25">
      <c r="A27">
        <v>26</v>
      </c>
      <c r="B27" t="s">
        <v>140</v>
      </c>
      <c r="C27" s="35">
        <v>4</v>
      </c>
      <c r="D27" t="s">
        <v>141</v>
      </c>
      <c r="E27" s="35">
        <v>217929</v>
      </c>
      <c r="F27" s="39">
        <v>45636</v>
      </c>
      <c r="G27" t="s">
        <v>73</v>
      </c>
      <c r="H27" t="s">
        <v>74</v>
      </c>
      <c r="I27" t="s">
        <v>75</v>
      </c>
      <c r="J27" t="s">
        <v>144</v>
      </c>
      <c r="K27" t="s">
        <v>77</v>
      </c>
      <c r="L27" s="35">
        <v>3210</v>
      </c>
      <c r="M27">
        <v>1</v>
      </c>
      <c r="N27" t="s">
        <v>78</v>
      </c>
      <c r="O27" s="35">
        <v>1</v>
      </c>
      <c r="P27" t="s">
        <v>79</v>
      </c>
      <c r="Q27" s="35">
        <v>1</v>
      </c>
      <c r="R27" t="s">
        <v>79</v>
      </c>
      <c r="S27" s="35">
        <v>183880</v>
      </c>
      <c r="T27" t="s">
        <v>80</v>
      </c>
      <c r="U27" s="35">
        <v>2</v>
      </c>
      <c r="V27" s="35">
        <v>24001382</v>
      </c>
      <c r="W27" s="35">
        <v>57328621</v>
      </c>
      <c r="X27" s="36">
        <v>3.6</v>
      </c>
      <c r="Y27" s="36">
        <v>4</v>
      </c>
      <c r="Z27" s="35">
        <v>1</v>
      </c>
      <c r="AA27" s="35">
        <v>1</v>
      </c>
      <c r="AB27" s="36">
        <v>8</v>
      </c>
      <c r="AC27">
        <v>1</v>
      </c>
      <c r="AD27" t="s">
        <v>81</v>
      </c>
      <c r="AE27" s="39">
        <v>45643</v>
      </c>
      <c r="AF27" s="35">
        <v>1201</v>
      </c>
      <c r="AH27" t="s">
        <v>130</v>
      </c>
      <c r="AI27" t="s">
        <v>83</v>
      </c>
      <c r="AJ27" t="s">
        <v>84</v>
      </c>
      <c r="AK27" s="35">
        <v>770626109080</v>
      </c>
      <c r="AL27" s="35">
        <v>274038</v>
      </c>
      <c r="AM27" s="35">
        <v>14824223</v>
      </c>
    </row>
    <row r="28" spans="1:39" x14ac:dyDescent="0.25">
      <c r="A28">
        <v>27</v>
      </c>
      <c r="B28" t="s">
        <v>140</v>
      </c>
      <c r="C28" s="35">
        <v>5</v>
      </c>
      <c r="D28" t="s">
        <v>141</v>
      </c>
      <c r="E28" s="35">
        <v>217929</v>
      </c>
      <c r="F28" s="39">
        <v>45636</v>
      </c>
      <c r="G28" t="s">
        <v>73</v>
      </c>
      <c r="H28" t="s">
        <v>74</v>
      </c>
      <c r="I28" t="s">
        <v>75</v>
      </c>
      <c r="J28" t="s">
        <v>145</v>
      </c>
      <c r="K28" t="s">
        <v>77</v>
      </c>
      <c r="L28" s="35">
        <v>3212</v>
      </c>
      <c r="M28">
        <v>1</v>
      </c>
      <c r="N28" t="s">
        <v>78</v>
      </c>
      <c r="O28" s="35">
        <v>1</v>
      </c>
      <c r="P28" t="s">
        <v>79</v>
      </c>
      <c r="Q28" s="35">
        <v>1</v>
      </c>
      <c r="R28" t="s">
        <v>79</v>
      </c>
      <c r="S28" s="35">
        <v>183882</v>
      </c>
      <c r="T28" t="s">
        <v>80</v>
      </c>
      <c r="U28" s="35">
        <v>2</v>
      </c>
      <c r="V28" s="35">
        <v>24001383</v>
      </c>
      <c r="W28" s="35">
        <v>57328621</v>
      </c>
      <c r="X28" s="36">
        <v>3.6</v>
      </c>
      <c r="Y28" s="36">
        <v>4</v>
      </c>
      <c r="Z28" s="35">
        <v>1</v>
      </c>
      <c r="AA28" s="35">
        <v>1</v>
      </c>
      <c r="AB28" s="36">
        <v>8</v>
      </c>
      <c r="AC28">
        <v>1</v>
      </c>
      <c r="AD28" t="s">
        <v>81</v>
      </c>
      <c r="AE28" s="39">
        <v>45643</v>
      </c>
      <c r="AF28" s="35">
        <v>1201</v>
      </c>
      <c r="AH28" t="s">
        <v>130</v>
      </c>
      <c r="AI28" t="s">
        <v>83</v>
      </c>
      <c r="AJ28" t="s">
        <v>84</v>
      </c>
      <c r="AK28" s="35">
        <v>770626109080</v>
      </c>
      <c r="AL28" s="35">
        <v>274039</v>
      </c>
      <c r="AM28" s="35">
        <v>14824224</v>
      </c>
    </row>
    <row r="29" spans="1:39" x14ac:dyDescent="0.25">
      <c r="A29">
        <v>28</v>
      </c>
      <c r="B29" t="s">
        <v>146</v>
      </c>
      <c r="C29" s="35">
        <v>1</v>
      </c>
      <c r="D29" t="s">
        <v>147</v>
      </c>
      <c r="E29" s="35">
        <v>217958</v>
      </c>
      <c r="F29" s="39">
        <v>45636</v>
      </c>
      <c r="G29" t="s">
        <v>73</v>
      </c>
      <c r="H29" t="s">
        <v>119</v>
      </c>
      <c r="I29" t="s">
        <v>91</v>
      </c>
      <c r="J29" t="s">
        <v>148</v>
      </c>
      <c r="K29" t="s">
        <v>121</v>
      </c>
      <c r="L29" t="s">
        <v>149</v>
      </c>
      <c r="M29">
        <v>7</v>
      </c>
      <c r="N29" t="s">
        <v>78</v>
      </c>
      <c r="O29" s="35">
        <v>3</v>
      </c>
      <c r="P29" t="s">
        <v>123</v>
      </c>
      <c r="Q29" s="35">
        <v>3</v>
      </c>
      <c r="R29" t="s">
        <v>123</v>
      </c>
      <c r="S29" s="35">
        <v>184369</v>
      </c>
      <c r="T29" t="s">
        <v>96</v>
      </c>
      <c r="U29" s="35">
        <v>134</v>
      </c>
      <c r="V29" s="35">
        <v>24001001</v>
      </c>
      <c r="W29" s="35">
        <v>55391977</v>
      </c>
      <c r="X29" s="36">
        <v>1.05</v>
      </c>
      <c r="Y29" s="36">
        <v>1.4</v>
      </c>
      <c r="Z29" s="35">
        <v>1</v>
      </c>
      <c r="AA29" s="35">
        <v>3</v>
      </c>
      <c r="AB29" s="36">
        <v>7</v>
      </c>
      <c r="AC29">
        <v>1</v>
      </c>
      <c r="AD29" t="s">
        <v>81</v>
      </c>
      <c r="AE29" s="39">
        <v>45643</v>
      </c>
      <c r="AF29" s="35">
        <v>1201</v>
      </c>
      <c r="AH29" t="s">
        <v>130</v>
      </c>
      <c r="AI29" t="s">
        <v>124</v>
      </c>
      <c r="AJ29" t="s">
        <v>84</v>
      </c>
      <c r="AK29" s="35">
        <v>770627049503</v>
      </c>
      <c r="AL29" s="35">
        <v>274028</v>
      </c>
      <c r="AM29" s="35">
        <v>14821376</v>
      </c>
    </row>
    <row r="30" spans="1:39" x14ac:dyDescent="0.25">
      <c r="A30">
        <v>29</v>
      </c>
      <c r="B30" t="s">
        <v>146</v>
      </c>
      <c r="D30" t="s">
        <v>147</v>
      </c>
      <c r="E30" s="35">
        <v>217958</v>
      </c>
      <c r="F30" s="39">
        <v>45636</v>
      </c>
      <c r="G30" t="s">
        <v>73</v>
      </c>
      <c r="H30" t="s">
        <v>119</v>
      </c>
      <c r="I30" t="s">
        <v>91</v>
      </c>
      <c r="K30" t="s">
        <v>121</v>
      </c>
      <c r="L30" t="s">
        <v>150</v>
      </c>
      <c r="O30" s="35">
        <v>4</v>
      </c>
      <c r="P30" t="s">
        <v>123</v>
      </c>
      <c r="Q30" s="35">
        <v>4</v>
      </c>
      <c r="R30" t="s">
        <v>123</v>
      </c>
      <c r="S30" s="35">
        <v>184372</v>
      </c>
      <c r="T30" t="s">
        <v>96</v>
      </c>
      <c r="U30" s="35">
        <v>137</v>
      </c>
      <c r="V30" s="35">
        <v>24001001</v>
      </c>
      <c r="W30" s="35">
        <v>55391977</v>
      </c>
      <c r="X30" s="36">
        <v>1.05</v>
      </c>
      <c r="Y30" s="36">
        <v>1.4</v>
      </c>
      <c r="Z30" s="35">
        <v>1</v>
      </c>
      <c r="AA30" s="35">
        <v>4</v>
      </c>
      <c r="AB30" s="36">
        <v>7</v>
      </c>
      <c r="AC30">
        <v>1</v>
      </c>
      <c r="AD30" t="s">
        <v>81</v>
      </c>
      <c r="AE30" s="39">
        <v>45643</v>
      </c>
      <c r="AF30" s="35">
        <v>1201</v>
      </c>
      <c r="AI30" t="s">
        <v>124</v>
      </c>
      <c r="AJ30" t="s">
        <v>84</v>
      </c>
      <c r="AK30" s="35">
        <v>770627049503</v>
      </c>
      <c r="AL30" s="35">
        <v>274031</v>
      </c>
      <c r="AM30" s="35">
        <v>14821420</v>
      </c>
    </row>
    <row r="31" spans="1:39" x14ac:dyDescent="0.25">
      <c r="A31">
        <v>30</v>
      </c>
      <c r="B31" t="s">
        <v>151</v>
      </c>
      <c r="C31" s="35">
        <v>1</v>
      </c>
      <c r="D31" t="s">
        <v>152</v>
      </c>
      <c r="E31" s="35">
        <v>221073</v>
      </c>
      <c r="F31" s="39">
        <v>45637</v>
      </c>
      <c r="G31" t="s">
        <v>73</v>
      </c>
      <c r="H31" t="s">
        <v>153</v>
      </c>
      <c r="I31" t="s">
        <v>91</v>
      </c>
      <c r="J31" t="s">
        <v>154</v>
      </c>
      <c r="K31" t="s">
        <v>155</v>
      </c>
      <c r="L31" t="s">
        <v>156</v>
      </c>
      <c r="M31">
        <v>1</v>
      </c>
      <c r="N31" t="s">
        <v>78</v>
      </c>
      <c r="O31" s="35">
        <v>1</v>
      </c>
      <c r="P31" t="s">
        <v>95</v>
      </c>
      <c r="Q31" s="35">
        <v>1</v>
      </c>
      <c r="R31" t="s">
        <v>95</v>
      </c>
      <c r="S31" s="35">
        <v>184412</v>
      </c>
      <c r="T31" t="s">
        <v>96</v>
      </c>
      <c r="U31" s="35">
        <v>8</v>
      </c>
      <c r="V31" s="35">
        <v>24001208</v>
      </c>
      <c r="W31" s="35">
        <v>57319629</v>
      </c>
      <c r="X31" s="36">
        <v>1.35</v>
      </c>
      <c r="Y31" s="36">
        <v>1.5</v>
      </c>
      <c r="Z31" s="35">
        <v>14</v>
      </c>
      <c r="AA31" s="35">
        <v>14</v>
      </c>
      <c r="AB31" s="36">
        <v>94</v>
      </c>
      <c r="AC31">
        <v>1</v>
      </c>
      <c r="AD31" t="s">
        <v>81</v>
      </c>
      <c r="AE31" s="39">
        <v>45644</v>
      </c>
      <c r="AF31" s="35">
        <v>1201</v>
      </c>
      <c r="AH31" t="s">
        <v>130</v>
      </c>
      <c r="AI31" t="s">
        <v>83</v>
      </c>
      <c r="AJ31" t="s">
        <v>84</v>
      </c>
      <c r="AK31" s="35">
        <v>770630769783</v>
      </c>
      <c r="AL31" s="35">
        <v>274071</v>
      </c>
      <c r="AM31" s="35">
        <v>14824235</v>
      </c>
    </row>
    <row r="32" spans="1:39" x14ac:dyDescent="0.25">
      <c r="A32">
        <v>31</v>
      </c>
      <c r="B32" t="s">
        <v>151</v>
      </c>
      <c r="C32" s="35">
        <v>2</v>
      </c>
      <c r="D32" t="s">
        <v>152</v>
      </c>
      <c r="E32" s="35">
        <v>221073</v>
      </c>
      <c r="F32" s="39">
        <v>45637</v>
      </c>
      <c r="G32" t="s">
        <v>73</v>
      </c>
      <c r="H32" t="s">
        <v>153</v>
      </c>
      <c r="I32" t="s">
        <v>91</v>
      </c>
      <c r="J32" t="s">
        <v>157</v>
      </c>
      <c r="K32" t="s">
        <v>158</v>
      </c>
      <c r="L32" t="s">
        <v>159</v>
      </c>
      <c r="M32">
        <v>20</v>
      </c>
      <c r="N32" t="s">
        <v>78</v>
      </c>
      <c r="O32" s="35">
        <v>20</v>
      </c>
      <c r="P32" t="s">
        <v>95</v>
      </c>
      <c r="Q32" s="35">
        <v>20</v>
      </c>
      <c r="R32" t="s">
        <v>95</v>
      </c>
      <c r="S32" s="35">
        <v>184148</v>
      </c>
      <c r="T32" t="s">
        <v>138</v>
      </c>
      <c r="U32" s="35">
        <v>2</v>
      </c>
      <c r="V32" s="35">
        <v>24001489</v>
      </c>
      <c r="W32" s="35">
        <v>57319629</v>
      </c>
      <c r="X32" s="36">
        <v>1.35</v>
      </c>
      <c r="Y32" s="36">
        <v>1.5</v>
      </c>
      <c r="Z32" s="35">
        <v>4</v>
      </c>
      <c r="AA32" s="35">
        <v>80</v>
      </c>
      <c r="AB32" s="36">
        <v>94</v>
      </c>
      <c r="AC32">
        <v>1</v>
      </c>
      <c r="AD32" t="s">
        <v>81</v>
      </c>
      <c r="AE32" s="39">
        <v>45644</v>
      </c>
      <c r="AF32" s="35">
        <v>1201</v>
      </c>
      <c r="AH32" t="s">
        <v>130</v>
      </c>
      <c r="AI32" t="s">
        <v>83</v>
      </c>
      <c r="AJ32" t="s">
        <v>84</v>
      </c>
      <c r="AK32" s="35">
        <v>770630769783</v>
      </c>
      <c r="AL32" s="35">
        <v>274072</v>
      </c>
      <c r="AM32" s="35">
        <v>14824236</v>
      </c>
    </row>
    <row r="33" spans="1:39" x14ac:dyDescent="0.25">
      <c r="A33">
        <v>32</v>
      </c>
      <c r="B33" t="s">
        <v>160</v>
      </c>
      <c r="C33" s="35">
        <v>1</v>
      </c>
      <c r="D33" t="s">
        <v>161</v>
      </c>
      <c r="E33" s="35">
        <v>222550</v>
      </c>
      <c r="F33" s="39">
        <v>45638</v>
      </c>
      <c r="G33" t="s">
        <v>73</v>
      </c>
      <c r="H33" t="s">
        <v>119</v>
      </c>
      <c r="I33" t="s">
        <v>91</v>
      </c>
      <c r="J33" t="s">
        <v>162</v>
      </c>
      <c r="K33" t="s">
        <v>121</v>
      </c>
      <c r="L33" t="s">
        <v>163</v>
      </c>
      <c r="M33">
        <v>3</v>
      </c>
      <c r="N33" t="s">
        <v>78</v>
      </c>
      <c r="O33" s="35">
        <v>3</v>
      </c>
      <c r="P33" t="s">
        <v>123</v>
      </c>
      <c r="Q33" s="35">
        <v>3</v>
      </c>
      <c r="R33" t="s">
        <v>123</v>
      </c>
      <c r="S33" s="35">
        <v>184370</v>
      </c>
      <c r="T33" t="s">
        <v>96</v>
      </c>
      <c r="U33" s="35">
        <v>135</v>
      </c>
      <c r="V33" s="35">
        <v>24001001</v>
      </c>
      <c r="W33" s="35">
        <v>55391977</v>
      </c>
      <c r="X33" s="36">
        <v>0.9</v>
      </c>
      <c r="Y33" s="36">
        <v>1.2</v>
      </c>
      <c r="Z33" s="35">
        <v>1</v>
      </c>
      <c r="AA33" s="35">
        <v>3</v>
      </c>
      <c r="AB33" s="36">
        <v>6</v>
      </c>
      <c r="AC33">
        <v>1</v>
      </c>
      <c r="AD33" t="s">
        <v>81</v>
      </c>
      <c r="AE33" s="39">
        <v>45645</v>
      </c>
      <c r="AF33" s="35">
        <v>1201</v>
      </c>
      <c r="AH33" t="s">
        <v>130</v>
      </c>
      <c r="AI33" t="s">
        <v>124</v>
      </c>
      <c r="AJ33" t="s">
        <v>84</v>
      </c>
      <c r="AK33" s="35">
        <v>770694307925</v>
      </c>
      <c r="AL33" s="35">
        <v>274029</v>
      </c>
      <c r="AM33" s="35">
        <v>14824238</v>
      </c>
    </row>
    <row r="34" spans="1:39" x14ac:dyDescent="0.25">
      <c r="A34">
        <v>33</v>
      </c>
      <c r="B34" t="s">
        <v>160</v>
      </c>
      <c r="C34" s="35">
        <v>2</v>
      </c>
      <c r="D34" t="s">
        <v>161</v>
      </c>
      <c r="E34" s="35">
        <v>222550</v>
      </c>
      <c r="F34" s="39">
        <v>45638</v>
      </c>
      <c r="G34" t="s">
        <v>73</v>
      </c>
      <c r="H34" t="s">
        <v>119</v>
      </c>
      <c r="I34" t="s">
        <v>91</v>
      </c>
      <c r="J34" t="s">
        <v>162</v>
      </c>
      <c r="K34" t="s">
        <v>121</v>
      </c>
      <c r="L34" t="s">
        <v>164</v>
      </c>
      <c r="M34">
        <v>3</v>
      </c>
      <c r="N34" t="s">
        <v>78</v>
      </c>
      <c r="O34" s="35">
        <v>3</v>
      </c>
      <c r="P34" t="s">
        <v>123</v>
      </c>
      <c r="Q34" s="35">
        <v>3</v>
      </c>
      <c r="R34" t="s">
        <v>123</v>
      </c>
      <c r="S34" s="35">
        <v>184371</v>
      </c>
      <c r="T34" t="s">
        <v>96</v>
      </c>
      <c r="U34" s="35">
        <v>136</v>
      </c>
      <c r="V34" s="35">
        <v>24001001</v>
      </c>
      <c r="W34" s="35">
        <v>55391977</v>
      </c>
      <c r="X34" s="36">
        <v>0.9</v>
      </c>
      <c r="Y34" s="36">
        <v>1.2</v>
      </c>
      <c r="Z34" s="35">
        <v>1</v>
      </c>
      <c r="AA34" s="35">
        <v>3</v>
      </c>
      <c r="AB34" s="36">
        <v>6</v>
      </c>
      <c r="AC34">
        <v>1</v>
      </c>
      <c r="AD34" t="s">
        <v>81</v>
      </c>
      <c r="AE34" s="39">
        <v>45645</v>
      </c>
      <c r="AF34" s="35">
        <v>1201</v>
      </c>
      <c r="AH34" t="s">
        <v>130</v>
      </c>
      <c r="AI34" t="s">
        <v>124</v>
      </c>
      <c r="AJ34" t="s">
        <v>84</v>
      </c>
      <c r="AK34" s="35">
        <v>770694307925</v>
      </c>
      <c r="AL34" s="35">
        <v>274030</v>
      </c>
      <c r="AM34" s="35">
        <v>14824240</v>
      </c>
    </row>
    <row r="35" spans="1:39" x14ac:dyDescent="0.25">
      <c r="A35">
        <v>34</v>
      </c>
      <c r="B35" t="s">
        <v>165</v>
      </c>
      <c r="C35" s="35">
        <v>1</v>
      </c>
      <c r="D35" t="s">
        <v>166</v>
      </c>
      <c r="E35" s="35">
        <v>225089</v>
      </c>
      <c r="F35" s="39">
        <v>45639</v>
      </c>
      <c r="G35" t="s">
        <v>73</v>
      </c>
      <c r="H35" t="s">
        <v>119</v>
      </c>
      <c r="I35" t="s">
        <v>91</v>
      </c>
      <c r="J35" t="s">
        <v>162</v>
      </c>
      <c r="K35" t="s">
        <v>121</v>
      </c>
      <c r="L35" t="s">
        <v>167</v>
      </c>
      <c r="M35">
        <v>3</v>
      </c>
      <c r="N35" t="s">
        <v>78</v>
      </c>
      <c r="O35" s="35">
        <v>3</v>
      </c>
      <c r="P35" t="s">
        <v>123</v>
      </c>
      <c r="Q35" s="35">
        <v>3</v>
      </c>
      <c r="R35" t="s">
        <v>123</v>
      </c>
      <c r="S35" s="35">
        <v>184368</v>
      </c>
      <c r="T35" t="s">
        <v>96</v>
      </c>
      <c r="U35" s="35">
        <v>133</v>
      </c>
      <c r="V35" s="35">
        <v>24001001</v>
      </c>
      <c r="W35" s="35">
        <v>55391977</v>
      </c>
      <c r="X35" s="36">
        <v>1.35</v>
      </c>
      <c r="Y35" s="36">
        <v>1.8</v>
      </c>
      <c r="Z35" s="35">
        <v>1</v>
      </c>
      <c r="AA35" s="35">
        <v>3</v>
      </c>
      <c r="AB35" s="36">
        <v>9</v>
      </c>
      <c r="AC35">
        <v>1</v>
      </c>
      <c r="AD35" t="s">
        <v>81</v>
      </c>
      <c r="AE35" s="39">
        <v>45646</v>
      </c>
      <c r="AF35" s="35">
        <v>1201</v>
      </c>
      <c r="AH35" t="s">
        <v>130</v>
      </c>
      <c r="AI35" t="s">
        <v>124</v>
      </c>
      <c r="AJ35" t="s">
        <v>84</v>
      </c>
      <c r="AK35" s="35">
        <v>770701937724</v>
      </c>
      <c r="AL35" s="35">
        <v>274027</v>
      </c>
      <c r="AM35" s="35">
        <v>14824245</v>
      </c>
    </row>
    <row r="36" spans="1:39" x14ac:dyDescent="0.25">
      <c r="A36">
        <v>35</v>
      </c>
      <c r="B36" t="s">
        <v>165</v>
      </c>
      <c r="C36" s="35">
        <v>2</v>
      </c>
      <c r="D36" t="s">
        <v>166</v>
      </c>
      <c r="E36" s="35">
        <v>225089</v>
      </c>
      <c r="F36" s="39">
        <v>45639</v>
      </c>
      <c r="G36" t="s">
        <v>73</v>
      </c>
      <c r="H36" t="s">
        <v>119</v>
      </c>
      <c r="I36" t="s">
        <v>91</v>
      </c>
      <c r="J36" t="s">
        <v>162</v>
      </c>
      <c r="K36" t="s">
        <v>121</v>
      </c>
      <c r="L36" t="s">
        <v>168</v>
      </c>
      <c r="M36">
        <v>3</v>
      </c>
      <c r="N36" t="s">
        <v>78</v>
      </c>
      <c r="O36" s="35">
        <v>3</v>
      </c>
      <c r="P36" t="s">
        <v>123</v>
      </c>
      <c r="Q36" s="35">
        <v>3</v>
      </c>
      <c r="R36" t="s">
        <v>123</v>
      </c>
      <c r="S36" s="35">
        <v>184367</v>
      </c>
      <c r="T36" t="s">
        <v>96</v>
      </c>
      <c r="U36" s="35">
        <v>132</v>
      </c>
      <c r="V36" s="35">
        <v>24001001</v>
      </c>
      <c r="W36" s="35">
        <v>55391977</v>
      </c>
      <c r="X36" s="36">
        <v>1.35</v>
      </c>
      <c r="Y36" s="36">
        <v>1.8</v>
      </c>
      <c r="Z36" s="35">
        <v>1</v>
      </c>
      <c r="AA36" s="35">
        <v>3</v>
      </c>
      <c r="AB36" s="36">
        <v>9</v>
      </c>
      <c r="AC36">
        <v>1</v>
      </c>
      <c r="AD36" t="s">
        <v>81</v>
      </c>
      <c r="AE36" s="39">
        <v>45646</v>
      </c>
      <c r="AF36" s="35">
        <v>1201</v>
      </c>
      <c r="AH36" t="s">
        <v>130</v>
      </c>
      <c r="AI36" t="s">
        <v>124</v>
      </c>
      <c r="AJ36" t="s">
        <v>84</v>
      </c>
      <c r="AK36" s="35">
        <v>770701937724</v>
      </c>
      <c r="AL36" s="35">
        <v>274026</v>
      </c>
      <c r="AM36" s="35">
        <v>14824244</v>
      </c>
    </row>
    <row r="37" spans="1:39" x14ac:dyDescent="0.25">
      <c r="A37">
        <v>36</v>
      </c>
      <c r="B37" t="s">
        <v>165</v>
      </c>
      <c r="C37" s="35">
        <v>3</v>
      </c>
      <c r="D37" t="s">
        <v>166</v>
      </c>
      <c r="E37" s="35">
        <v>225089</v>
      </c>
      <c r="F37" s="39">
        <v>45639</v>
      </c>
      <c r="G37" t="s">
        <v>73</v>
      </c>
      <c r="H37" t="s">
        <v>119</v>
      </c>
      <c r="I37" t="s">
        <v>91</v>
      </c>
      <c r="J37" t="s">
        <v>169</v>
      </c>
      <c r="K37" t="s">
        <v>121</v>
      </c>
      <c r="L37" t="s">
        <v>168</v>
      </c>
      <c r="M37">
        <v>3</v>
      </c>
      <c r="N37" t="s">
        <v>78</v>
      </c>
      <c r="O37" s="35">
        <v>3</v>
      </c>
      <c r="P37" t="s">
        <v>123</v>
      </c>
      <c r="Q37" s="35">
        <v>3</v>
      </c>
      <c r="R37" t="s">
        <v>123</v>
      </c>
      <c r="S37" s="35">
        <v>184338</v>
      </c>
      <c r="T37" t="s">
        <v>96</v>
      </c>
      <c r="U37" s="35">
        <v>128</v>
      </c>
      <c r="V37" s="35">
        <v>24001001</v>
      </c>
      <c r="W37" s="35">
        <v>55391977</v>
      </c>
      <c r="X37" s="36">
        <v>1.35</v>
      </c>
      <c r="Y37" s="36">
        <v>1.8</v>
      </c>
      <c r="Z37" s="35">
        <v>1</v>
      </c>
      <c r="AA37" s="35">
        <v>3</v>
      </c>
      <c r="AB37" s="36">
        <v>9</v>
      </c>
      <c r="AC37">
        <v>1</v>
      </c>
      <c r="AD37" t="s">
        <v>81</v>
      </c>
      <c r="AE37" s="39">
        <v>45646</v>
      </c>
      <c r="AF37" s="35">
        <v>1201</v>
      </c>
      <c r="AH37" t="s">
        <v>130</v>
      </c>
      <c r="AI37" t="s">
        <v>124</v>
      </c>
      <c r="AJ37" t="s">
        <v>84</v>
      </c>
      <c r="AK37" s="35">
        <v>770701937724</v>
      </c>
      <c r="AL37" s="35">
        <v>274002</v>
      </c>
      <c r="AM37" s="35">
        <v>14824241</v>
      </c>
    </row>
    <row r="38" spans="1:39" x14ac:dyDescent="0.25">
      <c r="A38">
        <v>37</v>
      </c>
      <c r="B38" t="s">
        <v>170</v>
      </c>
      <c r="C38" s="35">
        <v>1</v>
      </c>
      <c r="D38" t="s">
        <v>171</v>
      </c>
      <c r="E38" s="35">
        <v>225504</v>
      </c>
      <c r="F38" s="39">
        <v>45639</v>
      </c>
      <c r="G38" t="s">
        <v>73</v>
      </c>
      <c r="H38" t="s">
        <v>74</v>
      </c>
      <c r="I38" t="s">
        <v>75</v>
      </c>
      <c r="J38" t="s">
        <v>172</v>
      </c>
      <c r="K38" t="s">
        <v>173</v>
      </c>
      <c r="L38" s="35">
        <v>6026495</v>
      </c>
      <c r="M38">
        <v>6</v>
      </c>
      <c r="N38" t="s">
        <v>78</v>
      </c>
      <c r="O38" s="35">
        <v>2</v>
      </c>
      <c r="P38" t="s">
        <v>79</v>
      </c>
      <c r="Q38" s="35">
        <v>2</v>
      </c>
      <c r="R38" t="s">
        <v>79</v>
      </c>
      <c r="S38" s="35">
        <v>183874</v>
      </c>
      <c r="T38" t="s">
        <v>80</v>
      </c>
      <c r="U38" s="35">
        <v>3</v>
      </c>
      <c r="V38" s="35">
        <v>24001370</v>
      </c>
      <c r="W38" s="35">
        <v>57328621</v>
      </c>
      <c r="X38" s="36">
        <v>2.7</v>
      </c>
      <c r="Y38" s="36">
        <v>3</v>
      </c>
      <c r="Z38" s="35">
        <v>1</v>
      </c>
      <c r="AA38" s="35">
        <v>2</v>
      </c>
      <c r="AB38" s="36">
        <v>6</v>
      </c>
      <c r="AC38">
        <v>1</v>
      </c>
      <c r="AD38" t="s">
        <v>81</v>
      </c>
      <c r="AE38" s="39">
        <v>45646</v>
      </c>
      <c r="AF38" s="35">
        <v>1201</v>
      </c>
      <c r="AH38" t="s">
        <v>130</v>
      </c>
      <c r="AI38" t="s">
        <v>83</v>
      </c>
      <c r="AJ38" t="s">
        <v>84</v>
      </c>
      <c r="AK38" s="35">
        <v>770729427994</v>
      </c>
      <c r="AL38" s="35">
        <v>274082</v>
      </c>
      <c r="AM38" s="35">
        <v>14847446</v>
      </c>
    </row>
    <row r="39" spans="1:39" x14ac:dyDescent="0.25">
      <c r="A39">
        <v>38</v>
      </c>
      <c r="B39" t="s">
        <v>170</v>
      </c>
      <c r="D39" t="s">
        <v>171</v>
      </c>
      <c r="E39" s="35">
        <v>225504</v>
      </c>
      <c r="F39" s="39">
        <v>45639</v>
      </c>
      <c r="G39" t="s">
        <v>73</v>
      </c>
      <c r="H39" t="s">
        <v>74</v>
      </c>
      <c r="I39" t="s">
        <v>75</v>
      </c>
      <c r="K39" t="s">
        <v>173</v>
      </c>
      <c r="L39" s="35">
        <v>6026495</v>
      </c>
      <c r="O39" s="35">
        <v>2</v>
      </c>
      <c r="P39" t="s">
        <v>79</v>
      </c>
      <c r="Q39" s="35">
        <v>2</v>
      </c>
      <c r="R39" t="s">
        <v>79</v>
      </c>
      <c r="S39" s="35">
        <v>183874</v>
      </c>
      <c r="T39" t="s">
        <v>80</v>
      </c>
      <c r="U39" s="35">
        <v>3</v>
      </c>
      <c r="V39" s="35">
        <v>24001370</v>
      </c>
      <c r="W39" s="35">
        <v>57328621</v>
      </c>
      <c r="X39" s="36">
        <v>2.7</v>
      </c>
      <c r="Y39" s="36">
        <v>3</v>
      </c>
      <c r="Z39" s="35">
        <v>1</v>
      </c>
      <c r="AA39" s="35">
        <v>2</v>
      </c>
      <c r="AB39" s="36">
        <v>6</v>
      </c>
      <c r="AC39">
        <v>1</v>
      </c>
      <c r="AD39" t="s">
        <v>81</v>
      </c>
      <c r="AE39" s="39">
        <v>45646</v>
      </c>
      <c r="AF39" s="35">
        <v>1201</v>
      </c>
      <c r="AI39" t="s">
        <v>83</v>
      </c>
      <c r="AJ39" t="s">
        <v>84</v>
      </c>
      <c r="AK39" s="35">
        <v>770729427994</v>
      </c>
      <c r="AL39" s="35">
        <v>274082</v>
      </c>
      <c r="AM39" s="35">
        <v>14847446</v>
      </c>
    </row>
    <row r="40" spans="1:39" x14ac:dyDescent="0.25">
      <c r="A40">
        <v>39</v>
      </c>
      <c r="B40" t="s">
        <v>170</v>
      </c>
      <c r="D40" t="s">
        <v>171</v>
      </c>
      <c r="E40" s="35">
        <v>225504</v>
      </c>
      <c r="F40" s="39">
        <v>45639</v>
      </c>
      <c r="G40" t="s">
        <v>73</v>
      </c>
      <c r="H40" t="s">
        <v>74</v>
      </c>
      <c r="I40" t="s">
        <v>75</v>
      </c>
      <c r="K40" t="s">
        <v>173</v>
      </c>
      <c r="L40" s="35">
        <v>6026495</v>
      </c>
      <c r="O40" s="35">
        <v>1</v>
      </c>
      <c r="P40" t="s">
        <v>79</v>
      </c>
      <c r="Q40" s="35">
        <v>1</v>
      </c>
      <c r="R40" t="s">
        <v>79</v>
      </c>
      <c r="S40" s="35">
        <v>183874</v>
      </c>
      <c r="T40" t="s">
        <v>80</v>
      </c>
      <c r="U40" s="35">
        <v>3</v>
      </c>
      <c r="V40" s="35">
        <v>24001370</v>
      </c>
      <c r="W40" s="35">
        <v>57328621</v>
      </c>
      <c r="X40" s="36">
        <v>2.7</v>
      </c>
      <c r="Y40" s="36">
        <v>3</v>
      </c>
      <c r="Z40" s="35">
        <v>1</v>
      </c>
      <c r="AA40" s="35">
        <v>1</v>
      </c>
      <c r="AB40" s="36">
        <v>6</v>
      </c>
      <c r="AC40">
        <v>1</v>
      </c>
      <c r="AD40" t="s">
        <v>81</v>
      </c>
      <c r="AE40" s="39">
        <v>45646</v>
      </c>
      <c r="AF40" s="35">
        <v>1201</v>
      </c>
      <c r="AI40" t="s">
        <v>83</v>
      </c>
      <c r="AJ40" t="s">
        <v>84</v>
      </c>
      <c r="AK40" s="35">
        <v>770729427994</v>
      </c>
      <c r="AL40" s="35">
        <v>274082</v>
      </c>
      <c r="AM40" s="35">
        <v>14847446</v>
      </c>
    </row>
    <row r="41" spans="1:39" x14ac:dyDescent="0.25">
      <c r="A41">
        <v>40</v>
      </c>
      <c r="B41" t="s">
        <v>170</v>
      </c>
      <c r="D41" t="s">
        <v>171</v>
      </c>
      <c r="E41" s="35">
        <v>225504</v>
      </c>
      <c r="F41" s="39">
        <v>45639</v>
      </c>
      <c r="G41" t="s">
        <v>73</v>
      </c>
      <c r="H41" t="s">
        <v>74</v>
      </c>
      <c r="I41" t="s">
        <v>75</v>
      </c>
      <c r="K41" t="s">
        <v>173</v>
      </c>
      <c r="L41" s="35">
        <v>6026495</v>
      </c>
      <c r="O41" s="35">
        <v>1</v>
      </c>
      <c r="P41" t="s">
        <v>79</v>
      </c>
      <c r="Q41" s="35">
        <v>1</v>
      </c>
      <c r="R41" t="s">
        <v>79</v>
      </c>
      <c r="S41" s="35">
        <v>183874</v>
      </c>
      <c r="T41" t="s">
        <v>80</v>
      </c>
      <c r="U41" s="35">
        <v>3</v>
      </c>
      <c r="V41" s="35">
        <v>24001370</v>
      </c>
      <c r="W41" s="35">
        <v>57328621</v>
      </c>
      <c r="X41" s="36">
        <v>2.7</v>
      </c>
      <c r="Y41" s="36">
        <v>3</v>
      </c>
      <c r="Z41" s="35">
        <v>1</v>
      </c>
      <c r="AA41" s="35">
        <v>1</v>
      </c>
      <c r="AB41" s="36">
        <v>6</v>
      </c>
      <c r="AC41">
        <v>1</v>
      </c>
      <c r="AD41" t="s">
        <v>81</v>
      </c>
      <c r="AE41" s="39">
        <v>45646</v>
      </c>
      <c r="AF41" s="35">
        <v>1201</v>
      </c>
      <c r="AI41" t="s">
        <v>83</v>
      </c>
      <c r="AJ41" t="s">
        <v>84</v>
      </c>
      <c r="AK41" s="35">
        <v>770729427994</v>
      </c>
      <c r="AL41" s="35">
        <v>274082</v>
      </c>
      <c r="AM41" s="35">
        <v>14847446</v>
      </c>
    </row>
    <row r="42" spans="1:39" x14ac:dyDescent="0.25">
      <c r="A42">
        <v>41</v>
      </c>
      <c r="B42" t="s">
        <v>174</v>
      </c>
      <c r="C42" s="35">
        <v>1</v>
      </c>
      <c r="D42" t="s">
        <v>175</v>
      </c>
      <c r="E42" s="35">
        <v>225981</v>
      </c>
      <c r="F42" s="39">
        <v>45639</v>
      </c>
      <c r="G42" t="s">
        <v>73</v>
      </c>
      <c r="H42" t="s">
        <v>176</v>
      </c>
      <c r="I42" t="s">
        <v>91</v>
      </c>
      <c r="J42" t="s">
        <v>177</v>
      </c>
      <c r="K42" t="s">
        <v>177</v>
      </c>
      <c r="L42" s="35">
        <v>298849</v>
      </c>
      <c r="M42">
        <v>2</v>
      </c>
      <c r="N42" t="s">
        <v>178</v>
      </c>
      <c r="O42" s="35">
        <v>2</v>
      </c>
      <c r="P42" t="s">
        <v>179</v>
      </c>
      <c r="Q42" s="35">
        <v>2</v>
      </c>
      <c r="R42" t="s">
        <v>179</v>
      </c>
      <c r="W42" s="35">
        <v>57466717</v>
      </c>
      <c r="X42" s="36">
        <v>1.5</v>
      </c>
      <c r="Y42" s="36">
        <v>2.1</v>
      </c>
      <c r="Z42" s="35">
        <v>4</v>
      </c>
      <c r="AA42" s="35">
        <v>8</v>
      </c>
      <c r="AB42" s="36">
        <v>18</v>
      </c>
      <c r="AC42">
        <v>1</v>
      </c>
      <c r="AD42" t="s">
        <v>97</v>
      </c>
      <c r="AE42" s="39">
        <v>45646</v>
      </c>
      <c r="AF42" s="35">
        <v>1201</v>
      </c>
      <c r="AH42" t="s">
        <v>130</v>
      </c>
      <c r="AI42" t="s">
        <v>98</v>
      </c>
      <c r="AJ42" t="s">
        <v>99</v>
      </c>
      <c r="AK42" s="35">
        <v>4850807776</v>
      </c>
    </row>
    <row r="43" spans="1:39" x14ac:dyDescent="0.25">
      <c r="A43">
        <v>42</v>
      </c>
      <c r="B43" t="s">
        <v>174</v>
      </c>
      <c r="C43" s="35">
        <v>2</v>
      </c>
      <c r="D43" t="s">
        <v>175</v>
      </c>
      <c r="E43" s="35">
        <v>225981</v>
      </c>
      <c r="F43" s="39">
        <v>45639</v>
      </c>
      <c r="G43" t="s">
        <v>73</v>
      </c>
      <c r="H43" t="s">
        <v>176</v>
      </c>
      <c r="I43" t="s">
        <v>91</v>
      </c>
      <c r="J43" t="s">
        <v>177</v>
      </c>
      <c r="K43" t="s">
        <v>177</v>
      </c>
      <c r="L43" s="35">
        <v>298853</v>
      </c>
      <c r="M43">
        <v>2</v>
      </c>
      <c r="N43" t="s">
        <v>178</v>
      </c>
      <c r="O43" s="35">
        <v>2</v>
      </c>
      <c r="P43" t="s">
        <v>179</v>
      </c>
      <c r="Q43" s="35">
        <v>2</v>
      </c>
      <c r="R43" t="s">
        <v>179</v>
      </c>
      <c r="W43" s="35">
        <v>57466717</v>
      </c>
      <c r="X43" s="36">
        <v>1.5</v>
      </c>
      <c r="Y43" s="36">
        <v>2.1</v>
      </c>
      <c r="Z43" s="35">
        <v>4</v>
      </c>
      <c r="AA43" s="35">
        <v>8</v>
      </c>
      <c r="AB43" s="36">
        <v>18</v>
      </c>
      <c r="AC43">
        <v>1</v>
      </c>
      <c r="AD43" t="s">
        <v>97</v>
      </c>
      <c r="AE43" s="39">
        <v>45646</v>
      </c>
      <c r="AF43" s="35">
        <v>1201</v>
      </c>
      <c r="AH43" t="s">
        <v>130</v>
      </c>
      <c r="AI43" t="s">
        <v>98</v>
      </c>
      <c r="AJ43" t="s">
        <v>99</v>
      </c>
      <c r="AK43" s="35">
        <v>4850807776</v>
      </c>
    </row>
    <row r="44" spans="1:39" x14ac:dyDescent="0.25">
      <c r="A44">
        <v>43</v>
      </c>
      <c r="B44" t="s">
        <v>174</v>
      </c>
      <c r="C44" s="35">
        <v>3</v>
      </c>
      <c r="D44" t="s">
        <v>175</v>
      </c>
      <c r="E44" s="35">
        <v>225981</v>
      </c>
      <c r="F44" s="39">
        <v>45639</v>
      </c>
      <c r="G44" t="s">
        <v>73</v>
      </c>
      <c r="H44" t="s">
        <v>176</v>
      </c>
      <c r="I44" t="s">
        <v>91</v>
      </c>
      <c r="J44" t="s">
        <v>180</v>
      </c>
      <c r="K44" t="s">
        <v>180</v>
      </c>
      <c r="L44" s="35">
        <v>298858</v>
      </c>
      <c r="M44">
        <v>2</v>
      </c>
      <c r="N44" t="s">
        <v>178</v>
      </c>
      <c r="O44" s="35">
        <v>2</v>
      </c>
      <c r="P44" t="s">
        <v>179</v>
      </c>
      <c r="Q44" s="35">
        <v>2</v>
      </c>
      <c r="R44" t="s">
        <v>179</v>
      </c>
      <c r="W44" s="35">
        <v>57466717</v>
      </c>
      <c r="X44" s="36">
        <v>1.5</v>
      </c>
      <c r="Y44" s="36">
        <v>2.1</v>
      </c>
      <c r="Z44" s="35">
        <v>1</v>
      </c>
      <c r="AA44" s="35">
        <v>2</v>
      </c>
      <c r="AB44" s="36">
        <v>18</v>
      </c>
      <c r="AC44">
        <v>1</v>
      </c>
      <c r="AD44" t="s">
        <v>97</v>
      </c>
      <c r="AE44" s="39">
        <v>45646</v>
      </c>
      <c r="AF44" s="35">
        <v>1201</v>
      </c>
      <c r="AH44" t="s">
        <v>130</v>
      </c>
      <c r="AI44" t="s">
        <v>98</v>
      </c>
      <c r="AJ44" t="s">
        <v>99</v>
      </c>
      <c r="AK44" s="35">
        <v>4850807776</v>
      </c>
    </row>
    <row r="45" spans="1:39" x14ac:dyDescent="0.25">
      <c r="A45">
        <v>44</v>
      </c>
      <c r="B45" t="s">
        <v>181</v>
      </c>
      <c r="C45" s="35">
        <v>1</v>
      </c>
      <c r="D45" t="s">
        <v>182</v>
      </c>
      <c r="E45" s="35">
        <v>229011</v>
      </c>
      <c r="F45" s="39">
        <v>45642</v>
      </c>
      <c r="G45" t="s">
        <v>73</v>
      </c>
      <c r="H45" t="s">
        <v>119</v>
      </c>
      <c r="I45" t="s">
        <v>91</v>
      </c>
      <c r="J45" t="s">
        <v>183</v>
      </c>
      <c r="K45" t="s">
        <v>184</v>
      </c>
      <c r="L45" t="s">
        <v>185</v>
      </c>
      <c r="M45">
        <v>22</v>
      </c>
      <c r="N45" t="s">
        <v>78</v>
      </c>
      <c r="O45" s="35">
        <v>11</v>
      </c>
      <c r="P45" t="s">
        <v>123</v>
      </c>
      <c r="Q45" s="35">
        <v>11</v>
      </c>
      <c r="R45" t="s">
        <v>123</v>
      </c>
      <c r="S45" s="35">
        <v>183798</v>
      </c>
      <c r="T45" t="s">
        <v>138</v>
      </c>
      <c r="U45" s="35">
        <v>3</v>
      </c>
      <c r="V45" s="35">
        <v>24001361</v>
      </c>
      <c r="W45" s="35">
        <v>55391977</v>
      </c>
      <c r="X45" s="36">
        <v>10</v>
      </c>
      <c r="Y45" s="36">
        <v>12.5</v>
      </c>
      <c r="Z45" s="36">
        <v>0.95</v>
      </c>
      <c r="AA45" s="36">
        <v>10.45</v>
      </c>
      <c r="AB45" s="36">
        <v>49.74</v>
      </c>
      <c r="AC45">
        <v>1</v>
      </c>
      <c r="AD45" t="s">
        <v>97</v>
      </c>
      <c r="AE45" s="39">
        <v>45649</v>
      </c>
      <c r="AF45" s="35">
        <v>1201</v>
      </c>
      <c r="AH45" t="s">
        <v>186</v>
      </c>
      <c r="AI45" t="s">
        <v>124</v>
      </c>
      <c r="AJ45" t="s">
        <v>84</v>
      </c>
      <c r="AK45" s="35">
        <v>770787121394</v>
      </c>
      <c r="AL45" s="35">
        <v>274087</v>
      </c>
      <c r="AM45" s="35">
        <v>14824252</v>
      </c>
    </row>
    <row r="46" spans="1:39" x14ac:dyDescent="0.25">
      <c r="A46">
        <v>45</v>
      </c>
      <c r="B46" t="s">
        <v>181</v>
      </c>
      <c r="D46" t="s">
        <v>182</v>
      </c>
      <c r="E46" s="35">
        <v>229011</v>
      </c>
      <c r="F46" s="39">
        <v>45642</v>
      </c>
      <c r="G46" t="s">
        <v>73</v>
      </c>
      <c r="H46" t="s">
        <v>119</v>
      </c>
      <c r="I46" t="s">
        <v>91</v>
      </c>
      <c r="K46" t="s">
        <v>184</v>
      </c>
      <c r="L46" t="s">
        <v>185</v>
      </c>
      <c r="O46" s="35">
        <v>11</v>
      </c>
      <c r="P46" t="s">
        <v>123</v>
      </c>
      <c r="Q46" s="35">
        <v>11</v>
      </c>
      <c r="R46" t="s">
        <v>123</v>
      </c>
      <c r="S46" s="35">
        <v>183798</v>
      </c>
      <c r="T46" t="s">
        <v>138</v>
      </c>
      <c r="U46" s="35">
        <v>3</v>
      </c>
      <c r="V46" s="35">
        <v>24001361</v>
      </c>
      <c r="W46" s="35">
        <v>55391977</v>
      </c>
      <c r="X46" s="36">
        <v>10</v>
      </c>
      <c r="Y46" s="36">
        <v>12.5</v>
      </c>
      <c r="Z46" s="36">
        <v>0.95</v>
      </c>
      <c r="AA46" s="36">
        <v>10.45</v>
      </c>
      <c r="AB46" s="36">
        <v>49.74</v>
      </c>
      <c r="AC46">
        <v>1</v>
      </c>
      <c r="AD46" t="s">
        <v>97</v>
      </c>
      <c r="AE46" s="39">
        <v>45649</v>
      </c>
      <c r="AF46" s="35">
        <v>1201</v>
      </c>
      <c r="AI46" t="s">
        <v>124</v>
      </c>
      <c r="AJ46" t="s">
        <v>84</v>
      </c>
      <c r="AK46" s="35">
        <v>770787121394</v>
      </c>
      <c r="AL46" s="35">
        <v>274087</v>
      </c>
      <c r="AM46" s="35">
        <v>14824252</v>
      </c>
    </row>
    <row r="47" spans="1:39" x14ac:dyDescent="0.25">
      <c r="A47">
        <v>46</v>
      </c>
      <c r="B47" t="s">
        <v>181</v>
      </c>
      <c r="C47" s="35">
        <v>2</v>
      </c>
      <c r="D47" t="s">
        <v>182</v>
      </c>
      <c r="E47" s="35">
        <v>229011</v>
      </c>
      <c r="F47" s="39">
        <v>45642</v>
      </c>
      <c r="G47" t="s">
        <v>73</v>
      </c>
      <c r="H47" t="s">
        <v>119</v>
      </c>
      <c r="I47" t="s">
        <v>91</v>
      </c>
      <c r="J47" t="s">
        <v>187</v>
      </c>
      <c r="K47" t="s">
        <v>184</v>
      </c>
      <c r="L47" t="s">
        <v>188</v>
      </c>
      <c r="M47">
        <v>28</v>
      </c>
      <c r="N47" t="s">
        <v>78</v>
      </c>
      <c r="O47" s="35">
        <v>14</v>
      </c>
      <c r="P47" t="s">
        <v>123</v>
      </c>
      <c r="Q47" s="35">
        <v>14</v>
      </c>
      <c r="R47" t="s">
        <v>123</v>
      </c>
      <c r="S47" s="35">
        <v>183800</v>
      </c>
      <c r="T47" t="s">
        <v>138</v>
      </c>
      <c r="U47" s="35">
        <v>3</v>
      </c>
      <c r="V47" s="35">
        <v>24001362</v>
      </c>
      <c r="W47" s="35">
        <v>55391977</v>
      </c>
      <c r="X47" s="36">
        <v>10</v>
      </c>
      <c r="Y47" s="36">
        <v>12.5</v>
      </c>
      <c r="Z47" s="36">
        <v>1.03</v>
      </c>
      <c r="AA47" s="36">
        <v>14.42</v>
      </c>
      <c r="AB47" s="36">
        <v>49.74</v>
      </c>
      <c r="AC47">
        <v>1</v>
      </c>
      <c r="AD47" t="s">
        <v>97</v>
      </c>
      <c r="AE47" s="39">
        <v>45649</v>
      </c>
      <c r="AF47" s="35">
        <v>1201</v>
      </c>
      <c r="AH47" t="s">
        <v>186</v>
      </c>
      <c r="AI47" t="s">
        <v>124</v>
      </c>
      <c r="AJ47" t="s">
        <v>84</v>
      </c>
      <c r="AK47" s="35">
        <v>770787121394</v>
      </c>
      <c r="AL47" s="35">
        <v>274088</v>
      </c>
      <c r="AM47" s="35">
        <v>14824250</v>
      </c>
    </row>
    <row r="48" spans="1:39" x14ac:dyDescent="0.25">
      <c r="A48">
        <v>47</v>
      </c>
      <c r="B48" t="s">
        <v>181</v>
      </c>
      <c r="D48" t="s">
        <v>182</v>
      </c>
      <c r="E48" s="35">
        <v>229011</v>
      </c>
      <c r="F48" s="39">
        <v>45642</v>
      </c>
      <c r="G48" t="s">
        <v>73</v>
      </c>
      <c r="H48" t="s">
        <v>119</v>
      </c>
      <c r="I48" t="s">
        <v>91</v>
      </c>
      <c r="K48" t="s">
        <v>184</v>
      </c>
      <c r="L48" t="s">
        <v>188</v>
      </c>
      <c r="O48" s="35">
        <v>14</v>
      </c>
      <c r="P48" t="s">
        <v>123</v>
      </c>
      <c r="Q48" s="35">
        <v>14</v>
      </c>
      <c r="R48" t="s">
        <v>123</v>
      </c>
      <c r="S48" s="35">
        <v>183800</v>
      </c>
      <c r="T48" t="s">
        <v>138</v>
      </c>
      <c r="U48" s="35">
        <v>3</v>
      </c>
      <c r="V48" s="35">
        <v>24001362</v>
      </c>
      <c r="W48" s="35">
        <v>55391977</v>
      </c>
      <c r="X48" s="36">
        <v>10</v>
      </c>
      <c r="Y48" s="36">
        <v>12.5</v>
      </c>
      <c r="Z48" s="36">
        <v>1.03</v>
      </c>
      <c r="AA48" s="36">
        <v>14.42</v>
      </c>
      <c r="AB48" s="36">
        <v>49.74</v>
      </c>
      <c r="AC48">
        <v>1</v>
      </c>
      <c r="AD48" t="s">
        <v>97</v>
      </c>
      <c r="AE48" s="39">
        <v>45649</v>
      </c>
      <c r="AF48" s="35">
        <v>1201</v>
      </c>
      <c r="AI48" t="s">
        <v>124</v>
      </c>
      <c r="AJ48" t="s">
        <v>84</v>
      </c>
      <c r="AK48" s="35">
        <v>770787121394</v>
      </c>
      <c r="AL48" s="35">
        <v>274088</v>
      </c>
      <c r="AM48" s="35">
        <v>14824250</v>
      </c>
    </row>
    <row r="49" spans="1:39" x14ac:dyDescent="0.25">
      <c r="A49">
        <v>48</v>
      </c>
      <c r="B49" t="s">
        <v>189</v>
      </c>
      <c r="C49" s="35">
        <v>1</v>
      </c>
      <c r="D49" t="s">
        <v>190</v>
      </c>
      <c r="E49" s="35">
        <v>229104</v>
      </c>
      <c r="F49" s="39">
        <v>45642</v>
      </c>
      <c r="G49" t="s">
        <v>73</v>
      </c>
      <c r="H49" t="s">
        <v>191</v>
      </c>
      <c r="I49" t="s">
        <v>91</v>
      </c>
      <c r="J49" t="s">
        <v>192</v>
      </c>
      <c r="K49" t="s">
        <v>193</v>
      </c>
      <c r="L49" t="s">
        <v>194</v>
      </c>
      <c r="M49">
        <v>1</v>
      </c>
      <c r="N49" t="s">
        <v>78</v>
      </c>
      <c r="O49" s="35">
        <v>1</v>
      </c>
      <c r="P49" t="s">
        <v>95</v>
      </c>
      <c r="Q49" s="35">
        <v>1</v>
      </c>
      <c r="R49" t="s">
        <v>95</v>
      </c>
      <c r="S49" s="35">
        <v>183967</v>
      </c>
      <c r="T49" t="s">
        <v>138</v>
      </c>
      <c r="U49" s="35">
        <v>3</v>
      </c>
      <c r="V49" s="35">
        <v>24001363</v>
      </c>
      <c r="W49" s="35">
        <v>55738459</v>
      </c>
      <c r="X49" s="36">
        <v>0.4</v>
      </c>
      <c r="Y49" s="36">
        <v>0.5</v>
      </c>
      <c r="Z49" s="35">
        <v>13</v>
      </c>
      <c r="AA49" s="35">
        <v>13</v>
      </c>
      <c r="AB49" s="36">
        <v>13</v>
      </c>
      <c r="AC49">
        <v>1</v>
      </c>
      <c r="AD49" t="s">
        <v>97</v>
      </c>
      <c r="AE49" s="39">
        <v>45649</v>
      </c>
      <c r="AF49" s="35">
        <v>1201</v>
      </c>
      <c r="AH49" t="s">
        <v>186</v>
      </c>
      <c r="AI49" t="s">
        <v>98</v>
      </c>
      <c r="AJ49" t="s">
        <v>99</v>
      </c>
      <c r="AK49" s="35">
        <v>7820201443</v>
      </c>
      <c r="AL49" s="35">
        <v>274086</v>
      </c>
      <c r="AM49" s="35">
        <v>14827336</v>
      </c>
    </row>
    <row r="50" spans="1:39" x14ac:dyDescent="0.25">
      <c r="A50">
        <v>49</v>
      </c>
      <c r="B50" t="s">
        <v>195</v>
      </c>
      <c r="C50" s="35">
        <v>1</v>
      </c>
      <c r="D50" t="s">
        <v>196</v>
      </c>
      <c r="E50" s="35">
        <v>229182</v>
      </c>
      <c r="F50" s="39">
        <v>45642</v>
      </c>
      <c r="G50" t="s">
        <v>73</v>
      </c>
      <c r="H50" t="s">
        <v>74</v>
      </c>
      <c r="I50" t="s">
        <v>75</v>
      </c>
      <c r="J50" t="s">
        <v>197</v>
      </c>
      <c r="K50" t="s">
        <v>198</v>
      </c>
      <c r="L50" s="35">
        <v>1128615</v>
      </c>
      <c r="M50">
        <v>2</v>
      </c>
      <c r="N50" t="s">
        <v>78</v>
      </c>
      <c r="O50" s="35">
        <v>2</v>
      </c>
      <c r="P50" t="s">
        <v>79</v>
      </c>
      <c r="Q50" s="35">
        <v>2</v>
      </c>
      <c r="R50" t="s">
        <v>79</v>
      </c>
      <c r="S50" s="35">
        <v>183871</v>
      </c>
      <c r="T50" t="s">
        <v>96</v>
      </c>
      <c r="U50">
        <v>42</v>
      </c>
      <c r="V50" s="35">
        <v>24001161</v>
      </c>
      <c r="W50" s="35">
        <v>57328621</v>
      </c>
      <c r="X50" s="36">
        <v>0.7</v>
      </c>
      <c r="Y50" s="36">
        <v>0.8</v>
      </c>
      <c r="Z50" s="35">
        <v>1</v>
      </c>
      <c r="AA50" s="35">
        <v>2</v>
      </c>
      <c r="AB50" s="36">
        <v>2</v>
      </c>
      <c r="AC50">
        <v>1</v>
      </c>
      <c r="AD50" t="s">
        <v>81</v>
      </c>
      <c r="AE50" s="39">
        <v>45649</v>
      </c>
      <c r="AF50" s="35">
        <v>1201</v>
      </c>
      <c r="AH50" t="s">
        <v>186</v>
      </c>
      <c r="AI50" t="s">
        <v>199</v>
      </c>
      <c r="AJ50" t="s">
        <v>84</v>
      </c>
      <c r="AK50" s="35">
        <v>770789065809</v>
      </c>
      <c r="AL50" s="35">
        <v>273352</v>
      </c>
      <c r="AM50" s="35">
        <v>14828387</v>
      </c>
    </row>
    <row r="51" spans="1:39" x14ac:dyDescent="0.25">
      <c r="A51">
        <v>50</v>
      </c>
      <c r="B51" t="s">
        <v>200</v>
      </c>
      <c r="C51" s="35">
        <v>1</v>
      </c>
      <c r="D51" t="s">
        <v>201</v>
      </c>
      <c r="E51" s="35">
        <v>234934</v>
      </c>
      <c r="F51" s="39">
        <v>45645</v>
      </c>
      <c r="G51" t="s">
        <v>73</v>
      </c>
      <c r="H51" t="s">
        <v>127</v>
      </c>
      <c r="I51" t="s">
        <v>91</v>
      </c>
      <c r="J51" t="s">
        <v>202</v>
      </c>
      <c r="K51" t="s">
        <v>203</v>
      </c>
      <c r="L51" t="s">
        <v>132</v>
      </c>
      <c r="M51">
        <v>5</v>
      </c>
      <c r="N51" t="s">
        <v>78</v>
      </c>
      <c r="O51" s="35">
        <v>5</v>
      </c>
      <c r="P51" t="s">
        <v>123</v>
      </c>
      <c r="Q51" s="35">
        <v>5</v>
      </c>
      <c r="R51" t="s">
        <v>123</v>
      </c>
      <c r="S51" s="35">
        <v>184468</v>
      </c>
      <c r="T51" t="s">
        <v>96</v>
      </c>
      <c r="U51" s="35">
        <v>84</v>
      </c>
      <c r="V51" s="35">
        <v>24001039</v>
      </c>
      <c r="W51" s="35">
        <v>55738459</v>
      </c>
      <c r="X51" s="36">
        <v>3.15</v>
      </c>
      <c r="Y51" s="36">
        <v>3.5</v>
      </c>
      <c r="Z51">
        <v>4.8</v>
      </c>
      <c r="AA51" s="35">
        <v>24</v>
      </c>
      <c r="AB51" s="36">
        <v>43.05</v>
      </c>
      <c r="AC51">
        <v>1</v>
      </c>
      <c r="AD51" t="s">
        <v>81</v>
      </c>
      <c r="AE51" s="39">
        <v>45652</v>
      </c>
      <c r="AF51" s="35">
        <v>1201</v>
      </c>
      <c r="AH51" t="s">
        <v>186</v>
      </c>
      <c r="AI51" t="s">
        <v>83</v>
      </c>
      <c r="AJ51" t="s">
        <v>99</v>
      </c>
      <c r="AK51" s="35">
        <v>1395863571</v>
      </c>
      <c r="AL51" s="35">
        <v>273991</v>
      </c>
      <c r="AM51" s="35">
        <v>14839864</v>
      </c>
    </row>
    <row r="52" spans="1:39" x14ac:dyDescent="0.25">
      <c r="A52">
        <v>51</v>
      </c>
      <c r="B52" t="s">
        <v>200</v>
      </c>
      <c r="C52" s="35">
        <v>2</v>
      </c>
      <c r="D52" t="s">
        <v>201</v>
      </c>
      <c r="E52" s="35">
        <v>234934</v>
      </c>
      <c r="F52" s="39">
        <v>45645</v>
      </c>
      <c r="G52" t="s">
        <v>73</v>
      </c>
      <c r="H52" t="s">
        <v>127</v>
      </c>
      <c r="I52" t="s">
        <v>91</v>
      </c>
      <c r="J52" t="s">
        <v>204</v>
      </c>
      <c r="K52" t="s">
        <v>205</v>
      </c>
      <c r="L52" t="s">
        <v>206</v>
      </c>
      <c r="M52">
        <v>1</v>
      </c>
      <c r="N52" t="s">
        <v>78</v>
      </c>
      <c r="O52" s="35">
        <v>1</v>
      </c>
      <c r="P52" t="s">
        <v>123</v>
      </c>
      <c r="Q52" s="35">
        <v>1</v>
      </c>
      <c r="R52" t="s">
        <v>123</v>
      </c>
      <c r="S52" s="35">
        <v>184469</v>
      </c>
      <c r="T52" t="s">
        <v>96</v>
      </c>
      <c r="U52" s="35">
        <v>19</v>
      </c>
      <c r="V52" s="35">
        <v>24001041</v>
      </c>
      <c r="W52" s="35">
        <v>55738459</v>
      </c>
      <c r="X52" s="36">
        <v>3.15</v>
      </c>
      <c r="Y52" s="36">
        <v>3.5</v>
      </c>
      <c r="Z52" s="36">
        <v>10.050000000000001</v>
      </c>
      <c r="AA52" s="36">
        <v>10.050000000000001</v>
      </c>
      <c r="AB52" s="36">
        <v>43.05</v>
      </c>
      <c r="AC52">
        <v>1</v>
      </c>
      <c r="AD52" t="s">
        <v>81</v>
      </c>
      <c r="AE52" s="39">
        <v>45652</v>
      </c>
      <c r="AF52" s="35">
        <v>1201</v>
      </c>
      <c r="AH52" t="s">
        <v>186</v>
      </c>
      <c r="AI52" t="s">
        <v>83</v>
      </c>
      <c r="AJ52" t="s">
        <v>99</v>
      </c>
      <c r="AK52" s="35">
        <v>1395863571</v>
      </c>
      <c r="AL52" s="35">
        <v>274075</v>
      </c>
      <c r="AM52" s="35">
        <v>14832713</v>
      </c>
    </row>
    <row r="53" spans="1:39" x14ac:dyDescent="0.25">
      <c r="A53">
        <v>52</v>
      </c>
      <c r="B53" t="s">
        <v>200</v>
      </c>
      <c r="C53" s="35">
        <v>3</v>
      </c>
      <c r="D53" t="s">
        <v>201</v>
      </c>
      <c r="E53" s="35">
        <v>234934</v>
      </c>
      <c r="F53" s="39">
        <v>45645</v>
      </c>
      <c r="G53" t="s">
        <v>73</v>
      </c>
      <c r="H53" t="s">
        <v>127</v>
      </c>
      <c r="I53" t="s">
        <v>91</v>
      </c>
      <c r="J53" t="s">
        <v>204</v>
      </c>
      <c r="K53" t="s">
        <v>205</v>
      </c>
      <c r="L53" t="s">
        <v>207</v>
      </c>
      <c r="M53">
        <v>1</v>
      </c>
      <c r="N53" t="s">
        <v>78</v>
      </c>
      <c r="O53" s="35">
        <v>1</v>
      </c>
      <c r="P53" t="s">
        <v>123</v>
      </c>
      <c r="Q53" s="35">
        <v>1</v>
      </c>
      <c r="R53" t="s">
        <v>123</v>
      </c>
      <c r="S53" s="35">
        <v>184470</v>
      </c>
      <c r="T53" t="s">
        <v>96</v>
      </c>
      <c r="U53" s="35">
        <v>20</v>
      </c>
      <c r="V53" s="35">
        <v>24001041</v>
      </c>
      <c r="W53" s="35">
        <v>55738459</v>
      </c>
      <c r="X53" s="36">
        <v>3.15</v>
      </c>
      <c r="Y53" s="36">
        <v>3.5</v>
      </c>
      <c r="Z53" s="35">
        <v>9</v>
      </c>
      <c r="AA53" s="35">
        <v>9</v>
      </c>
      <c r="AB53" s="36">
        <v>43.05</v>
      </c>
      <c r="AC53">
        <v>1</v>
      </c>
      <c r="AD53" t="s">
        <v>81</v>
      </c>
      <c r="AE53" s="39">
        <v>45652</v>
      </c>
      <c r="AF53" s="35">
        <v>1201</v>
      </c>
      <c r="AH53" t="s">
        <v>186</v>
      </c>
      <c r="AI53" t="s">
        <v>83</v>
      </c>
      <c r="AJ53" t="s">
        <v>99</v>
      </c>
      <c r="AK53" s="35">
        <v>1395863571</v>
      </c>
      <c r="AL53" s="35">
        <v>274076</v>
      </c>
      <c r="AM53" s="35">
        <v>14832710</v>
      </c>
    </row>
    <row r="54" spans="1:39" x14ac:dyDescent="0.25">
      <c r="A54">
        <v>53</v>
      </c>
      <c r="B54" t="s">
        <v>208</v>
      </c>
      <c r="C54" s="35">
        <v>1</v>
      </c>
      <c r="D54" t="s">
        <v>209</v>
      </c>
      <c r="E54" s="35">
        <v>237723</v>
      </c>
      <c r="F54" s="39">
        <v>45646</v>
      </c>
      <c r="G54" t="s">
        <v>73</v>
      </c>
      <c r="H54" t="s">
        <v>119</v>
      </c>
      <c r="I54" t="s">
        <v>91</v>
      </c>
      <c r="J54" t="s">
        <v>210</v>
      </c>
      <c r="K54" t="s">
        <v>121</v>
      </c>
      <c r="L54" t="s">
        <v>211</v>
      </c>
      <c r="M54">
        <v>3</v>
      </c>
      <c r="N54" t="s">
        <v>78</v>
      </c>
      <c r="O54" s="35">
        <v>3</v>
      </c>
      <c r="P54" t="s">
        <v>123</v>
      </c>
      <c r="Q54" s="35">
        <v>3</v>
      </c>
      <c r="R54" t="s">
        <v>123</v>
      </c>
      <c r="S54" s="35">
        <v>184466</v>
      </c>
      <c r="T54" t="s">
        <v>96</v>
      </c>
      <c r="U54" s="35">
        <v>141</v>
      </c>
      <c r="V54" s="35">
        <v>24001001</v>
      </c>
      <c r="W54" s="35">
        <v>55391977</v>
      </c>
      <c r="X54" s="36">
        <v>0.6</v>
      </c>
      <c r="Y54" s="36">
        <v>0.8</v>
      </c>
      <c r="Z54" s="35">
        <v>1</v>
      </c>
      <c r="AA54" s="35">
        <v>3</v>
      </c>
      <c r="AB54" s="36">
        <v>4</v>
      </c>
      <c r="AC54">
        <v>1</v>
      </c>
      <c r="AD54" t="s">
        <v>81</v>
      </c>
      <c r="AE54" s="39">
        <v>45653</v>
      </c>
      <c r="AF54" s="35">
        <v>1201</v>
      </c>
      <c r="AH54" t="s">
        <v>186</v>
      </c>
      <c r="AI54" t="s">
        <v>124</v>
      </c>
      <c r="AJ54" t="s">
        <v>84</v>
      </c>
      <c r="AK54" s="35">
        <v>770925234317</v>
      </c>
      <c r="AL54" s="35">
        <v>274080</v>
      </c>
      <c r="AM54" s="35">
        <v>14832786</v>
      </c>
    </row>
    <row r="55" spans="1:39" x14ac:dyDescent="0.25">
      <c r="A55">
        <v>54</v>
      </c>
      <c r="B55" t="s">
        <v>208</v>
      </c>
      <c r="C55" s="35">
        <v>2</v>
      </c>
      <c r="D55" t="s">
        <v>209</v>
      </c>
      <c r="E55" s="35">
        <v>237723</v>
      </c>
      <c r="F55" s="39">
        <v>45646</v>
      </c>
      <c r="G55" t="s">
        <v>73</v>
      </c>
      <c r="H55" t="s">
        <v>119</v>
      </c>
      <c r="I55" t="s">
        <v>91</v>
      </c>
      <c r="J55" t="s">
        <v>212</v>
      </c>
      <c r="K55" t="s">
        <v>136</v>
      </c>
      <c r="L55" t="s">
        <v>213</v>
      </c>
      <c r="M55">
        <v>1</v>
      </c>
      <c r="N55" t="s">
        <v>78</v>
      </c>
      <c r="O55" s="35">
        <v>1</v>
      </c>
      <c r="P55" t="s">
        <v>123</v>
      </c>
      <c r="Q55" s="35">
        <v>1</v>
      </c>
      <c r="R55" t="s">
        <v>123</v>
      </c>
      <c r="S55" s="35">
        <v>184549</v>
      </c>
      <c r="T55" t="s">
        <v>96</v>
      </c>
      <c r="U55" s="35">
        <v>143</v>
      </c>
      <c r="V55" s="35">
        <v>24001001</v>
      </c>
      <c r="W55" s="35">
        <v>55391977</v>
      </c>
      <c r="X55" s="36">
        <v>0.6</v>
      </c>
      <c r="Y55" s="36">
        <v>0.8</v>
      </c>
      <c r="Z55" s="35">
        <v>1</v>
      </c>
      <c r="AA55" s="35">
        <v>1</v>
      </c>
      <c r="AB55" s="36">
        <v>4</v>
      </c>
      <c r="AC55">
        <v>1</v>
      </c>
      <c r="AD55" t="s">
        <v>81</v>
      </c>
      <c r="AE55" s="39">
        <v>45653</v>
      </c>
      <c r="AF55" s="35">
        <v>1201</v>
      </c>
      <c r="AH55" t="s">
        <v>186</v>
      </c>
      <c r="AI55" t="s">
        <v>124</v>
      </c>
      <c r="AJ55" t="s">
        <v>84</v>
      </c>
      <c r="AK55" s="35">
        <v>770925234317</v>
      </c>
      <c r="AL55" s="35">
        <v>274089</v>
      </c>
      <c r="AM55" s="35">
        <v>14832785</v>
      </c>
    </row>
    <row r="56" spans="1:39" x14ac:dyDescent="0.25">
      <c r="A56">
        <v>55</v>
      </c>
      <c r="B56" t="s">
        <v>214</v>
      </c>
      <c r="C56" s="35">
        <v>1</v>
      </c>
      <c r="D56" t="s">
        <v>215</v>
      </c>
      <c r="E56" s="35">
        <v>238519</v>
      </c>
      <c r="F56" s="39">
        <v>45646</v>
      </c>
      <c r="G56" t="s">
        <v>73</v>
      </c>
      <c r="H56" t="s">
        <v>153</v>
      </c>
      <c r="I56" t="s">
        <v>91</v>
      </c>
      <c r="J56" t="s">
        <v>216</v>
      </c>
      <c r="K56" t="s">
        <v>217</v>
      </c>
      <c r="L56" t="s">
        <v>218</v>
      </c>
      <c r="M56">
        <v>5</v>
      </c>
      <c r="N56" t="s">
        <v>78</v>
      </c>
      <c r="O56" s="35">
        <v>5</v>
      </c>
      <c r="P56" t="s">
        <v>95</v>
      </c>
      <c r="Q56" s="35">
        <v>5</v>
      </c>
      <c r="R56" t="s">
        <v>95</v>
      </c>
      <c r="S56" s="35">
        <v>184587</v>
      </c>
      <c r="T56" t="s">
        <v>96</v>
      </c>
      <c r="U56">
        <v>9</v>
      </c>
      <c r="V56" s="35">
        <v>24001208</v>
      </c>
      <c r="W56" s="35">
        <v>57319629</v>
      </c>
      <c r="X56" s="36">
        <v>2.25</v>
      </c>
      <c r="Y56" s="36">
        <v>2.5</v>
      </c>
      <c r="Z56" s="35">
        <v>14</v>
      </c>
      <c r="AA56" s="35">
        <v>70</v>
      </c>
      <c r="AB56" s="36">
        <v>5</v>
      </c>
      <c r="AC56">
        <v>1</v>
      </c>
      <c r="AD56" t="s">
        <v>81</v>
      </c>
      <c r="AE56" s="39">
        <v>45653</v>
      </c>
      <c r="AF56" s="35">
        <v>1201</v>
      </c>
      <c r="AH56" t="s">
        <v>186</v>
      </c>
      <c r="AI56" t="s">
        <v>83</v>
      </c>
      <c r="AJ56" t="s">
        <v>84</v>
      </c>
      <c r="AK56" s="35">
        <v>770930249320</v>
      </c>
      <c r="AM56" s="35">
        <v>14843107</v>
      </c>
    </row>
    <row r="57" spans="1:39" x14ac:dyDescent="0.25">
      <c r="A57">
        <v>56</v>
      </c>
      <c r="B57" t="s">
        <v>219</v>
      </c>
      <c r="C57" s="35">
        <v>1</v>
      </c>
      <c r="D57" t="s">
        <v>220</v>
      </c>
      <c r="E57" s="35">
        <v>241523</v>
      </c>
      <c r="F57" s="39">
        <v>45649</v>
      </c>
      <c r="G57" t="s">
        <v>73</v>
      </c>
      <c r="H57" t="s">
        <v>119</v>
      </c>
      <c r="I57" t="s">
        <v>91</v>
      </c>
      <c r="J57" t="s">
        <v>187</v>
      </c>
      <c r="K57" t="s">
        <v>184</v>
      </c>
      <c r="L57" t="s">
        <v>185</v>
      </c>
      <c r="M57">
        <v>4</v>
      </c>
      <c r="N57" t="s">
        <v>78</v>
      </c>
      <c r="O57" s="35">
        <v>2</v>
      </c>
      <c r="P57" t="s">
        <v>123</v>
      </c>
      <c r="Q57" s="35">
        <v>2</v>
      </c>
      <c r="R57" t="s">
        <v>123</v>
      </c>
      <c r="S57" s="35">
        <v>183798</v>
      </c>
      <c r="T57" t="s">
        <v>138</v>
      </c>
      <c r="U57" s="35">
        <v>4</v>
      </c>
      <c r="V57" s="35">
        <v>24001361</v>
      </c>
      <c r="W57" s="35">
        <v>55391977</v>
      </c>
      <c r="X57" s="36">
        <v>2.8</v>
      </c>
      <c r="Y57" s="36">
        <v>3.5</v>
      </c>
      <c r="Z57" s="36">
        <v>0.95</v>
      </c>
      <c r="AA57">
        <v>1.9</v>
      </c>
      <c r="AB57" s="36">
        <v>14.3</v>
      </c>
      <c r="AC57">
        <v>1</v>
      </c>
      <c r="AD57" t="s">
        <v>97</v>
      </c>
      <c r="AE57" s="39">
        <v>45656</v>
      </c>
      <c r="AF57" s="35">
        <v>1201</v>
      </c>
      <c r="AH57" t="s">
        <v>221</v>
      </c>
      <c r="AI57" t="s">
        <v>124</v>
      </c>
      <c r="AJ57" t="s">
        <v>84</v>
      </c>
      <c r="AK57" s="35">
        <v>770974990370</v>
      </c>
      <c r="AL57" s="35">
        <v>274171</v>
      </c>
      <c r="AM57" s="35">
        <v>14842946</v>
      </c>
    </row>
    <row r="58" spans="1:39" x14ac:dyDescent="0.25">
      <c r="A58">
        <v>57</v>
      </c>
      <c r="B58" t="s">
        <v>219</v>
      </c>
      <c r="D58" t="s">
        <v>220</v>
      </c>
      <c r="E58" s="35">
        <v>241523</v>
      </c>
      <c r="F58" s="39">
        <v>45649</v>
      </c>
      <c r="G58" t="s">
        <v>73</v>
      </c>
      <c r="H58" t="s">
        <v>119</v>
      </c>
      <c r="I58" t="s">
        <v>91</v>
      </c>
      <c r="K58" t="s">
        <v>184</v>
      </c>
      <c r="L58" t="s">
        <v>185</v>
      </c>
      <c r="O58" s="35">
        <v>2</v>
      </c>
      <c r="P58" t="s">
        <v>123</v>
      </c>
      <c r="Q58" s="35">
        <v>2</v>
      </c>
      <c r="R58" t="s">
        <v>123</v>
      </c>
      <c r="S58" s="35">
        <v>183798</v>
      </c>
      <c r="T58" t="s">
        <v>138</v>
      </c>
      <c r="U58" s="35">
        <v>4</v>
      </c>
      <c r="V58" s="35">
        <v>24001361</v>
      </c>
      <c r="W58" s="35">
        <v>55391977</v>
      </c>
      <c r="X58" s="36">
        <v>2.8</v>
      </c>
      <c r="Y58" s="36">
        <v>3.5</v>
      </c>
      <c r="Z58" s="36">
        <v>0.95</v>
      </c>
      <c r="AA58">
        <v>1.9</v>
      </c>
      <c r="AB58" s="36">
        <v>14.3</v>
      </c>
      <c r="AC58">
        <v>1</v>
      </c>
      <c r="AD58" t="s">
        <v>97</v>
      </c>
      <c r="AE58" s="39">
        <v>45656</v>
      </c>
      <c r="AF58" s="35">
        <v>1201</v>
      </c>
      <c r="AI58" t="s">
        <v>124</v>
      </c>
      <c r="AJ58" t="s">
        <v>84</v>
      </c>
      <c r="AK58" s="35">
        <v>770974990370</v>
      </c>
      <c r="AL58" s="35">
        <v>274171</v>
      </c>
      <c r="AM58" s="35">
        <v>14842946</v>
      </c>
    </row>
    <row r="59" spans="1:39" x14ac:dyDescent="0.25">
      <c r="A59">
        <v>58</v>
      </c>
      <c r="B59" t="s">
        <v>219</v>
      </c>
      <c r="C59" s="35">
        <v>2</v>
      </c>
      <c r="D59" t="s">
        <v>220</v>
      </c>
      <c r="E59" s="35">
        <v>241523</v>
      </c>
      <c r="F59" s="39">
        <v>45649</v>
      </c>
      <c r="G59" t="s">
        <v>73</v>
      </c>
      <c r="H59" t="s">
        <v>119</v>
      </c>
      <c r="I59" t="s">
        <v>91</v>
      </c>
      <c r="J59" t="s">
        <v>222</v>
      </c>
      <c r="K59" t="s">
        <v>136</v>
      </c>
      <c r="L59" t="s">
        <v>223</v>
      </c>
      <c r="M59">
        <v>10</v>
      </c>
      <c r="N59" t="s">
        <v>78</v>
      </c>
      <c r="O59" s="35">
        <v>5</v>
      </c>
      <c r="P59" t="s">
        <v>123</v>
      </c>
      <c r="Q59" s="35">
        <v>5</v>
      </c>
      <c r="R59" t="s">
        <v>123</v>
      </c>
      <c r="S59" s="35">
        <v>184135</v>
      </c>
      <c r="T59" t="s">
        <v>138</v>
      </c>
      <c r="U59" s="35">
        <v>2</v>
      </c>
      <c r="V59" s="35">
        <v>24001413</v>
      </c>
      <c r="W59" s="35">
        <v>55391977</v>
      </c>
      <c r="X59" s="36">
        <v>2.8</v>
      </c>
      <c r="Y59" s="36">
        <v>3.5</v>
      </c>
      <c r="Z59" s="36">
        <v>1.05</v>
      </c>
      <c r="AA59" s="36">
        <v>5.25</v>
      </c>
      <c r="AB59" s="36">
        <v>14.3</v>
      </c>
      <c r="AC59">
        <v>1</v>
      </c>
      <c r="AD59" t="s">
        <v>97</v>
      </c>
      <c r="AE59" s="39">
        <v>45656</v>
      </c>
      <c r="AF59" s="35">
        <v>1201</v>
      </c>
      <c r="AH59" t="s">
        <v>221</v>
      </c>
      <c r="AI59" t="s">
        <v>124</v>
      </c>
      <c r="AJ59" t="s">
        <v>84</v>
      </c>
      <c r="AK59" s="35">
        <v>770974990370</v>
      </c>
      <c r="AL59" s="35">
        <v>274172</v>
      </c>
      <c r="AM59" s="35">
        <v>14842944</v>
      </c>
    </row>
    <row r="60" spans="1:39" x14ac:dyDescent="0.25">
      <c r="A60">
        <v>59</v>
      </c>
      <c r="B60" t="s">
        <v>219</v>
      </c>
      <c r="D60" t="s">
        <v>220</v>
      </c>
      <c r="E60" s="35">
        <v>241523</v>
      </c>
      <c r="F60" s="39">
        <v>45649</v>
      </c>
      <c r="G60" t="s">
        <v>73</v>
      </c>
      <c r="H60" t="s">
        <v>119</v>
      </c>
      <c r="I60" t="s">
        <v>91</v>
      </c>
      <c r="K60" t="s">
        <v>136</v>
      </c>
      <c r="L60" t="s">
        <v>223</v>
      </c>
      <c r="O60" s="35">
        <v>5</v>
      </c>
      <c r="P60" t="s">
        <v>123</v>
      </c>
      <c r="Q60" s="35">
        <v>5</v>
      </c>
      <c r="R60" t="s">
        <v>123</v>
      </c>
      <c r="S60" s="35">
        <v>184135</v>
      </c>
      <c r="T60" t="s">
        <v>138</v>
      </c>
      <c r="U60" s="35">
        <v>2</v>
      </c>
      <c r="V60" s="35">
        <v>24001413</v>
      </c>
      <c r="W60" s="35">
        <v>55391977</v>
      </c>
      <c r="X60" s="36">
        <v>2.8</v>
      </c>
      <c r="Y60" s="36">
        <v>3.5</v>
      </c>
      <c r="Z60" s="36">
        <v>1.05</v>
      </c>
      <c r="AA60" s="36">
        <v>5.25</v>
      </c>
      <c r="AB60" s="36">
        <v>14.3</v>
      </c>
      <c r="AC60">
        <v>1</v>
      </c>
      <c r="AD60" t="s">
        <v>97</v>
      </c>
      <c r="AE60" s="39">
        <v>45656</v>
      </c>
      <c r="AF60" s="35">
        <v>1201</v>
      </c>
      <c r="AI60" t="s">
        <v>124</v>
      </c>
      <c r="AJ60" t="s">
        <v>84</v>
      </c>
      <c r="AK60" s="35">
        <v>770974990370</v>
      </c>
      <c r="AL60" s="35">
        <v>274172</v>
      </c>
      <c r="AM60" s="35">
        <v>14842944</v>
      </c>
    </row>
    <row r="61" spans="1:39" x14ac:dyDescent="0.25">
      <c r="A61">
        <v>60</v>
      </c>
      <c r="B61" t="s">
        <v>224</v>
      </c>
      <c r="C61" s="35">
        <v>1</v>
      </c>
      <c r="D61" t="s">
        <v>225</v>
      </c>
      <c r="E61" s="35">
        <v>247875</v>
      </c>
      <c r="F61" s="39">
        <v>45653</v>
      </c>
      <c r="G61" t="s">
        <v>73</v>
      </c>
      <c r="H61" t="s">
        <v>226</v>
      </c>
      <c r="I61" t="s">
        <v>91</v>
      </c>
      <c r="J61" t="s">
        <v>227</v>
      </c>
      <c r="K61" t="s">
        <v>227</v>
      </c>
      <c r="L61" t="s">
        <v>228</v>
      </c>
      <c r="M61">
        <v>1</v>
      </c>
      <c r="N61" t="s">
        <v>78</v>
      </c>
      <c r="O61" s="35">
        <v>1</v>
      </c>
      <c r="P61" t="s">
        <v>123</v>
      </c>
      <c r="Q61" s="35">
        <v>1</v>
      </c>
      <c r="R61" t="s">
        <v>123</v>
      </c>
      <c r="S61" s="35">
        <v>184006</v>
      </c>
      <c r="T61" t="s">
        <v>138</v>
      </c>
      <c r="U61" s="35">
        <v>2</v>
      </c>
      <c r="V61" s="35">
        <v>24001183</v>
      </c>
      <c r="W61" s="35">
        <v>55738459</v>
      </c>
      <c r="X61" s="36">
        <v>2.25</v>
      </c>
      <c r="Y61" s="36">
        <v>2.5</v>
      </c>
      <c r="Z61" s="35">
        <v>1</v>
      </c>
      <c r="AA61" s="35">
        <v>1</v>
      </c>
      <c r="AB61" s="36">
        <v>5</v>
      </c>
      <c r="AC61">
        <v>1</v>
      </c>
      <c r="AD61" t="s">
        <v>97</v>
      </c>
      <c r="AE61" s="39">
        <v>45660</v>
      </c>
      <c r="AF61" s="35">
        <v>1201</v>
      </c>
      <c r="AH61" t="s">
        <v>221</v>
      </c>
      <c r="AI61" t="s">
        <v>83</v>
      </c>
      <c r="AJ61" t="s">
        <v>99</v>
      </c>
      <c r="AK61" s="35">
        <v>1865886956</v>
      </c>
      <c r="AL61" s="35">
        <v>274276</v>
      </c>
      <c r="AM61" s="35">
        <v>14842952</v>
      </c>
    </row>
    <row r="62" spans="1:39" x14ac:dyDescent="0.25">
      <c r="A62">
        <v>61</v>
      </c>
      <c r="B62" t="s">
        <v>224</v>
      </c>
      <c r="C62" s="35">
        <v>2</v>
      </c>
      <c r="D62" t="s">
        <v>225</v>
      </c>
      <c r="E62" s="35">
        <v>247875</v>
      </c>
      <c r="F62" s="39">
        <v>45653</v>
      </c>
      <c r="G62" t="s">
        <v>73</v>
      </c>
      <c r="H62" t="s">
        <v>226</v>
      </c>
      <c r="I62" t="s">
        <v>91</v>
      </c>
      <c r="J62" t="s">
        <v>227</v>
      </c>
      <c r="K62" t="s">
        <v>227</v>
      </c>
      <c r="L62" t="s">
        <v>229</v>
      </c>
      <c r="M62">
        <v>1</v>
      </c>
      <c r="N62" t="s">
        <v>78</v>
      </c>
      <c r="O62" s="35">
        <v>1</v>
      </c>
      <c r="P62" t="s">
        <v>123</v>
      </c>
      <c r="Q62" s="35">
        <v>1</v>
      </c>
      <c r="R62" t="s">
        <v>123</v>
      </c>
      <c r="S62" s="35">
        <v>184008</v>
      </c>
      <c r="T62" t="s">
        <v>138</v>
      </c>
      <c r="U62" s="35">
        <v>2</v>
      </c>
      <c r="V62" s="35">
        <v>24001182</v>
      </c>
      <c r="W62" s="35">
        <v>55738459</v>
      </c>
      <c r="X62" s="36">
        <v>2.25</v>
      </c>
      <c r="Y62" s="36">
        <v>2.5</v>
      </c>
      <c r="Z62" s="35">
        <v>1</v>
      </c>
      <c r="AA62" s="35">
        <v>1</v>
      </c>
      <c r="AB62" s="36">
        <v>5</v>
      </c>
      <c r="AC62">
        <v>1</v>
      </c>
      <c r="AD62" t="s">
        <v>97</v>
      </c>
      <c r="AE62" s="39">
        <v>45660</v>
      </c>
      <c r="AF62" s="35">
        <v>1201</v>
      </c>
      <c r="AH62" t="s">
        <v>221</v>
      </c>
      <c r="AI62" t="s">
        <v>83</v>
      </c>
      <c r="AJ62" t="s">
        <v>99</v>
      </c>
      <c r="AK62" s="35">
        <v>1865886956</v>
      </c>
      <c r="AL62" s="35">
        <v>274277</v>
      </c>
      <c r="AM62" s="35">
        <v>14842956</v>
      </c>
    </row>
    <row r="63" spans="1:39" x14ac:dyDescent="0.25">
      <c r="A63">
        <v>62</v>
      </c>
      <c r="B63" t="s">
        <v>224</v>
      </c>
      <c r="C63" s="35">
        <v>3</v>
      </c>
      <c r="D63" t="s">
        <v>225</v>
      </c>
      <c r="E63" s="35">
        <v>247875</v>
      </c>
      <c r="F63" s="39">
        <v>45653</v>
      </c>
      <c r="G63" t="s">
        <v>73</v>
      </c>
      <c r="H63" t="s">
        <v>226</v>
      </c>
      <c r="I63" t="s">
        <v>91</v>
      </c>
      <c r="J63" t="s">
        <v>230</v>
      </c>
      <c r="K63" t="s">
        <v>230</v>
      </c>
      <c r="L63" t="s">
        <v>231</v>
      </c>
      <c r="M63">
        <v>1</v>
      </c>
      <c r="N63" t="s">
        <v>78</v>
      </c>
      <c r="O63" s="35">
        <v>1</v>
      </c>
      <c r="P63" t="s">
        <v>123</v>
      </c>
      <c r="Q63" s="35">
        <v>1</v>
      </c>
      <c r="R63" t="s">
        <v>123</v>
      </c>
      <c r="S63" s="35">
        <v>184004</v>
      </c>
      <c r="T63" t="s">
        <v>138</v>
      </c>
      <c r="U63" s="35">
        <v>2</v>
      </c>
      <c r="V63" s="35">
        <v>24001180</v>
      </c>
      <c r="W63" s="35">
        <v>55738459</v>
      </c>
      <c r="X63" s="36">
        <v>2.25</v>
      </c>
      <c r="Y63" s="36">
        <v>2.5</v>
      </c>
      <c r="Z63" s="35">
        <v>1</v>
      </c>
      <c r="AA63" s="35">
        <v>1</v>
      </c>
      <c r="AB63" s="36">
        <v>5</v>
      </c>
      <c r="AC63">
        <v>1</v>
      </c>
      <c r="AD63" t="s">
        <v>97</v>
      </c>
      <c r="AE63" s="39">
        <v>45660</v>
      </c>
      <c r="AF63" s="35">
        <v>1201</v>
      </c>
      <c r="AH63" t="s">
        <v>221</v>
      </c>
      <c r="AI63" t="s">
        <v>83</v>
      </c>
      <c r="AJ63" t="s">
        <v>99</v>
      </c>
      <c r="AK63" s="35">
        <v>1865886956</v>
      </c>
      <c r="AL63" s="35">
        <v>274278</v>
      </c>
      <c r="AM63" s="35">
        <v>14842947</v>
      </c>
    </row>
    <row r="64" spans="1:39" x14ac:dyDescent="0.25">
      <c r="A64">
        <v>63</v>
      </c>
      <c r="B64" t="s">
        <v>224</v>
      </c>
      <c r="C64" s="35">
        <v>4</v>
      </c>
      <c r="D64" t="s">
        <v>225</v>
      </c>
      <c r="E64" s="35">
        <v>247875</v>
      </c>
      <c r="F64" s="39">
        <v>45653</v>
      </c>
      <c r="G64" t="s">
        <v>73</v>
      </c>
      <c r="H64" t="s">
        <v>226</v>
      </c>
      <c r="I64" t="s">
        <v>91</v>
      </c>
      <c r="J64" t="s">
        <v>232</v>
      </c>
      <c r="K64" t="s">
        <v>232</v>
      </c>
      <c r="L64" t="s">
        <v>233</v>
      </c>
      <c r="M64">
        <v>1</v>
      </c>
      <c r="N64" t="s">
        <v>78</v>
      </c>
      <c r="O64" s="35">
        <v>1</v>
      </c>
      <c r="P64" t="s">
        <v>123</v>
      </c>
      <c r="Q64" s="35">
        <v>1</v>
      </c>
      <c r="R64" t="s">
        <v>123</v>
      </c>
      <c r="S64" s="35">
        <v>184005</v>
      </c>
      <c r="T64" t="s">
        <v>138</v>
      </c>
      <c r="U64" s="35">
        <v>2</v>
      </c>
      <c r="V64" s="35">
        <v>24001181</v>
      </c>
      <c r="W64" s="35">
        <v>55738459</v>
      </c>
      <c r="X64" s="36">
        <v>2.25</v>
      </c>
      <c r="Y64" s="36">
        <v>2.5</v>
      </c>
      <c r="Z64" s="35">
        <v>1</v>
      </c>
      <c r="AA64" s="35">
        <v>1</v>
      </c>
      <c r="AB64" s="36">
        <v>5</v>
      </c>
      <c r="AC64">
        <v>1</v>
      </c>
      <c r="AD64" t="s">
        <v>97</v>
      </c>
      <c r="AE64" s="39">
        <v>45660</v>
      </c>
      <c r="AF64" s="35">
        <v>1201</v>
      </c>
      <c r="AH64" t="s">
        <v>221</v>
      </c>
      <c r="AI64" t="s">
        <v>83</v>
      </c>
      <c r="AJ64" t="s">
        <v>99</v>
      </c>
      <c r="AK64" s="35">
        <v>1865886956</v>
      </c>
      <c r="AL64" s="35">
        <v>274279</v>
      </c>
      <c r="AM64" s="35">
        <v>14842948</v>
      </c>
    </row>
    <row r="65" spans="1:39" x14ac:dyDescent="0.25">
      <c r="A65">
        <v>64</v>
      </c>
      <c r="B65" t="s">
        <v>224</v>
      </c>
      <c r="C65" s="35">
        <v>5</v>
      </c>
      <c r="D65" t="s">
        <v>225</v>
      </c>
      <c r="E65" s="35">
        <v>247875</v>
      </c>
      <c r="F65" s="39">
        <v>45653</v>
      </c>
      <c r="G65" t="s">
        <v>73</v>
      </c>
      <c r="H65" t="s">
        <v>226</v>
      </c>
      <c r="I65" t="s">
        <v>91</v>
      </c>
      <c r="J65" t="s">
        <v>227</v>
      </c>
      <c r="K65" t="s">
        <v>227</v>
      </c>
      <c r="L65" t="s">
        <v>234</v>
      </c>
      <c r="M65">
        <v>1</v>
      </c>
      <c r="N65" t="s">
        <v>78</v>
      </c>
      <c r="O65" s="35">
        <v>1</v>
      </c>
      <c r="P65" t="s">
        <v>123</v>
      </c>
      <c r="Q65" s="35">
        <v>1</v>
      </c>
      <c r="R65" t="s">
        <v>123</v>
      </c>
      <c r="S65" s="35">
        <v>184007</v>
      </c>
      <c r="T65" t="s">
        <v>138</v>
      </c>
      <c r="U65" s="35">
        <v>2</v>
      </c>
      <c r="V65" s="35">
        <v>24001179</v>
      </c>
      <c r="W65" s="35">
        <v>55738459</v>
      </c>
      <c r="X65" s="36">
        <v>2.25</v>
      </c>
      <c r="Y65" s="36">
        <v>2.5</v>
      </c>
      <c r="Z65" s="35">
        <v>1</v>
      </c>
      <c r="AA65" s="35">
        <v>1</v>
      </c>
      <c r="AB65" s="36">
        <v>5</v>
      </c>
      <c r="AC65">
        <v>1</v>
      </c>
      <c r="AD65" t="s">
        <v>97</v>
      </c>
      <c r="AE65" s="39">
        <v>45660</v>
      </c>
      <c r="AF65" s="35">
        <v>1201</v>
      </c>
      <c r="AH65" t="s">
        <v>221</v>
      </c>
      <c r="AI65" t="s">
        <v>83</v>
      </c>
      <c r="AJ65" t="s">
        <v>99</v>
      </c>
      <c r="AK65" s="35">
        <v>1865886956</v>
      </c>
      <c r="AL65" s="35">
        <v>274280</v>
      </c>
      <c r="AM65" s="35">
        <v>14842953</v>
      </c>
    </row>
    <row r="66" spans="1:39" x14ac:dyDescent="0.25">
      <c r="A66">
        <v>65</v>
      </c>
      <c r="B66" t="s">
        <v>235</v>
      </c>
      <c r="C66" s="35">
        <v>1</v>
      </c>
      <c r="D66" t="s">
        <v>236</v>
      </c>
      <c r="E66" s="35">
        <v>250578</v>
      </c>
      <c r="F66" s="39">
        <v>45656</v>
      </c>
      <c r="G66" t="s">
        <v>73</v>
      </c>
      <c r="H66" t="s">
        <v>153</v>
      </c>
      <c r="I66" t="s">
        <v>91</v>
      </c>
      <c r="J66" t="s">
        <v>237</v>
      </c>
      <c r="K66" t="s">
        <v>238</v>
      </c>
      <c r="L66" s="35">
        <v>30430</v>
      </c>
      <c r="M66">
        <v>1</v>
      </c>
      <c r="N66" t="s">
        <v>78</v>
      </c>
      <c r="O66" s="35">
        <v>1</v>
      </c>
      <c r="P66" t="s">
        <v>95</v>
      </c>
      <c r="Q66" s="35">
        <v>1</v>
      </c>
      <c r="R66" t="s">
        <v>95</v>
      </c>
      <c r="S66" s="35">
        <v>184152</v>
      </c>
      <c r="T66" t="s">
        <v>138</v>
      </c>
      <c r="U66">
        <v>1</v>
      </c>
      <c r="V66" s="35">
        <v>24001367</v>
      </c>
      <c r="W66" s="35">
        <v>57319629</v>
      </c>
      <c r="X66" s="36">
        <v>0.6</v>
      </c>
      <c r="Y66" s="36">
        <v>0.8</v>
      </c>
      <c r="Z66" s="36">
        <v>5.05</v>
      </c>
      <c r="AA66" s="36">
        <v>5.05</v>
      </c>
      <c r="AB66" s="36">
        <v>10.1</v>
      </c>
      <c r="AC66">
        <v>1</v>
      </c>
      <c r="AD66" t="s">
        <v>97</v>
      </c>
      <c r="AE66" s="39">
        <v>45663</v>
      </c>
      <c r="AF66" s="35">
        <v>1201</v>
      </c>
      <c r="AH66" t="s">
        <v>239</v>
      </c>
      <c r="AI66" t="s">
        <v>98</v>
      </c>
      <c r="AJ66" t="s">
        <v>99</v>
      </c>
      <c r="AK66" s="35">
        <v>4159306885</v>
      </c>
      <c r="AL66" s="35">
        <v>274283</v>
      </c>
    </row>
    <row r="67" spans="1:39" x14ac:dyDescent="0.25">
      <c r="A67">
        <v>66</v>
      </c>
      <c r="B67" t="s">
        <v>235</v>
      </c>
      <c r="C67" s="35">
        <v>2</v>
      </c>
      <c r="D67" t="s">
        <v>236</v>
      </c>
      <c r="E67" s="35">
        <v>250578</v>
      </c>
      <c r="F67" s="39">
        <v>45656</v>
      </c>
      <c r="G67" t="s">
        <v>73</v>
      </c>
      <c r="H67" t="s">
        <v>153</v>
      </c>
      <c r="I67" t="s">
        <v>91</v>
      </c>
      <c r="J67" t="s">
        <v>240</v>
      </c>
      <c r="K67" t="s">
        <v>238</v>
      </c>
      <c r="L67" s="35">
        <v>30430</v>
      </c>
      <c r="M67">
        <v>1</v>
      </c>
      <c r="N67" t="s">
        <v>78</v>
      </c>
      <c r="O67" s="35">
        <v>1</v>
      </c>
      <c r="P67" t="s">
        <v>95</v>
      </c>
      <c r="Q67" s="35">
        <v>1</v>
      </c>
      <c r="R67" t="s">
        <v>95</v>
      </c>
      <c r="S67" s="35">
        <v>184152</v>
      </c>
      <c r="T67" t="s">
        <v>138</v>
      </c>
      <c r="U67">
        <v>1</v>
      </c>
      <c r="V67" s="35">
        <v>24001367</v>
      </c>
      <c r="W67" s="35">
        <v>57319629</v>
      </c>
      <c r="X67" s="36">
        <v>0.6</v>
      </c>
      <c r="Y67" s="36">
        <v>0.8</v>
      </c>
      <c r="Z67" s="36">
        <v>5.05</v>
      </c>
      <c r="AA67" s="36">
        <v>5.05</v>
      </c>
      <c r="AB67" s="36">
        <v>10.1</v>
      </c>
      <c r="AC67">
        <v>1</v>
      </c>
      <c r="AD67" t="s">
        <v>97</v>
      </c>
      <c r="AE67" s="39">
        <v>45663</v>
      </c>
      <c r="AF67" s="35">
        <v>1201</v>
      </c>
      <c r="AH67" t="s">
        <v>239</v>
      </c>
      <c r="AI67" t="s">
        <v>98</v>
      </c>
      <c r="AJ67" t="s">
        <v>99</v>
      </c>
      <c r="AK67" s="35">
        <v>4159306885</v>
      </c>
      <c r="AL67" s="35">
        <v>274283</v>
      </c>
    </row>
    <row r="68" spans="1:39" x14ac:dyDescent="0.25">
      <c r="A68">
        <v>67</v>
      </c>
      <c r="B68" t="s">
        <v>241</v>
      </c>
      <c r="C68" s="35">
        <v>1</v>
      </c>
      <c r="D68" t="s">
        <v>242</v>
      </c>
      <c r="E68" s="35">
        <v>251709</v>
      </c>
      <c r="F68" s="39">
        <v>45657</v>
      </c>
      <c r="G68" t="s">
        <v>73</v>
      </c>
      <c r="H68" t="s">
        <v>119</v>
      </c>
      <c r="I68" t="s">
        <v>91</v>
      </c>
      <c r="J68" t="s">
        <v>162</v>
      </c>
      <c r="K68" t="s">
        <v>121</v>
      </c>
      <c r="L68" t="s">
        <v>243</v>
      </c>
      <c r="M68">
        <v>8</v>
      </c>
      <c r="N68" t="s">
        <v>78</v>
      </c>
      <c r="O68" s="35">
        <v>8</v>
      </c>
      <c r="P68" t="s">
        <v>123</v>
      </c>
      <c r="Q68" s="35">
        <v>8</v>
      </c>
      <c r="R68" t="s">
        <v>123</v>
      </c>
      <c r="S68" s="35">
        <v>184464</v>
      </c>
      <c r="T68" t="s">
        <v>96</v>
      </c>
      <c r="U68" s="35">
        <v>139</v>
      </c>
      <c r="V68" s="35">
        <v>24001001</v>
      </c>
      <c r="W68" s="35">
        <v>55391977</v>
      </c>
      <c r="X68" s="36">
        <v>3.3</v>
      </c>
      <c r="Y68" s="36">
        <v>4.4000000000000004</v>
      </c>
      <c r="Z68" s="35">
        <v>1</v>
      </c>
      <c r="AA68" s="35">
        <v>8</v>
      </c>
      <c r="AB68" s="36">
        <v>22</v>
      </c>
      <c r="AC68">
        <v>1</v>
      </c>
      <c r="AD68" t="s">
        <v>81</v>
      </c>
      <c r="AE68" s="39">
        <v>45664</v>
      </c>
      <c r="AF68" s="35">
        <v>1201</v>
      </c>
      <c r="AH68" t="s">
        <v>239</v>
      </c>
      <c r="AI68" t="s">
        <v>124</v>
      </c>
      <c r="AJ68" t="s">
        <v>84</v>
      </c>
      <c r="AK68" s="35">
        <v>771118151787</v>
      </c>
      <c r="AL68" s="35">
        <v>274078</v>
      </c>
      <c r="AM68" s="35">
        <v>14850365</v>
      </c>
    </row>
    <row r="69" spans="1:39" x14ac:dyDescent="0.25">
      <c r="A69">
        <v>68</v>
      </c>
      <c r="B69" t="s">
        <v>241</v>
      </c>
      <c r="C69" s="35">
        <v>2</v>
      </c>
      <c r="D69" t="s">
        <v>242</v>
      </c>
      <c r="E69" s="35">
        <v>251709</v>
      </c>
      <c r="F69" s="39">
        <v>45657</v>
      </c>
      <c r="G69" t="s">
        <v>73</v>
      </c>
      <c r="H69" t="s">
        <v>119</v>
      </c>
      <c r="I69" t="s">
        <v>91</v>
      </c>
      <c r="J69" t="s">
        <v>169</v>
      </c>
      <c r="K69" t="s">
        <v>121</v>
      </c>
      <c r="L69" t="s">
        <v>244</v>
      </c>
      <c r="M69">
        <v>8</v>
      </c>
      <c r="N69" t="s">
        <v>78</v>
      </c>
      <c r="O69" s="35">
        <v>8</v>
      </c>
      <c r="P69" t="s">
        <v>123</v>
      </c>
      <c r="Q69" s="35">
        <v>8</v>
      </c>
      <c r="R69" t="s">
        <v>123</v>
      </c>
      <c r="S69" s="35">
        <v>184463</v>
      </c>
      <c r="T69" t="s">
        <v>96</v>
      </c>
      <c r="U69" s="35">
        <v>138</v>
      </c>
      <c r="V69" s="35">
        <v>24001001</v>
      </c>
      <c r="W69" s="35">
        <v>55391977</v>
      </c>
      <c r="X69" s="36">
        <v>3.3</v>
      </c>
      <c r="Y69" s="36">
        <v>4.4000000000000004</v>
      </c>
      <c r="Z69" s="35">
        <v>1</v>
      </c>
      <c r="AA69" s="35">
        <v>8</v>
      </c>
      <c r="AB69" s="36">
        <v>22</v>
      </c>
      <c r="AC69">
        <v>1</v>
      </c>
      <c r="AD69" t="s">
        <v>81</v>
      </c>
      <c r="AE69" s="39">
        <v>45664</v>
      </c>
      <c r="AF69" s="35">
        <v>1201</v>
      </c>
      <c r="AH69" t="s">
        <v>239</v>
      </c>
      <c r="AI69" t="s">
        <v>124</v>
      </c>
      <c r="AJ69" t="s">
        <v>84</v>
      </c>
      <c r="AK69" s="35">
        <v>771118151787</v>
      </c>
      <c r="AL69" s="35">
        <v>274077</v>
      </c>
      <c r="AM69" s="35">
        <v>14850366</v>
      </c>
    </row>
    <row r="70" spans="1:39" x14ac:dyDescent="0.25">
      <c r="A70">
        <v>69</v>
      </c>
      <c r="B70" t="s">
        <v>241</v>
      </c>
      <c r="C70" s="35">
        <v>3</v>
      </c>
      <c r="D70" t="s">
        <v>242</v>
      </c>
      <c r="E70" s="35">
        <v>251709</v>
      </c>
      <c r="F70" s="39">
        <v>45657</v>
      </c>
      <c r="G70" t="s">
        <v>73</v>
      </c>
      <c r="H70" t="s">
        <v>119</v>
      </c>
      <c r="I70" t="s">
        <v>91</v>
      </c>
      <c r="J70" t="s">
        <v>162</v>
      </c>
      <c r="K70" t="s">
        <v>121</v>
      </c>
      <c r="L70" t="s">
        <v>245</v>
      </c>
      <c r="M70">
        <v>6</v>
      </c>
      <c r="N70" t="s">
        <v>78</v>
      </c>
      <c r="O70" s="35">
        <v>6</v>
      </c>
      <c r="P70" t="s">
        <v>123</v>
      </c>
      <c r="Q70" s="35">
        <v>6</v>
      </c>
      <c r="R70" t="s">
        <v>123</v>
      </c>
      <c r="S70" s="35">
        <v>184465</v>
      </c>
      <c r="T70" t="s">
        <v>96</v>
      </c>
      <c r="U70" s="35">
        <v>140</v>
      </c>
      <c r="V70" s="35">
        <v>24001001</v>
      </c>
      <c r="W70" s="35">
        <v>55391977</v>
      </c>
      <c r="X70" s="36">
        <v>3.3</v>
      </c>
      <c r="Y70" s="36">
        <v>4.4000000000000004</v>
      </c>
      <c r="Z70" s="35">
        <v>1</v>
      </c>
      <c r="AA70" s="35">
        <v>6</v>
      </c>
      <c r="AB70" s="36">
        <v>22</v>
      </c>
      <c r="AC70">
        <v>1</v>
      </c>
      <c r="AD70" t="s">
        <v>81</v>
      </c>
      <c r="AE70" s="39">
        <v>45664</v>
      </c>
      <c r="AF70" s="35">
        <v>1201</v>
      </c>
      <c r="AH70" t="s">
        <v>239</v>
      </c>
      <c r="AI70" t="s">
        <v>124</v>
      </c>
      <c r="AJ70" t="s">
        <v>84</v>
      </c>
      <c r="AK70" s="35">
        <v>771118151787</v>
      </c>
      <c r="AL70" s="35">
        <v>274079</v>
      </c>
      <c r="AM70" s="35">
        <v>14850367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7F7ED-603D-4E0A-A8E7-41E62693930B}">
  <sheetPr codeName="Sheet15"/>
  <dimension ref="A1:Z12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5" x14ac:dyDescent="0.25"/>
  <cols>
    <col min="1" max="1" width="8" style="18" customWidth="1"/>
    <col min="2" max="2" width="19.28515625" customWidth="1"/>
    <col min="3" max="3" width="10.140625" customWidth="1"/>
    <col min="4" max="4" width="14.7109375" style="19" customWidth="1"/>
    <col min="5" max="5" width="40.5703125" bestFit="1" customWidth="1"/>
    <col min="6" max="6" width="49.7109375" customWidth="1"/>
    <col min="7" max="7" width="31.28515625" customWidth="1"/>
    <col min="8" max="8" width="26.140625" customWidth="1"/>
    <col min="9" max="9" width="4.7109375" customWidth="1"/>
    <col min="10" max="10" width="7.5703125" customWidth="1"/>
    <col min="11" max="11" width="6.5703125" customWidth="1"/>
    <col min="12" max="12" width="8.42578125" customWidth="1"/>
    <col min="13" max="13" width="11.7109375" customWidth="1"/>
    <col min="14" max="14" width="8.42578125" customWidth="1"/>
    <col min="15" max="15" width="11" customWidth="1"/>
    <col min="16" max="16" width="14" customWidth="1"/>
    <col min="17" max="17" width="13.5703125" customWidth="1"/>
    <col min="18" max="18" width="0.5703125" customWidth="1"/>
    <col min="22" max="22" width="9.140625" style="37"/>
    <col min="25" max="25" width="9.140625" style="37"/>
    <col min="26" max="26" width="35.28515625" customWidth="1"/>
  </cols>
  <sheetData>
    <row r="1" spans="1:26" x14ac:dyDescent="0.25">
      <c r="S1" s="48" t="s">
        <v>7</v>
      </c>
      <c r="T1" s="48"/>
      <c r="U1" s="48"/>
      <c r="V1" s="48"/>
      <c r="W1" s="48" t="s">
        <v>8</v>
      </c>
      <c r="X1" s="48"/>
      <c r="Y1" s="48"/>
      <c r="Z1" s="20"/>
    </row>
    <row r="2" spans="1:26" ht="33.75" x14ac:dyDescent="0.25">
      <c r="A2" s="21" t="s">
        <v>9</v>
      </c>
      <c r="B2" s="22" t="s">
        <v>10</v>
      </c>
      <c r="C2" s="22" t="s">
        <v>11</v>
      </c>
      <c r="D2" s="23" t="s">
        <v>12</v>
      </c>
      <c r="E2" s="22" t="s">
        <v>13</v>
      </c>
      <c r="F2" s="22" t="s">
        <v>14</v>
      </c>
      <c r="G2" s="22" t="s">
        <v>15</v>
      </c>
      <c r="H2" s="22" t="s">
        <v>16</v>
      </c>
      <c r="I2" s="22" t="s">
        <v>17</v>
      </c>
      <c r="J2" s="22" t="s">
        <v>18</v>
      </c>
      <c r="K2" s="22" t="s">
        <v>19</v>
      </c>
      <c r="L2" s="22" t="s">
        <v>20</v>
      </c>
      <c r="M2" s="22" t="s">
        <v>21</v>
      </c>
      <c r="N2" s="22" t="s">
        <v>22</v>
      </c>
      <c r="O2" s="22" t="s">
        <v>23</v>
      </c>
      <c r="P2" s="23" t="s">
        <v>24</v>
      </c>
      <c r="Q2" s="22" t="s">
        <v>25</v>
      </c>
      <c r="R2" s="24"/>
      <c r="S2" s="25" t="s">
        <v>26</v>
      </c>
      <c r="T2" s="25" t="s">
        <v>27</v>
      </c>
      <c r="U2" s="25" t="s">
        <v>28</v>
      </c>
      <c r="V2" s="25" t="s">
        <v>29</v>
      </c>
      <c r="W2" s="25" t="s">
        <v>26</v>
      </c>
      <c r="X2" s="25" t="s">
        <v>27</v>
      </c>
      <c r="Y2" s="25" t="s">
        <v>29</v>
      </c>
      <c r="Z2" s="25" t="s">
        <v>30</v>
      </c>
    </row>
    <row r="3" spans="1:26" s="40" customFormat="1" ht="5.25" customHeight="1" x14ac:dyDescent="0.25">
      <c r="A3" s="26" t="s">
        <v>0</v>
      </c>
      <c r="B3" s="27" t="s">
        <v>0</v>
      </c>
      <c r="C3" s="27" t="s">
        <v>0</v>
      </c>
      <c r="D3" s="28" t="s">
        <v>0</v>
      </c>
      <c r="E3" s="27" t="s">
        <v>0</v>
      </c>
      <c r="F3" s="27" t="s">
        <v>0</v>
      </c>
      <c r="G3" s="27" t="s">
        <v>0</v>
      </c>
      <c r="H3" s="27" t="s">
        <v>0</v>
      </c>
      <c r="I3" s="27" t="s">
        <v>0</v>
      </c>
      <c r="J3" s="27" t="s">
        <v>0</v>
      </c>
      <c r="K3" s="27" t="s">
        <v>0</v>
      </c>
      <c r="L3" s="27" t="s">
        <v>0</v>
      </c>
      <c r="M3" s="27" t="s">
        <v>0</v>
      </c>
      <c r="N3" s="27" t="s">
        <v>0</v>
      </c>
      <c r="O3" s="27" t="s">
        <v>0</v>
      </c>
      <c r="P3" s="28" t="s">
        <v>0</v>
      </c>
      <c r="Q3" s="27" t="s">
        <v>0</v>
      </c>
      <c r="R3" s="27" t="s">
        <v>0</v>
      </c>
      <c r="S3" s="29"/>
      <c r="T3" s="30"/>
      <c r="U3" s="31"/>
      <c r="V3" s="32" t="s">
        <v>0</v>
      </c>
      <c r="W3" s="29"/>
      <c r="X3" s="30"/>
      <c r="Y3" s="32" t="s">
        <v>0</v>
      </c>
      <c r="Z3" s="33" t="s">
        <v>0</v>
      </c>
    </row>
    <row r="4" spans="1:26" x14ac:dyDescent="0.25">
      <c r="A4" s="18">
        <v>1</v>
      </c>
      <c r="B4" t="s">
        <v>71</v>
      </c>
      <c r="C4" s="35">
        <v>3728</v>
      </c>
      <c r="D4" s="39">
        <v>45660</v>
      </c>
      <c r="E4" t="s">
        <v>77</v>
      </c>
      <c r="F4" t="s">
        <v>76</v>
      </c>
      <c r="G4" s="35">
        <v>3211</v>
      </c>
      <c r="H4" t="s">
        <v>74</v>
      </c>
      <c r="I4">
        <v>2</v>
      </c>
      <c r="J4" t="s">
        <v>78</v>
      </c>
      <c r="K4" s="35">
        <v>2</v>
      </c>
      <c r="L4" t="s">
        <v>79</v>
      </c>
      <c r="M4" s="35">
        <v>2</v>
      </c>
      <c r="N4" t="s">
        <v>79</v>
      </c>
      <c r="O4" s="35">
        <v>1</v>
      </c>
      <c r="P4" s="35">
        <v>2</v>
      </c>
      <c r="Q4" s="36">
        <v>9</v>
      </c>
      <c r="S4">
        <f t="shared" ref="S4:S35" si="0">SUMIF($C$4:$C$1048564,C4,$I$4:$I$1048564)</f>
        <v>9</v>
      </c>
      <c r="T4">
        <f t="shared" ref="T4:T35" si="1">SUMIF($C$4:$C$1048564,C4,$K$4:$K$1048564)</f>
        <v>9</v>
      </c>
      <c r="U4">
        <f t="shared" ref="U4:U35" si="2">SUMIF($C$4:$C$1048564,C4,$M$4:$M$1048564)</f>
        <v>9</v>
      </c>
      <c r="V4" s="37" t="b">
        <f t="shared" ref="V4:V35" si="3">IF(OR(S4="NOT FOUND",T4="NOT FOUND",U4="NOT FOUND"),FALSE,IF(COUNTIF(S4:U4,U4)=3,TRUE,FALSE))</f>
        <v>1</v>
      </c>
      <c r="W4" s="36">
        <f t="shared" ref="W4:W35" si="4">Q4</f>
        <v>9</v>
      </c>
      <c r="X4">
        <f t="shared" ref="X4:X35" si="5">SUMIF($C$4:$C$1048564,C4,$P$4:$P$1048564)</f>
        <v>9</v>
      </c>
      <c r="Y4" s="37" t="b">
        <f t="shared" ref="Y4:Y35" si="6">IFERROR(W4=X4,FALSE)</f>
        <v>1</v>
      </c>
    </row>
    <row r="5" spans="1:26" x14ac:dyDescent="0.25">
      <c r="A5" s="18">
        <v>2</v>
      </c>
      <c r="B5" t="s">
        <v>71</v>
      </c>
      <c r="C5" s="35">
        <v>3728</v>
      </c>
      <c r="D5" s="39">
        <v>45660</v>
      </c>
      <c r="E5" t="s">
        <v>77</v>
      </c>
      <c r="F5" t="s">
        <v>85</v>
      </c>
      <c r="G5" s="35">
        <v>3190</v>
      </c>
      <c r="H5" t="s">
        <v>74</v>
      </c>
      <c r="I5">
        <v>2</v>
      </c>
      <c r="J5" t="s">
        <v>78</v>
      </c>
      <c r="K5" s="35">
        <v>2</v>
      </c>
      <c r="L5" t="s">
        <v>79</v>
      </c>
      <c r="M5" s="35">
        <v>2</v>
      </c>
      <c r="N5" t="s">
        <v>79</v>
      </c>
      <c r="O5" s="35">
        <v>1</v>
      </c>
      <c r="P5" s="35">
        <v>2</v>
      </c>
      <c r="Q5" s="36">
        <v>9</v>
      </c>
      <c r="S5">
        <f t="shared" si="0"/>
        <v>9</v>
      </c>
      <c r="T5">
        <f t="shared" si="1"/>
        <v>9</v>
      </c>
      <c r="U5">
        <f t="shared" si="2"/>
        <v>9</v>
      </c>
      <c r="V5" s="37" t="b">
        <f t="shared" si="3"/>
        <v>1</v>
      </c>
      <c r="W5" s="36">
        <f t="shared" si="4"/>
        <v>9</v>
      </c>
      <c r="X5">
        <f t="shared" si="5"/>
        <v>9</v>
      </c>
      <c r="Y5" s="37" t="b">
        <f t="shared" si="6"/>
        <v>1</v>
      </c>
    </row>
    <row r="6" spans="1:26" x14ac:dyDescent="0.25">
      <c r="A6" s="18">
        <v>3</v>
      </c>
      <c r="B6" t="s">
        <v>71</v>
      </c>
      <c r="C6" s="35">
        <v>3728</v>
      </c>
      <c r="D6" s="39">
        <v>45660</v>
      </c>
      <c r="E6" t="s">
        <v>77</v>
      </c>
      <c r="F6" t="s">
        <v>86</v>
      </c>
      <c r="G6" s="35">
        <v>3209</v>
      </c>
      <c r="H6" t="s">
        <v>74</v>
      </c>
      <c r="I6">
        <v>2</v>
      </c>
      <c r="J6" t="s">
        <v>78</v>
      </c>
      <c r="K6" s="35">
        <v>2</v>
      </c>
      <c r="L6" t="s">
        <v>79</v>
      </c>
      <c r="M6" s="35">
        <v>2</v>
      </c>
      <c r="N6" t="s">
        <v>79</v>
      </c>
      <c r="O6" s="35">
        <v>1</v>
      </c>
      <c r="P6" s="35">
        <v>2</v>
      </c>
      <c r="Q6" s="36">
        <v>9</v>
      </c>
      <c r="S6">
        <f t="shared" si="0"/>
        <v>9</v>
      </c>
      <c r="T6">
        <f t="shared" si="1"/>
        <v>9</v>
      </c>
      <c r="U6">
        <f t="shared" si="2"/>
        <v>9</v>
      </c>
      <c r="V6" s="37" t="b">
        <f t="shared" si="3"/>
        <v>1</v>
      </c>
      <c r="W6" s="36">
        <f t="shared" si="4"/>
        <v>9</v>
      </c>
      <c r="X6">
        <f t="shared" si="5"/>
        <v>9</v>
      </c>
      <c r="Y6" s="37" t="b">
        <f t="shared" si="6"/>
        <v>1</v>
      </c>
    </row>
    <row r="7" spans="1:26" x14ac:dyDescent="0.25">
      <c r="A7" s="18">
        <v>4</v>
      </c>
      <c r="B7" t="s">
        <v>71</v>
      </c>
      <c r="C7" s="35">
        <v>3728</v>
      </c>
      <c r="D7" s="39">
        <v>45660</v>
      </c>
      <c r="E7" t="s">
        <v>77</v>
      </c>
      <c r="F7" t="s">
        <v>86</v>
      </c>
      <c r="G7" s="35">
        <v>3189</v>
      </c>
      <c r="H7" t="s">
        <v>74</v>
      </c>
      <c r="I7">
        <v>2</v>
      </c>
      <c r="J7" t="s">
        <v>78</v>
      </c>
      <c r="K7" s="35">
        <v>2</v>
      </c>
      <c r="L7" t="s">
        <v>79</v>
      </c>
      <c r="M7" s="35">
        <v>2</v>
      </c>
      <c r="N7" t="s">
        <v>79</v>
      </c>
      <c r="O7" s="35">
        <v>1</v>
      </c>
      <c r="P7" s="35">
        <v>2</v>
      </c>
      <c r="Q7" s="36">
        <v>9</v>
      </c>
      <c r="S7">
        <f t="shared" si="0"/>
        <v>9</v>
      </c>
      <c r="T7">
        <f t="shared" si="1"/>
        <v>9</v>
      </c>
      <c r="U7">
        <f t="shared" si="2"/>
        <v>9</v>
      </c>
      <c r="V7" s="37" t="b">
        <f t="shared" si="3"/>
        <v>1</v>
      </c>
      <c r="W7" s="36">
        <f t="shared" si="4"/>
        <v>9</v>
      </c>
      <c r="X7">
        <f t="shared" si="5"/>
        <v>9</v>
      </c>
      <c r="Y7" s="37" t="b">
        <f t="shared" si="6"/>
        <v>1</v>
      </c>
    </row>
    <row r="8" spans="1:26" x14ac:dyDescent="0.25">
      <c r="A8" s="18">
        <v>5</v>
      </c>
      <c r="B8" t="s">
        <v>71</v>
      </c>
      <c r="C8" s="35">
        <v>3728</v>
      </c>
      <c r="D8" s="39">
        <v>45660</v>
      </c>
      <c r="E8" t="s">
        <v>77</v>
      </c>
      <c r="F8" t="s">
        <v>87</v>
      </c>
      <c r="G8" s="35">
        <v>3212</v>
      </c>
      <c r="H8" t="s">
        <v>74</v>
      </c>
      <c r="I8">
        <v>1</v>
      </c>
      <c r="J8" t="s">
        <v>78</v>
      </c>
      <c r="K8" s="35">
        <v>1</v>
      </c>
      <c r="L8" t="s">
        <v>79</v>
      </c>
      <c r="M8" s="35">
        <v>1</v>
      </c>
      <c r="N8" t="s">
        <v>79</v>
      </c>
      <c r="O8" s="35">
        <v>1</v>
      </c>
      <c r="P8" s="35">
        <v>1</v>
      </c>
      <c r="Q8" s="36">
        <v>9</v>
      </c>
      <c r="S8">
        <f t="shared" si="0"/>
        <v>9</v>
      </c>
      <c r="T8">
        <f t="shared" si="1"/>
        <v>9</v>
      </c>
      <c r="U8">
        <f t="shared" si="2"/>
        <v>9</v>
      </c>
      <c r="V8" s="37" t="b">
        <f t="shared" si="3"/>
        <v>1</v>
      </c>
      <c r="W8" s="36">
        <f t="shared" si="4"/>
        <v>9</v>
      </c>
      <c r="X8">
        <f t="shared" si="5"/>
        <v>9</v>
      </c>
      <c r="Y8" s="37" t="b">
        <f t="shared" si="6"/>
        <v>1</v>
      </c>
    </row>
    <row r="9" spans="1:26" x14ac:dyDescent="0.25">
      <c r="A9" s="18">
        <v>6</v>
      </c>
      <c r="B9" t="s">
        <v>88</v>
      </c>
      <c r="C9" s="35">
        <v>6902</v>
      </c>
      <c r="D9" s="39">
        <v>45663</v>
      </c>
      <c r="E9" t="s">
        <v>93</v>
      </c>
      <c r="F9" t="s">
        <v>92</v>
      </c>
      <c r="G9" t="s">
        <v>94</v>
      </c>
      <c r="H9" t="s">
        <v>90</v>
      </c>
      <c r="I9">
        <v>1</v>
      </c>
      <c r="J9" t="s">
        <v>78</v>
      </c>
      <c r="K9" s="35">
        <v>1</v>
      </c>
      <c r="L9" t="s">
        <v>95</v>
      </c>
      <c r="M9" s="35">
        <v>1</v>
      </c>
      <c r="N9" t="s">
        <v>95</v>
      </c>
      <c r="O9" s="35">
        <v>18</v>
      </c>
      <c r="P9" s="35">
        <v>18</v>
      </c>
      <c r="Q9" s="36">
        <v>33</v>
      </c>
      <c r="S9">
        <f t="shared" si="0"/>
        <v>2</v>
      </c>
      <c r="T9">
        <f t="shared" si="1"/>
        <v>2</v>
      </c>
      <c r="U9">
        <f t="shared" si="2"/>
        <v>2</v>
      </c>
      <c r="V9" s="37" t="b">
        <f t="shared" si="3"/>
        <v>1</v>
      </c>
      <c r="W9" s="36">
        <f t="shared" si="4"/>
        <v>33</v>
      </c>
      <c r="X9">
        <f t="shared" si="5"/>
        <v>33</v>
      </c>
      <c r="Y9" s="37" t="b">
        <f t="shared" si="6"/>
        <v>1</v>
      </c>
    </row>
    <row r="10" spans="1:26" x14ac:dyDescent="0.25">
      <c r="A10" s="18">
        <v>7</v>
      </c>
      <c r="B10" t="s">
        <v>88</v>
      </c>
      <c r="C10" s="35">
        <v>6902</v>
      </c>
      <c r="D10" s="39">
        <v>45663</v>
      </c>
      <c r="E10" t="s">
        <v>101</v>
      </c>
      <c r="F10" t="s">
        <v>100</v>
      </c>
      <c r="G10" t="s">
        <v>102</v>
      </c>
      <c r="H10" t="s">
        <v>90</v>
      </c>
      <c r="I10">
        <v>1</v>
      </c>
      <c r="J10" t="s">
        <v>78</v>
      </c>
      <c r="K10" s="35">
        <v>1</v>
      </c>
      <c r="L10" t="s">
        <v>95</v>
      </c>
      <c r="M10" s="35">
        <v>1</v>
      </c>
      <c r="N10" t="s">
        <v>95</v>
      </c>
      <c r="O10" s="35">
        <v>15</v>
      </c>
      <c r="P10" s="35">
        <v>15</v>
      </c>
      <c r="Q10" s="36">
        <v>33</v>
      </c>
      <c r="S10">
        <f t="shared" si="0"/>
        <v>2</v>
      </c>
      <c r="T10">
        <f t="shared" si="1"/>
        <v>2</v>
      </c>
      <c r="U10">
        <f t="shared" si="2"/>
        <v>2</v>
      </c>
      <c r="V10" s="37" t="b">
        <f t="shared" si="3"/>
        <v>1</v>
      </c>
      <c r="W10" s="36">
        <f t="shared" si="4"/>
        <v>33</v>
      </c>
      <c r="X10">
        <f t="shared" si="5"/>
        <v>33</v>
      </c>
      <c r="Y10" s="37" t="b">
        <f t="shared" si="6"/>
        <v>1</v>
      </c>
    </row>
    <row r="11" spans="1:26" x14ac:dyDescent="0.25">
      <c r="A11" s="18">
        <v>8</v>
      </c>
      <c r="B11" t="s">
        <v>103</v>
      </c>
      <c r="C11" s="35">
        <v>205078</v>
      </c>
      <c r="D11" s="39">
        <v>45629</v>
      </c>
      <c r="E11" t="s">
        <v>108</v>
      </c>
      <c r="F11" t="s">
        <v>107</v>
      </c>
      <c r="G11" s="35">
        <v>60804</v>
      </c>
      <c r="H11" t="s">
        <v>105</v>
      </c>
      <c r="I11">
        <v>1</v>
      </c>
      <c r="J11" t="s">
        <v>78</v>
      </c>
      <c r="K11" s="35">
        <v>1</v>
      </c>
      <c r="L11" t="s">
        <v>95</v>
      </c>
      <c r="M11" s="35">
        <v>1</v>
      </c>
      <c r="N11" t="s">
        <v>95</v>
      </c>
      <c r="O11">
        <v>0.8</v>
      </c>
      <c r="P11">
        <v>0.8</v>
      </c>
      <c r="Q11" s="36">
        <v>3.2</v>
      </c>
      <c r="S11">
        <f t="shared" si="0"/>
        <v>4</v>
      </c>
      <c r="T11">
        <f t="shared" si="1"/>
        <v>4</v>
      </c>
      <c r="U11">
        <f t="shared" si="2"/>
        <v>4</v>
      </c>
      <c r="V11" s="37" t="b">
        <f t="shared" si="3"/>
        <v>1</v>
      </c>
      <c r="W11" s="36">
        <f t="shared" si="4"/>
        <v>3.2</v>
      </c>
      <c r="X11">
        <f t="shared" si="5"/>
        <v>3.2</v>
      </c>
      <c r="Y11" s="37" t="b">
        <f t="shared" si="6"/>
        <v>1</v>
      </c>
    </row>
    <row r="12" spans="1:26" x14ac:dyDescent="0.25">
      <c r="A12" s="18">
        <v>9</v>
      </c>
      <c r="B12" t="s">
        <v>103</v>
      </c>
      <c r="C12" s="35">
        <v>205078</v>
      </c>
      <c r="D12" s="39">
        <v>45629</v>
      </c>
      <c r="E12" t="s">
        <v>108</v>
      </c>
      <c r="F12" t="s">
        <v>107</v>
      </c>
      <c r="G12" s="35">
        <v>81904</v>
      </c>
      <c r="H12" t="s">
        <v>105</v>
      </c>
      <c r="I12">
        <v>1</v>
      </c>
      <c r="J12" t="s">
        <v>78</v>
      </c>
      <c r="K12" s="35">
        <v>1</v>
      </c>
      <c r="L12" t="s">
        <v>95</v>
      </c>
      <c r="M12" s="35">
        <v>1</v>
      </c>
      <c r="N12" t="s">
        <v>95</v>
      </c>
      <c r="O12">
        <v>0.8</v>
      </c>
      <c r="P12">
        <v>0.8</v>
      </c>
      <c r="Q12" s="36">
        <v>3.2</v>
      </c>
      <c r="S12">
        <f t="shared" si="0"/>
        <v>4</v>
      </c>
      <c r="T12">
        <f t="shared" si="1"/>
        <v>4</v>
      </c>
      <c r="U12">
        <f t="shared" si="2"/>
        <v>4</v>
      </c>
      <c r="V12" s="37" t="b">
        <f t="shared" si="3"/>
        <v>1</v>
      </c>
      <c r="W12" s="36">
        <f t="shared" si="4"/>
        <v>3.2</v>
      </c>
      <c r="X12">
        <f t="shared" si="5"/>
        <v>3.2</v>
      </c>
      <c r="Y12" s="37" t="b">
        <f t="shared" si="6"/>
        <v>1</v>
      </c>
    </row>
    <row r="13" spans="1:26" x14ac:dyDescent="0.25">
      <c r="A13" s="18">
        <v>10</v>
      </c>
      <c r="B13" t="s">
        <v>103</v>
      </c>
      <c r="C13" s="35">
        <v>205078</v>
      </c>
      <c r="D13" s="39">
        <v>45629</v>
      </c>
      <c r="E13" t="s">
        <v>108</v>
      </c>
      <c r="F13" t="s">
        <v>107</v>
      </c>
      <c r="G13" s="35">
        <v>60604</v>
      </c>
      <c r="H13" t="s">
        <v>105</v>
      </c>
      <c r="I13">
        <v>1</v>
      </c>
      <c r="J13" t="s">
        <v>78</v>
      </c>
      <c r="K13" s="35">
        <v>1</v>
      </c>
      <c r="L13" t="s">
        <v>95</v>
      </c>
      <c r="M13" s="35">
        <v>1</v>
      </c>
      <c r="N13" t="s">
        <v>95</v>
      </c>
      <c r="O13">
        <v>0.8</v>
      </c>
      <c r="P13">
        <v>0.8</v>
      </c>
      <c r="Q13" s="36">
        <v>3.2</v>
      </c>
      <c r="S13">
        <f t="shared" si="0"/>
        <v>4</v>
      </c>
      <c r="T13">
        <f t="shared" si="1"/>
        <v>4</v>
      </c>
      <c r="U13">
        <f t="shared" si="2"/>
        <v>4</v>
      </c>
      <c r="V13" s="37" t="b">
        <f t="shared" si="3"/>
        <v>1</v>
      </c>
      <c r="W13" s="36">
        <f t="shared" si="4"/>
        <v>3.2</v>
      </c>
      <c r="X13">
        <f t="shared" si="5"/>
        <v>3.2</v>
      </c>
      <c r="Y13" s="37" t="b">
        <f t="shared" si="6"/>
        <v>1</v>
      </c>
    </row>
    <row r="14" spans="1:26" x14ac:dyDescent="0.25">
      <c r="A14" s="18">
        <v>11</v>
      </c>
      <c r="B14" t="s">
        <v>103</v>
      </c>
      <c r="C14" s="35">
        <v>205078</v>
      </c>
      <c r="D14" s="39">
        <v>45629</v>
      </c>
      <c r="E14" t="s">
        <v>111</v>
      </c>
      <c r="F14" t="s">
        <v>110</v>
      </c>
      <c r="G14" s="35">
        <v>66204</v>
      </c>
      <c r="H14" t="s">
        <v>105</v>
      </c>
      <c r="I14">
        <v>1</v>
      </c>
      <c r="J14" t="s">
        <v>78</v>
      </c>
      <c r="K14" s="35">
        <v>1</v>
      </c>
      <c r="L14" t="s">
        <v>95</v>
      </c>
      <c r="M14" s="35">
        <v>1</v>
      </c>
      <c r="N14" t="s">
        <v>95</v>
      </c>
      <c r="O14">
        <v>0.8</v>
      </c>
      <c r="P14">
        <v>0.8</v>
      </c>
      <c r="Q14" s="36">
        <v>3.2</v>
      </c>
      <c r="S14">
        <f t="shared" si="0"/>
        <v>4</v>
      </c>
      <c r="T14">
        <f t="shared" si="1"/>
        <v>4</v>
      </c>
      <c r="U14">
        <f t="shared" si="2"/>
        <v>4</v>
      </c>
      <c r="V14" s="37" t="b">
        <f t="shared" si="3"/>
        <v>1</v>
      </c>
      <c r="W14" s="36">
        <f t="shared" si="4"/>
        <v>3.2</v>
      </c>
      <c r="X14">
        <f t="shared" si="5"/>
        <v>3.2</v>
      </c>
      <c r="Y14" s="37" t="b">
        <f t="shared" si="6"/>
        <v>1</v>
      </c>
    </row>
    <row r="15" spans="1:26" x14ac:dyDescent="0.25">
      <c r="A15" s="18">
        <v>12</v>
      </c>
      <c r="B15" t="s">
        <v>112</v>
      </c>
      <c r="C15" s="35">
        <v>208682</v>
      </c>
      <c r="D15" s="39">
        <v>45630</v>
      </c>
      <c r="E15" t="s">
        <v>115</v>
      </c>
      <c r="F15" t="s">
        <v>114</v>
      </c>
      <c r="G15" s="35">
        <v>5058305</v>
      </c>
      <c r="H15" t="s">
        <v>74</v>
      </c>
      <c r="I15">
        <v>2</v>
      </c>
      <c r="J15" t="s">
        <v>78</v>
      </c>
      <c r="K15" s="35">
        <v>2</v>
      </c>
      <c r="L15" t="s">
        <v>79</v>
      </c>
      <c r="M15" s="35">
        <v>2</v>
      </c>
      <c r="N15" t="s">
        <v>79</v>
      </c>
      <c r="O15" s="35">
        <v>1</v>
      </c>
      <c r="P15" s="35">
        <v>2</v>
      </c>
      <c r="Q15" s="36">
        <v>4</v>
      </c>
      <c r="S15">
        <f t="shared" si="0"/>
        <v>4</v>
      </c>
      <c r="T15">
        <f t="shared" si="1"/>
        <v>4</v>
      </c>
      <c r="U15">
        <f t="shared" si="2"/>
        <v>4</v>
      </c>
      <c r="V15" s="37" t="b">
        <f t="shared" si="3"/>
        <v>1</v>
      </c>
      <c r="W15" s="36">
        <f t="shared" si="4"/>
        <v>4</v>
      </c>
      <c r="X15">
        <f t="shared" si="5"/>
        <v>4</v>
      </c>
      <c r="Y15" s="37" t="b">
        <f t="shared" si="6"/>
        <v>1</v>
      </c>
    </row>
    <row r="16" spans="1:26" x14ac:dyDescent="0.25">
      <c r="A16" s="18">
        <v>13</v>
      </c>
      <c r="B16" t="s">
        <v>112</v>
      </c>
      <c r="C16" s="35">
        <v>208682</v>
      </c>
      <c r="D16" s="39">
        <v>45630</v>
      </c>
      <c r="E16" t="s">
        <v>115</v>
      </c>
      <c r="F16" t="s">
        <v>116</v>
      </c>
      <c r="G16" s="35">
        <v>5059878</v>
      </c>
      <c r="H16" t="s">
        <v>74</v>
      </c>
      <c r="I16">
        <v>2</v>
      </c>
      <c r="J16" t="s">
        <v>78</v>
      </c>
      <c r="K16" s="35">
        <v>2</v>
      </c>
      <c r="L16" t="s">
        <v>79</v>
      </c>
      <c r="M16" s="35">
        <v>2</v>
      </c>
      <c r="N16" t="s">
        <v>79</v>
      </c>
      <c r="O16" s="35">
        <v>1</v>
      </c>
      <c r="P16" s="35">
        <v>2</v>
      </c>
      <c r="Q16" s="36">
        <v>4</v>
      </c>
      <c r="S16">
        <f t="shared" si="0"/>
        <v>4</v>
      </c>
      <c r="T16">
        <f t="shared" si="1"/>
        <v>4</v>
      </c>
      <c r="U16">
        <f t="shared" si="2"/>
        <v>4</v>
      </c>
      <c r="V16" s="37" t="b">
        <f t="shared" si="3"/>
        <v>1</v>
      </c>
      <c r="W16" s="36">
        <f t="shared" si="4"/>
        <v>4</v>
      </c>
      <c r="X16">
        <f t="shared" si="5"/>
        <v>4</v>
      </c>
      <c r="Y16" s="37" t="b">
        <f t="shared" si="6"/>
        <v>1</v>
      </c>
    </row>
    <row r="17" spans="1:25" x14ac:dyDescent="0.25">
      <c r="A17" s="18">
        <v>14</v>
      </c>
      <c r="B17" t="s">
        <v>117</v>
      </c>
      <c r="C17" s="35">
        <v>213272</v>
      </c>
      <c r="D17" s="39">
        <v>45632</v>
      </c>
      <c r="E17" t="s">
        <v>121</v>
      </c>
      <c r="F17" t="s">
        <v>120</v>
      </c>
      <c r="G17" t="s">
        <v>122</v>
      </c>
      <c r="H17" t="s">
        <v>119</v>
      </c>
      <c r="I17">
        <v>2</v>
      </c>
      <c r="J17" t="s">
        <v>78</v>
      </c>
      <c r="K17" s="35">
        <v>2</v>
      </c>
      <c r="L17" t="s">
        <v>123</v>
      </c>
      <c r="M17" s="35">
        <v>2</v>
      </c>
      <c r="N17" t="s">
        <v>123</v>
      </c>
      <c r="O17" s="35">
        <v>1</v>
      </c>
      <c r="P17" s="35">
        <v>2</v>
      </c>
      <c r="Q17" s="36">
        <v>2</v>
      </c>
      <c r="S17">
        <f t="shared" si="0"/>
        <v>2</v>
      </c>
      <c r="T17">
        <f t="shared" si="1"/>
        <v>2</v>
      </c>
      <c r="U17">
        <f t="shared" si="2"/>
        <v>2</v>
      </c>
      <c r="V17" s="37" t="b">
        <f t="shared" si="3"/>
        <v>1</v>
      </c>
      <c r="W17" s="36">
        <f t="shared" si="4"/>
        <v>2</v>
      </c>
      <c r="X17">
        <f t="shared" si="5"/>
        <v>2</v>
      </c>
      <c r="Y17" s="37" t="b">
        <f t="shared" si="6"/>
        <v>1</v>
      </c>
    </row>
    <row r="18" spans="1:25" x14ac:dyDescent="0.25">
      <c r="A18" s="18">
        <v>15</v>
      </c>
      <c r="B18" t="s">
        <v>125</v>
      </c>
      <c r="C18" s="35">
        <v>216196</v>
      </c>
      <c r="D18" s="39">
        <v>45635</v>
      </c>
      <c r="E18" t="s">
        <v>128</v>
      </c>
      <c r="F18" t="s">
        <v>128</v>
      </c>
      <c r="G18" t="s">
        <v>129</v>
      </c>
      <c r="H18" t="s">
        <v>127</v>
      </c>
      <c r="I18">
        <v>2</v>
      </c>
      <c r="J18" t="s">
        <v>78</v>
      </c>
      <c r="K18" s="35">
        <v>2</v>
      </c>
      <c r="L18" t="s">
        <v>123</v>
      </c>
      <c r="M18" s="35">
        <v>2</v>
      </c>
      <c r="N18" t="s">
        <v>123</v>
      </c>
      <c r="O18" s="36">
        <v>4.95</v>
      </c>
      <c r="P18">
        <v>9.9</v>
      </c>
      <c r="Q18" s="36">
        <v>33.9</v>
      </c>
      <c r="S18">
        <f t="shared" si="0"/>
        <v>7</v>
      </c>
      <c r="T18">
        <f t="shared" si="1"/>
        <v>7</v>
      </c>
      <c r="U18">
        <f t="shared" si="2"/>
        <v>7</v>
      </c>
      <c r="V18" s="37" t="b">
        <f t="shared" si="3"/>
        <v>1</v>
      </c>
      <c r="W18" s="36">
        <f t="shared" si="4"/>
        <v>33.9</v>
      </c>
      <c r="X18">
        <f t="shared" si="5"/>
        <v>33.9</v>
      </c>
      <c r="Y18" s="37" t="b">
        <f t="shared" si="6"/>
        <v>1</v>
      </c>
    </row>
    <row r="19" spans="1:25" x14ac:dyDescent="0.25">
      <c r="A19" s="18">
        <v>16</v>
      </c>
      <c r="B19" t="s">
        <v>125</v>
      </c>
      <c r="C19" s="35">
        <v>216196</v>
      </c>
      <c r="D19" s="39">
        <v>45635</v>
      </c>
      <c r="E19" t="s">
        <v>131</v>
      </c>
      <c r="F19" t="s">
        <v>131</v>
      </c>
      <c r="G19" t="s">
        <v>132</v>
      </c>
      <c r="H19" t="s">
        <v>127</v>
      </c>
      <c r="I19">
        <v>5</v>
      </c>
      <c r="J19" t="s">
        <v>78</v>
      </c>
      <c r="K19" s="35">
        <v>5</v>
      </c>
      <c r="L19" t="s">
        <v>123</v>
      </c>
      <c r="M19" s="35">
        <v>5</v>
      </c>
      <c r="N19" t="s">
        <v>123</v>
      </c>
      <c r="O19">
        <v>4.8</v>
      </c>
      <c r="P19" s="35">
        <v>24</v>
      </c>
      <c r="Q19" s="36">
        <v>33.9</v>
      </c>
      <c r="S19">
        <f t="shared" si="0"/>
        <v>7</v>
      </c>
      <c r="T19">
        <f t="shared" si="1"/>
        <v>7</v>
      </c>
      <c r="U19">
        <f t="shared" si="2"/>
        <v>7</v>
      </c>
      <c r="V19" s="37" t="b">
        <f t="shared" si="3"/>
        <v>1</v>
      </c>
      <c r="W19" s="36">
        <f t="shared" si="4"/>
        <v>33.9</v>
      </c>
      <c r="X19">
        <f t="shared" si="5"/>
        <v>33.9</v>
      </c>
      <c r="Y19" s="37" t="b">
        <f t="shared" si="6"/>
        <v>1</v>
      </c>
    </row>
    <row r="20" spans="1:25" x14ac:dyDescent="0.25">
      <c r="A20" s="18">
        <v>17</v>
      </c>
      <c r="B20" t="s">
        <v>133</v>
      </c>
      <c r="C20" s="35">
        <v>216309</v>
      </c>
      <c r="D20" s="39">
        <v>45635</v>
      </c>
      <c r="E20" t="s">
        <v>136</v>
      </c>
      <c r="F20" t="s">
        <v>135</v>
      </c>
      <c r="G20" t="s">
        <v>137</v>
      </c>
      <c r="H20" t="s">
        <v>119</v>
      </c>
      <c r="I20">
        <v>24</v>
      </c>
      <c r="J20" t="s">
        <v>78</v>
      </c>
      <c r="K20" s="35">
        <v>12</v>
      </c>
      <c r="L20" t="s">
        <v>123</v>
      </c>
      <c r="M20" s="35">
        <v>12</v>
      </c>
      <c r="N20" t="s">
        <v>123</v>
      </c>
      <c r="O20" s="36">
        <v>0.95</v>
      </c>
      <c r="P20">
        <v>11.4</v>
      </c>
      <c r="Q20" s="36">
        <v>33</v>
      </c>
      <c r="S20">
        <f t="shared" si="0"/>
        <v>34</v>
      </c>
      <c r="T20">
        <f t="shared" si="1"/>
        <v>34</v>
      </c>
      <c r="U20">
        <f t="shared" si="2"/>
        <v>34</v>
      </c>
      <c r="V20" s="37" t="b">
        <f t="shared" si="3"/>
        <v>1</v>
      </c>
      <c r="W20" s="36">
        <f t="shared" si="4"/>
        <v>33</v>
      </c>
      <c r="X20">
        <f t="shared" si="5"/>
        <v>33</v>
      </c>
      <c r="Y20" s="37" t="b">
        <f t="shared" si="6"/>
        <v>1</v>
      </c>
    </row>
    <row r="21" spans="1:25" x14ac:dyDescent="0.25">
      <c r="A21" s="18">
        <v>18</v>
      </c>
      <c r="B21" t="s">
        <v>133</v>
      </c>
      <c r="C21" s="35">
        <v>216309</v>
      </c>
      <c r="D21" s="39">
        <v>45635</v>
      </c>
      <c r="E21" t="s">
        <v>136</v>
      </c>
      <c r="G21" t="s">
        <v>137</v>
      </c>
      <c r="H21" t="s">
        <v>119</v>
      </c>
      <c r="K21" s="35">
        <v>12</v>
      </c>
      <c r="L21" t="s">
        <v>123</v>
      </c>
      <c r="M21" s="35">
        <v>12</v>
      </c>
      <c r="N21" t="s">
        <v>123</v>
      </c>
      <c r="O21" s="36">
        <v>0.95</v>
      </c>
      <c r="P21">
        <v>11.4</v>
      </c>
      <c r="Q21" s="36">
        <v>33</v>
      </c>
      <c r="S21">
        <f t="shared" si="0"/>
        <v>34</v>
      </c>
      <c r="T21">
        <f t="shared" si="1"/>
        <v>34</v>
      </c>
      <c r="U21">
        <f t="shared" si="2"/>
        <v>34</v>
      </c>
      <c r="V21" s="37" t="b">
        <f t="shared" si="3"/>
        <v>1</v>
      </c>
      <c r="W21" s="36">
        <f t="shared" si="4"/>
        <v>33</v>
      </c>
      <c r="X21">
        <f t="shared" si="5"/>
        <v>33</v>
      </c>
      <c r="Y21" s="37" t="b">
        <f t="shared" si="6"/>
        <v>1</v>
      </c>
    </row>
    <row r="22" spans="1:25" x14ac:dyDescent="0.25">
      <c r="A22" s="18">
        <v>19</v>
      </c>
      <c r="B22" t="s">
        <v>133</v>
      </c>
      <c r="C22" s="35">
        <v>216309</v>
      </c>
      <c r="D22" s="39">
        <v>45635</v>
      </c>
      <c r="E22" t="s">
        <v>136</v>
      </c>
      <c r="F22" t="s">
        <v>135</v>
      </c>
      <c r="G22" t="s">
        <v>139</v>
      </c>
      <c r="H22" t="s">
        <v>119</v>
      </c>
      <c r="I22">
        <v>10</v>
      </c>
      <c r="J22" t="s">
        <v>78</v>
      </c>
      <c r="K22" s="35">
        <v>5</v>
      </c>
      <c r="L22" t="s">
        <v>123</v>
      </c>
      <c r="M22" s="35">
        <v>5</v>
      </c>
      <c r="N22" t="s">
        <v>123</v>
      </c>
      <c r="O22" s="36">
        <v>1.02</v>
      </c>
      <c r="P22">
        <v>5.0999999999999996</v>
      </c>
      <c r="Q22" s="36">
        <v>33</v>
      </c>
      <c r="S22">
        <f t="shared" si="0"/>
        <v>34</v>
      </c>
      <c r="T22">
        <f t="shared" si="1"/>
        <v>34</v>
      </c>
      <c r="U22">
        <f t="shared" si="2"/>
        <v>34</v>
      </c>
      <c r="V22" s="37" t="b">
        <f t="shared" si="3"/>
        <v>1</v>
      </c>
      <c r="W22" s="36">
        <f t="shared" si="4"/>
        <v>33</v>
      </c>
      <c r="X22">
        <f t="shared" si="5"/>
        <v>33</v>
      </c>
      <c r="Y22" s="37" t="b">
        <f t="shared" si="6"/>
        <v>1</v>
      </c>
    </row>
    <row r="23" spans="1:25" x14ac:dyDescent="0.25">
      <c r="A23" s="18">
        <v>20</v>
      </c>
      <c r="B23" t="s">
        <v>133</v>
      </c>
      <c r="C23" s="35">
        <v>216309</v>
      </c>
      <c r="D23" s="39">
        <v>45635</v>
      </c>
      <c r="E23" t="s">
        <v>136</v>
      </c>
      <c r="G23" t="s">
        <v>139</v>
      </c>
      <c r="H23" t="s">
        <v>119</v>
      </c>
      <c r="K23" s="35">
        <v>5</v>
      </c>
      <c r="L23" t="s">
        <v>123</v>
      </c>
      <c r="M23" s="35">
        <v>5</v>
      </c>
      <c r="N23" t="s">
        <v>123</v>
      </c>
      <c r="O23" s="36">
        <v>1.02</v>
      </c>
      <c r="P23">
        <v>5.0999999999999996</v>
      </c>
      <c r="Q23" s="36">
        <v>33</v>
      </c>
      <c r="S23">
        <f t="shared" si="0"/>
        <v>34</v>
      </c>
      <c r="T23">
        <f t="shared" si="1"/>
        <v>34</v>
      </c>
      <c r="U23">
        <f t="shared" si="2"/>
        <v>34</v>
      </c>
      <c r="V23" s="37" t="b">
        <f t="shared" si="3"/>
        <v>1</v>
      </c>
      <c r="W23" s="36">
        <f t="shared" si="4"/>
        <v>33</v>
      </c>
      <c r="X23">
        <f t="shared" si="5"/>
        <v>33</v>
      </c>
      <c r="Y23" s="37" t="b">
        <f t="shared" si="6"/>
        <v>1</v>
      </c>
    </row>
    <row r="24" spans="1:25" x14ac:dyDescent="0.25">
      <c r="A24" s="18">
        <v>21</v>
      </c>
      <c r="B24" t="s">
        <v>140</v>
      </c>
      <c r="C24" s="35">
        <v>217929</v>
      </c>
      <c r="D24" s="39">
        <v>45636</v>
      </c>
      <c r="E24" t="s">
        <v>115</v>
      </c>
      <c r="F24" t="s">
        <v>114</v>
      </c>
      <c r="G24" s="35">
        <v>5058304</v>
      </c>
      <c r="H24" t="s">
        <v>74</v>
      </c>
      <c r="I24">
        <v>2</v>
      </c>
      <c r="J24" t="s">
        <v>78</v>
      </c>
      <c r="K24" s="35">
        <v>2</v>
      </c>
      <c r="L24" t="s">
        <v>79</v>
      </c>
      <c r="M24" s="35">
        <v>2</v>
      </c>
      <c r="N24" t="s">
        <v>79</v>
      </c>
      <c r="O24" s="35">
        <v>1</v>
      </c>
      <c r="P24" s="35">
        <v>2</v>
      </c>
      <c r="Q24" s="36">
        <v>8</v>
      </c>
      <c r="S24">
        <f t="shared" si="0"/>
        <v>8</v>
      </c>
      <c r="T24">
        <f t="shared" si="1"/>
        <v>8</v>
      </c>
      <c r="U24">
        <f t="shared" si="2"/>
        <v>8</v>
      </c>
      <c r="V24" s="37" t="b">
        <f t="shared" si="3"/>
        <v>1</v>
      </c>
      <c r="W24" s="36">
        <f t="shared" si="4"/>
        <v>8</v>
      </c>
      <c r="X24">
        <f t="shared" si="5"/>
        <v>8</v>
      </c>
      <c r="Y24" s="37" t="b">
        <f t="shared" si="6"/>
        <v>1</v>
      </c>
    </row>
    <row r="25" spans="1:25" x14ac:dyDescent="0.25">
      <c r="A25" s="18">
        <v>22</v>
      </c>
      <c r="B25" t="s">
        <v>140</v>
      </c>
      <c r="C25" s="35">
        <v>217929</v>
      </c>
      <c r="D25" s="39">
        <v>45636</v>
      </c>
      <c r="E25" t="s">
        <v>77</v>
      </c>
      <c r="F25" t="s">
        <v>142</v>
      </c>
      <c r="G25" s="35">
        <v>3066</v>
      </c>
      <c r="H25" t="s">
        <v>74</v>
      </c>
      <c r="I25">
        <v>2</v>
      </c>
      <c r="J25" t="s">
        <v>78</v>
      </c>
      <c r="K25" s="35">
        <v>1</v>
      </c>
      <c r="L25" t="s">
        <v>79</v>
      </c>
      <c r="M25" s="35">
        <v>1</v>
      </c>
      <c r="N25" t="s">
        <v>79</v>
      </c>
      <c r="O25" s="35">
        <v>1</v>
      </c>
      <c r="P25" s="35">
        <v>1</v>
      </c>
      <c r="Q25" s="36">
        <v>8</v>
      </c>
      <c r="S25">
        <f t="shared" si="0"/>
        <v>8</v>
      </c>
      <c r="T25">
        <f t="shared" si="1"/>
        <v>8</v>
      </c>
      <c r="U25">
        <f t="shared" si="2"/>
        <v>8</v>
      </c>
      <c r="V25" s="37" t="b">
        <f t="shared" si="3"/>
        <v>1</v>
      </c>
      <c r="W25" s="36">
        <f t="shared" si="4"/>
        <v>8</v>
      </c>
      <c r="X25">
        <f t="shared" si="5"/>
        <v>8</v>
      </c>
      <c r="Y25" s="37" t="b">
        <f t="shared" si="6"/>
        <v>1</v>
      </c>
    </row>
    <row r="26" spans="1:25" x14ac:dyDescent="0.25">
      <c r="A26" s="18">
        <v>23</v>
      </c>
      <c r="B26" t="s">
        <v>140</v>
      </c>
      <c r="C26" s="35">
        <v>217929</v>
      </c>
      <c r="D26" s="39">
        <v>45636</v>
      </c>
      <c r="E26" t="s">
        <v>77</v>
      </c>
      <c r="G26" s="35">
        <v>3066</v>
      </c>
      <c r="H26" t="s">
        <v>74</v>
      </c>
      <c r="K26" s="35">
        <v>1</v>
      </c>
      <c r="L26" t="s">
        <v>79</v>
      </c>
      <c r="M26" s="35">
        <v>1</v>
      </c>
      <c r="N26" t="s">
        <v>79</v>
      </c>
      <c r="O26" s="35">
        <v>1</v>
      </c>
      <c r="P26" s="35">
        <v>1</v>
      </c>
      <c r="Q26" s="36">
        <v>8</v>
      </c>
      <c r="S26">
        <f t="shared" si="0"/>
        <v>8</v>
      </c>
      <c r="T26">
        <f t="shared" si="1"/>
        <v>8</v>
      </c>
      <c r="U26">
        <f t="shared" si="2"/>
        <v>8</v>
      </c>
      <c r="V26" s="37" t="b">
        <f t="shared" si="3"/>
        <v>1</v>
      </c>
      <c r="W26" s="36">
        <f t="shared" si="4"/>
        <v>8</v>
      </c>
      <c r="X26">
        <f t="shared" si="5"/>
        <v>8</v>
      </c>
      <c r="Y26" s="37" t="b">
        <f t="shared" si="6"/>
        <v>1</v>
      </c>
    </row>
    <row r="27" spans="1:25" x14ac:dyDescent="0.25">
      <c r="A27" s="18">
        <v>24</v>
      </c>
      <c r="B27" t="s">
        <v>140</v>
      </c>
      <c r="C27" s="35">
        <v>217929</v>
      </c>
      <c r="D27" s="39">
        <v>45636</v>
      </c>
      <c r="E27" t="s">
        <v>77</v>
      </c>
      <c r="F27" t="s">
        <v>143</v>
      </c>
      <c r="G27" s="35">
        <v>3067</v>
      </c>
      <c r="H27" t="s">
        <v>74</v>
      </c>
      <c r="I27">
        <v>2</v>
      </c>
      <c r="J27" t="s">
        <v>78</v>
      </c>
      <c r="K27" s="35">
        <v>1</v>
      </c>
      <c r="L27" t="s">
        <v>79</v>
      </c>
      <c r="M27" s="35">
        <v>1</v>
      </c>
      <c r="N27" t="s">
        <v>79</v>
      </c>
      <c r="O27" s="35">
        <v>1</v>
      </c>
      <c r="P27" s="35">
        <v>1</v>
      </c>
      <c r="Q27" s="36">
        <v>8</v>
      </c>
      <c r="S27">
        <f t="shared" si="0"/>
        <v>8</v>
      </c>
      <c r="T27">
        <f t="shared" si="1"/>
        <v>8</v>
      </c>
      <c r="U27">
        <f t="shared" si="2"/>
        <v>8</v>
      </c>
      <c r="V27" s="37" t="b">
        <f t="shared" si="3"/>
        <v>1</v>
      </c>
      <c r="W27" s="36">
        <f t="shared" si="4"/>
        <v>8</v>
      </c>
      <c r="X27">
        <f t="shared" si="5"/>
        <v>8</v>
      </c>
      <c r="Y27" s="37" t="b">
        <f t="shared" si="6"/>
        <v>1</v>
      </c>
    </row>
    <row r="28" spans="1:25" x14ac:dyDescent="0.25">
      <c r="A28" s="18">
        <v>25</v>
      </c>
      <c r="B28" t="s">
        <v>140</v>
      </c>
      <c r="C28" s="35">
        <v>217929</v>
      </c>
      <c r="D28" s="39">
        <v>45636</v>
      </c>
      <c r="E28" t="s">
        <v>77</v>
      </c>
      <c r="G28" s="35">
        <v>3067</v>
      </c>
      <c r="H28" t="s">
        <v>74</v>
      </c>
      <c r="K28" s="35">
        <v>1</v>
      </c>
      <c r="L28" t="s">
        <v>79</v>
      </c>
      <c r="M28" s="35">
        <v>1</v>
      </c>
      <c r="N28" t="s">
        <v>79</v>
      </c>
      <c r="O28" s="35">
        <v>1</v>
      </c>
      <c r="P28" s="35">
        <v>1</v>
      </c>
      <c r="Q28" s="36">
        <v>8</v>
      </c>
      <c r="S28">
        <f t="shared" si="0"/>
        <v>8</v>
      </c>
      <c r="T28">
        <f t="shared" si="1"/>
        <v>8</v>
      </c>
      <c r="U28">
        <f t="shared" si="2"/>
        <v>8</v>
      </c>
      <c r="V28" s="37" t="b">
        <f t="shared" si="3"/>
        <v>1</v>
      </c>
      <c r="W28" s="36">
        <f t="shared" si="4"/>
        <v>8</v>
      </c>
      <c r="X28">
        <f t="shared" si="5"/>
        <v>8</v>
      </c>
      <c r="Y28" s="37" t="b">
        <f t="shared" si="6"/>
        <v>1</v>
      </c>
    </row>
    <row r="29" spans="1:25" x14ac:dyDescent="0.25">
      <c r="A29" s="18">
        <v>26</v>
      </c>
      <c r="B29" t="s">
        <v>140</v>
      </c>
      <c r="C29" s="35">
        <v>217929</v>
      </c>
      <c r="D29" s="39">
        <v>45636</v>
      </c>
      <c r="E29" t="s">
        <v>77</v>
      </c>
      <c r="F29" t="s">
        <v>144</v>
      </c>
      <c r="G29" s="35">
        <v>3210</v>
      </c>
      <c r="H29" t="s">
        <v>74</v>
      </c>
      <c r="I29">
        <v>1</v>
      </c>
      <c r="J29" t="s">
        <v>78</v>
      </c>
      <c r="K29" s="35">
        <v>1</v>
      </c>
      <c r="L29" t="s">
        <v>79</v>
      </c>
      <c r="M29" s="35">
        <v>1</v>
      </c>
      <c r="N29" t="s">
        <v>79</v>
      </c>
      <c r="O29" s="35">
        <v>1</v>
      </c>
      <c r="P29" s="35">
        <v>1</v>
      </c>
      <c r="Q29" s="36">
        <v>8</v>
      </c>
      <c r="S29">
        <f t="shared" si="0"/>
        <v>8</v>
      </c>
      <c r="T29">
        <f t="shared" si="1"/>
        <v>8</v>
      </c>
      <c r="U29">
        <f t="shared" si="2"/>
        <v>8</v>
      </c>
      <c r="V29" s="37" t="b">
        <f t="shared" si="3"/>
        <v>1</v>
      </c>
      <c r="W29" s="36">
        <f t="shared" si="4"/>
        <v>8</v>
      </c>
      <c r="X29">
        <f t="shared" si="5"/>
        <v>8</v>
      </c>
      <c r="Y29" s="37" t="b">
        <f t="shared" si="6"/>
        <v>1</v>
      </c>
    </row>
    <row r="30" spans="1:25" x14ac:dyDescent="0.25">
      <c r="A30" s="18">
        <v>27</v>
      </c>
      <c r="B30" t="s">
        <v>140</v>
      </c>
      <c r="C30" s="35">
        <v>217929</v>
      </c>
      <c r="D30" s="39">
        <v>45636</v>
      </c>
      <c r="E30" t="s">
        <v>77</v>
      </c>
      <c r="F30" t="s">
        <v>145</v>
      </c>
      <c r="G30" s="35">
        <v>3212</v>
      </c>
      <c r="H30" t="s">
        <v>74</v>
      </c>
      <c r="I30">
        <v>1</v>
      </c>
      <c r="J30" t="s">
        <v>78</v>
      </c>
      <c r="K30" s="35">
        <v>1</v>
      </c>
      <c r="L30" t="s">
        <v>79</v>
      </c>
      <c r="M30" s="35">
        <v>1</v>
      </c>
      <c r="N30" t="s">
        <v>79</v>
      </c>
      <c r="O30" s="35">
        <v>1</v>
      </c>
      <c r="P30" s="35">
        <v>1</v>
      </c>
      <c r="Q30" s="36">
        <v>8</v>
      </c>
      <c r="S30">
        <f t="shared" si="0"/>
        <v>8</v>
      </c>
      <c r="T30">
        <f t="shared" si="1"/>
        <v>8</v>
      </c>
      <c r="U30">
        <f t="shared" si="2"/>
        <v>8</v>
      </c>
      <c r="V30" s="37" t="b">
        <f t="shared" si="3"/>
        <v>1</v>
      </c>
      <c r="W30" s="36">
        <f t="shared" si="4"/>
        <v>8</v>
      </c>
      <c r="X30">
        <f t="shared" si="5"/>
        <v>8</v>
      </c>
      <c r="Y30" s="37" t="b">
        <f t="shared" si="6"/>
        <v>1</v>
      </c>
    </row>
    <row r="31" spans="1:25" x14ac:dyDescent="0.25">
      <c r="A31" s="18">
        <v>28</v>
      </c>
      <c r="B31" t="s">
        <v>146</v>
      </c>
      <c r="C31" s="35">
        <v>217958</v>
      </c>
      <c r="D31" s="39">
        <v>45636</v>
      </c>
      <c r="E31" t="s">
        <v>121</v>
      </c>
      <c r="F31" t="s">
        <v>148</v>
      </c>
      <c r="G31" t="s">
        <v>149</v>
      </c>
      <c r="H31" t="s">
        <v>119</v>
      </c>
      <c r="I31">
        <v>7</v>
      </c>
      <c r="J31" t="s">
        <v>78</v>
      </c>
      <c r="K31" s="35">
        <v>3</v>
      </c>
      <c r="L31" t="s">
        <v>123</v>
      </c>
      <c r="M31" s="35">
        <v>3</v>
      </c>
      <c r="N31" t="s">
        <v>123</v>
      </c>
      <c r="O31" s="35">
        <v>1</v>
      </c>
      <c r="P31" s="35">
        <v>3</v>
      </c>
      <c r="Q31" s="36">
        <v>7</v>
      </c>
      <c r="S31">
        <f t="shared" si="0"/>
        <v>7</v>
      </c>
      <c r="T31">
        <f t="shared" si="1"/>
        <v>7</v>
      </c>
      <c r="U31">
        <f t="shared" si="2"/>
        <v>7</v>
      </c>
      <c r="V31" s="37" t="b">
        <f t="shared" si="3"/>
        <v>1</v>
      </c>
      <c r="W31" s="36">
        <f t="shared" si="4"/>
        <v>7</v>
      </c>
      <c r="X31">
        <f t="shared" si="5"/>
        <v>7</v>
      </c>
      <c r="Y31" s="37" t="b">
        <f t="shared" si="6"/>
        <v>1</v>
      </c>
    </row>
    <row r="32" spans="1:25" x14ac:dyDescent="0.25">
      <c r="A32" s="18">
        <v>29</v>
      </c>
      <c r="B32" t="s">
        <v>146</v>
      </c>
      <c r="C32" s="35">
        <v>217958</v>
      </c>
      <c r="D32" s="39">
        <v>45636</v>
      </c>
      <c r="E32" t="s">
        <v>121</v>
      </c>
      <c r="G32" t="s">
        <v>150</v>
      </c>
      <c r="H32" t="s">
        <v>119</v>
      </c>
      <c r="K32" s="35">
        <v>4</v>
      </c>
      <c r="L32" t="s">
        <v>123</v>
      </c>
      <c r="M32" s="35">
        <v>4</v>
      </c>
      <c r="N32" t="s">
        <v>123</v>
      </c>
      <c r="O32" s="35">
        <v>1</v>
      </c>
      <c r="P32" s="35">
        <v>4</v>
      </c>
      <c r="Q32" s="36">
        <v>7</v>
      </c>
      <c r="S32">
        <f t="shared" si="0"/>
        <v>7</v>
      </c>
      <c r="T32">
        <f t="shared" si="1"/>
        <v>7</v>
      </c>
      <c r="U32">
        <f t="shared" si="2"/>
        <v>7</v>
      </c>
      <c r="V32" s="37" t="b">
        <f t="shared" si="3"/>
        <v>1</v>
      </c>
      <c r="W32" s="36">
        <f t="shared" si="4"/>
        <v>7</v>
      </c>
      <c r="X32">
        <f t="shared" si="5"/>
        <v>7</v>
      </c>
      <c r="Y32" s="37" t="b">
        <f t="shared" si="6"/>
        <v>1</v>
      </c>
    </row>
    <row r="33" spans="1:25" x14ac:dyDescent="0.25">
      <c r="A33" s="18">
        <v>30</v>
      </c>
      <c r="B33" t="s">
        <v>151</v>
      </c>
      <c r="C33" s="35">
        <v>221073</v>
      </c>
      <c r="D33" s="39">
        <v>45637</v>
      </c>
      <c r="E33" t="s">
        <v>155</v>
      </c>
      <c r="F33" t="s">
        <v>154</v>
      </c>
      <c r="G33" t="s">
        <v>156</v>
      </c>
      <c r="H33" t="s">
        <v>153</v>
      </c>
      <c r="I33">
        <v>1</v>
      </c>
      <c r="J33" t="s">
        <v>78</v>
      </c>
      <c r="K33" s="35">
        <v>1</v>
      </c>
      <c r="L33" t="s">
        <v>95</v>
      </c>
      <c r="M33" s="35">
        <v>1</v>
      </c>
      <c r="N33" t="s">
        <v>95</v>
      </c>
      <c r="O33" s="35">
        <v>14</v>
      </c>
      <c r="P33" s="35">
        <v>14</v>
      </c>
      <c r="Q33" s="36">
        <v>94</v>
      </c>
      <c r="S33">
        <f t="shared" si="0"/>
        <v>21</v>
      </c>
      <c r="T33">
        <f t="shared" si="1"/>
        <v>21</v>
      </c>
      <c r="U33">
        <f t="shared" si="2"/>
        <v>21</v>
      </c>
      <c r="V33" s="37" t="b">
        <f t="shared" si="3"/>
        <v>1</v>
      </c>
      <c r="W33" s="36">
        <f t="shared" si="4"/>
        <v>94</v>
      </c>
      <c r="X33">
        <f t="shared" si="5"/>
        <v>94</v>
      </c>
      <c r="Y33" s="37" t="b">
        <f t="shared" si="6"/>
        <v>1</v>
      </c>
    </row>
    <row r="34" spans="1:25" x14ac:dyDescent="0.25">
      <c r="A34" s="18">
        <v>31</v>
      </c>
      <c r="B34" t="s">
        <v>151</v>
      </c>
      <c r="C34" s="35">
        <v>221073</v>
      </c>
      <c r="D34" s="39">
        <v>45637</v>
      </c>
      <c r="E34" t="s">
        <v>158</v>
      </c>
      <c r="F34" t="s">
        <v>157</v>
      </c>
      <c r="G34" t="s">
        <v>159</v>
      </c>
      <c r="H34" t="s">
        <v>153</v>
      </c>
      <c r="I34">
        <v>20</v>
      </c>
      <c r="J34" t="s">
        <v>78</v>
      </c>
      <c r="K34" s="35">
        <v>20</v>
      </c>
      <c r="L34" t="s">
        <v>95</v>
      </c>
      <c r="M34" s="35">
        <v>20</v>
      </c>
      <c r="N34" t="s">
        <v>95</v>
      </c>
      <c r="O34" s="35">
        <v>4</v>
      </c>
      <c r="P34" s="35">
        <v>80</v>
      </c>
      <c r="Q34" s="36">
        <v>94</v>
      </c>
      <c r="S34">
        <f t="shared" si="0"/>
        <v>21</v>
      </c>
      <c r="T34">
        <f t="shared" si="1"/>
        <v>21</v>
      </c>
      <c r="U34">
        <f t="shared" si="2"/>
        <v>21</v>
      </c>
      <c r="V34" s="37" t="b">
        <f t="shared" si="3"/>
        <v>1</v>
      </c>
      <c r="W34" s="36">
        <f t="shared" si="4"/>
        <v>94</v>
      </c>
      <c r="X34">
        <f t="shared" si="5"/>
        <v>94</v>
      </c>
      <c r="Y34" s="37" t="b">
        <f t="shared" si="6"/>
        <v>1</v>
      </c>
    </row>
    <row r="35" spans="1:25" x14ac:dyDescent="0.25">
      <c r="A35" s="18">
        <v>32</v>
      </c>
      <c r="B35" t="s">
        <v>160</v>
      </c>
      <c r="C35" s="35">
        <v>222550</v>
      </c>
      <c r="D35" s="39">
        <v>45638</v>
      </c>
      <c r="E35" t="s">
        <v>121</v>
      </c>
      <c r="F35" t="s">
        <v>162</v>
      </c>
      <c r="G35" t="s">
        <v>163</v>
      </c>
      <c r="H35" t="s">
        <v>119</v>
      </c>
      <c r="I35">
        <v>3</v>
      </c>
      <c r="J35" t="s">
        <v>78</v>
      </c>
      <c r="K35" s="35">
        <v>3</v>
      </c>
      <c r="L35" t="s">
        <v>123</v>
      </c>
      <c r="M35" s="35">
        <v>3</v>
      </c>
      <c r="N35" t="s">
        <v>123</v>
      </c>
      <c r="O35" s="35">
        <v>1</v>
      </c>
      <c r="P35" s="35">
        <v>3</v>
      </c>
      <c r="Q35" s="36">
        <v>6</v>
      </c>
      <c r="S35">
        <f t="shared" si="0"/>
        <v>6</v>
      </c>
      <c r="T35">
        <f t="shared" si="1"/>
        <v>6</v>
      </c>
      <c r="U35">
        <f t="shared" si="2"/>
        <v>6</v>
      </c>
      <c r="V35" s="37" t="b">
        <f t="shared" si="3"/>
        <v>1</v>
      </c>
      <c r="W35" s="36">
        <f t="shared" si="4"/>
        <v>6</v>
      </c>
      <c r="X35">
        <f t="shared" si="5"/>
        <v>6</v>
      </c>
      <c r="Y35" s="37" t="b">
        <f t="shared" si="6"/>
        <v>1</v>
      </c>
    </row>
    <row r="36" spans="1:25" x14ac:dyDescent="0.25">
      <c r="A36" s="18">
        <v>33</v>
      </c>
      <c r="B36" t="s">
        <v>160</v>
      </c>
      <c r="C36" s="35">
        <v>222550</v>
      </c>
      <c r="D36" s="39">
        <v>45638</v>
      </c>
      <c r="E36" t="s">
        <v>121</v>
      </c>
      <c r="F36" t="s">
        <v>162</v>
      </c>
      <c r="G36" t="s">
        <v>164</v>
      </c>
      <c r="H36" t="s">
        <v>119</v>
      </c>
      <c r="I36">
        <v>3</v>
      </c>
      <c r="J36" t="s">
        <v>78</v>
      </c>
      <c r="K36" s="35">
        <v>3</v>
      </c>
      <c r="L36" t="s">
        <v>123</v>
      </c>
      <c r="M36" s="35">
        <v>3</v>
      </c>
      <c r="N36" t="s">
        <v>123</v>
      </c>
      <c r="O36" s="35">
        <v>1</v>
      </c>
      <c r="P36" s="35">
        <v>3</v>
      </c>
      <c r="Q36" s="36">
        <v>6</v>
      </c>
      <c r="S36">
        <f t="shared" ref="S36:S72" si="7">SUMIF($C$4:$C$1048564,C36,$I$4:$I$1048564)</f>
        <v>6</v>
      </c>
      <c r="T36">
        <f t="shared" ref="T36:T72" si="8">SUMIF($C$4:$C$1048564,C36,$K$4:$K$1048564)</f>
        <v>6</v>
      </c>
      <c r="U36">
        <f t="shared" ref="U36:U72" si="9">SUMIF($C$4:$C$1048564,C36,$M$4:$M$1048564)</f>
        <v>6</v>
      </c>
      <c r="V36" s="37" t="b">
        <f t="shared" ref="V36:V67" si="10">IF(OR(S36="NOT FOUND",T36="NOT FOUND",U36="NOT FOUND"),FALSE,IF(COUNTIF(S36:U36,U36)=3,TRUE,FALSE))</f>
        <v>1</v>
      </c>
      <c r="W36" s="36">
        <f t="shared" ref="W36:W72" si="11">Q36</f>
        <v>6</v>
      </c>
      <c r="X36">
        <f t="shared" ref="X36:X72" si="12">SUMIF($C$4:$C$1048564,C36,$P$4:$P$1048564)</f>
        <v>6</v>
      </c>
      <c r="Y36" s="37" t="b">
        <f t="shared" ref="Y36:Y67" si="13">IFERROR(W36=X36,FALSE)</f>
        <v>1</v>
      </c>
    </row>
    <row r="37" spans="1:25" x14ac:dyDescent="0.25">
      <c r="A37" s="18">
        <v>34</v>
      </c>
      <c r="B37" t="s">
        <v>165</v>
      </c>
      <c r="C37" s="35">
        <v>225089</v>
      </c>
      <c r="D37" s="39">
        <v>45639</v>
      </c>
      <c r="E37" t="s">
        <v>121</v>
      </c>
      <c r="F37" t="s">
        <v>162</v>
      </c>
      <c r="G37" t="s">
        <v>167</v>
      </c>
      <c r="H37" t="s">
        <v>119</v>
      </c>
      <c r="I37">
        <v>3</v>
      </c>
      <c r="J37" t="s">
        <v>78</v>
      </c>
      <c r="K37" s="35">
        <v>3</v>
      </c>
      <c r="L37" t="s">
        <v>123</v>
      </c>
      <c r="M37" s="35">
        <v>3</v>
      </c>
      <c r="N37" t="s">
        <v>123</v>
      </c>
      <c r="O37" s="35">
        <v>1</v>
      </c>
      <c r="P37" s="35">
        <v>3</v>
      </c>
      <c r="Q37" s="36">
        <v>9</v>
      </c>
      <c r="S37">
        <f t="shared" si="7"/>
        <v>9</v>
      </c>
      <c r="T37">
        <f t="shared" si="8"/>
        <v>9</v>
      </c>
      <c r="U37">
        <f t="shared" si="9"/>
        <v>9</v>
      </c>
      <c r="V37" s="37" t="b">
        <f t="shared" si="10"/>
        <v>1</v>
      </c>
      <c r="W37" s="36">
        <f t="shared" si="11"/>
        <v>9</v>
      </c>
      <c r="X37">
        <f t="shared" si="12"/>
        <v>9</v>
      </c>
      <c r="Y37" s="37" t="b">
        <f t="shared" si="13"/>
        <v>1</v>
      </c>
    </row>
    <row r="38" spans="1:25" x14ac:dyDescent="0.25">
      <c r="A38" s="18">
        <v>35</v>
      </c>
      <c r="B38" t="s">
        <v>165</v>
      </c>
      <c r="C38" s="35">
        <v>225089</v>
      </c>
      <c r="D38" s="39">
        <v>45639</v>
      </c>
      <c r="E38" t="s">
        <v>121</v>
      </c>
      <c r="F38" t="s">
        <v>162</v>
      </c>
      <c r="G38" t="s">
        <v>168</v>
      </c>
      <c r="H38" t="s">
        <v>119</v>
      </c>
      <c r="I38">
        <v>3</v>
      </c>
      <c r="J38" t="s">
        <v>78</v>
      </c>
      <c r="K38" s="35">
        <v>3</v>
      </c>
      <c r="L38" t="s">
        <v>123</v>
      </c>
      <c r="M38" s="35">
        <v>3</v>
      </c>
      <c r="N38" t="s">
        <v>123</v>
      </c>
      <c r="O38" s="35">
        <v>1</v>
      </c>
      <c r="P38" s="35">
        <v>3</v>
      </c>
      <c r="Q38" s="36">
        <v>9</v>
      </c>
      <c r="S38">
        <f t="shared" si="7"/>
        <v>9</v>
      </c>
      <c r="T38">
        <f t="shared" si="8"/>
        <v>9</v>
      </c>
      <c r="U38">
        <f t="shared" si="9"/>
        <v>9</v>
      </c>
      <c r="V38" s="37" t="b">
        <f t="shared" si="10"/>
        <v>1</v>
      </c>
      <c r="W38" s="36">
        <f t="shared" si="11"/>
        <v>9</v>
      </c>
      <c r="X38">
        <f t="shared" si="12"/>
        <v>9</v>
      </c>
      <c r="Y38" s="37" t="b">
        <f t="shared" si="13"/>
        <v>1</v>
      </c>
    </row>
    <row r="39" spans="1:25" x14ac:dyDescent="0.25">
      <c r="A39" s="18">
        <v>36</v>
      </c>
      <c r="B39" t="s">
        <v>165</v>
      </c>
      <c r="C39" s="35">
        <v>225089</v>
      </c>
      <c r="D39" s="39">
        <v>45639</v>
      </c>
      <c r="E39" t="s">
        <v>121</v>
      </c>
      <c r="F39" t="s">
        <v>169</v>
      </c>
      <c r="G39" t="s">
        <v>168</v>
      </c>
      <c r="H39" t="s">
        <v>119</v>
      </c>
      <c r="I39">
        <v>3</v>
      </c>
      <c r="J39" t="s">
        <v>78</v>
      </c>
      <c r="K39" s="35">
        <v>3</v>
      </c>
      <c r="L39" t="s">
        <v>123</v>
      </c>
      <c r="M39" s="35">
        <v>3</v>
      </c>
      <c r="N39" t="s">
        <v>123</v>
      </c>
      <c r="O39" s="35">
        <v>1</v>
      </c>
      <c r="P39" s="35">
        <v>3</v>
      </c>
      <c r="Q39" s="36">
        <v>9</v>
      </c>
      <c r="S39">
        <f t="shared" si="7"/>
        <v>9</v>
      </c>
      <c r="T39">
        <f t="shared" si="8"/>
        <v>9</v>
      </c>
      <c r="U39">
        <f t="shared" si="9"/>
        <v>9</v>
      </c>
      <c r="V39" s="37" t="b">
        <f t="shared" si="10"/>
        <v>1</v>
      </c>
      <c r="W39" s="36">
        <f t="shared" si="11"/>
        <v>9</v>
      </c>
      <c r="X39">
        <f t="shared" si="12"/>
        <v>9</v>
      </c>
      <c r="Y39" s="37" t="b">
        <f t="shared" si="13"/>
        <v>1</v>
      </c>
    </row>
    <row r="40" spans="1:25" x14ac:dyDescent="0.25">
      <c r="A40" s="18">
        <v>37</v>
      </c>
      <c r="B40" t="s">
        <v>170</v>
      </c>
      <c r="C40" s="35">
        <v>225504</v>
      </c>
      <c r="D40" s="39">
        <v>45639</v>
      </c>
      <c r="E40" t="s">
        <v>173</v>
      </c>
      <c r="F40" t="s">
        <v>172</v>
      </c>
      <c r="G40" s="35">
        <v>6026495</v>
      </c>
      <c r="H40" t="s">
        <v>74</v>
      </c>
      <c r="I40">
        <v>6</v>
      </c>
      <c r="J40" t="s">
        <v>78</v>
      </c>
      <c r="K40" s="35">
        <v>2</v>
      </c>
      <c r="L40" t="s">
        <v>79</v>
      </c>
      <c r="M40" s="35">
        <v>2</v>
      </c>
      <c r="N40" t="s">
        <v>79</v>
      </c>
      <c r="O40" s="35">
        <v>1</v>
      </c>
      <c r="P40" s="35">
        <v>2</v>
      </c>
      <c r="Q40" s="36">
        <v>6</v>
      </c>
      <c r="S40">
        <f t="shared" si="7"/>
        <v>6</v>
      </c>
      <c r="T40">
        <f t="shared" si="8"/>
        <v>6</v>
      </c>
      <c r="U40">
        <f t="shared" si="9"/>
        <v>6</v>
      </c>
      <c r="V40" s="37" t="b">
        <f t="shared" si="10"/>
        <v>1</v>
      </c>
      <c r="W40" s="36">
        <f t="shared" si="11"/>
        <v>6</v>
      </c>
      <c r="X40">
        <f t="shared" si="12"/>
        <v>6</v>
      </c>
      <c r="Y40" s="37" t="b">
        <f t="shared" si="13"/>
        <v>1</v>
      </c>
    </row>
    <row r="41" spans="1:25" x14ac:dyDescent="0.25">
      <c r="A41" s="18">
        <v>38</v>
      </c>
      <c r="B41" t="s">
        <v>170</v>
      </c>
      <c r="C41" s="35">
        <v>225504</v>
      </c>
      <c r="D41" s="39">
        <v>45639</v>
      </c>
      <c r="E41" t="s">
        <v>173</v>
      </c>
      <c r="G41" s="35">
        <v>6026495</v>
      </c>
      <c r="H41" t="s">
        <v>74</v>
      </c>
      <c r="K41" s="35">
        <v>2</v>
      </c>
      <c r="L41" t="s">
        <v>79</v>
      </c>
      <c r="M41" s="35">
        <v>2</v>
      </c>
      <c r="N41" t="s">
        <v>79</v>
      </c>
      <c r="O41" s="35">
        <v>1</v>
      </c>
      <c r="P41" s="35">
        <v>2</v>
      </c>
      <c r="Q41" s="36">
        <v>6</v>
      </c>
      <c r="S41">
        <f t="shared" si="7"/>
        <v>6</v>
      </c>
      <c r="T41">
        <f t="shared" si="8"/>
        <v>6</v>
      </c>
      <c r="U41">
        <f t="shared" si="9"/>
        <v>6</v>
      </c>
      <c r="V41" s="37" t="b">
        <f t="shared" si="10"/>
        <v>1</v>
      </c>
      <c r="W41" s="36">
        <f t="shared" si="11"/>
        <v>6</v>
      </c>
      <c r="X41">
        <f t="shared" si="12"/>
        <v>6</v>
      </c>
      <c r="Y41" s="37" t="b">
        <f t="shared" si="13"/>
        <v>1</v>
      </c>
    </row>
    <row r="42" spans="1:25" x14ac:dyDescent="0.25">
      <c r="A42" s="18">
        <v>39</v>
      </c>
      <c r="B42" t="s">
        <v>170</v>
      </c>
      <c r="C42" s="35">
        <v>225504</v>
      </c>
      <c r="D42" s="39">
        <v>45639</v>
      </c>
      <c r="E42" t="s">
        <v>173</v>
      </c>
      <c r="G42" s="35">
        <v>6026495</v>
      </c>
      <c r="H42" t="s">
        <v>74</v>
      </c>
      <c r="K42" s="35">
        <v>1</v>
      </c>
      <c r="L42" t="s">
        <v>79</v>
      </c>
      <c r="M42" s="35">
        <v>1</v>
      </c>
      <c r="N42" t="s">
        <v>79</v>
      </c>
      <c r="O42" s="35">
        <v>1</v>
      </c>
      <c r="P42" s="35">
        <v>1</v>
      </c>
      <c r="Q42" s="36">
        <v>6</v>
      </c>
      <c r="S42">
        <f t="shared" si="7"/>
        <v>6</v>
      </c>
      <c r="T42">
        <f t="shared" si="8"/>
        <v>6</v>
      </c>
      <c r="U42">
        <f t="shared" si="9"/>
        <v>6</v>
      </c>
      <c r="V42" s="37" t="b">
        <f t="shared" si="10"/>
        <v>1</v>
      </c>
      <c r="W42" s="36">
        <f t="shared" si="11"/>
        <v>6</v>
      </c>
      <c r="X42">
        <f t="shared" si="12"/>
        <v>6</v>
      </c>
      <c r="Y42" s="37" t="b">
        <f t="shared" si="13"/>
        <v>1</v>
      </c>
    </row>
    <row r="43" spans="1:25" x14ac:dyDescent="0.25">
      <c r="A43" s="18">
        <v>40</v>
      </c>
      <c r="B43" t="s">
        <v>170</v>
      </c>
      <c r="C43" s="35">
        <v>225504</v>
      </c>
      <c r="D43" s="39">
        <v>45639</v>
      </c>
      <c r="E43" t="s">
        <v>173</v>
      </c>
      <c r="G43" s="35">
        <v>6026495</v>
      </c>
      <c r="H43" t="s">
        <v>74</v>
      </c>
      <c r="K43" s="35">
        <v>1</v>
      </c>
      <c r="L43" t="s">
        <v>79</v>
      </c>
      <c r="M43" s="35">
        <v>1</v>
      </c>
      <c r="N43" t="s">
        <v>79</v>
      </c>
      <c r="O43" s="35">
        <v>1</v>
      </c>
      <c r="P43" s="35">
        <v>1</v>
      </c>
      <c r="Q43" s="36">
        <v>6</v>
      </c>
      <c r="S43">
        <f t="shared" si="7"/>
        <v>6</v>
      </c>
      <c r="T43">
        <f t="shared" si="8"/>
        <v>6</v>
      </c>
      <c r="U43">
        <f t="shared" si="9"/>
        <v>6</v>
      </c>
      <c r="V43" s="37" t="b">
        <f t="shared" si="10"/>
        <v>1</v>
      </c>
      <c r="W43" s="36">
        <f t="shared" si="11"/>
        <v>6</v>
      </c>
      <c r="X43">
        <f t="shared" si="12"/>
        <v>6</v>
      </c>
      <c r="Y43" s="37" t="b">
        <f t="shared" si="13"/>
        <v>1</v>
      </c>
    </row>
    <row r="44" spans="1:25" x14ac:dyDescent="0.25">
      <c r="A44" s="18">
        <v>41</v>
      </c>
      <c r="B44" t="s">
        <v>174</v>
      </c>
      <c r="C44" s="35">
        <v>225981</v>
      </c>
      <c r="D44" s="39">
        <v>45639</v>
      </c>
      <c r="E44" t="s">
        <v>177</v>
      </c>
      <c r="F44" t="s">
        <v>177</v>
      </c>
      <c r="G44" s="35">
        <v>298849</v>
      </c>
      <c r="H44" t="s">
        <v>176</v>
      </c>
      <c r="I44">
        <v>2</v>
      </c>
      <c r="J44" t="s">
        <v>178</v>
      </c>
      <c r="K44" s="35">
        <v>2</v>
      </c>
      <c r="L44" t="s">
        <v>179</v>
      </c>
      <c r="M44" s="35">
        <v>2</v>
      </c>
      <c r="N44" t="s">
        <v>179</v>
      </c>
      <c r="O44" s="35">
        <v>4</v>
      </c>
      <c r="P44" s="35">
        <v>8</v>
      </c>
      <c r="Q44" s="36">
        <v>18</v>
      </c>
      <c r="S44">
        <f t="shared" si="7"/>
        <v>6</v>
      </c>
      <c r="T44">
        <f t="shared" si="8"/>
        <v>6</v>
      </c>
      <c r="U44">
        <f t="shared" si="9"/>
        <v>6</v>
      </c>
      <c r="V44" s="37" t="b">
        <f t="shared" si="10"/>
        <v>1</v>
      </c>
      <c r="W44" s="36">
        <f t="shared" si="11"/>
        <v>18</v>
      </c>
      <c r="X44">
        <f t="shared" si="12"/>
        <v>18</v>
      </c>
      <c r="Y44" s="37" t="b">
        <f t="shared" si="13"/>
        <v>1</v>
      </c>
    </row>
    <row r="45" spans="1:25" x14ac:dyDescent="0.25">
      <c r="A45" s="18">
        <v>42</v>
      </c>
      <c r="B45" t="s">
        <v>174</v>
      </c>
      <c r="C45" s="35">
        <v>225981</v>
      </c>
      <c r="D45" s="39">
        <v>45639</v>
      </c>
      <c r="E45" t="s">
        <v>177</v>
      </c>
      <c r="F45" t="s">
        <v>177</v>
      </c>
      <c r="G45" s="35">
        <v>298853</v>
      </c>
      <c r="H45" t="s">
        <v>176</v>
      </c>
      <c r="I45">
        <v>2</v>
      </c>
      <c r="J45" t="s">
        <v>178</v>
      </c>
      <c r="K45" s="35">
        <v>2</v>
      </c>
      <c r="L45" t="s">
        <v>179</v>
      </c>
      <c r="M45" s="35">
        <v>2</v>
      </c>
      <c r="N45" t="s">
        <v>179</v>
      </c>
      <c r="O45" s="35">
        <v>4</v>
      </c>
      <c r="P45" s="35">
        <v>8</v>
      </c>
      <c r="Q45" s="36">
        <v>18</v>
      </c>
      <c r="S45">
        <f t="shared" si="7"/>
        <v>6</v>
      </c>
      <c r="T45">
        <f t="shared" si="8"/>
        <v>6</v>
      </c>
      <c r="U45">
        <f t="shared" si="9"/>
        <v>6</v>
      </c>
      <c r="V45" s="37" t="b">
        <f t="shared" si="10"/>
        <v>1</v>
      </c>
      <c r="W45" s="36">
        <f t="shared" si="11"/>
        <v>18</v>
      </c>
      <c r="X45">
        <f t="shared" si="12"/>
        <v>18</v>
      </c>
      <c r="Y45" s="37" t="b">
        <f t="shared" si="13"/>
        <v>1</v>
      </c>
    </row>
    <row r="46" spans="1:25" x14ac:dyDescent="0.25">
      <c r="A46" s="18">
        <v>43</v>
      </c>
      <c r="B46" t="s">
        <v>174</v>
      </c>
      <c r="C46" s="35">
        <v>225981</v>
      </c>
      <c r="D46" s="39">
        <v>45639</v>
      </c>
      <c r="E46" t="s">
        <v>180</v>
      </c>
      <c r="F46" t="s">
        <v>180</v>
      </c>
      <c r="G46" s="35">
        <v>298858</v>
      </c>
      <c r="H46" t="s">
        <v>176</v>
      </c>
      <c r="I46">
        <v>2</v>
      </c>
      <c r="J46" t="s">
        <v>178</v>
      </c>
      <c r="K46" s="35">
        <v>2</v>
      </c>
      <c r="L46" t="s">
        <v>179</v>
      </c>
      <c r="M46" s="35">
        <v>2</v>
      </c>
      <c r="N46" t="s">
        <v>179</v>
      </c>
      <c r="O46" s="35">
        <v>1</v>
      </c>
      <c r="P46" s="35">
        <v>2</v>
      </c>
      <c r="Q46" s="36">
        <v>18</v>
      </c>
      <c r="S46">
        <f t="shared" si="7"/>
        <v>6</v>
      </c>
      <c r="T46">
        <f t="shared" si="8"/>
        <v>6</v>
      </c>
      <c r="U46">
        <f t="shared" si="9"/>
        <v>6</v>
      </c>
      <c r="V46" s="37" t="b">
        <f t="shared" si="10"/>
        <v>1</v>
      </c>
      <c r="W46" s="36">
        <f t="shared" si="11"/>
        <v>18</v>
      </c>
      <c r="X46">
        <f t="shared" si="12"/>
        <v>18</v>
      </c>
      <c r="Y46" s="37" t="b">
        <f t="shared" si="13"/>
        <v>1</v>
      </c>
    </row>
    <row r="47" spans="1:25" x14ac:dyDescent="0.25">
      <c r="A47" s="18">
        <v>44</v>
      </c>
      <c r="B47" t="s">
        <v>181</v>
      </c>
      <c r="C47" s="35">
        <v>229011</v>
      </c>
      <c r="D47" s="39">
        <v>45642</v>
      </c>
      <c r="E47" t="s">
        <v>184</v>
      </c>
      <c r="F47" t="s">
        <v>183</v>
      </c>
      <c r="G47" t="s">
        <v>185</v>
      </c>
      <c r="H47" t="s">
        <v>119</v>
      </c>
      <c r="I47">
        <v>22</v>
      </c>
      <c r="J47" t="s">
        <v>78</v>
      </c>
      <c r="K47" s="35">
        <v>11</v>
      </c>
      <c r="L47" t="s">
        <v>123</v>
      </c>
      <c r="M47" s="35">
        <v>11</v>
      </c>
      <c r="N47" t="s">
        <v>123</v>
      </c>
      <c r="O47" s="36">
        <v>0.95</v>
      </c>
      <c r="P47" s="36">
        <v>10.45</v>
      </c>
      <c r="Q47" s="36">
        <v>49.74</v>
      </c>
      <c r="S47">
        <f t="shared" si="7"/>
        <v>50</v>
      </c>
      <c r="T47">
        <f t="shared" si="8"/>
        <v>50</v>
      </c>
      <c r="U47">
        <f t="shared" si="9"/>
        <v>50</v>
      </c>
      <c r="V47" s="37" t="b">
        <f t="shared" si="10"/>
        <v>1</v>
      </c>
      <c r="W47" s="36">
        <f t="shared" si="11"/>
        <v>49.74</v>
      </c>
      <c r="X47">
        <f t="shared" si="12"/>
        <v>49.74</v>
      </c>
      <c r="Y47" s="37" t="b">
        <f t="shared" si="13"/>
        <v>1</v>
      </c>
    </row>
    <row r="48" spans="1:25" x14ac:dyDescent="0.25">
      <c r="A48" s="18">
        <v>45</v>
      </c>
      <c r="B48" t="s">
        <v>181</v>
      </c>
      <c r="C48" s="35">
        <v>229011</v>
      </c>
      <c r="D48" s="39">
        <v>45642</v>
      </c>
      <c r="E48" t="s">
        <v>184</v>
      </c>
      <c r="G48" t="s">
        <v>185</v>
      </c>
      <c r="H48" t="s">
        <v>119</v>
      </c>
      <c r="K48" s="35">
        <v>11</v>
      </c>
      <c r="L48" t="s">
        <v>123</v>
      </c>
      <c r="M48" s="35">
        <v>11</v>
      </c>
      <c r="N48" t="s">
        <v>123</v>
      </c>
      <c r="O48" s="36">
        <v>0.95</v>
      </c>
      <c r="P48" s="36">
        <v>10.45</v>
      </c>
      <c r="Q48" s="36">
        <v>49.74</v>
      </c>
      <c r="S48">
        <f t="shared" si="7"/>
        <v>50</v>
      </c>
      <c r="T48">
        <f t="shared" si="8"/>
        <v>50</v>
      </c>
      <c r="U48">
        <f t="shared" si="9"/>
        <v>50</v>
      </c>
      <c r="V48" s="37" t="b">
        <f t="shared" si="10"/>
        <v>1</v>
      </c>
      <c r="W48" s="36">
        <f t="shared" si="11"/>
        <v>49.74</v>
      </c>
      <c r="X48">
        <f t="shared" si="12"/>
        <v>49.74</v>
      </c>
      <c r="Y48" s="37" t="b">
        <f t="shared" si="13"/>
        <v>1</v>
      </c>
    </row>
    <row r="49" spans="1:25" x14ac:dyDescent="0.25">
      <c r="A49" s="18">
        <v>46</v>
      </c>
      <c r="B49" t="s">
        <v>181</v>
      </c>
      <c r="C49" s="35">
        <v>229011</v>
      </c>
      <c r="D49" s="39">
        <v>45642</v>
      </c>
      <c r="E49" t="s">
        <v>184</v>
      </c>
      <c r="F49" t="s">
        <v>187</v>
      </c>
      <c r="G49" t="s">
        <v>188</v>
      </c>
      <c r="H49" t="s">
        <v>119</v>
      </c>
      <c r="I49">
        <v>28</v>
      </c>
      <c r="J49" t="s">
        <v>78</v>
      </c>
      <c r="K49" s="35">
        <v>14</v>
      </c>
      <c r="L49" t="s">
        <v>123</v>
      </c>
      <c r="M49" s="35">
        <v>14</v>
      </c>
      <c r="N49" t="s">
        <v>123</v>
      </c>
      <c r="O49" s="36">
        <v>1.03</v>
      </c>
      <c r="P49" s="36">
        <v>14.42</v>
      </c>
      <c r="Q49" s="36">
        <v>49.74</v>
      </c>
      <c r="S49">
        <f t="shared" si="7"/>
        <v>50</v>
      </c>
      <c r="T49">
        <f t="shared" si="8"/>
        <v>50</v>
      </c>
      <c r="U49">
        <f t="shared" si="9"/>
        <v>50</v>
      </c>
      <c r="V49" s="37" t="b">
        <f t="shared" si="10"/>
        <v>1</v>
      </c>
      <c r="W49" s="36">
        <f t="shared" si="11"/>
        <v>49.74</v>
      </c>
      <c r="X49">
        <f t="shared" si="12"/>
        <v>49.74</v>
      </c>
      <c r="Y49" s="37" t="b">
        <f t="shared" si="13"/>
        <v>1</v>
      </c>
    </row>
    <row r="50" spans="1:25" x14ac:dyDescent="0.25">
      <c r="A50" s="18">
        <v>47</v>
      </c>
      <c r="B50" t="s">
        <v>181</v>
      </c>
      <c r="C50" s="35">
        <v>229011</v>
      </c>
      <c r="D50" s="39">
        <v>45642</v>
      </c>
      <c r="E50" t="s">
        <v>184</v>
      </c>
      <c r="G50" t="s">
        <v>188</v>
      </c>
      <c r="H50" t="s">
        <v>119</v>
      </c>
      <c r="K50" s="35">
        <v>14</v>
      </c>
      <c r="L50" t="s">
        <v>123</v>
      </c>
      <c r="M50" s="35">
        <v>14</v>
      </c>
      <c r="N50" t="s">
        <v>123</v>
      </c>
      <c r="O50" s="36">
        <v>1.03</v>
      </c>
      <c r="P50" s="36">
        <v>14.42</v>
      </c>
      <c r="Q50" s="36">
        <v>49.74</v>
      </c>
      <c r="S50">
        <f t="shared" si="7"/>
        <v>50</v>
      </c>
      <c r="T50">
        <f t="shared" si="8"/>
        <v>50</v>
      </c>
      <c r="U50">
        <f t="shared" si="9"/>
        <v>50</v>
      </c>
      <c r="V50" s="37" t="b">
        <f t="shared" si="10"/>
        <v>1</v>
      </c>
      <c r="W50" s="36">
        <f t="shared" si="11"/>
        <v>49.74</v>
      </c>
      <c r="X50">
        <f t="shared" si="12"/>
        <v>49.74</v>
      </c>
      <c r="Y50" s="37" t="b">
        <f t="shared" si="13"/>
        <v>1</v>
      </c>
    </row>
    <row r="51" spans="1:25" x14ac:dyDescent="0.25">
      <c r="A51" s="18">
        <v>48</v>
      </c>
      <c r="B51" t="s">
        <v>189</v>
      </c>
      <c r="C51" s="35">
        <v>229104</v>
      </c>
      <c r="D51" s="39">
        <v>45642</v>
      </c>
      <c r="E51" t="s">
        <v>193</v>
      </c>
      <c r="F51" t="s">
        <v>192</v>
      </c>
      <c r="G51" t="s">
        <v>194</v>
      </c>
      <c r="H51" t="s">
        <v>191</v>
      </c>
      <c r="I51">
        <v>1</v>
      </c>
      <c r="J51" t="s">
        <v>78</v>
      </c>
      <c r="K51" s="35">
        <v>1</v>
      </c>
      <c r="L51" t="s">
        <v>95</v>
      </c>
      <c r="M51" s="35">
        <v>1</v>
      </c>
      <c r="N51" t="s">
        <v>95</v>
      </c>
      <c r="O51" s="35">
        <v>13</v>
      </c>
      <c r="P51" s="35">
        <v>13</v>
      </c>
      <c r="Q51" s="36">
        <v>13</v>
      </c>
      <c r="S51">
        <f t="shared" si="7"/>
        <v>1</v>
      </c>
      <c r="T51">
        <f t="shared" si="8"/>
        <v>1</v>
      </c>
      <c r="U51">
        <f t="shared" si="9"/>
        <v>1</v>
      </c>
      <c r="V51" s="37" t="b">
        <f t="shared" si="10"/>
        <v>1</v>
      </c>
      <c r="W51" s="36">
        <f t="shared" si="11"/>
        <v>13</v>
      </c>
      <c r="X51">
        <f t="shared" si="12"/>
        <v>13</v>
      </c>
      <c r="Y51" s="37" t="b">
        <f t="shared" si="13"/>
        <v>1</v>
      </c>
    </row>
    <row r="52" spans="1:25" x14ac:dyDescent="0.25">
      <c r="A52" s="18">
        <v>49</v>
      </c>
      <c r="B52" t="s">
        <v>195</v>
      </c>
      <c r="C52" s="35">
        <v>229182</v>
      </c>
      <c r="D52" s="39">
        <v>45642</v>
      </c>
      <c r="E52" t="s">
        <v>198</v>
      </c>
      <c r="F52" t="s">
        <v>197</v>
      </c>
      <c r="G52" s="35">
        <v>1128615</v>
      </c>
      <c r="H52" t="s">
        <v>74</v>
      </c>
      <c r="I52">
        <v>2</v>
      </c>
      <c r="J52" t="s">
        <v>78</v>
      </c>
      <c r="K52" s="35">
        <v>2</v>
      </c>
      <c r="L52" t="s">
        <v>79</v>
      </c>
      <c r="M52" s="35">
        <v>2</v>
      </c>
      <c r="N52" t="s">
        <v>79</v>
      </c>
      <c r="O52" s="35">
        <v>1</v>
      </c>
      <c r="P52" s="35">
        <v>2</v>
      </c>
      <c r="Q52" s="36">
        <v>2</v>
      </c>
      <c r="S52">
        <f t="shared" si="7"/>
        <v>2</v>
      </c>
      <c r="T52">
        <f t="shared" si="8"/>
        <v>2</v>
      </c>
      <c r="U52">
        <f t="shared" si="9"/>
        <v>2</v>
      </c>
      <c r="V52" s="37" t="b">
        <f t="shared" si="10"/>
        <v>1</v>
      </c>
      <c r="W52" s="36">
        <f t="shared" si="11"/>
        <v>2</v>
      </c>
      <c r="X52">
        <f t="shared" si="12"/>
        <v>2</v>
      </c>
      <c r="Y52" s="37" t="b">
        <f t="shared" si="13"/>
        <v>1</v>
      </c>
    </row>
    <row r="53" spans="1:25" x14ac:dyDescent="0.25">
      <c r="A53" s="18">
        <v>50</v>
      </c>
      <c r="B53" t="s">
        <v>200</v>
      </c>
      <c r="C53" s="35">
        <v>234934</v>
      </c>
      <c r="D53" s="39">
        <v>45645</v>
      </c>
      <c r="E53" t="s">
        <v>203</v>
      </c>
      <c r="F53" t="s">
        <v>202</v>
      </c>
      <c r="G53" t="s">
        <v>132</v>
      </c>
      <c r="H53" t="s">
        <v>127</v>
      </c>
      <c r="I53">
        <v>5</v>
      </c>
      <c r="J53" t="s">
        <v>78</v>
      </c>
      <c r="K53" s="35">
        <v>5</v>
      </c>
      <c r="L53" t="s">
        <v>123</v>
      </c>
      <c r="M53" s="35">
        <v>5</v>
      </c>
      <c r="N53" t="s">
        <v>123</v>
      </c>
      <c r="O53">
        <v>4.8</v>
      </c>
      <c r="P53" s="35">
        <v>24</v>
      </c>
      <c r="Q53" s="36">
        <v>43.05</v>
      </c>
      <c r="S53">
        <f t="shared" si="7"/>
        <v>7</v>
      </c>
      <c r="T53">
        <f t="shared" si="8"/>
        <v>7</v>
      </c>
      <c r="U53">
        <f t="shared" si="9"/>
        <v>7</v>
      </c>
      <c r="V53" s="37" t="b">
        <f t="shared" si="10"/>
        <v>1</v>
      </c>
      <c r="W53" s="36">
        <f t="shared" si="11"/>
        <v>43.05</v>
      </c>
      <c r="X53">
        <f t="shared" si="12"/>
        <v>43.05</v>
      </c>
      <c r="Y53" s="37" t="b">
        <f t="shared" si="13"/>
        <v>1</v>
      </c>
    </row>
    <row r="54" spans="1:25" x14ac:dyDescent="0.25">
      <c r="A54" s="18">
        <v>51</v>
      </c>
      <c r="B54" t="s">
        <v>200</v>
      </c>
      <c r="C54" s="35">
        <v>234934</v>
      </c>
      <c r="D54" s="39">
        <v>45645</v>
      </c>
      <c r="E54" t="s">
        <v>205</v>
      </c>
      <c r="F54" t="s">
        <v>204</v>
      </c>
      <c r="G54" t="s">
        <v>206</v>
      </c>
      <c r="H54" t="s">
        <v>127</v>
      </c>
      <c r="I54">
        <v>1</v>
      </c>
      <c r="J54" t="s">
        <v>78</v>
      </c>
      <c r="K54" s="35">
        <v>1</v>
      </c>
      <c r="L54" t="s">
        <v>123</v>
      </c>
      <c r="M54" s="35">
        <v>1</v>
      </c>
      <c r="N54" t="s">
        <v>123</v>
      </c>
      <c r="O54" s="36">
        <v>10.050000000000001</v>
      </c>
      <c r="P54" s="36">
        <v>10.050000000000001</v>
      </c>
      <c r="Q54" s="36">
        <v>43.05</v>
      </c>
      <c r="S54">
        <f t="shared" si="7"/>
        <v>7</v>
      </c>
      <c r="T54">
        <f t="shared" si="8"/>
        <v>7</v>
      </c>
      <c r="U54">
        <f t="shared" si="9"/>
        <v>7</v>
      </c>
      <c r="V54" s="37" t="b">
        <f t="shared" si="10"/>
        <v>1</v>
      </c>
      <c r="W54" s="36">
        <f t="shared" si="11"/>
        <v>43.05</v>
      </c>
      <c r="X54">
        <f t="shared" si="12"/>
        <v>43.05</v>
      </c>
      <c r="Y54" s="37" t="b">
        <f t="shared" si="13"/>
        <v>1</v>
      </c>
    </row>
    <row r="55" spans="1:25" x14ac:dyDescent="0.25">
      <c r="A55" s="18">
        <v>52</v>
      </c>
      <c r="B55" t="s">
        <v>200</v>
      </c>
      <c r="C55" s="35">
        <v>234934</v>
      </c>
      <c r="D55" s="39">
        <v>45645</v>
      </c>
      <c r="E55" t="s">
        <v>205</v>
      </c>
      <c r="F55" t="s">
        <v>204</v>
      </c>
      <c r="G55" t="s">
        <v>207</v>
      </c>
      <c r="H55" t="s">
        <v>127</v>
      </c>
      <c r="I55">
        <v>1</v>
      </c>
      <c r="J55" t="s">
        <v>78</v>
      </c>
      <c r="K55" s="35">
        <v>1</v>
      </c>
      <c r="L55" t="s">
        <v>123</v>
      </c>
      <c r="M55" s="35">
        <v>1</v>
      </c>
      <c r="N55" t="s">
        <v>123</v>
      </c>
      <c r="O55" s="35">
        <v>9</v>
      </c>
      <c r="P55" s="35">
        <v>9</v>
      </c>
      <c r="Q55" s="36">
        <v>43.05</v>
      </c>
      <c r="S55">
        <f t="shared" si="7"/>
        <v>7</v>
      </c>
      <c r="T55">
        <f t="shared" si="8"/>
        <v>7</v>
      </c>
      <c r="U55">
        <f t="shared" si="9"/>
        <v>7</v>
      </c>
      <c r="V55" s="37" t="b">
        <f t="shared" si="10"/>
        <v>1</v>
      </c>
      <c r="W55" s="36">
        <f t="shared" si="11"/>
        <v>43.05</v>
      </c>
      <c r="X55">
        <f t="shared" si="12"/>
        <v>43.05</v>
      </c>
      <c r="Y55" s="37" t="b">
        <f t="shared" si="13"/>
        <v>1</v>
      </c>
    </row>
    <row r="56" spans="1:25" x14ac:dyDescent="0.25">
      <c r="A56" s="18">
        <v>53</v>
      </c>
      <c r="B56" t="s">
        <v>208</v>
      </c>
      <c r="C56" s="35">
        <v>237723</v>
      </c>
      <c r="D56" s="39">
        <v>45646</v>
      </c>
      <c r="E56" t="s">
        <v>121</v>
      </c>
      <c r="F56" t="s">
        <v>210</v>
      </c>
      <c r="G56" t="s">
        <v>211</v>
      </c>
      <c r="H56" t="s">
        <v>119</v>
      </c>
      <c r="I56">
        <v>3</v>
      </c>
      <c r="J56" t="s">
        <v>78</v>
      </c>
      <c r="K56" s="35">
        <v>3</v>
      </c>
      <c r="L56" t="s">
        <v>123</v>
      </c>
      <c r="M56" s="35">
        <v>3</v>
      </c>
      <c r="N56" t="s">
        <v>123</v>
      </c>
      <c r="O56" s="35">
        <v>1</v>
      </c>
      <c r="P56" s="35">
        <v>3</v>
      </c>
      <c r="Q56" s="36">
        <v>4</v>
      </c>
      <c r="S56">
        <f t="shared" si="7"/>
        <v>4</v>
      </c>
      <c r="T56">
        <f t="shared" si="8"/>
        <v>4</v>
      </c>
      <c r="U56">
        <f t="shared" si="9"/>
        <v>4</v>
      </c>
      <c r="V56" s="37" t="b">
        <f t="shared" si="10"/>
        <v>1</v>
      </c>
      <c r="W56" s="36">
        <f t="shared" si="11"/>
        <v>4</v>
      </c>
      <c r="X56">
        <f t="shared" si="12"/>
        <v>4</v>
      </c>
      <c r="Y56" s="37" t="b">
        <f t="shared" si="13"/>
        <v>1</v>
      </c>
    </row>
    <row r="57" spans="1:25" x14ac:dyDescent="0.25">
      <c r="A57" s="18">
        <v>54</v>
      </c>
      <c r="B57" t="s">
        <v>208</v>
      </c>
      <c r="C57" s="35">
        <v>237723</v>
      </c>
      <c r="D57" s="39">
        <v>45646</v>
      </c>
      <c r="E57" t="s">
        <v>136</v>
      </c>
      <c r="F57" t="s">
        <v>212</v>
      </c>
      <c r="G57" t="s">
        <v>213</v>
      </c>
      <c r="H57" t="s">
        <v>119</v>
      </c>
      <c r="I57">
        <v>1</v>
      </c>
      <c r="J57" t="s">
        <v>78</v>
      </c>
      <c r="K57" s="35">
        <v>1</v>
      </c>
      <c r="L57" t="s">
        <v>123</v>
      </c>
      <c r="M57" s="35">
        <v>1</v>
      </c>
      <c r="N57" t="s">
        <v>123</v>
      </c>
      <c r="O57" s="35">
        <v>1</v>
      </c>
      <c r="P57" s="35">
        <v>1</v>
      </c>
      <c r="Q57" s="36">
        <v>4</v>
      </c>
      <c r="S57">
        <f t="shared" si="7"/>
        <v>4</v>
      </c>
      <c r="T57">
        <f t="shared" si="8"/>
        <v>4</v>
      </c>
      <c r="U57">
        <f t="shared" si="9"/>
        <v>4</v>
      </c>
      <c r="V57" s="37" t="b">
        <f t="shared" si="10"/>
        <v>1</v>
      </c>
      <c r="W57" s="36">
        <f t="shared" si="11"/>
        <v>4</v>
      </c>
      <c r="X57">
        <f t="shared" si="12"/>
        <v>4</v>
      </c>
      <c r="Y57" s="37" t="b">
        <f t="shared" si="13"/>
        <v>1</v>
      </c>
    </row>
    <row r="58" spans="1:25" x14ac:dyDescent="0.25">
      <c r="A58" s="18">
        <v>55</v>
      </c>
      <c r="B58" t="s">
        <v>214</v>
      </c>
      <c r="C58" s="35">
        <v>238519</v>
      </c>
      <c r="D58" s="39">
        <v>45646</v>
      </c>
      <c r="E58" t="s">
        <v>217</v>
      </c>
      <c r="F58" t="s">
        <v>216</v>
      </c>
      <c r="G58" t="s">
        <v>218</v>
      </c>
      <c r="H58" t="s">
        <v>153</v>
      </c>
      <c r="I58">
        <v>5</v>
      </c>
      <c r="J58" t="s">
        <v>78</v>
      </c>
      <c r="K58" s="35">
        <v>5</v>
      </c>
      <c r="L58" t="s">
        <v>95</v>
      </c>
      <c r="M58" s="35">
        <v>5</v>
      </c>
      <c r="N58" t="s">
        <v>95</v>
      </c>
      <c r="O58" s="35">
        <v>14</v>
      </c>
      <c r="P58" s="35">
        <v>70</v>
      </c>
      <c r="Q58" s="36">
        <v>5</v>
      </c>
      <c r="S58">
        <f t="shared" si="7"/>
        <v>5</v>
      </c>
      <c r="T58">
        <f t="shared" si="8"/>
        <v>5</v>
      </c>
      <c r="U58">
        <f t="shared" si="9"/>
        <v>5</v>
      </c>
      <c r="V58" s="37" t="b">
        <f t="shared" si="10"/>
        <v>1</v>
      </c>
      <c r="W58" s="36">
        <f t="shared" si="11"/>
        <v>5</v>
      </c>
      <c r="X58">
        <f t="shared" si="12"/>
        <v>70</v>
      </c>
      <c r="Y58" s="37" t="b">
        <f t="shared" si="13"/>
        <v>0</v>
      </c>
    </row>
    <row r="59" spans="1:25" x14ac:dyDescent="0.25">
      <c r="A59" s="18">
        <v>56</v>
      </c>
      <c r="B59" t="s">
        <v>219</v>
      </c>
      <c r="C59" s="35">
        <v>241523</v>
      </c>
      <c r="D59" s="39">
        <v>45649</v>
      </c>
      <c r="E59" t="s">
        <v>184</v>
      </c>
      <c r="F59" t="s">
        <v>187</v>
      </c>
      <c r="G59" t="s">
        <v>185</v>
      </c>
      <c r="H59" t="s">
        <v>119</v>
      </c>
      <c r="I59">
        <v>4</v>
      </c>
      <c r="J59" t="s">
        <v>78</v>
      </c>
      <c r="K59" s="35">
        <v>2</v>
      </c>
      <c r="L59" t="s">
        <v>123</v>
      </c>
      <c r="M59" s="35">
        <v>2</v>
      </c>
      <c r="N59" t="s">
        <v>123</v>
      </c>
      <c r="O59" s="36">
        <v>0.95</v>
      </c>
      <c r="P59">
        <v>1.9</v>
      </c>
      <c r="Q59" s="36">
        <v>14.3</v>
      </c>
      <c r="S59">
        <f t="shared" si="7"/>
        <v>14</v>
      </c>
      <c r="T59">
        <f t="shared" si="8"/>
        <v>14</v>
      </c>
      <c r="U59">
        <f t="shared" si="9"/>
        <v>14</v>
      </c>
      <c r="V59" s="37" t="b">
        <f t="shared" si="10"/>
        <v>1</v>
      </c>
      <c r="W59" s="36">
        <f t="shared" si="11"/>
        <v>14.3</v>
      </c>
      <c r="X59">
        <f t="shared" si="12"/>
        <v>14.3</v>
      </c>
      <c r="Y59" s="37" t="b">
        <f t="shared" si="13"/>
        <v>1</v>
      </c>
    </row>
    <row r="60" spans="1:25" x14ac:dyDescent="0.25">
      <c r="A60" s="18">
        <v>57</v>
      </c>
      <c r="B60" t="s">
        <v>219</v>
      </c>
      <c r="C60" s="35">
        <v>241523</v>
      </c>
      <c r="D60" s="39">
        <v>45649</v>
      </c>
      <c r="E60" t="s">
        <v>184</v>
      </c>
      <c r="G60" t="s">
        <v>185</v>
      </c>
      <c r="H60" t="s">
        <v>119</v>
      </c>
      <c r="K60" s="35">
        <v>2</v>
      </c>
      <c r="L60" t="s">
        <v>123</v>
      </c>
      <c r="M60" s="35">
        <v>2</v>
      </c>
      <c r="N60" t="s">
        <v>123</v>
      </c>
      <c r="O60" s="36">
        <v>0.95</v>
      </c>
      <c r="P60">
        <v>1.9</v>
      </c>
      <c r="Q60" s="36">
        <v>14.3</v>
      </c>
      <c r="S60">
        <f t="shared" si="7"/>
        <v>14</v>
      </c>
      <c r="T60">
        <f t="shared" si="8"/>
        <v>14</v>
      </c>
      <c r="U60">
        <f t="shared" si="9"/>
        <v>14</v>
      </c>
      <c r="V60" s="37" t="b">
        <f t="shared" si="10"/>
        <v>1</v>
      </c>
      <c r="W60" s="36">
        <f t="shared" si="11"/>
        <v>14.3</v>
      </c>
      <c r="X60">
        <f t="shared" si="12"/>
        <v>14.3</v>
      </c>
      <c r="Y60" s="37" t="b">
        <f t="shared" si="13"/>
        <v>1</v>
      </c>
    </row>
    <row r="61" spans="1:25" x14ac:dyDescent="0.25">
      <c r="A61" s="18">
        <v>58</v>
      </c>
      <c r="B61" t="s">
        <v>219</v>
      </c>
      <c r="C61" s="35">
        <v>241523</v>
      </c>
      <c r="D61" s="39">
        <v>45649</v>
      </c>
      <c r="E61" t="s">
        <v>136</v>
      </c>
      <c r="F61" t="s">
        <v>222</v>
      </c>
      <c r="G61" t="s">
        <v>223</v>
      </c>
      <c r="H61" t="s">
        <v>119</v>
      </c>
      <c r="I61">
        <v>10</v>
      </c>
      <c r="J61" t="s">
        <v>78</v>
      </c>
      <c r="K61" s="35">
        <v>5</v>
      </c>
      <c r="L61" t="s">
        <v>123</v>
      </c>
      <c r="M61" s="35">
        <v>5</v>
      </c>
      <c r="N61" t="s">
        <v>123</v>
      </c>
      <c r="O61" s="36">
        <v>1.05</v>
      </c>
      <c r="P61" s="36">
        <v>5.25</v>
      </c>
      <c r="Q61" s="36">
        <v>14.3</v>
      </c>
      <c r="S61">
        <f t="shared" si="7"/>
        <v>14</v>
      </c>
      <c r="T61">
        <f t="shared" si="8"/>
        <v>14</v>
      </c>
      <c r="U61">
        <f t="shared" si="9"/>
        <v>14</v>
      </c>
      <c r="V61" s="37" t="b">
        <f t="shared" si="10"/>
        <v>1</v>
      </c>
      <c r="W61" s="36">
        <f t="shared" si="11"/>
        <v>14.3</v>
      </c>
      <c r="X61">
        <f t="shared" si="12"/>
        <v>14.3</v>
      </c>
      <c r="Y61" s="37" t="b">
        <f t="shared" si="13"/>
        <v>1</v>
      </c>
    </row>
    <row r="62" spans="1:25" x14ac:dyDescent="0.25">
      <c r="A62" s="18">
        <v>59</v>
      </c>
      <c r="B62" t="s">
        <v>219</v>
      </c>
      <c r="C62" s="35">
        <v>241523</v>
      </c>
      <c r="D62" s="39">
        <v>45649</v>
      </c>
      <c r="E62" t="s">
        <v>136</v>
      </c>
      <c r="G62" t="s">
        <v>223</v>
      </c>
      <c r="H62" t="s">
        <v>119</v>
      </c>
      <c r="K62" s="35">
        <v>5</v>
      </c>
      <c r="L62" t="s">
        <v>123</v>
      </c>
      <c r="M62" s="35">
        <v>5</v>
      </c>
      <c r="N62" t="s">
        <v>123</v>
      </c>
      <c r="O62" s="36">
        <v>1.05</v>
      </c>
      <c r="P62" s="36">
        <v>5.25</v>
      </c>
      <c r="Q62" s="36">
        <v>14.3</v>
      </c>
      <c r="S62">
        <f t="shared" si="7"/>
        <v>14</v>
      </c>
      <c r="T62">
        <f t="shared" si="8"/>
        <v>14</v>
      </c>
      <c r="U62">
        <f t="shared" si="9"/>
        <v>14</v>
      </c>
      <c r="V62" s="37" t="b">
        <f t="shared" si="10"/>
        <v>1</v>
      </c>
      <c r="W62" s="36">
        <f t="shared" si="11"/>
        <v>14.3</v>
      </c>
      <c r="X62">
        <f t="shared" si="12"/>
        <v>14.3</v>
      </c>
      <c r="Y62" s="37" t="b">
        <f t="shared" si="13"/>
        <v>1</v>
      </c>
    </row>
    <row r="63" spans="1:25" x14ac:dyDescent="0.25">
      <c r="A63" s="18">
        <v>60</v>
      </c>
      <c r="B63" t="s">
        <v>224</v>
      </c>
      <c r="C63" s="35">
        <v>247875</v>
      </c>
      <c r="D63" s="39">
        <v>45653</v>
      </c>
      <c r="E63" t="s">
        <v>227</v>
      </c>
      <c r="F63" t="s">
        <v>227</v>
      </c>
      <c r="G63" t="s">
        <v>228</v>
      </c>
      <c r="H63" t="s">
        <v>226</v>
      </c>
      <c r="I63">
        <v>1</v>
      </c>
      <c r="J63" t="s">
        <v>78</v>
      </c>
      <c r="K63" s="35">
        <v>1</v>
      </c>
      <c r="L63" t="s">
        <v>123</v>
      </c>
      <c r="M63" s="35">
        <v>1</v>
      </c>
      <c r="N63" t="s">
        <v>123</v>
      </c>
      <c r="O63" s="35">
        <v>1</v>
      </c>
      <c r="P63" s="35">
        <v>1</v>
      </c>
      <c r="Q63" s="36">
        <v>5</v>
      </c>
      <c r="S63">
        <f t="shared" si="7"/>
        <v>5</v>
      </c>
      <c r="T63">
        <f t="shared" si="8"/>
        <v>5</v>
      </c>
      <c r="U63">
        <f t="shared" si="9"/>
        <v>5</v>
      </c>
      <c r="V63" s="37" t="b">
        <f t="shared" si="10"/>
        <v>1</v>
      </c>
      <c r="W63" s="36">
        <f t="shared" si="11"/>
        <v>5</v>
      </c>
      <c r="X63">
        <f t="shared" si="12"/>
        <v>5</v>
      </c>
      <c r="Y63" s="37" t="b">
        <f t="shared" si="13"/>
        <v>1</v>
      </c>
    </row>
    <row r="64" spans="1:25" x14ac:dyDescent="0.25">
      <c r="A64" s="18">
        <v>61</v>
      </c>
      <c r="B64" t="s">
        <v>224</v>
      </c>
      <c r="C64" s="35">
        <v>247875</v>
      </c>
      <c r="D64" s="39">
        <v>45653</v>
      </c>
      <c r="E64" t="s">
        <v>227</v>
      </c>
      <c r="F64" t="s">
        <v>227</v>
      </c>
      <c r="G64" t="s">
        <v>229</v>
      </c>
      <c r="H64" t="s">
        <v>226</v>
      </c>
      <c r="I64">
        <v>1</v>
      </c>
      <c r="J64" t="s">
        <v>78</v>
      </c>
      <c r="K64" s="35">
        <v>1</v>
      </c>
      <c r="L64" t="s">
        <v>123</v>
      </c>
      <c r="M64" s="35">
        <v>1</v>
      </c>
      <c r="N64" t="s">
        <v>123</v>
      </c>
      <c r="O64" s="35">
        <v>1</v>
      </c>
      <c r="P64" s="35">
        <v>1</v>
      </c>
      <c r="Q64" s="36">
        <v>5</v>
      </c>
      <c r="S64">
        <f t="shared" si="7"/>
        <v>5</v>
      </c>
      <c r="T64">
        <f t="shared" si="8"/>
        <v>5</v>
      </c>
      <c r="U64">
        <f t="shared" si="9"/>
        <v>5</v>
      </c>
      <c r="V64" s="37" t="b">
        <f t="shared" si="10"/>
        <v>1</v>
      </c>
      <c r="W64" s="36">
        <f t="shared" si="11"/>
        <v>5</v>
      </c>
      <c r="X64">
        <f t="shared" si="12"/>
        <v>5</v>
      </c>
      <c r="Y64" s="37" t="b">
        <f t="shared" si="13"/>
        <v>1</v>
      </c>
    </row>
    <row r="65" spans="1:25" x14ac:dyDescent="0.25">
      <c r="A65" s="18">
        <v>62</v>
      </c>
      <c r="B65" t="s">
        <v>224</v>
      </c>
      <c r="C65" s="35">
        <v>247875</v>
      </c>
      <c r="D65" s="39">
        <v>45653</v>
      </c>
      <c r="E65" t="s">
        <v>230</v>
      </c>
      <c r="F65" t="s">
        <v>230</v>
      </c>
      <c r="G65" t="s">
        <v>231</v>
      </c>
      <c r="H65" t="s">
        <v>226</v>
      </c>
      <c r="I65">
        <v>1</v>
      </c>
      <c r="J65" t="s">
        <v>78</v>
      </c>
      <c r="K65" s="35">
        <v>1</v>
      </c>
      <c r="L65" t="s">
        <v>123</v>
      </c>
      <c r="M65" s="35">
        <v>1</v>
      </c>
      <c r="N65" t="s">
        <v>123</v>
      </c>
      <c r="O65" s="35">
        <v>1</v>
      </c>
      <c r="P65" s="35">
        <v>1</v>
      </c>
      <c r="Q65" s="36">
        <v>5</v>
      </c>
      <c r="S65">
        <f t="shared" si="7"/>
        <v>5</v>
      </c>
      <c r="T65">
        <f t="shared" si="8"/>
        <v>5</v>
      </c>
      <c r="U65">
        <f t="shared" si="9"/>
        <v>5</v>
      </c>
      <c r="V65" s="37" t="b">
        <f t="shared" si="10"/>
        <v>1</v>
      </c>
      <c r="W65" s="36">
        <f t="shared" si="11"/>
        <v>5</v>
      </c>
      <c r="X65">
        <f t="shared" si="12"/>
        <v>5</v>
      </c>
      <c r="Y65" s="37" t="b">
        <f t="shared" si="13"/>
        <v>1</v>
      </c>
    </row>
    <row r="66" spans="1:25" x14ac:dyDescent="0.25">
      <c r="A66" s="18">
        <v>63</v>
      </c>
      <c r="B66" t="s">
        <v>224</v>
      </c>
      <c r="C66" s="35">
        <v>247875</v>
      </c>
      <c r="D66" s="39">
        <v>45653</v>
      </c>
      <c r="E66" t="s">
        <v>232</v>
      </c>
      <c r="F66" t="s">
        <v>232</v>
      </c>
      <c r="G66" t="s">
        <v>233</v>
      </c>
      <c r="H66" t="s">
        <v>226</v>
      </c>
      <c r="I66">
        <v>1</v>
      </c>
      <c r="J66" t="s">
        <v>78</v>
      </c>
      <c r="K66" s="35">
        <v>1</v>
      </c>
      <c r="L66" t="s">
        <v>123</v>
      </c>
      <c r="M66" s="35">
        <v>1</v>
      </c>
      <c r="N66" t="s">
        <v>123</v>
      </c>
      <c r="O66" s="35">
        <v>1</v>
      </c>
      <c r="P66" s="35">
        <v>1</v>
      </c>
      <c r="Q66" s="36">
        <v>5</v>
      </c>
      <c r="S66">
        <f t="shared" si="7"/>
        <v>5</v>
      </c>
      <c r="T66">
        <f t="shared" si="8"/>
        <v>5</v>
      </c>
      <c r="U66">
        <f t="shared" si="9"/>
        <v>5</v>
      </c>
      <c r="V66" s="37" t="b">
        <f t="shared" si="10"/>
        <v>1</v>
      </c>
      <c r="W66" s="36">
        <f t="shared" si="11"/>
        <v>5</v>
      </c>
      <c r="X66">
        <f t="shared" si="12"/>
        <v>5</v>
      </c>
      <c r="Y66" s="37" t="b">
        <f t="shared" si="13"/>
        <v>1</v>
      </c>
    </row>
    <row r="67" spans="1:25" x14ac:dyDescent="0.25">
      <c r="A67" s="18">
        <v>64</v>
      </c>
      <c r="B67" t="s">
        <v>224</v>
      </c>
      <c r="C67" s="35">
        <v>247875</v>
      </c>
      <c r="D67" s="39">
        <v>45653</v>
      </c>
      <c r="E67" t="s">
        <v>227</v>
      </c>
      <c r="F67" t="s">
        <v>227</v>
      </c>
      <c r="G67" t="s">
        <v>234</v>
      </c>
      <c r="H67" t="s">
        <v>226</v>
      </c>
      <c r="I67">
        <v>1</v>
      </c>
      <c r="J67" t="s">
        <v>78</v>
      </c>
      <c r="K67" s="35">
        <v>1</v>
      </c>
      <c r="L67" t="s">
        <v>123</v>
      </c>
      <c r="M67" s="35">
        <v>1</v>
      </c>
      <c r="N67" t="s">
        <v>123</v>
      </c>
      <c r="O67" s="35">
        <v>1</v>
      </c>
      <c r="P67" s="35">
        <v>1</v>
      </c>
      <c r="Q67" s="36">
        <v>5</v>
      </c>
      <c r="S67">
        <f t="shared" si="7"/>
        <v>5</v>
      </c>
      <c r="T67">
        <f t="shared" si="8"/>
        <v>5</v>
      </c>
      <c r="U67">
        <f t="shared" si="9"/>
        <v>5</v>
      </c>
      <c r="V67" s="37" t="b">
        <f t="shared" si="10"/>
        <v>1</v>
      </c>
      <c r="W67" s="36">
        <f t="shared" si="11"/>
        <v>5</v>
      </c>
      <c r="X67">
        <f t="shared" si="12"/>
        <v>5</v>
      </c>
      <c r="Y67" s="37" t="b">
        <f t="shared" si="13"/>
        <v>1</v>
      </c>
    </row>
    <row r="68" spans="1:25" x14ac:dyDescent="0.25">
      <c r="A68" s="18">
        <v>65</v>
      </c>
      <c r="B68" t="s">
        <v>235</v>
      </c>
      <c r="C68" s="35">
        <v>250578</v>
      </c>
      <c r="D68" s="39">
        <v>45656</v>
      </c>
      <c r="E68" t="s">
        <v>238</v>
      </c>
      <c r="F68" t="s">
        <v>237</v>
      </c>
      <c r="G68" s="35">
        <v>30430</v>
      </c>
      <c r="H68" t="s">
        <v>153</v>
      </c>
      <c r="I68">
        <v>1</v>
      </c>
      <c r="J68" t="s">
        <v>78</v>
      </c>
      <c r="K68" s="35">
        <v>1</v>
      </c>
      <c r="L68" t="s">
        <v>95</v>
      </c>
      <c r="M68" s="35">
        <v>1</v>
      </c>
      <c r="N68" t="s">
        <v>95</v>
      </c>
      <c r="O68" s="36">
        <v>5.05</v>
      </c>
      <c r="P68" s="36">
        <v>5.05</v>
      </c>
      <c r="Q68" s="36">
        <v>10.1</v>
      </c>
      <c r="S68">
        <f t="shared" si="7"/>
        <v>2</v>
      </c>
      <c r="T68">
        <f t="shared" si="8"/>
        <v>2</v>
      </c>
      <c r="U68">
        <f t="shared" si="9"/>
        <v>2</v>
      </c>
      <c r="V68" s="37" t="b">
        <f t="shared" ref="V68:V99" si="14">IF(OR(S68="NOT FOUND",T68="NOT FOUND",U68="NOT FOUND"),FALSE,IF(COUNTIF(S68:U68,U68)=3,TRUE,FALSE))</f>
        <v>1</v>
      </c>
      <c r="W68" s="36">
        <f t="shared" si="11"/>
        <v>10.1</v>
      </c>
      <c r="X68">
        <f t="shared" si="12"/>
        <v>10.1</v>
      </c>
      <c r="Y68" s="37" t="b">
        <f t="shared" ref="Y68:Y99" si="15">IFERROR(W68=X68,FALSE)</f>
        <v>1</v>
      </c>
    </row>
    <row r="69" spans="1:25" x14ac:dyDescent="0.25">
      <c r="A69" s="18">
        <v>66</v>
      </c>
      <c r="B69" t="s">
        <v>235</v>
      </c>
      <c r="C69" s="35">
        <v>250578</v>
      </c>
      <c r="D69" s="39">
        <v>45656</v>
      </c>
      <c r="E69" t="s">
        <v>238</v>
      </c>
      <c r="F69" t="s">
        <v>240</v>
      </c>
      <c r="G69" s="35">
        <v>30430</v>
      </c>
      <c r="H69" t="s">
        <v>153</v>
      </c>
      <c r="I69">
        <v>1</v>
      </c>
      <c r="J69" t="s">
        <v>78</v>
      </c>
      <c r="K69" s="35">
        <v>1</v>
      </c>
      <c r="L69" t="s">
        <v>95</v>
      </c>
      <c r="M69" s="35">
        <v>1</v>
      </c>
      <c r="N69" t="s">
        <v>95</v>
      </c>
      <c r="O69" s="36">
        <v>5.05</v>
      </c>
      <c r="P69" s="36">
        <v>5.05</v>
      </c>
      <c r="Q69" s="36">
        <v>10.1</v>
      </c>
      <c r="S69">
        <f t="shared" si="7"/>
        <v>2</v>
      </c>
      <c r="T69">
        <f t="shared" si="8"/>
        <v>2</v>
      </c>
      <c r="U69">
        <f t="shared" si="9"/>
        <v>2</v>
      </c>
      <c r="V69" s="37" t="b">
        <f t="shared" si="14"/>
        <v>1</v>
      </c>
      <c r="W69" s="36">
        <f t="shared" si="11"/>
        <v>10.1</v>
      </c>
      <c r="X69">
        <f t="shared" si="12"/>
        <v>10.1</v>
      </c>
      <c r="Y69" s="37" t="b">
        <f t="shared" si="15"/>
        <v>1</v>
      </c>
    </row>
    <row r="70" spans="1:25" x14ac:dyDescent="0.25">
      <c r="A70" s="18">
        <v>67</v>
      </c>
      <c r="B70" t="s">
        <v>241</v>
      </c>
      <c r="C70" s="35">
        <v>251709</v>
      </c>
      <c r="D70" s="39">
        <v>45657</v>
      </c>
      <c r="E70" t="s">
        <v>121</v>
      </c>
      <c r="F70" t="s">
        <v>162</v>
      </c>
      <c r="G70" t="s">
        <v>243</v>
      </c>
      <c r="H70" t="s">
        <v>119</v>
      </c>
      <c r="I70">
        <v>8</v>
      </c>
      <c r="J70" t="s">
        <v>78</v>
      </c>
      <c r="K70" s="35">
        <v>8</v>
      </c>
      <c r="L70" t="s">
        <v>123</v>
      </c>
      <c r="M70" s="35">
        <v>8</v>
      </c>
      <c r="N70" t="s">
        <v>123</v>
      </c>
      <c r="O70" s="35">
        <v>1</v>
      </c>
      <c r="P70" s="35">
        <v>8</v>
      </c>
      <c r="Q70" s="36">
        <v>22</v>
      </c>
      <c r="S70">
        <f t="shared" si="7"/>
        <v>22</v>
      </c>
      <c r="T70">
        <f t="shared" si="8"/>
        <v>22</v>
      </c>
      <c r="U70">
        <f t="shared" si="9"/>
        <v>22</v>
      </c>
      <c r="V70" s="37" t="b">
        <f t="shared" si="14"/>
        <v>1</v>
      </c>
      <c r="W70" s="36">
        <f t="shared" si="11"/>
        <v>22</v>
      </c>
      <c r="X70">
        <f t="shared" si="12"/>
        <v>22</v>
      </c>
      <c r="Y70" s="37" t="b">
        <f t="shared" si="15"/>
        <v>1</v>
      </c>
    </row>
    <row r="71" spans="1:25" x14ac:dyDescent="0.25">
      <c r="A71" s="18">
        <v>68</v>
      </c>
      <c r="B71" t="s">
        <v>241</v>
      </c>
      <c r="C71" s="35">
        <v>251709</v>
      </c>
      <c r="D71" s="39">
        <v>45657</v>
      </c>
      <c r="E71" t="s">
        <v>121</v>
      </c>
      <c r="F71" t="s">
        <v>169</v>
      </c>
      <c r="G71" t="s">
        <v>244</v>
      </c>
      <c r="H71" t="s">
        <v>119</v>
      </c>
      <c r="I71">
        <v>8</v>
      </c>
      <c r="J71" t="s">
        <v>78</v>
      </c>
      <c r="K71" s="35">
        <v>8</v>
      </c>
      <c r="L71" t="s">
        <v>123</v>
      </c>
      <c r="M71" s="35">
        <v>8</v>
      </c>
      <c r="N71" t="s">
        <v>123</v>
      </c>
      <c r="O71" s="35">
        <v>1</v>
      </c>
      <c r="P71" s="35">
        <v>8</v>
      </c>
      <c r="Q71" s="36">
        <v>22</v>
      </c>
      <c r="S71">
        <f t="shared" si="7"/>
        <v>22</v>
      </c>
      <c r="T71">
        <f t="shared" si="8"/>
        <v>22</v>
      </c>
      <c r="U71">
        <f t="shared" si="9"/>
        <v>22</v>
      </c>
      <c r="V71" s="37" t="b">
        <f t="shared" si="14"/>
        <v>1</v>
      </c>
      <c r="W71" s="36">
        <f t="shared" si="11"/>
        <v>22</v>
      </c>
      <c r="X71">
        <f t="shared" si="12"/>
        <v>22</v>
      </c>
      <c r="Y71" s="37" t="b">
        <f t="shared" si="15"/>
        <v>1</v>
      </c>
    </row>
    <row r="72" spans="1:25" x14ac:dyDescent="0.25">
      <c r="A72" s="18">
        <v>69</v>
      </c>
      <c r="B72" t="s">
        <v>241</v>
      </c>
      <c r="C72" s="35">
        <v>251709</v>
      </c>
      <c r="D72" s="39">
        <v>45657</v>
      </c>
      <c r="E72" t="s">
        <v>121</v>
      </c>
      <c r="F72" t="s">
        <v>162</v>
      </c>
      <c r="G72" t="s">
        <v>245</v>
      </c>
      <c r="H72" t="s">
        <v>119</v>
      </c>
      <c r="I72">
        <v>6</v>
      </c>
      <c r="J72" t="s">
        <v>78</v>
      </c>
      <c r="K72" s="35">
        <v>6</v>
      </c>
      <c r="L72" t="s">
        <v>123</v>
      </c>
      <c r="M72" s="35">
        <v>6</v>
      </c>
      <c r="N72" t="s">
        <v>123</v>
      </c>
      <c r="O72" s="35">
        <v>1</v>
      </c>
      <c r="P72" s="35">
        <v>6</v>
      </c>
      <c r="Q72" s="36">
        <v>22</v>
      </c>
      <c r="S72">
        <f t="shared" si="7"/>
        <v>22</v>
      </c>
      <c r="T72">
        <f t="shared" si="8"/>
        <v>22</v>
      </c>
      <c r="U72">
        <f t="shared" si="9"/>
        <v>22</v>
      </c>
      <c r="V72" s="37" t="b">
        <f t="shared" si="14"/>
        <v>1</v>
      </c>
      <c r="W72" s="36">
        <f t="shared" si="11"/>
        <v>22</v>
      </c>
      <c r="X72">
        <f t="shared" si="12"/>
        <v>22</v>
      </c>
      <c r="Y72" s="37" t="b">
        <f t="shared" si="15"/>
        <v>1</v>
      </c>
    </row>
    <row r="73" spans="1:25" x14ac:dyDescent="0.25">
      <c r="A73" s="34"/>
      <c r="C73" s="35"/>
      <c r="G73" s="35"/>
      <c r="K73" s="35"/>
      <c r="M73" s="35"/>
      <c r="N73" s="35"/>
      <c r="O73" s="35"/>
      <c r="P73" s="35"/>
      <c r="Q73" s="36"/>
    </row>
    <row r="74" spans="1:25" x14ac:dyDescent="0.25">
      <c r="A74" s="34"/>
      <c r="C74" s="35"/>
      <c r="G74" s="35"/>
      <c r="K74" s="35"/>
      <c r="M74" s="35"/>
      <c r="N74" s="35"/>
      <c r="O74" s="35"/>
      <c r="P74" s="35"/>
      <c r="Q74" s="36"/>
    </row>
    <row r="75" spans="1:25" x14ac:dyDescent="0.25">
      <c r="A75" s="34"/>
      <c r="C75" s="35"/>
      <c r="G75" s="35"/>
      <c r="K75" s="35"/>
      <c r="M75" s="35"/>
      <c r="N75" s="35"/>
      <c r="O75" s="35"/>
      <c r="P75" s="35"/>
      <c r="Q75" s="36"/>
    </row>
    <row r="76" spans="1:25" x14ac:dyDescent="0.25">
      <c r="A76" s="34"/>
      <c r="C76" s="35"/>
      <c r="G76" s="35"/>
      <c r="K76" s="35"/>
      <c r="M76" s="35"/>
      <c r="N76" s="35"/>
      <c r="O76" s="35"/>
      <c r="P76" s="35"/>
      <c r="Q76" s="36"/>
    </row>
    <row r="77" spans="1:25" x14ac:dyDescent="0.25">
      <c r="A77" s="34"/>
      <c r="C77" s="35"/>
      <c r="G77" s="35"/>
      <c r="K77" s="35"/>
      <c r="M77" s="35"/>
      <c r="N77" s="35"/>
      <c r="O77" s="35"/>
      <c r="P77" s="35"/>
      <c r="Q77" s="36"/>
    </row>
    <row r="78" spans="1:25" x14ac:dyDescent="0.25">
      <c r="A78" s="34"/>
      <c r="C78" s="35"/>
      <c r="G78" s="35"/>
      <c r="K78" s="35"/>
      <c r="M78" s="35"/>
      <c r="N78" s="35"/>
      <c r="O78" s="35"/>
      <c r="P78" s="35"/>
      <c r="Q78" s="36"/>
    </row>
    <row r="79" spans="1:25" x14ac:dyDescent="0.25">
      <c r="A79" s="34"/>
      <c r="C79" s="35"/>
      <c r="G79" s="35"/>
      <c r="K79" s="35"/>
      <c r="M79" s="35"/>
      <c r="N79" s="35"/>
      <c r="O79" s="35"/>
      <c r="P79" s="35"/>
      <c r="Q79" s="36"/>
    </row>
    <row r="80" spans="1:25" x14ac:dyDescent="0.25">
      <c r="A80" s="34"/>
      <c r="C80" s="35"/>
      <c r="G80" s="35"/>
      <c r="K80" s="35"/>
      <c r="M80" s="35"/>
      <c r="N80" s="35"/>
      <c r="O80" s="35"/>
      <c r="P80" s="35"/>
      <c r="Q80" s="36"/>
    </row>
    <row r="81" spans="1:17" x14ac:dyDescent="0.25">
      <c r="A81" s="34"/>
      <c r="C81" s="35"/>
      <c r="G81" s="35"/>
      <c r="K81" s="35"/>
      <c r="M81" s="35"/>
      <c r="N81" s="35"/>
      <c r="O81" s="35"/>
      <c r="P81" s="35"/>
      <c r="Q81" s="36"/>
    </row>
    <row r="82" spans="1:17" x14ac:dyDescent="0.25">
      <c r="A82" s="34"/>
      <c r="C82" s="35"/>
      <c r="G82" s="35"/>
      <c r="K82" s="35"/>
      <c r="M82" s="35"/>
      <c r="N82" s="35"/>
      <c r="O82" s="35"/>
      <c r="P82" s="35"/>
      <c r="Q82" s="36"/>
    </row>
    <row r="83" spans="1:17" x14ac:dyDescent="0.25">
      <c r="A83" s="34"/>
      <c r="C83" s="35"/>
      <c r="G83" s="35"/>
      <c r="K83" s="35"/>
      <c r="M83" s="35"/>
      <c r="N83" s="35"/>
      <c r="O83" s="35"/>
      <c r="P83" s="35"/>
      <c r="Q83" s="36"/>
    </row>
    <row r="84" spans="1:17" x14ac:dyDescent="0.25">
      <c r="A84" s="34"/>
      <c r="C84" s="35"/>
      <c r="G84" s="35"/>
      <c r="K84" s="35"/>
      <c r="M84" s="35"/>
      <c r="N84" s="35"/>
      <c r="O84" s="35"/>
      <c r="P84" s="35"/>
      <c r="Q84" s="36"/>
    </row>
    <row r="85" spans="1:17" x14ac:dyDescent="0.25">
      <c r="A85" s="34"/>
      <c r="C85" s="35"/>
      <c r="G85" s="35"/>
      <c r="K85" s="35"/>
      <c r="M85" s="35"/>
      <c r="N85" s="35"/>
      <c r="O85" s="35"/>
      <c r="P85" s="35"/>
      <c r="Q85" s="36"/>
    </row>
    <row r="86" spans="1:17" x14ac:dyDescent="0.25">
      <c r="A86" s="34"/>
      <c r="C86" s="35"/>
      <c r="G86" s="35"/>
      <c r="K86" s="35"/>
      <c r="M86" s="35"/>
      <c r="N86" s="35"/>
      <c r="O86" s="35"/>
      <c r="P86" s="35"/>
      <c r="Q86" s="36"/>
    </row>
    <row r="87" spans="1:17" x14ac:dyDescent="0.25">
      <c r="A87" s="34"/>
      <c r="C87" s="35"/>
      <c r="G87" s="35"/>
      <c r="K87" s="35"/>
      <c r="M87" s="35"/>
      <c r="N87" s="35"/>
      <c r="O87" s="35"/>
      <c r="P87" s="35"/>
      <c r="Q87" s="36"/>
    </row>
    <row r="88" spans="1:17" x14ac:dyDescent="0.25">
      <c r="A88" s="34"/>
      <c r="C88" s="35"/>
      <c r="G88" s="35"/>
      <c r="K88" s="35"/>
      <c r="M88" s="35"/>
      <c r="N88" s="35"/>
      <c r="O88" s="35"/>
      <c r="P88" s="35"/>
      <c r="Q88" s="36"/>
    </row>
    <row r="89" spans="1:17" x14ac:dyDescent="0.25">
      <c r="A89" s="34"/>
      <c r="C89" s="35"/>
      <c r="G89" s="35"/>
      <c r="K89" s="35"/>
      <c r="M89" s="35"/>
      <c r="N89" s="35"/>
      <c r="O89" s="35"/>
      <c r="P89" s="35"/>
      <c r="Q89" s="36"/>
    </row>
    <row r="90" spans="1:17" x14ac:dyDescent="0.25">
      <c r="A90" s="34"/>
      <c r="C90" s="35"/>
      <c r="G90" s="35"/>
      <c r="K90" s="35"/>
      <c r="M90" s="35"/>
      <c r="N90" s="35"/>
      <c r="O90" s="35"/>
      <c r="P90" s="35"/>
      <c r="Q90" s="36"/>
    </row>
    <row r="91" spans="1:17" x14ac:dyDescent="0.25">
      <c r="A91" s="34"/>
      <c r="C91" s="35"/>
      <c r="G91" s="35"/>
      <c r="K91" s="35"/>
      <c r="M91" s="35"/>
      <c r="N91" s="35"/>
      <c r="O91" s="35"/>
      <c r="P91" s="35"/>
      <c r="Q91" s="36"/>
    </row>
    <row r="92" spans="1:17" x14ac:dyDescent="0.25">
      <c r="A92" s="34"/>
      <c r="C92" s="35"/>
      <c r="G92" s="35"/>
      <c r="K92" s="35"/>
      <c r="M92" s="35"/>
      <c r="N92" s="35"/>
      <c r="O92" s="35"/>
      <c r="P92" s="35"/>
      <c r="Q92" s="36"/>
    </row>
    <row r="93" spans="1:17" x14ac:dyDescent="0.25">
      <c r="A93" s="34"/>
      <c r="C93" s="35"/>
      <c r="G93" s="35"/>
      <c r="K93" s="35"/>
      <c r="M93" s="35"/>
      <c r="N93" s="35"/>
      <c r="O93" s="35"/>
      <c r="P93" s="35"/>
      <c r="Q93" s="36"/>
    </row>
    <row r="94" spans="1:17" x14ac:dyDescent="0.25">
      <c r="A94" s="34"/>
      <c r="C94" s="35"/>
      <c r="G94" s="35"/>
      <c r="K94" s="35"/>
      <c r="M94" s="35"/>
      <c r="N94" s="35"/>
      <c r="O94" s="35"/>
      <c r="P94" s="35"/>
      <c r="Q94" s="36"/>
    </row>
    <row r="95" spans="1:17" x14ac:dyDescent="0.25">
      <c r="A95" s="34"/>
      <c r="C95" s="35"/>
      <c r="G95" s="35"/>
      <c r="K95" s="35"/>
      <c r="M95" s="35"/>
      <c r="N95" s="35"/>
      <c r="O95" s="35"/>
      <c r="P95" s="35"/>
      <c r="Q95" s="36"/>
    </row>
    <row r="96" spans="1:17" x14ac:dyDescent="0.25">
      <c r="A96" s="34"/>
      <c r="C96" s="35"/>
      <c r="G96" s="35"/>
      <c r="K96" s="35"/>
      <c r="M96" s="35"/>
      <c r="N96" s="35"/>
      <c r="O96" s="35"/>
      <c r="P96" s="35"/>
      <c r="Q96" s="36"/>
    </row>
    <row r="97" spans="1:17" x14ac:dyDescent="0.25">
      <c r="A97" s="34"/>
      <c r="C97" s="35"/>
      <c r="G97" s="35"/>
      <c r="K97" s="35"/>
      <c r="M97" s="35"/>
      <c r="N97" s="35"/>
      <c r="O97" s="35"/>
      <c r="P97" s="35"/>
      <c r="Q97" s="36"/>
    </row>
    <row r="98" spans="1:17" x14ac:dyDescent="0.25">
      <c r="A98" s="34"/>
      <c r="C98" s="35"/>
      <c r="G98" s="35"/>
      <c r="K98" s="35"/>
      <c r="M98" s="35"/>
      <c r="N98" s="35"/>
      <c r="O98" s="35"/>
      <c r="P98" s="35"/>
      <c r="Q98" s="36"/>
    </row>
    <row r="99" spans="1:17" x14ac:dyDescent="0.25">
      <c r="A99" s="34"/>
      <c r="C99" s="35"/>
      <c r="G99" s="35"/>
      <c r="K99" s="35"/>
      <c r="M99" s="35"/>
      <c r="N99" s="35"/>
      <c r="O99" s="35"/>
      <c r="P99" s="35"/>
      <c r="Q99" s="36"/>
    </row>
    <row r="100" spans="1:17" x14ac:dyDescent="0.25">
      <c r="A100" s="34"/>
      <c r="C100" s="35"/>
      <c r="G100" s="35"/>
      <c r="K100" s="35"/>
      <c r="M100" s="35"/>
      <c r="N100" s="35"/>
      <c r="O100" s="35"/>
      <c r="P100" s="35"/>
      <c r="Q100" s="36"/>
    </row>
    <row r="101" spans="1:17" x14ac:dyDescent="0.25">
      <c r="A101" s="34"/>
      <c r="C101" s="35"/>
      <c r="G101" s="35"/>
      <c r="K101" s="35"/>
      <c r="M101" s="35"/>
      <c r="N101" s="35"/>
      <c r="O101" s="35"/>
      <c r="P101" s="35"/>
      <c r="Q101" s="36"/>
    </row>
    <row r="102" spans="1:17" x14ac:dyDescent="0.25">
      <c r="A102" s="34"/>
      <c r="C102" s="35"/>
      <c r="G102" s="35"/>
      <c r="K102" s="35"/>
      <c r="M102" s="35"/>
      <c r="N102" s="35"/>
      <c r="O102" s="35"/>
      <c r="P102" s="35"/>
      <c r="Q102" s="36"/>
    </row>
    <row r="103" spans="1:17" x14ac:dyDescent="0.25">
      <c r="A103" s="34"/>
      <c r="C103" s="35"/>
      <c r="G103" s="35"/>
      <c r="K103" s="35"/>
      <c r="M103" s="35"/>
      <c r="N103" s="35"/>
      <c r="O103" s="35"/>
      <c r="P103" s="35"/>
      <c r="Q103" s="36"/>
    </row>
    <row r="104" spans="1:17" x14ac:dyDescent="0.25">
      <c r="A104" s="34"/>
      <c r="C104" s="35"/>
      <c r="G104" s="35"/>
      <c r="K104" s="35"/>
      <c r="M104" s="35"/>
      <c r="N104" s="35"/>
      <c r="O104" s="35"/>
      <c r="P104" s="35"/>
      <c r="Q104" s="36"/>
    </row>
    <row r="105" spans="1:17" x14ac:dyDescent="0.25">
      <c r="A105" s="34"/>
      <c r="C105" s="35"/>
      <c r="G105" s="35"/>
      <c r="K105" s="35"/>
      <c r="M105" s="35"/>
      <c r="N105" s="35"/>
      <c r="O105" s="35"/>
      <c r="P105" s="35"/>
      <c r="Q105" s="36"/>
    </row>
    <row r="106" spans="1:17" x14ac:dyDescent="0.25">
      <c r="A106" s="34"/>
      <c r="C106" s="35"/>
      <c r="G106" s="35"/>
      <c r="K106" s="35"/>
      <c r="M106" s="35"/>
      <c r="N106" s="35"/>
      <c r="O106" s="35"/>
      <c r="P106" s="35"/>
      <c r="Q106" s="36"/>
    </row>
    <row r="107" spans="1:17" x14ac:dyDescent="0.25">
      <c r="A107" s="34"/>
      <c r="C107" s="35"/>
      <c r="G107" s="35"/>
      <c r="K107" s="35"/>
      <c r="M107" s="35"/>
      <c r="N107" s="35"/>
      <c r="O107" s="35"/>
      <c r="P107" s="35"/>
      <c r="Q107" s="36"/>
    </row>
    <row r="108" spans="1:17" x14ac:dyDescent="0.25">
      <c r="A108" s="34"/>
      <c r="C108" s="35"/>
      <c r="G108" s="35"/>
      <c r="K108" s="35"/>
      <c r="M108" s="35"/>
      <c r="N108" s="35"/>
      <c r="O108" s="35"/>
      <c r="P108" s="35"/>
      <c r="Q108" s="36"/>
    </row>
    <row r="109" spans="1:17" x14ac:dyDescent="0.25">
      <c r="A109" s="34"/>
      <c r="C109" s="35"/>
      <c r="G109" s="35"/>
      <c r="K109" s="35"/>
      <c r="M109" s="35"/>
      <c r="N109" s="35"/>
      <c r="O109" s="35"/>
      <c r="P109" s="35"/>
      <c r="Q109" s="36"/>
    </row>
    <row r="110" spans="1:17" x14ac:dyDescent="0.25">
      <c r="A110" s="34"/>
      <c r="C110" s="35"/>
      <c r="G110" s="35"/>
      <c r="K110" s="35"/>
      <c r="M110" s="35"/>
      <c r="N110" s="35"/>
      <c r="O110" s="35"/>
      <c r="P110" s="35"/>
      <c r="Q110" s="36"/>
    </row>
    <row r="111" spans="1:17" x14ac:dyDescent="0.25">
      <c r="A111" s="34"/>
      <c r="C111" s="35"/>
      <c r="G111" s="35"/>
      <c r="K111" s="35"/>
      <c r="M111" s="35"/>
      <c r="N111" s="35"/>
      <c r="O111" s="35"/>
      <c r="P111" s="35"/>
      <c r="Q111" s="36"/>
    </row>
    <row r="112" spans="1:17" x14ac:dyDescent="0.25">
      <c r="A112" s="34"/>
      <c r="C112" s="35"/>
      <c r="G112" s="35"/>
      <c r="K112" s="35"/>
      <c r="M112" s="35"/>
      <c r="N112" s="35"/>
      <c r="O112" s="35"/>
      <c r="P112" s="35"/>
      <c r="Q112" s="36"/>
    </row>
    <row r="113" spans="1:17" x14ac:dyDescent="0.25">
      <c r="A113" s="34"/>
      <c r="C113" s="35"/>
      <c r="G113" s="35"/>
      <c r="K113" s="35"/>
      <c r="M113" s="35"/>
      <c r="N113" s="35"/>
      <c r="O113" s="35"/>
      <c r="P113" s="35"/>
      <c r="Q113" s="36"/>
    </row>
    <row r="114" spans="1:17" x14ac:dyDescent="0.25">
      <c r="A114" s="34"/>
      <c r="C114" s="35"/>
      <c r="G114" s="35"/>
      <c r="K114" s="35"/>
      <c r="M114" s="35"/>
      <c r="N114" s="35"/>
      <c r="O114" s="35"/>
      <c r="P114" s="35"/>
      <c r="Q114" s="36"/>
    </row>
    <row r="115" spans="1:17" x14ac:dyDescent="0.25">
      <c r="A115" s="34"/>
      <c r="C115" s="35"/>
      <c r="G115" s="35"/>
      <c r="K115" s="35"/>
      <c r="M115" s="35"/>
      <c r="N115" s="35"/>
      <c r="O115" s="35"/>
      <c r="P115" s="35"/>
      <c r="Q115" s="36"/>
    </row>
    <row r="116" spans="1:17" x14ac:dyDescent="0.25">
      <c r="A116" s="34"/>
      <c r="C116" s="35"/>
      <c r="G116" s="35"/>
      <c r="K116" s="35"/>
      <c r="M116" s="35"/>
      <c r="N116" s="35"/>
      <c r="O116" s="35"/>
      <c r="P116" s="35"/>
      <c r="Q116" s="36"/>
    </row>
    <row r="117" spans="1:17" x14ac:dyDescent="0.25">
      <c r="A117" s="34"/>
      <c r="C117" s="35"/>
      <c r="G117" s="35"/>
      <c r="K117" s="35"/>
      <c r="M117" s="35"/>
      <c r="N117" s="35"/>
      <c r="O117" s="35"/>
      <c r="P117" s="35"/>
      <c r="Q117" s="36"/>
    </row>
    <row r="118" spans="1:17" x14ac:dyDescent="0.25">
      <c r="A118" s="34"/>
      <c r="C118" s="35"/>
      <c r="G118" s="35"/>
      <c r="K118" s="35"/>
      <c r="M118" s="35"/>
      <c r="N118" s="35"/>
      <c r="O118" s="35"/>
      <c r="P118" s="35"/>
      <c r="Q118" s="36"/>
    </row>
    <row r="119" spans="1:17" x14ac:dyDescent="0.25">
      <c r="A119" s="34"/>
      <c r="C119" s="35"/>
      <c r="G119" s="35"/>
      <c r="K119" s="35"/>
      <c r="M119" s="35"/>
      <c r="N119" s="35"/>
      <c r="O119" s="35"/>
      <c r="P119" s="35"/>
      <c r="Q119" s="36"/>
    </row>
    <row r="120" spans="1:17" x14ac:dyDescent="0.25">
      <c r="A120" s="34"/>
      <c r="C120" s="35"/>
      <c r="G120" s="35"/>
      <c r="K120" s="35"/>
      <c r="M120" s="35"/>
      <c r="N120" s="35"/>
      <c r="O120" s="35"/>
      <c r="P120" s="35"/>
      <c r="Q120" s="36"/>
    </row>
    <row r="121" spans="1:17" x14ac:dyDescent="0.25">
      <c r="A121" s="34"/>
      <c r="C121" s="35"/>
      <c r="G121" s="35"/>
      <c r="K121" s="35"/>
      <c r="M121" s="35"/>
      <c r="N121" s="35"/>
      <c r="O121" s="35"/>
      <c r="P121" s="35"/>
      <c r="Q121" s="36"/>
    </row>
    <row r="122" spans="1:17" x14ac:dyDescent="0.25">
      <c r="A122" s="34"/>
      <c r="C122" s="35"/>
      <c r="G122" s="35"/>
      <c r="K122" s="35"/>
      <c r="M122" s="35"/>
      <c r="N122" s="35"/>
      <c r="O122" s="35"/>
      <c r="P122" s="35"/>
      <c r="Q122" s="36"/>
    </row>
    <row r="123" spans="1:17" x14ac:dyDescent="0.25">
      <c r="A123" s="34"/>
      <c r="C123" s="35"/>
      <c r="G123" s="35"/>
      <c r="K123" s="35"/>
      <c r="M123" s="35"/>
      <c r="N123" s="35"/>
      <c r="O123" s="35"/>
      <c r="P123" s="35"/>
      <c r="Q123" s="36"/>
    </row>
  </sheetData>
  <autoFilter ref="A3:Z1048564" xr:uid="{00000000-0009-0000-0000-00000B000000}"/>
  <mergeCells count="2">
    <mergeCell ref="S1:V1"/>
    <mergeCell ref="W1:Y1"/>
  </mergeCells>
  <conditionalFormatting sqref="V5:V12">
    <cfRule type="containsText" dxfId="12" priority="13" operator="containsText" text="FALSE">
      <formula>NOT(ISERROR(SEARCH("FALSE",V5)))</formula>
    </cfRule>
  </conditionalFormatting>
  <conditionalFormatting sqref="V4:V1048576 Y4:Y1048576">
    <cfRule type="cellIs" dxfId="11" priority="11" operator="equal">
      <formula>0</formula>
    </cfRule>
    <cfRule type="containsText" dxfId="10" priority="12" operator="containsText" text="FALSE">
      <formula>NOT(ISERROR(SEARCH("FALSE",V4)))</formula>
    </cfRule>
  </conditionalFormatting>
  <conditionalFormatting sqref="V82">
    <cfRule type="cellIs" dxfId="9" priority="9" operator="equal">
      <formula>0</formula>
    </cfRule>
    <cfRule type="containsText" dxfId="8" priority="10" operator="containsText" text="FALSE">
      <formula>NOT(ISERROR(SEARCH("FALSE",V82)))</formula>
    </cfRule>
  </conditionalFormatting>
  <conditionalFormatting sqref="V115">
    <cfRule type="cellIs" dxfId="7" priority="7" operator="equal">
      <formula>0</formula>
    </cfRule>
    <cfRule type="containsText" dxfId="6" priority="8" operator="containsText" text="FALSE">
      <formula>NOT(ISERROR(SEARCH("FALSE",V115)))</formula>
    </cfRule>
  </conditionalFormatting>
  <conditionalFormatting sqref="V120">
    <cfRule type="cellIs" dxfId="5" priority="5" operator="equal">
      <formula>0</formula>
    </cfRule>
    <cfRule type="containsText" dxfId="4" priority="6" operator="containsText" text="FALSE">
      <formula>NOT(ISERROR(SEARCH("FALSE",V120)))</formula>
    </cfRule>
  </conditionalFormatting>
  <conditionalFormatting sqref="Y55">
    <cfRule type="cellIs" dxfId="3" priority="1" operator="equal">
      <formula>0</formula>
    </cfRule>
    <cfRule type="containsText" dxfId="2" priority="2" operator="containsText" text="FALSE">
      <formula>NOT(ISERROR(SEARCH("FALSE",Y55)))</formula>
    </cfRule>
  </conditionalFormatting>
  <conditionalFormatting sqref="V55">
    <cfRule type="cellIs" dxfId="1" priority="3" operator="equal">
      <formula>0</formula>
    </cfRule>
    <cfRule type="containsText" dxfId="0" priority="4" operator="containsText" text="FALSE">
      <formula>NOT(ISERROR(SEARCH("FALSE",V55)))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Temp_Validasi</vt:lpstr>
      <vt:lpstr>HOME</vt:lpstr>
      <vt:lpstr>CC1_TarikanGCC</vt:lpstr>
      <vt:lpstr>VALIDASI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2024-02-29T02:44:46Z</dcterms:created>
  <dcterms:modified xsi:type="dcterms:W3CDTF">2025-01-11T08:31:09Z</dcterms:modified>
</cp:coreProperties>
</file>