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Alert RPA Cutting\BACKUP\01-03-2024\DEV\"/>
    </mc:Choice>
  </mc:AlternateContent>
  <xr:revisionPtr revIDLastSave="0" documentId="13_ncr:1_{82E07922-5B9C-44A8-8DCB-5DDD0F3B7FC5}" xr6:coauthVersionLast="47" xr6:coauthVersionMax="47" xr10:uidLastSave="{00000000-0000-0000-0000-000000000000}"/>
  <bookViews>
    <workbookView xWindow="-20610" yWindow="-120" windowWidth="20730" windowHeight="11160" tabRatio="432" firstSheet="1" activeTab="2" xr2:uid="{9A0D55A8-3A1A-4780-94DE-FDAEA52560EE}"/>
  </bookViews>
  <sheets>
    <sheet name="HOME" sheetId="1" r:id="rId1"/>
    <sheet name="TARIKAN GCC" sheetId="2052" r:id="rId2"/>
    <sheet name="OLAH" sheetId="2053" r:id="rId3"/>
    <sheet name="HASIL" sheetId="2054" r:id="rId4"/>
    <sheet name="HASIL2" sheetId="2059" r:id="rId5"/>
  </sheets>
  <definedNames>
    <definedName name="_xlnm._FilterDatabase" localSheetId="3" hidden="1">HASIL!$A$2:$AI$2</definedName>
    <definedName name="_xlnm._FilterDatabase" localSheetId="4" hidden="1">HASIL2!$S$2:$AA$123</definedName>
    <definedName name="_xlnm._FilterDatabase" localSheetId="2" hidden="1">OLAH!$B$1:$V$1</definedName>
    <definedName name="_xlnm._FilterDatabase" localSheetId="1" hidden="1">'TARIKAN GCC'!$A$2:$AM$129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3" i="2053" l="1" a="1"/>
  <c r="AK3" i="2053" s="1"/>
  <c r="AK4" i="2053" a="1"/>
  <c r="AK4" i="2053" s="1"/>
  <c r="AK5" i="2053" a="1"/>
  <c r="AK5" i="2053" s="1"/>
  <c r="AK6" i="2053" a="1"/>
  <c r="AK6" i="2053" s="1"/>
  <c r="AK7" i="2053" a="1"/>
  <c r="AK7" i="2053" s="1"/>
  <c r="AK8" i="2053" a="1"/>
  <c r="AK8" i="2053" s="1"/>
  <c r="AK9" i="2053" a="1"/>
  <c r="AK9" i="2053" s="1"/>
  <c r="AK10" i="2053" a="1"/>
  <c r="AK10" i="2053" s="1"/>
  <c r="AK11" i="2053" a="1"/>
  <c r="AK11" i="2053" s="1"/>
  <c r="AK12" i="2053" a="1"/>
  <c r="AK12" i="2053" s="1"/>
  <c r="AK13" i="2053" a="1"/>
  <c r="AK13" i="2053" s="1"/>
  <c r="AK14" i="2053" a="1"/>
  <c r="AK14" i="2053" s="1"/>
  <c r="AK15" i="2053" a="1"/>
  <c r="AK15" i="2053" s="1"/>
  <c r="AK16" i="2053" a="1"/>
  <c r="AK16" i="2053" s="1"/>
  <c r="AK17" i="2053" a="1"/>
  <c r="AK17" i="2053" s="1"/>
  <c r="AK18" i="2053" a="1"/>
  <c r="AK18" i="2053" s="1"/>
  <c r="AK19" i="2053" a="1"/>
  <c r="AK19" i="2053" s="1"/>
  <c r="AK20" i="2053" a="1"/>
  <c r="AK20" i="2053" s="1"/>
  <c r="AK21" i="2053" a="1"/>
  <c r="AK21" i="2053" s="1"/>
  <c r="AK22" i="2053" a="1"/>
  <c r="AK22" i="2053" s="1"/>
  <c r="AK23" i="2053" a="1"/>
  <c r="AK23" i="2053" s="1"/>
  <c r="AK24" i="2053" a="1"/>
  <c r="AK24" i="2053" s="1"/>
  <c r="AK25" i="2053" a="1"/>
  <c r="AK25" i="2053" s="1"/>
  <c r="AK26" i="2053" a="1"/>
  <c r="AK26" i="2053" s="1"/>
  <c r="AK27" i="2053" a="1"/>
  <c r="AK27" i="2053" s="1"/>
  <c r="AK28" i="2053" a="1"/>
  <c r="AK28" i="2053" s="1"/>
  <c r="AK29" i="2053" a="1"/>
  <c r="AK29" i="2053" s="1"/>
  <c r="AK30" i="2053" a="1"/>
  <c r="AK30" i="2053" s="1"/>
  <c r="AK31" i="2053" a="1"/>
  <c r="AK31" i="2053" s="1"/>
  <c r="AK32" i="2053" a="1"/>
  <c r="AK32" i="2053" s="1"/>
  <c r="AK33" i="2053" a="1"/>
  <c r="AK33" i="2053" s="1"/>
  <c r="AK34" i="2053" a="1"/>
  <c r="AK34" i="2053" s="1"/>
  <c r="AK35" i="2053" a="1"/>
  <c r="AK35" i="2053" s="1"/>
  <c r="AK36" i="2053" a="1"/>
  <c r="AK36" i="2053" s="1"/>
  <c r="AK37" i="2053" a="1"/>
  <c r="AK37" i="2053" s="1"/>
  <c r="AK38" i="2053" a="1"/>
  <c r="AK38" i="2053" s="1"/>
  <c r="AK39" i="2053" a="1"/>
  <c r="AK39" i="2053" s="1"/>
  <c r="AK40" i="2053" a="1"/>
  <c r="AK40" i="2053" s="1"/>
  <c r="AK41" i="2053" a="1"/>
  <c r="AK41" i="2053" s="1"/>
  <c r="AK42" i="2053" a="1"/>
  <c r="AK42" i="2053" s="1"/>
  <c r="AK43" i="2053" a="1"/>
  <c r="AK43" i="2053" s="1"/>
  <c r="AK44" i="2053" a="1"/>
  <c r="AK44" i="2053" s="1"/>
  <c r="AK45" i="2053" a="1"/>
  <c r="AK45" i="2053"/>
  <c r="AK46" i="2053" a="1"/>
  <c r="AK46" i="2053" s="1"/>
  <c r="AK47" i="2053" a="1"/>
  <c r="AK47" i="2053" s="1"/>
  <c r="AK48" i="2053" a="1"/>
  <c r="AK48" i="2053" s="1"/>
  <c r="AK49" i="2053" a="1"/>
  <c r="AK49" i="2053" s="1"/>
  <c r="AK50" i="2053" a="1"/>
  <c r="AK50" i="2053" s="1"/>
  <c r="AK51" i="2053" a="1"/>
  <c r="AK51" i="2053" s="1"/>
  <c r="AK52" i="2053" a="1"/>
  <c r="AK52" i="2053" s="1"/>
  <c r="AK53" i="2053" a="1"/>
  <c r="AK53" i="2053" s="1"/>
  <c r="AK54" i="2053" a="1"/>
  <c r="AK54" i="2053" s="1"/>
  <c r="AK55" i="2053" a="1"/>
  <c r="AK55" i="2053" s="1"/>
  <c r="AK56" i="2053" a="1"/>
  <c r="AK56" i="2053" s="1"/>
  <c r="AK57" i="2053" a="1"/>
  <c r="AK57" i="2053" s="1"/>
  <c r="AK58" i="2053" a="1"/>
  <c r="AK58" i="2053" s="1"/>
  <c r="AK59" i="2053" a="1"/>
  <c r="AK59" i="2053" s="1"/>
  <c r="AK60" i="2053" a="1"/>
  <c r="AK60" i="2053" s="1"/>
  <c r="AK61" i="2053" a="1"/>
  <c r="AK61" i="2053" s="1"/>
  <c r="AK62" i="2053" a="1"/>
  <c r="AK62" i="2053" s="1"/>
  <c r="AK63" i="2053" a="1"/>
  <c r="AK63" i="2053" s="1"/>
  <c r="AK64" i="2053" a="1"/>
  <c r="AK64" i="2053" s="1"/>
  <c r="AK65" i="2053" a="1"/>
  <c r="AK65" i="2053" s="1"/>
  <c r="AK66" i="2053" a="1"/>
  <c r="AK66" i="2053" s="1"/>
  <c r="AK67" i="2053" a="1"/>
  <c r="AK67" i="2053" s="1"/>
  <c r="AK68" i="2053" a="1"/>
  <c r="AK68" i="2053" s="1"/>
  <c r="AK69" i="2053" a="1"/>
  <c r="AK69" i="2053" s="1"/>
  <c r="AK70" i="2053" a="1"/>
  <c r="AK70" i="2053" s="1"/>
  <c r="AK71" i="2053" a="1"/>
  <c r="AK71" i="2053" s="1"/>
  <c r="AK72" i="2053" a="1"/>
  <c r="AK72" i="2053" s="1"/>
  <c r="AK73" i="2053" a="1"/>
  <c r="AK73" i="2053" s="1"/>
  <c r="AK74" i="2053" a="1"/>
  <c r="AK74" i="2053" s="1"/>
  <c r="AK75" i="2053" a="1"/>
  <c r="AK75" i="2053"/>
  <c r="AK76" i="2053" a="1"/>
  <c r="AK76" i="2053" s="1"/>
  <c r="AK77" i="2053" a="1"/>
  <c r="AK77" i="2053" s="1"/>
  <c r="AK78" i="2053" a="1"/>
  <c r="AK78" i="2053" s="1"/>
  <c r="AK79" i="2053" a="1"/>
  <c r="AK79" i="2053" s="1"/>
  <c r="AK80" i="2053" a="1"/>
  <c r="AK80" i="2053" s="1"/>
  <c r="AK81" i="2053" a="1"/>
  <c r="AK81" i="2053" s="1"/>
  <c r="AK82" i="2053" a="1"/>
  <c r="AK82" i="2053" s="1"/>
  <c r="AK83" i="2053" a="1"/>
  <c r="AK83" i="2053" s="1"/>
  <c r="AK84" i="2053" a="1"/>
  <c r="AK84" i="2053" s="1"/>
  <c r="AK85" i="2053" a="1"/>
  <c r="AK85" i="2053" s="1"/>
  <c r="AK86" i="2053" a="1"/>
  <c r="AK86" i="2053" s="1"/>
  <c r="AK87" i="2053" a="1"/>
  <c r="AK87" i="2053" s="1"/>
  <c r="AK88" i="2053" a="1"/>
  <c r="AK88" i="2053" s="1"/>
  <c r="AK89" i="2053" a="1"/>
  <c r="AK89" i="2053" s="1"/>
  <c r="AK90" i="2053" a="1"/>
  <c r="AK90" i="2053" s="1"/>
  <c r="AK91" i="2053" a="1"/>
  <c r="AK91" i="2053" s="1"/>
  <c r="AK92" i="2053" a="1"/>
  <c r="AK92" i="2053" s="1"/>
  <c r="AK93" i="2053" a="1"/>
  <c r="AK93" i="2053" s="1"/>
  <c r="AK94" i="2053" a="1"/>
  <c r="AK94" i="2053" s="1"/>
  <c r="AK95" i="2053" a="1"/>
  <c r="AK95" i="2053" s="1"/>
  <c r="AK96" i="2053" a="1"/>
  <c r="AK96" i="2053" s="1"/>
  <c r="AK97" i="2053" a="1"/>
  <c r="AK97" i="2053" s="1"/>
  <c r="AK98" i="2053" a="1"/>
  <c r="AK98" i="2053" s="1"/>
  <c r="AK99" i="2053" a="1"/>
  <c r="AK99" i="2053"/>
  <c r="AK100" i="2053" a="1"/>
  <c r="AK100" i="2053" s="1"/>
  <c r="AK101" i="2053" a="1"/>
  <c r="AK101" i="2053" s="1"/>
  <c r="AK102" i="2053" a="1"/>
  <c r="AK102" i="2053" s="1"/>
  <c r="AK103" i="2053" a="1"/>
  <c r="AK103" i="2053" s="1"/>
  <c r="AK104" i="2053" a="1"/>
  <c r="AK104" i="2053" s="1"/>
  <c r="AK105" i="2053" a="1"/>
  <c r="AK105" i="2053" s="1"/>
  <c r="AK106" i="2053" a="1"/>
  <c r="AK106" i="2053" s="1"/>
  <c r="AK107" i="2053" a="1"/>
  <c r="AK107" i="2053" s="1"/>
  <c r="AK108" i="2053" a="1"/>
  <c r="AK108" i="2053" s="1"/>
  <c r="AK109" i="2053" a="1"/>
  <c r="AK109" i="2053" s="1"/>
  <c r="AK110" i="2053" a="1"/>
  <c r="AK110" i="2053" s="1"/>
  <c r="AK111" i="2053" a="1"/>
  <c r="AK111" i="205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<sst xmlns="http://schemas.openxmlformats.org/spreadsheetml/2006/main" count="8015" uniqueCount="370">
  <si>
    <t>TOMBOL</t>
  </si>
  <si>
    <t>ALAMAT FILE TARIKAN</t>
  </si>
  <si>
    <t>NAMA FILE</t>
  </si>
  <si>
    <t>LOKASI TARIKAN</t>
  </si>
  <si>
    <t>FORMAT FILE</t>
  </si>
  <si>
    <t>TARIKAN GCC</t>
  </si>
  <si>
    <t>.xlsx</t>
  </si>
  <si>
    <t>WO</t>
  </si>
  <si>
    <t>PIC</t>
  </si>
  <si>
    <t>GM1</t>
  </si>
  <si>
    <t>RESTY HERMA ROSTANIKA</t>
  </si>
  <si>
    <t>GM2</t>
  </si>
  <si>
    <t>PUTRI EGA ANJELIA</t>
  </si>
  <si>
    <t>SUMIATI</t>
  </si>
  <si>
    <t>ADIDAS</t>
  </si>
  <si>
    <t>MARTINI</t>
  </si>
  <si>
    <t>MIYAMORI,</t>
  </si>
  <si>
    <t>BUYER</t>
  </si>
  <si>
    <t>BRANCH</t>
  </si>
  <si>
    <t>ITEM</t>
  </si>
  <si>
    <t>PLAN</t>
  </si>
  <si>
    <t>ACTUAL</t>
  </si>
  <si>
    <t>\\10.8.0.35\Bersama\IT\RPA Produksi\Alert RPA Cutting\Tarikan GCC</t>
  </si>
  <si>
    <t>PLANNER</t>
  </si>
  <si>
    <t>KOMPONEN</t>
  </si>
  <si>
    <t>B</t>
  </si>
  <si>
    <t>EIGER,</t>
  </si>
  <si>
    <t>16 February</t>
  </si>
  <si>
    <t>DESC1</t>
  </si>
  <si>
    <t>DESC2</t>
  </si>
  <si>
    <t>DAYS.DIFF</t>
  </si>
  <si>
    <t>%</t>
  </si>
  <si>
    <t>20-Dec-23</t>
  </si>
  <si>
    <t>27-Dec-23</t>
  </si>
  <si>
    <t>26-Dec-23</t>
  </si>
  <si>
    <t>28-Dec-23</t>
  </si>
  <si>
    <t>91%RCYL PLY 9%SPX SGL JRSY,58''</t>
  </si>
  <si>
    <t>140G,DX21079-LG,BLACK,ADS</t>
  </si>
  <si>
    <t>29-Dec-23</t>
  </si>
  <si>
    <t>08-Jan-24</t>
  </si>
  <si>
    <t>21-Dec-23</t>
  </si>
  <si>
    <t>05-Jan-24</t>
  </si>
  <si>
    <t>12-Jan-24</t>
  </si>
  <si>
    <t>140G,DX21079-LG,ONIX,ADS</t>
  </si>
  <si>
    <t>15-Jan-24</t>
  </si>
  <si>
    <t>11-Jan-24</t>
  </si>
  <si>
    <t>17-Jan-24</t>
  </si>
  <si>
    <t>16-Jan-24</t>
  </si>
  <si>
    <t>140G,DX21079-LG,SOLAR BLUE,ADS</t>
  </si>
  <si>
    <t>09-Jan-24</t>
  </si>
  <si>
    <t>91%RCY PLY9%SPX SLJSY,140G,58''</t>
  </si>
  <si>
    <t>140G,DX21079-LG,LEGEND INK,ADS</t>
  </si>
  <si>
    <t>140G,DX21079-LG,CLGT ROYAL,ADS</t>
  </si>
  <si>
    <t>Sisa Fabric</t>
  </si>
  <si>
    <t>Co Date vs Fabric Receipt in Cutting Date</t>
  </si>
  <si>
    <t>Start Cutting Date vs PPIC Date</t>
  </si>
  <si>
    <t>Lebar Kain Plan vs Lebar Kain Actual</t>
  </si>
  <si>
    <t>Consumption Plan vs Consumption Actual</t>
  </si>
  <si>
    <t>Garment Short/Over (Pcs)</t>
  </si>
  <si>
    <t>Pending Day</t>
  </si>
  <si>
    <t>% DIf</t>
  </si>
  <si>
    <t>N/A</t>
  </si>
  <si>
    <t>03-Jan-24</t>
  </si>
  <si>
    <t>01-Jan-24</t>
  </si>
  <si>
    <t>140G,DX21079-LG,LUCID BLU,ADS</t>
  </si>
  <si>
    <t>04-Jan-24</t>
  </si>
  <si>
    <t>MERDEKA</t>
  </si>
  <si>
    <t>PUTRA MILL, 216 GSM, 59''</t>
  </si>
  <si>
    <t>K269 YELLOW, BTR</t>
  </si>
  <si>
    <t>140G,DX21079-LG,LUCID PINK,ADS</t>
  </si>
  <si>
    <t>30-Dec-23</t>
  </si>
  <si>
    <t>140G,DX21079-LG,EG INK BLU,ADS</t>
  </si>
  <si>
    <t>140G,DX21079-LG,PUTTY GREY,ADS</t>
  </si>
  <si>
    <t>95%CTN 5%SPAN,150G,UK-KC0979-4</t>
  </si>
  <si>
    <t>BCI,70''CW,BLACK,ADS</t>
  </si>
  <si>
    <t>DX21079-LG,P,ECMO BLA-ONIX,ADS</t>
  </si>
  <si>
    <t>DX21079LG,P,ONX-GRY-SPARK,ADS</t>
  </si>
  <si>
    <t>DX21079LG,P,CRBN-L IVY-ONX,ADS</t>
  </si>
  <si>
    <t>DX21079LG,P,GRY-ALMNA-OWHT,ADS</t>
  </si>
  <si>
    <t>DX21079LG,P,GRY-PFIG-MAUVE,ADS</t>
  </si>
  <si>
    <t>91%RCYL PLY 9%SPX MESH PRN,58''</t>
  </si>
  <si>
    <t>130G,UK-KP1067-1,DCSCR-RED,ADS</t>
  </si>
  <si>
    <t>91%RCYL PLY 9%SPX MESH,58''</t>
  </si>
  <si>
    <t>130G,UK-KP1067,BLACK,ADS</t>
  </si>
  <si>
    <t>130G,UK-KP1067,BTR SCARLET,ADS</t>
  </si>
  <si>
    <t>57%BCI CTN 38%RCY PLY 5%SPX</t>
  </si>
  <si>
    <t>150G,60''UK-KC0842-8,BLACK,ADS</t>
  </si>
  <si>
    <t>150G,60''UK-KC0842-8,TR BLU,ADS</t>
  </si>
  <si>
    <t>150G,60''UK-KC0842-8,ONIX,ADS</t>
  </si>
  <si>
    <t>BCI 95%CT 5%SPX 40S+20D W FNSH</t>
  </si>
  <si>
    <t>150G,70''CW,UK-KC0979-4,WHT,ADS</t>
  </si>
  <si>
    <t>08-Feb-24</t>
  </si>
  <si>
    <t>13-Feb-24</t>
  </si>
  <si>
    <t>19-Feb-24</t>
  </si>
  <si>
    <t>140G,DX21079-LG,BLISS PINK,ADS</t>
  </si>
  <si>
    <t/>
  </si>
  <si>
    <t>25 January</t>
  </si>
  <si>
    <t>Plan Lebar Kain Tidak Ditemukan</t>
  </si>
  <si>
    <t>140G,DX21079-LG,GREY,ADS</t>
  </si>
  <si>
    <t>140G,DX21079-LG,CLGTE NAVY,ADS</t>
  </si>
  <si>
    <t>140G,DX21079-LG,TM RYL BLU,ADS</t>
  </si>
  <si>
    <t>DX21079-LG,P-GCA BLK-CRBON,ADS</t>
  </si>
  <si>
    <t>140G,DX21079-LG,DARK BLUE,ADS</t>
  </si>
  <si>
    <t>140G,DX21079-LG,CREW BLUE,ADS</t>
  </si>
  <si>
    <t>DX21079-LG,P-CM BLK-DK BLU,ADS</t>
  </si>
  <si>
    <t>140G,DX21079-LG,CLEAR ONIX,ADS</t>
  </si>
  <si>
    <t>140G,DX21079-LG,BRIGHT RED,ADS</t>
  </si>
  <si>
    <t>140G,DX21079-LG,PULSE MINT,ADS</t>
  </si>
  <si>
    <t>B021 NAVY, BTR</t>
  </si>
  <si>
    <t>140G,DX21079-LG,LUCD LEMON,ADS</t>
  </si>
  <si>
    <t>DX21079-LG,P-MNO BLK-CRBON,ADS</t>
  </si>
  <si>
    <t>DX21079-LG,P,OGSTCM WILDPN,ADS</t>
  </si>
  <si>
    <t>BCI,70''CW,SEMI FLASH AQUA,ADS</t>
  </si>
  <si>
    <t>BCI,70''CW,ONIX,ADS</t>
  </si>
  <si>
    <t>BCI,70''CW,GREY,ADS</t>
  </si>
  <si>
    <t>130G,UK-KP1067,ONIX,ADS</t>
  </si>
  <si>
    <t>150G,60''UK-KC0842-8,LG INK,ADS</t>
  </si>
  <si>
    <t>150G,60''UK-KC0842-8,GREY,ADS</t>
  </si>
  <si>
    <t>140G,DX21079-LG,PLOVED INK,ADS</t>
  </si>
  <si>
    <t>% Diff</t>
  </si>
  <si>
    <t>REMARKS</t>
  </si>
  <si>
    <t>GK</t>
  </si>
  <si>
    <t>02-Jan-24</t>
  </si>
  <si>
    <t>18-Dec-23</t>
  </si>
  <si>
    <t>15-Dec-23</t>
  </si>
  <si>
    <t>26 January</t>
  </si>
  <si>
    <t>TRI LESTARI</t>
  </si>
  <si>
    <t>140G,DX21079-LG,GREN OXD,ADS</t>
  </si>
  <si>
    <t>22-Jan-24</t>
  </si>
  <si>
    <t>19 January</t>
  </si>
  <si>
    <t>SHIP DATE</t>
  </si>
  <si>
    <t>STATUS</t>
  </si>
  <si>
    <t>NOTE</t>
  </si>
  <si>
    <t>RUNNING</t>
  </si>
  <si>
    <t>NEW</t>
  </si>
  <si>
    <t>CO</t>
  </si>
  <si>
    <t>START CUTTING</t>
  </si>
  <si>
    <t>LEBAR KAIN VS AKT</t>
  </si>
  <si>
    <t>CSP PLAN VS AKT</t>
  </si>
  <si>
    <t>SHORT/OVER CUT (PCS)</t>
  </si>
  <si>
    <t>SISA INFA</t>
  </si>
  <si>
    <t>CO.CREATED</t>
  </si>
  <si>
    <t>SHIPT DATE</t>
  </si>
  <si>
    <t>BRANCH CUTTING</t>
  </si>
  <si>
    <t>TOTAL.ISSUED</t>
  </si>
  <si>
    <t>AVAILABLE DATE</t>
  </si>
  <si>
    <t>2023-12-28 09:26:29</t>
  </si>
  <si>
    <t>2023-12-29 10:21:59</t>
  </si>
  <si>
    <t>2024-01-03</t>
  </si>
  <si>
    <t>2023-12-28 10:23:06</t>
  </si>
  <si>
    <t>2023-12-28 10:54:01</t>
  </si>
  <si>
    <t>2023-12-28 10:55:02</t>
  </si>
  <si>
    <t>2023-12-28 10:56:19</t>
  </si>
  <si>
    <t>C</t>
  </si>
  <si>
    <t>2023-12-29 08:41:14</t>
  </si>
  <si>
    <t>15 February</t>
  </si>
  <si>
    <t>2023-12-29 16:30:19</t>
  </si>
  <si>
    <t>2024-01-30</t>
  </si>
  <si>
    <t>FABRIC JALA KENARI 1 MESH</t>
  </si>
  <si>
    <t>YELLOW</t>
  </si>
  <si>
    <t>2023-12-29 16:36:52</t>
  </si>
  <si>
    <t>2024-01-29</t>
  </si>
  <si>
    <t>2023-12-30 09:33:07</t>
  </si>
  <si>
    <t>2023-12-30 09:35:55</t>
  </si>
  <si>
    <t>2024-01-07</t>
  </si>
  <si>
    <t>2023-12-30 09:37:57</t>
  </si>
  <si>
    <t>2023-12-30 09:43:55</t>
  </si>
  <si>
    <t>2024-01-16</t>
  </si>
  <si>
    <t>2023-12-30 10:12:51</t>
  </si>
  <si>
    <t>2024-01-12</t>
  </si>
  <si>
    <t>2023-12-30 10:14:29</t>
  </si>
  <si>
    <t>2024-01-08</t>
  </si>
  <si>
    <t>2023-12-30 10:16:21</t>
  </si>
  <si>
    <t>2023-12-30 10:17:46</t>
  </si>
  <si>
    <t>2023-12-30 10:19:18</t>
  </si>
  <si>
    <t>2023-12-30 10:37:44</t>
  </si>
  <si>
    <t>2024-01-13</t>
  </si>
  <si>
    <t>2023-12-30 10:39:07</t>
  </si>
  <si>
    <t>2023-12-30 10:43:16</t>
  </si>
  <si>
    <t>2023-12-30 10:44:59</t>
  </si>
  <si>
    <t>2023-12-30 10:47:41</t>
  </si>
  <si>
    <t>2023-12-30 10:49:41</t>
  </si>
  <si>
    <t>2023-12-30 10:59:13</t>
  </si>
  <si>
    <t>2023-12-30 11:00:17</t>
  </si>
  <si>
    <t>2023-12-30 11:02:52</t>
  </si>
  <si>
    <t>2023-12-30 11:04:08</t>
  </si>
  <si>
    <t>2023-12-30 11:15:26</t>
  </si>
  <si>
    <t>2023-12-30 11:20:37</t>
  </si>
  <si>
    <t>BCI95%C 5%SP 40S+20D WFNS,185G</t>
  </si>
  <si>
    <t>50''CW,UK-KC1552 1X1RIB,WHT,ADS</t>
  </si>
  <si>
    <t>2023-12-30 11:44:10</t>
  </si>
  <si>
    <t>2023-12-30 11:46:18</t>
  </si>
  <si>
    <t>2023-12-30 11:59:28</t>
  </si>
  <si>
    <t>2023-12-30 12:01:11</t>
  </si>
  <si>
    <t>2023-12-30 12:06:27</t>
  </si>
  <si>
    <t>2023-12-30 12:18:15</t>
  </si>
  <si>
    <t>2024-01-02 10:11:30</t>
  </si>
  <si>
    <t>2024-01-02 11:46:03</t>
  </si>
  <si>
    <t>2024-01-02 11:47:44</t>
  </si>
  <si>
    <t>2024-01-02 11:48:56</t>
  </si>
  <si>
    <t>2024-01-02 11:50:02</t>
  </si>
  <si>
    <t>2024-01-02 11:51:19</t>
  </si>
  <si>
    <t>2024-01-02 11:52:37</t>
  </si>
  <si>
    <t>2024-01-02 11:54:01</t>
  </si>
  <si>
    <t>2024-01-02 11:57:13</t>
  </si>
  <si>
    <t>2024-01-02 11:58:41</t>
  </si>
  <si>
    <t>2024-01-02 13:33:38</t>
  </si>
  <si>
    <t>2024-01-02 13:43:35</t>
  </si>
  <si>
    <t>CNJ2</t>
  </si>
  <si>
    <t>DEDE DAHOLA NUR KHOLIK</t>
  </si>
  <si>
    <t>01 February</t>
  </si>
  <si>
    <t>CV ANUGRAH</t>
  </si>
  <si>
    <t>CVA</t>
  </si>
  <si>
    <t>SAGAF FAUZAN ADZKIYA</t>
  </si>
  <si>
    <t>01 March</t>
  </si>
  <si>
    <t>06-Jan-24</t>
  </si>
  <si>
    <t>13 February</t>
  </si>
  <si>
    <t>NISHIMATSUYA,</t>
  </si>
  <si>
    <t>MAJA 1</t>
  </si>
  <si>
    <t>16 January</t>
  </si>
  <si>
    <t>01 December</t>
  </si>
  <si>
    <t>KALIBENDA</t>
  </si>
  <si>
    <t>KAMI GALANG PUSPARIANTO</t>
  </si>
  <si>
    <t>22 February</t>
  </si>
  <si>
    <t>CHAWAN</t>
  </si>
  <si>
    <t>22 January</t>
  </si>
  <si>
    <t>25 December</t>
  </si>
  <si>
    <t>HNM</t>
  </si>
  <si>
    <t>01 January</t>
  </si>
  <si>
    <t>06 February</t>
  </si>
  <si>
    <t>SKECHERS-S#</t>
  </si>
  <si>
    <t>10-Jan-24</t>
  </si>
  <si>
    <t>30 January</t>
  </si>
  <si>
    <t>29 February</t>
  </si>
  <si>
    <t>CLN</t>
  </si>
  <si>
    <t>15 January</t>
  </si>
  <si>
    <t>IRWAN KURNIA</t>
  </si>
  <si>
    <t>PACO</t>
  </si>
  <si>
    <t>PCO</t>
  </si>
  <si>
    <t>MAJA 2</t>
  </si>
  <si>
    <t>COCOS-S#</t>
  </si>
  <si>
    <t>CBA</t>
  </si>
  <si>
    <t>MOTHER</t>
  </si>
  <si>
    <t>03 June</t>
  </si>
  <si>
    <t>04 March</t>
  </si>
  <si>
    <t>22 March</t>
  </si>
  <si>
    <t>21 April</t>
  </si>
  <si>
    <t>22 April</t>
  </si>
  <si>
    <t>15 March</t>
  </si>
  <si>
    <t>12 April</t>
  </si>
  <si>
    <t>05 February</t>
  </si>
  <si>
    <t>18 March</t>
  </si>
  <si>
    <t>01 April</t>
  </si>
  <si>
    <t>Available Date 03 Januari 2024</t>
  </si>
  <si>
    <t>Available Date 30 Januari 2024</t>
  </si>
  <si>
    <t>Available Date 29 Januari 2024</t>
  </si>
  <si>
    <t>Available Date 07 Januari 2024</t>
  </si>
  <si>
    <t>Available Date 16 Januari 2024</t>
  </si>
  <si>
    <t>Available Date 12 Januari 2024</t>
  </si>
  <si>
    <t>Available Date 08 Januari 2024</t>
  </si>
  <si>
    <t>Available Date 13 Januari 2024</t>
  </si>
  <si>
    <t>181633292735</t>
  </si>
  <si>
    <t>181633290059</t>
  </si>
  <si>
    <t>181633290060</t>
  </si>
  <si>
    <t>181633290061</t>
  </si>
  <si>
    <t>181629290060</t>
  </si>
  <si>
    <t>181629292100</t>
  </si>
  <si>
    <t>181629290059</t>
  </si>
  <si>
    <t>181629294353</t>
  </si>
  <si>
    <t>181630290059</t>
  </si>
  <si>
    <t>181630293266</t>
  </si>
  <si>
    <t>181630292103</t>
  </si>
  <si>
    <t>181630293267</t>
  </si>
  <si>
    <t>181635292101</t>
  </si>
  <si>
    <t>181635295048</t>
  </si>
  <si>
    <t>181635290061</t>
  </si>
  <si>
    <t>181635295053</t>
  </si>
  <si>
    <t>181636290060</t>
  </si>
  <si>
    <t>181636290059</t>
  </si>
  <si>
    <t>181636290061</t>
  </si>
  <si>
    <t>181636290062</t>
  </si>
  <si>
    <t>181637290062</t>
  </si>
  <si>
    <t>181637290061</t>
  </si>
  <si>
    <t>181637290063</t>
  </si>
  <si>
    <t>181637290060</t>
  </si>
  <si>
    <t>181634292107</t>
  </si>
  <si>
    <t>181634290059</t>
  </si>
  <si>
    <t>181634293262</t>
  </si>
  <si>
    <t>181572295580</t>
  </si>
  <si>
    <t>181572295581</t>
  </si>
  <si>
    <t>181571295580</t>
  </si>
  <si>
    <t>181571295581</t>
  </si>
  <si>
    <t>181592295030</t>
  </si>
  <si>
    <t>181592295031</t>
  </si>
  <si>
    <t>181593294351</t>
  </si>
  <si>
    <t>181593294352</t>
  </si>
  <si>
    <t>181594295032</t>
  </si>
  <si>
    <t>181594295033</t>
  </si>
  <si>
    <t>181595267375</t>
  </si>
  <si>
    <t>181595282190</t>
  </si>
  <si>
    <t>181595267376</t>
  </si>
  <si>
    <t>181595267379</t>
  </si>
  <si>
    <t>181596295034</t>
  </si>
  <si>
    <t>181597292731</t>
  </si>
  <si>
    <t>181598292732</t>
  </si>
  <si>
    <t>181599292733</t>
  </si>
  <si>
    <t>181600292734</t>
  </si>
  <si>
    <t>181602292581</t>
  </si>
  <si>
    <t>181602292582</t>
  </si>
  <si>
    <t>181602292578</t>
  </si>
  <si>
    <t>181603292581</t>
  </si>
  <si>
    <t>181603292582</t>
  </si>
  <si>
    <t>181603292578</t>
  </si>
  <si>
    <t>181604292578</t>
  </si>
  <si>
    <t>181604292582</t>
  </si>
  <si>
    <t>181605292578</t>
  </si>
  <si>
    <t>181605292582</t>
  </si>
  <si>
    <t>181606292585</t>
  </si>
  <si>
    <t>181606292578</t>
  </si>
  <si>
    <t>181606292582</t>
  </si>
  <si>
    <t>181607292578</t>
  </si>
  <si>
    <t>181608292586</t>
  </si>
  <si>
    <t>181609292586</t>
  </si>
  <si>
    <t>181610292586</t>
  </si>
  <si>
    <t>181611292586</t>
  </si>
  <si>
    <t>181612292589</t>
  </si>
  <si>
    <t>181612292587</t>
  </si>
  <si>
    <t>181612292590</t>
  </si>
  <si>
    <t>181613292593</t>
  </si>
  <si>
    <t>181621292578</t>
  </si>
  <si>
    <t>181621292582</t>
  </si>
  <si>
    <t>181622292578</t>
  </si>
  <si>
    <t>181622292582</t>
  </si>
  <si>
    <t>181624267375</t>
  </si>
  <si>
    <t>181625292593</t>
  </si>
  <si>
    <t>181628292587</t>
  </si>
  <si>
    <t>181628292586</t>
  </si>
  <si>
    <t>181628292588</t>
  </si>
  <si>
    <t>181638294571</t>
  </si>
  <si>
    <t>181638292101</t>
  </si>
  <si>
    <t>181638290061</t>
  </si>
  <si>
    <t>181638294572</t>
  </si>
  <si>
    <t>181583290059</t>
  </si>
  <si>
    <t>181626290060</t>
  </si>
  <si>
    <t>181626290059</t>
  </si>
  <si>
    <t>181626290061</t>
  </si>
  <si>
    <t>181591293262</t>
  </si>
  <si>
    <t>181591292101</t>
  </si>
  <si>
    <t>181591290061</t>
  </si>
  <si>
    <t>181590293262</t>
  </si>
  <si>
    <t>181590292101</t>
  </si>
  <si>
    <t>181590290061</t>
  </si>
  <si>
    <t>181589292730</t>
  </si>
  <si>
    <t>181589290061</t>
  </si>
  <si>
    <t>181589290059</t>
  </si>
  <si>
    <t>181588290059</t>
  </si>
  <si>
    <t>181588292100</t>
  </si>
  <si>
    <t>181588290060</t>
  </si>
  <si>
    <t>181587290059</t>
  </si>
  <si>
    <t>181587292100</t>
  </si>
  <si>
    <t>181587290060</t>
  </si>
  <si>
    <t>181586290059</t>
  </si>
  <si>
    <t>181584290059</t>
  </si>
  <si>
    <t>181585290062</t>
  </si>
  <si>
    <t>181585290061</t>
  </si>
  <si>
    <t>181585290063</t>
  </si>
  <si>
    <t>181570295580</t>
  </si>
  <si>
    <t>181570295581</t>
  </si>
  <si>
    <t>181569295580</t>
  </si>
  <si>
    <t>181569295581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</si>
</sst>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EF400"/>
        <bgColor indexed="64"/>
      </patternFill>
    </fill>
    <fill>
      <patternFill patternType="solid">
        <fgColor rgb="FFD1E9FF"/>
        <bgColor rgb="FFD1E9FF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4" borderId="5" xfId="0" applyFont="1" applyFill="1" applyBorder="1"/>
    <xf numFmtId="0" fontId="1" fillId="4" borderId="1" xfId="0" applyFont="1" applyFill="1" applyBorder="1"/>
    <xf numFmtId="0" fontId="1" fillId="4" borderId="6" xfId="0" applyFont="1" applyFill="1" applyBorder="1"/>
    <xf numFmtId="0" fontId="1" fillId="4" borderId="7" xfId="0" applyFont="1" applyFill="1" applyBorder="1"/>
    <xf numFmtId="0" fontId="1" fillId="4" borderId="9" xfId="0" applyFont="1" applyFill="1" applyBorder="1"/>
    <xf numFmtId="0" fontId="2" fillId="4" borderId="8" xfId="1" applyFill="1" applyBorder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0" quotePrefix="1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/>
    <xf numFmtId="0" fontId="0" fillId="0" borderId="10" xfId="0" applyFont="1" applyFill="1" applyBorder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3</xdr:row>
      <xdr:rowOff>47625</xdr:rowOff>
    </xdr:from>
    <xdr:to>
      <xdr:col>2</xdr:col>
      <xdr:colOff>266700</xdr:colOff>
      <xdr:row>5</xdr:row>
      <xdr:rowOff>57150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BB4D876-646F-207E-679C-C30F0A9FEC15}"/>
            </a:ext>
          </a:extLst>
        </xdr:cNvPr>
        <xdr:cNvSpPr/>
      </xdr:nvSpPr>
      <xdr:spPr>
        <a:xfrm>
          <a:off x="409575" y="628650"/>
          <a:ext cx="1038225" cy="400050"/>
        </a:xfrm>
        <a:prstGeom prst="roundRect">
          <a:avLst/>
        </a:prstGeom>
        <a:solidFill>
          <a:schemeClr val="accent1">
            <a:lumMod val="50000"/>
          </a:schemeClr>
        </a:solidFill>
        <a:ln w="38100">
          <a:solidFill>
            <a:schemeClr val="tx1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atin typeface="JetBrains Mono" panose="02000009000000000000" pitchFamily="49" charset="0"/>
              <a:ea typeface="JetBrains Mono" panose="02000009000000000000" pitchFamily="49" charset="0"/>
              <a:cs typeface="JetBrains Mono" panose="02000009000000000000" pitchFamily="49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Tarikan%20GC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7AC5-0072-4332-813E-C5FFD02252AD}">
  <sheetPr codeName="Sheet1"/>
  <dimension ref="B2:G5"/>
  <sheetViews>
    <sheetView showGridLines="0" workbookViewId="0"/>
  </sheetViews>
  <sheetFormatPr defaultRowHeight="15" x14ac:dyDescent="0.25"/>
  <cols>
    <col min="1" max="1" width="9.140625" style="1"/>
    <col min="2" max="2" width="8.5703125" style="1" bestFit="1" customWidth="1"/>
    <col min="3" max="4" width="9.140625" style="1"/>
    <col min="5" max="5" width="20.85546875" style="1" bestFit="1" customWidth="1"/>
    <col min="6" max="6" width="63.140625" style="1" bestFit="1" customWidth="1"/>
    <col min="7" max="7" width="12.42578125" style="1" bestFit="1" customWidth="1"/>
    <col min="8" max="16384" width="9.140625" style="1"/>
  </cols>
  <sheetData>
    <row r="2" spans="2:7" ht="15.75" thickBot="1" x14ac:dyDescent="0.3"/>
    <row r="3" spans="2:7" x14ac:dyDescent="0.25">
      <c r="B3" s="2" t="s">
        <v>0</v>
      </c>
      <c r="E3" s="20" t="s">
        <v>1</v>
      </c>
      <c r="F3" s="21"/>
      <c r="G3" s="22"/>
    </row>
    <row r="4" spans="2:7" x14ac:dyDescent="0.25">
      <c r="E4" s="3" t="s">
        <v>2</v>
      </c>
      <c r="F4" s="4" t="s">
        <v>3</v>
      </c>
      <c r="G4" s="5" t="s">
        <v>4</v>
      </c>
    </row>
    <row r="5" spans="2:7" ht="15.75" thickBot="1" x14ac:dyDescent="0.3">
      <c r="E5" s="6" t="s">
        <v>5</v>
      </c>
      <c r="F5" s="8" t="s">
        <v>22</v>
      </c>
      <c r="G5" s="7" t="s">
        <v>6</v>
      </c>
    </row>
  </sheetData>
  <mergeCells count="1">
    <mergeCell ref="E3:G3"/>
  </mergeCells>
  <hyperlinks>
    <hyperlink ref="F5" r:id="rId1" xr:uid="{89FEC739-948F-41D7-892C-A153C4310A85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C0668-97E0-45B7-A9B6-141B84094825}">
  <sheetPr codeName="Sheet19" filterMode="1"/>
  <dimension ref="A1:AM217"/>
  <sheetViews>
    <sheetView topLeftCell="V1" workbookViewId="0">
      <selection activeCell="AM2" sqref="AM2"/>
    </sheetView>
  </sheetViews>
  <sheetFormatPr defaultRowHeight="15" x14ac:dyDescent="0.25"/>
  <sheetData>
    <row r="1" spans="1:39" x14ac:dyDescent="0.25">
      <c r="A1" s="24"/>
      <c r="B1" s="24"/>
      <c r="C1" s="24"/>
      <c r="D1" s="24"/>
      <c r="E1" s="24"/>
      <c r="F1" s="24"/>
      <c r="G1" s="24"/>
      <c r="H1" s="24"/>
      <c r="I1" s="24"/>
      <c r="J1" s="25" t="s">
        <v>135</v>
      </c>
      <c r="K1" s="25"/>
      <c r="L1" s="25"/>
      <c r="M1" s="25"/>
      <c r="N1" s="26" t="s">
        <v>136</v>
      </c>
      <c r="O1" s="26"/>
      <c r="P1" s="26"/>
      <c r="Q1" s="26"/>
      <c r="R1" s="25" t="s">
        <v>137</v>
      </c>
      <c r="S1" s="25"/>
      <c r="T1" s="25"/>
      <c r="U1" s="25"/>
      <c r="V1" s="26" t="s">
        <v>138</v>
      </c>
      <c r="W1" s="26"/>
      <c r="X1" s="26"/>
      <c r="Y1" s="26"/>
      <c r="Z1" s="25" t="s">
        <v>139</v>
      </c>
      <c r="AA1" s="25"/>
      <c r="AB1" s="25"/>
      <c r="AC1" s="25"/>
      <c r="AD1" s="26" t="s">
        <v>140</v>
      </c>
      <c r="AE1" s="26"/>
      <c r="AF1" s="26"/>
      <c r="AG1" s="26"/>
      <c r="AH1" s="26"/>
      <c r="AI1" s="24"/>
      <c r="AJ1" s="24"/>
      <c r="AK1" s="24"/>
      <c r="AL1" s="24"/>
      <c r="AM1" s="24"/>
    </row>
    <row r="2" spans="1:39" x14ac:dyDescent="0.25">
      <c r="A2" t="s">
        <v>141</v>
      </c>
      <c r="B2" t="s">
        <v>7</v>
      </c>
      <c r="C2" t="s">
        <v>142</v>
      </c>
      <c r="D2" t="s">
        <v>17</v>
      </c>
      <c r="E2" t="s">
        <v>18</v>
      </c>
      <c r="F2" t="s">
        <v>143</v>
      </c>
      <c r="G2" t="s">
        <v>19</v>
      </c>
      <c r="H2" t="s">
        <v>28</v>
      </c>
      <c r="I2" t="s">
        <v>29</v>
      </c>
      <c r="J2" s="27" t="s">
        <v>8</v>
      </c>
      <c r="K2" s="27" t="s">
        <v>20</v>
      </c>
      <c r="L2" s="27" t="s">
        <v>21</v>
      </c>
      <c r="M2" s="27" t="s">
        <v>30</v>
      </c>
      <c r="N2" t="s">
        <v>8</v>
      </c>
      <c r="O2" t="s">
        <v>20</v>
      </c>
      <c r="P2" t="s">
        <v>21</v>
      </c>
      <c r="Q2" t="s">
        <v>30</v>
      </c>
      <c r="R2" s="27" t="s">
        <v>8</v>
      </c>
      <c r="S2" s="27" t="s">
        <v>20</v>
      </c>
      <c r="T2" s="27" t="s">
        <v>21</v>
      </c>
      <c r="U2" s="27" t="s">
        <v>31</v>
      </c>
      <c r="V2" t="s">
        <v>8</v>
      </c>
      <c r="W2" t="s">
        <v>20</v>
      </c>
      <c r="X2" t="s">
        <v>21</v>
      </c>
      <c r="Y2" t="s">
        <v>31</v>
      </c>
      <c r="Z2" s="27" t="s">
        <v>8</v>
      </c>
      <c r="AA2" s="27" t="s">
        <v>20</v>
      </c>
      <c r="AB2" s="27" t="s">
        <v>21</v>
      </c>
      <c r="AC2" s="27" t="s">
        <v>31</v>
      </c>
      <c r="AD2" t="s">
        <v>8</v>
      </c>
      <c r="AE2" t="s">
        <v>20</v>
      </c>
      <c r="AF2" t="s">
        <v>21</v>
      </c>
      <c r="AG2" t="s">
        <v>144</v>
      </c>
      <c r="AH2" t="s">
        <v>31</v>
      </c>
      <c r="AI2" t="s">
        <v>131</v>
      </c>
      <c r="AJ2" t="s">
        <v>23</v>
      </c>
      <c r="AK2" t="s">
        <v>24</v>
      </c>
      <c r="AL2" t="s">
        <v>132</v>
      </c>
      <c r="AM2" t="s">
        <v>145</v>
      </c>
    </row>
    <row r="3" spans="1:39" x14ac:dyDescent="0.25">
      <c r="A3" t="s">
        <v>146</v>
      </c>
      <c r="B3">
        <v>181633</v>
      </c>
      <c r="C3" t="s">
        <v>27</v>
      </c>
      <c r="D3" t="s">
        <v>14</v>
      </c>
      <c r="E3" t="s">
        <v>11</v>
      </c>
      <c r="F3" t="s">
        <v>11</v>
      </c>
      <c r="G3">
        <v>292735</v>
      </c>
      <c r="H3" t="s">
        <v>36</v>
      </c>
      <c r="I3" t="s">
        <v>48</v>
      </c>
      <c r="J3" s="27" t="s">
        <v>10</v>
      </c>
      <c r="K3" s="27" t="s">
        <v>35</v>
      </c>
      <c r="L3" s="27"/>
      <c r="M3" s="27"/>
      <c r="N3" t="s">
        <v>10</v>
      </c>
      <c r="O3" t="s">
        <v>49</v>
      </c>
      <c r="R3" s="27" t="s">
        <v>13</v>
      </c>
      <c r="S3" s="27">
        <v>58</v>
      </c>
      <c r="T3" s="27"/>
      <c r="U3" s="27"/>
      <c r="V3" t="s">
        <v>10</v>
      </c>
      <c r="W3">
        <v>0.183</v>
      </c>
      <c r="X3">
        <v>0</v>
      </c>
      <c r="Z3" s="27" t="s">
        <v>10</v>
      </c>
      <c r="AA3" s="27">
        <v>2664</v>
      </c>
      <c r="AB3" s="27">
        <v>0</v>
      </c>
      <c r="AC3" s="27"/>
      <c r="AD3" t="s">
        <v>10</v>
      </c>
      <c r="AE3">
        <v>0</v>
      </c>
      <c r="AF3">
        <v>0</v>
      </c>
      <c r="AG3">
        <v>0</v>
      </c>
      <c r="AI3" t="s">
        <v>133</v>
      </c>
      <c r="AK3" t="s">
        <v>25</v>
      </c>
    </row>
    <row r="4" spans="1:39" x14ac:dyDescent="0.25">
      <c r="A4" t="s">
        <v>146</v>
      </c>
      <c r="B4">
        <v>181633</v>
      </c>
      <c r="C4" t="s">
        <v>27</v>
      </c>
      <c r="D4" t="s">
        <v>14</v>
      </c>
      <c r="E4" t="s">
        <v>11</v>
      </c>
      <c r="F4" t="s">
        <v>11</v>
      </c>
      <c r="G4">
        <v>290059</v>
      </c>
      <c r="H4" t="s">
        <v>36</v>
      </c>
      <c r="I4" t="s">
        <v>37</v>
      </c>
      <c r="J4" s="27" t="s">
        <v>10</v>
      </c>
      <c r="K4" s="27" t="s">
        <v>35</v>
      </c>
      <c r="L4" s="27" t="s">
        <v>35</v>
      </c>
      <c r="M4" s="27">
        <v>0</v>
      </c>
      <c r="N4" t="s">
        <v>10</v>
      </c>
      <c r="O4" t="s">
        <v>49</v>
      </c>
      <c r="P4" t="s">
        <v>35</v>
      </c>
      <c r="Q4">
        <v>8</v>
      </c>
      <c r="R4" s="27" t="s">
        <v>13</v>
      </c>
      <c r="S4" s="27">
        <v>58</v>
      </c>
      <c r="T4" s="27">
        <v>58</v>
      </c>
      <c r="U4" s="27">
        <v>0</v>
      </c>
      <c r="V4" t="s">
        <v>10</v>
      </c>
      <c r="W4">
        <v>0.183</v>
      </c>
      <c r="X4">
        <v>0.1847</v>
      </c>
      <c r="Y4">
        <v>0.93</v>
      </c>
      <c r="Z4" s="27" t="s">
        <v>10</v>
      </c>
      <c r="AA4" s="27">
        <v>2754</v>
      </c>
      <c r="AB4" s="27">
        <v>2754</v>
      </c>
      <c r="AC4" s="27">
        <v>0</v>
      </c>
      <c r="AD4" t="s">
        <v>10</v>
      </c>
      <c r="AE4">
        <v>0</v>
      </c>
      <c r="AF4">
        <v>120.62</v>
      </c>
      <c r="AG4">
        <v>504</v>
      </c>
      <c r="AH4">
        <v>23.93</v>
      </c>
      <c r="AI4" t="s">
        <v>133</v>
      </c>
      <c r="AK4" t="s">
        <v>25</v>
      </c>
    </row>
    <row r="5" spans="1:39" x14ac:dyDescent="0.25">
      <c r="A5" t="s">
        <v>146</v>
      </c>
      <c r="B5">
        <v>181633</v>
      </c>
      <c r="C5" t="s">
        <v>27</v>
      </c>
      <c r="D5" t="s">
        <v>14</v>
      </c>
      <c r="E5" t="s">
        <v>11</v>
      </c>
      <c r="F5" t="s">
        <v>11</v>
      </c>
      <c r="G5">
        <v>290060</v>
      </c>
      <c r="H5" t="s">
        <v>36</v>
      </c>
      <c r="I5" t="s">
        <v>43</v>
      </c>
      <c r="J5" s="27" t="s">
        <v>10</v>
      </c>
      <c r="K5" s="27" t="s">
        <v>35</v>
      </c>
      <c r="L5" s="27" t="s">
        <v>35</v>
      </c>
      <c r="M5" s="27">
        <v>0</v>
      </c>
      <c r="N5" t="s">
        <v>10</v>
      </c>
      <c r="O5" t="s">
        <v>49</v>
      </c>
      <c r="P5" t="s">
        <v>35</v>
      </c>
      <c r="Q5">
        <v>8</v>
      </c>
      <c r="R5" s="27" t="s">
        <v>13</v>
      </c>
      <c r="S5" s="27">
        <v>58</v>
      </c>
      <c r="T5" s="27">
        <v>58</v>
      </c>
      <c r="U5" s="27">
        <v>0</v>
      </c>
      <c r="V5" t="s">
        <v>10</v>
      </c>
      <c r="W5">
        <v>0.183</v>
      </c>
      <c r="X5">
        <v>0.18509999999999999</v>
      </c>
      <c r="Y5">
        <v>1.1499999999999999</v>
      </c>
      <c r="Z5" s="27" t="s">
        <v>10</v>
      </c>
      <c r="AA5" s="27">
        <v>2756</v>
      </c>
      <c r="AB5" s="27">
        <v>2756</v>
      </c>
      <c r="AC5" s="27">
        <v>0</v>
      </c>
      <c r="AD5" t="s">
        <v>10</v>
      </c>
      <c r="AE5">
        <v>0</v>
      </c>
      <c r="AF5">
        <v>34.61</v>
      </c>
      <c r="AG5">
        <v>504.34</v>
      </c>
      <c r="AH5">
        <v>6.86</v>
      </c>
      <c r="AI5" t="s">
        <v>133</v>
      </c>
      <c r="AK5" t="s">
        <v>25</v>
      </c>
    </row>
    <row r="6" spans="1:39" x14ac:dyDescent="0.25">
      <c r="A6" t="s">
        <v>146</v>
      </c>
      <c r="B6">
        <v>181633</v>
      </c>
      <c r="C6" t="s">
        <v>27</v>
      </c>
      <c r="D6" t="s">
        <v>14</v>
      </c>
      <c r="E6" t="s">
        <v>11</v>
      </c>
      <c r="F6" t="s">
        <v>11</v>
      </c>
      <c r="G6">
        <v>290061</v>
      </c>
      <c r="H6" t="s">
        <v>36</v>
      </c>
      <c r="I6" t="s">
        <v>98</v>
      </c>
      <c r="J6" s="27" t="s">
        <v>10</v>
      </c>
      <c r="K6" s="27" t="s">
        <v>35</v>
      </c>
      <c r="L6" s="27" t="s">
        <v>35</v>
      </c>
      <c r="M6" s="27">
        <v>0</v>
      </c>
      <c r="N6" t="s">
        <v>10</v>
      </c>
      <c r="O6" t="s">
        <v>49</v>
      </c>
      <c r="P6" t="s">
        <v>35</v>
      </c>
      <c r="Q6">
        <v>8</v>
      </c>
      <c r="R6" s="27" t="s">
        <v>13</v>
      </c>
      <c r="S6" s="27">
        <v>58</v>
      </c>
      <c r="T6" s="27">
        <v>58</v>
      </c>
      <c r="U6" s="27">
        <v>0</v>
      </c>
      <c r="V6" t="s">
        <v>10</v>
      </c>
      <c r="W6">
        <v>0.183</v>
      </c>
      <c r="X6">
        <v>0.18509999999999999</v>
      </c>
      <c r="Y6">
        <v>1.1499999999999999</v>
      </c>
      <c r="Z6" s="27" t="s">
        <v>10</v>
      </c>
      <c r="AA6" s="27">
        <v>2756</v>
      </c>
      <c r="AB6" s="27">
        <v>2756</v>
      </c>
      <c r="AC6" s="27">
        <v>0</v>
      </c>
      <c r="AD6" t="s">
        <v>10</v>
      </c>
      <c r="AE6">
        <v>0</v>
      </c>
      <c r="AF6">
        <v>45.64</v>
      </c>
      <c r="AG6">
        <v>504.4</v>
      </c>
      <c r="AH6">
        <v>9.0500000000000007</v>
      </c>
      <c r="AI6" t="s">
        <v>133</v>
      </c>
      <c r="AK6" t="s">
        <v>25</v>
      </c>
    </row>
    <row r="7" spans="1:39" x14ac:dyDescent="0.25">
      <c r="A7" t="s">
        <v>147</v>
      </c>
      <c r="B7">
        <v>181629</v>
      </c>
      <c r="C7" t="s">
        <v>27</v>
      </c>
      <c r="D7" t="s">
        <v>14</v>
      </c>
      <c r="E7" t="s">
        <v>11</v>
      </c>
      <c r="F7" t="s">
        <v>11</v>
      </c>
      <c r="G7">
        <v>290060</v>
      </c>
      <c r="H7" t="s">
        <v>36</v>
      </c>
      <c r="I7" t="s">
        <v>43</v>
      </c>
      <c r="J7" s="27" t="s">
        <v>10</v>
      </c>
      <c r="K7" s="27" t="s">
        <v>38</v>
      </c>
      <c r="L7" s="27" t="s">
        <v>35</v>
      </c>
      <c r="M7" s="27">
        <v>1</v>
      </c>
      <c r="N7" t="s">
        <v>10</v>
      </c>
      <c r="O7" t="s">
        <v>44</v>
      </c>
      <c r="P7" t="s">
        <v>38</v>
      </c>
      <c r="Q7">
        <v>11</v>
      </c>
      <c r="R7" s="27" t="s">
        <v>13</v>
      </c>
      <c r="S7" s="27">
        <v>58</v>
      </c>
      <c r="T7" s="27">
        <v>58</v>
      </c>
      <c r="U7" s="27">
        <v>0</v>
      </c>
      <c r="V7" t="s">
        <v>10</v>
      </c>
      <c r="W7">
        <v>0.20100000000000001</v>
      </c>
      <c r="X7">
        <v>0.2064</v>
      </c>
      <c r="Y7">
        <v>2.69</v>
      </c>
      <c r="Z7" s="27" t="s">
        <v>10</v>
      </c>
      <c r="AA7" s="27">
        <v>372</v>
      </c>
      <c r="AB7" s="27">
        <v>277</v>
      </c>
      <c r="AC7" s="27">
        <v>-25.54</v>
      </c>
      <c r="AD7" t="s">
        <v>10</v>
      </c>
      <c r="AE7">
        <v>0</v>
      </c>
      <c r="AF7">
        <v>2.3199999999999998</v>
      </c>
      <c r="AG7">
        <v>55.7</v>
      </c>
      <c r="AH7">
        <v>4.17</v>
      </c>
      <c r="AI7" t="s">
        <v>133</v>
      </c>
      <c r="AK7" t="s">
        <v>25</v>
      </c>
    </row>
    <row r="8" spans="1:39" x14ac:dyDescent="0.25">
      <c r="A8" t="s">
        <v>147</v>
      </c>
      <c r="B8">
        <v>181629</v>
      </c>
      <c r="C8" t="s">
        <v>27</v>
      </c>
      <c r="D8" t="s">
        <v>14</v>
      </c>
      <c r="E8" t="s">
        <v>11</v>
      </c>
      <c r="F8" t="s">
        <v>11</v>
      </c>
      <c r="G8">
        <v>292100</v>
      </c>
      <c r="H8" t="s">
        <v>36</v>
      </c>
      <c r="I8" t="s">
        <v>100</v>
      </c>
      <c r="J8" s="27" t="s">
        <v>10</v>
      </c>
      <c r="K8" s="27" t="s">
        <v>38</v>
      </c>
      <c r="L8" s="27" t="s">
        <v>35</v>
      </c>
      <c r="M8" s="27">
        <v>1</v>
      </c>
      <c r="N8" t="s">
        <v>10</v>
      </c>
      <c r="O8" t="s">
        <v>44</v>
      </c>
      <c r="P8" t="s">
        <v>38</v>
      </c>
      <c r="Q8">
        <v>11</v>
      </c>
      <c r="R8" s="27" t="s">
        <v>13</v>
      </c>
      <c r="S8" s="27">
        <v>58</v>
      </c>
      <c r="T8" s="27">
        <v>58</v>
      </c>
      <c r="U8" s="27">
        <v>0</v>
      </c>
      <c r="V8" t="s">
        <v>10</v>
      </c>
      <c r="W8">
        <v>0.20100000000000001</v>
      </c>
      <c r="X8">
        <v>0.20169999999999999</v>
      </c>
      <c r="Y8">
        <v>0.35</v>
      </c>
      <c r="Z8" s="27" t="s">
        <v>10</v>
      </c>
      <c r="AA8" s="27">
        <v>373</v>
      </c>
      <c r="AB8" s="27">
        <v>373</v>
      </c>
      <c r="AC8" s="27">
        <v>0</v>
      </c>
      <c r="AD8" t="s">
        <v>10</v>
      </c>
      <c r="AE8">
        <v>0</v>
      </c>
      <c r="AF8">
        <v>0</v>
      </c>
      <c r="AG8">
        <v>75</v>
      </c>
      <c r="AH8">
        <v>0</v>
      </c>
      <c r="AI8" t="s">
        <v>133</v>
      </c>
      <c r="AK8" t="s">
        <v>25</v>
      </c>
    </row>
    <row r="9" spans="1:39" x14ac:dyDescent="0.25">
      <c r="A9" t="s">
        <v>147</v>
      </c>
      <c r="B9">
        <v>181629</v>
      </c>
      <c r="C9" t="s">
        <v>27</v>
      </c>
      <c r="D9" t="s">
        <v>14</v>
      </c>
      <c r="E9" t="s">
        <v>11</v>
      </c>
      <c r="F9" t="s">
        <v>11</v>
      </c>
      <c r="G9">
        <v>290059</v>
      </c>
      <c r="H9" t="s">
        <v>36</v>
      </c>
      <c r="I9" t="s">
        <v>37</v>
      </c>
      <c r="J9" s="27" t="s">
        <v>10</v>
      </c>
      <c r="K9" s="27" t="s">
        <v>38</v>
      </c>
      <c r="L9" s="27" t="s">
        <v>35</v>
      </c>
      <c r="M9" s="27">
        <v>1</v>
      </c>
      <c r="N9" t="s">
        <v>10</v>
      </c>
      <c r="O9" t="s">
        <v>44</v>
      </c>
      <c r="P9" t="s">
        <v>38</v>
      </c>
      <c r="Q9">
        <v>11</v>
      </c>
      <c r="R9" s="27" t="s">
        <v>13</v>
      </c>
      <c r="S9" s="27">
        <v>58</v>
      </c>
      <c r="T9" s="27">
        <v>58</v>
      </c>
      <c r="U9" s="27">
        <v>0</v>
      </c>
      <c r="V9" t="s">
        <v>10</v>
      </c>
      <c r="W9">
        <v>0.20100000000000001</v>
      </c>
      <c r="X9">
        <v>0.20169999999999999</v>
      </c>
      <c r="Y9">
        <v>0.35</v>
      </c>
      <c r="Z9" s="27" t="s">
        <v>10</v>
      </c>
      <c r="AA9" s="27">
        <v>373</v>
      </c>
      <c r="AB9" s="27">
        <v>373</v>
      </c>
      <c r="AC9" s="27">
        <v>0</v>
      </c>
      <c r="AD9" t="s">
        <v>10</v>
      </c>
      <c r="AE9">
        <v>0</v>
      </c>
      <c r="AF9">
        <v>6.63</v>
      </c>
      <c r="AG9">
        <v>75</v>
      </c>
      <c r="AH9">
        <v>8.84</v>
      </c>
      <c r="AI9" t="s">
        <v>133</v>
      </c>
      <c r="AK9" t="s">
        <v>25</v>
      </c>
    </row>
    <row r="10" spans="1:39" x14ac:dyDescent="0.25">
      <c r="A10" t="s">
        <v>147</v>
      </c>
      <c r="B10">
        <v>181629</v>
      </c>
      <c r="C10" t="s">
        <v>27</v>
      </c>
      <c r="D10" t="s">
        <v>14</v>
      </c>
      <c r="E10" t="s">
        <v>11</v>
      </c>
      <c r="F10" t="s">
        <v>11</v>
      </c>
      <c r="G10">
        <v>294353</v>
      </c>
      <c r="H10" t="s">
        <v>50</v>
      </c>
      <c r="I10" t="s">
        <v>101</v>
      </c>
      <c r="J10" s="27" t="s">
        <v>10</v>
      </c>
      <c r="K10" s="27" t="s">
        <v>38</v>
      </c>
      <c r="L10" s="27"/>
      <c r="M10" s="27"/>
      <c r="N10" t="s">
        <v>10</v>
      </c>
      <c r="O10" t="s">
        <v>44</v>
      </c>
      <c r="R10" s="27" t="s">
        <v>13</v>
      </c>
      <c r="S10" s="27">
        <v>58</v>
      </c>
      <c r="T10" s="27"/>
      <c r="U10" s="27"/>
      <c r="V10" t="s">
        <v>10</v>
      </c>
      <c r="W10">
        <v>0.20100000000000001</v>
      </c>
      <c r="X10">
        <v>0</v>
      </c>
      <c r="Z10" s="27" t="s">
        <v>10</v>
      </c>
      <c r="AA10" s="27">
        <v>0</v>
      </c>
      <c r="AB10" s="27">
        <v>0</v>
      </c>
      <c r="AC10" s="27"/>
      <c r="AD10" t="s">
        <v>10</v>
      </c>
      <c r="AE10">
        <v>0</v>
      </c>
      <c r="AF10">
        <v>0</v>
      </c>
      <c r="AG10">
        <v>0</v>
      </c>
      <c r="AI10" t="s">
        <v>133</v>
      </c>
      <c r="AK10" t="s">
        <v>25</v>
      </c>
      <c r="AM10" t="s">
        <v>148</v>
      </c>
    </row>
    <row r="11" spans="1:39" x14ac:dyDescent="0.25">
      <c r="A11" t="s">
        <v>149</v>
      </c>
      <c r="B11">
        <v>181630</v>
      </c>
      <c r="C11" t="s">
        <v>27</v>
      </c>
      <c r="D11" t="s">
        <v>14</v>
      </c>
      <c r="E11" t="s">
        <v>11</v>
      </c>
      <c r="F11" t="s">
        <v>11</v>
      </c>
      <c r="G11">
        <v>290059</v>
      </c>
      <c r="H11" t="s">
        <v>36</v>
      </c>
      <c r="I11" t="s">
        <v>37</v>
      </c>
      <c r="J11" s="27" t="s">
        <v>10</v>
      </c>
      <c r="K11" s="27" t="s">
        <v>35</v>
      </c>
      <c r="L11" s="27" t="s">
        <v>35</v>
      </c>
      <c r="M11" s="27">
        <v>0</v>
      </c>
      <c r="N11" t="s">
        <v>10</v>
      </c>
      <c r="O11" t="s">
        <v>39</v>
      </c>
      <c r="P11" t="s">
        <v>35</v>
      </c>
      <c r="Q11">
        <v>7</v>
      </c>
      <c r="R11" s="27" t="s">
        <v>13</v>
      </c>
      <c r="S11" s="27">
        <v>58</v>
      </c>
      <c r="T11" s="27">
        <v>58</v>
      </c>
      <c r="U11" s="27">
        <v>0</v>
      </c>
      <c r="V11" t="s">
        <v>10</v>
      </c>
      <c r="W11">
        <v>0.18</v>
      </c>
      <c r="X11">
        <v>0.17860000000000001</v>
      </c>
      <c r="Y11">
        <v>-0.78</v>
      </c>
      <c r="Z11" s="27" t="s">
        <v>10</v>
      </c>
      <c r="AA11" s="27">
        <v>1067</v>
      </c>
      <c r="AB11" s="27">
        <v>1067</v>
      </c>
      <c r="AC11" s="27">
        <v>0</v>
      </c>
      <c r="AD11" t="s">
        <v>10</v>
      </c>
      <c r="AE11">
        <v>0</v>
      </c>
      <c r="AF11">
        <v>10.51</v>
      </c>
      <c r="AG11">
        <v>192</v>
      </c>
      <c r="AH11">
        <v>5.47</v>
      </c>
      <c r="AI11" t="s">
        <v>133</v>
      </c>
      <c r="AK11" t="s">
        <v>25</v>
      </c>
    </row>
    <row r="12" spans="1:39" x14ac:dyDescent="0.25">
      <c r="A12" t="s">
        <v>149</v>
      </c>
      <c r="B12">
        <v>181630</v>
      </c>
      <c r="C12" t="s">
        <v>27</v>
      </c>
      <c r="D12" t="s">
        <v>14</v>
      </c>
      <c r="E12" t="s">
        <v>11</v>
      </c>
      <c r="F12" t="s">
        <v>11</v>
      </c>
      <c r="G12">
        <v>293266</v>
      </c>
      <c r="H12" t="s">
        <v>36</v>
      </c>
      <c r="I12" t="s">
        <v>102</v>
      </c>
      <c r="J12" s="27" t="s">
        <v>10</v>
      </c>
      <c r="K12" s="27" t="s">
        <v>35</v>
      </c>
      <c r="L12" s="27"/>
      <c r="M12" s="27"/>
      <c r="N12" t="s">
        <v>10</v>
      </c>
      <c r="O12" t="s">
        <v>39</v>
      </c>
      <c r="R12" s="27" t="s">
        <v>13</v>
      </c>
      <c r="S12" s="27">
        <v>58</v>
      </c>
      <c r="T12" s="27"/>
      <c r="U12" s="27"/>
      <c r="V12" t="s">
        <v>10</v>
      </c>
      <c r="W12">
        <v>0.18</v>
      </c>
      <c r="X12">
        <v>0</v>
      </c>
      <c r="Z12" s="27" t="s">
        <v>10</v>
      </c>
      <c r="AA12" s="27">
        <v>0</v>
      </c>
      <c r="AB12" s="27">
        <v>0</v>
      </c>
      <c r="AC12" s="27"/>
      <c r="AD12" t="s">
        <v>10</v>
      </c>
      <c r="AE12">
        <v>0</v>
      </c>
      <c r="AF12">
        <v>0</v>
      </c>
      <c r="AG12">
        <v>0</v>
      </c>
      <c r="AI12" t="s">
        <v>133</v>
      </c>
      <c r="AK12" t="s">
        <v>25</v>
      </c>
    </row>
    <row r="13" spans="1:39" x14ac:dyDescent="0.25">
      <c r="A13" t="s">
        <v>149</v>
      </c>
      <c r="B13">
        <v>181630</v>
      </c>
      <c r="C13" t="s">
        <v>27</v>
      </c>
      <c r="D13" t="s">
        <v>14</v>
      </c>
      <c r="E13" t="s">
        <v>11</v>
      </c>
      <c r="F13" t="s">
        <v>11</v>
      </c>
      <c r="G13">
        <v>292103</v>
      </c>
      <c r="H13" t="s">
        <v>36</v>
      </c>
      <c r="I13" t="s">
        <v>103</v>
      </c>
      <c r="J13" s="27" t="s">
        <v>10</v>
      </c>
      <c r="K13" s="27" t="s">
        <v>35</v>
      </c>
      <c r="L13" s="27"/>
      <c r="M13" s="27"/>
      <c r="N13" t="s">
        <v>10</v>
      </c>
      <c r="O13" t="s">
        <v>39</v>
      </c>
      <c r="R13" s="27" t="s">
        <v>13</v>
      </c>
      <c r="S13" s="27">
        <v>58</v>
      </c>
      <c r="T13" s="27"/>
      <c r="U13" s="27"/>
      <c r="V13" t="s">
        <v>10</v>
      </c>
      <c r="W13">
        <v>0.18</v>
      </c>
      <c r="X13">
        <v>0</v>
      </c>
      <c r="Z13" s="27" t="s">
        <v>10</v>
      </c>
      <c r="AA13" s="27">
        <v>0</v>
      </c>
      <c r="AB13" s="27">
        <v>0</v>
      </c>
      <c r="AC13" s="27"/>
      <c r="AD13" t="s">
        <v>10</v>
      </c>
      <c r="AE13">
        <v>0</v>
      </c>
      <c r="AF13">
        <v>0</v>
      </c>
      <c r="AG13">
        <v>0</v>
      </c>
      <c r="AI13" t="s">
        <v>133</v>
      </c>
      <c r="AK13" t="s">
        <v>25</v>
      </c>
    </row>
    <row r="14" spans="1:39" x14ac:dyDescent="0.25">
      <c r="A14" t="s">
        <v>149</v>
      </c>
      <c r="B14">
        <v>181630</v>
      </c>
      <c r="C14" t="s">
        <v>27</v>
      </c>
      <c r="D14" t="s">
        <v>14</v>
      </c>
      <c r="E14" t="s">
        <v>11</v>
      </c>
      <c r="F14" t="s">
        <v>11</v>
      </c>
      <c r="G14">
        <v>293267</v>
      </c>
      <c r="H14" t="s">
        <v>50</v>
      </c>
      <c r="I14" t="s">
        <v>104</v>
      </c>
      <c r="J14" s="27" t="s">
        <v>10</v>
      </c>
      <c r="K14" s="27" t="s">
        <v>35</v>
      </c>
      <c r="L14" s="27"/>
      <c r="M14" s="27"/>
      <c r="N14" t="s">
        <v>10</v>
      </c>
      <c r="O14" t="s">
        <v>39</v>
      </c>
      <c r="R14" s="27" t="s">
        <v>13</v>
      </c>
      <c r="S14" s="27">
        <v>58</v>
      </c>
      <c r="T14" s="27"/>
      <c r="U14" s="27"/>
      <c r="V14" t="s">
        <v>10</v>
      </c>
      <c r="W14">
        <v>0.18</v>
      </c>
      <c r="X14">
        <v>0</v>
      </c>
      <c r="Z14" s="27" t="s">
        <v>10</v>
      </c>
      <c r="AA14" s="27">
        <v>0</v>
      </c>
      <c r="AB14" s="27">
        <v>0</v>
      </c>
      <c r="AC14" s="27"/>
      <c r="AD14" t="s">
        <v>10</v>
      </c>
      <c r="AE14">
        <v>0</v>
      </c>
      <c r="AF14">
        <v>0</v>
      </c>
      <c r="AG14">
        <v>0</v>
      </c>
      <c r="AI14" t="s">
        <v>133</v>
      </c>
      <c r="AK14" t="s">
        <v>25</v>
      </c>
      <c r="AM14" t="s">
        <v>148</v>
      </c>
    </row>
    <row r="15" spans="1:39" x14ac:dyDescent="0.25">
      <c r="A15" t="s">
        <v>150</v>
      </c>
      <c r="B15">
        <v>181635</v>
      </c>
      <c r="C15" t="s">
        <v>27</v>
      </c>
      <c r="D15" t="s">
        <v>14</v>
      </c>
      <c r="E15" t="s">
        <v>11</v>
      </c>
      <c r="F15" t="s">
        <v>11</v>
      </c>
      <c r="G15">
        <v>292101</v>
      </c>
      <c r="H15" t="s">
        <v>36</v>
      </c>
      <c r="I15" t="s">
        <v>51</v>
      </c>
      <c r="J15" s="27" t="s">
        <v>10</v>
      </c>
      <c r="K15" s="27" t="s">
        <v>35</v>
      </c>
      <c r="L15" s="27" t="s">
        <v>35</v>
      </c>
      <c r="M15" s="27">
        <v>0</v>
      </c>
      <c r="N15" t="s">
        <v>10</v>
      </c>
      <c r="O15" t="s">
        <v>42</v>
      </c>
      <c r="P15" t="s">
        <v>38</v>
      </c>
      <c r="Q15">
        <v>10</v>
      </c>
      <c r="R15" s="27" t="s">
        <v>13</v>
      </c>
      <c r="S15" s="27">
        <v>58</v>
      </c>
      <c r="T15" s="27">
        <v>58</v>
      </c>
      <c r="U15" s="27">
        <v>0</v>
      </c>
      <c r="V15" t="s">
        <v>10</v>
      </c>
      <c r="W15">
        <v>0.184</v>
      </c>
      <c r="X15">
        <v>0.1847</v>
      </c>
      <c r="Y15">
        <v>0.38</v>
      </c>
      <c r="Z15" s="27" t="s">
        <v>10</v>
      </c>
      <c r="AA15" s="27">
        <v>1777</v>
      </c>
      <c r="AB15" s="27">
        <v>1777</v>
      </c>
      <c r="AC15" s="27">
        <v>0</v>
      </c>
      <c r="AD15" t="s">
        <v>10</v>
      </c>
      <c r="AE15">
        <v>0</v>
      </c>
      <c r="AF15">
        <v>8.5</v>
      </c>
      <c r="AG15">
        <v>327</v>
      </c>
      <c r="AH15">
        <v>2.6</v>
      </c>
      <c r="AI15" t="s">
        <v>133</v>
      </c>
      <c r="AK15" t="s">
        <v>25</v>
      </c>
    </row>
    <row r="16" spans="1:39" x14ac:dyDescent="0.25">
      <c r="A16" t="s">
        <v>150</v>
      </c>
      <c r="B16">
        <v>181635</v>
      </c>
      <c r="C16" t="s">
        <v>27</v>
      </c>
      <c r="D16" t="s">
        <v>14</v>
      </c>
      <c r="E16" t="s">
        <v>11</v>
      </c>
      <c r="F16" t="s">
        <v>11</v>
      </c>
      <c r="G16">
        <v>295048</v>
      </c>
      <c r="H16" t="s">
        <v>36</v>
      </c>
      <c r="I16" t="s">
        <v>105</v>
      </c>
      <c r="J16" s="27" t="s">
        <v>10</v>
      </c>
      <c r="K16" s="27" t="s">
        <v>35</v>
      </c>
      <c r="L16" s="27"/>
      <c r="M16" s="27"/>
      <c r="N16" t="s">
        <v>10</v>
      </c>
      <c r="O16" t="s">
        <v>42</v>
      </c>
      <c r="R16" s="27" t="s">
        <v>13</v>
      </c>
      <c r="S16" s="27">
        <v>0</v>
      </c>
      <c r="T16" s="27"/>
      <c r="U16" s="27"/>
      <c r="V16" t="s">
        <v>10</v>
      </c>
      <c r="W16">
        <v>0.184</v>
      </c>
      <c r="X16">
        <v>0</v>
      </c>
      <c r="Z16" s="27" t="s">
        <v>10</v>
      </c>
      <c r="AA16" s="27">
        <v>0</v>
      </c>
      <c r="AB16" s="27">
        <v>0</v>
      </c>
      <c r="AC16" s="27"/>
      <c r="AD16" t="s">
        <v>10</v>
      </c>
      <c r="AE16">
        <v>0</v>
      </c>
      <c r="AF16">
        <v>0</v>
      </c>
      <c r="AG16">
        <v>0</v>
      </c>
      <c r="AI16" t="s">
        <v>133</v>
      </c>
      <c r="AK16" t="s">
        <v>25</v>
      </c>
    </row>
    <row r="17" spans="1:39" x14ac:dyDescent="0.25">
      <c r="A17" t="s">
        <v>150</v>
      </c>
      <c r="B17">
        <v>181635</v>
      </c>
      <c r="C17" t="s">
        <v>27</v>
      </c>
      <c r="D17" t="s">
        <v>14</v>
      </c>
      <c r="E17" t="s">
        <v>11</v>
      </c>
      <c r="F17" t="s">
        <v>11</v>
      </c>
      <c r="G17">
        <v>290061</v>
      </c>
      <c r="H17" t="s">
        <v>36</v>
      </c>
      <c r="I17" t="s">
        <v>98</v>
      </c>
      <c r="J17" s="27" t="s">
        <v>10</v>
      </c>
      <c r="K17" s="27" t="s">
        <v>35</v>
      </c>
      <c r="L17" s="27" t="s">
        <v>35</v>
      </c>
      <c r="M17" s="27">
        <v>0</v>
      </c>
      <c r="N17" t="s">
        <v>10</v>
      </c>
      <c r="O17" t="s">
        <v>42</v>
      </c>
      <c r="P17" t="s">
        <v>38</v>
      </c>
      <c r="Q17">
        <v>10</v>
      </c>
      <c r="R17" s="27" t="s">
        <v>13</v>
      </c>
      <c r="S17" s="27">
        <v>58</v>
      </c>
      <c r="T17" s="27">
        <v>58</v>
      </c>
      <c r="U17" s="27">
        <v>0</v>
      </c>
      <c r="V17" t="s">
        <v>10</v>
      </c>
      <c r="W17">
        <v>0.184</v>
      </c>
      <c r="X17">
        <v>0.18329999999999999</v>
      </c>
      <c r="Y17">
        <v>-0.38</v>
      </c>
      <c r="Z17" s="27" t="s">
        <v>10</v>
      </c>
      <c r="AA17" s="27">
        <v>1777</v>
      </c>
      <c r="AB17" s="27">
        <v>1777</v>
      </c>
      <c r="AC17" s="27">
        <v>0</v>
      </c>
      <c r="AD17" t="s">
        <v>10</v>
      </c>
      <c r="AE17">
        <v>0</v>
      </c>
      <c r="AF17">
        <v>19.18</v>
      </c>
      <c r="AG17">
        <v>327</v>
      </c>
      <c r="AH17">
        <v>5.87</v>
      </c>
      <c r="AI17" t="s">
        <v>133</v>
      </c>
      <c r="AK17" t="s">
        <v>25</v>
      </c>
    </row>
    <row r="18" spans="1:39" x14ac:dyDescent="0.25">
      <c r="A18" t="s">
        <v>150</v>
      </c>
      <c r="B18">
        <v>181635</v>
      </c>
      <c r="C18" t="s">
        <v>27</v>
      </c>
      <c r="D18" t="s">
        <v>14</v>
      </c>
      <c r="E18" t="s">
        <v>11</v>
      </c>
      <c r="F18" t="s">
        <v>11</v>
      </c>
      <c r="G18">
        <v>295053</v>
      </c>
      <c r="H18" t="s">
        <v>36</v>
      </c>
      <c r="I18" t="s">
        <v>106</v>
      </c>
      <c r="J18" s="27" t="s">
        <v>10</v>
      </c>
      <c r="K18" s="27" t="s">
        <v>35</v>
      </c>
      <c r="L18" s="27"/>
      <c r="M18" s="27"/>
      <c r="N18" t="s">
        <v>10</v>
      </c>
      <c r="O18" t="s">
        <v>42</v>
      </c>
      <c r="R18" s="27" t="s">
        <v>13</v>
      </c>
      <c r="S18" s="27">
        <v>0</v>
      </c>
      <c r="T18" s="27"/>
      <c r="U18" s="27"/>
      <c r="V18" t="s">
        <v>10</v>
      </c>
      <c r="W18">
        <v>0.184</v>
      </c>
      <c r="X18">
        <v>0</v>
      </c>
      <c r="Z18" s="27" t="s">
        <v>10</v>
      </c>
      <c r="AA18" s="27">
        <v>0</v>
      </c>
      <c r="AB18" s="27">
        <v>0</v>
      </c>
      <c r="AC18" s="27"/>
      <c r="AD18" t="s">
        <v>10</v>
      </c>
      <c r="AE18">
        <v>0</v>
      </c>
      <c r="AF18">
        <v>0</v>
      </c>
      <c r="AG18">
        <v>0</v>
      </c>
      <c r="AI18" t="s">
        <v>133</v>
      </c>
      <c r="AK18" t="s">
        <v>25</v>
      </c>
    </row>
    <row r="19" spans="1:39" x14ac:dyDescent="0.25">
      <c r="A19" t="s">
        <v>151</v>
      </c>
      <c r="B19">
        <v>181636</v>
      </c>
      <c r="C19" t="s">
        <v>27</v>
      </c>
      <c r="D19" t="s">
        <v>14</v>
      </c>
      <c r="E19" t="s">
        <v>11</v>
      </c>
      <c r="F19" t="s">
        <v>11</v>
      </c>
      <c r="G19">
        <v>290060</v>
      </c>
      <c r="H19" t="s">
        <v>36</v>
      </c>
      <c r="I19" t="s">
        <v>43</v>
      </c>
      <c r="J19" s="27" t="s">
        <v>10</v>
      </c>
      <c r="K19" s="27" t="s">
        <v>35</v>
      </c>
      <c r="L19" s="27" t="s">
        <v>35</v>
      </c>
      <c r="M19" s="27">
        <v>0</v>
      </c>
      <c r="N19" t="s">
        <v>10</v>
      </c>
      <c r="O19" t="s">
        <v>49</v>
      </c>
      <c r="R19" s="27" t="s">
        <v>13</v>
      </c>
      <c r="S19" s="27">
        <v>58</v>
      </c>
      <c r="T19" s="27"/>
      <c r="U19" s="27"/>
      <c r="V19" t="s">
        <v>10</v>
      </c>
      <c r="W19">
        <v>0.218</v>
      </c>
      <c r="X19">
        <v>0</v>
      </c>
      <c r="Z19" s="27" t="s">
        <v>10</v>
      </c>
      <c r="AA19" s="27">
        <v>1257</v>
      </c>
      <c r="AB19" s="27">
        <v>1257</v>
      </c>
      <c r="AC19" s="27">
        <v>0</v>
      </c>
      <c r="AD19" t="s">
        <v>10</v>
      </c>
      <c r="AE19">
        <v>0</v>
      </c>
      <c r="AF19">
        <v>0</v>
      </c>
      <c r="AG19">
        <v>274</v>
      </c>
      <c r="AH19">
        <v>0</v>
      </c>
      <c r="AI19" t="s">
        <v>133</v>
      </c>
      <c r="AK19" t="s">
        <v>25</v>
      </c>
    </row>
    <row r="20" spans="1:39" x14ac:dyDescent="0.25">
      <c r="A20" t="s">
        <v>151</v>
      </c>
      <c r="B20">
        <v>181636</v>
      </c>
      <c r="C20" t="s">
        <v>27</v>
      </c>
      <c r="D20" t="s">
        <v>14</v>
      </c>
      <c r="E20" t="s">
        <v>11</v>
      </c>
      <c r="F20" t="s">
        <v>11</v>
      </c>
      <c r="G20">
        <v>290059</v>
      </c>
      <c r="H20" t="s">
        <v>36</v>
      </c>
      <c r="I20" t="s">
        <v>37</v>
      </c>
      <c r="J20" s="27" t="s">
        <v>10</v>
      </c>
      <c r="K20" s="27" t="s">
        <v>35</v>
      </c>
      <c r="L20" s="27" t="s">
        <v>35</v>
      </c>
      <c r="M20" s="27">
        <v>0</v>
      </c>
      <c r="N20" t="s">
        <v>10</v>
      </c>
      <c r="O20" t="s">
        <v>49</v>
      </c>
      <c r="P20" t="s">
        <v>38</v>
      </c>
      <c r="Q20">
        <v>7</v>
      </c>
      <c r="R20" s="27" t="s">
        <v>13</v>
      </c>
      <c r="S20" s="27">
        <v>58</v>
      </c>
      <c r="T20" s="27">
        <v>58</v>
      </c>
      <c r="U20" s="27">
        <v>0</v>
      </c>
      <c r="V20" t="s">
        <v>10</v>
      </c>
      <c r="W20">
        <v>0.218</v>
      </c>
      <c r="X20">
        <v>0.21829999999999999</v>
      </c>
      <c r="Y20">
        <v>0.14000000000000001</v>
      </c>
      <c r="Z20" s="27" t="s">
        <v>10</v>
      </c>
      <c r="AA20" s="27">
        <v>1266</v>
      </c>
      <c r="AB20" s="27">
        <v>1266</v>
      </c>
      <c r="AC20" s="27">
        <v>0</v>
      </c>
      <c r="AD20" t="s">
        <v>10</v>
      </c>
      <c r="AE20">
        <v>0</v>
      </c>
      <c r="AF20">
        <v>8.08</v>
      </c>
      <c r="AG20">
        <v>276</v>
      </c>
      <c r="AH20">
        <v>2.93</v>
      </c>
      <c r="AI20" t="s">
        <v>133</v>
      </c>
      <c r="AK20" t="s">
        <v>25</v>
      </c>
    </row>
    <row r="21" spans="1:39" x14ac:dyDescent="0.25">
      <c r="A21" t="s">
        <v>151</v>
      </c>
      <c r="B21">
        <v>181636</v>
      </c>
      <c r="C21" t="s">
        <v>27</v>
      </c>
      <c r="D21" t="s">
        <v>14</v>
      </c>
      <c r="E21" t="s">
        <v>11</v>
      </c>
      <c r="F21" t="s">
        <v>11</v>
      </c>
      <c r="G21">
        <v>290061</v>
      </c>
      <c r="H21" t="s">
        <v>36</v>
      </c>
      <c r="I21" t="s">
        <v>98</v>
      </c>
      <c r="J21" s="27" t="s">
        <v>10</v>
      </c>
      <c r="K21" s="27" t="s">
        <v>35</v>
      </c>
      <c r="L21" s="27" t="s">
        <v>35</v>
      </c>
      <c r="M21" s="27">
        <v>0</v>
      </c>
      <c r="N21" t="s">
        <v>10</v>
      </c>
      <c r="O21" t="s">
        <v>49</v>
      </c>
      <c r="P21" t="s">
        <v>38</v>
      </c>
      <c r="Q21">
        <v>7</v>
      </c>
      <c r="R21" s="27" t="s">
        <v>13</v>
      </c>
      <c r="S21" s="27">
        <v>58</v>
      </c>
      <c r="T21" s="27">
        <v>58</v>
      </c>
      <c r="U21" s="27">
        <v>0</v>
      </c>
      <c r="V21" t="s">
        <v>10</v>
      </c>
      <c r="W21">
        <v>0.218</v>
      </c>
      <c r="X21">
        <v>0.21759999999999999</v>
      </c>
      <c r="Y21">
        <v>-0.18</v>
      </c>
      <c r="Z21" s="27" t="s">
        <v>10</v>
      </c>
      <c r="AA21" s="27">
        <v>1248</v>
      </c>
      <c r="AB21" s="27">
        <v>1248</v>
      </c>
      <c r="AC21" s="27">
        <v>0</v>
      </c>
      <c r="AD21" t="s">
        <v>10</v>
      </c>
      <c r="AE21">
        <v>0</v>
      </c>
      <c r="AF21">
        <v>11.57</v>
      </c>
      <c r="AG21">
        <v>272</v>
      </c>
      <c r="AH21">
        <v>4.25</v>
      </c>
      <c r="AI21" t="s">
        <v>133</v>
      </c>
      <c r="AK21" t="s">
        <v>25</v>
      </c>
    </row>
    <row r="22" spans="1:39" x14ac:dyDescent="0.25">
      <c r="A22" t="s">
        <v>151</v>
      </c>
      <c r="B22">
        <v>181636</v>
      </c>
      <c r="C22" t="s">
        <v>27</v>
      </c>
      <c r="D22" t="s">
        <v>14</v>
      </c>
      <c r="E22" t="s">
        <v>11</v>
      </c>
      <c r="F22" t="s">
        <v>11</v>
      </c>
      <c r="G22">
        <v>290062</v>
      </c>
      <c r="H22" t="s">
        <v>36</v>
      </c>
      <c r="I22" t="s">
        <v>52</v>
      </c>
      <c r="J22" s="27" t="s">
        <v>10</v>
      </c>
      <c r="K22" s="27" t="s">
        <v>35</v>
      </c>
      <c r="L22" s="27"/>
      <c r="M22" s="27"/>
      <c r="N22" t="s">
        <v>10</v>
      </c>
      <c r="O22" t="s">
        <v>49</v>
      </c>
      <c r="R22" s="27" t="s">
        <v>13</v>
      </c>
      <c r="S22" s="27">
        <v>58</v>
      </c>
      <c r="T22" s="27"/>
      <c r="U22" s="27"/>
      <c r="V22" t="s">
        <v>10</v>
      </c>
      <c r="W22">
        <v>0.218</v>
      </c>
      <c r="X22">
        <v>0</v>
      </c>
      <c r="Z22" s="27" t="s">
        <v>10</v>
      </c>
      <c r="AA22" s="27">
        <v>0</v>
      </c>
      <c r="AB22" s="27">
        <v>0</v>
      </c>
      <c r="AC22" s="27"/>
      <c r="AD22" t="s">
        <v>10</v>
      </c>
      <c r="AE22">
        <v>0</v>
      </c>
      <c r="AF22">
        <v>0</v>
      </c>
      <c r="AG22">
        <v>0</v>
      </c>
      <c r="AI22" t="s">
        <v>133</v>
      </c>
      <c r="AK22" t="s">
        <v>25</v>
      </c>
    </row>
    <row r="23" spans="1:39" x14ac:dyDescent="0.25">
      <c r="A23" t="s">
        <v>152</v>
      </c>
      <c r="B23">
        <v>181637</v>
      </c>
      <c r="C23" t="s">
        <v>27</v>
      </c>
      <c r="D23" t="s">
        <v>14</v>
      </c>
      <c r="E23" t="s">
        <v>11</v>
      </c>
      <c r="F23" t="s">
        <v>11</v>
      </c>
      <c r="G23">
        <v>290062</v>
      </c>
      <c r="H23" t="s">
        <v>36</v>
      </c>
      <c r="I23" t="s">
        <v>52</v>
      </c>
      <c r="J23" s="27" t="s">
        <v>10</v>
      </c>
      <c r="K23" s="27" t="s">
        <v>35</v>
      </c>
      <c r="L23" s="27"/>
      <c r="M23" s="27"/>
      <c r="N23" t="s">
        <v>10</v>
      </c>
      <c r="O23" t="s">
        <v>46</v>
      </c>
      <c r="R23" s="27" t="s">
        <v>13</v>
      </c>
      <c r="S23" s="27">
        <v>58</v>
      </c>
      <c r="T23" s="27"/>
      <c r="U23" s="27"/>
      <c r="V23" t="s">
        <v>10</v>
      </c>
      <c r="W23">
        <v>0.214</v>
      </c>
      <c r="X23">
        <v>0</v>
      </c>
      <c r="Z23" s="27" t="s">
        <v>10</v>
      </c>
      <c r="AA23" s="27">
        <v>0</v>
      </c>
      <c r="AB23" s="27">
        <v>0</v>
      </c>
      <c r="AC23" s="27"/>
      <c r="AD23" t="s">
        <v>10</v>
      </c>
      <c r="AE23">
        <v>0</v>
      </c>
      <c r="AF23">
        <v>0</v>
      </c>
      <c r="AG23">
        <v>0</v>
      </c>
      <c r="AI23" t="s">
        <v>133</v>
      </c>
      <c r="AK23" t="s">
        <v>25</v>
      </c>
    </row>
    <row r="24" spans="1:39" x14ac:dyDescent="0.25">
      <c r="A24" t="s">
        <v>152</v>
      </c>
      <c r="B24">
        <v>181637</v>
      </c>
      <c r="C24" t="s">
        <v>27</v>
      </c>
      <c r="D24" t="s">
        <v>14</v>
      </c>
      <c r="E24" t="s">
        <v>11</v>
      </c>
      <c r="F24" t="s">
        <v>11</v>
      </c>
      <c r="G24">
        <v>290061</v>
      </c>
      <c r="H24" t="s">
        <v>36</v>
      </c>
      <c r="I24" t="s">
        <v>98</v>
      </c>
      <c r="J24" s="27" t="s">
        <v>10</v>
      </c>
      <c r="K24" s="27" t="s">
        <v>35</v>
      </c>
      <c r="L24" s="27" t="s">
        <v>35</v>
      </c>
      <c r="M24" s="27">
        <v>0</v>
      </c>
      <c r="N24" t="s">
        <v>10</v>
      </c>
      <c r="O24" t="s">
        <v>46</v>
      </c>
      <c r="P24" t="s">
        <v>38</v>
      </c>
      <c r="Q24">
        <v>13</v>
      </c>
      <c r="R24" s="27" t="s">
        <v>13</v>
      </c>
      <c r="S24" s="27">
        <v>58</v>
      </c>
      <c r="T24" s="27">
        <v>58</v>
      </c>
      <c r="U24" s="27">
        <v>0</v>
      </c>
      <c r="V24" t="s">
        <v>10</v>
      </c>
      <c r="W24">
        <v>0.214</v>
      </c>
      <c r="X24">
        <v>0.2142</v>
      </c>
      <c r="Y24">
        <v>0.09</v>
      </c>
      <c r="Z24" s="27" t="s">
        <v>10</v>
      </c>
      <c r="AA24" s="27">
        <v>883</v>
      </c>
      <c r="AB24" s="27">
        <v>883</v>
      </c>
      <c r="AC24" s="27">
        <v>0</v>
      </c>
      <c r="AD24" t="s">
        <v>10</v>
      </c>
      <c r="AE24">
        <v>0</v>
      </c>
      <c r="AF24">
        <v>3.91</v>
      </c>
      <c r="AG24">
        <v>189</v>
      </c>
      <c r="AH24">
        <v>2.0699999999999998</v>
      </c>
      <c r="AI24" t="s">
        <v>133</v>
      </c>
      <c r="AK24" t="s">
        <v>25</v>
      </c>
    </row>
    <row r="25" spans="1:39" x14ac:dyDescent="0.25">
      <c r="A25" t="s">
        <v>152</v>
      </c>
      <c r="B25">
        <v>181637</v>
      </c>
      <c r="C25" t="s">
        <v>27</v>
      </c>
      <c r="D25" t="s">
        <v>14</v>
      </c>
      <c r="E25" t="s">
        <v>11</v>
      </c>
      <c r="F25" t="s">
        <v>11</v>
      </c>
      <c r="G25">
        <v>290063</v>
      </c>
      <c r="H25" t="s">
        <v>36</v>
      </c>
      <c r="I25" t="s">
        <v>99</v>
      </c>
      <c r="J25" s="27" t="s">
        <v>10</v>
      </c>
      <c r="K25" s="27" t="s">
        <v>35</v>
      </c>
      <c r="L25" s="27" t="s">
        <v>35</v>
      </c>
      <c r="M25" s="27">
        <v>0</v>
      </c>
      <c r="N25" t="s">
        <v>10</v>
      </c>
      <c r="O25" t="s">
        <v>46</v>
      </c>
      <c r="R25" s="27" t="s">
        <v>13</v>
      </c>
      <c r="S25" s="27">
        <v>58</v>
      </c>
      <c r="T25" s="27"/>
      <c r="U25" s="27"/>
      <c r="V25" t="s">
        <v>10</v>
      </c>
      <c r="W25">
        <v>0.214</v>
      </c>
      <c r="X25">
        <v>0</v>
      </c>
      <c r="Z25" s="27" t="s">
        <v>10</v>
      </c>
      <c r="AA25" s="27">
        <v>883</v>
      </c>
      <c r="AB25" s="27">
        <v>883</v>
      </c>
      <c r="AC25" s="27">
        <v>0</v>
      </c>
      <c r="AD25" t="s">
        <v>10</v>
      </c>
      <c r="AE25">
        <v>0</v>
      </c>
      <c r="AF25">
        <v>0</v>
      </c>
      <c r="AG25">
        <v>189</v>
      </c>
      <c r="AH25">
        <v>0</v>
      </c>
      <c r="AI25" t="s">
        <v>133</v>
      </c>
      <c r="AK25" t="s">
        <v>25</v>
      </c>
    </row>
    <row r="26" spans="1:39" x14ac:dyDescent="0.25">
      <c r="A26" t="s">
        <v>152</v>
      </c>
      <c r="B26">
        <v>181637</v>
      </c>
      <c r="C26" t="s">
        <v>27</v>
      </c>
      <c r="D26" t="s">
        <v>14</v>
      </c>
      <c r="E26" t="s">
        <v>11</v>
      </c>
      <c r="F26" t="s">
        <v>11</v>
      </c>
      <c r="G26">
        <v>290060</v>
      </c>
      <c r="H26" t="s">
        <v>36</v>
      </c>
      <c r="I26" t="s">
        <v>43</v>
      </c>
      <c r="J26" s="27" t="s">
        <v>10</v>
      </c>
      <c r="K26" s="27" t="s">
        <v>35</v>
      </c>
      <c r="L26" s="27" t="s">
        <v>35</v>
      </c>
      <c r="M26" s="27">
        <v>0</v>
      </c>
      <c r="N26" t="s">
        <v>10</v>
      </c>
      <c r="O26" t="s">
        <v>46</v>
      </c>
      <c r="P26" t="s">
        <v>38</v>
      </c>
      <c r="Q26">
        <v>13</v>
      </c>
      <c r="R26" s="27" t="s">
        <v>13</v>
      </c>
      <c r="S26" s="27">
        <v>58</v>
      </c>
      <c r="T26" s="27">
        <v>58</v>
      </c>
      <c r="U26" s="27">
        <v>0</v>
      </c>
      <c r="V26" t="s">
        <v>10</v>
      </c>
      <c r="W26">
        <v>0.214</v>
      </c>
      <c r="X26">
        <v>0.21590000000000001</v>
      </c>
      <c r="Y26">
        <v>0.89</v>
      </c>
      <c r="Z26" s="27" t="s">
        <v>10</v>
      </c>
      <c r="AA26" s="27">
        <v>883</v>
      </c>
      <c r="AB26" s="27">
        <v>883</v>
      </c>
      <c r="AC26" s="27">
        <v>0</v>
      </c>
      <c r="AD26" t="s">
        <v>10</v>
      </c>
      <c r="AE26">
        <v>0</v>
      </c>
      <c r="AF26">
        <v>22.36</v>
      </c>
      <c r="AG26">
        <v>189</v>
      </c>
      <c r="AH26">
        <v>11.83</v>
      </c>
      <c r="AI26" t="s">
        <v>133</v>
      </c>
      <c r="AK26" t="s">
        <v>25</v>
      </c>
    </row>
    <row r="27" spans="1:39" x14ac:dyDescent="0.25">
      <c r="A27" t="s">
        <v>154</v>
      </c>
      <c r="B27">
        <v>181634</v>
      </c>
      <c r="C27" t="s">
        <v>27</v>
      </c>
      <c r="D27" t="s">
        <v>14</v>
      </c>
      <c r="E27" t="s">
        <v>11</v>
      </c>
      <c r="F27" t="s">
        <v>11</v>
      </c>
      <c r="G27">
        <v>292107</v>
      </c>
      <c r="H27" t="s">
        <v>36</v>
      </c>
      <c r="I27" t="s">
        <v>64</v>
      </c>
      <c r="J27" s="27" t="s">
        <v>10</v>
      </c>
      <c r="K27" s="27" t="s">
        <v>38</v>
      </c>
      <c r="L27" s="27"/>
      <c r="M27" s="27"/>
      <c r="N27" t="s">
        <v>10</v>
      </c>
      <c r="O27" t="s">
        <v>45</v>
      </c>
      <c r="R27" s="27" t="s">
        <v>13</v>
      </c>
      <c r="S27" s="27">
        <v>58</v>
      </c>
      <c r="T27" s="27"/>
      <c r="U27" s="27"/>
      <c r="V27" t="s">
        <v>10</v>
      </c>
      <c r="W27">
        <v>0.186</v>
      </c>
      <c r="X27">
        <v>0</v>
      </c>
      <c r="Z27" s="27" t="s">
        <v>10</v>
      </c>
      <c r="AA27" s="27">
        <v>0</v>
      </c>
      <c r="AB27" s="27">
        <v>0</v>
      </c>
      <c r="AC27" s="27"/>
      <c r="AD27" t="s">
        <v>10</v>
      </c>
      <c r="AE27">
        <v>0</v>
      </c>
      <c r="AF27">
        <v>0</v>
      </c>
      <c r="AG27">
        <v>0</v>
      </c>
      <c r="AI27" t="s">
        <v>133</v>
      </c>
      <c r="AK27" t="s">
        <v>25</v>
      </c>
      <c r="AM27" t="s">
        <v>148</v>
      </c>
    </row>
    <row r="28" spans="1:39" x14ac:dyDescent="0.25">
      <c r="A28" t="s">
        <v>154</v>
      </c>
      <c r="B28">
        <v>181634</v>
      </c>
      <c r="C28" t="s">
        <v>27</v>
      </c>
      <c r="D28" t="s">
        <v>14</v>
      </c>
      <c r="E28" t="s">
        <v>11</v>
      </c>
      <c r="F28" t="s">
        <v>11</v>
      </c>
      <c r="G28">
        <v>290059</v>
      </c>
      <c r="H28" t="s">
        <v>36</v>
      </c>
      <c r="I28" t="s">
        <v>37</v>
      </c>
      <c r="J28" s="27" t="s">
        <v>10</v>
      </c>
      <c r="K28" s="27" t="s">
        <v>38</v>
      </c>
      <c r="L28" s="27" t="s">
        <v>38</v>
      </c>
      <c r="M28" s="27">
        <v>0</v>
      </c>
      <c r="N28" t="s">
        <v>10</v>
      </c>
      <c r="O28" t="s">
        <v>45</v>
      </c>
      <c r="P28" t="s">
        <v>62</v>
      </c>
      <c r="Q28">
        <v>6</v>
      </c>
      <c r="R28" s="27" t="s">
        <v>13</v>
      </c>
      <c r="S28" s="27">
        <v>58</v>
      </c>
      <c r="T28" s="27">
        <v>58</v>
      </c>
      <c r="U28" s="27">
        <v>0</v>
      </c>
      <c r="V28" t="s">
        <v>10</v>
      </c>
      <c r="W28">
        <v>0.186</v>
      </c>
      <c r="X28">
        <v>0.18729999999999999</v>
      </c>
      <c r="Y28">
        <v>0.7</v>
      </c>
      <c r="Z28" s="27" t="s">
        <v>10</v>
      </c>
      <c r="AA28" s="27">
        <v>2961</v>
      </c>
      <c r="AB28" s="27">
        <v>2961</v>
      </c>
      <c r="AC28" s="27">
        <v>0</v>
      </c>
      <c r="AD28" t="s">
        <v>10</v>
      </c>
      <c r="AE28">
        <v>0</v>
      </c>
      <c r="AF28">
        <v>20.55</v>
      </c>
      <c r="AG28">
        <v>550.79999999999995</v>
      </c>
      <c r="AH28">
        <v>3.73</v>
      </c>
      <c r="AI28" t="s">
        <v>133</v>
      </c>
      <c r="AK28" t="s">
        <v>25</v>
      </c>
    </row>
    <row r="29" spans="1:39" x14ac:dyDescent="0.25">
      <c r="A29" t="s">
        <v>154</v>
      </c>
      <c r="B29">
        <v>181634</v>
      </c>
      <c r="C29" t="s">
        <v>27</v>
      </c>
      <c r="D29" t="s">
        <v>14</v>
      </c>
      <c r="E29" t="s">
        <v>11</v>
      </c>
      <c r="F29" t="s">
        <v>11</v>
      </c>
      <c r="G29">
        <v>290059</v>
      </c>
      <c r="H29" t="s">
        <v>36</v>
      </c>
      <c r="I29" t="s">
        <v>37</v>
      </c>
      <c r="J29" s="27" t="s">
        <v>10</v>
      </c>
      <c r="K29" s="27" t="s">
        <v>38</v>
      </c>
      <c r="L29" s="27" t="s">
        <v>38</v>
      </c>
      <c r="M29" s="27">
        <v>0</v>
      </c>
      <c r="N29" t="s">
        <v>10</v>
      </c>
      <c r="O29" t="s">
        <v>45</v>
      </c>
      <c r="P29" t="s">
        <v>38</v>
      </c>
      <c r="Q29">
        <v>9</v>
      </c>
      <c r="R29" s="27" t="s">
        <v>13</v>
      </c>
      <c r="S29" s="27">
        <v>58</v>
      </c>
      <c r="T29" s="27">
        <v>58</v>
      </c>
      <c r="U29" s="27">
        <v>0</v>
      </c>
      <c r="V29" t="s">
        <v>10</v>
      </c>
      <c r="W29">
        <v>0.186</v>
      </c>
      <c r="X29">
        <v>0.1867</v>
      </c>
      <c r="Y29">
        <v>0.38</v>
      </c>
      <c r="Z29" s="27" t="s">
        <v>10</v>
      </c>
      <c r="AA29" s="27">
        <v>2963</v>
      </c>
      <c r="AB29" s="27">
        <v>2963</v>
      </c>
      <c r="AC29" s="27">
        <v>0</v>
      </c>
      <c r="AD29" t="s">
        <v>10</v>
      </c>
      <c r="AE29">
        <v>0</v>
      </c>
      <c r="AF29">
        <v>43.02</v>
      </c>
      <c r="AG29">
        <v>551.20000000000005</v>
      </c>
      <c r="AH29">
        <v>7.8</v>
      </c>
      <c r="AI29" t="s">
        <v>133</v>
      </c>
      <c r="AK29" t="s">
        <v>25</v>
      </c>
    </row>
    <row r="30" spans="1:39" x14ac:dyDescent="0.25">
      <c r="A30" t="s">
        <v>154</v>
      </c>
      <c r="B30">
        <v>181634</v>
      </c>
      <c r="C30" t="s">
        <v>27</v>
      </c>
      <c r="D30" t="s">
        <v>14</v>
      </c>
      <c r="E30" t="s">
        <v>11</v>
      </c>
      <c r="F30" t="s">
        <v>11</v>
      </c>
      <c r="G30">
        <v>293262</v>
      </c>
      <c r="H30" t="s">
        <v>36</v>
      </c>
      <c r="I30" t="s">
        <v>107</v>
      </c>
      <c r="J30" s="27" t="s">
        <v>10</v>
      </c>
      <c r="K30" s="27" t="s">
        <v>38</v>
      </c>
      <c r="L30" s="27"/>
      <c r="M30" s="27"/>
      <c r="N30" t="s">
        <v>10</v>
      </c>
      <c r="O30" t="s">
        <v>45</v>
      </c>
      <c r="R30" s="27" t="s">
        <v>13</v>
      </c>
      <c r="S30" s="27">
        <v>58</v>
      </c>
      <c r="T30" s="27"/>
      <c r="U30" s="27"/>
      <c r="V30" t="s">
        <v>10</v>
      </c>
      <c r="W30">
        <v>0.186</v>
      </c>
      <c r="X30">
        <v>0</v>
      </c>
      <c r="Z30" s="27" t="s">
        <v>10</v>
      </c>
      <c r="AA30" s="27">
        <v>0</v>
      </c>
      <c r="AB30" s="27">
        <v>0</v>
      </c>
      <c r="AC30" s="27"/>
      <c r="AD30" t="s">
        <v>10</v>
      </c>
      <c r="AE30">
        <v>0</v>
      </c>
      <c r="AF30">
        <v>0</v>
      </c>
      <c r="AG30">
        <v>0</v>
      </c>
      <c r="AI30" t="s">
        <v>133</v>
      </c>
      <c r="AK30" t="s">
        <v>25</v>
      </c>
      <c r="AM30" t="s">
        <v>148</v>
      </c>
    </row>
    <row r="31" spans="1:39" x14ac:dyDescent="0.25">
      <c r="A31" t="s">
        <v>156</v>
      </c>
      <c r="B31">
        <v>181572</v>
      </c>
      <c r="C31" t="s">
        <v>125</v>
      </c>
      <c r="D31" t="s">
        <v>66</v>
      </c>
      <c r="E31" t="s">
        <v>9</v>
      </c>
      <c r="F31" t="s">
        <v>9</v>
      </c>
      <c r="G31">
        <v>295580</v>
      </c>
      <c r="H31" t="s">
        <v>67</v>
      </c>
      <c r="I31" t="s">
        <v>68</v>
      </c>
      <c r="J31" s="27" t="s">
        <v>12</v>
      </c>
      <c r="K31" s="27" t="s">
        <v>38</v>
      </c>
      <c r="L31" s="27" t="s">
        <v>62</v>
      </c>
      <c r="M31" s="27">
        <v>-3</v>
      </c>
      <c r="N31" t="s">
        <v>12</v>
      </c>
      <c r="O31" t="s">
        <v>35</v>
      </c>
      <c r="P31" t="s">
        <v>62</v>
      </c>
      <c r="Q31">
        <v>-4</v>
      </c>
      <c r="R31" s="27"/>
      <c r="S31" s="27">
        <v>0</v>
      </c>
      <c r="T31" s="27">
        <v>57.091428571428999</v>
      </c>
      <c r="U31" s="27"/>
      <c r="V31" t="s">
        <v>12</v>
      </c>
      <c r="W31">
        <v>0.879</v>
      </c>
      <c r="X31">
        <v>0.87129999999999996</v>
      </c>
      <c r="Y31">
        <v>-0.88</v>
      </c>
      <c r="Z31" s="27" t="s">
        <v>12</v>
      </c>
      <c r="AA31" s="27">
        <v>272</v>
      </c>
      <c r="AB31" s="27">
        <v>0</v>
      </c>
      <c r="AC31" s="27"/>
      <c r="AD31" t="s">
        <v>12</v>
      </c>
      <c r="AE31">
        <v>0</v>
      </c>
      <c r="AF31">
        <v>36.9</v>
      </c>
      <c r="AG31">
        <v>0</v>
      </c>
      <c r="AI31" t="s">
        <v>133</v>
      </c>
      <c r="AK31" t="s">
        <v>25</v>
      </c>
      <c r="AM31" t="s">
        <v>157</v>
      </c>
    </row>
    <row r="32" spans="1:39" x14ac:dyDescent="0.25">
      <c r="A32" t="s">
        <v>156</v>
      </c>
      <c r="B32">
        <v>181572</v>
      </c>
      <c r="C32" t="s">
        <v>125</v>
      </c>
      <c r="D32" t="s">
        <v>66</v>
      </c>
      <c r="E32" t="s">
        <v>9</v>
      </c>
      <c r="F32" t="s">
        <v>9</v>
      </c>
      <c r="G32">
        <v>295581</v>
      </c>
      <c r="H32" t="s">
        <v>67</v>
      </c>
      <c r="I32" t="s">
        <v>108</v>
      </c>
      <c r="J32" s="27" t="s">
        <v>12</v>
      </c>
      <c r="K32" s="27" t="s">
        <v>38</v>
      </c>
      <c r="L32" s="27" t="s">
        <v>62</v>
      </c>
      <c r="M32" s="27">
        <v>-3</v>
      </c>
      <c r="N32" t="s">
        <v>12</v>
      </c>
      <c r="O32" t="s">
        <v>35</v>
      </c>
      <c r="R32" s="27"/>
      <c r="S32" s="27">
        <v>0</v>
      </c>
      <c r="T32" s="27"/>
      <c r="U32" s="27"/>
      <c r="V32" t="s">
        <v>12</v>
      </c>
      <c r="W32">
        <v>0.70299999999999996</v>
      </c>
      <c r="X32">
        <v>0</v>
      </c>
      <c r="Z32" s="27" t="s">
        <v>12</v>
      </c>
      <c r="AA32" s="27">
        <v>295</v>
      </c>
      <c r="AB32" s="27">
        <v>0</v>
      </c>
      <c r="AC32" s="27"/>
      <c r="AD32" t="s">
        <v>12</v>
      </c>
      <c r="AE32">
        <v>0</v>
      </c>
      <c r="AF32">
        <v>0</v>
      </c>
      <c r="AG32">
        <v>0</v>
      </c>
      <c r="AI32" t="s">
        <v>133</v>
      </c>
      <c r="AK32" t="s">
        <v>25</v>
      </c>
      <c r="AM32" t="s">
        <v>157</v>
      </c>
    </row>
    <row r="33" spans="1:39" hidden="1" x14ac:dyDescent="0.25">
      <c r="A33" t="s">
        <v>156</v>
      </c>
      <c r="B33">
        <v>181572</v>
      </c>
      <c r="C33" t="s">
        <v>125</v>
      </c>
      <c r="D33" t="s">
        <v>66</v>
      </c>
      <c r="E33" t="s">
        <v>9</v>
      </c>
      <c r="F33" t="s">
        <v>9</v>
      </c>
      <c r="G33">
        <v>295583</v>
      </c>
      <c r="H33" t="s">
        <v>158</v>
      </c>
      <c r="I33" t="s">
        <v>159</v>
      </c>
      <c r="J33" s="27" t="s">
        <v>12</v>
      </c>
      <c r="K33" s="27" t="s">
        <v>38</v>
      </c>
      <c r="L33" s="27" t="s">
        <v>62</v>
      </c>
      <c r="M33" s="27">
        <v>-3</v>
      </c>
      <c r="N33" t="s">
        <v>12</v>
      </c>
      <c r="O33" t="s">
        <v>35</v>
      </c>
      <c r="R33" s="27"/>
      <c r="S33" s="27">
        <v>0</v>
      </c>
      <c r="T33" s="27"/>
      <c r="U33" s="27"/>
      <c r="V33" t="s">
        <v>12</v>
      </c>
      <c r="W33">
        <v>5.1999999999999998E-2</v>
      </c>
      <c r="X33">
        <v>0</v>
      </c>
      <c r="Z33" s="27" t="s">
        <v>12</v>
      </c>
      <c r="AA33" s="27">
        <v>308</v>
      </c>
      <c r="AB33" s="27">
        <v>288</v>
      </c>
      <c r="AC33" s="27">
        <v>-6.49</v>
      </c>
      <c r="AD33" t="s">
        <v>12</v>
      </c>
      <c r="AE33">
        <v>0</v>
      </c>
      <c r="AF33">
        <v>0</v>
      </c>
      <c r="AG33">
        <v>15</v>
      </c>
      <c r="AH33">
        <v>0</v>
      </c>
      <c r="AI33" t="s">
        <v>133</v>
      </c>
      <c r="AK33" t="s">
        <v>153</v>
      </c>
      <c r="AM33" t="s">
        <v>157</v>
      </c>
    </row>
    <row r="34" spans="1:39" x14ac:dyDescent="0.25">
      <c r="A34" t="s">
        <v>160</v>
      </c>
      <c r="B34">
        <v>181571</v>
      </c>
      <c r="C34" t="s">
        <v>125</v>
      </c>
      <c r="D34" t="s">
        <v>66</v>
      </c>
      <c r="E34" t="s">
        <v>9</v>
      </c>
      <c r="F34" t="s">
        <v>9</v>
      </c>
      <c r="G34">
        <v>295580</v>
      </c>
      <c r="H34" t="s">
        <v>67</v>
      </c>
      <c r="I34" t="s">
        <v>68</v>
      </c>
      <c r="J34" s="27" t="s">
        <v>12</v>
      </c>
      <c r="K34" s="27" t="s">
        <v>38</v>
      </c>
      <c r="L34" s="27" t="s">
        <v>62</v>
      </c>
      <c r="M34" s="27">
        <v>-3</v>
      </c>
      <c r="N34" t="s">
        <v>12</v>
      </c>
      <c r="O34" t="s">
        <v>40</v>
      </c>
      <c r="R34" s="27"/>
      <c r="S34" s="27">
        <v>0</v>
      </c>
      <c r="T34" s="27"/>
      <c r="U34" s="27"/>
      <c r="V34" t="s">
        <v>12</v>
      </c>
      <c r="W34">
        <v>0.73699999999999999</v>
      </c>
      <c r="X34">
        <v>0</v>
      </c>
      <c r="Z34" s="27" t="s">
        <v>12</v>
      </c>
      <c r="AA34" s="27">
        <v>391</v>
      </c>
      <c r="AB34" s="27">
        <v>391</v>
      </c>
      <c r="AC34" s="27">
        <v>0</v>
      </c>
      <c r="AD34" t="s">
        <v>12</v>
      </c>
      <c r="AE34">
        <v>0</v>
      </c>
      <c r="AF34">
        <v>0</v>
      </c>
      <c r="AG34">
        <v>287.81</v>
      </c>
      <c r="AH34">
        <v>0</v>
      </c>
      <c r="AI34" t="s">
        <v>133</v>
      </c>
      <c r="AK34" t="s">
        <v>25</v>
      </c>
      <c r="AM34" t="s">
        <v>161</v>
      </c>
    </row>
    <row r="35" spans="1:39" x14ac:dyDescent="0.25">
      <c r="A35" t="s">
        <v>160</v>
      </c>
      <c r="B35">
        <v>181571</v>
      </c>
      <c r="C35" t="s">
        <v>125</v>
      </c>
      <c r="D35" t="s">
        <v>66</v>
      </c>
      <c r="E35" t="s">
        <v>9</v>
      </c>
      <c r="F35" t="s">
        <v>9</v>
      </c>
      <c r="G35">
        <v>295581</v>
      </c>
      <c r="H35" t="s">
        <v>67</v>
      </c>
      <c r="I35" t="s">
        <v>108</v>
      </c>
      <c r="J35" s="27" t="s">
        <v>12</v>
      </c>
      <c r="K35" s="27" t="s">
        <v>38</v>
      </c>
      <c r="L35" s="27" t="s">
        <v>62</v>
      </c>
      <c r="M35" s="27">
        <v>-3</v>
      </c>
      <c r="N35" t="s">
        <v>12</v>
      </c>
      <c r="O35" t="s">
        <v>40</v>
      </c>
      <c r="R35" s="27"/>
      <c r="S35" s="27">
        <v>0</v>
      </c>
      <c r="T35" s="27"/>
      <c r="U35" s="27"/>
      <c r="V35" t="s">
        <v>12</v>
      </c>
      <c r="W35">
        <v>0.65200000000000002</v>
      </c>
      <c r="X35">
        <v>0</v>
      </c>
      <c r="Z35" s="27" t="s">
        <v>12</v>
      </c>
      <c r="AA35" s="27">
        <v>144</v>
      </c>
      <c r="AB35" s="27">
        <v>7</v>
      </c>
      <c r="AC35" s="27">
        <v>-95.14</v>
      </c>
      <c r="AD35" t="s">
        <v>12</v>
      </c>
      <c r="AE35">
        <v>0</v>
      </c>
      <c r="AF35">
        <v>0</v>
      </c>
      <c r="AG35">
        <v>4.63</v>
      </c>
      <c r="AH35">
        <v>0</v>
      </c>
      <c r="AI35" t="s">
        <v>133</v>
      </c>
      <c r="AK35" t="s">
        <v>25</v>
      </c>
      <c r="AM35" t="s">
        <v>161</v>
      </c>
    </row>
    <row r="36" spans="1:39" hidden="1" x14ac:dyDescent="0.25">
      <c r="A36" t="s">
        <v>160</v>
      </c>
      <c r="B36">
        <v>181571</v>
      </c>
      <c r="C36" t="s">
        <v>125</v>
      </c>
      <c r="D36" t="s">
        <v>66</v>
      </c>
      <c r="E36" t="s">
        <v>9</v>
      </c>
      <c r="F36" t="s">
        <v>9</v>
      </c>
      <c r="G36">
        <v>295583</v>
      </c>
      <c r="H36" t="s">
        <v>158</v>
      </c>
      <c r="I36" t="s">
        <v>159</v>
      </c>
      <c r="J36" s="27" t="s">
        <v>12</v>
      </c>
      <c r="K36" s="27" t="s">
        <v>38</v>
      </c>
      <c r="L36" s="27" t="s">
        <v>62</v>
      </c>
      <c r="M36" s="27">
        <v>-3</v>
      </c>
      <c r="N36" t="s">
        <v>12</v>
      </c>
      <c r="O36" t="s">
        <v>40</v>
      </c>
      <c r="R36" s="27"/>
      <c r="S36" s="27">
        <v>0</v>
      </c>
      <c r="T36" s="27"/>
      <c r="U36" s="27"/>
      <c r="V36" t="s">
        <v>12</v>
      </c>
      <c r="W36">
        <v>5.1999999999999998E-2</v>
      </c>
      <c r="X36">
        <v>0</v>
      </c>
      <c r="Z36" s="27" t="s">
        <v>12</v>
      </c>
      <c r="AA36" s="27">
        <v>769</v>
      </c>
      <c r="AB36" s="27">
        <v>731</v>
      </c>
      <c r="AC36" s="27">
        <v>-4.9400000000000004</v>
      </c>
      <c r="AD36" t="s">
        <v>12</v>
      </c>
      <c r="AE36">
        <v>0</v>
      </c>
      <c r="AF36">
        <v>0</v>
      </c>
      <c r="AG36">
        <v>38</v>
      </c>
      <c r="AH36">
        <v>0</v>
      </c>
      <c r="AI36" t="s">
        <v>133</v>
      </c>
      <c r="AK36" t="s">
        <v>153</v>
      </c>
      <c r="AM36" t="s">
        <v>161</v>
      </c>
    </row>
    <row r="37" spans="1:39" x14ac:dyDescent="0.25">
      <c r="A37" t="s">
        <v>162</v>
      </c>
      <c r="B37">
        <v>181592</v>
      </c>
      <c r="C37" t="s">
        <v>27</v>
      </c>
      <c r="D37" t="s">
        <v>14</v>
      </c>
      <c r="E37" t="s">
        <v>9</v>
      </c>
      <c r="F37" t="s">
        <v>9</v>
      </c>
      <c r="G37">
        <v>295030</v>
      </c>
      <c r="H37" t="s">
        <v>36</v>
      </c>
      <c r="I37" t="s">
        <v>69</v>
      </c>
      <c r="J37" s="27" t="s">
        <v>12</v>
      </c>
      <c r="K37" s="27" t="s">
        <v>70</v>
      </c>
      <c r="L37" s="27"/>
      <c r="M37" s="27"/>
      <c r="N37" t="s">
        <v>12</v>
      </c>
      <c r="O37" t="s">
        <v>32</v>
      </c>
      <c r="R37" s="27" t="s">
        <v>13</v>
      </c>
      <c r="S37" s="27">
        <v>0</v>
      </c>
      <c r="T37" s="27"/>
      <c r="U37" s="27"/>
      <c r="V37" t="s">
        <v>12</v>
      </c>
      <c r="W37">
        <v>0.34399999999999997</v>
      </c>
      <c r="X37">
        <v>0</v>
      </c>
      <c r="Z37" s="27" t="s">
        <v>12</v>
      </c>
      <c r="AA37" s="27">
        <v>393</v>
      </c>
      <c r="AB37" s="27">
        <v>0</v>
      </c>
      <c r="AC37" s="27"/>
      <c r="AD37" t="s">
        <v>12</v>
      </c>
      <c r="AE37">
        <v>0</v>
      </c>
      <c r="AF37">
        <v>0</v>
      </c>
      <c r="AG37">
        <v>0</v>
      </c>
      <c r="AI37" t="s">
        <v>134</v>
      </c>
      <c r="AK37" t="s">
        <v>25</v>
      </c>
    </row>
    <row r="38" spans="1:39" x14ac:dyDescent="0.25">
      <c r="A38" t="s">
        <v>162</v>
      </c>
      <c r="B38">
        <v>181592</v>
      </c>
      <c r="C38" t="s">
        <v>27</v>
      </c>
      <c r="D38" t="s">
        <v>14</v>
      </c>
      <c r="E38" t="s">
        <v>9</v>
      </c>
      <c r="F38" t="s">
        <v>9</v>
      </c>
      <c r="G38">
        <v>295031</v>
      </c>
      <c r="H38" t="s">
        <v>36</v>
      </c>
      <c r="I38" t="s">
        <v>109</v>
      </c>
      <c r="J38" s="27" t="s">
        <v>12</v>
      </c>
      <c r="K38" s="27" t="s">
        <v>70</v>
      </c>
      <c r="L38" s="27"/>
      <c r="M38" s="27"/>
      <c r="N38" t="s">
        <v>12</v>
      </c>
      <c r="O38" t="s">
        <v>32</v>
      </c>
      <c r="R38" s="27" t="s">
        <v>13</v>
      </c>
      <c r="S38" s="27">
        <v>0</v>
      </c>
      <c r="T38" s="27"/>
      <c r="U38" s="27"/>
      <c r="V38" t="s">
        <v>12</v>
      </c>
      <c r="W38">
        <v>0.34399999999999997</v>
      </c>
      <c r="X38">
        <v>0</v>
      </c>
      <c r="Z38" s="27" t="s">
        <v>12</v>
      </c>
      <c r="AA38" s="27">
        <v>387</v>
      </c>
      <c r="AB38" s="27">
        <v>0</v>
      </c>
      <c r="AC38" s="27"/>
      <c r="AD38" t="s">
        <v>12</v>
      </c>
      <c r="AE38">
        <v>0</v>
      </c>
      <c r="AF38">
        <v>0</v>
      </c>
      <c r="AG38">
        <v>0</v>
      </c>
      <c r="AI38" t="s">
        <v>134</v>
      </c>
      <c r="AK38" t="s">
        <v>25</v>
      </c>
    </row>
    <row r="39" spans="1:39" x14ac:dyDescent="0.25">
      <c r="A39" t="s">
        <v>163</v>
      </c>
      <c r="B39">
        <v>181593</v>
      </c>
      <c r="C39" t="s">
        <v>27</v>
      </c>
      <c r="D39" t="s">
        <v>14</v>
      </c>
      <c r="E39" t="s">
        <v>9</v>
      </c>
      <c r="F39" t="s">
        <v>9</v>
      </c>
      <c r="G39">
        <v>294351</v>
      </c>
      <c r="H39" t="s">
        <v>36</v>
      </c>
      <c r="I39" t="s">
        <v>71</v>
      </c>
      <c r="J39" s="27" t="s">
        <v>12</v>
      </c>
      <c r="K39" s="27" t="s">
        <v>70</v>
      </c>
      <c r="L39" s="27"/>
      <c r="M39" s="27"/>
      <c r="N39" t="s">
        <v>12</v>
      </c>
      <c r="O39" t="s">
        <v>45</v>
      </c>
      <c r="R39" s="27" t="s">
        <v>13</v>
      </c>
      <c r="S39" s="27">
        <v>58</v>
      </c>
      <c r="T39" s="27"/>
      <c r="U39" s="27"/>
      <c r="V39" t="s">
        <v>12</v>
      </c>
      <c r="W39">
        <v>0.32900000000000001</v>
      </c>
      <c r="X39">
        <v>0</v>
      </c>
      <c r="Z39" s="27" t="s">
        <v>12</v>
      </c>
      <c r="AA39" s="27">
        <v>766</v>
      </c>
      <c r="AB39" s="27">
        <v>0</v>
      </c>
      <c r="AC39" s="27"/>
      <c r="AD39" t="s">
        <v>12</v>
      </c>
      <c r="AE39">
        <v>0</v>
      </c>
      <c r="AF39">
        <v>0</v>
      </c>
      <c r="AG39">
        <v>0</v>
      </c>
      <c r="AI39" t="s">
        <v>134</v>
      </c>
      <c r="AK39" t="s">
        <v>25</v>
      </c>
      <c r="AM39" t="s">
        <v>164</v>
      </c>
    </row>
    <row r="40" spans="1:39" x14ac:dyDescent="0.25">
      <c r="A40" t="s">
        <v>163</v>
      </c>
      <c r="B40">
        <v>181593</v>
      </c>
      <c r="C40" t="s">
        <v>27</v>
      </c>
      <c r="D40" t="s">
        <v>14</v>
      </c>
      <c r="E40" t="s">
        <v>9</v>
      </c>
      <c r="F40" t="s">
        <v>9</v>
      </c>
      <c r="G40">
        <v>294352</v>
      </c>
      <c r="H40" t="s">
        <v>50</v>
      </c>
      <c r="I40" t="s">
        <v>110</v>
      </c>
      <c r="J40" s="27" t="s">
        <v>12</v>
      </c>
      <c r="K40" s="27" t="s">
        <v>70</v>
      </c>
      <c r="L40" s="27"/>
      <c r="M40" s="27"/>
      <c r="N40" t="s">
        <v>12</v>
      </c>
      <c r="O40" t="s">
        <v>45</v>
      </c>
      <c r="R40" s="27" t="s">
        <v>13</v>
      </c>
      <c r="S40" s="27">
        <v>58</v>
      </c>
      <c r="T40" s="27"/>
      <c r="U40" s="27"/>
      <c r="V40" t="s">
        <v>12</v>
      </c>
      <c r="W40">
        <v>0.33700000000000002</v>
      </c>
      <c r="X40">
        <v>0</v>
      </c>
      <c r="Z40" s="27" t="s">
        <v>12</v>
      </c>
      <c r="AA40" s="27">
        <v>788</v>
      </c>
      <c r="AB40" s="27">
        <v>0</v>
      </c>
      <c r="AC40" s="27"/>
      <c r="AD40" t="s">
        <v>12</v>
      </c>
      <c r="AE40">
        <v>0</v>
      </c>
      <c r="AF40">
        <v>0</v>
      </c>
      <c r="AG40">
        <v>0</v>
      </c>
      <c r="AI40" t="s">
        <v>134</v>
      </c>
      <c r="AK40" t="s">
        <v>25</v>
      </c>
      <c r="AM40" t="s">
        <v>164</v>
      </c>
    </row>
    <row r="41" spans="1:39" x14ac:dyDescent="0.25">
      <c r="A41" t="s">
        <v>165</v>
      </c>
      <c r="B41">
        <v>181594</v>
      </c>
      <c r="C41" t="s">
        <v>27</v>
      </c>
      <c r="D41" t="s">
        <v>14</v>
      </c>
      <c r="E41" t="s">
        <v>9</v>
      </c>
      <c r="F41" t="s">
        <v>9</v>
      </c>
      <c r="G41">
        <v>295032</v>
      </c>
      <c r="H41" t="s">
        <v>36</v>
      </c>
      <c r="I41" t="s">
        <v>72</v>
      </c>
      <c r="J41" s="27" t="s">
        <v>12</v>
      </c>
      <c r="K41" s="27" t="s">
        <v>70</v>
      </c>
      <c r="L41" s="27"/>
      <c r="M41" s="27"/>
      <c r="N41" t="s">
        <v>12</v>
      </c>
      <c r="O41" t="s">
        <v>34</v>
      </c>
      <c r="R41" s="27" t="s">
        <v>13</v>
      </c>
      <c r="S41" s="27">
        <v>0</v>
      </c>
      <c r="T41" s="27"/>
      <c r="U41" s="27"/>
      <c r="V41" t="s">
        <v>12</v>
      </c>
      <c r="W41">
        <v>0.34200000000000003</v>
      </c>
      <c r="X41">
        <v>0</v>
      </c>
      <c r="Z41" s="27" t="s">
        <v>12</v>
      </c>
      <c r="AA41" s="27">
        <v>1890</v>
      </c>
      <c r="AB41" s="27">
        <v>0</v>
      </c>
      <c r="AC41" s="27"/>
      <c r="AD41" t="s">
        <v>12</v>
      </c>
      <c r="AE41">
        <v>0</v>
      </c>
      <c r="AF41">
        <v>0</v>
      </c>
      <c r="AG41">
        <v>0</v>
      </c>
      <c r="AI41" t="s">
        <v>134</v>
      </c>
      <c r="AK41" t="s">
        <v>25</v>
      </c>
    </row>
    <row r="42" spans="1:39" x14ac:dyDescent="0.25">
      <c r="A42" t="s">
        <v>165</v>
      </c>
      <c r="B42">
        <v>181594</v>
      </c>
      <c r="C42" t="s">
        <v>27</v>
      </c>
      <c r="D42" t="s">
        <v>14</v>
      </c>
      <c r="E42" t="s">
        <v>9</v>
      </c>
      <c r="F42" t="s">
        <v>9</v>
      </c>
      <c r="G42">
        <v>295033</v>
      </c>
      <c r="H42" t="s">
        <v>50</v>
      </c>
      <c r="I42" t="s">
        <v>111</v>
      </c>
      <c r="J42" s="27" t="s">
        <v>12</v>
      </c>
      <c r="K42" s="27" t="s">
        <v>70</v>
      </c>
      <c r="L42" s="27"/>
      <c r="M42" s="27"/>
      <c r="N42" t="s">
        <v>12</v>
      </c>
      <c r="O42" t="s">
        <v>34</v>
      </c>
      <c r="R42" s="27" t="s">
        <v>13</v>
      </c>
      <c r="S42" s="27">
        <v>0</v>
      </c>
      <c r="T42" s="27"/>
      <c r="U42" s="27"/>
      <c r="V42" t="s">
        <v>12</v>
      </c>
      <c r="W42">
        <v>0.34899999999999998</v>
      </c>
      <c r="X42">
        <v>0</v>
      </c>
      <c r="Z42" s="27" t="s">
        <v>12</v>
      </c>
      <c r="AA42" s="27">
        <v>1871</v>
      </c>
      <c r="AB42" s="27">
        <v>0</v>
      </c>
      <c r="AC42" s="27"/>
      <c r="AD42" t="s">
        <v>12</v>
      </c>
      <c r="AE42">
        <v>0</v>
      </c>
      <c r="AF42">
        <v>0</v>
      </c>
      <c r="AG42">
        <v>0</v>
      </c>
      <c r="AI42" t="s">
        <v>134</v>
      </c>
      <c r="AK42" t="s">
        <v>25</v>
      </c>
      <c r="AM42" t="s">
        <v>164</v>
      </c>
    </row>
    <row r="43" spans="1:39" x14ac:dyDescent="0.25">
      <c r="A43" t="s">
        <v>166</v>
      </c>
      <c r="B43">
        <v>181595</v>
      </c>
      <c r="C43" t="s">
        <v>27</v>
      </c>
      <c r="D43" t="s">
        <v>14</v>
      </c>
      <c r="E43" t="s">
        <v>9</v>
      </c>
      <c r="F43" t="s">
        <v>9</v>
      </c>
      <c r="G43">
        <v>267375</v>
      </c>
      <c r="H43" t="s">
        <v>73</v>
      </c>
      <c r="I43" t="s">
        <v>74</v>
      </c>
      <c r="J43" s="27" t="s">
        <v>12</v>
      </c>
      <c r="K43" s="27" t="s">
        <v>70</v>
      </c>
      <c r="L43" s="27"/>
      <c r="M43" s="27"/>
      <c r="N43" t="s">
        <v>12</v>
      </c>
      <c r="O43" t="s">
        <v>33</v>
      </c>
      <c r="R43" s="27" t="s">
        <v>13</v>
      </c>
      <c r="S43" s="27">
        <v>70</v>
      </c>
      <c r="T43" s="27"/>
      <c r="U43" s="27"/>
      <c r="V43" t="s">
        <v>12</v>
      </c>
      <c r="W43">
        <v>0</v>
      </c>
      <c r="X43">
        <v>0</v>
      </c>
      <c r="Z43" s="27" t="s">
        <v>12</v>
      </c>
      <c r="AA43" s="27">
        <v>0</v>
      </c>
      <c r="AB43" s="27">
        <v>0</v>
      </c>
      <c r="AC43" s="27"/>
      <c r="AD43" t="s">
        <v>12</v>
      </c>
      <c r="AE43">
        <v>0</v>
      </c>
      <c r="AF43">
        <v>0</v>
      </c>
      <c r="AG43">
        <v>0</v>
      </c>
      <c r="AI43" t="s">
        <v>134</v>
      </c>
      <c r="AK43" t="s">
        <v>25</v>
      </c>
      <c r="AM43" t="s">
        <v>167</v>
      </c>
    </row>
    <row r="44" spans="1:39" x14ac:dyDescent="0.25">
      <c r="A44" t="s">
        <v>166</v>
      </c>
      <c r="B44">
        <v>181595</v>
      </c>
      <c r="C44" t="s">
        <v>27</v>
      </c>
      <c r="D44" t="s">
        <v>14</v>
      </c>
      <c r="E44" t="s">
        <v>9</v>
      </c>
      <c r="F44" t="s">
        <v>9</v>
      </c>
      <c r="G44">
        <v>282190</v>
      </c>
      <c r="H44" t="s">
        <v>73</v>
      </c>
      <c r="I44" t="s">
        <v>112</v>
      </c>
      <c r="J44" s="27" t="s">
        <v>12</v>
      </c>
      <c r="K44" s="27" t="s">
        <v>70</v>
      </c>
      <c r="L44" s="27"/>
      <c r="M44" s="27"/>
      <c r="N44" t="s">
        <v>12</v>
      </c>
      <c r="O44" t="s">
        <v>33</v>
      </c>
      <c r="R44" s="27" t="s">
        <v>13</v>
      </c>
      <c r="S44" s="27">
        <v>70</v>
      </c>
      <c r="T44" s="27"/>
      <c r="U44" s="27"/>
      <c r="V44" t="s">
        <v>12</v>
      </c>
      <c r="W44">
        <v>0</v>
      </c>
      <c r="X44">
        <v>0</v>
      </c>
      <c r="Z44" s="27" t="s">
        <v>12</v>
      </c>
      <c r="AA44" s="27">
        <v>0</v>
      </c>
      <c r="AB44" s="27">
        <v>0</v>
      </c>
      <c r="AC44" s="27"/>
      <c r="AD44" t="s">
        <v>12</v>
      </c>
      <c r="AE44">
        <v>0</v>
      </c>
      <c r="AF44">
        <v>0</v>
      </c>
      <c r="AG44">
        <v>0</v>
      </c>
      <c r="AI44" t="s">
        <v>134</v>
      </c>
      <c r="AK44" t="s">
        <v>25</v>
      </c>
      <c r="AM44" t="s">
        <v>167</v>
      </c>
    </row>
    <row r="45" spans="1:39" x14ac:dyDescent="0.25">
      <c r="A45" t="s">
        <v>166</v>
      </c>
      <c r="B45">
        <v>181595</v>
      </c>
      <c r="C45" t="s">
        <v>27</v>
      </c>
      <c r="D45" t="s">
        <v>14</v>
      </c>
      <c r="E45" t="s">
        <v>9</v>
      </c>
      <c r="F45" t="s">
        <v>9</v>
      </c>
      <c r="G45">
        <v>267376</v>
      </c>
      <c r="H45" t="s">
        <v>73</v>
      </c>
      <c r="I45" t="s">
        <v>113</v>
      </c>
      <c r="J45" s="27" t="s">
        <v>12</v>
      </c>
      <c r="K45" s="27" t="s">
        <v>70</v>
      </c>
      <c r="L45" s="27"/>
      <c r="M45" s="27"/>
      <c r="N45" t="s">
        <v>12</v>
      </c>
      <c r="O45" t="s">
        <v>33</v>
      </c>
      <c r="R45" s="27" t="s">
        <v>13</v>
      </c>
      <c r="S45" s="27">
        <v>70</v>
      </c>
      <c r="T45" s="27"/>
      <c r="U45" s="27"/>
      <c r="V45" t="s">
        <v>12</v>
      </c>
      <c r="W45">
        <v>0</v>
      </c>
      <c r="X45">
        <v>0</v>
      </c>
      <c r="Z45" s="27" t="s">
        <v>12</v>
      </c>
      <c r="AA45" s="27">
        <v>0</v>
      </c>
      <c r="AB45" s="27">
        <v>0</v>
      </c>
      <c r="AC45" s="27"/>
      <c r="AD45" t="s">
        <v>12</v>
      </c>
      <c r="AE45">
        <v>0</v>
      </c>
      <c r="AF45">
        <v>0</v>
      </c>
      <c r="AG45">
        <v>0</v>
      </c>
      <c r="AI45" t="s">
        <v>134</v>
      </c>
      <c r="AK45" t="s">
        <v>25</v>
      </c>
      <c r="AM45" t="s">
        <v>167</v>
      </c>
    </row>
    <row r="46" spans="1:39" x14ac:dyDescent="0.25">
      <c r="A46" t="s">
        <v>166</v>
      </c>
      <c r="B46">
        <v>181595</v>
      </c>
      <c r="C46" t="s">
        <v>27</v>
      </c>
      <c r="D46" t="s">
        <v>14</v>
      </c>
      <c r="E46" t="s">
        <v>9</v>
      </c>
      <c r="F46" t="s">
        <v>9</v>
      </c>
      <c r="G46">
        <v>267379</v>
      </c>
      <c r="H46" t="s">
        <v>73</v>
      </c>
      <c r="I46" t="s">
        <v>114</v>
      </c>
      <c r="J46" s="27" t="s">
        <v>12</v>
      </c>
      <c r="K46" s="27" t="s">
        <v>70</v>
      </c>
      <c r="L46" s="27"/>
      <c r="M46" s="27"/>
      <c r="N46" t="s">
        <v>12</v>
      </c>
      <c r="O46" t="s">
        <v>33</v>
      </c>
      <c r="R46" s="27" t="s">
        <v>13</v>
      </c>
      <c r="S46" s="27">
        <v>70</v>
      </c>
      <c r="T46" s="27"/>
      <c r="U46" s="27"/>
      <c r="V46" t="s">
        <v>12</v>
      </c>
      <c r="W46">
        <v>0</v>
      </c>
      <c r="X46">
        <v>0</v>
      </c>
      <c r="Z46" s="27" t="s">
        <v>12</v>
      </c>
      <c r="AA46" s="27">
        <v>0</v>
      </c>
      <c r="AB46" s="27">
        <v>0</v>
      </c>
      <c r="AC46" s="27"/>
      <c r="AD46" t="s">
        <v>12</v>
      </c>
      <c r="AE46">
        <v>0</v>
      </c>
      <c r="AF46">
        <v>0</v>
      </c>
      <c r="AG46">
        <v>0</v>
      </c>
      <c r="AI46" t="s">
        <v>134</v>
      </c>
      <c r="AK46" t="s">
        <v>25</v>
      </c>
      <c r="AM46" t="s">
        <v>167</v>
      </c>
    </row>
    <row r="47" spans="1:39" x14ac:dyDescent="0.25">
      <c r="A47" t="s">
        <v>168</v>
      </c>
      <c r="B47">
        <v>181596</v>
      </c>
      <c r="C47" t="s">
        <v>27</v>
      </c>
      <c r="D47" t="s">
        <v>14</v>
      </c>
      <c r="E47" t="s">
        <v>9</v>
      </c>
      <c r="F47" t="s">
        <v>9</v>
      </c>
      <c r="G47">
        <v>295034</v>
      </c>
      <c r="H47" t="s">
        <v>50</v>
      </c>
      <c r="I47" t="s">
        <v>75</v>
      </c>
      <c r="J47" s="27" t="s">
        <v>12</v>
      </c>
      <c r="K47" s="27" t="s">
        <v>70</v>
      </c>
      <c r="L47" s="27"/>
      <c r="M47" s="27"/>
      <c r="N47" t="s">
        <v>12</v>
      </c>
      <c r="O47" t="s">
        <v>65</v>
      </c>
      <c r="R47" s="27" t="s">
        <v>13</v>
      </c>
      <c r="S47" s="27">
        <v>0</v>
      </c>
      <c r="T47" s="27"/>
      <c r="U47" s="27"/>
      <c r="V47" t="s">
        <v>12</v>
      </c>
      <c r="W47">
        <v>0.378</v>
      </c>
      <c r="X47">
        <v>0</v>
      </c>
      <c r="Z47" s="27" t="s">
        <v>12</v>
      </c>
      <c r="AA47" s="27">
        <v>372</v>
      </c>
      <c r="AB47" s="27">
        <v>0</v>
      </c>
      <c r="AC47" s="27"/>
      <c r="AD47" t="s">
        <v>12</v>
      </c>
      <c r="AE47">
        <v>0</v>
      </c>
      <c r="AF47">
        <v>0</v>
      </c>
      <c r="AG47">
        <v>0</v>
      </c>
      <c r="AI47" t="s">
        <v>134</v>
      </c>
      <c r="AK47" t="s">
        <v>25</v>
      </c>
      <c r="AM47" t="s">
        <v>169</v>
      </c>
    </row>
    <row r="48" spans="1:39" x14ac:dyDescent="0.25">
      <c r="A48" t="s">
        <v>170</v>
      </c>
      <c r="B48">
        <v>181597</v>
      </c>
      <c r="C48" t="s">
        <v>27</v>
      </c>
      <c r="D48" t="s">
        <v>14</v>
      </c>
      <c r="E48" t="s">
        <v>9</v>
      </c>
      <c r="F48" t="s">
        <v>9</v>
      </c>
      <c r="G48">
        <v>292731</v>
      </c>
      <c r="H48" t="s">
        <v>50</v>
      </c>
      <c r="I48" t="s">
        <v>76</v>
      </c>
      <c r="J48" s="27" t="s">
        <v>12</v>
      </c>
      <c r="K48" s="27" t="s">
        <v>70</v>
      </c>
      <c r="L48" s="27"/>
      <c r="M48" s="27"/>
      <c r="N48" t="s">
        <v>12</v>
      </c>
      <c r="O48" t="s">
        <v>65</v>
      </c>
      <c r="R48" s="27" t="s">
        <v>13</v>
      </c>
      <c r="S48" s="27">
        <v>58</v>
      </c>
      <c r="T48" s="27"/>
      <c r="U48" s="27"/>
      <c r="V48" t="s">
        <v>12</v>
      </c>
      <c r="W48">
        <v>0.34399999999999997</v>
      </c>
      <c r="X48">
        <v>0</v>
      </c>
      <c r="Z48" s="27" t="s">
        <v>12</v>
      </c>
      <c r="AA48" s="27">
        <v>1935</v>
      </c>
      <c r="AB48" s="27">
        <v>0</v>
      </c>
      <c r="AC48" s="27"/>
      <c r="AD48" t="s">
        <v>12</v>
      </c>
      <c r="AE48">
        <v>0</v>
      </c>
      <c r="AF48">
        <v>0</v>
      </c>
      <c r="AG48">
        <v>0</v>
      </c>
      <c r="AI48" t="s">
        <v>134</v>
      </c>
      <c r="AK48" t="s">
        <v>25</v>
      </c>
      <c r="AM48" t="s">
        <v>171</v>
      </c>
    </row>
    <row r="49" spans="1:39" x14ac:dyDescent="0.25">
      <c r="A49" t="s">
        <v>172</v>
      </c>
      <c r="B49">
        <v>181598</v>
      </c>
      <c r="C49" t="s">
        <v>27</v>
      </c>
      <c r="D49" t="s">
        <v>14</v>
      </c>
      <c r="E49" t="s">
        <v>9</v>
      </c>
      <c r="F49" t="s">
        <v>9</v>
      </c>
      <c r="G49">
        <v>292732</v>
      </c>
      <c r="H49" t="s">
        <v>50</v>
      </c>
      <c r="I49" t="s">
        <v>77</v>
      </c>
      <c r="J49" s="27" t="s">
        <v>12</v>
      </c>
      <c r="K49" s="27" t="s">
        <v>70</v>
      </c>
      <c r="L49" s="27"/>
      <c r="M49" s="27"/>
      <c r="N49" t="s">
        <v>12</v>
      </c>
      <c r="O49" t="s">
        <v>65</v>
      </c>
      <c r="R49" s="27" t="s">
        <v>13</v>
      </c>
      <c r="S49" s="27">
        <v>58</v>
      </c>
      <c r="T49" s="27"/>
      <c r="U49" s="27"/>
      <c r="V49" t="s">
        <v>12</v>
      </c>
      <c r="W49">
        <v>0.34399999999999997</v>
      </c>
      <c r="X49">
        <v>0</v>
      </c>
      <c r="Z49" s="27" t="s">
        <v>12</v>
      </c>
      <c r="AA49" s="27">
        <v>1989</v>
      </c>
      <c r="AB49" s="27">
        <v>0</v>
      </c>
      <c r="AC49" s="27"/>
      <c r="AD49" t="s">
        <v>12</v>
      </c>
      <c r="AE49">
        <v>0</v>
      </c>
      <c r="AF49">
        <v>0</v>
      </c>
      <c r="AG49">
        <v>0</v>
      </c>
      <c r="AI49" t="s">
        <v>134</v>
      </c>
      <c r="AK49" t="s">
        <v>25</v>
      </c>
      <c r="AM49" t="s">
        <v>171</v>
      </c>
    </row>
    <row r="50" spans="1:39" x14ac:dyDescent="0.25">
      <c r="A50" t="s">
        <v>173</v>
      </c>
      <c r="B50">
        <v>181599</v>
      </c>
      <c r="C50" t="s">
        <v>27</v>
      </c>
      <c r="D50" t="s">
        <v>14</v>
      </c>
      <c r="E50" t="s">
        <v>9</v>
      </c>
      <c r="F50" t="s">
        <v>9</v>
      </c>
      <c r="G50">
        <v>292733</v>
      </c>
      <c r="H50" t="s">
        <v>50</v>
      </c>
      <c r="I50" t="s">
        <v>78</v>
      </c>
      <c r="J50" s="27" t="s">
        <v>12</v>
      </c>
      <c r="K50" s="27" t="s">
        <v>70</v>
      </c>
      <c r="L50" s="27"/>
      <c r="M50" s="27"/>
      <c r="N50" t="s">
        <v>12</v>
      </c>
      <c r="O50" t="s">
        <v>38</v>
      </c>
      <c r="R50" s="27" t="s">
        <v>13</v>
      </c>
      <c r="S50" s="27">
        <v>58</v>
      </c>
      <c r="T50" s="27"/>
      <c r="U50" s="27"/>
      <c r="V50" t="s">
        <v>12</v>
      </c>
      <c r="W50">
        <v>0.34399999999999997</v>
      </c>
      <c r="X50">
        <v>0</v>
      </c>
      <c r="Z50" s="27" t="s">
        <v>12</v>
      </c>
      <c r="AA50" s="27">
        <v>1918</v>
      </c>
      <c r="AB50" s="27">
        <v>0</v>
      </c>
      <c r="AC50" s="27"/>
      <c r="AD50" t="s">
        <v>12</v>
      </c>
      <c r="AE50">
        <v>0</v>
      </c>
      <c r="AF50">
        <v>0</v>
      </c>
      <c r="AG50">
        <v>0</v>
      </c>
      <c r="AI50" t="s">
        <v>134</v>
      </c>
      <c r="AK50" t="s">
        <v>25</v>
      </c>
      <c r="AM50" t="s">
        <v>171</v>
      </c>
    </row>
    <row r="51" spans="1:39" x14ac:dyDescent="0.25">
      <c r="A51" t="s">
        <v>174</v>
      </c>
      <c r="B51">
        <v>181600</v>
      </c>
      <c r="C51" t="s">
        <v>27</v>
      </c>
      <c r="D51" t="s">
        <v>14</v>
      </c>
      <c r="E51" t="s">
        <v>9</v>
      </c>
      <c r="F51" t="s">
        <v>9</v>
      </c>
      <c r="G51">
        <v>292734</v>
      </c>
      <c r="H51" t="s">
        <v>50</v>
      </c>
      <c r="I51" t="s">
        <v>79</v>
      </c>
      <c r="J51" s="27" t="s">
        <v>12</v>
      </c>
      <c r="K51" s="27" t="s">
        <v>70</v>
      </c>
      <c r="L51" s="27"/>
      <c r="M51" s="27"/>
      <c r="N51" t="s">
        <v>12</v>
      </c>
      <c r="O51" t="s">
        <v>38</v>
      </c>
      <c r="R51" s="27" t="s">
        <v>13</v>
      </c>
      <c r="S51" s="27">
        <v>58</v>
      </c>
      <c r="T51" s="27"/>
      <c r="U51" s="27"/>
      <c r="V51" t="s">
        <v>12</v>
      </c>
      <c r="W51">
        <v>0.34399999999999997</v>
      </c>
      <c r="X51">
        <v>0</v>
      </c>
      <c r="Z51" s="27" t="s">
        <v>12</v>
      </c>
      <c r="AA51" s="27">
        <v>1930</v>
      </c>
      <c r="AB51" s="27">
        <v>0</v>
      </c>
      <c r="AC51" s="27"/>
      <c r="AD51" t="s">
        <v>12</v>
      </c>
      <c r="AE51">
        <v>0</v>
      </c>
      <c r="AF51">
        <v>0</v>
      </c>
      <c r="AG51">
        <v>0</v>
      </c>
      <c r="AI51" t="s">
        <v>134</v>
      </c>
      <c r="AK51" t="s">
        <v>25</v>
      </c>
      <c r="AM51" t="s">
        <v>171</v>
      </c>
    </row>
    <row r="52" spans="1:39" x14ac:dyDescent="0.25">
      <c r="A52" t="s">
        <v>175</v>
      </c>
      <c r="B52">
        <v>181602</v>
      </c>
      <c r="C52" t="s">
        <v>27</v>
      </c>
      <c r="D52" t="s">
        <v>14</v>
      </c>
      <c r="E52" t="s">
        <v>11</v>
      </c>
      <c r="F52" t="s">
        <v>11</v>
      </c>
      <c r="G52">
        <v>292581</v>
      </c>
      <c r="H52" t="s">
        <v>80</v>
      </c>
      <c r="I52" t="s">
        <v>81</v>
      </c>
      <c r="J52" s="27" t="s">
        <v>10</v>
      </c>
      <c r="K52" s="27" t="s">
        <v>70</v>
      </c>
      <c r="L52" s="27"/>
      <c r="M52" s="27"/>
      <c r="N52" t="s">
        <v>10</v>
      </c>
      <c r="O52" t="s">
        <v>45</v>
      </c>
      <c r="R52" s="27" t="s">
        <v>13</v>
      </c>
      <c r="S52" s="27">
        <v>58</v>
      </c>
      <c r="T52" s="27"/>
      <c r="U52" s="27"/>
      <c r="V52" t="s">
        <v>10</v>
      </c>
      <c r="W52">
        <v>0.371</v>
      </c>
      <c r="X52">
        <v>0</v>
      </c>
      <c r="Z52" s="27" t="s">
        <v>10</v>
      </c>
      <c r="AA52" s="27">
        <v>1567</v>
      </c>
      <c r="AB52" s="27">
        <v>0</v>
      </c>
      <c r="AC52" s="27"/>
      <c r="AD52" t="s">
        <v>10</v>
      </c>
      <c r="AE52">
        <v>0</v>
      </c>
      <c r="AF52">
        <v>0</v>
      </c>
      <c r="AG52">
        <v>0</v>
      </c>
      <c r="AI52" t="s">
        <v>134</v>
      </c>
      <c r="AK52" t="s">
        <v>25</v>
      </c>
      <c r="AM52" t="s">
        <v>176</v>
      </c>
    </row>
    <row r="53" spans="1:39" x14ac:dyDescent="0.25">
      <c r="A53" t="s">
        <v>175</v>
      </c>
      <c r="B53">
        <v>181602</v>
      </c>
      <c r="C53" t="s">
        <v>27</v>
      </c>
      <c r="D53" t="s">
        <v>14</v>
      </c>
      <c r="E53" t="s">
        <v>11</v>
      </c>
      <c r="F53" t="s">
        <v>11</v>
      </c>
      <c r="G53">
        <v>292582</v>
      </c>
      <c r="H53" t="s">
        <v>82</v>
      </c>
      <c r="I53" t="s">
        <v>115</v>
      </c>
      <c r="J53" s="27" t="s">
        <v>10</v>
      </c>
      <c r="K53" s="27" t="s">
        <v>70</v>
      </c>
      <c r="L53" s="27"/>
      <c r="M53" s="27"/>
      <c r="N53" t="s">
        <v>10</v>
      </c>
      <c r="O53" t="s">
        <v>45</v>
      </c>
      <c r="R53" s="27" t="s">
        <v>13</v>
      </c>
      <c r="S53" s="27">
        <v>58</v>
      </c>
      <c r="T53" s="27"/>
      <c r="U53" s="27"/>
      <c r="V53" t="s">
        <v>10</v>
      </c>
      <c r="W53">
        <v>0.371</v>
      </c>
      <c r="X53">
        <v>0</v>
      </c>
      <c r="Z53" s="27" t="s">
        <v>10</v>
      </c>
      <c r="AA53" s="27">
        <v>1564</v>
      </c>
      <c r="AB53" s="27">
        <v>0</v>
      </c>
      <c r="AC53" s="27"/>
      <c r="AD53" t="s">
        <v>10</v>
      </c>
      <c r="AE53">
        <v>0</v>
      </c>
      <c r="AF53">
        <v>0</v>
      </c>
      <c r="AG53">
        <v>0</v>
      </c>
      <c r="AI53" t="s">
        <v>134</v>
      </c>
      <c r="AK53" t="s">
        <v>25</v>
      </c>
      <c r="AM53" t="s">
        <v>176</v>
      </c>
    </row>
    <row r="54" spans="1:39" x14ac:dyDescent="0.25">
      <c r="A54" t="s">
        <v>175</v>
      </c>
      <c r="B54">
        <v>181602</v>
      </c>
      <c r="C54" t="s">
        <v>27</v>
      </c>
      <c r="D54" t="s">
        <v>14</v>
      </c>
      <c r="E54" t="s">
        <v>11</v>
      </c>
      <c r="F54" t="s">
        <v>11</v>
      </c>
      <c r="G54">
        <v>292578</v>
      </c>
      <c r="H54" t="s">
        <v>82</v>
      </c>
      <c r="I54" t="s">
        <v>83</v>
      </c>
      <c r="J54" s="27" t="s">
        <v>10</v>
      </c>
      <c r="K54" s="27" t="s">
        <v>70</v>
      </c>
      <c r="L54" s="27"/>
      <c r="M54" s="27"/>
      <c r="N54" t="s">
        <v>10</v>
      </c>
      <c r="O54" t="s">
        <v>45</v>
      </c>
      <c r="R54" s="27" t="s">
        <v>13</v>
      </c>
      <c r="S54" s="27">
        <v>58</v>
      </c>
      <c r="T54" s="27"/>
      <c r="U54" s="27"/>
      <c r="V54" t="s">
        <v>10</v>
      </c>
      <c r="W54">
        <v>0.371</v>
      </c>
      <c r="X54">
        <v>0</v>
      </c>
      <c r="Z54" s="27" t="s">
        <v>10</v>
      </c>
      <c r="AA54" s="27">
        <v>1555</v>
      </c>
      <c r="AB54" s="27">
        <v>0</v>
      </c>
      <c r="AC54" s="27"/>
      <c r="AD54" t="s">
        <v>10</v>
      </c>
      <c r="AE54">
        <v>0</v>
      </c>
      <c r="AF54">
        <v>0</v>
      </c>
      <c r="AG54">
        <v>0</v>
      </c>
      <c r="AI54" t="s">
        <v>134</v>
      </c>
      <c r="AK54" t="s">
        <v>25</v>
      </c>
      <c r="AM54" t="s">
        <v>176</v>
      </c>
    </row>
    <row r="55" spans="1:39" x14ac:dyDescent="0.25">
      <c r="A55" t="s">
        <v>177</v>
      </c>
      <c r="B55">
        <v>181603</v>
      </c>
      <c r="C55" t="s">
        <v>27</v>
      </c>
      <c r="D55" t="s">
        <v>14</v>
      </c>
      <c r="E55" t="s">
        <v>11</v>
      </c>
      <c r="F55" t="s">
        <v>11</v>
      </c>
      <c r="G55">
        <v>292581</v>
      </c>
      <c r="H55" t="s">
        <v>80</v>
      </c>
      <c r="I55" t="s">
        <v>81</v>
      </c>
      <c r="J55" s="27" t="s">
        <v>10</v>
      </c>
      <c r="K55" s="27" t="s">
        <v>70</v>
      </c>
      <c r="L55" s="27"/>
      <c r="M55" s="27"/>
      <c r="N55" t="s">
        <v>10</v>
      </c>
      <c r="O55" t="s">
        <v>45</v>
      </c>
      <c r="R55" s="27" t="s">
        <v>13</v>
      </c>
      <c r="S55" s="27">
        <v>58</v>
      </c>
      <c r="T55" s="27"/>
      <c r="U55" s="27"/>
      <c r="V55" t="s">
        <v>10</v>
      </c>
      <c r="W55">
        <v>0.439</v>
      </c>
      <c r="X55">
        <v>0</v>
      </c>
      <c r="Z55" s="27" t="s">
        <v>10</v>
      </c>
      <c r="AA55" s="27">
        <v>364</v>
      </c>
      <c r="AB55" s="27">
        <v>0</v>
      </c>
      <c r="AC55" s="27"/>
      <c r="AD55" t="s">
        <v>10</v>
      </c>
      <c r="AE55">
        <v>0</v>
      </c>
      <c r="AF55">
        <v>0</v>
      </c>
      <c r="AG55">
        <v>0</v>
      </c>
      <c r="AI55" t="s">
        <v>134</v>
      </c>
      <c r="AK55" t="s">
        <v>25</v>
      </c>
    </row>
    <row r="56" spans="1:39" x14ac:dyDescent="0.25">
      <c r="A56" t="s">
        <v>177</v>
      </c>
      <c r="B56">
        <v>181603</v>
      </c>
      <c r="C56" t="s">
        <v>27</v>
      </c>
      <c r="D56" t="s">
        <v>14</v>
      </c>
      <c r="E56" t="s">
        <v>11</v>
      </c>
      <c r="F56" t="s">
        <v>11</v>
      </c>
      <c r="G56">
        <v>292582</v>
      </c>
      <c r="H56" t="s">
        <v>82</v>
      </c>
      <c r="I56" t="s">
        <v>115</v>
      </c>
      <c r="J56" s="27" t="s">
        <v>10</v>
      </c>
      <c r="K56" s="27" t="s">
        <v>70</v>
      </c>
      <c r="L56" s="27"/>
      <c r="M56" s="27"/>
      <c r="N56" t="s">
        <v>10</v>
      </c>
      <c r="O56" t="s">
        <v>45</v>
      </c>
      <c r="R56" s="27" t="s">
        <v>13</v>
      </c>
      <c r="S56" s="27">
        <v>58</v>
      </c>
      <c r="T56" s="27"/>
      <c r="U56" s="27"/>
      <c r="V56" t="s">
        <v>10</v>
      </c>
      <c r="W56">
        <v>0.439</v>
      </c>
      <c r="X56">
        <v>0</v>
      </c>
      <c r="Z56" s="27" t="s">
        <v>10</v>
      </c>
      <c r="AA56" s="27">
        <v>364</v>
      </c>
      <c r="AB56" s="27">
        <v>0</v>
      </c>
      <c r="AC56" s="27"/>
      <c r="AD56" t="s">
        <v>10</v>
      </c>
      <c r="AE56">
        <v>0</v>
      </c>
      <c r="AF56">
        <v>0</v>
      </c>
      <c r="AG56">
        <v>0</v>
      </c>
      <c r="AI56" t="s">
        <v>134</v>
      </c>
      <c r="AK56" t="s">
        <v>25</v>
      </c>
    </row>
    <row r="57" spans="1:39" x14ac:dyDescent="0.25">
      <c r="A57" t="s">
        <v>177</v>
      </c>
      <c r="B57">
        <v>181603</v>
      </c>
      <c r="C57" t="s">
        <v>27</v>
      </c>
      <c r="D57" t="s">
        <v>14</v>
      </c>
      <c r="E57" t="s">
        <v>11</v>
      </c>
      <c r="F57" t="s">
        <v>11</v>
      </c>
      <c r="G57">
        <v>292578</v>
      </c>
      <c r="H57" t="s">
        <v>82</v>
      </c>
      <c r="I57" t="s">
        <v>83</v>
      </c>
      <c r="J57" s="27" t="s">
        <v>10</v>
      </c>
      <c r="K57" s="27" t="s">
        <v>70</v>
      </c>
      <c r="L57" s="27"/>
      <c r="M57" s="27"/>
      <c r="N57" t="s">
        <v>10</v>
      </c>
      <c r="O57" t="s">
        <v>45</v>
      </c>
      <c r="R57" s="27" t="s">
        <v>13</v>
      </c>
      <c r="S57" s="27">
        <v>58</v>
      </c>
      <c r="T57" s="27"/>
      <c r="U57" s="27"/>
      <c r="V57" t="s">
        <v>10</v>
      </c>
      <c r="W57">
        <v>0.439</v>
      </c>
      <c r="X57">
        <v>0</v>
      </c>
      <c r="Z57" s="27" t="s">
        <v>10</v>
      </c>
      <c r="AA57" s="27">
        <v>362</v>
      </c>
      <c r="AB57" s="27">
        <v>0</v>
      </c>
      <c r="AC57" s="27"/>
      <c r="AD57" t="s">
        <v>10</v>
      </c>
      <c r="AE57">
        <v>0</v>
      </c>
      <c r="AF57">
        <v>0</v>
      </c>
      <c r="AG57">
        <v>0</v>
      </c>
      <c r="AI57" t="s">
        <v>134</v>
      </c>
      <c r="AK57" t="s">
        <v>25</v>
      </c>
    </row>
    <row r="58" spans="1:39" x14ac:dyDescent="0.25">
      <c r="A58" t="s">
        <v>178</v>
      </c>
      <c r="B58">
        <v>181604</v>
      </c>
      <c r="C58" t="s">
        <v>27</v>
      </c>
      <c r="D58" t="s">
        <v>14</v>
      </c>
      <c r="E58" t="s">
        <v>11</v>
      </c>
      <c r="F58" t="s">
        <v>11</v>
      </c>
      <c r="G58">
        <v>292578</v>
      </c>
      <c r="H58" t="s">
        <v>82</v>
      </c>
      <c r="I58" t="s">
        <v>83</v>
      </c>
      <c r="J58" s="27" t="s">
        <v>10</v>
      </c>
      <c r="K58" s="27" t="s">
        <v>70</v>
      </c>
      <c r="L58" s="27"/>
      <c r="M58" s="27"/>
      <c r="N58" t="s">
        <v>10</v>
      </c>
      <c r="O58" t="s">
        <v>45</v>
      </c>
      <c r="R58" s="27" t="s">
        <v>13</v>
      </c>
      <c r="S58" s="27">
        <v>58</v>
      </c>
      <c r="T58" s="27"/>
      <c r="U58" s="27"/>
      <c r="V58" t="s">
        <v>10</v>
      </c>
      <c r="W58">
        <v>0.36799999999999999</v>
      </c>
      <c r="X58">
        <v>0</v>
      </c>
      <c r="Z58" s="27" t="s">
        <v>10</v>
      </c>
      <c r="AA58" s="27">
        <v>2037</v>
      </c>
      <c r="AB58" s="27">
        <v>0</v>
      </c>
      <c r="AC58" s="27"/>
      <c r="AD58" t="s">
        <v>10</v>
      </c>
      <c r="AE58">
        <v>0</v>
      </c>
      <c r="AF58">
        <v>0</v>
      </c>
      <c r="AG58">
        <v>0</v>
      </c>
      <c r="AI58" t="s">
        <v>134</v>
      </c>
      <c r="AK58" t="s">
        <v>25</v>
      </c>
      <c r="AM58" t="s">
        <v>176</v>
      </c>
    </row>
    <row r="59" spans="1:39" x14ac:dyDescent="0.25">
      <c r="A59" t="s">
        <v>178</v>
      </c>
      <c r="B59">
        <v>181604</v>
      </c>
      <c r="C59" t="s">
        <v>27</v>
      </c>
      <c r="D59" t="s">
        <v>14</v>
      </c>
      <c r="E59" t="s">
        <v>11</v>
      </c>
      <c r="F59" t="s">
        <v>11</v>
      </c>
      <c r="G59">
        <v>292582</v>
      </c>
      <c r="H59" t="s">
        <v>82</v>
      </c>
      <c r="I59" t="s">
        <v>115</v>
      </c>
      <c r="J59" s="27" t="s">
        <v>10</v>
      </c>
      <c r="K59" s="27" t="s">
        <v>70</v>
      </c>
      <c r="L59" s="27"/>
      <c r="M59" s="27"/>
      <c r="N59" t="s">
        <v>10</v>
      </c>
      <c r="O59" t="s">
        <v>45</v>
      </c>
      <c r="R59" s="27" t="s">
        <v>13</v>
      </c>
      <c r="S59" s="27">
        <v>58</v>
      </c>
      <c r="T59" s="27"/>
      <c r="U59" s="27"/>
      <c r="V59" t="s">
        <v>10</v>
      </c>
      <c r="W59">
        <v>0.36799999999999999</v>
      </c>
      <c r="X59">
        <v>0</v>
      </c>
      <c r="Z59" s="27" t="s">
        <v>10</v>
      </c>
      <c r="AA59" s="27">
        <v>2027</v>
      </c>
      <c r="AB59" s="27">
        <v>0</v>
      </c>
      <c r="AC59" s="27"/>
      <c r="AD59" t="s">
        <v>10</v>
      </c>
      <c r="AE59">
        <v>0</v>
      </c>
      <c r="AF59">
        <v>0</v>
      </c>
      <c r="AG59">
        <v>0</v>
      </c>
      <c r="AI59" t="s">
        <v>134</v>
      </c>
      <c r="AK59" t="s">
        <v>25</v>
      </c>
      <c r="AM59" t="s">
        <v>176</v>
      </c>
    </row>
    <row r="60" spans="1:39" x14ac:dyDescent="0.25">
      <c r="A60" t="s">
        <v>178</v>
      </c>
      <c r="B60">
        <v>181604</v>
      </c>
      <c r="C60" t="s">
        <v>27</v>
      </c>
      <c r="D60" t="s">
        <v>14</v>
      </c>
      <c r="E60" t="s">
        <v>11</v>
      </c>
      <c r="F60" t="s">
        <v>11</v>
      </c>
      <c r="G60">
        <v>292578</v>
      </c>
      <c r="H60" t="s">
        <v>82</v>
      </c>
      <c r="I60" t="s">
        <v>83</v>
      </c>
      <c r="J60" s="27" t="s">
        <v>10</v>
      </c>
      <c r="K60" s="27" t="s">
        <v>70</v>
      </c>
      <c r="L60" s="27"/>
      <c r="M60" s="27"/>
      <c r="N60" t="s">
        <v>10</v>
      </c>
      <c r="O60" t="s">
        <v>45</v>
      </c>
      <c r="R60" s="27" t="s">
        <v>13</v>
      </c>
      <c r="S60" s="27">
        <v>58</v>
      </c>
      <c r="T60" s="27"/>
      <c r="U60" s="27"/>
      <c r="V60" t="s">
        <v>10</v>
      </c>
      <c r="W60">
        <v>0.36799999999999999</v>
      </c>
      <c r="X60">
        <v>0</v>
      </c>
      <c r="Z60" s="27" t="s">
        <v>10</v>
      </c>
      <c r="AA60" s="27">
        <v>2037</v>
      </c>
      <c r="AB60" s="27">
        <v>0</v>
      </c>
      <c r="AC60" s="27"/>
      <c r="AD60" t="s">
        <v>10</v>
      </c>
      <c r="AE60">
        <v>0</v>
      </c>
      <c r="AF60">
        <v>0</v>
      </c>
      <c r="AG60">
        <v>0</v>
      </c>
      <c r="AI60" t="s">
        <v>134</v>
      </c>
      <c r="AK60" t="s">
        <v>25</v>
      </c>
      <c r="AM60" t="s">
        <v>176</v>
      </c>
    </row>
    <row r="61" spans="1:39" x14ac:dyDescent="0.25">
      <c r="A61" t="s">
        <v>179</v>
      </c>
      <c r="B61">
        <v>181605</v>
      </c>
      <c r="C61" t="s">
        <v>27</v>
      </c>
      <c r="D61" t="s">
        <v>14</v>
      </c>
      <c r="E61" t="s">
        <v>11</v>
      </c>
      <c r="F61" t="s">
        <v>11</v>
      </c>
      <c r="G61">
        <v>292578</v>
      </c>
      <c r="H61" t="s">
        <v>82</v>
      </c>
      <c r="I61" t="s">
        <v>83</v>
      </c>
      <c r="J61" s="27" t="s">
        <v>10</v>
      </c>
      <c r="K61" s="27" t="s">
        <v>70</v>
      </c>
      <c r="L61" s="27"/>
      <c r="M61" s="27"/>
      <c r="N61" t="s">
        <v>10</v>
      </c>
      <c r="O61" t="s">
        <v>39</v>
      </c>
      <c r="R61" s="27" t="s">
        <v>13</v>
      </c>
      <c r="S61" s="27">
        <v>58</v>
      </c>
      <c r="T61" s="27"/>
      <c r="U61" s="27"/>
      <c r="V61" t="s">
        <v>10</v>
      </c>
      <c r="W61">
        <v>0.438</v>
      </c>
      <c r="X61">
        <v>0</v>
      </c>
      <c r="Z61" s="27" t="s">
        <v>10</v>
      </c>
      <c r="AA61" s="27">
        <v>370</v>
      </c>
      <c r="AB61" s="27">
        <v>0</v>
      </c>
      <c r="AC61" s="27"/>
      <c r="AD61" t="s">
        <v>10</v>
      </c>
      <c r="AE61">
        <v>0</v>
      </c>
      <c r="AF61">
        <v>0</v>
      </c>
      <c r="AG61">
        <v>0</v>
      </c>
      <c r="AI61" t="s">
        <v>134</v>
      </c>
      <c r="AK61" t="s">
        <v>25</v>
      </c>
      <c r="AM61" t="s">
        <v>176</v>
      </c>
    </row>
    <row r="62" spans="1:39" x14ac:dyDescent="0.25">
      <c r="A62" t="s">
        <v>179</v>
      </c>
      <c r="B62">
        <v>181605</v>
      </c>
      <c r="C62" t="s">
        <v>27</v>
      </c>
      <c r="D62" t="s">
        <v>14</v>
      </c>
      <c r="E62" t="s">
        <v>11</v>
      </c>
      <c r="F62" t="s">
        <v>11</v>
      </c>
      <c r="G62">
        <v>292582</v>
      </c>
      <c r="H62" t="s">
        <v>82</v>
      </c>
      <c r="I62" t="s">
        <v>115</v>
      </c>
      <c r="J62" s="27" t="s">
        <v>10</v>
      </c>
      <c r="K62" s="27" t="s">
        <v>70</v>
      </c>
      <c r="L62" s="27"/>
      <c r="M62" s="27"/>
      <c r="N62" t="s">
        <v>10</v>
      </c>
      <c r="O62" t="s">
        <v>39</v>
      </c>
      <c r="R62" s="27" t="s">
        <v>13</v>
      </c>
      <c r="S62" s="27">
        <v>58</v>
      </c>
      <c r="T62" s="27"/>
      <c r="U62" s="27"/>
      <c r="V62" t="s">
        <v>10</v>
      </c>
      <c r="W62">
        <v>0.438</v>
      </c>
      <c r="X62">
        <v>0</v>
      </c>
      <c r="Z62" s="27" t="s">
        <v>10</v>
      </c>
      <c r="AA62" s="27">
        <v>370</v>
      </c>
      <c r="AB62" s="27">
        <v>0</v>
      </c>
      <c r="AC62" s="27"/>
      <c r="AD62" t="s">
        <v>10</v>
      </c>
      <c r="AE62">
        <v>0</v>
      </c>
      <c r="AF62">
        <v>0</v>
      </c>
      <c r="AG62">
        <v>0</v>
      </c>
      <c r="AI62" t="s">
        <v>134</v>
      </c>
      <c r="AK62" t="s">
        <v>25</v>
      </c>
      <c r="AM62" t="s">
        <v>176</v>
      </c>
    </row>
    <row r="63" spans="1:39" x14ac:dyDescent="0.25">
      <c r="A63" t="s">
        <v>179</v>
      </c>
      <c r="B63">
        <v>181605</v>
      </c>
      <c r="C63" t="s">
        <v>27</v>
      </c>
      <c r="D63" t="s">
        <v>14</v>
      </c>
      <c r="E63" t="s">
        <v>11</v>
      </c>
      <c r="F63" t="s">
        <v>11</v>
      </c>
      <c r="G63">
        <v>292578</v>
      </c>
      <c r="H63" t="s">
        <v>82</v>
      </c>
      <c r="I63" t="s">
        <v>83</v>
      </c>
      <c r="J63" s="27" t="s">
        <v>10</v>
      </c>
      <c r="K63" s="27" t="s">
        <v>70</v>
      </c>
      <c r="L63" s="27"/>
      <c r="M63" s="27"/>
      <c r="N63" t="s">
        <v>10</v>
      </c>
      <c r="O63" t="s">
        <v>39</v>
      </c>
      <c r="R63" s="27" t="s">
        <v>13</v>
      </c>
      <c r="S63" s="27">
        <v>58</v>
      </c>
      <c r="T63" s="27"/>
      <c r="U63" s="27"/>
      <c r="V63" t="s">
        <v>10</v>
      </c>
      <c r="W63">
        <v>0.438</v>
      </c>
      <c r="X63">
        <v>0</v>
      </c>
      <c r="Z63" s="27" t="s">
        <v>10</v>
      </c>
      <c r="AA63" s="27">
        <v>370</v>
      </c>
      <c r="AB63" s="27">
        <v>0</v>
      </c>
      <c r="AC63" s="27"/>
      <c r="AD63" t="s">
        <v>10</v>
      </c>
      <c r="AE63">
        <v>0</v>
      </c>
      <c r="AF63">
        <v>0</v>
      </c>
      <c r="AG63">
        <v>0</v>
      </c>
      <c r="AI63" t="s">
        <v>134</v>
      </c>
      <c r="AK63" t="s">
        <v>25</v>
      </c>
      <c r="AM63" t="s">
        <v>176</v>
      </c>
    </row>
    <row r="64" spans="1:39" x14ac:dyDescent="0.25">
      <c r="A64" t="s">
        <v>180</v>
      </c>
      <c r="B64">
        <v>181606</v>
      </c>
      <c r="C64" t="s">
        <v>27</v>
      </c>
      <c r="D64" t="s">
        <v>14</v>
      </c>
      <c r="E64" t="s">
        <v>11</v>
      </c>
      <c r="F64" t="s">
        <v>11</v>
      </c>
      <c r="G64">
        <v>292585</v>
      </c>
      <c r="H64" t="s">
        <v>82</v>
      </c>
      <c r="I64" t="s">
        <v>84</v>
      </c>
      <c r="J64" s="27" t="s">
        <v>10</v>
      </c>
      <c r="K64" s="27" t="s">
        <v>70</v>
      </c>
      <c r="L64" s="27"/>
      <c r="M64" s="27"/>
      <c r="N64" t="s">
        <v>10</v>
      </c>
      <c r="O64" t="s">
        <v>42</v>
      </c>
      <c r="R64" s="27" t="s">
        <v>13</v>
      </c>
      <c r="S64" s="27">
        <v>58</v>
      </c>
      <c r="T64" s="27"/>
      <c r="U64" s="27"/>
      <c r="V64" t="s">
        <v>10</v>
      </c>
      <c r="W64">
        <v>0.36099999999999999</v>
      </c>
      <c r="X64">
        <v>0</v>
      </c>
      <c r="Z64" s="27" t="s">
        <v>10</v>
      </c>
      <c r="AA64" s="27">
        <v>2418</v>
      </c>
      <c r="AB64" s="27">
        <v>0</v>
      </c>
      <c r="AC64" s="27"/>
      <c r="AD64" t="s">
        <v>10</v>
      </c>
      <c r="AE64">
        <v>0</v>
      </c>
      <c r="AF64">
        <v>0</v>
      </c>
      <c r="AG64">
        <v>0</v>
      </c>
      <c r="AI64" t="s">
        <v>134</v>
      </c>
      <c r="AK64" t="s">
        <v>25</v>
      </c>
      <c r="AM64" t="s">
        <v>176</v>
      </c>
    </row>
    <row r="65" spans="1:39" x14ac:dyDescent="0.25">
      <c r="A65" t="s">
        <v>180</v>
      </c>
      <c r="B65">
        <v>181606</v>
      </c>
      <c r="C65" t="s">
        <v>27</v>
      </c>
      <c r="D65" t="s">
        <v>14</v>
      </c>
      <c r="E65" t="s">
        <v>11</v>
      </c>
      <c r="F65" t="s">
        <v>11</v>
      </c>
      <c r="G65">
        <v>292578</v>
      </c>
      <c r="H65" t="s">
        <v>82</v>
      </c>
      <c r="I65" t="s">
        <v>83</v>
      </c>
      <c r="J65" s="27" t="s">
        <v>10</v>
      </c>
      <c r="K65" s="27" t="s">
        <v>70</v>
      </c>
      <c r="L65" s="27"/>
      <c r="M65" s="27"/>
      <c r="N65" t="s">
        <v>10</v>
      </c>
      <c r="O65" t="s">
        <v>42</v>
      </c>
      <c r="R65" s="27" t="s">
        <v>13</v>
      </c>
      <c r="S65" s="27">
        <v>58</v>
      </c>
      <c r="T65" s="27"/>
      <c r="U65" s="27"/>
      <c r="V65" t="s">
        <v>10</v>
      </c>
      <c r="W65">
        <v>0.36099999999999999</v>
      </c>
      <c r="X65">
        <v>0</v>
      </c>
      <c r="Z65" s="27" t="s">
        <v>10</v>
      </c>
      <c r="AA65" s="27">
        <v>2407</v>
      </c>
      <c r="AB65" s="27">
        <v>0</v>
      </c>
      <c r="AC65" s="27"/>
      <c r="AD65" t="s">
        <v>10</v>
      </c>
      <c r="AE65">
        <v>0</v>
      </c>
      <c r="AF65">
        <v>0</v>
      </c>
      <c r="AG65">
        <v>0</v>
      </c>
      <c r="AI65" t="s">
        <v>134</v>
      </c>
      <c r="AK65" t="s">
        <v>25</v>
      </c>
      <c r="AM65" t="s">
        <v>176</v>
      </c>
    </row>
    <row r="66" spans="1:39" x14ac:dyDescent="0.25">
      <c r="A66" t="s">
        <v>180</v>
      </c>
      <c r="B66">
        <v>181606</v>
      </c>
      <c r="C66" t="s">
        <v>27</v>
      </c>
      <c r="D66" t="s">
        <v>14</v>
      </c>
      <c r="E66" t="s">
        <v>11</v>
      </c>
      <c r="F66" t="s">
        <v>11</v>
      </c>
      <c r="G66">
        <v>292582</v>
      </c>
      <c r="H66" t="s">
        <v>82</v>
      </c>
      <c r="I66" t="s">
        <v>115</v>
      </c>
      <c r="J66" s="27" t="s">
        <v>10</v>
      </c>
      <c r="K66" s="27" t="s">
        <v>70</v>
      </c>
      <c r="L66" s="27"/>
      <c r="M66" s="27"/>
      <c r="N66" t="s">
        <v>10</v>
      </c>
      <c r="O66" t="s">
        <v>42</v>
      </c>
      <c r="R66" s="27" t="s">
        <v>13</v>
      </c>
      <c r="S66" s="27">
        <v>58</v>
      </c>
      <c r="T66" s="27"/>
      <c r="U66" s="27"/>
      <c r="V66" t="s">
        <v>10</v>
      </c>
      <c r="W66">
        <v>0.36099999999999999</v>
      </c>
      <c r="X66">
        <v>0</v>
      </c>
      <c r="Z66" s="27" t="s">
        <v>10</v>
      </c>
      <c r="AA66" s="27">
        <v>2396</v>
      </c>
      <c r="AB66" s="27">
        <v>0</v>
      </c>
      <c r="AC66" s="27"/>
      <c r="AD66" t="s">
        <v>10</v>
      </c>
      <c r="AE66">
        <v>0</v>
      </c>
      <c r="AF66">
        <v>0</v>
      </c>
      <c r="AG66">
        <v>0</v>
      </c>
      <c r="AI66" t="s">
        <v>134</v>
      </c>
      <c r="AK66" t="s">
        <v>25</v>
      </c>
      <c r="AM66" t="s">
        <v>176</v>
      </c>
    </row>
    <row r="67" spans="1:39" x14ac:dyDescent="0.25">
      <c r="A67" t="s">
        <v>181</v>
      </c>
      <c r="B67">
        <v>181607</v>
      </c>
      <c r="C67" t="s">
        <v>27</v>
      </c>
      <c r="D67" t="s">
        <v>14</v>
      </c>
      <c r="E67" t="s">
        <v>11</v>
      </c>
      <c r="F67" t="s">
        <v>11</v>
      </c>
      <c r="G67">
        <v>292578</v>
      </c>
      <c r="H67" t="s">
        <v>82</v>
      </c>
      <c r="I67" t="s">
        <v>83</v>
      </c>
      <c r="J67" s="27" t="s">
        <v>10</v>
      </c>
      <c r="K67" s="27" t="s">
        <v>70</v>
      </c>
      <c r="L67" s="27"/>
      <c r="M67" s="27"/>
      <c r="N67" t="s">
        <v>10</v>
      </c>
      <c r="O67" t="s">
        <v>39</v>
      </c>
      <c r="R67" s="27" t="s">
        <v>13</v>
      </c>
      <c r="S67" s="27">
        <v>58</v>
      </c>
      <c r="T67" s="27"/>
      <c r="U67" s="27"/>
      <c r="V67" t="s">
        <v>10</v>
      </c>
      <c r="W67">
        <v>0.36</v>
      </c>
      <c r="X67">
        <v>0</v>
      </c>
      <c r="Z67" s="27" t="s">
        <v>10</v>
      </c>
      <c r="AA67" s="27">
        <v>4444</v>
      </c>
      <c r="AB67" s="27">
        <v>0</v>
      </c>
      <c r="AC67" s="27"/>
      <c r="AD67" t="s">
        <v>10</v>
      </c>
      <c r="AE67">
        <v>0</v>
      </c>
      <c r="AF67">
        <v>0</v>
      </c>
      <c r="AG67">
        <v>0</v>
      </c>
      <c r="AI67" t="s">
        <v>134</v>
      </c>
      <c r="AK67" t="s">
        <v>25</v>
      </c>
      <c r="AM67" t="s">
        <v>176</v>
      </c>
    </row>
    <row r="68" spans="1:39" x14ac:dyDescent="0.25">
      <c r="A68" t="s">
        <v>182</v>
      </c>
      <c r="B68">
        <v>181608</v>
      </c>
      <c r="C68" t="s">
        <v>27</v>
      </c>
      <c r="D68" t="s">
        <v>14</v>
      </c>
      <c r="E68" t="s">
        <v>11</v>
      </c>
      <c r="F68" t="s">
        <v>11</v>
      </c>
      <c r="G68">
        <v>292586</v>
      </c>
      <c r="H68" t="s">
        <v>85</v>
      </c>
      <c r="I68" t="s">
        <v>86</v>
      </c>
      <c r="J68" s="27" t="s">
        <v>10</v>
      </c>
      <c r="K68" s="27" t="s">
        <v>70</v>
      </c>
      <c r="L68" s="27"/>
      <c r="M68" s="27"/>
      <c r="N68" t="s">
        <v>10</v>
      </c>
      <c r="O68" t="s">
        <v>39</v>
      </c>
      <c r="R68" s="27" t="s">
        <v>13</v>
      </c>
      <c r="S68" s="27">
        <v>60</v>
      </c>
      <c r="T68" s="27"/>
      <c r="U68" s="27"/>
      <c r="V68" t="s">
        <v>10</v>
      </c>
      <c r="W68">
        <v>0</v>
      </c>
      <c r="X68">
        <v>0</v>
      </c>
      <c r="Z68" s="27" t="s">
        <v>10</v>
      </c>
      <c r="AA68" s="27">
        <v>0</v>
      </c>
      <c r="AB68" s="27">
        <v>0</v>
      </c>
      <c r="AC68" s="27"/>
      <c r="AD68" t="s">
        <v>10</v>
      </c>
      <c r="AE68">
        <v>0</v>
      </c>
      <c r="AF68">
        <v>0</v>
      </c>
      <c r="AG68">
        <v>0</v>
      </c>
      <c r="AI68" t="s">
        <v>134</v>
      </c>
      <c r="AK68" t="s">
        <v>25</v>
      </c>
      <c r="AM68" t="s">
        <v>167</v>
      </c>
    </row>
    <row r="69" spans="1:39" x14ac:dyDescent="0.25">
      <c r="A69" t="s">
        <v>182</v>
      </c>
      <c r="B69">
        <v>181608</v>
      </c>
      <c r="C69" t="s">
        <v>27</v>
      </c>
      <c r="D69" t="s">
        <v>14</v>
      </c>
      <c r="E69" t="s">
        <v>11</v>
      </c>
      <c r="F69" t="s">
        <v>11</v>
      </c>
      <c r="G69">
        <v>292586</v>
      </c>
      <c r="H69" t="s">
        <v>85</v>
      </c>
      <c r="I69" t="s">
        <v>86</v>
      </c>
      <c r="J69" s="27" t="s">
        <v>10</v>
      </c>
      <c r="K69" s="27" t="s">
        <v>70</v>
      </c>
      <c r="L69" s="27"/>
      <c r="M69" s="27"/>
      <c r="N69" t="s">
        <v>10</v>
      </c>
      <c r="O69" t="s">
        <v>39</v>
      </c>
      <c r="R69" s="27" t="s">
        <v>13</v>
      </c>
      <c r="S69" s="27">
        <v>60</v>
      </c>
      <c r="T69" s="27"/>
      <c r="U69" s="27"/>
      <c r="V69" t="s">
        <v>10</v>
      </c>
      <c r="W69">
        <v>0</v>
      </c>
      <c r="X69">
        <v>0</v>
      </c>
      <c r="Z69" s="27" t="s">
        <v>10</v>
      </c>
      <c r="AA69" s="27">
        <v>0</v>
      </c>
      <c r="AB69" s="27">
        <v>0</v>
      </c>
      <c r="AC69" s="27"/>
      <c r="AD69" t="s">
        <v>10</v>
      </c>
      <c r="AE69">
        <v>0</v>
      </c>
      <c r="AF69">
        <v>0</v>
      </c>
      <c r="AG69">
        <v>0</v>
      </c>
      <c r="AI69" t="s">
        <v>134</v>
      </c>
      <c r="AK69" t="s">
        <v>25</v>
      </c>
      <c r="AM69" t="s">
        <v>167</v>
      </c>
    </row>
    <row r="70" spans="1:39" x14ac:dyDescent="0.25">
      <c r="A70" t="s">
        <v>182</v>
      </c>
      <c r="B70">
        <v>181608</v>
      </c>
      <c r="C70" t="s">
        <v>27</v>
      </c>
      <c r="D70" t="s">
        <v>14</v>
      </c>
      <c r="E70" t="s">
        <v>11</v>
      </c>
      <c r="F70" t="s">
        <v>11</v>
      </c>
      <c r="G70">
        <v>292586</v>
      </c>
      <c r="H70" t="s">
        <v>85</v>
      </c>
      <c r="I70" t="s">
        <v>86</v>
      </c>
      <c r="J70" s="27" t="s">
        <v>10</v>
      </c>
      <c r="K70" s="27" t="s">
        <v>70</v>
      </c>
      <c r="L70" s="27"/>
      <c r="M70" s="27"/>
      <c r="N70" t="s">
        <v>10</v>
      </c>
      <c r="O70" t="s">
        <v>39</v>
      </c>
      <c r="R70" s="27" t="s">
        <v>13</v>
      </c>
      <c r="S70" s="27">
        <v>60</v>
      </c>
      <c r="T70" s="27"/>
      <c r="U70" s="27"/>
      <c r="V70" t="s">
        <v>10</v>
      </c>
      <c r="W70">
        <v>0</v>
      </c>
      <c r="X70">
        <v>0</v>
      </c>
      <c r="Z70" s="27" t="s">
        <v>10</v>
      </c>
      <c r="AA70" s="27">
        <v>0</v>
      </c>
      <c r="AB70" s="27">
        <v>0</v>
      </c>
      <c r="AC70" s="27"/>
      <c r="AD70" t="s">
        <v>10</v>
      </c>
      <c r="AE70">
        <v>0</v>
      </c>
      <c r="AF70">
        <v>0</v>
      </c>
      <c r="AG70">
        <v>0</v>
      </c>
      <c r="AI70" t="s">
        <v>134</v>
      </c>
      <c r="AK70" t="s">
        <v>25</v>
      </c>
      <c r="AM70" t="s">
        <v>167</v>
      </c>
    </row>
    <row r="71" spans="1:39" x14ac:dyDescent="0.25">
      <c r="A71" t="s">
        <v>183</v>
      </c>
      <c r="B71">
        <v>181609</v>
      </c>
      <c r="C71" t="s">
        <v>27</v>
      </c>
      <c r="D71" t="s">
        <v>14</v>
      </c>
      <c r="E71" t="s">
        <v>11</v>
      </c>
      <c r="F71" t="s">
        <v>11</v>
      </c>
      <c r="G71">
        <v>292586</v>
      </c>
      <c r="H71" t="s">
        <v>85</v>
      </c>
      <c r="I71" t="s">
        <v>86</v>
      </c>
      <c r="J71" s="27" t="s">
        <v>10</v>
      </c>
      <c r="K71" s="27" t="s">
        <v>70</v>
      </c>
      <c r="L71" s="27"/>
      <c r="M71" s="27"/>
      <c r="N71" t="s">
        <v>10</v>
      </c>
      <c r="O71" t="s">
        <v>62</v>
      </c>
      <c r="R71" s="27" t="s">
        <v>13</v>
      </c>
      <c r="S71" s="27">
        <v>60</v>
      </c>
      <c r="T71" s="27"/>
      <c r="U71" s="27"/>
      <c r="V71" t="s">
        <v>10</v>
      </c>
      <c r="W71">
        <v>0</v>
      </c>
      <c r="X71">
        <v>0</v>
      </c>
      <c r="Z71" s="27" t="s">
        <v>10</v>
      </c>
      <c r="AA71" s="27">
        <v>0</v>
      </c>
      <c r="AB71" s="27">
        <v>0</v>
      </c>
      <c r="AC71" s="27"/>
      <c r="AD71" t="s">
        <v>10</v>
      </c>
      <c r="AE71">
        <v>0</v>
      </c>
      <c r="AF71">
        <v>0</v>
      </c>
      <c r="AG71">
        <v>0</v>
      </c>
      <c r="AI71" t="s">
        <v>134</v>
      </c>
      <c r="AK71" t="s">
        <v>25</v>
      </c>
      <c r="AM71" t="s">
        <v>167</v>
      </c>
    </row>
    <row r="72" spans="1:39" x14ac:dyDescent="0.25">
      <c r="A72" t="s">
        <v>183</v>
      </c>
      <c r="B72">
        <v>181609</v>
      </c>
      <c r="C72" t="s">
        <v>27</v>
      </c>
      <c r="D72" t="s">
        <v>14</v>
      </c>
      <c r="E72" t="s">
        <v>11</v>
      </c>
      <c r="F72" t="s">
        <v>11</v>
      </c>
      <c r="G72">
        <v>292586</v>
      </c>
      <c r="H72" t="s">
        <v>85</v>
      </c>
      <c r="I72" t="s">
        <v>86</v>
      </c>
      <c r="J72" s="27" t="s">
        <v>10</v>
      </c>
      <c r="K72" s="27" t="s">
        <v>70</v>
      </c>
      <c r="L72" s="27"/>
      <c r="M72" s="27"/>
      <c r="N72" t="s">
        <v>10</v>
      </c>
      <c r="O72" t="s">
        <v>62</v>
      </c>
      <c r="R72" s="27" t="s">
        <v>13</v>
      </c>
      <c r="S72" s="27">
        <v>60</v>
      </c>
      <c r="T72" s="27"/>
      <c r="U72" s="27"/>
      <c r="V72" t="s">
        <v>10</v>
      </c>
      <c r="W72">
        <v>0</v>
      </c>
      <c r="X72">
        <v>0</v>
      </c>
      <c r="Z72" s="27" t="s">
        <v>10</v>
      </c>
      <c r="AA72" s="27">
        <v>0</v>
      </c>
      <c r="AB72" s="27">
        <v>0</v>
      </c>
      <c r="AC72" s="27"/>
      <c r="AD72" t="s">
        <v>10</v>
      </c>
      <c r="AE72">
        <v>0</v>
      </c>
      <c r="AF72">
        <v>0</v>
      </c>
      <c r="AG72">
        <v>0</v>
      </c>
      <c r="AI72" t="s">
        <v>134</v>
      </c>
      <c r="AK72" t="s">
        <v>25</v>
      </c>
      <c r="AM72" t="s">
        <v>167</v>
      </c>
    </row>
    <row r="73" spans="1:39" x14ac:dyDescent="0.25">
      <c r="A73" t="s">
        <v>183</v>
      </c>
      <c r="B73">
        <v>181609</v>
      </c>
      <c r="C73" t="s">
        <v>27</v>
      </c>
      <c r="D73" t="s">
        <v>14</v>
      </c>
      <c r="E73" t="s">
        <v>11</v>
      </c>
      <c r="F73" t="s">
        <v>11</v>
      </c>
      <c r="G73">
        <v>292586</v>
      </c>
      <c r="H73" t="s">
        <v>85</v>
      </c>
      <c r="I73" t="s">
        <v>86</v>
      </c>
      <c r="J73" s="27" t="s">
        <v>10</v>
      </c>
      <c r="K73" s="27" t="s">
        <v>70</v>
      </c>
      <c r="L73" s="27"/>
      <c r="M73" s="27"/>
      <c r="N73" t="s">
        <v>10</v>
      </c>
      <c r="O73" t="s">
        <v>62</v>
      </c>
      <c r="R73" s="27" t="s">
        <v>13</v>
      </c>
      <c r="S73" s="27">
        <v>60</v>
      </c>
      <c r="T73" s="27"/>
      <c r="U73" s="27"/>
      <c r="V73" t="s">
        <v>10</v>
      </c>
      <c r="W73">
        <v>0</v>
      </c>
      <c r="X73">
        <v>0</v>
      </c>
      <c r="Z73" s="27" t="s">
        <v>10</v>
      </c>
      <c r="AA73" s="27">
        <v>0</v>
      </c>
      <c r="AB73" s="27">
        <v>0</v>
      </c>
      <c r="AC73" s="27"/>
      <c r="AD73" t="s">
        <v>10</v>
      </c>
      <c r="AE73">
        <v>0</v>
      </c>
      <c r="AF73">
        <v>0</v>
      </c>
      <c r="AG73">
        <v>0</v>
      </c>
      <c r="AI73" t="s">
        <v>134</v>
      </c>
      <c r="AK73" t="s">
        <v>25</v>
      </c>
      <c r="AM73" t="s">
        <v>167</v>
      </c>
    </row>
    <row r="74" spans="1:39" x14ac:dyDescent="0.25">
      <c r="A74" t="s">
        <v>184</v>
      </c>
      <c r="B74">
        <v>181610</v>
      </c>
      <c r="C74" t="s">
        <v>27</v>
      </c>
      <c r="D74" t="s">
        <v>14</v>
      </c>
      <c r="E74" t="s">
        <v>11</v>
      </c>
      <c r="F74" t="s">
        <v>11</v>
      </c>
      <c r="G74">
        <v>292586</v>
      </c>
      <c r="H74" t="s">
        <v>85</v>
      </c>
      <c r="I74" t="s">
        <v>86</v>
      </c>
      <c r="J74" s="27" t="s">
        <v>10</v>
      </c>
      <c r="K74" s="27" t="s">
        <v>70</v>
      </c>
      <c r="L74" s="27"/>
      <c r="M74" s="27"/>
      <c r="N74" t="s">
        <v>10</v>
      </c>
      <c r="O74" t="s">
        <v>62</v>
      </c>
      <c r="R74" s="27" t="s">
        <v>13</v>
      </c>
      <c r="S74" s="27">
        <v>60</v>
      </c>
      <c r="T74" s="27"/>
      <c r="U74" s="27"/>
      <c r="V74" t="s">
        <v>10</v>
      </c>
      <c r="W74">
        <v>0</v>
      </c>
      <c r="X74">
        <v>0</v>
      </c>
      <c r="Z74" s="27" t="s">
        <v>10</v>
      </c>
      <c r="AA74" s="27">
        <v>0</v>
      </c>
      <c r="AB74" s="27">
        <v>0</v>
      </c>
      <c r="AC74" s="27"/>
      <c r="AD74" t="s">
        <v>10</v>
      </c>
      <c r="AE74">
        <v>0</v>
      </c>
      <c r="AF74">
        <v>0</v>
      </c>
      <c r="AG74">
        <v>0</v>
      </c>
      <c r="AI74" t="s">
        <v>134</v>
      </c>
      <c r="AK74" t="s">
        <v>25</v>
      </c>
      <c r="AM74" t="s">
        <v>167</v>
      </c>
    </row>
    <row r="75" spans="1:39" x14ac:dyDescent="0.25">
      <c r="A75" t="s">
        <v>185</v>
      </c>
      <c r="B75">
        <v>181611</v>
      </c>
      <c r="C75" t="s">
        <v>27</v>
      </c>
      <c r="D75" t="s">
        <v>14</v>
      </c>
      <c r="E75" t="s">
        <v>11</v>
      </c>
      <c r="F75" t="s">
        <v>11</v>
      </c>
      <c r="G75">
        <v>292586</v>
      </c>
      <c r="H75" t="s">
        <v>85</v>
      </c>
      <c r="I75" t="s">
        <v>86</v>
      </c>
      <c r="J75" s="27" t="s">
        <v>10</v>
      </c>
      <c r="K75" s="27" t="s">
        <v>70</v>
      </c>
      <c r="L75" s="27"/>
      <c r="M75" s="27"/>
      <c r="N75" t="s">
        <v>10</v>
      </c>
      <c r="O75" t="s">
        <v>39</v>
      </c>
      <c r="R75" s="27" t="s">
        <v>13</v>
      </c>
      <c r="S75" s="27">
        <v>60</v>
      </c>
      <c r="T75" s="27"/>
      <c r="U75" s="27"/>
      <c r="V75" t="s">
        <v>10</v>
      </c>
      <c r="W75">
        <v>0</v>
      </c>
      <c r="X75">
        <v>0</v>
      </c>
      <c r="Z75" s="27" t="s">
        <v>10</v>
      </c>
      <c r="AA75" s="27">
        <v>0</v>
      </c>
      <c r="AB75" s="27">
        <v>0</v>
      </c>
      <c r="AC75" s="27"/>
      <c r="AD75" t="s">
        <v>10</v>
      </c>
      <c r="AE75">
        <v>0</v>
      </c>
      <c r="AF75">
        <v>0</v>
      </c>
      <c r="AG75">
        <v>0</v>
      </c>
      <c r="AI75" t="s">
        <v>134</v>
      </c>
      <c r="AK75" t="s">
        <v>25</v>
      </c>
      <c r="AM75" t="s">
        <v>167</v>
      </c>
    </row>
    <row r="76" spans="1:39" x14ac:dyDescent="0.25">
      <c r="A76" t="s">
        <v>186</v>
      </c>
      <c r="B76">
        <v>181612</v>
      </c>
      <c r="C76" t="s">
        <v>27</v>
      </c>
      <c r="D76" t="s">
        <v>14</v>
      </c>
      <c r="E76" t="s">
        <v>11</v>
      </c>
      <c r="F76" t="s">
        <v>11</v>
      </c>
      <c r="G76">
        <v>292589</v>
      </c>
      <c r="H76" t="s">
        <v>85</v>
      </c>
      <c r="I76" t="s">
        <v>87</v>
      </c>
      <c r="J76" s="27" t="s">
        <v>10</v>
      </c>
      <c r="K76" s="27" t="s">
        <v>70</v>
      </c>
      <c r="L76" s="27"/>
      <c r="M76" s="27"/>
      <c r="N76" t="s">
        <v>10</v>
      </c>
      <c r="O76" t="s">
        <v>41</v>
      </c>
      <c r="R76" s="27" t="s">
        <v>13</v>
      </c>
      <c r="S76" s="27">
        <v>60</v>
      </c>
      <c r="T76" s="27"/>
      <c r="U76" s="27"/>
      <c r="V76" t="s">
        <v>10</v>
      </c>
      <c r="W76">
        <v>0</v>
      </c>
      <c r="X76">
        <v>0</v>
      </c>
      <c r="Z76" s="27" t="s">
        <v>10</v>
      </c>
      <c r="AA76" s="27">
        <v>0</v>
      </c>
      <c r="AB76" s="27">
        <v>0</v>
      </c>
      <c r="AC76" s="27"/>
      <c r="AD76" t="s">
        <v>10</v>
      </c>
      <c r="AE76">
        <v>0</v>
      </c>
      <c r="AF76">
        <v>0</v>
      </c>
      <c r="AG76">
        <v>0</v>
      </c>
      <c r="AI76" t="s">
        <v>134</v>
      </c>
      <c r="AK76" t="s">
        <v>25</v>
      </c>
    </row>
    <row r="77" spans="1:39" x14ac:dyDescent="0.25">
      <c r="A77" t="s">
        <v>186</v>
      </c>
      <c r="B77">
        <v>181612</v>
      </c>
      <c r="C77" t="s">
        <v>27</v>
      </c>
      <c r="D77" t="s">
        <v>14</v>
      </c>
      <c r="E77" t="s">
        <v>11</v>
      </c>
      <c r="F77" t="s">
        <v>11</v>
      </c>
      <c r="G77">
        <v>292587</v>
      </c>
      <c r="H77" t="s">
        <v>85</v>
      </c>
      <c r="I77" t="s">
        <v>88</v>
      </c>
      <c r="J77" s="27" t="s">
        <v>10</v>
      </c>
      <c r="K77" s="27" t="s">
        <v>70</v>
      </c>
      <c r="L77" s="27"/>
      <c r="M77" s="27"/>
      <c r="N77" t="s">
        <v>10</v>
      </c>
      <c r="O77" t="s">
        <v>41</v>
      </c>
      <c r="R77" s="27" t="s">
        <v>13</v>
      </c>
      <c r="S77" s="27">
        <v>60</v>
      </c>
      <c r="T77" s="27"/>
      <c r="U77" s="27"/>
      <c r="V77" t="s">
        <v>10</v>
      </c>
      <c r="W77">
        <v>0</v>
      </c>
      <c r="X77">
        <v>0</v>
      </c>
      <c r="Z77" s="27" t="s">
        <v>10</v>
      </c>
      <c r="AA77" s="27">
        <v>0</v>
      </c>
      <c r="AB77" s="27">
        <v>0</v>
      </c>
      <c r="AC77" s="27"/>
      <c r="AD77" t="s">
        <v>10</v>
      </c>
      <c r="AE77">
        <v>0</v>
      </c>
      <c r="AF77">
        <v>0</v>
      </c>
      <c r="AG77">
        <v>0</v>
      </c>
      <c r="AI77" t="s">
        <v>134</v>
      </c>
      <c r="AK77" t="s">
        <v>25</v>
      </c>
    </row>
    <row r="78" spans="1:39" x14ac:dyDescent="0.25">
      <c r="A78" t="s">
        <v>186</v>
      </c>
      <c r="B78">
        <v>181612</v>
      </c>
      <c r="C78" t="s">
        <v>27</v>
      </c>
      <c r="D78" t="s">
        <v>14</v>
      </c>
      <c r="E78" t="s">
        <v>11</v>
      </c>
      <c r="F78" t="s">
        <v>11</v>
      </c>
      <c r="G78">
        <v>292590</v>
      </c>
      <c r="H78" t="s">
        <v>85</v>
      </c>
      <c r="I78" t="s">
        <v>116</v>
      </c>
      <c r="J78" s="27" t="s">
        <v>10</v>
      </c>
      <c r="K78" s="27" t="s">
        <v>70</v>
      </c>
      <c r="L78" s="27"/>
      <c r="M78" s="27"/>
      <c r="N78" t="s">
        <v>10</v>
      </c>
      <c r="O78" t="s">
        <v>41</v>
      </c>
      <c r="R78" s="27" t="s">
        <v>13</v>
      </c>
      <c r="S78" s="27">
        <v>60</v>
      </c>
      <c r="T78" s="27"/>
      <c r="U78" s="27"/>
      <c r="V78" t="s">
        <v>10</v>
      </c>
      <c r="W78">
        <v>0</v>
      </c>
      <c r="X78">
        <v>0</v>
      </c>
      <c r="Z78" s="27" t="s">
        <v>10</v>
      </c>
      <c r="AA78" s="27">
        <v>0</v>
      </c>
      <c r="AB78" s="27">
        <v>0</v>
      </c>
      <c r="AC78" s="27"/>
      <c r="AD78" t="s">
        <v>10</v>
      </c>
      <c r="AE78">
        <v>0</v>
      </c>
      <c r="AF78">
        <v>0</v>
      </c>
      <c r="AG78">
        <v>0</v>
      </c>
      <c r="AI78" t="s">
        <v>134</v>
      </c>
      <c r="AK78" t="s">
        <v>25</v>
      </c>
    </row>
    <row r="79" spans="1:39" x14ac:dyDescent="0.25">
      <c r="A79" t="s">
        <v>187</v>
      </c>
      <c r="B79">
        <v>181613</v>
      </c>
      <c r="C79" t="s">
        <v>27</v>
      </c>
      <c r="D79" t="s">
        <v>14</v>
      </c>
      <c r="E79" t="s">
        <v>9</v>
      </c>
      <c r="F79" t="s">
        <v>9</v>
      </c>
      <c r="G79">
        <v>292593</v>
      </c>
      <c r="H79" t="s">
        <v>89</v>
      </c>
      <c r="I79" t="s">
        <v>90</v>
      </c>
      <c r="J79" s="27" t="s">
        <v>12</v>
      </c>
      <c r="K79" s="27" t="s">
        <v>70</v>
      </c>
      <c r="L79" s="27"/>
      <c r="M79" s="27"/>
      <c r="N79" t="s">
        <v>12</v>
      </c>
      <c r="O79" t="s">
        <v>91</v>
      </c>
      <c r="R79" s="27" t="s">
        <v>13</v>
      </c>
      <c r="S79" s="27">
        <v>70</v>
      </c>
      <c r="T79" s="27"/>
      <c r="U79" s="27"/>
      <c r="V79" t="s">
        <v>12</v>
      </c>
      <c r="W79">
        <v>0</v>
      </c>
      <c r="X79">
        <v>0</v>
      </c>
      <c r="Z79" s="27" t="s">
        <v>12</v>
      </c>
      <c r="AA79" s="27">
        <v>0</v>
      </c>
      <c r="AB79" s="27">
        <v>0</v>
      </c>
      <c r="AC79" s="27"/>
      <c r="AD79" t="s">
        <v>12</v>
      </c>
      <c r="AE79">
        <v>0</v>
      </c>
      <c r="AF79">
        <v>0</v>
      </c>
      <c r="AG79">
        <v>0</v>
      </c>
      <c r="AI79" t="s">
        <v>134</v>
      </c>
      <c r="AK79" t="s">
        <v>25</v>
      </c>
      <c r="AM79" t="s">
        <v>167</v>
      </c>
    </row>
    <row r="80" spans="1:39" hidden="1" x14ac:dyDescent="0.25">
      <c r="A80" t="s">
        <v>187</v>
      </c>
      <c r="B80">
        <v>181613</v>
      </c>
      <c r="C80" t="s">
        <v>27</v>
      </c>
      <c r="D80" t="s">
        <v>14</v>
      </c>
      <c r="E80" t="s">
        <v>9</v>
      </c>
      <c r="F80" t="s">
        <v>9</v>
      </c>
      <c r="G80">
        <v>292594</v>
      </c>
      <c r="H80" t="s">
        <v>188</v>
      </c>
      <c r="I80" t="s">
        <v>189</v>
      </c>
      <c r="J80" s="27" t="s">
        <v>12</v>
      </c>
      <c r="K80" s="27" t="s">
        <v>70</v>
      </c>
      <c r="L80" s="27"/>
      <c r="M80" s="27"/>
      <c r="N80" t="s">
        <v>12</v>
      </c>
      <c r="O80" t="s">
        <v>91</v>
      </c>
      <c r="R80" s="27" t="s">
        <v>13</v>
      </c>
      <c r="S80" s="27">
        <v>50</v>
      </c>
      <c r="T80" s="27"/>
      <c r="U80" s="27"/>
      <c r="V80" t="s">
        <v>12</v>
      </c>
      <c r="W80">
        <v>0</v>
      </c>
      <c r="X80">
        <v>0</v>
      </c>
      <c r="Z80" s="27" t="s">
        <v>12</v>
      </c>
      <c r="AA80" s="27">
        <v>0</v>
      </c>
      <c r="AB80" s="27">
        <v>0</v>
      </c>
      <c r="AC80" s="27"/>
      <c r="AD80" t="s">
        <v>12</v>
      </c>
      <c r="AE80">
        <v>0</v>
      </c>
      <c r="AF80">
        <v>0</v>
      </c>
      <c r="AG80">
        <v>0</v>
      </c>
      <c r="AI80" t="s">
        <v>134</v>
      </c>
      <c r="AK80" t="s">
        <v>153</v>
      </c>
      <c r="AM80" t="s">
        <v>167</v>
      </c>
    </row>
    <row r="81" spans="1:39" x14ac:dyDescent="0.25">
      <c r="A81" t="s">
        <v>187</v>
      </c>
      <c r="B81">
        <v>181613</v>
      </c>
      <c r="C81" t="s">
        <v>27</v>
      </c>
      <c r="D81" t="s">
        <v>14</v>
      </c>
      <c r="E81" t="s">
        <v>9</v>
      </c>
      <c r="F81" t="s">
        <v>9</v>
      </c>
      <c r="G81">
        <v>292593</v>
      </c>
      <c r="H81" t="s">
        <v>89</v>
      </c>
      <c r="I81" t="s">
        <v>90</v>
      </c>
      <c r="J81" s="27" t="s">
        <v>12</v>
      </c>
      <c r="K81" s="27" t="s">
        <v>70</v>
      </c>
      <c r="L81" s="27"/>
      <c r="M81" s="27"/>
      <c r="N81" t="s">
        <v>12</v>
      </c>
      <c r="O81" t="s">
        <v>91</v>
      </c>
      <c r="R81" s="27" t="s">
        <v>13</v>
      </c>
      <c r="S81" s="27">
        <v>70</v>
      </c>
      <c r="T81" s="27"/>
      <c r="U81" s="27"/>
      <c r="V81" t="s">
        <v>12</v>
      </c>
      <c r="W81">
        <v>0</v>
      </c>
      <c r="X81">
        <v>0</v>
      </c>
      <c r="Z81" s="27" t="s">
        <v>12</v>
      </c>
      <c r="AA81" s="27">
        <v>0</v>
      </c>
      <c r="AB81" s="27">
        <v>0</v>
      </c>
      <c r="AC81" s="27"/>
      <c r="AD81" t="s">
        <v>12</v>
      </c>
      <c r="AE81">
        <v>0</v>
      </c>
      <c r="AF81">
        <v>0</v>
      </c>
      <c r="AG81">
        <v>0</v>
      </c>
      <c r="AI81" t="s">
        <v>134</v>
      </c>
      <c r="AK81" t="s">
        <v>25</v>
      </c>
      <c r="AM81" t="s">
        <v>167</v>
      </c>
    </row>
    <row r="82" spans="1:39" hidden="1" x14ac:dyDescent="0.25">
      <c r="A82" t="s">
        <v>187</v>
      </c>
      <c r="B82">
        <v>181613</v>
      </c>
      <c r="C82" t="s">
        <v>27</v>
      </c>
      <c r="D82" t="s">
        <v>14</v>
      </c>
      <c r="E82" t="s">
        <v>9</v>
      </c>
      <c r="F82" t="s">
        <v>9</v>
      </c>
      <c r="G82">
        <v>292594</v>
      </c>
      <c r="H82" t="s">
        <v>188</v>
      </c>
      <c r="I82" t="s">
        <v>189</v>
      </c>
      <c r="J82" s="27" t="s">
        <v>12</v>
      </c>
      <c r="K82" s="27" t="s">
        <v>70</v>
      </c>
      <c r="L82" s="27"/>
      <c r="M82" s="27"/>
      <c r="N82" t="s">
        <v>12</v>
      </c>
      <c r="O82" t="s">
        <v>91</v>
      </c>
      <c r="R82" s="27" t="s">
        <v>13</v>
      </c>
      <c r="S82" s="27">
        <v>50</v>
      </c>
      <c r="T82" s="27"/>
      <c r="U82" s="27"/>
      <c r="V82" t="s">
        <v>12</v>
      </c>
      <c r="W82">
        <v>0</v>
      </c>
      <c r="X82">
        <v>0</v>
      </c>
      <c r="Z82" s="27" t="s">
        <v>12</v>
      </c>
      <c r="AA82" s="27">
        <v>0</v>
      </c>
      <c r="AB82" s="27">
        <v>0</v>
      </c>
      <c r="AC82" s="27"/>
      <c r="AD82" t="s">
        <v>12</v>
      </c>
      <c r="AE82">
        <v>0</v>
      </c>
      <c r="AF82">
        <v>0</v>
      </c>
      <c r="AG82">
        <v>0</v>
      </c>
      <c r="AI82" t="s">
        <v>134</v>
      </c>
      <c r="AK82" t="s">
        <v>153</v>
      </c>
      <c r="AM82" t="s">
        <v>167</v>
      </c>
    </row>
    <row r="83" spans="1:39" x14ac:dyDescent="0.25">
      <c r="A83" t="s">
        <v>190</v>
      </c>
      <c r="B83">
        <v>181621</v>
      </c>
      <c r="C83" t="s">
        <v>27</v>
      </c>
      <c r="D83" t="s">
        <v>14</v>
      </c>
      <c r="E83" t="s">
        <v>11</v>
      </c>
      <c r="F83" t="s">
        <v>11</v>
      </c>
      <c r="G83">
        <v>292578</v>
      </c>
      <c r="H83" t="s">
        <v>82</v>
      </c>
      <c r="I83" t="s">
        <v>83</v>
      </c>
      <c r="J83" s="27" t="s">
        <v>10</v>
      </c>
      <c r="K83" s="27" t="s">
        <v>70</v>
      </c>
      <c r="L83" s="27"/>
      <c r="M83" s="27"/>
      <c r="N83" t="s">
        <v>10</v>
      </c>
      <c r="O83" t="s">
        <v>38</v>
      </c>
      <c r="R83" s="27" t="s">
        <v>13</v>
      </c>
      <c r="S83" s="27">
        <v>58</v>
      </c>
      <c r="T83" s="27"/>
      <c r="U83" s="27"/>
      <c r="V83" t="s">
        <v>10</v>
      </c>
      <c r="W83">
        <v>0.41899999999999998</v>
      </c>
      <c r="X83">
        <v>0</v>
      </c>
      <c r="Z83" s="27" t="s">
        <v>10</v>
      </c>
      <c r="AA83" s="27">
        <v>1520</v>
      </c>
      <c r="AB83" s="27">
        <v>0</v>
      </c>
      <c r="AC83" s="27"/>
      <c r="AD83" t="s">
        <v>10</v>
      </c>
      <c r="AE83">
        <v>0</v>
      </c>
      <c r="AF83">
        <v>0</v>
      </c>
      <c r="AG83">
        <v>0</v>
      </c>
      <c r="AI83" t="s">
        <v>134</v>
      </c>
      <c r="AK83" t="s">
        <v>25</v>
      </c>
    </row>
    <row r="84" spans="1:39" x14ac:dyDescent="0.25">
      <c r="A84" t="s">
        <v>190</v>
      </c>
      <c r="B84">
        <v>181621</v>
      </c>
      <c r="C84" t="s">
        <v>27</v>
      </c>
      <c r="D84" t="s">
        <v>14</v>
      </c>
      <c r="E84" t="s">
        <v>11</v>
      </c>
      <c r="F84" t="s">
        <v>11</v>
      </c>
      <c r="G84">
        <v>292582</v>
      </c>
      <c r="H84" t="s">
        <v>82</v>
      </c>
      <c r="I84" t="s">
        <v>115</v>
      </c>
      <c r="J84" s="27" t="s">
        <v>10</v>
      </c>
      <c r="K84" s="27" t="s">
        <v>70</v>
      </c>
      <c r="L84" s="27"/>
      <c r="M84" s="27"/>
      <c r="N84" t="s">
        <v>10</v>
      </c>
      <c r="O84" t="s">
        <v>38</v>
      </c>
      <c r="R84" s="27" t="s">
        <v>13</v>
      </c>
      <c r="S84" s="27">
        <v>58</v>
      </c>
      <c r="T84" s="27"/>
      <c r="U84" s="27"/>
      <c r="V84" t="s">
        <v>10</v>
      </c>
      <c r="W84">
        <v>0.41899999999999998</v>
      </c>
      <c r="X84">
        <v>0</v>
      </c>
      <c r="Z84" s="27" t="s">
        <v>10</v>
      </c>
      <c r="AA84" s="27">
        <v>1520</v>
      </c>
      <c r="AB84" s="27">
        <v>0</v>
      </c>
      <c r="AC84" s="27"/>
      <c r="AD84" t="s">
        <v>10</v>
      </c>
      <c r="AE84">
        <v>0</v>
      </c>
      <c r="AF84">
        <v>0</v>
      </c>
      <c r="AG84">
        <v>0</v>
      </c>
      <c r="AI84" t="s">
        <v>134</v>
      </c>
      <c r="AK84" t="s">
        <v>25</v>
      </c>
    </row>
    <row r="85" spans="1:39" x14ac:dyDescent="0.25">
      <c r="A85" t="s">
        <v>190</v>
      </c>
      <c r="B85">
        <v>181621</v>
      </c>
      <c r="C85" t="s">
        <v>27</v>
      </c>
      <c r="D85" t="s">
        <v>14</v>
      </c>
      <c r="E85" t="s">
        <v>11</v>
      </c>
      <c r="F85" t="s">
        <v>11</v>
      </c>
      <c r="G85">
        <v>292578</v>
      </c>
      <c r="H85" t="s">
        <v>82</v>
      </c>
      <c r="I85" t="s">
        <v>83</v>
      </c>
      <c r="J85" s="27" t="s">
        <v>10</v>
      </c>
      <c r="K85" s="27" t="s">
        <v>70</v>
      </c>
      <c r="L85" s="27"/>
      <c r="M85" s="27"/>
      <c r="N85" t="s">
        <v>10</v>
      </c>
      <c r="O85" t="s">
        <v>38</v>
      </c>
      <c r="R85" s="27" t="s">
        <v>13</v>
      </c>
      <c r="S85" s="27">
        <v>58</v>
      </c>
      <c r="T85" s="27"/>
      <c r="U85" s="27"/>
      <c r="V85" t="s">
        <v>10</v>
      </c>
      <c r="W85">
        <v>0.41899999999999998</v>
      </c>
      <c r="X85">
        <v>0</v>
      </c>
      <c r="Z85" s="27" t="s">
        <v>10</v>
      </c>
      <c r="AA85" s="27">
        <v>1520</v>
      </c>
      <c r="AB85" s="27">
        <v>0</v>
      </c>
      <c r="AC85" s="27"/>
      <c r="AD85" t="s">
        <v>10</v>
      </c>
      <c r="AE85">
        <v>0</v>
      </c>
      <c r="AF85">
        <v>0</v>
      </c>
      <c r="AG85">
        <v>0</v>
      </c>
      <c r="AI85" t="s">
        <v>134</v>
      </c>
      <c r="AK85" t="s">
        <v>25</v>
      </c>
    </row>
    <row r="86" spans="1:39" x14ac:dyDescent="0.25">
      <c r="A86" t="s">
        <v>191</v>
      </c>
      <c r="B86">
        <v>181622</v>
      </c>
      <c r="C86" t="s">
        <v>27</v>
      </c>
      <c r="D86" t="s">
        <v>14</v>
      </c>
      <c r="E86" t="s">
        <v>11</v>
      </c>
      <c r="F86" t="s">
        <v>11</v>
      </c>
      <c r="G86">
        <v>292578</v>
      </c>
      <c r="H86" t="s">
        <v>82</v>
      </c>
      <c r="I86" t="s">
        <v>83</v>
      </c>
      <c r="J86" s="27" t="s">
        <v>10</v>
      </c>
      <c r="K86" s="27" t="s">
        <v>70</v>
      </c>
      <c r="L86" s="27"/>
      <c r="M86" s="27"/>
      <c r="N86" t="s">
        <v>10</v>
      </c>
      <c r="O86" t="s">
        <v>63</v>
      </c>
      <c r="R86" s="27" t="s">
        <v>13</v>
      </c>
      <c r="S86" s="27">
        <v>58</v>
      </c>
      <c r="T86" s="27"/>
      <c r="U86" s="27"/>
      <c r="V86" t="s">
        <v>10</v>
      </c>
      <c r="W86">
        <v>0.50800000000000001</v>
      </c>
      <c r="X86">
        <v>0</v>
      </c>
      <c r="Z86" s="27" t="s">
        <v>10</v>
      </c>
      <c r="AA86" s="27">
        <v>371</v>
      </c>
      <c r="AB86" s="27">
        <v>0</v>
      </c>
      <c r="AC86" s="27"/>
      <c r="AD86" t="s">
        <v>10</v>
      </c>
      <c r="AE86">
        <v>0</v>
      </c>
      <c r="AF86">
        <v>0</v>
      </c>
      <c r="AG86">
        <v>0</v>
      </c>
      <c r="AI86" t="s">
        <v>134</v>
      </c>
      <c r="AK86" t="s">
        <v>25</v>
      </c>
      <c r="AM86" t="s">
        <v>176</v>
      </c>
    </row>
    <row r="87" spans="1:39" x14ac:dyDescent="0.25">
      <c r="A87" t="s">
        <v>191</v>
      </c>
      <c r="B87">
        <v>181622</v>
      </c>
      <c r="C87" t="s">
        <v>27</v>
      </c>
      <c r="D87" t="s">
        <v>14</v>
      </c>
      <c r="E87" t="s">
        <v>11</v>
      </c>
      <c r="F87" t="s">
        <v>11</v>
      </c>
      <c r="G87">
        <v>292582</v>
      </c>
      <c r="H87" t="s">
        <v>82</v>
      </c>
      <c r="I87" t="s">
        <v>115</v>
      </c>
      <c r="J87" s="27" t="s">
        <v>10</v>
      </c>
      <c r="K87" s="27" t="s">
        <v>70</v>
      </c>
      <c r="L87" s="27"/>
      <c r="M87" s="27"/>
      <c r="N87" t="s">
        <v>10</v>
      </c>
      <c r="O87" t="s">
        <v>63</v>
      </c>
      <c r="R87" s="27" t="s">
        <v>13</v>
      </c>
      <c r="S87" s="27">
        <v>58</v>
      </c>
      <c r="T87" s="27"/>
      <c r="U87" s="27"/>
      <c r="V87" t="s">
        <v>10</v>
      </c>
      <c r="W87">
        <v>0.50800000000000001</v>
      </c>
      <c r="X87">
        <v>0</v>
      </c>
      <c r="Z87" s="27" t="s">
        <v>10</v>
      </c>
      <c r="AA87" s="27">
        <v>370</v>
      </c>
      <c r="AB87" s="27">
        <v>0</v>
      </c>
      <c r="AC87" s="27"/>
      <c r="AD87" t="s">
        <v>10</v>
      </c>
      <c r="AE87">
        <v>0</v>
      </c>
      <c r="AF87">
        <v>0</v>
      </c>
      <c r="AG87">
        <v>0</v>
      </c>
      <c r="AI87" t="s">
        <v>134</v>
      </c>
      <c r="AK87" t="s">
        <v>25</v>
      </c>
      <c r="AM87" t="s">
        <v>176</v>
      </c>
    </row>
    <row r="88" spans="1:39" x14ac:dyDescent="0.25">
      <c r="A88" t="s">
        <v>191</v>
      </c>
      <c r="B88">
        <v>181622</v>
      </c>
      <c r="C88" t="s">
        <v>27</v>
      </c>
      <c r="D88" t="s">
        <v>14</v>
      </c>
      <c r="E88" t="s">
        <v>11</v>
      </c>
      <c r="F88" t="s">
        <v>11</v>
      </c>
      <c r="G88">
        <v>292578</v>
      </c>
      <c r="H88" t="s">
        <v>82</v>
      </c>
      <c r="I88" t="s">
        <v>83</v>
      </c>
      <c r="J88" s="27" t="s">
        <v>10</v>
      </c>
      <c r="K88" s="27" t="s">
        <v>70</v>
      </c>
      <c r="L88" s="27"/>
      <c r="M88" s="27"/>
      <c r="N88" t="s">
        <v>10</v>
      </c>
      <c r="O88" t="s">
        <v>63</v>
      </c>
      <c r="R88" s="27" t="s">
        <v>13</v>
      </c>
      <c r="S88" s="27">
        <v>58</v>
      </c>
      <c r="T88" s="27"/>
      <c r="U88" s="27"/>
      <c r="V88" t="s">
        <v>10</v>
      </c>
      <c r="W88">
        <v>0.50800000000000001</v>
      </c>
      <c r="X88">
        <v>0</v>
      </c>
      <c r="Z88" s="27" t="s">
        <v>10</v>
      </c>
      <c r="AA88" s="27">
        <v>371</v>
      </c>
      <c r="AB88" s="27">
        <v>0</v>
      </c>
      <c r="AC88" s="27"/>
      <c r="AD88" t="s">
        <v>10</v>
      </c>
      <c r="AE88">
        <v>0</v>
      </c>
      <c r="AF88">
        <v>0</v>
      </c>
      <c r="AG88">
        <v>0</v>
      </c>
      <c r="AI88" t="s">
        <v>134</v>
      </c>
      <c r="AK88" t="s">
        <v>25</v>
      </c>
      <c r="AM88" t="s">
        <v>176</v>
      </c>
    </row>
    <row r="89" spans="1:39" x14ac:dyDescent="0.25">
      <c r="A89" t="s">
        <v>192</v>
      </c>
      <c r="B89">
        <v>181624</v>
      </c>
      <c r="C89" t="s">
        <v>27</v>
      </c>
      <c r="D89" t="s">
        <v>14</v>
      </c>
      <c r="E89" t="s">
        <v>9</v>
      </c>
      <c r="F89" t="s">
        <v>9</v>
      </c>
      <c r="G89">
        <v>267375</v>
      </c>
      <c r="H89" t="s">
        <v>73</v>
      </c>
      <c r="I89" t="s">
        <v>74</v>
      </c>
      <c r="J89" s="27" t="s">
        <v>12</v>
      </c>
      <c r="K89" s="27" t="s">
        <v>70</v>
      </c>
      <c r="L89" s="27"/>
      <c r="M89" s="27"/>
      <c r="N89" t="s">
        <v>12</v>
      </c>
      <c r="O89" t="s">
        <v>92</v>
      </c>
      <c r="R89" s="27" t="s">
        <v>13</v>
      </c>
      <c r="S89" s="27">
        <v>70</v>
      </c>
      <c r="T89" s="27"/>
      <c r="U89" s="27"/>
      <c r="V89" t="s">
        <v>12</v>
      </c>
      <c r="W89">
        <v>0</v>
      </c>
      <c r="X89">
        <v>0</v>
      </c>
      <c r="Z89" s="27" t="s">
        <v>12</v>
      </c>
      <c r="AA89" s="27">
        <v>0</v>
      </c>
      <c r="AB89" s="27">
        <v>0</v>
      </c>
      <c r="AC89" s="27"/>
      <c r="AD89" t="s">
        <v>12</v>
      </c>
      <c r="AE89">
        <v>0</v>
      </c>
      <c r="AF89">
        <v>0</v>
      </c>
      <c r="AG89">
        <v>0</v>
      </c>
      <c r="AI89" t="s">
        <v>134</v>
      </c>
      <c r="AK89" t="s">
        <v>25</v>
      </c>
      <c r="AM89" t="s">
        <v>167</v>
      </c>
    </row>
    <row r="90" spans="1:39" x14ac:dyDescent="0.25">
      <c r="A90" t="s">
        <v>193</v>
      </c>
      <c r="B90">
        <v>181625</v>
      </c>
      <c r="C90" t="s">
        <v>27</v>
      </c>
      <c r="D90" t="s">
        <v>14</v>
      </c>
      <c r="E90" t="s">
        <v>9</v>
      </c>
      <c r="F90" t="s">
        <v>9</v>
      </c>
      <c r="G90">
        <v>292593</v>
      </c>
      <c r="H90" t="s">
        <v>89</v>
      </c>
      <c r="I90" t="s">
        <v>90</v>
      </c>
      <c r="J90" s="27" t="s">
        <v>12</v>
      </c>
      <c r="K90" s="27" t="s">
        <v>70</v>
      </c>
      <c r="L90" s="27"/>
      <c r="M90" s="27"/>
      <c r="N90" t="s">
        <v>12</v>
      </c>
      <c r="O90" t="s">
        <v>93</v>
      </c>
      <c r="R90" s="27" t="s">
        <v>13</v>
      </c>
      <c r="S90" s="27">
        <v>70</v>
      </c>
      <c r="T90" s="27"/>
      <c r="U90" s="27"/>
      <c r="V90" t="s">
        <v>12</v>
      </c>
      <c r="W90">
        <v>0.159</v>
      </c>
      <c r="X90">
        <v>0</v>
      </c>
      <c r="Z90" s="27" t="s">
        <v>12</v>
      </c>
      <c r="AA90" s="27">
        <v>5991</v>
      </c>
      <c r="AB90" s="27">
        <v>0</v>
      </c>
      <c r="AC90" s="27"/>
      <c r="AD90" t="s">
        <v>12</v>
      </c>
      <c r="AE90">
        <v>0</v>
      </c>
      <c r="AF90">
        <v>0</v>
      </c>
      <c r="AG90">
        <v>0</v>
      </c>
      <c r="AI90" t="s">
        <v>134</v>
      </c>
      <c r="AK90" t="s">
        <v>25</v>
      </c>
      <c r="AM90" t="s">
        <v>167</v>
      </c>
    </row>
    <row r="91" spans="1:39" x14ac:dyDescent="0.25">
      <c r="A91" t="s">
        <v>194</v>
      </c>
      <c r="B91">
        <v>181628</v>
      </c>
      <c r="C91" t="s">
        <v>27</v>
      </c>
      <c r="D91" t="s">
        <v>14</v>
      </c>
      <c r="E91" t="s">
        <v>11</v>
      </c>
      <c r="F91" t="s">
        <v>11</v>
      </c>
      <c r="G91">
        <v>292587</v>
      </c>
      <c r="H91" t="s">
        <v>85</v>
      </c>
      <c r="I91" t="s">
        <v>88</v>
      </c>
      <c r="J91" s="27" t="s">
        <v>10</v>
      </c>
      <c r="K91" s="27" t="s">
        <v>70</v>
      </c>
      <c r="L91" s="27"/>
      <c r="M91" s="27"/>
      <c r="N91" t="s">
        <v>10</v>
      </c>
      <c r="O91" t="s">
        <v>42</v>
      </c>
      <c r="R91" s="27" t="s">
        <v>13</v>
      </c>
      <c r="S91" s="27">
        <v>60</v>
      </c>
      <c r="T91" s="27"/>
      <c r="U91" s="27"/>
      <c r="V91" t="s">
        <v>10</v>
      </c>
      <c r="W91">
        <v>6.7000000000000004E-2</v>
      </c>
      <c r="X91">
        <v>0</v>
      </c>
      <c r="Z91" s="27" t="s">
        <v>10</v>
      </c>
      <c r="AA91" s="27">
        <v>1337</v>
      </c>
      <c r="AB91" s="27">
        <v>0</v>
      </c>
      <c r="AC91" s="27"/>
      <c r="AD91" t="s">
        <v>10</v>
      </c>
      <c r="AE91">
        <v>0</v>
      </c>
      <c r="AF91">
        <v>0</v>
      </c>
      <c r="AG91">
        <v>0</v>
      </c>
      <c r="AI91" t="s">
        <v>134</v>
      </c>
      <c r="AK91" t="s">
        <v>25</v>
      </c>
      <c r="AM91" t="s">
        <v>167</v>
      </c>
    </row>
    <row r="92" spans="1:39" x14ac:dyDescent="0.25">
      <c r="A92" t="s">
        <v>194</v>
      </c>
      <c r="B92">
        <v>181628</v>
      </c>
      <c r="C92" t="s">
        <v>27</v>
      </c>
      <c r="D92" t="s">
        <v>14</v>
      </c>
      <c r="E92" t="s">
        <v>11</v>
      </c>
      <c r="F92" t="s">
        <v>11</v>
      </c>
      <c r="G92">
        <v>292586</v>
      </c>
      <c r="H92" t="s">
        <v>85</v>
      </c>
      <c r="I92" t="s">
        <v>86</v>
      </c>
      <c r="J92" s="27" t="s">
        <v>10</v>
      </c>
      <c r="K92" s="27" t="s">
        <v>70</v>
      </c>
      <c r="L92" s="27"/>
      <c r="M92" s="27"/>
      <c r="N92" t="s">
        <v>10</v>
      </c>
      <c r="O92" t="s">
        <v>42</v>
      </c>
      <c r="R92" s="27" t="s">
        <v>13</v>
      </c>
      <c r="S92" s="27">
        <v>60</v>
      </c>
      <c r="T92" s="27"/>
      <c r="U92" s="27"/>
      <c r="V92" t="s">
        <v>10</v>
      </c>
      <c r="W92">
        <v>6.7000000000000004E-2</v>
      </c>
      <c r="X92">
        <v>0</v>
      </c>
      <c r="Z92" s="27" t="s">
        <v>10</v>
      </c>
      <c r="AA92" s="27">
        <v>1306</v>
      </c>
      <c r="AB92" s="27">
        <v>0</v>
      </c>
      <c r="AC92" s="27"/>
      <c r="AD92" t="s">
        <v>10</v>
      </c>
      <c r="AE92">
        <v>0</v>
      </c>
      <c r="AF92">
        <v>0</v>
      </c>
      <c r="AG92">
        <v>0</v>
      </c>
      <c r="AI92" t="s">
        <v>134</v>
      </c>
      <c r="AK92" t="s">
        <v>25</v>
      </c>
      <c r="AM92" t="s">
        <v>167</v>
      </c>
    </row>
    <row r="93" spans="1:39" x14ac:dyDescent="0.25">
      <c r="A93" t="s">
        <v>194</v>
      </c>
      <c r="B93">
        <v>181628</v>
      </c>
      <c r="C93" t="s">
        <v>27</v>
      </c>
      <c r="D93" t="s">
        <v>14</v>
      </c>
      <c r="E93" t="s">
        <v>11</v>
      </c>
      <c r="F93" t="s">
        <v>11</v>
      </c>
      <c r="G93">
        <v>292588</v>
      </c>
      <c r="H93" t="s">
        <v>85</v>
      </c>
      <c r="I93" t="s">
        <v>117</v>
      </c>
      <c r="J93" s="27" t="s">
        <v>10</v>
      </c>
      <c r="K93" s="27" t="s">
        <v>70</v>
      </c>
      <c r="L93" s="27"/>
      <c r="M93" s="27"/>
      <c r="N93" t="s">
        <v>10</v>
      </c>
      <c r="O93" t="s">
        <v>42</v>
      </c>
      <c r="R93" s="27" t="s">
        <v>13</v>
      </c>
      <c r="S93" s="27">
        <v>60</v>
      </c>
      <c r="T93" s="27"/>
      <c r="U93" s="27"/>
      <c r="V93" t="s">
        <v>10</v>
      </c>
      <c r="W93">
        <v>6.7000000000000004E-2</v>
      </c>
      <c r="X93">
        <v>0</v>
      </c>
      <c r="Z93" s="27" t="s">
        <v>10</v>
      </c>
      <c r="AA93" s="27">
        <v>1337</v>
      </c>
      <c r="AB93" s="27">
        <v>0</v>
      </c>
      <c r="AC93" s="27"/>
      <c r="AD93" t="s">
        <v>10</v>
      </c>
      <c r="AE93">
        <v>0</v>
      </c>
      <c r="AF93">
        <v>0</v>
      </c>
      <c r="AG93">
        <v>0</v>
      </c>
      <c r="AI93" t="s">
        <v>134</v>
      </c>
      <c r="AK93" t="s">
        <v>25</v>
      </c>
      <c r="AM93" t="s">
        <v>167</v>
      </c>
    </row>
    <row r="94" spans="1:39" x14ac:dyDescent="0.25">
      <c r="A94" t="s">
        <v>195</v>
      </c>
      <c r="B94">
        <v>181638</v>
      </c>
      <c r="C94" t="s">
        <v>27</v>
      </c>
      <c r="D94" t="s">
        <v>14</v>
      </c>
      <c r="E94" t="s">
        <v>11</v>
      </c>
      <c r="F94" t="s">
        <v>11</v>
      </c>
      <c r="G94">
        <v>294571</v>
      </c>
      <c r="H94" t="s">
        <v>36</v>
      </c>
      <c r="I94" t="s">
        <v>94</v>
      </c>
      <c r="J94" s="27" t="s">
        <v>10</v>
      </c>
      <c r="K94" s="27" t="s">
        <v>70</v>
      </c>
      <c r="L94" s="27"/>
      <c r="M94" s="27"/>
      <c r="N94" t="s">
        <v>10</v>
      </c>
      <c r="O94" t="s">
        <v>49</v>
      </c>
      <c r="R94" s="27" t="s">
        <v>13</v>
      </c>
      <c r="S94" s="27">
        <v>0</v>
      </c>
      <c r="T94" s="27"/>
      <c r="U94" s="27"/>
      <c r="V94" t="s">
        <v>10</v>
      </c>
      <c r="W94">
        <v>0.33900000000000002</v>
      </c>
      <c r="X94">
        <v>0</v>
      </c>
      <c r="Z94" s="27" t="s">
        <v>10</v>
      </c>
      <c r="AA94" s="27">
        <v>2434</v>
      </c>
      <c r="AB94" s="27">
        <v>0</v>
      </c>
      <c r="AC94" s="27"/>
      <c r="AD94" t="s">
        <v>10</v>
      </c>
      <c r="AE94">
        <v>0</v>
      </c>
      <c r="AF94">
        <v>0</v>
      </c>
      <c r="AG94">
        <v>0</v>
      </c>
      <c r="AI94" t="s">
        <v>134</v>
      </c>
      <c r="AK94" t="s">
        <v>25</v>
      </c>
    </row>
    <row r="95" spans="1:39" x14ac:dyDescent="0.25">
      <c r="A95" t="s">
        <v>195</v>
      </c>
      <c r="B95">
        <v>181638</v>
      </c>
      <c r="C95" t="s">
        <v>27</v>
      </c>
      <c r="D95" t="s">
        <v>14</v>
      </c>
      <c r="E95" t="s">
        <v>11</v>
      </c>
      <c r="F95" t="s">
        <v>11</v>
      </c>
      <c r="G95">
        <v>292101</v>
      </c>
      <c r="H95" t="s">
        <v>36</v>
      </c>
      <c r="I95" t="s">
        <v>51</v>
      </c>
      <c r="J95" s="27" t="s">
        <v>10</v>
      </c>
      <c r="K95" s="27" t="s">
        <v>70</v>
      </c>
      <c r="L95" s="27"/>
      <c r="M95" s="27"/>
      <c r="N95" t="s">
        <v>10</v>
      </c>
      <c r="O95" t="s">
        <v>49</v>
      </c>
      <c r="R95" s="27" t="s">
        <v>13</v>
      </c>
      <c r="S95" s="27">
        <v>58</v>
      </c>
      <c r="T95" s="27"/>
      <c r="U95" s="27"/>
      <c r="V95" t="s">
        <v>10</v>
      </c>
      <c r="W95">
        <v>0.33900000000000002</v>
      </c>
      <c r="X95">
        <v>0</v>
      </c>
      <c r="Z95" s="27" t="s">
        <v>10</v>
      </c>
      <c r="AA95" s="27">
        <v>2448</v>
      </c>
      <c r="AB95" s="27">
        <v>0</v>
      </c>
      <c r="AC95" s="27"/>
      <c r="AD95" t="s">
        <v>10</v>
      </c>
      <c r="AE95">
        <v>0</v>
      </c>
      <c r="AF95">
        <v>0</v>
      </c>
      <c r="AG95">
        <v>0</v>
      </c>
      <c r="AI95" t="s">
        <v>134</v>
      </c>
      <c r="AK95" t="s">
        <v>25</v>
      </c>
    </row>
    <row r="96" spans="1:39" x14ac:dyDescent="0.25">
      <c r="A96" t="s">
        <v>195</v>
      </c>
      <c r="B96">
        <v>181638</v>
      </c>
      <c r="C96" t="s">
        <v>27</v>
      </c>
      <c r="D96" t="s">
        <v>14</v>
      </c>
      <c r="E96" t="s">
        <v>11</v>
      </c>
      <c r="F96" t="s">
        <v>11</v>
      </c>
      <c r="G96">
        <v>290061</v>
      </c>
      <c r="H96" t="s">
        <v>36</v>
      </c>
      <c r="I96" t="s">
        <v>98</v>
      </c>
      <c r="J96" s="27" t="s">
        <v>10</v>
      </c>
      <c r="K96" s="27" t="s">
        <v>70</v>
      </c>
      <c r="L96" s="27"/>
      <c r="M96" s="27"/>
      <c r="N96" t="s">
        <v>10</v>
      </c>
      <c r="O96" t="s">
        <v>49</v>
      </c>
      <c r="R96" s="27" t="s">
        <v>13</v>
      </c>
      <c r="S96" s="27">
        <v>58</v>
      </c>
      <c r="T96" s="27"/>
      <c r="U96" s="27"/>
      <c r="V96" t="s">
        <v>10</v>
      </c>
      <c r="W96">
        <v>0.33900000000000002</v>
      </c>
      <c r="X96">
        <v>0</v>
      </c>
      <c r="Z96" s="27" t="s">
        <v>10</v>
      </c>
      <c r="AA96" s="27">
        <v>2434</v>
      </c>
      <c r="AB96" s="27">
        <v>0</v>
      </c>
      <c r="AC96" s="27"/>
      <c r="AD96" t="s">
        <v>10</v>
      </c>
      <c r="AE96">
        <v>0</v>
      </c>
      <c r="AF96">
        <v>0</v>
      </c>
      <c r="AG96">
        <v>0</v>
      </c>
      <c r="AI96" t="s">
        <v>134</v>
      </c>
      <c r="AK96" t="s">
        <v>25</v>
      </c>
    </row>
    <row r="97" spans="1:39" x14ac:dyDescent="0.25">
      <c r="A97" t="s">
        <v>195</v>
      </c>
      <c r="B97">
        <v>181638</v>
      </c>
      <c r="C97" t="s">
        <v>27</v>
      </c>
      <c r="D97" t="s">
        <v>14</v>
      </c>
      <c r="E97" t="s">
        <v>11</v>
      </c>
      <c r="F97" t="s">
        <v>11</v>
      </c>
      <c r="G97">
        <v>294572</v>
      </c>
      <c r="H97" t="s">
        <v>36</v>
      </c>
      <c r="I97" t="s">
        <v>118</v>
      </c>
      <c r="J97" s="27" t="s">
        <v>10</v>
      </c>
      <c r="K97" s="27" t="s">
        <v>70</v>
      </c>
      <c r="L97" s="27"/>
      <c r="M97" s="27"/>
      <c r="N97" t="s">
        <v>10</v>
      </c>
      <c r="O97" t="s">
        <v>49</v>
      </c>
      <c r="R97" s="27" t="s">
        <v>13</v>
      </c>
      <c r="S97" s="27">
        <v>0</v>
      </c>
      <c r="T97" s="27"/>
      <c r="U97" s="27"/>
      <c r="V97" t="s">
        <v>10</v>
      </c>
      <c r="W97">
        <v>0.33900000000000002</v>
      </c>
      <c r="X97">
        <v>0</v>
      </c>
      <c r="Z97" s="27" t="s">
        <v>10</v>
      </c>
      <c r="AA97" s="27">
        <v>2434</v>
      </c>
      <c r="AB97" s="27">
        <v>0</v>
      </c>
      <c r="AC97" s="27"/>
      <c r="AD97" t="s">
        <v>10</v>
      </c>
      <c r="AE97">
        <v>0</v>
      </c>
      <c r="AF97">
        <v>0</v>
      </c>
      <c r="AG97">
        <v>0</v>
      </c>
      <c r="AI97" t="s">
        <v>134</v>
      </c>
      <c r="AK97" t="s">
        <v>25</v>
      </c>
    </row>
    <row r="98" spans="1:39" x14ac:dyDescent="0.25">
      <c r="A98" t="s">
        <v>196</v>
      </c>
      <c r="B98">
        <v>181583</v>
      </c>
      <c r="C98" t="s">
        <v>27</v>
      </c>
      <c r="D98" t="s">
        <v>14</v>
      </c>
      <c r="E98" t="s">
        <v>121</v>
      </c>
      <c r="F98" t="s">
        <v>121</v>
      </c>
      <c r="G98">
        <v>290059</v>
      </c>
      <c r="H98" t="s">
        <v>36</v>
      </c>
      <c r="I98" t="s">
        <v>37</v>
      </c>
      <c r="J98" s="27" t="s">
        <v>126</v>
      </c>
      <c r="K98" s="27" t="s">
        <v>122</v>
      </c>
      <c r="L98" s="27" t="s">
        <v>122</v>
      </c>
      <c r="M98" s="27">
        <v>0</v>
      </c>
      <c r="N98" t="s">
        <v>126</v>
      </c>
      <c r="O98" t="s">
        <v>63</v>
      </c>
      <c r="P98" t="s">
        <v>122</v>
      </c>
      <c r="Q98">
        <v>-1</v>
      </c>
      <c r="R98" s="27" t="s">
        <v>13</v>
      </c>
      <c r="S98" s="27">
        <v>58</v>
      </c>
      <c r="T98" s="27">
        <v>58</v>
      </c>
      <c r="U98" s="27">
        <v>0</v>
      </c>
      <c r="V98" t="s">
        <v>126</v>
      </c>
      <c r="W98">
        <v>0.33500000000000002</v>
      </c>
      <c r="X98">
        <v>0.34089999999999998</v>
      </c>
      <c r="Y98">
        <v>1.76</v>
      </c>
      <c r="Z98" s="27" t="s">
        <v>126</v>
      </c>
      <c r="AA98" s="27">
        <v>40979</v>
      </c>
      <c r="AB98" s="27">
        <v>40979</v>
      </c>
      <c r="AC98" s="27">
        <v>0</v>
      </c>
      <c r="AD98" t="s">
        <v>126</v>
      </c>
      <c r="AE98">
        <v>0</v>
      </c>
      <c r="AF98">
        <v>113</v>
      </c>
      <c r="AG98">
        <v>13728</v>
      </c>
      <c r="AH98">
        <v>0.82</v>
      </c>
      <c r="AI98" t="s">
        <v>133</v>
      </c>
      <c r="AK98" t="s">
        <v>25</v>
      </c>
    </row>
    <row r="99" spans="1:39" x14ac:dyDescent="0.25">
      <c r="A99" t="s">
        <v>197</v>
      </c>
      <c r="B99">
        <v>181626</v>
      </c>
      <c r="C99" t="s">
        <v>27</v>
      </c>
      <c r="D99" t="s">
        <v>14</v>
      </c>
      <c r="E99" t="s">
        <v>11</v>
      </c>
      <c r="F99" t="s">
        <v>11</v>
      </c>
      <c r="G99">
        <v>290060</v>
      </c>
      <c r="H99" t="s">
        <v>36</v>
      </c>
      <c r="I99" t="s">
        <v>43</v>
      </c>
      <c r="J99" s="27" t="s">
        <v>10</v>
      </c>
      <c r="K99" s="27" t="s">
        <v>122</v>
      </c>
      <c r="L99" s="27"/>
      <c r="M99" s="27"/>
      <c r="N99" t="s">
        <v>10</v>
      </c>
      <c r="O99" t="s">
        <v>44</v>
      </c>
      <c r="R99" s="27" t="s">
        <v>13</v>
      </c>
      <c r="S99" s="27">
        <v>58</v>
      </c>
      <c r="T99" s="27"/>
      <c r="U99" s="27"/>
      <c r="V99" t="s">
        <v>10</v>
      </c>
      <c r="W99">
        <v>0.25700000000000001</v>
      </c>
      <c r="X99">
        <v>0</v>
      </c>
      <c r="Z99" s="27" t="s">
        <v>10</v>
      </c>
      <c r="AA99" s="27">
        <v>743</v>
      </c>
      <c r="AB99" s="27">
        <v>0</v>
      </c>
      <c r="AC99" s="27"/>
      <c r="AD99" t="s">
        <v>10</v>
      </c>
      <c r="AE99">
        <v>0</v>
      </c>
      <c r="AF99">
        <v>0</v>
      </c>
      <c r="AG99">
        <v>0</v>
      </c>
      <c r="AI99" t="s">
        <v>134</v>
      </c>
      <c r="AK99" t="s">
        <v>25</v>
      </c>
      <c r="AM99" t="s">
        <v>164</v>
      </c>
    </row>
    <row r="100" spans="1:39" x14ac:dyDescent="0.25">
      <c r="A100" t="s">
        <v>197</v>
      </c>
      <c r="B100">
        <v>181626</v>
      </c>
      <c r="C100" t="s">
        <v>27</v>
      </c>
      <c r="D100" t="s">
        <v>14</v>
      </c>
      <c r="E100" t="s">
        <v>11</v>
      </c>
      <c r="F100" t="s">
        <v>11</v>
      </c>
      <c r="G100">
        <v>290059</v>
      </c>
      <c r="H100" t="s">
        <v>36</v>
      </c>
      <c r="I100" t="s">
        <v>37</v>
      </c>
      <c r="J100" s="27" t="s">
        <v>10</v>
      </c>
      <c r="K100" s="27" t="s">
        <v>122</v>
      </c>
      <c r="L100" s="27"/>
      <c r="M100" s="27"/>
      <c r="N100" t="s">
        <v>10</v>
      </c>
      <c r="O100" t="s">
        <v>44</v>
      </c>
      <c r="R100" s="27" t="s">
        <v>13</v>
      </c>
      <c r="S100" s="27">
        <v>58</v>
      </c>
      <c r="T100" s="27"/>
      <c r="U100" s="27"/>
      <c r="V100" t="s">
        <v>10</v>
      </c>
      <c r="W100">
        <v>0.25700000000000001</v>
      </c>
      <c r="X100">
        <v>0</v>
      </c>
      <c r="Z100" s="27" t="s">
        <v>10</v>
      </c>
      <c r="AA100" s="27">
        <v>743</v>
      </c>
      <c r="AB100" s="27">
        <v>0</v>
      </c>
      <c r="AC100" s="27"/>
      <c r="AD100" t="s">
        <v>10</v>
      </c>
      <c r="AE100">
        <v>0</v>
      </c>
      <c r="AF100">
        <v>0</v>
      </c>
      <c r="AG100">
        <v>0</v>
      </c>
      <c r="AI100" t="s">
        <v>134</v>
      </c>
      <c r="AK100" t="s">
        <v>25</v>
      </c>
    </row>
    <row r="101" spans="1:39" x14ac:dyDescent="0.25">
      <c r="A101" t="s">
        <v>197</v>
      </c>
      <c r="B101">
        <v>181626</v>
      </c>
      <c r="C101" t="s">
        <v>27</v>
      </c>
      <c r="D101" t="s">
        <v>14</v>
      </c>
      <c r="E101" t="s">
        <v>11</v>
      </c>
      <c r="F101" t="s">
        <v>11</v>
      </c>
      <c r="G101">
        <v>290061</v>
      </c>
      <c r="H101" t="s">
        <v>36</v>
      </c>
      <c r="I101" t="s">
        <v>98</v>
      </c>
      <c r="J101" s="27" t="s">
        <v>10</v>
      </c>
      <c r="K101" s="27" t="s">
        <v>122</v>
      </c>
      <c r="L101" s="27"/>
      <c r="M101" s="27"/>
      <c r="N101" t="s">
        <v>10</v>
      </c>
      <c r="O101" t="s">
        <v>44</v>
      </c>
      <c r="R101" s="27" t="s">
        <v>13</v>
      </c>
      <c r="S101" s="27">
        <v>58</v>
      </c>
      <c r="T101" s="27"/>
      <c r="U101" s="27"/>
      <c r="V101" t="s">
        <v>10</v>
      </c>
      <c r="W101">
        <v>0.25700000000000001</v>
      </c>
      <c r="X101">
        <v>0</v>
      </c>
      <c r="Z101" s="27" t="s">
        <v>10</v>
      </c>
      <c r="AA101" s="27">
        <v>743</v>
      </c>
      <c r="AB101" s="27">
        <v>0</v>
      </c>
      <c r="AC101" s="27"/>
      <c r="AD101" t="s">
        <v>10</v>
      </c>
      <c r="AE101">
        <v>0</v>
      </c>
      <c r="AF101">
        <v>0</v>
      </c>
      <c r="AG101">
        <v>0</v>
      </c>
      <c r="AI101" t="s">
        <v>134</v>
      </c>
      <c r="AK101" t="s">
        <v>25</v>
      </c>
      <c r="AM101" t="s">
        <v>164</v>
      </c>
    </row>
    <row r="102" spans="1:39" x14ac:dyDescent="0.25">
      <c r="A102" t="s">
        <v>198</v>
      </c>
      <c r="B102">
        <v>181591</v>
      </c>
      <c r="C102" t="s">
        <v>27</v>
      </c>
      <c r="D102" t="s">
        <v>14</v>
      </c>
      <c r="E102" t="s">
        <v>121</v>
      </c>
      <c r="F102" t="s">
        <v>121</v>
      </c>
      <c r="G102">
        <v>293262</v>
      </c>
      <c r="H102" t="s">
        <v>36</v>
      </c>
      <c r="I102" t="s">
        <v>107</v>
      </c>
      <c r="J102" s="27" t="s">
        <v>126</v>
      </c>
      <c r="K102" s="27" t="s">
        <v>122</v>
      </c>
      <c r="L102" s="27"/>
      <c r="M102" s="27"/>
      <c r="N102" t="s">
        <v>126</v>
      </c>
      <c r="O102" t="s">
        <v>47</v>
      </c>
      <c r="R102" s="27" t="s">
        <v>13</v>
      </c>
      <c r="S102" s="27">
        <v>58</v>
      </c>
      <c r="T102" s="27"/>
      <c r="U102" s="27"/>
      <c r="V102" t="s">
        <v>126</v>
      </c>
      <c r="W102">
        <v>0.41099999999999998</v>
      </c>
      <c r="X102">
        <v>0</v>
      </c>
      <c r="Z102" s="27" t="s">
        <v>126</v>
      </c>
      <c r="AA102" s="27">
        <v>367</v>
      </c>
      <c r="AB102" s="27">
        <v>0</v>
      </c>
      <c r="AC102" s="27"/>
      <c r="AD102" t="s">
        <v>126</v>
      </c>
      <c r="AE102">
        <v>0</v>
      </c>
      <c r="AF102">
        <v>0</v>
      </c>
      <c r="AG102">
        <v>0</v>
      </c>
      <c r="AI102" t="s">
        <v>134</v>
      </c>
      <c r="AK102" t="s">
        <v>25</v>
      </c>
      <c r="AM102" t="s">
        <v>164</v>
      </c>
    </row>
    <row r="103" spans="1:39" x14ac:dyDescent="0.25">
      <c r="A103" t="s">
        <v>198</v>
      </c>
      <c r="B103">
        <v>181591</v>
      </c>
      <c r="C103" t="s">
        <v>27</v>
      </c>
      <c r="D103" t="s">
        <v>14</v>
      </c>
      <c r="E103" t="s">
        <v>121</v>
      </c>
      <c r="F103" t="s">
        <v>121</v>
      </c>
      <c r="G103">
        <v>292101</v>
      </c>
      <c r="H103" t="s">
        <v>36</v>
      </c>
      <c r="I103" t="s">
        <v>51</v>
      </c>
      <c r="J103" s="27" t="s">
        <v>126</v>
      </c>
      <c r="K103" s="27" t="s">
        <v>122</v>
      </c>
      <c r="L103" s="27"/>
      <c r="M103" s="27"/>
      <c r="N103" t="s">
        <v>126</v>
      </c>
      <c r="O103" t="s">
        <v>47</v>
      </c>
      <c r="R103" s="27" t="s">
        <v>13</v>
      </c>
      <c r="S103" s="27">
        <v>58</v>
      </c>
      <c r="T103" s="27"/>
      <c r="U103" s="27"/>
      <c r="V103" t="s">
        <v>126</v>
      </c>
      <c r="W103">
        <v>0.41099999999999998</v>
      </c>
      <c r="X103">
        <v>0</v>
      </c>
      <c r="Z103" s="27" t="s">
        <v>126</v>
      </c>
      <c r="AA103" s="27">
        <v>367</v>
      </c>
      <c r="AB103" s="27">
        <v>0</v>
      </c>
      <c r="AC103" s="27"/>
      <c r="AD103" t="s">
        <v>126</v>
      </c>
      <c r="AE103">
        <v>0</v>
      </c>
      <c r="AF103">
        <v>0</v>
      </c>
      <c r="AG103">
        <v>0</v>
      </c>
      <c r="AI103" t="s">
        <v>134</v>
      </c>
      <c r="AK103" t="s">
        <v>25</v>
      </c>
      <c r="AM103" t="s">
        <v>164</v>
      </c>
    </row>
    <row r="104" spans="1:39" x14ac:dyDescent="0.25">
      <c r="A104" t="s">
        <v>198</v>
      </c>
      <c r="B104">
        <v>181591</v>
      </c>
      <c r="C104" t="s">
        <v>27</v>
      </c>
      <c r="D104" t="s">
        <v>14</v>
      </c>
      <c r="E104" t="s">
        <v>121</v>
      </c>
      <c r="F104" t="s">
        <v>121</v>
      </c>
      <c r="G104">
        <v>290061</v>
      </c>
      <c r="H104" t="s">
        <v>36</v>
      </c>
      <c r="I104" t="s">
        <v>98</v>
      </c>
      <c r="J104" s="27" t="s">
        <v>126</v>
      </c>
      <c r="K104" s="27" t="s">
        <v>122</v>
      </c>
      <c r="L104" s="27"/>
      <c r="M104" s="27"/>
      <c r="N104" t="s">
        <v>126</v>
      </c>
      <c r="O104" t="s">
        <v>47</v>
      </c>
      <c r="R104" s="27" t="s">
        <v>13</v>
      </c>
      <c r="S104" s="27">
        <v>58</v>
      </c>
      <c r="T104" s="27"/>
      <c r="U104" s="27"/>
      <c r="V104" t="s">
        <v>126</v>
      </c>
      <c r="W104">
        <v>0.41099999999999998</v>
      </c>
      <c r="X104">
        <v>0</v>
      </c>
      <c r="Z104" s="27" t="s">
        <v>126</v>
      </c>
      <c r="AA104" s="27">
        <v>367</v>
      </c>
      <c r="AB104" s="27">
        <v>0</v>
      </c>
      <c r="AC104" s="27"/>
      <c r="AD104" t="s">
        <v>126</v>
      </c>
      <c r="AE104">
        <v>0</v>
      </c>
      <c r="AF104">
        <v>0</v>
      </c>
      <c r="AG104">
        <v>0</v>
      </c>
      <c r="AI104" t="s">
        <v>134</v>
      </c>
      <c r="AK104" t="s">
        <v>25</v>
      </c>
      <c r="AM104" t="s">
        <v>164</v>
      </c>
    </row>
    <row r="105" spans="1:39" x14ac:dyDescent="0.25">
      <c r="A105" t="s">
        <v>199</v>
      </c>
      <c r="B105">
        <v>181590</v>
      </c>
      <c r="C105" t="s">
        <v>27</v>
      </c>
      <c r="D105" t="s">
        <v>14</v>
      </c>
      <c r="E105" t="s">
        <v>121</v>
      </c>
      <c r="F105" t="s">
        <v>121</v>
      </c>
      <c r="G105">
        <v>293262</v>
      </c>
      <c r="H105" t="s">
        <v>36</v>
      </c>
      <c r="I105" t="s">
        <v>107</v>
      </c>
      <c r="J105" s="27" t="s">
        <v>126</v>
      </c>
      <c r="K105" s="27" t="s">
        <v>122</v>
      </c>
      <c r="L105" s="27"/>
      <c r="M105" s="27"/>
      <c r="N105" t="s">
        <v>126</v>
      </c>
      <c r="O105" t="s">
        <v>44</v>
      </c>
      <c r="R105" s="27" t="s">
        <v>13</v>
      </c>
      <c r="S105" s="27">
        <v>58</v>
      </c>
      <c r="T105" s="27"/>
      <c r="U105" s="27"/>
      <c r="V105" t="s">
        <v>126</v>
      </c>
      <c r="W105">
        <v>0.32600000000000001</v>
      </c>
      <c r="X105">
        <v>0</v>
      </c>
      <c r="Z105" s="27" t="s">
        <v>126</v>
      </c>
      <c r="AA105" s="27">
        <v>2350</v>
      </c>
      <c r="AB105" s="27">
        <v>0</v>
      </c>
      <c r="AC105" s="27"/>
      <c r="AD105" t="s">
        <v>126</v>
      </c>
      <c r="AE105">
        <v>0</v>
      </c>
      <c r="AF105">
        <v>0</v>
      </c>
      <c r="AG105">
        <v>0</v>
      </c>
      <c r="AI105" t="s">
        <v>134</v>
      </c>
      <c r="AK105" t="s">
        <v>25</v>
      </c>
      <c r="AM105" t="s">
        <v>164</v>
      </c>
    </row>
    <row r="106" spans="1:39" x14ac:dyDescent="0.25">
      <c r="A106" t="s">
        <v>199</v>
      </c>
      <c r="B106">
        <v>181590</v>
      </c>
      <c r="C106" t="s">
        <v>27</v>
      </c>
      <c r="D106" t="s">
        <v>14</v>
      </c>
      <c r="E106" t="s">
        <v>121</v>
      </c>
      <c r="F106" t="s">
        <v>121</v>
      </c>
      <c r="G106">
        <v>292101</v>
      </c>
      <c r="H106" t="s">
        <v>36</v>
      </c>
      <c r="I106" t="s">
        <v>51</v>
      </c>
      <c r="J106" s="27" t="s">
        <v>126</v>
      </c>
      <c r="K106" s="27" t="s">
        <v>122</v>
      </c>
      <c r="L106" s="27"/>
      <c r="M106" s="27"/>
      <c r="N106" t="s">
        <v>126</v>
      </c>
      <c r="O106" t="s">
        <v>44</v>
      </c>
      <c r="R106" s="27" t="s">
        <v>13</v>
      </c>
      <c r="S106" s="27">
        <v>58</v>
      </c>
      <c r="T106" s="27"/>
      <c r="U106" s="27"/>
      <c r="V106" t="s">
        <v>126</v>
      </c>
      <c r="W106">
        <v>0.32600000000000001</v>
      </c>
      <c r="X106">
        <v>0</v>
      </c>
      <c r="Z106" s="27" t="s">
        <v>126</v>
      </c>
      <c r="AA106" s="27">
        <v>2350</v>
      </c>
      <c r="AB106" s="27">
        <v>0</v>
      </c>
      <c r="AC106" s="27"/>
      <c r="AD106" t="s">
        <v>126</v>
      </c>
      <c r="AE106">
        <v>0</v>
      </c>
      <c r="AF106">
        <v>0</v>
      </c>
      <c r="AG106">
        <v>0</v>
      </c>
      <c r="AI106" t="s">
        <v>134</v>
      </c>
      <c r="AK106" t="s">
        <v>25</v>
      </c>
      <c r="AM106" t="s">
        <v>164</v>
      </c>
    </row>
    <row r="107" spans="1:39" x14ac:dyDescent="0.25">
      <c r="A107" t="s">
        <v>199</v>
      </c>
      <c r="B107">
        <v>181590</v>
      </c>
      <c r="C107" t="s">
        <v>27</v>
      </c>
      <c r="D107" t="s">
        <v>14</v>
      </c>
      <c r="E107" t="s">
        <v>121</v>
      </c>
      <c r="F107" t="s">
        <v>121</v>
      </c>
      <c r="G107">
        <v>290061</v>
      </c>
      <c r="H107" t="s">
        <v>36</v>
      </c>
      <c r="I107" t="s">
        <v>98</v>
      </c>
      <c r="J107" s="27" t="s">
        <v>126</v>
      </c>
      <c r="K107" s="27" t="s">
        <v>122</v>
      </c>
      <c r="L107" s="27"/>
      <c r="M107" s="27"/>
      <c r="N107" t="s">
        <v>126</v>
      </c>
      <c r="O107" t="s">
        <v>44</v>
      </c>
      <c r="R107" s="27" t="s">
        <v>13</v>
      </c>
      <c r="S107" s="27">
        <v>58</v>
      </c>
      <c r="T107" s="27"/>
      <c r="U107" s="27"/>
      <c r="V107" t="s">
        <v>126</v>
      </c>
      <c r="W107">
        <v>0.32600000000000001</v>
      </c>
      <c r="X107">
        <v>0</v>
      </c>
      <c r="Z107" s="27" t="s">
        <v>126</v>
      </c>
      <c r="AA107" s="27">
        <v>2350</v>
      </c>
      <c r="AB107" s="27">
        <v>0</v>
      </c>
      <c r="AC107" s="27"/>
      <c r="AD107" t="s">
        <v>126</v>
      </c>
      <c r="AE107">
        <v>0</v>
      </c>
      <c r="AF107">
        <v>0</v>
      </c>
      <c r="AG107">
        <v>0</v>
      </c>
      <c r="AI107" t="s">
        <v>134</v>
      </c>
      <c r="AK107" t="s">
        <v>25</v>
      </c>
      <c r="AM107" t="s">
        <v>164</v>
      </c>
    </row>
    <row r="108" spans="1:39" x14ac:dyDescent="0.25">
      <c r="A108" t="s">
        <v>200</v>
      </c>
      <c r="B108">
        <v>181589</v>
      </c>
      <c r="C108" t="s">
        <v>27</v>
      </c>
      <c r="D108" t="s">
        <v>14</v>
      </c>
      <c r="E108" t="s">
        <v>121</v>
      </c>
      <c r="F108" t="s">
        <v>121</v>
      </c>
      <c r="G108">
        <v>292730</v>
      </c>
      <c r="H108" t="s">
        <v>36</v>
      </c>
      <c r="I108" t="s">
        <v>127</v>
      </c>
      <c r="J108" s="27" t="s">
        <v>126</v>
      </c>
      <c r="K108" s="27" t="s">
        <v>122</v>
      </c>
      <c r="L108" s="27"/>
      <c r="M108" s="27"/>
      <c r="N108" t="s">
        <v>126</v>
      </c>
      <c r="O108" t="s">
        <v>49</v>
      </c>
      <c r="R108" s="27" t="s">
        <v>13</v>
      </c>
      <c r="S108" s="27">
        <v>58</v>
      </c>
      <c r="T108" s="27"/>
      <c r="U108" s="27"/>
      <c r="V108" t="s">
        <v>126</v>
      </c>
      <c r="W108">
        <v>0.32800000000000001</v>
      </c>
      <c r="X108">
        <v>0</v>
      </c>
      <c r="Z108" s="27" t="s">
        <v>126</v>
      </c>
      <c r="AA108" s="27">
        <v>3341</v>
      </c>
      <c r="AB108" s="27">
        <v>0</v>
      </c>
      <c r="AC108" s="27"/>
      <c r="AD108" t="s">
        <v>126</v>
      </c>
      <c r="AE108">
        <v>0</v>
      </c>
      <c r="AF108">
        <v>0</v>
      </c>
      <c r="AG108">
        <v>0</v>
      </c>
      <c r="AI108" t="s">
        <v>133</v>
      </c>
      <c r="AK108" t="s">
        <v>25</v>
      </c>
      <c r="AM108" t="s">
        <v>164</v>
      </c>
    </row>
    <row r="109" spans="1:39" x14ac:dyDescent="0.25">
      <c r="A109" t="s">
        <v>200</v>
      </c>
      <c r="B109">
        <v>181589</v>
      </c>
      <c r="C109" t="s">
        <v>27</v>
      </c>
      <c r="D109" t="s">
        <v>14</v>
      </c>
      <c r="E109" t="s">
        <v>121</v>
      </c>
      <c r="F109" t="s">
        <v>121</v>
      </c>
      <c r="G109">
        <v>290061</v>
      </c>
      <c r="H109" t="s">
        <v>36</v>
      </c>
      <c r="I109" t="s">
        <v>98</v>
      </c>
      <c r="J109" s="27" t="s">
        <v>126</v>
      </c>
      <c r="K109" s="27" t="s">
        <v>122</v>
      </c>
      <c r="L109" s="27" t="s">
        <v>62</v>
      </c>
      <c r="M109" s="27">
        <v>-1</v>
      </c>
      <c r="N109" t="s">
        <v>126</v>
      </c>
      <c r="O109" t="s">
        <v>49</v>
      </c>
      <c r="R109" s="27" t="s">
        <v>13</v>
      </c>
      <c r="S109" s="27">
        <v>58</v>
      </c>
      <c r="T109" s="27"/>
      <c r="U109" s="27"/>
      <c r="V109" t="s">
        <v>126</v>
      </c>
      <c r="W109">
        <v>0.32800000000000001</v>
      </c>
      <c r="X109">
        <v>0</v>
      </c>
      <c r="Z109" s="27" t="s">
        <v>126</v>
      </c>
      <c r="AA109" s="27">
        <v>3341</v>
      </c>
      <c r="AB109" s="27">
        <v>3341</v>
      </c>
      <c r="AC109" s="27">
        <v>0</v>
      </c>
      <c r="AD109" t="s">
        <v>126</v>
      </c>
      <c r="AE109">
        <v>0</v>
      </c>
      <c r="AF109">
        <v>0</v>
      </c>
      <c r="AG109">
        <v>1096</v>
      </c>
      <c r="AH109">
        <v>0</v>
      </c>
      <c r="AI109" t="s">
        <v>133</v>
      </c>
      <c r="AK109" t="s">
        <v>25</v>
      </c>
    </row>
    <row r="110" spans="1:39" x14ac:dyDescent="0.25">
      <c r="A110" t="s">
        <v>200</v>
      </c>
      <c r="B110">
        <v>181589</v>
      </c>
      <c r="C110" t="s">
        <v>27</v>
      </c>
      <c r="D110" t="s">
        <v>14</v>
      </c>
      <c r="E110" t="s">
        <v>121</v>
      </c>
      <c r="F110" t="s">
        <v>121</v>
      </c>
      <c r="G110">
        <v>290059</v>
      </c>
      <c r="H110" t="s">
        <v>36</v>
      </c>
      <c r="I110" t="s">
        <v>37</v>
      </c>
      <c r="J110" s="27" t="s">
        <v>126</v>
      </c>
      <c r="K110" s="27" t="s">
        <v>122</v>
      </c>
      <c r="L110" s="27" t="s">
        <v>62</v>
      </c>
      <c r="M110" s="27">
        <v>-1</v>
      </c>
      <c r="N110" t="s">
        <v>126</v>
      </c>
      <c r="O110" t="s">
        <v>49</v>
      </c>
      <c r="R110" s="27" t="s">
        <v>13</v>
      </c>
      <c r="S110" s="27">
        <v>58</v>
      </c>
      <c r="T110" s="27"/>
      <c r="U110" s="27"/>
      <c r="V110" t="s">
        <v>126</v>
      </c>
      <c r="W110">
        <v>0.32800000000000001</v>
      </c>
      <c r="X110">
        <v>0</v>
      </c>
      <c r="Z110" s="27" t="s">
        <v>126</v>
      </c>
      <c r="AA110" s="27">
        <v>3341</v>
      </c>
      <c r="AB110" s="27">
        <v>3341</v>
      </c>
      <c r="AC110" s="27">
        <v>0</v>
      </c>
      <c r="AD110" t="s">
        <v>126</v>
      </c>
      <c r="AE110">
        <v>0</v>
      </c>
      <c r="AF110">
        <v>0</v>
      </c>
      <c r="AG110">
        <v>1096</v>
      </c>
      <c r="AH110">
        <v>0</v>
      </c>
      <c r="AI110" t="s">
        <v>133</v>
      </c>
      <c r="AK110" t="s">
        <v>25</v>
      </c>
    </row>
    <row r="111" spans="1:39" x14ac:dyDescent="0.25">
      <c r="A111" t="s">
        <v>201</v>
      </c>
      <c r="B111">
        <v>181588</v>
      </c>
      <c r="C111" t="s">
        <v>27</v>
      </c>
      <c r="D111" t="s">
        <v>14</v>
      </c>
      <c r="E111" t="s">
        <v>121</v>
      </c>
      <c r="F111" t="s">
        <v>121</v>
      </c>
      <c r="G111">
        <v>290059</v>
      </c>
      <c r="H111" t="s">
        <v>36</v>
      </c>
      <c r="I111" t="s">
        <v>37</v>
      </c>
      <c r="J111" s="27" t="s">
        <v>126</v>
      </c>
      <c r="K111" s="27" t="s">
        <v>122</v>
      </c>
      <c r="L111" s="27"/>
      <c r="M111" s="27"/>
      <c r="N111" t="s">
        <v>126</v>
      </c>
      <c r="O111" t="s">
        <v>39</v>
      </c>
      <c r="R111" s="27" t="s">
        <v>13</v>
      </c>
      <c r="S111" s="27">
        <v>58</v>
      </c>
      <c r="T111" s="27"/>
      <c r="U111" s="27"/>
      <c r="V111" t="s">
        <v>126</v>
      </c>
      <c r="W111">
        <v>0.41099999999999998</v>
      </c>
      <c r="X111">
        <v>0</v>
      </c>
      <c r="Z111" s="27" t="s">
        <v>126</v>
      </c>
      <c r="AA111" s="27">
        <v>367</v>
      </c>
      <c r="AB111" s="27">
        <v>0</v>
      </c>
      <c r="AC111" s="27"/>
      <c r="AD111" t="s">
        <v>126</v>
      </c>
      <c r="AE111">
        <v>0</v>
      </c>
      <c r="AF111">
        <v>0</v>
      </c>
      <c r="AG111">
        <v>0</v>
      </c>
      <c r="AI111" t="s">
        <v>134</v>
      </c>
      <c r="AK111" t="s">
        <v>25</v>
      </c>
      <c r="AM111" t="s">
        <v>164</v>
      </c>
    </row>
    <row r="112" spans="1:39" x14ac:dyDescent="0.25">
      <c r="A112" t="s">
        <v>201</v>
      </c>
      <c r="B112">
        <v>181588</v>
      </c>
      <c r="C112" t="s">
        <v>27</v>
      </c>
      <c r="D112" t="s">
        <v>14</v>
      </c>
      <c r="E112" t="s">
        <v>121</v>
      </c>
      <c r="F112" t="s">
        <v>121</v>
      </c>
      <c r="G112">
        <v>292100</v>
      </c>
      <c r="H112" t="s">
        <v>36</v>
      </c>
      <c r="I112" t="s">
        <v>100</v>
      </c>
      <c r="J112" s="27" t="s">
        <v>126</v>
      </c>
      <c r="K112" s="27" t="s">
        <v>122</v>
      </c>
      <c r="L112" s="27"/>
      <c r="M112" s="27"/>
      <c r="N112" t="s">
        <v>126</v>
      </c>
      <c r="O112" t="s">
        <v>39</v>
      </c>
      <c r="R112" s="27" t="s">
        <v>13</v>
      </c>
      <c r="S112" s="27">
        <v>58</v>
      </c>
      <c r="T112" s="27"/>
      <c r="U112" s="27"/>
      <c r="V112" t="s">
        <v>126</v>
      </c>
      <c r="W112">
        <v>0.41099999999999998</v>
      </c>
      <c r="X112">
        <v>0</v>
      </c>
      <c r="Z112" s="27" t="s">
        <v>126</v>
      </c>
      <c r="AA112" s="27">
        <v>367</v>
      </c>
      <c r="AB112" s="27">
        <v>0</v>
      </c>
      <c r="AC112" s="27"/>
      <c r="AD112" t="s">
        <v>126</v>
      </c>
      <c r="AE112">
        <v>0</v>
      </c>
      <c r="AF112">
        <v>0</v>
      </c>
      <c r="AG112">
        <v>0</v>
      </c>
      <c r="AI112" t="s">
        <v>134</v>
      </c>
      <c r="AK112" t="s">
        <v>25</v>
      </c>
      <c r="AM112" t="s">
        <v>164</v>
      </c>
    </row>
    <row r="113" spans="1:39" x14ac:dyDescent="0.25">
      <c r="A113" t="s">
        <v>201</v>
      </c>
      <c r="B113">
        <v>181588</v>
      </c>
      <c r="C113" t="s">
        <v>27</v>
      </c>
      <c r="D113" t="s">
        <v>14</v>
      </c>
      <c r="E113" t="s">
        <v>121</v>
      </c>
      <c r="F113" t="s">
        <v>121</v>
      </c>
      <c r="G113">
        <v>290060</v>
      </c>
      <c r="H113" t="s">
        <v>36</v>
      </c>
      <c r="I113" t="s">
        <v>43</v>
      </c>
      <c r="J113" s="27" t="s">
        <v>126</v>
      </c>
      <c r="K113" s="27" t="s">
        <v>122</v>
      </c>
      <c r="L113" s="27"/>
      <c r="M113" s="27"/>
      <c r="N113" t="s">
        <v>126</v>
      </c>
      <c r="O113" t="s">
        <v>39</v>
      </c>
      <c r="R113" s="27" t="s">
        <v>13</v>
      </c>
      <c r="S113" s="27">
        <v>58</v>
      </c>
      <c r="T113" s="27"/>
      <c r="U113" s="27"/>
      <c r="V113" t="s">
        <v>126</v>
      </c>
      <c r="W113">
        <v>0.41099999999999998</v>
      </c>
      <c r="X113">
        <v>0</v>
      </c>
      <c r="Z113" s="27" t="s">
        <v>126</v>
      </c>
      <c r="AA113" s="27">
        <v>367</v>
      </c>
      <c r="AB113" s="27">
        <v>0</v>
      </c>
      <c r="AC113" s="27"/>
      <c r="AD113" t="s">
        <v>126</v>
      </c>
      <c r="AE113">
        <v>0</v>
      </c>
      <c r="AF113">
        <v>0</v>
      </c>
      <c r="AG113">
        <v>0</v>
      </c>
      <c r="AI113" t="s">
        <v>134</v>
      </c>
      <c r="AK113" t="s">
        <v>25</v>
      </c>
      <c r="AM113" t="s">
        <v>164</v>
      </c>
    </row>
    <row r="114" spans="1:39" x14ac:dyDescent="0.25">
      <c r="A114" t="s">
        <v>202</v>
      </c>
      <c r="B114">
        <v>181587</v>
      </c>
      <c r="C114" t="s">
        <v>27</v>
      </c>
      <c r="D114" t="s">
        <v>14</v>
      </c>
      <c r="E114" t="s">
        <v>121</v>
      </c>
      <c r="F114" t="s">
        <v>121</v>
      </c>
      <c r="G114">
        <v>290059</v>
      </c>
      <c r="H114" t="s">
        <v>36</v>
      </c>
      <c r="I114" t="s">
        <v>37</v>
      </c>
      <c r="J114" s="27" t="s">
        <v>126</v>
      </c>
      <c r="K114" s="27" t="s">
        <v>122</v>
      </c>
      <c r="L114" s="27" t="s">
        <v>62</v>
      </c>
      <c r="M114" s="27">
        <v>-1</v>
      </c>
      <c r="N114" t="s">
        <v>126</v>
      </c>
      <c r="O114" t="s">
        <v>41</v>
      </c>
      <c r="R114" s="27" t="s">
        <v>13</v>
      </c>
      <c r="S114" s="27">
        <v>58</v>
      </c>
      <c r="T114" s="27"/>
      <c r="U114" s="27"/>
      <c r="V114" t="s">
        <v>126</v>
      </c>
      <c r="W114">
        <v>0.34799999999999998</v>
      </c>
      <c r="X114">
        <v>0</v>
      </c>
      <c r="Z114" s="27" t="s">
        <v>126</v>
      </c>
      <c r="AA114" s="27">
        <v>1060</v>
      </c>
      <c r="AB114" s="27">
        <v>1060</v>
      </c>
      <c r="AC114" s="27">
        <v>0</v>
      </c>
      <c r="AD114" t="s">
        <v>126</v>
      </c>
      <c r="AE114">
        <v>0</v>
      </c>
      <c r="AF114">
        <v>0</v>
      </c>
      <c r="AG114">
        <v>369</v>
      </c>
      <c r="AH114">
        <v>0</v>
      </c>
      <c r="AI114" t="s">
        <v>133</v>
      </c>
      <c r="AK114" t="s">
        <v>25</v>
      </c>
    </row>
    <row r="115" spans="1:39" x14ac:dyDescent="0.25">
      <c r="A115" t="s">
        <v>202</v>
      </c>
      <c r="B115">
        <v>181587</v>
      </c>
      <c r="C115" t="s">
        <v>27</v>
      </c>
      <c r="D115" t="s">
        <v>14</v>
      </c>
      <c r="E115" t="s">
        <v>121</v>
      </c>
      <c r="F115" t="s">
        <v>121</v>
      </c>
      <c r="G115">
        <v>292100</v>
      </c>
      <c r="H115" t="s">
        <v>36</v>
      </c>
      <c r="I115" t="s">
        <v>100</v>
      </c>
      <c r="J115" s="27" t="s">
        <v>126</v>
      </c>
      <c r="K115" s="27" t="s">
        <v>122</v>
      </c>
      <c r="L115" s="27" t="s">
        <v>62</v>
      </c>
      <c r="M115" s="27">
        <v>-1</v>
      </c>
      <c r="N115" t="s">
        <v>126</v>
      </c>
      <c r="O115" t="s">
        <v>41</v>
      </c>
      <c r="R115" s="27" t="s">
        <v>13</v>
      </c>
      <c r="S115" s="27">
        <v>58</v>
      </c>
      <c r="T115" s="27"/>
      <c r="U115" s="27"/>
      <c r="V115" t="s">
        <v>126</v>
      </c>
      <c r="W115">
        <v>0.34799999999999998</v>
      </c>
      <c r="X115">
        <v>0</v>
      </c>
      <c r="Z115" s="27" t="s">
        <v>126</v>
      </c>
      <c r="AA115" s="27">
        <v>1101</v>
      </c>
      <c r="AB115" s="27">
        <v>1101</v>
      </c>
      <c r="AC115" s="27">
        <v>0</v>
      </c>
      <c r="AD115" t="s">
        <v>126</v>
      </c>
      <c r="AE115">
        <v>0</v>
      </c>
      <c r="AF115">
        <v>0</v>
      </c>
      <c r="AG115">
        <v>383</v>
      </c>
      <c r="AH115">
        <v>0</v>
      </c>
      <c r="AI115" t="s">
        <v>133</v>
      </c>
      <c r="AK115" t="s">
        <v>25</v>
      </c>
    </row>
    <row r="116" spans="1:39" x14ac:dyDescent="0.25">
      <c r="A116" t="s">
        <v>202</v>
      </c>
      <c r="B116">
        <v>181587</v>
      </c>
      <c r="C116" t="s">
        <v>27</v>
      </c>
      <c r="D116" t="s">
        <v>14</v>
      </c>
      <c r="E116" t="s">
        <v>121</v>
      </c>
      <c r="F116" t="s">
        <v>121</v>
      </c>
      <c r="G116">
        <v>290060</v>
      </c>
      <c r="H116" t="s">
        <v>36</v>
      </c>
      <c r="I116" t="s">
        <v>43</v>
      </c>
      <c r="J116" s="27" t="s">
        <v>126</v>
      </c>
      <c r="K116" s="27" t="s">
        <v>122</v>
      </c>
      <c r="L116" s="27" t="s">
        <v>62</v>
      </c>
      <c r="M116" s="27">
        <v>-1</v>
      </c>
      <c r="N116" t="s">
        <v>126</v>
      </c>
      <c r="O116" t="s">
        <v>41</v>
      </c>
      <c r="R116" s="27" t="s">
        <v>13</v>
      </c>
      <c r="S116" s="27">
        <v>58</v>
      </c>
      <c r="T116" s="27"/>
      <c r="U116" s="27"/>
      <c r="V116" t="s">
        <v>126</v>
      </c>
      <c r="W116">
        <v>0.34799999999999998</v>
      </c>
      <c r="X116">
        <v>0</v>
      </c>
      <c r="Z116" s="27" t="s">
        <v>126</v>
      </c>
      <c r="AA116" s="27">
        <v>1060</v>
      </c>
      <c r="AB116" s="27">
        <v>1060</v>
      </c>
      <c r="AC116" s="27">
        <v>0</v>
      </c>
      <c r="AD116" t="s">
        <v>126</v>
      </c>
      <c r="AE116">
        <v>0</v>
      </c>
      <c r="AF116">
        <v>0</v>
      </c>
      <c r="AG116">
        <v>369</v>
      </c>
      <c r="AH116">
        <v>0</v>
      </c>
      <c r="AI116" t="s">
        <v>133</v>
      </c>
      <c r="AK116" t="s">
        <v>25</v>
      </c>
    </row>
    <row r="117" spans="1:39" x14ac:dyDescent="0.25">
      <c r="A117" t="s">
        <v>203</v>
      </c>
      <c r="B117">
        <v>181586</v>
      </c>
      <c r="C117" t="s">
        <v>27</v>
      </c>
      <c r="D117" t="s">
        <v>14</v>
      </c>
      <c r="E117" t="s">
        <v>121</v>
      </c>
      <c r="F117" t="s">
        <v>121</v>
      </c>
      <c r="G117">
        <v>290059</v>
      </c>
      <c r="H117" t="s">
        <v>36</v>
      </c>
      <c r="I117" t="s">
        <v>37</v>
      </c>
      <c r="J117" s="27" t="s">
        <v>126</v>
      </c>
      <c r="K117" s="27" t="s">
        <v>122</v>
      </c>
      <c r="L117" s="27" t="s">
        <v>62</v>
      </c>
      <c r="M117" s="27">
        <v>-1</v>
      </c>
      <c r="N117" t="s">
        <v>126</v>
      </c>
      <c r="O117" t="s">
        <v>65</v>
      </c>
      <c r="P117" t="s">
        <v>62</v>
      </c>
      <c r="Q117">
        <v>1</v>
      </c>
      <c r="R117" s="27" t="s">
        <v>13</v>
      </c>
      <c r="S117" s="27">
        <v>58</v>
      </c>
      <c r="T117" s="27">
        <v>58</v>
      </c>
      <c r="U117" s="27">
        <v>0</v>
      </c>
      <c r="V117" t="s">
        <v>126</v>
      </c>
      <c r="W117">
        <v>0.33</v>
      </c>
      <c r="X117">
        <v>0.3135</v>
      </c>
      <c r="Y117">
        <v>-5</v>
      </c>
      <c r="Z117" s="27" t="s">
        <v>126</v>
      </c>
      <c r="AA117" s="27">
        <v>1006</v>
      </c>
      <c r="AB117" s="27">
        <v>1006</v>
      </c>
      <c r="AC117" s="27">
        <v>0</v>
      </c>
      <c r="AD117" t="s">
        <v>126</v>
      </c>
      <c r="AE117">
        <v>0</v>
      </c>
      <c r="AF117">
        <v>22.7</v>
      </c>
      <c r="AG117">
        <v>332</v>
      </c>
      <c r="AH117">
        <v>6.84</v>
      </c>
      <c r="AI117" t="s">
        <v>133</v>
      </c>
      <c r="AK117" t="s">
        <v>25</v>
      </c>
    </row>
    <row r="118" spans="1:39" x14ac:dyDescent="0.25">
      <c r="A118" t="s">
        <v>203</v>
      </c>
      <c r="B118">
        <v>181586</v>
      </c>
      <c r="C118" t="s">
        <v>27</v>
      </c>
      <c r="D118" t="s">
        <v>14</v>
      </c>
      <c r="E118" t="s">
        <v>121</v>
      </c>
      <c r="F118" t="s">
        <v>121</v>
      </c>
      <c r="G118">
        <v>290059</v>
      </c>
      <c r="H118" t="s">
        <v>36</v>
      </c>
      <c r="I118" t="s">
        <v>37</v>
      </c>
      <c r="J118" s="27" t="s">
        <v>126</v>
      </c>
      <c r="K118" s="27" t="s">
        <v>122</v>
      </c>
      <c r="L118" s="27" t="s">
        <v>62</v>
      </c>
      <c r="M118" s="27">
        <v>-1</v>
      </c>
      <c r="N118" t="s">
        <v>126</v>
      </c>
      <c r="O118" t="s">
        <v>65</v>
      </c>
      <c r="P118" t="s">
        <v>62</v>
      </c>
      <c r="Q118">
        <v>1</v>
      </c>
      <c r="R118" s="27" t="s">
        <v>13</v>
      </c>
      <c r="S118" s="27">
        <v>58</v>
      </c>
      <c r="T118" s="27">
        <v>58</v>
      </c>
      <c r="U118" s="27">
        <v>0</v>
      </c>
      <c r="V118" t="s">
        <v>126</v>
      </c>
      <c r="W118">
        <v>0.33</v>
      </c>
      <c r="X118">
        <v>0.34010000000000001</v>
      </c>
      <c r="Y118">
        <v>3.06</v>
      </c>
      <c r="Z118" s="27" t="s">
        <v>126</v>
      </c>
      <c r="AA118" s="27">
        <v>1006</v>
      </c>
      <c r="AB118" s="27">
        <v>1006</v>
      </c>
      <c r="AC118" s="27">
        <v>0</v>
      </c>
      <c r="AD118" t="s">
        <v>126</v>
      </c>
      <c r="AE118">
        <v>0</v>
      </c>
      <c r="AF118">
        <v>27.8</v>
      </c>
      <c r="AG118">
        <v>332</v>
      </c>
      <c r="AH118">
        <v>8.3699999999999992</v>
      </c>
      <c r="AI118" t="s">
        <v>133</v>
      </c>
      <c r="AK118" t="s">
        <v>25</v>
      </c>
    </row>
    <row r="119" spans="1:39" x14ac:dyDescent="0.25">
      <c r="A119" t="s">
        <v>203</v>
      </c>
      <c r="B119">
        <v>181586</v>
      </c>
      <c r="C119" t="s">
        <v>27</v>
      </c>
      <c r="D119" t="s">
        <v>14</v>
      </c>
      <c r="E119" t="s">
        <v>121</v>
      </c>
      <c r="F119" t="s">
        <v>121</v>
      </c>
      <c r="G119">
        <v>290059</v>
      </c>
      <c r="H119" t="s">
        <v>36</v>
      </c>
      <c r="I119" t="s">
        <v>37</v>
      </c>
      <c r="J119" s="27" t="s">
        <v>126</v>
      </c>
      <c r="K119" s="27" t="s">
        <v>122</v>
      </c>
      <c r="L119" s="27" t="s">
        <v>62</v>
      </c>
      <c r="M119" s="27">
        <v>-1</v>
      </c>
      <c r="N119" t="s">
        <v>126</v>
      </c>
      <c r="O119" t="s">
        <v>65</v>
      </c>
      <c r="P119" t="s">
        <v>62</v>
      </c>
      <c r="Q119">
        <v>1</v>
      </c>
      <c r="R119" s="27" t="s">
        <v>13</v>
      </c>
      <c r="S119" s="27">
        <v>58</v>
      </c>
      <c r="T119" s="27">
        <v>58</v>
      </c>
      <c r="U119" s="27">
        <v>0</v>
      </c>
      <c r="V119" t="s">
        <v>126</v>
      </c>
      <c r="W119">
        <v>0.33</v>
      </c>
      <c r="X119">
        <v>0.34010000000000001</v>
      </c>
      <c r="Y119">
        <v>3.06</v>
      </c>
      <c r="Z119" s="27" t="s">
        <v>126</v>
      </c>
      <c r="AA119" s="27">
        <v>1006</v>
      </c>
      <c r="AB119" s="27">
        <v>1006</v>
      </c>
      <c r="AC119" s="27">
        <v>0</v>
      </c>
      <c r="AD119" t="s">
        <v>126</v>
      </c>
      <c r="AE119">
        <v>0</v>
      </c>
      <c r="AF119">
        <v>17.2</v>
      </c>
      <c r="AG119">
        <v>332</v>
      </c>
      <c r="AH119">
        <v>5.18</v>
      </c>
      <c r="AI119" t="s">
        <v>133</v>
      </c>
      <c r="AK119" t="s">
        <v>25</v>
      </c>
    </row>
    <row r="120" spans="1:39" x14ac:dyDescent="0.25">
      <c r="A120" t="s">
        <v>204</v>
      </c>
      <c r="B120">
        <v>181584</v>
      </c>
      <c r="C120" t="s">
        <v>27</v>
      </c>
      <c r="D120" t="s">
        <v>14</v>
      </c>
      <c r="E120" t="s">
        <v>121</v>
      </c>
      <c r="F120" t="s">
        <v>121</v>
      </c>
      <c r="G120">
        <v>290059</v>
      </c>
      <c r="H120" t="s">
        <v>36</v>
      </c>
      <c r="I120" t="s">
        <v>37</v>
      </c>
      <c r="J120" s="27" t="s">
        <v>126</v>
      </c>
      <c r="K120" s="27" t="s">
        <v>122</v>
      </c>
      <c r="L120" s="27" t="s">
        <v>62</v>
      </c>
      <c r="M120" s="27">
        <v>-1</v>
      </c>
      <c r="N120" t="s">
        <v>126</v>
      </c>
      <c r="O120" t="s">
        <v>39</v>
      </c>
      <c r="R120" s="27" t="s">
        <v>13</v>
      </c>
      <c r="S120" s="27">
        <v>58</v>
      </c>
      <c r="T120" s="27"/>
      <c r="U120" s="27"/>
      <c r="V120" t="s">
        <v>126</v>
      </c>
      <c r="W120">
        <v>0.41099999999999998</v>
      </c>
      <c r="X120">
        <v>0</v>
      </c>
      <c r="Z120" s="27" t="s">
        <v>126</v>
      </c>
      <c r="AA120" s="27">
        <v>7066</v>
      </c>
      <c r="AB120" s="27">
        <v>7066</v>
      </c>
      <c r="AC120" s="27">
        <v>0</v>
      </c>
      <c r="AD120" t="s">
        <v>126</v>
      </c>
      <c r="AE120">
        <v>0</v>
      </c>
      <c r="AF120">
        <v>0</v>
      </c>
      <c r="AG120">
        <v>2904</v>
      </c>
      <c r="AH120">
        <v>0</v>
      </c>
      <c r="AI120" t="s">
        <v>133</v>
      </c>
      <c r="AK120" t="s">
        <v>25</v>
      </c>
    </row>
    <row r="121" spans="1:39" x14ac:dyDescent="0.25">
      <c r="A121" t="s">
        <v>205</v>
      </c>
      <c r="B121">
        <v>181585</v>
      </c>
      <c r="C121" t="s">
        <v>27</v>
      </c>
      <c r="D121" t="s">
        <v>14</v>
      </c>
      <c r="E121" t="s">
        <v>121</v>
      </c>
      <c r="F121" t="s">
        <v>121</v>
      </c>
      <c r="G121">
        <v>290062</v>
      </c>
      <c r="H121" t="s">
        <v>36</v>
      </c>
      <c r="I121" t="s">
        <v>52</v>
      </c>
      <c r="J121" s="27" t="s">
        <v>126</v>
      </c>
      <c r="K121" s="27" t="s">
        <v>122</v>
      </c>
      <c r="L121" s="27"/>
      <c r="M121" s="27"/>
      <c r="N121" t="s">
        <v>126</v>
      </c>
      <c r="O121" t="s">
        <v>128</v>
      </c>
      <c r="R121" s="27" t="s">
        <v>13</v>
      </c>
      <c r="S121" s="27">
        <v>58</v>
      </c>
      <c r="T121" s="27"/>
      <c r="U121" s="27"/>
      <c r="V121" t="s">
        <v>126</v>
      </c>
      <c r="W121">
        <v>0.33400000000000002</v>
      </c>
      <c r="X121">
        <v>0</v>
      </c>
      <c r="Z121" s="27" t="s">
        <v>126</v>
      </c>
      <c r="AA121" s="27">
        <v>3135</v>
      </c>
      <c r="AB121" s="27">
        <v>0</v>
      </c>
      <c r="AC121" s="27"/>
      <c r="AD121" t="s">
        <v>126</v>
      </c>
      <c r="AE121">
        <v>0</v>
      </c>
      <c r="AF121">
        <v>0</v>
      </c>
      <c r="AG121">
        <v>0</v>
      </c>
      <c r="AI121" t="s">
        <v>133</v>
      </c>
      <c r="AK121" t="s">
        <v>25</v>
      </c>
      <c r="AM121" t="s">
        <v>164</v>
      </c>
    </row>
    <row r="122" spans="1:39" x14ac:dyDescent="0.25">
      <c r="A122" t="s">
        <v>205</v>
      </c>
      <c r="B122">
        <v>181585</v>
      </c>
      <c r="C122" t="s">
        <v>27</v>
      </c>
      <c r="D122" t="s">
        <v>14</v>
      </c>
      <c r="E122" t="s">
        <v>121</v>
      </c>
      <c r="F122" t="s">
        <v>121</v>
      </c>
      <c r="G122">
        <v>290061</v>
      </c>
      <c r="H122" t="s">
        <v>36</v>
      </c>
      <c r="I122" t="s">
        <v>98</v>
      </c>
      <c r="J122" s="27" t="s">
        <v>126</v>
      </c>
      <c r="K122" s="27" t="s">
        <v>122</v>
      </c>
      <c r="L122" s="27" t="s">
        <v>62</v>
      </c>
      <c r="M122" s="27">
        <v>-1</v>
      </c>
      <c r="N122" t="s">
        <v>126</v>
      </c>
      <c r="O122" t="s">
        <v>128</v>
      </c>
      <c r="R122" s="27" t="s">
        <v>13</v>
      </c>
      <c r="S122" s="27">
        <v>58</v>
      </c>
      <c r="T122" s="27"/>
      <c r="U122" s="27"/>
      <c r="V122" t="s">
        <v>126</v>
      </c>
      <c r="W122">
        <v>0.33400000000000002</v>
      </c>
      <c r="X122">
        <v>0</v>
      </c>
      <c r="Z122" s="27" t="s">
        <v>126</v>
      </c>
      <c r="AA122" s="27">
        <v>3135</v>
      </c>
      <c r="AB122" s="27">
        <v>3135</v>
      </c>
      <c r="AC122" s="27">
        <v>0</v>
      </c>
      <c r="AD122" t="s">
        <v>126</v>
      </c>
      <c r="AE122">
        <v>0</v>
      </c>
      <c r="AF122">
        <v>0</v>
      </c>
      <c r="AG122">
        <v>1047</v>
      </c>
      <c r="AH122">
        <v>0</v>
      </c>
      <c r="AI122" t="s">
        <v>133</v>
      </c>
      <c r="AK122" t="s">
        <v>25</v>
      </c>
    </row>
    <row r="123" spans="1:39" x14ac:dyDescent="0.25">
      <c r="A123" t="s">
        <v>205</v>
      </c>
      <c r="B123">
        <v>181585</v>
      </c>
      <c r="C123" t="s">
        <v>27</v>
      </c>
      <c r="D123" t="s">
        <v>14</v>
      </c>
      <c r="E123" t="s">
        <v>121</v>
      </c>
      <c r="F123" t="s">
        <v>121</v>
      </c>
      <c r="G123">
        <v>290063</v>
      </c>
      <c r="H123" t="s">
        <v>36</v>
      </c>
      <c r="I123" t="s">
        <v>99</v>
      </c>
      <c r="J123" s="27" t="s">
        <v>126</v>
      </c>
      <c r="K123" s="27" t="s">
        <v>122</v>
      </c>
      <c r="L123" s="27" t="s">
        <v>62</v>
      </c>
      <c r="M123" s="27">
        <v>-1</v>
      </c>
      <c r="N123" t="s">
        <v>126</v>
      </c>
      <c r="O123" t="s">
        <v>128</v>
      </c>
      <c r="R123" s="27" t="s">
        <v>13</v>
      </c>
      <c r="S123" s="27">
        <v>58</v>
      </c>
      <c r="T123" s="27"/>
      <c r="U123" s="27"/>
      <c r="V123" t="s">
        <v>126</v>
      </c>
      <c r="W123">
        <v>0.33400000000000002</v>
      </c>
      <c r="X123">
        <v>0</v>
      </c>
      <c r="Z123" s="27" t="s">
        <v>126</v>
      </c>
      <c r="AA123" s="27">
        <v>3135</v>
      </c>
      <c r="AB123" s="27">
        <v>3135</v>
      </c>
      <c r="AC123" s="27">
        <v>0</v>
      </c>
      <c r="AD123" t="s">
        <v>126</v>
      </c>
      <c r="AE123">
        <v>0</v>
      </c>
      <c r="AF123">
        <v>0</v>
      </c>
      <c r="AG123">
        <v>1047</v>
      </c>
      <c r="AH123">
        <v>0</v>
      </c>
      <c r="AI123" t="s">
        <v>133</v>
      </c>
      <c r="AK123" t="s">
        <v>25</v>
      </c>
    </row>
    <row r="124" spans="1:39" x14ac:dyDescent="0.25">
      <c r="A124" t="s">
        <v>206</v>
      </c>
      <c r="B124">
        <v>181570</v>
      </c>
      <c r="C124" t="s">
        <v>129</v>
      </c>
      <c r="D124" t="s">
        <v>66</v>
      </c>
      <c r="E124" t="s">
        <v>9</v>
      </c>
      <c r="F124" t="s">
        <v>9</v>
      </c>
      <c r="G124">
        <v>295580</v>
      </c>
      <c r="H124" t="s">
        <v>67</v>
      </c>
      <c r="I124" t="s">
        <v>68</v>
      </c>
      <c r="J124" s="27" t="s">
        <v>12</v>
      </c>
      <c r="K124" s="27" t="s">
        <v>122</v>
      </c>
      <c r="L124" s="27" t="s">
        <v>62</v>
      </c>
      <c r="M124" s="27">
        <v>-1</v>
      </c>
      <c r="N124" t="s">
        <v>12</v>
      </c>
      <c r="O124" t="s">
        <v>123</v>
      </c>
      <c r="R124" s="27"/>
      <c r="S124" s="27">
        <v>0</v>
      </c>
      <c r="T124" s="27"/>
      <c r="U124" s="27"/>
      <c r="V124" t="s">
        <v>12</v>
      </c>
      <c r="W124">
        <v>0.871</v>
      </c>
      <c r="X124">
        <v>0</v>
      </c>
      <c r="Z124" s="27" t="s">
        <v>12</v>
      </c>
      <c r="AA124" s="27">
        <v>463</v>
      </c>
      <c r="AB124" s="27">
        <v>462</v>
      </c>
      <c r="AC124" s="27">
        <v>-0.22</v>
      </c>
      <c r="AD124" t="s">
        <v>12</v>
      </c>
      <c r="AE124">
        <v>0</v>
      </c>
      <c r="AF124">
        <v>0</v>
      </c>
      <c r="AG124">
        <v>402.5</v>
      </c>
      <c r="AH124">
        <v>0</v>
      </c>
      <c r="AI124" t="s">
        <v>133</v>
      </c>
      <c r="AK124" t="s">
        <v>25</v>
      </c>
      <c r="AM124" t="s">
        <v>157</v>
      </c>
    </row>
    <row r="125" spans="1:39" x14ac:dyDescent="0.25">
      <c r="A125" t="s">
        <v>206</v>
      </c>
      <c r="B125">
        <v>181570</v>
      </c>
      <c r="C125" t="s">
        <v>129</v>
      </c>
      <c r="D125" t="s">
        <v>66</v>
      </c>
      <c r="E125" t="s">
        <v>9</v>
      </c>
      <c r="F125" t="s">
        <v>9</v>
      </c>
      <c r="G125">
        <v>295581</v>
      </c>
      <c r="H125" t="s">
        <v>67</v>
      </c>
      <c r="I125" t="s">
        <v>108</v>
      </c>
      <c r="J125" s="27" t="s">
        <v>12</v>
      </c>
      <c r="K125" s="27" t="s">
        <v>122</v>
      </c>
      <c r="L125" s="27" t="s">
        <v>62</v>
      </c>
      <c r="M125" s="27">
        <v>-1</v>
      </c>
      <c r="N125" t="s">
        <v>12</v>
      </c>
      <c r="O125" t="s">
        <v>123</v>
      </c>
      <c r="R125" s="27"/>
      <c r="S125" s="27">
        <v>0</v>
      </c>
      <c r="T125" s="27"/>
      <c r="U125" s="27"/>
      <c r="V125" t="s">
        <v>12</v>
      </c>
      <c r="W125">
        <v>0.69699999999999995</v>
      </c>
      <c r="X125">
        <v>0</v>
      </c>
      <c r="Z125" s="27" t="s">
        <v>12</v>
      </c>
      <c r="AA125" s="27">
        <v>471</v>
      </c>
      <c r="AB125" s="27">
        <v>212</v>
      </c>
      <c r="AC125" s="27">
        <v>-54.99</v>
      </c>
      <c r="AD125" t="s">
        <v>12</v>
      </c>
      <c r="AE125">
        <v>0</v>
      </c>
      <c r="AF125">
        <v>0</v>
      </c>
      <c r="AG125">
        <v>147.63999999999999</v>
      </c>
      <c r="AH125">
        <v>0</v>
      </c>
      <c r="AI125" t="s">
        <v>133</v>
      </c>
      <c r="AK125" t="s">
        <v>25</v>
      </c>
      <c r="AM125" t="s">
        <v>157</v>
      </c>
    </row>
    <row r="126" spans="1:39" hidden="1" x14ac:dyDescent="0.25">
      <c r="A126" t="s">
        <v>206</v>
      </c>
      <c r="B126">
        <v>181570</v>
      </c>
      <c r="C126" t="s">
        <v>129</v>
      </c>
      <c r="D126" t="s">
        <v>66</v>
      </c>
      <c r="E126" t="s">
        <v>9</v>
      </c>
      <c r="F126" t="s">
        <v>9</v>
      </c>
      <c r="G126">
        <v>295583</v>
      </c>
      <c r="H126" t="s">
        <v>158</v>
      </c>
      <c r="I126" t="s">
        <v>159</v>
      </c>
      <c r="J126" s="27" t="s">
        <v>12</v>
      </c>
      <c r="K126" s="27" t="s">
        <v>122</v>
      </c>
      <c r="L126" s="27" t="s">
        <v>62</v>
      </c>
      <c r="M126" s="27">
        <v>-1</v>
      </c>
      <c r="N126" t="s">
        <v>12</v>
      </c>
      <c r="O126" t="s">
        <v>123</v>
      </c>
      <c r="R126" s="27"/>
      <c r="S126" s="27">
        <v>0</v>
      </c>
      <c r="T126" s="27"/>
      <c r="U126" s="27"/>
      <c r="V126" t="s">
        <v>12</v>
      </c>
      <c r="W126">
        <v>5.5E-2</v>
      </c>
      <c r="X126">
        <v>0</v>
      </c>
      <c r="Z126" s="27" t="s">
        <v>12</v>
      </c>
      <c r="AA126" s="27">
        <v>455</v>
      </c>
      <c r="AB126" s="27">
        <v>418</v>
      </c>
      <c r="AC126" s="27">
        <v>-8.1300000000000008</v>
      </c>
      <c r="AD126" t="s">
        <v>12</v>
      </c>
      <c r="AE126">
        <v>0</v>
      </c>
      <c r="AF126">
        <v>0</v>
      </c>
      <c r="AG126">
        <v>23</v>
      </c>
      <c r="AH126">
        <v>0</v>
      </c>
      <c r="AI126" t="s">
        <v>133</v>
      </c>
      <c r="AK126" t="s">
        <v>153</v>
      </c>
      <c r="AM126" t="s">
        <v>157</v>
      </c>
    </row>
    <row r="127" spans="1:39" x14ac:dyDescent="0.25">
      <c r="A127" t="s">
        <v>207</v>
      </c>
      <c r="B127">
        <v>181569</v>
      </c>
      <c r="C127" t="s">
        <v>129</v>
      </c>
      <c r="D127" t="s">
        <v>66</v>
      </c>
      <c r="E127" t="s">
        <v>9</v>
      </c>
      <c r="F127" t="s">
        <v>9</v>
      </c>
      <c r="G127">
        <v>295580</v>
      </c>
      <c r="H127" t="s">
        <v>67</v>
      </c>
      <c r="I127" t="s">
        <v>68</v>
      </c>
      <c r="J127" s="27" t="s">
        <v>12</v>
      </c>
      <c r="K127" s="27" t="s">
        <v>122</v>
      </c>
      <c r="L127" s="27" t="s">
        <v>62</v>
      </c>
      <c r="M127" s="27">
        <v>-1</v>
      </c>
      <c r="N127" t="s">
        <v>12</v>
      </c>
      <c r="O127" t="s">
        <v>124</v>
      </c>
      <c r="R127" s="27" t="s">
        <v>15</v>
      </c>
      <c r="S127" s="27">
        <v>0</v>
      </c>
      <c r="T127" s="27"/>
      <c r="U127" s="27"/>
      <c r="V127" t="s">
        <v>12</v>
      </c>
      <c r="W127">
        <v>0.872</v>
      </c>
      <c r="X127">
        <v>0</v>
      </c>
      <c r="Z127" s="27" t="s">
        <v>12</v>
      </c>
      <c r="AA127" s="27">
        <v>212</v>
      </c>
      <c r="AB127" s="27">
        <v>206</v>
      </c>
      <c r="AC127" s="27">
        <v>-2.83</v>
      </c>
      <c r="AD127" t="s">
        <v>12</v>
      </c>
      <c r="AE127">
        <v>0</v>
      </c>
      <c r="AF127">
        <v>0</v>
      </c>
      <c r="AG127">
        <v>180</v>
      </c>
      <c r="AH127">
        <v>0</v>
      </c>
      <c r="AI127" t="s">
        <v>133</v>
      </c>
      <c r="AK127" t="s">
        <v>25</v>
      </c>
    </row>
    <row r="128" spans="1:39" x14ac:dyDescent="0.25">
      <c r="A128" t="s">
        <v>207</v>
      </c>
      <c r="B128">
        <v>181569</v>
      </c>
      <c r="C128" t="s">
        <v>129</v>
      </c>
      <c r="D128" t="s">
        <v>66</v>
      </c>
      <c r="E128" t="s">
        <v>9</v>
      </c>
      <c r="F128" t="s">
        <v>9</v>
      </c>
      <c r="G128">
        <v>295581</v>
      </c>
      <c r="H128" t="s">
        <v>67</v>
      </c>
      <c r="I128" t="s">
        <v>108</v>
      </c>
      <c r="J128" s="27" t="s">
        <v>12</v>
      </c>
      <c r="K128" s="27" t="s">
        <v>122</v>
      </c>
      <c r="L128" s="27" t="s">
        <v>62</v>
      </c>
      <c r="M128" s="27">
        <v>-1</v>
      </c>
      <c r="N128" t="s">
        <v>12</v>
      </c>
      <c r="O128" t="s">
        <v>124</v>
      </c>
      <c r="R128" s="27" t="s">
        <v>15</v>
      </c>
      <c r="S128" s="27">
        <v>0</v>
      </c>
      <c r="T128" s="27"/>
      <c r="U128" s="27"/>
      <c r="V128" t="s">
        <v>12</v>
      </c>
      <c r="W128">
        <v>0.69699999999999995</v>
      </c>
      <c r="X128">
        <v>0</v>
      </c>
      <c r="Z128" s="27" t="s">
        <v>12</v>
      </c>
      <c r="AA128" s="27">
        <v>212</v>
      </c>
      <c r="AB128" s="27">
        <v>41</v>
      </c>
      <c r="AC128" s="27">
        <v>-80.66</v>
      </c>
      <c r="AD128" t="s">
        <v>12</v>
      </c>
      <c r="AE128">
        <v>0</v>
      </c>
      <c r="AF128">
        <v>0</v>
      </c>
      <c r="AG128">
        <v>28.5</v>
      </c>
      <c r="AH128">
        <v>0</v>
      </c>
      <c r="AI128" t="s">
        <v>133</v>
      </c>
      <c r="AK128" t="s">
        <v>25</v>
      </c>
    </row>
    <row r="129" spans="1:37" hidden="1" x14ac:dyDescent="0.25">
      <c r="A129" t="s">
        <v>207</v>
      </c>
      <c r="B129">
        <v>181569</v>
      </c>
      <c r="C129" t="s">
        <v>129</v>
      </c>
      <c r="D129" t="s">
        <v>66</v>
      </c>
      <c r="E129" t="s">
        <v>9</v>
      </c>
      <c r="F129" t="s">
        <v>9</v>
      </c>
      <c r="G129">
        <v>295583</v>
      </c>
      <c r="H129" t="s">
        <v>158</v>
      </c>
      <c r="I129" t="s">
        <v>159</v>
      </c>
      <c r="J129" s="27" t="s">
        <v>12</v>
      </c>
      <c r="K129" s="27" t="s">
        <v>122</v>
      </c>
      <c r="L129" s="27" t="s">
        <v>62</v>
      </c>
      <c r="M129" s="27">
        <v>-1</v>
      </c>
      <c r="N129" t="s">
        <v>12</v>
      </c>
      <c r="O129" t="s">
        <v>124</v>
      </c>
      <c r="R129" s="27" t="s">
        <v>15</v>
      </c>
      <c r="S129" s="27">
        <v>0</v>
      </c>
      <c r="T129" s="27"/>
      <c r="U129" s="27"/>
      <c r="V129" t="s">
        <v>12</v>
      </c>
      <c r="W129">
        <v>5.2999999999999999E-2</v>
      </c>
      <c r="X129">
        <v>0</v>
      </c>
      <c r="Z129" s="27" t="s">
        <v>12</v>
      </c>
      <c r="AA129" s="27">
        <v>212</v>
      </c>
      <c r="AB129" s="27">
        <v>198</v>
      </c>
      <c r="AC129" s="27">
        <v>-6.6</v>
      </c>
      <c r="AD129" t="s">
        <v>12</v>
      </c>
      <c r="AE129">
        <v>0</v>
      </c>
      <c r="AF129">
        <v>0</v>
      </c>
      <c r="AG129">
        <v>10.5</v>
      </c>
      <c r="AH129">
        <v>0</v>
      </c>
      <c r="AI129" t="s">
        <v>133</v>
      </c>
      <c r="AK129" t="s">
        <v>153</v>
      </c>
    </row>
    <row r="131" spans="1:37" x14ac:dyDescent="0.25">
      <c r="B131">
        <v>180684</v>
      </c>
      <c r="C131" t="s">
        <v>210</v>
      </c>
      <c r="D131" t="s">
        <v>26</v>
      </c>
      <c r="E131" t="s">
        <v>211</v>
      </c>
      <c r="F131" t="s">
        <v>212</v>
      </c>
      <c r="J131" s="27"/>
      <c r="K131" s="27"/>
      <c r="L131" s="27"/>
      <c r="M131" s="27"/>
      <c r="O131" t="s">
        <v>39</v>
      </c>
      <c r="R131" s="27"/>
      <c r="S131" s="27"/>
      <c r="T131" s="27"/>
      <c r="U131" s="27"/>
      <c r="Z131" s="27"/>
      <c r="AA131" s="27"/>
      <c r="AB131" s="27"/>
      <c r="AC131" s="27"/>
      <c r="AE131">
        <v>0</v>
      </c>
      <c r="AJ131" t="s">
        <v>213</v>
      </c>
    </row>
    <row r="132" spans="1:37" x14ac:dyDescent="0.25">
      <c r="B132">
        <v>180705</v>
      </c>
      <c r="C132" t="s">
        <v>214</v>
      </c>
      <c r="D132" t="s">
        <v>26</v>
      </c>
      <c r="E132" t="s">
        <v>211</v>
      </c>
      <c r="F132" t="s">
        <v>212</v>
      </c>
      <c r="J132" s="27"/>
      <c r="K132" s="27"/>
      <c r="L132" s="27"/>
      <c r="M132" s="27"/>
      <c r="O132" t="s">
        <v>215</v>
      </c>
      <c r="R132" s="27"/>
      <c r="S132" s="27"/>
      <c r="T132" s="27"/>
      <c r="U132" s="27"/>
      <c r="Z132" s="27"/>
      <c r="AA132" s="27"/>
      <c r="AB132" s="27"/>
      <c r="AC132" s="27"/>
      <c r="AE132">
        <v>0</v>
      </c>
      <c r="AJ132" t="s">
        <v>213</v>
      </c>
    </row>
    <row r="133" spans="1:37" x14ac:dyDescent="0.25">
      <c r="B133">
        <v>180780</v>
      </c>
      <c r="C133" t="s">
        <v>216</v>
      </c>
      <c r="D133" t="s">
        <v>217</v>
      </c>
      <c r="E133" t="s">
        <v>211</v>
      </c>
      <c r="J133" s="27"/>
      <c r="K133" s="27"/>
      <c r="L133" s="27"/>
      <c r="M133" s="27"/>
      <c r="O133" t="s">
        <v>33</v>
      </c>
      <c r="R133" s="27"/>
      <c r="S133" s="27"/>
      <c r="T133" s="27"/>
      <c r="U133" s="27"/>
      <c r="Z133" s="27"/>
      <c r="AA133" s="27"/>
      <c r="AB133" s="27"/>
      <c r="AC133" s="27"/>
      <c r="AE133">
        <v>0</v>
      </c>
      <c r="AJ133" t="s">
        <v>213</v>
      </c>
    </row>
    <row r="134" spans="1:37" x14ac:dyDescent="0.25">
      <c r="B134">
        <v>180788</v>
      </c>
      <c r="C134" t="s">
        <v>96</v>
      </c>
      <c r="D134" t="s">
        <v>26</v>
      </c>
      <c r="E134" t="s">
        <v>218</v>
      </c>
      <c r="F134" t="s">
        <v>9</v>
      </c>
      <c r="J134" s="27"/>
      <c r="K134" s="27"/>
      <c r="L134" s="27"/>
      <c r="M134" s="27"/>
      <c r="O134" t="s">
        <v>38</v>
      </c>
      <c r="R134" s="27"/>
      <c r="S134" s="27"/>
      <c r="T134" s="27"/>
      <c r="U134" s="27"/>
      <c r="Z134" s="27"/>
      <c r="AA134" s="27"/>
      <c r="AB134" s="27"/>
      <c r="AC134" s="27"/>
      <c r="AE134">
        <v>0</v>
      </c>
      <c r="AJ134" t="s">
        <v>209</v>
      </c>
    </row>
    <row r="135" spans="1:37" x14ac:dyDescent="0.25">
      <c r="B135">
        <v>181075</v>
      </c>
      <c r="C135" t="s">
        <v>219</v>
      </c>
      <c r="D135" t="s">
        <v>217</v>
      </c>
      <c r="E135" t="s">
        <v>211</v>
      </c>
      <c r="F135" t="s">
        <v>212</v>
      </c>
      <c r="J135" s="27"/>
      <c r="K135" s="27"/>
      <c r="L135" s="27"/>
      <c r="M135" s="27"/>
      <c r="O135" t="s">
        <v>35</v>
      </c>
      <c r="R135" s="27"/>
      <c r="S135" s="27"/>
      <c r="T135" s="27"/>
      <c r="U135" s="27"/>
      <c r="Z135" s="27"/>
      <c r="AA135" s="27"/>
      <c r="AB135" s="27"/>
      <c r="AC135" s="27"/>
      <c r="AE135">
        <v>0</v>
      </c>
      <c r="AJ135" t="s">
        <v>213</v>
      </c>
    </row>
    <row r="136" spans="1:37" x14ac:dyDescent="0.25">
      <c r="B136">
        <v>181078</v>
      </c>
      <c r="C136" t="s">
        <v>219</v>
      </c>
      <c r="D136" t="s">
        <v>217</v>
      </c>
      <c r="E136" t="s">
        <v>211</v>
      </c>
      <c r="F136" t="s">
        <v>212</v>
      </c>
      <c r="J136" s="27"/>
      <c r="K136" s="27"/>
      <c r="L136" s="27"/>
      <c r="M136" s="27"/>
      <c r="O136" t="s">
        <v>33</v>
      </c>
      <c r="R136" s="27"/>
      <c r="S136" s="27"/>
      <c r="T136" s="27"/>
      <c r="U136" s="27"/>
      <c r="Z136" s="27"/>
      <c r="AA136" s="27"/>
      <c r="AB136" s="27"/>
      <c r="AC136" s="27"/>
      <c r="AE136">
        <v>0</v>
      </c>
      <c r="AJ136" t="s">
        <v>213</v>
      </c>
    </row>
    <row r="137" spans="1:37" x14ac:dyDescent="0.25">
      <c r="B137">
        <v>181180</v>
      </c>
      <c r="C137" t="s">
        <v>220</v>
      </c>
      <c r="D137" t="s">
        <v>14</v>
      </c>
      <c r="E137" t="s">
        <v>221</v>
      </c>
      <c r="F137" t="s">
        <v>121</v>
      </c>
      <c r="J137" s="27"/>
      <c r="K137" s="27"/>
      <c r="L137" s="27"/>
      <c r="M137" s="27"/>
      <c r="O137" t="s">
        <v>62</v>
      </c>
      <c r="R137" s="27"/>
      <c r="S137" s="27"/>
      <c r="T137" s="27"/>
      <c r="U137" s="27"/>
      <c r="Z137" s="27"/>
      <c r="AA137" s="27"/>
      <c r="AB137" s="27"/>
      <c r="AC137" s="27"/>
      <c r="AE137">
        <v>0</v>
      </c>
      <c r="AJ137" t="s">
        <v>222</v>
      </c>
    </row>
    <row r="138" spans="1:37" x14ac:dyDescent="0.25">
      <c r="B138">
        <v>181181</v>
      </c>
      <c r="C138" t="s">
        <v>220</v>
      </c>
      <c r="D138" t="s">
        <v>14</v>
      </c>
      <c r="E138" t="s">
        <v>221</v>
      </c>
      <c r="F138" t="s">
        <v>121</v>
      </c>
      <c r="J138" s="27"/>
      <c r="K138" s="27"/>
      <c r="L138" s="27"/>
      <c r="M138" s="27"/>
      <c r="O138" t="s">
        <v>62</v>
      </c>
      <c r="R138" s="27"/>
      <c r="S138" s="27"/>
      <c r="T138" s="27"/>
      <c r="U138" s="27"/>
      <c r="Z138" s="27"/>
      <c r="AA138" s="27"/>
      <c r="AB138" s="27"/>
      <c r="AC138" s="27"/>
      <c r="AE138">
        <v>0</v>
      </c>
      <c r="AJ138" t="s">
        <v>222</v>
      </c>
    </row>
    <row r="139" spans="1:37" x14ac:dyDescent="0.25">
      <c r="B139">
        <v>181187</v>
      </c>
      <c r="C139" t="s">
        <v>220</v>
      </c>
      <c r="D139" t="s">
        <v>14</v>
      </c>
      <c r="E139" t="s">
        <v>221</v>
      </c>
      <c r="F139" t="s">
        <v>121</v>
      </c>
      <c r="J139" s="27"/>
      <c r="K139" s="27"/>
      <c r="L139" s="27"/>
      <c r="M139" s="27"/>
      <c r="O139" t="s">
        <v>41</v>
      </c>
      <c r="R139" s="27"/>
      <c r="S139" s="27"/>
      <c r="T139" s="27"/>
      <c r="U139" s="27"/>
      <c r="Z139" s="27"/>
      <c r="AA139" s="27"/>
      <c r="AB139" s="27"/>
      <c r="AC139" s="27"/>
      <c r="AE139">
        <v>0</v>
      </c>
      <c r="AJ139" t="s">
        <v>222</v>
      </c>
    </row>
    <row r="140" spans="1:37" x14ac:dyDescent="0.25">
      <c r="B140">
        <v>181189</v>
      </c>
      <c r="C140" t="s">
        <v>220</v>
      </c>
      <c r="D140" t="s">
        <v>14</v>
      </c>
      <c r="E140" t="s">
        <v>221</v>
      </c>
      <c r="F140" t="s">
        <v>121</v>
      </c>
      <c r="J140" s="27"/>
      <c r="K140" s="27"/>
      <c r="L140" s="27"/>
      <c r="M140" s="27"/>
      <c r="O140" t="s">
        <v>33</v>
      </c>
      <c r="R140" s="27"/>
      <c r="S140" s="27"/>
      <c r="T140" s="27"/>
      <c r="U140" s="27"/>
      <c r="Z140" s="27"/>
      <c r="AA140" s="27"/>
      <c r="AB140" s="27"/>
      <c r="AC140" s="27"/>
      <c r="AE140">
        <v>0</v>
      </c>
      <c r="AJ140" t="s">
        <v>222</v>
      </c>
    </row>
    <row r="141" spans="1:37" x14ac:dyDescent="0.25">
      <c r="B141">
        <v>181359</v>
      </c>
      <c r="C141" t="s">
        <v>223</v>
      </c>
      <c r="D141" t="s">
        <v>16</v>
      </c>
      <c r="E141" t="s">
        <v>224</v>
      </c>
      <c r="F141" t="s">
        <v>9</v>
      </c>
      <c r="J141" s="27"/>
      <c r="K141" s="27"/>
      <c r="L141" s="27"/>
      <c r="M141" s="27"/>
      <c r="O141" t="s">
        <v>65</v>
      </c>
      <c r="R141" s="27"/>
      <c r="S141" s="27"/>
      <c r="T141" s="27"/>
      <c r="U141" s="27"/>
      <c r="Z141" s="27"/>
      <c r="AA141" s="27"/>
      <c r="AB141" s="27"/>
      <c r="AC141" s="27"/>
      <c r="AE141">
        <v>0</v>
      </c>
      <c r="AJ141" t="s">
        <v>222</v>
      </c>
    </row>
    <row r="142" spans="1:37" x14ac:dyDescent="0.25">
      <c r="B142">
        <v>181372</v>
      </c>
      <c r="C142" t="s">
        <v>225</v>
      </c>
      <c r="D142" t="s">
        <v>217</v>
      </c>
      <c r="E142" t="s">
        <v>211</v>
      </c>
      <c r="F142" t="s">
        <v>212</v>
      </c>
      <c r="J142" s="27"/>
      <c r="K142" s="27"/>
      <c r="L142" s="27"/>
      <c r="M142" s="27"/>
      <c r="O142" t="s">
        <v>35</v>
      </c>
      <c r="R142" s="27"/>
      <c r="S142" s="27"/>
      <c r="T142" s="27"/>
      <c r="U142" s="27"/>
      <c r="Z142" s="27"/>
      <c r="AA142" s="27"/>
      <c r="AB142" s="27"/>
      <c r="AC142" s="27"/>
      <c r="AE142">
        <v>0</v>
      </c>
      <c r="AJ142" t="s">
        <v>213</v>
      </c>
    </row>
    <row r="143" spans="1:37" x14ac:dyDescent="0.25">
      <c r="B143">
        <v>181380</v>
      </c>
      <c r="C143" t="s">
        <v>226</v>
      </c>
      <c r="D143" t="s">
        <v>227</v>
      </c>
      <c r="E143" t="s">
        <v>208</v>
      </c>
      <c r="F143" t="s">
        <v>208</v>
      </c>
      <c r="J143" s="27"/>
      <c r="K143" s="27"/>
      <c r="L143" s="27"/>
      <c r="M143" s="27"/>
      <c r="O143" t="s">
        <v>33</v>
      </c>
      <c r="R143" s="27"/>
      <c r="S143" s="27"/>
      <c r="T143" s="27"/>
      <c r="U143" s="27"/>
      <c r="Z143" s="27"/>
      <c r="AA143" s="27"/>
      <c r="AB143" s="27"/>
      <c r="AC143" s="27"/>
      <c r="AE143">
        <v>0</v>
      </c>
      <c r="AJ143" t="s">
        <v>213</v>
      </c>
    </row>
    <row r="144" spans="1:37" x14ac:dyDescent="0.25">
      <c r="B144">
        <v>181382</v>
      </c>
      <c r="C144" t="s">
        <v>226</v>
      </c>
      <c r="D144" t="s">
        <v>227</v>
      </c>
      <c r="E144" t="s">
        <v>208</v>
      </c>
      <c r="F144" t="s">
        <v>208</v>
      </c>
      <c r="J144" s="27"/>
      <c r="K144" s="27"/>
      <c r="L144" s="27"/>
      <c r="M144" s="27"/>
      <c r="O144" t="s">
        <v>33</v>
      </c>
      <c r="R144" s="27"/>
      <c r="S144" s="27"/>
      <c r="T144" s="27"/>
      <c r="U144" s="27"/>
      <c r="Z144" s="27"/>
      <c r="AA144" s="27"/>
      <c r="AB144" s="27"/>
      <c r="AC144" s="27"/>
      <c r="AE144">
        <v>0</v>
      </c>
      <c r="AJ144" t="s">
        <v>213</v>
      </c>
    </row>
    <row r="145" spans="2:36" x14ac:dyDescent="0.25">
      <c r="B145">
        <v>181384</v>
      </c>
      <c r="C145" t="s">
        <v>228</v>
      </c>
      <c r="D145" t="s">
        <v>227</v>
      </c>
      <c r="E145" t="s">
        <v>208</v>
      </c>
      <c r="F145" t="s">
        <v>208</v>
      </c>
      <c r="J145" s="27"/>
      <c r="K145" s="27"/>
      <c r="L145" s="27"/>
      <c r="M145" s="27"/>
      <c r="O145" t="s">
        <v>33</v>
      </c>
      <c r="R145" s="27"/>
      <c r="S145" s="27"/>
      <c r="T145" s="27"/>
      <c r="U145" s="27"/>
      <c r="Z145" s="27"/>
      <c r="AA145" s="27"/>
      <c r="AB145" s="27"/>
      <c r="AC145" s="27"/>
      <c r="AE145">
        <v>0</v>
      </c>
      <c r="AJ145" t="s">
        <v>213</v>
      </c>
    </row>
    <row r="146" spans="2:36" x14ac:dyDescent="0.25">
      <c r="B146">
        <v>181428</v>
      </c>
      <c r="C146" t="s">
        <v>229</v>
      </c>
      <c r="D146" t="s">
        <v>230</v>
      </c>
      <c r="E146" t="s">
        <v>211</v>
      </c>
      <c r="F146" t="s">
        <v>212</v>
      </c>
      <c r="J146" s="27"/>
      <c r="K146" s="27"/>
      <c r="L146" s="27"/>
      <c r="M146" s="27"/>
      <c r="O146" t="s">
        <v>215</v>
      </c>
      <c r="R146" s="27"/>
      <c r="S146" s="27"/>
      <c r="T146" s="27"/>
      <c r="U146" s="27"/>
      <c r="Z146" s="27"/>
      <c r="AA146" s="27"/>
      <c r="AB146" s="27"/>
      <c r="AC146" s="27"/>
      <c r="AE146">
        <v>0</v>
      </c>
      <c r="AJ146" t="s">
        <v>213</v>
      </c>
    </row>
    <row r="147" spans="2:36" x14ac:dyDescent="0.25">
      <c r="B147">
        <v>181429</v>
      </c>
      <c r="C147" t="s">
        <v>229</v>
      </c>
      <c r="D147" t="s">
        <v>230</v>
      </c>
      <c r="E147" t="s">
        <v>211</v>
      </c>
      <c r="F147" t="s">
        <v>212</v>
      </c>
      <c r="J147" s="27"/>
      <c r="K147" s="27"/>
      <c r="L147" s="27"/>
      <c r="M147" s="27"/>
      <c r="O147" t="s">
        <v>49</v>
      </c>
      <c r="R147" s="27"/>
      <c r="S147" s="27"/>
      <c r="T147" s="27"/>
      <c r="U147" s="27"/>
      <c r="Z147" s="27"/>
      <c r="AA147" s="27"/>
      <c r="AB147" s="27"/>
      <c r="AC147" s="27"/>
      <c r="AE147">
        <v>0</v>
      </c>
      <c r="AJ147" t="s">
        <v>213</v>
      </c>
    </row>
    <row r="148" spans="2:36" x14ac:dyDescent="0.25">
      <c r="B148">
        <v>181430</v>
      </c>
      <c r="C148" t="s">
        <v>229</v>
      </c>
      <c r="D148" t="s">
        <v>230</v>
      </c>
      <c r="E148" t="s">
        <v>211</v>
      </c>
      <c r="F148" t="s">
        <v>212</v>
      </c>
      <c r="J148" s="27"/>
      <c r="K148" s="27"/>
      <c r="L148" s="27"/>
      <c r="M148" s="27"/>
      <c r="O148" t="s">
        <v>231</v>
      </c>
      <c r="R148" s="27"/>
      <c r="S148" s="27"/>
      <c r="T148" s="27"/>
      <c r="U148" s="27"/>
      <c r="Z148" s="27"/>
      <c r="AA148" s="27"/>
      <c r="AB148" s="27"/>
      <c r="AC148" s="27"/>
      <c r="AE148">
        <v>0</v>
      </c>
      <c r="AJ148" t="s">
        <v>213</v>
      </c>
    </row>
    <row r="149" spans="2:36" x14ac:dyDescent="0.25">
      <c r="B149">
        <v>181432</v>
      </c>
      <c r="C149" t="s">
        <v>229</v>
      </c>
      <c r="D149" t="s">
        <v>230</v>
      </c>
      <c r="E149" t="s">
        <v>211</v>
      </c>
      <c r="F149" t="s">
        <v>212</v>
      </c>
      <c r="J149" s="27"/>
      <c r="K149" s="27"/>
      <c r="L149" s="27"/>
      <c r="M149" s="27"/>
      <c r="O149" t="s">
        <v>231</v>
      </c>
      <c r="R149" s="27"/>
      <c r="S149" s="27"/>
      <c r="T149" s="27"/>
      <c r="U149" s="27"/>
      <c r="Z149" s="27"/>
      <c r="AA149" s="27"/>
      <c r="AB149" s="27"/>
      <c r="AC149" s="27"/>
      <c r="AE149">
        <v>0</v>
      </c>
      <c r="AJ149" t="s">
        <v>213</v>
      </c>
    </row>
    <row r="150" spans="2:36" x14ac:dyDescent="0.25">
      <c r="B150">
        <v>181436</v>
      </c>
      <c r="C150" t="s">
        <v>232</v>
      </c>
      <c r="D150" t="s">
        <v>230</v>
      </c>
      <c r="E150" t="s">
        <v>211</v>
      </c>
      <c r="F150" t="s">
        <v>212</v>
      </c>
      <c r="J150" s="27"/>
      <c r="K150" s="27"/>
      <c r="L150" s="27"/>
      <c r="M150" s="27"/>
      <c r="O150" t="s">
        <v>41</v>
      </c>
      <c r="R150" s="27"/>
      <c r="S150" s="27"/>
      <c r="T150" s="27"/>
      <c r="U150" s="27"/>
      <c r="Z150" s="27"/>
      <c r="AA150" s="27"/>
      <c r="AB150" s="27"/>
      <c r="AC150" s="27"/>
      <c r="AE150">
        <v>0</v>
      </c>
      <c r="AJ150" t="s">
        <v>213</v>
      </c>
    </row>
    <row r="151" spans="2:36" x14ac:dyDescent="0.25">
      <c r="B151">
        <v>181437</v>
      </c>
      <c r="C151" t="s">
        <v>232</v>
      </c>
      <c r="D151" t="s">
        <v>230</v>
      </c>
      <c r="E151" t="s">
        <v>211</v>
      </c>
      <c r="F151" t="s">
        <v>212</v>
      </c>
      <c r="J151" s="27"/>
      <c r="K151" s="27"/>
      <c r="L151" s="27"/>
      <c r="M151" s="27"/>
      <c r="O151" t="s">
        <v>63</v>
      </c>
      <c r="R151" s="27"/>
      <c r="S151" s="27"/>
      <c r="T151" s="27"/>
      <c r="U151" s="27"/>
      <c r="Z151" s="27"/>
      <c r="AA151" s="27"/>
      <c r="AB151" s="27"/>
      <c r="AC151" s="27"/>
      <c r="AE151">
        <v>0</v>
      </c>
      <c r="AJ151" t="s">
        <v>213</v>
      </c>
    </row>
    <row r="152" spans="2:36" x14ac:dyDescent="0.25">
      <c r="B152">
        <v>181438</v>
      </c>
      <c r="C152" t="s">
        <v>232</v>
      </c>
      <c r="D152" t="s">
        <v>230</v>
      </c>
      <c r="E152" t="s">
        <v>211</v>
      </c>
      <c r="F152" t="s">
        <v>212</v>
      </c>
      <c r="J152" s="27"/>
      <c r="K152" s="27"/>
      <c r="L152" s="27"/>
      <c r="M152" s="27"/>
      <c r="O152" t="s">
        <v>65</v>
      </c>
      <c r="R152" s="27"/>
      <c r="S152" s="27"/>
      <c r="T152" s="27"/>
      <c r="U152" s="27"/>
      <c r="Z152" s="27"/>
      <c r="AA152" s="27"/>
      <c r="AB152" s="27"/>
      <c r="AC152" s="27"/>
      <c r="AE152">
        <v>0</v>
      </c>
      <c r="AJ152" t="s">
        <v>213</v>
      </c>
    </row>
    <row r="153" spans="2:36" x14ac:dyDescent="0.25">
      <c r="B153">
        <v>181439</v>
      </c>
      <c r="C153" t="s">
        <v>232</v>
      </c>
      <c r="D153" t="s">
        <v>230</v>
      </c>
      <c r="E153" t="s">
        <v>211</v>
      </c>
      <c r="F153" t="s">
        <v>212</v>
      </c>
      <c r="J153" s="27"/>
      <c r="K153" s="27"/>
      <c r="L153" s="27"/>
      <c r="M153" s="27"/>
      <c r="O153" t="s">
        <v>39</v>
      </c>
      <c r="R153" s="27"/>
      <c r="S153" s="27"/>
      <c r="T153" s="27"/>
      <c r="U153" s="27"/>
      <c r="Z153" s="27"/>
      <c r="AA153" s="27"/>
      <c r="AB153" s="27"/>
      <c r="AC153" s="27"/>
      <c r="AE153">
        <v>0</v>
      </c>
      <c r="AJ153" t="s">
        <v>213</v>
      </c>
    </row>
    <row r="154" spans="2:36" x14ac:dyDescent="0.25">
      <c r="B154">
        <v>181446</v>
      </c>
      <c r="C154" t="s">
        <v>232</v>
      </c>
      <c r="D154" t="s">
        <v>230</v>
      </c>
      <c r="E154" t="s">
        <v>211</v>
      </c>
      <c r="F154" t="s">
        <v>212</v>
      </c>
      <c r="J154" s="27"/>
      <c r="K154" s="27"/>
      <c r="L154" s="27"/>
      <c r="M154" s="27"/>
      <c r="O154" t="s">
        <v>38</v>
      </c>
      <c r="R154" s="27"/>
      <c r="S154" s="27"/>
      <c r="T154" s="27"/>
      <c r="U154" s="27"/>
      <c r="Z154" s="27"/>
      <c r="AA154" s="27"/>
      <c r="AB154" s="27"/>
      <c r="AC154" s="27"/>
      <c r="AE154">
        <v>0</v>
      </c>
      <c r="AJ154" t="s">
        <v>213</v>
      </c>
    </row>
    <row r="155" spans="2:36" x14ac:dyDescent="0.25">
      <c r="B155">
        <v>181447</v>
      </c>
      <c r="C155" t="s">
        <v>232</v>
      </c>
      <c r="D155" t="s">
        <v>230</v>
      </c>
      <c r="E155" t="s">
        <v>211</v>
      </c>
      <c r="F155" t="s">
        <v>212</v>
      </c>
      <c r="J155" s="27"/>
      <c r="K155" s="27"/>
      <c r="L155" s="27"/>
      <c r="M155" s="27"/>
      <c r="O155" t="s">
        <v>63</v>
      </c>
      <c r="R155" s="27"/>
      <c r="S155" s="27"/>
      <c r="T155" s="27"/>
      <c r="U155" s="27"/>
      <c r="Z155" s="27"/>
      <c r="AA155" s="27"/>
      <c r="AB155" s="27"/>
      <c r="AC155" s="27"/>
      <c r="AE155">
        <v>0</v>
      </c>
      <c r="AJ155" t="s">
        <v>213</v>
      </c>
    </row>
    <row r="156" spans="2:36" x14ac:dyDescent="0.25">
      <c r="B156">
        <v>181448</v>
      </c>
      <c r="C156" t="s">
        <v>232</v>
      </c>
      <c r="D156" t="s">
        <v>230</v>
      </c>
      <c r="E156" t="s">
        <v>211</v>
      </c>
      <c r="F156" t="s">
        <v>212</v>
      </c>
      <c r="J156" s="27"/>
      <c r="K156" s="27"/>
      <c r="L156" s="27"/>
      <c r="M156" s="27"/>
      <c r="O156" t="s">
        <v>62</v>
      </c>
      <c r="R156" s="27"/>
      <c r="S156" s="27"/>
      <c r="T156" s="27"/>
      <c r="U156" s="27"/>
      <c r="Z156" s="27"/>
      <c r="AA156" s="27"/>
      <c r="AB156" s="27"/>
      <c r="AC156" s="27"/>
      <c r="AE156">
        <v>0</v>
      </c>
      <c r="AJ156" t="s">
        <v>213</v>
      </c>
    </row>
    <row r="157" spans="2:36" x14ac:dyDescent="0.25">
      <c r="B157">
        <v>181449</v>
      </c>
      <c r="C157" t="s">
        <v>232</v>
      </c>
      <c r="D157" t="s">
        <v>230</v>
      </c>
      <c r="E157" t="s">
        <v>211</v>
      </c>
      <c r="F157" t="s">
        <v>212</v>
      </c>
      <c r="J157" s="27"/>
      <c r="K157" s="27"/>
      <c r="L157" s="27"/>
      <c r="M157" s="27"/>
      <c r="O157" t="s">
        <v>65</v>
      </c>
      <c r="R157" s="27"/>
      <c r="S157" s="27"/>
      <c r="T157" s="27"/>
      <c r="U157" s="27"/>
      <c r="Z157" s="27"/>
      <c r="AA157" s="27"/>
      <c r="AB157" s="27"/>
      <c r="AC157" s="27"/>
      <c r="AE157">
        <v>0</v>
      </c>
      <c r="AJ157" t="s">
        <v>213</v>
      </c>
    </row>
    <row r="158" spans="2:36" x14ac:dyDescent="0.25">
      <c r="B158">
        <v>181508</v>
      </c>
      <c r="C158" t="s">
        <v>233</v>
      </c>
      <c r="D158" t="s">
        <v>16</v>
      </c>
      <c r="E158" t="s">
        <v>224</v>
      </c>
      <c r="F158" t="s">
        <v>121</v>
      </c>
      <c r="J158" s="27"/>
      <c r="K158" s="27"/>
      <c r="L158" s="27"/>
      <c r="M158" s="27"/>
      <c r="O158" t="s">
        <v>35</v>
      </c>
      <c r="R158" s="27"/>
      <c r="S158" s="27"/>
      <c r="T158" s="27"/>
      <c r="U158" s="27"/>
      <c r="Z158" s="27"/>
      <c r="AA158" s="27"/>
      <c r="AB158" s="27"/>
      <c r="AC158" s="27"/>
      <c r="AE158">
        <v>0</v>
      </c>
      <c r="AJ158" t="s">
        <v>222</v>
      </c>
    </row>
    <row r="159" spans="2:36" x14ac:dyDescent="0.25">
      <c r="B159">
        <v>181519</v>
      </c>
      <c r="C159" t="s">
        <v>210</v>
      </c>
      <c r="D159" t="s">
        <v>14</v>
      </c>
      <c r="E159" t="s">
        <v>221</v>
      </c>
      <c r="F159" t="s">
        <v>121</v>
      </c>
      <c r="J159" s="27"/>
      <c r="K159" s="27"/>
      <c r="L159" s="27"/>
      <c r="M159" s="27"/>
      <c r="O159" t="s">
        <v>33</v>
      </c>
      <c r="R159" s="27"/>
      <c r="S159" s="27"/>
      <c r="T159" s="27"/>
      <c r="U159" s="27"/>
      <c r="Z159" s="27"/>
      <c r="AA159" s="27"/>
      <c r="AB159" s="27"/>
      <c r="AC159" s="27"/>
      <c r="AE159">
        <v>0</v>
      </c>
      <c r="AJ159" t="s">
        <v>222</v>
      </c>
    </row>
    <row r="160" spans="2:36" x14ac:dyDescent="0.25">
      <c r="B160">
        <v>181520</v>
      </c>
      <c r="C160" t="s">
        <v>210</v>
      </c>
      <c r="D160" t="s">
        <v>14</v>
      </c>
      <c r="E160" t="s">
        <v>221</v>
      </c>
      <c r="F160" t="s">
        <v>121</v>
      </c>
      <c r="J160" s="27"/>
      <c r="K160" s="27"/>
      <c r="L160" s="27"/>
      <c r="M160" s="27"/>
      <c r="O160" t="s">
        <v>33</v>
      </c>
      <c r="R160" s="27"/>
      <c r="S160" s="27"/>
      <c r="T160" s="27"/>
      <c r="U160" s="27"/>
      <c r="Z160" s="27"/>
      <c r="AA160" s="27"/>
      <c r="AB160" s="27"/>
      <c r="AC160" s="27"/>
      <c r="AE160">
        <v>0</v>
      </c>
      <c r="AJ160" t="s">
        <v>222</v>
      </c>
    </row>
    <row r="161" spans="2:36" x14ac:dyDescent="0.25">
      <c r="B161">
        <v>181521</v>
      </c>
      <c r="C161" t="s">
        <v>210</v>
      </c>
      <c r="D161" t="s">
        <v>14</v>
      </c>
      <c r="E161" t="s">
        <v>221</v>
      </c>
      <c r="F161" t="s">
        <v>121</v>
      </c>
      <c r="J161" s="27"/>
      <c r="K161" s="27"/>
      <c r="L161" s="27"/>
      <c r="M161" s="27"/>
      <c r="O161" t="s">
        <v>65</v>
      </c>
      <c r="R161" s="27"/>
      <c r="S161" s="27"/>
      <c r="T161" s="27"/>
      <c r="U161" s="27"/>
      <c r="Z161" s="27"/>
      <c r="AA161" s="27"/>
      <c r="AB161" s="27"/>
      <c r="AC161" s="27"/>
      <c r="AE161">
        <v>0</v>
      </c>
      <c r="AJ161" t="s">
        <v>222</v>
      </c>
    </row>
    <row r="162" spans="2:36" x14ac:dyDescent="0.25">
      <c r="B162">
        <v>181522</v>
      </c>
      <c r="C162" t="s">
        <v>210</v>
      </c>
      <c r="D162" t="s">
        <v>14</v>
      </c>
      <c r="E162" t="s">
        <v>221</v>
      </c>
      <c r="F162" t="s">
        <v>121</v>
      </c>
      <c r="J162" s="27"/>
      <c r="K162" s="27"/>
      <c r="L162" s="27"/>
      <c r="M162" s="27"/>
      <c r="O162" t="s">
        <v>63</v>
      </c>
      <c r="R162" s="27"/>
      <c r="S162" s="27"/>
      <c r="T162" s="27"/>
      <c r="U162" s="27"/>
      <c r="Z162" s="27"/>
      <c r="AA162" s="27"/>
      <c r="AB162" s="27"/>
      <c r="AC162" s="27"/>
      <c r="AE162">
        <v>0</v>
      </c>
      <c r="AJ162" t="s">
        <v>222</v>
      </c>
    </row>
    <row r="163" spans="2:36" x14ac:dyDescent="0.25">
      <c r="B163">
        <v>181523</v>
      </c>
      <c r="C163" t="s">
        <v>210</v>
      </c>
      <c r="D163" t="s">
        <v>14</v>
      </c>
      <c r="E163" t="s">
        <v>221</v>
      </c>
      <c r="F163" t="s">
        <v>121</v>
      </c>
      <c r="J163" s="27"/>
      <c r="K163" s="27"/>
      <c r="L163" s="27"/>
      <c r="M163" s="27"/>
      <c r="O163" t="s">
        <v>65</v>
      </c>
      <c r="R163" s="27"/>
      <c r="S163" s="27"/>
      <c r="T163" s="27"/>
      <c r="U163" s="27"/>
      <c r="Z163" s="27"/>
      <c r="AA163" s="27"/>
      <c r="AB163" s="27"/>
      <c r="AC163" s="27"/>
      <c r="AE163">
        <v>0</v>
      </c>
      <c r="AJ163" t="s">
        <v>222</v>
      </c>
    </row>
    <row r="164" spans="2:36" x14ac:dyDescent="0.25">
      <c r="B164">
        <v>181524</v>
      </c>
      <c r="C164" t="s">
        <v>210</v>
      </c>
      <c r="D164" t="s">
        <v>14</v>
      </c>
      <c r="E164" t="s">
        <v>221</v>
      </c>
      <c r="F164" t="s">
        <v>121</v>
      </c>
      <c r="J164" s="27"/>
      <c r="K164" s="27"/>
      <c r="L164" s="27"/>
      <c r="M164" s="27"/>
      <c r="O164" t="s">
        <v>33</v>
      </c>
      <c r="R164" s="27"/>
      <c r="S164" s="27"/>
      <c r="T164" s="27"/>
      <c r="U164" s="27"/>
      <c r="Z164" s="27"/>
      <c r="AA164" s="27"/>
      <c r="AB164" s="27"/>
      <c r="AC164" s="27"/>
      <c r="AE164">
        <v>0</v>
      </c>
      <c r="AJ164" t="s">
        <v>222</v>
      </c>
    </row>
    <row r="165" spans="2:36" x14ac:dyDescent="0.25">
      <c r="B165">
        <v>181525</v>
      </c>
      <c r="C165" t="s">
        <v>210</v>
      </c>
      <c r="D165" t="s">
        <v>14</v>
      </c>
      <c r="E165" t="s">
        <v>221</v>
      </c>
      <c r="F165" t="s">
        <v>121</v>
      </c>
      <c r="J165" s="27"/>
      <c r="K165" s="27"/>
      <c r="L165" s="27"/>
      <c r="M165" s="27"/>
      <c r="O165" t="s">
        <v>35</v>
      </c>
      <c r="R165" s="27"/>
      <c r="S165" s="27"/>
      <c r="T165" s="27"/>
      <c r="U165" s="27"/>
      <c r="Z165" s="27"/>
      <c r="AA165" s="27"/>
      <c r="AB165" s="27"/>
      <c r="AC165" s="27"/>
      <c r="AE165">
        <v>0</v>
      </c>
      <c r="AJ165" t="s">
        <v>222</v>
      </c>
    </row>
    <row r="166" spans="2:36" x14ac:dyDescent="0.25">
      <c r="B166">
        <v>181526</v>
      </c>
      <c r="C166" t="s">
        <v>210</v>
      </c>
      <c r="D166" t="s">
        <v>14</v>
      </c>
      <c r="E166" t="s">
        <v>221</v>
      </c>
      <c r="F166" t="s">
        <v>121</v>
      </c>
      <c r="J166" s="27"/>
      <c r="K166" s="27"/>
      <c r="L166" s="27"/>
      <c r="M166" s="27"/>
      <c r="O166" t="s">
        <v>38</v>
      </c>
      <c r="R166" s="27"/>
      <c r="S166" s="27"/>
      <c r="T166" s="27"/>
      <c r="U166" s="27"/>
      <c r="Z166" s="27"/>
      <c r="AA166" s="27"/>
      <c r="AB166" s="27"/>
      <c r="AC166" s="27"/>
      <c r="AE166">
        <v>0</v>
      </c>
      <c r="AJ166" t="s">
        <v>222</v>
      </c>
    </row>
    <row r="167" spans="2:36" x14ac:dyDescent="0.25">
      <c r="B167">
        <v>181527</v>
      </c>
      <c r="C167" t="s">
        <v>210</v>
      </c>
      <c r="D167" t="s">
        <v>14</v>
      </c>
      <c r="E167" t="s">
        <v>221</v>
      </c>
      <c r="F167" t="s">
        <v>121</v>
      </c>
      <c r="J167" s="27"/>
      <c r="K167" s="27"/>
      <c r="L167" s="27"/>
      <c r="M167" s="27"/>
      <c r="O167" t="s">
        <v>65</v>
      </c>
      <c r="R167" s="27"/>
      <c r="S167" s="27"/>
      <c r="T167" s="27"/>
      <c r="U167" s="27"/>
      <c r="Z167" s="27"/>
      <c r="AA167" s="27"/>
      <c r="AB167" s="27"/>
      <c r="AC167" s="27"/>
      <c r="AE167">
        <v>0</v>
      </c>
      <c r="AJ167" t="s">
        <v>222</v>
      </c>
    </row>
    <row r="168" spans="2:36" x14ac:dyDescent="0.25">
      <c r="B168">
        <v>181528</v>
      </c>
      <c r="C168" t="s">
        <v>210</v>
      </c>
      <c r="D168" t="s">
        <v>14</v>
      </c>
      <c r="E168" t="s">
        <v>221</v>
      </c>
      <c r="F168" t="s">
        <v>121</v>
      </c>
      <c r="J168" s="27"/>
      <c r="K168" s="27"/>
      <c r="L168" s="27"/>
      <c r="M168" s="27"/>
      <c r="O168" t="s">
        <v>41</v>
      </c>
      <c r="R168" s="27"/>
      <c r="S168" s="27"/>
      <c r="T168" s="27"/>
      <c r="U168" s="27"/>
      <c r="Z168" s="27"/>
      <c r="AA168" s="27"/>
      <c r="AB168" s="27"/>
      <c r="AC168" s="27"/>
      <c r="AE168">
        <v>0</v>
      </c>
      <c r="AJ168" t="s">
        <v>222</v>
      </c>
    </row>
    <row r="169" spans="2:36" x14ac:dyDescent="0.25">
      <c r="B169">
        <v>181554</v>
      </c>
      <c r="C169" t="s">
        <v>233</v>
      </c>
      <c r="D169" t="s">
        <v>16</v>
      </c>
      <c r="E169" t="s">
        <v>224</v>
      </c>
      <c r="F169" t="s">
        <v>234</v>
      </c>
      <c r="J169" s="27"/>
      <c r="K169" s="27"/>
      <c r="L169" s="27"/>
      <c r="M169" s="27"/>
      <c r="O169" t="s">
        <v>62</v>
      </c>
      <c r="R169" s="27"/>
      <c r="S169" s="27"/>
      <c r="T169" s="27"/>
      <c r="U169" s="27"/>
      <c r="Z169" s="27"/>
      <c r="AA169" s="27"/>
      <c r="AB169" s="27"/>
      <c r="AC169" s="27"/>
      <c r="AE169">
        <v>0</v>
      </c>
      <c r="AJ169" t="s">
        <v>222</v>
      </c>
    </row>
    <row r="170" spans="2:36" x14ac:dyDescent="0.25">
      <c r="B170">
        <v>181558</v>
      </c>
      <c r="C170" t="s">
        <v>232</v>
      </c>
      <c r="D170" t="s">
        <v>217</v>
      </c>
      <c r="E170" t="s">
        <v>208</v>
      </c>
      <c r="F170" t="s">
        <v>212</v>
      </c>
      <c r="J170" s="27"/>
      <c r="K170" s="27"/>
      <c r="L170" s="27"/>
      <c r="M170" s="27"/>
      <c r="O170" t="s">
        <v>39</v>
      </c>
      <c r="R170" s="27"/>
      <c r="S170" s="27"/>
      <c r="T170" s="27"/>
      <c r="U170" s="27"/>
      <c r="Z170" s="27"/>
      <c r="AA170" s="27"/>
      <c r="AB170" s="27"/>
      <c r="AC170" s="27"/>
      <c r="AE170">
        <v>0</v>
      </c>
      <c r="AJ170" t="s">
        <v>213</v>
      </c>
    </row>
    <row r="171" spans="2:36" x14ac:dyDescent="0.25">
      <c r="B171">
        <v>181562</v>
      </c>
      <c r="C171" t="s">
        <v>235</v>
      </c>
      <c r="D171" t="s">
        <v>227</v>
      </c>
      <c r="E171" t="s">
        <v>208</v>
      </c>
      <c r="F171" t="s">
        <v>208</v>
      </c>
      <c r="J171" s="27"/>
      <c r="K171" s="27"/>
      <c r="L171" s="27"/>
      <c r="M171" s="27"/>
      <c r="O171" t="s">
        <v>33</v>
      </c>
      <c r="R171" s="27"/>
      <c r="S171" s="27"/>
      <c r="T171" s="27"/>
      <c r="U171" s="27"/>
      <c r="Z171" s="27"/>
      <c r="AA171" s="27"/>
      <c r="AB171" s="27"/>
      <c r="AC171" s="27"/>
      <c r="AE171">
        <v>0</v>
      </c>
      <c r="AJ171" t="s">
        <v>213</v>
      </c>
    </row>
    <row r="172" spans="2:36" x14ac:dyDescent="0.25">
      <c r="B172">
        <v>181563</v>
      </c>
      <c r="C172" t="s">
        <v>235</v>
      </c>
      <c r="D172" t="s">
        <v>227</v>
      </c>
      <c r="E172" t="s">
        <v>208</v>
      </c>
      <c r="F172" t="s">
        <v>208</v>
      </c>
      <c r="J172" s="27"/>
      <c r="K172" s="27"/>
      <c r="L172" s="27"/>
      <c r="M172" s="27"/>
      <c r="O172" t="s">
        <v>38</v>
      </c>
      <c r="R172" s="27"/>
      <c r="S172" s="27"/>
      <c r="T172" s="27"/>
      <c r="U172" s="27"/>
      <c r="Z172" s="27"/>
      <c r="AA172" s="27"/>
      <c r="AB172" s="27"/>
      <c r="AC172" s="27"/>
      <c r="AE172">
        <v>0</v>
      </c>
      <c r="AJ172" t="s">
        <v>213</v>
      </c>
    </row>
    <row r="173" spans="2:36" x14ac:dyDescent="0.25">
      <c r="B173">
        <v>181574</v>
      </c>
      <c r="C173" t="s">
        <v>125</v>
      </c>
      <c r="D173" t="s">
        <v>66</v>
      </c>
      <c r="E173" t="s">
        <v>234</v>
      </c>
      <c r="J173" s="27"/>
      <c r="K173" s="27"/>
      <c r="L173" s="27"/>
      <c r="M173" s="27"/>
      <c r="O173" t="s">
        <v>65</v>
      </c>
      <c r="R173" s="27"/>
      <c r="S173" s="27"/>
      <c r="T173" s="27"/>
      <c r="U173" s="27"/>
      <c r="Z173" s="27"/>
      <c r="AA173" s="27"/>
      <c r="AB173" s="27"/>
      <c r="AC173" s="27"/>
      <c r="AE173">
        <v>0</v>
      </c>
      <c r="AJ173" t="s">
        <v>236</v>
      </c>
    </row>
    <row r="174" spans="2:36" x14ac:dyDescent="0.25">
      <c r="B174">
        <v>181575</v>
      </c>
      <c r="C174" t="s">
        <v>125</v>
      </c>
      <c r="D174" t="s">
        <v>66</v>
      </c>
      <c r="E174" t="s">
        <v>234</v>
      </c>
      <c r="J174" s="27"/>
      <c r="K174" s="27"/>
      <c r="L174" s="27"/>
      <c r="M174" s="27"/>
      <c r="O174" t="s">
        <v>39</v>
      </c>
      <c r="R174" s="27"/>
      <c r="S174" s="27"/>
      <c r="T174" s="27"/>
      <c r="U174" s="27"/>
      <c r="Z174" s="27"/>
      <c r="AA174" s="27"/>
      <c r="AB174" s="27"/>
      <c r="AC174" s="27"/>
      <c r="AE174">
        <v>0</v>
      </c>
      <c r="AJ174" t="s">
        <v>236</v>
      </c>
    </row>
    <row r="175" spans="2:36" x14ac:dyDescent="0.25">
      <c r="B175">
        <v>181577</v>
      </c>
      <c r="C175" t="s">
        <v>232</v>
      </c>
      <c r="D175" t="s">
        <v>66</v>
      </c>
      <c r="E175" t="s">
        <v>237</v>
      </c>
      <c r="F175" t="s">
        <v>238</v>
      </c>
      <c r="J175" s="27"/>
      <c r="K175" s="27"/>
      <c r="L175" s="27"/>
      <c r="M175" s="27"/>
      <c r="O175" t="s">
        <v>39</v>
      </c>
      <c r="R175" s="27"/>
      <c r="S175" s="27"/>
      <c r="T175" s="27"/>
      <c r="U175" s="27"/>
      <c r="Z175" s="27"/>
      <c r="AA175" s="27"/>
      <c r="AB175" s="27"/>
      <c r="AC175" s="27"/>
      <c r="AE175">
        <v>0</v>
      </c>
      <c r="AJ175" t="s">
        <v>236</v>
      </c>
    </row>
    <row r="176" spans="2:36" x14ac:dyDescent="0.25">
      <c r="B176">
        <v>181578</v>
      </c>
      <c r="C176" t="s">
        <v>232</v>
      </c>
      <c r="D176" t="s">
        <v>66</v>
      </c>
      <c r="E176" t="s">
        <v>237</v>
      </c>
      <c r="J176" s="27"/>
      <c r="K176" s="27"/>
      <c r="L176" s="27"/>
      <c r="M176" s="27"/>
      <c r="O176" t="s">
        <v>49</v>
      </c>
      <c r="R176" s="27"/>
      <c r="S176" s="27"/>
      <c r="T176" s="27"/>
      <c r="U176" s="27"/>
      <c r="Z176" s="27"/>
      <c r="AA176" s="27"/>
      <c r="AB176" s="27"/>
      <c r="AC176" s="27"/>
      <c r="AE176">
        <v>0</v>
      </c>
      <c r="AJ176" t="s">
        <v>236</v>
      </c>
    </row>
    <row r="177" spans="2:36" x14ac:dyDescent="0.25">
      <c r="B177">
        <v>181579</v>
      </c>
      <c r="C177" t="s">
        <v>232</v>
      </c>
      <c r="D177" t="s">
        <v>66</v>
      </c>
      <c r="E177" t="s">
        <v>237</v>
      </c>
      <c r="J177" s="27"/>
      <c r="K177" s="27"/>
      <c r="L177" s="27"/>
      <c r="M177" s="27"/>
      <c r="O177" t="s">
        <v>231</v>
      </c>
      <c r="R177" s="27"/>
      <c r="S177" s="27"/>
      <c r="T177" s="27"/>
      <c r="U177" s="27"/>
      <c r="Z177" s="27"/>
      <c r="AA177" s="27"/>
      <c r="AB177" s="27"/>
      <c r="AC177" s="27"/>
      <c r="AE177">
        <v>0</v>
      </c>
      <c r="AJ177" t="s">
        <v>236</v>
      </c>
    </row>
    <row r="178" spans="2:36" x14ac:dyDescent="0.25">
      <c r="B178">
        <v>181601</v>
      </c>
      <c r="C178" t="s">
        <v>27</v>
      </c>
      <c r="D178" t="s">
        <v>14</v>
      </c>
      <c r="E178" t="s">
        <v>239</v>
      </c>
      <c r="F178" t="s">
        <v>11</v>
      </c>
      <c r="J178" s="27"/>
      <c r="K178" s="27"/>
      <c r="L178" s="27"/>
      <c r="M178" s="27"/>
      <c r="O178" t="s">
        <v>39</v>
      </c>
      <c r="R178" s="27"/>
      <c r="S178" s="27"/>
      <c r="T178" s="27"/>
      <c r="U178" s="27"/>
      <c r="Z178" s="27"/>
      <c r="AA178" s="27"/>
      <c r="AB178" s="27"/>
      <c r="AC178" s="27"/>
      <c r="AE178">
        <v>0</v>
      </c>
      <c r="AJ178" t="s">
        <v>222</v>
      </c>
    </row>
    <row r="179" spans="2:36" x14ac:dyDescent="0.25">
      <c r="B179">
        <v>181623</v>
      </c>
      <c r="C179" t="s">
        <v>27</v>
      </c>
      <c r="D179" t="s">
        <v>14</v>
      </c>
      <c r="E179" t="s">
        <v>239</v>
      </c>
      <c r="F179" t="s">
        <v>11</v>
      </c>
      <c r="J179" s="27"/>
      <c r="K179" s="27"/>
      <c r="L179" s="27"/>
      <c r="M179" s="27"/>
      <c r="O179" t="s">
        <v>63</v>
      </c>
      <c r="R179" s="27"/>
      <c r="S179" s="27"/>
      <c r="T179" s="27"/>
      <c r="U179" s="27"/>
      <c r="Z179" s="27"/>
      <c r="AA179" s="27"/>
      <c r="AB179" s="27"/>
      <c r="AC179" s="27"/>
      <c r="AE179">
        <v>0</v>
      </c>
      <c r="AJ179" t="s">
        <v>222</v>
      </c>
    </row>
    <row r="180" spans="2:36" x14ac:dyDescent="0.25">
      <c r="B180">
        <v>181639</v>
      </c>
      <c r="C180" t="s">
        <v>219</v>
      </c>
      <c r="D180" t="s">
        <v>217</v>
      </c>
      <c r="E180" t="s">
        <v>211</v>
      </c>
      <c r="F180" t="s">
        <v>212</v>
      </c>
      <c r="J180" s="27"/>
      <c r="K180" s="27"/>
      <c r="L180" s="27"/>
      <c r="M180" s="27"/>
      <c r="O180" t="s">
        <v>41</v>
      </c>
      <c r="R180" s="27"/>
      <c r="S180" s="27"/>
      <c r="T180" s="27"/>
      <c r="U180" s="27"/>
      <c r="Z180" s="27"/>
      <c r="AA180" s="27"/>
      <c r="AB180" s="27"/>
      <c r="AC180" s="27"/>
      <c r="AE180">
        <v>0</v>
      </c>
      <c r="AJ180" t="s">
        <v>213</v>
      </c>
    </row>
    <row r="181" spans="2:36" x14ac:dyDescent="0.25">
      <c r="B181">
        <v>181640</v>
      </c>
      <c r="C181" t="s">
        <v>219</v>
      </c>
      <c r="D181" t="s">
        <v>217</v>
      </c>
      <c r="E181" t="s">
        <v>211</v>
      </c>
      <c r="F181" t="s">
        <v>212</v>
      </c>
      <c r="J181" s="27"/>
      <c r="K181" s="27"/>
      <c r="L181" s="27"/>
      <c r="M181" s="27"/>
      <c r="O181" t="s">
        <v>62</v>
      </c>
      <c r="R181" s="27"/>
      <c r="S181" s="27"/>
      <c r="T181" s="27"/>
      <c r="U181" s="27"/>
      <c r="Z181" s="27"/>
      <c r="AA181" s="27"/>
      <c r="AB181" s="27"/>
      <c r="AC181" s="27"/>
      <c r="AE181">
        <v>0</v>
      </c>
      <c r="AJ181" t="s">
        <v>213</v>
      </c>
    </row>
    <row r="182" spans="2:36" x14ac:dyDescent="0.25">
      <c r="B182">
        <v>181642</v>
      </c>
      <c r="C182" t="s">
        <v>125</v>
      </c>
      <c r="D182" t="s">
        <v>16</v>
      </c>
      <c r="E182" t="s">
        <v>224</v>
      </c>
      <c r="F182" t="s">
        <v>9</v>
      </c>
      <c r="J182" s="27"/>
      <c r="K182" s="27"/>
      <c r="L182" s="27"/>
      <c r="M182" s="27"/>
      <c r="O182" t="s">
        <v>65</v>
      </c>
      <c r="R182" s="27"/>
      <c r="S182" s="27"/>
      <c r="T182" s="27"/>
      <c r="U182" s="27"/>
      <c r="Z182" s="27"/>
      <c r="AA182" s="27"/>
      <c r="AB182" s="27"/>
      <c r="AC182" s="27"/>
      <c r="AE182">
        <v>0</v>
      </c>
      <c r="AJ182" t="s">
        <v>222</v>
      </c>
    </row>
    <row r="183" spans="2:36" x14ac:dyDescent="0.25">
      <c r="B183">
        <v>181648</v>
      </c>
      <c r="C183" t="s">
        <v>155</v>
      </c>
      <c r="D183" t="s">
        <v>240</v>
      </c>
      <c r="E183" t="s">
        <v>241</v>
      </c>
      <c r="F183" t="s">
        <v>241</v>
      </c>
      <c r="J183" s="27"/>
      <c r="K183" s="27"/>
      <c r="L183" s="27"/>
      <c r="M183" s="27"/>
      <c r="O183" t="s">
        <v>231</v>
      </c>
      <c r="R183" s="27"/>
      <c r="S183" s="27"/>
      <c r="T183" s="27"/>
      <c r="U183" s="27"/>
      <c r="Z183" s="27"/>
      <c r="AA183" s="27"/>
      <c r="AB183" s="27"/>
      <c r="AC183" s="27"/>
      <c r="AE183">
        <v>0</v>
      </c>
      <c r="AJ183" t="s">
        <v>209</v>
      </c>
    </row>
    <row r="184" spans="2:36" x14ac:dyDescent="0.25">
      <c r="B184">
        <v>181656</v>
      </c>
      <c r="C184" t="s">
        <v>235</v>
      </c>
      <c r="D184" t="s">
        <v>242</v>
      </c>
      <c r="E184" t="s">
        <v>211</v>
      </c>
      <c r="F184" t="s">
        <v>212</v>
      </c>
      <c r="J184" s="27"/>
      <c r="K184" s="27"/>
      <c r="L184" s="27"/>
      <c r="M184" s="27"/>
      <c r="O184" t="s">
        <v>38</v>
      </c>
      <c r="R184" s="27"/>
      <c r="S184" s="27"/>
      <c r="T184" s="27"/>
      <c r="U184" s="27"/>
      <c r="Z184" s="27"/>
      <c r="AA184" s="27"/>
      <c r="AB184" s="27"/>
      <c r="AC184" s="27"/>
      <c r="AE184">
        <v>0</v>
      </c>
      <c r="AJ184" t="s">
        <v>213</v>
      </c>
    </row>
    <row r="185" spans="2:36" x14ac:dyDescent="0.25">
      <c r="B185">
        <v>181659</v>
      </c>
      <c r="C185" t="s">
        <v>235</v>
      </c>
      <c r="D185" t="s">
        <v>242</v>
      </c>
      <c r="E185" t="s">
        <v>211</v>
      </c>
      <c r="F185" t="s">
        <v>212</v>
      </c>
      <c r="J185" s="27"/>
      <c r="K185" s="27"/>
      <c r="L185" s="27"/>
      <c r="M185" s="27"/>
      <c r="O185" t="s">
        <v>62</v>
      </c>
      <c r="R185" s="27"/>
      <c r="S185" s="27"/>
      <c r="T185" s="27"/>
      <c r="U185" s="27"/>
      <c r="Z185" s="27"/>
      <c r="AA185" s="27"/>
      <c r="AB185" s="27"/>
      <c r="AC185" s="27"/>
      <c r="AE185">
        <v>0</v>
      </c>
      <c r="AJ185" t="s">
        <v>213</v>
      </c>
    </row>
    <row r="186" spans="2:36" x14ac:dyDescent="0.25">
      <c r="B186">
        <v>181660</v>
      </c>
      <c r="C186" t="s">
        <v>235</v>
      </c>
      <c r="D186" t="s">
        <v>242</v>
      </c>
      <c r="E186" t="s">
        <v>211</v>
      </c>
      <c r="F186" t="s">
        <v>212</v>
      </c>
      <c r="J186" s="27"/>
      <c r="K186" s="27"/>
      <c r="L186" s="27"/>
      <c r="M186" s="27"/>
      <c r="O186" t="s">
        <v>39</v>
      </c>
      <c r="R186" s="27"/>
      <c r="S186" s="27"/>
      <c r="T186" s="27"/>
      <c r="U186" s="27"/>
      <c r="Z186" s="27"/>
      <c r="AA186" s="27"/>
      <c r="AB186" s="27"/>
      <c r="AC186" s="27"/>
      <c r="AE186">
        <v>0</v>
      </c>
      <c r="AJ186" t="s">
        <v>213</v>
      </c>
    </row>
    <row r="187" spans="2:36" x14ac:dyDescent="0.25">
      <c r="B187">
        <v>181664</v>
      </c>
      <c r="C187" t="s">
        <v>235</v>
      </c>
      <c r="D187" t="s">
        <v>242</v>
      </c>
      <c r="E187" t="s">
        <v>211</v>
      </c>
      <c r="F187" t="s">
        <v>212</v>
      </c>
      <c r="J187" s="27"/>
      <c r="K187" s="27"/>
      <c r="L187" s="27"/>
      <c r="M187" s="27"/>
      <c r="O187" t="s">
        <v>41</v>
      </c>
      <c r="R187" s="27"/>
      <c r="S187" s="27"/>
      <c r="T187" s="27"/>
      <c r="U187" s="27"/>
      <c r="Z187" s="27"/>
      <c r="AA187" s="27"/>
      <c r="AB187" s="27"/>
      <c r="AC187" s="27"/>
      <c r="AE187">
        <v>0</v>
      </c>
      <c r="AJ187" t="s">
        <v>213</v>
      </c>
    </row>
    <row r="188" spans="2:36" x14ac:dyDescent="0.25">
      <c r="B188">
        <v>181696</v>
      </c>
      <c r="C188" t="s">
        <v>235</v>
      </c>
      <c r="D188" t="s">
        <v>242</v>
      </c>
      <c r="E188" t="s">
        <v>211</v>
      </c>
      <c r="F188" t="s">
        <v>212</v>
      </c>
      <c r="J188" s="27"/>
      <c r="K188" s="27"/>
      <c r="L188" s="27"/>
      <c r="M188" s="27"/>
      <c r="O188" t="s">
        <v>65</v>
      </c>
      <c r="R188" s="27"/>
      <c r="S188" s="27"/>
      <c r="T188" s="27"/>
      <c r="U188" s="27"/>
      <c r="Z188" s="27"/>
      <c r="AA188" s="27"/>
      <c r="AB188" s="27"/>
      <c r="AC188" s="27"/>
      <c r="AE188">
        <v>0</v>
      </c>
      <c r="AJ188" t="s">
        <v>213</v>
      </c>
    </row>
    <row r="189" spans="2:36" x14ac:dyDescent="0.25">
      <c r="B189">
        <v>181697</v>
      </c>
      <c r="C189" t="s">
        <v>235</v>
      </c>
      <c r="D189" t="s">
        <v>242</v>
      </c>
      <c r="E189" t="s">
        <v>211</v>
      </c>
      <c r="F189" t="s">
        <v>212</v>
      </c>
      <c r="J189" s="27"/>
      <c r="K189" s="27"/>
      <c r="L189" s="27"/>
      <c r="M189" s="27"/>
      <c r="O189" t="s">
        <v>39</v>
      </c>
      <c r="R189" s="27"/>
      <c r="S189" s="27"/>
      <c r="T189" s="27"/>
      <c r="U189" s="27"/>
      <c r="Z189" s="27"/>
      <c r="AA189" s="27"/>
      <c r="AB189" s="27"/>
      <c r="AC189" s="27"/>
      <c r="AE189">
        <v>0</v>
      </c>
      <c r="AJ189" t="s">
        <v>213</v>
      </c>
    </row>
    <row r="190" spans="2:36" x14ac:dyDescent="0.25">
      <c r="B190">
        <v>181698</v>
      </c>
      <c r="C190" t="s">
        <v>235</v>
      </c>
      <c r="D190" t="s">
        <v>242</v>
      </c>
      <c r="E190" t="s">
        <v>211</v>
      </c>
      <c r="F190" t="s">
        <v>212</v>
      </c>
      <c r="J190" s="27"/>
      <c r="K190" s="27"/>
      <c r="L190" s="27"/>
      <c r="M190" s="27"/>
      <c r="O190" t="s">
        <v>231</v>
      </c>
      <c r="R190" s="27"/>
      <c r="S190" s="27"/>
      <c r="T190" s="27"/>
      <c r="U190" s="27"/>
      <c r="Z190" s="27"/>
      <c r="AA190" s="27"/>
      <c r="AB190" s="27"/>
      <c r="AC190" s="27"/>
      <c r="AE190">
        <v>0</v>
      </c>
      <c r="AJ190" t="s">
        <v>213</v>
      </c>
    </row>
    <row r="191" spans="2:36" x14ac:dyDescent="0.25">
      <c r="B191">
        <v>181703</v>
      </c>
      <c r="C191" t="s">
        <v>235</v>
      </c>
      <c r="D191" t="s">
        <v>242</v>
      </c>
      <c r="E191" t="s">
        <v>211</v>
      </c>
      <c r="F191" t="s">
        <v>212</v>
      </c>
      <c r="J191" s="27"/>
      <c r="K191" s="27"/>
      <c r="L191" s="27"/>
      <c r="M191" s="27"/>
      <c r="O191" t="s">
        <v>33</v>
      </c>
      <c r="R191" s="27"/>
      <c r="S191" s="27"/>
      <c r="T191" s="27"/>
      <c r="U191" s="27"/>
      <c r="Z191" s="27"/>
      <c r="AA191" s="27"/>
      <c r="AB191" s="27"/>
      <c r="AC191" s="27"/>
      <c r="AE191">
        <v>0</v>
      </c>
      <c r="AJ191" t="s">
        <v>213</v>
      </c>
    </row>
    <row r="192" spans="2:36" x14ac:dyDescent="0.25">
      <c r="B192">
        <v>23001221</v>
      </c>
      <c r="C192" t="s">
        <v>243</v>
      </c>
      <c r="E192" t="s">
        <v>224</v>
      </c>
      <c r="F192" t="s">
        <v>121</v>
      </c>
      <c r="J192" s="27"/>
      <c r="K192" s="27"/>
      <c r="L192" s="27"/>
      <c r="M192" s="27"/>
      <c r="O192" t="s">
        <v>35</v>
      </c>
      <c r="R192" s="27"/>
      <c r="S192" s="27"/>
      <c r="T192" s="27"/>
      <c r="U192" s="27"/>
      <c r="Z192" s="27"/>
      <c r="AA192" s="27"/>
      <c r="AB192" s="27"/>
      <c r="AC192" s="27"/>
      <c r="AE192">
        <v>0</v>
      </c>
      <c r="AJ192" t="s">
        <v>222</v>
      </c>
    </row>
    <row r="193" spans="2:36" x14ac:dyDescent="0.25">
      <c r="B193">
        <v>23001540</v>
      </c>
      <c r="C193" t="s">
        <v>244</v>
      </c>
      <c r="E193" t="s">
        <v>208</v>
      </c>
      <c r="F193" t="s">
        <v>208</v>
      </c>
      <c r="J193" s="27"/>
      <c r="K193" s="27"/>
      <c r="L193" s="27"/>
      <c r="M193" s="27"/>
      <c r="O193" t="s">
        <v>231</v>
      </c>
      <c r="R193" s="27"/>
      <c r="S193" s="27"/>
      <c r="T193" s="27"/>
      <c r="U193" s="27"/>
      <c r="Z193" s="27"/>
      <c r="AA193" s="27"/>
      <c r="AB193" s="27"/>
      <c r="AC193" s="27"/>
      <c r="AE193">
        <v>0</v>
      </c>
      <c r="AJ193" t="s">
        <v>209</v>
      </c>
    </row>
    <row r="194" spans="2:36" x14ac:dyDescent="0.25">
      <c r="B194">
        <v>23001600</v>
      </c>
      <c r="C194" t="s">
        <v>245</v>
      </c>
      <c r="E194" t="s">
        <v>208</v>
      </c>
      <c r="F194" t="s">
        <v>208</v>
      </c>
      <c r="J194" s="27"/>
      <c r="K194" s="27"/>
      <c r="L194" s="27"/>
      <c r="M194" s="27"/>
      <c r="O194" t="s">
        <v>65</v>
      </c>
      <c r="R194" s="27"/>
      <c r="S194" s="27"/>
      <c r="T194" s="27"/>
      <c r="U194" s="27"/>
      <c r="Z194" s="27"/>
      <c r="AA194" s="27"/>
      <c r="AB194" s="27"/>
      <c r="AC194" s="27"/>
      <c r="AE194">
        <v>0</v>
      </c>
      <c r="AJ194" t="s">
        <v>209</v>
      </c>
    </row>
    <row r="195" spans="2:36" x14ac:dyDescent="0.25">
      <c r="B195">
        <v>23001620</v>
      </c>
      <c r="C195" t="s">
        <v>246</v>
      </c>
      <c r="E195" t="s">
        <v>211</v>
      </c>
      <c r="F195" t="s">
        <v>212</v>
      </c>
      <c r="J195" s="27"/>
      <c r="K195" s="27"/>
      <c r="L195" s="27"/>
      <c r="M195" s="27"/>
      <c r="O195" t="s">
        <v>49</v>
      </c>
      <c r="R195" s="27"/>
      <c r="S195" s="27"/>
      <c r="T195" s="27"/>
      <c r="U195" s="27"/>
      <c r="Z195" s="27"/>
      <c r="AA195" s="27"/>
      <c r="AB195" s="27"/>
      <c r="AC195" s="27"/>
      <c r="AE195">
        <v>0</v>
      </c>
      <c r="AJ195" t="s">
        <v>213</v>
      </c>
    </row>
    <row r="196" spans="2:36" x14ac:dyDescent="0.25">
      <c r="B196">
        <v>23001625</v>
      </c>
      <c r="C196" t="s">
        <v>247</v>
      </c>
      <c r="E196" t="s">
        <v>211</v>
      </c>
      <c r="F196" t="s">
        <v>212</v>
      </c>
      <c r="J196" s="27"/>
      <c r="K196" s="27"/>
      <c r="L196" s="27"/>
      <c r="M196" s="27"/>
      <c r="O196" t="s">
        <v>49</v>
      </c>
      <c r="R196" s="27"/>
      <c r="S196" s="27"/>
      <c r="T196" s="27"/>
      <c r="U196" s="27"/>
      <c r="Z196" s="27"/>
      <c r="AA196" s="27"/>
      <c r="AB196" s="27"/>
      <c r="AC196" s="27"/>
      <c r="AE196">
        <v>0</v>
      </c>
      <c r="AJ196" t="s">
        <v>213</v>
      </c>
    </row>
    <row r="197" spans="2:36" x14ac:dyDescent="0.25">
      <c r="B197">
        <v>23001627</v>
      </c>
      <c r="C197" t="s">
        <v>247</v>
      </c>
      <c r="E197" t="s">
        <v>211</v>
      </c>
      <c r="F197" t="s">
        <v>212</v>
      </c>
      <c r="J197" s="27"/>
      <c r="K197" s="27"/>
      <c r="L197" s="27"/>
      <c r="M197" s="27"/>
      <c r="O197" t="s">
        <v>231</v>
      </c>
      <c r="R197" s="27"/>
      <c r="S197" s="27"/>
      <c r="T197" s="27"/>
      <c r="U197" s="27"/>
      <c r="Z197" s="27"/>
      <c r="AA197" s="27"/>
      <c r="AB197" s="27"/>
      <c r="AC197" s="27"/>
      <c r="AE197">
        <v>0</v>
      </c>
      <c r="AJ197" t="s">
        <v>213</v>
      </c>
    </row>
    <row r="198" spans="2:36" x14ac:dyDescent="0.25">
      <c r="B198">
        <v>23002366</v>
      </c>
      <c r="C198" t="s">
        <v>214</v>
      </c>
      <c r="E198" t="s">
        <v>239</v>
      </c>
      <c r="F198" t="s">
        <v>11</v>
      </c>
      <c r="J198" s="27"/>
      <c r="K198" s="27"/>
      <c r="L198" s="27"/>
      <c r="M198" s="27"/>
      <c r="O198" t="s">
        <v>39</v>
      </c>
      <c r="R198" s="27"/>
      <c r="S198" s="27"/>
      <c r="T198" s="27"/>
      <c r="U198" s="27"/>
      <c r="Z198" s="27"/>
      <c r="AA198" s="27"/>
      <c r="AB198" s="27"/>
      <c r="AC198" s="27"/>
      <c r="AE198">
        <v>0</v>
      </c>
      <c r="AJ198" t="s">
        <v>222</v>
      </c>
    </row>
    <row r="199" spans="2:36" x14ac:dyDescent="0.25">
      <c r="B199">
        <v>23002367</v>
      </c>
      <c r="C199" t="s">
        <v>214</v>
      </c>
      <c r="E199" t="s">
        <v>221</v>
      </c>
      <c r="F199" t="s">
        <v>121</v>
      </c>
      <c r="J199" s="27"/>
      <c r="K199" s="27"/>
      <c r="L199" s="27"/>
      <c r="M199" s="27"/>
      <c r="O199" t="s">
        <v>231</v>
      </c>
      <c r="R199" s="27"/>
      <c r="S199" s="27"/>
      <c r="T199" s="27"/>
      <c r="U199" s="27"/>
      <c r="Z199" s="27"/>
      <c r="AA199" s="27"/>
      <c r="AB199" s="27"/>
      <c r="AC199" s="27"/>
      <c r="AE199">
        <v>0</v>
      </c>
      <c r="AJ199" t="s">
        <v>222</v>
      </c>
    </row>
    <row r="200" spans="2:36" x14ac:dyDescent="0.25">
      <c r="B200">
        <v>23002371</v>
      </c>
      <c r="C200" t="s">
        <v>214</v>
      </c>
      <c r="E200" t="s">
        <v>221</v>
      </c>
      <c r="F200" t="s">
        <v>121</v>
      </c>
      <c r="J200" s="27"/>
      <c r="K200" s="27"/>
      <c r="L200" s="27"/>
      <c r="M200" s="27"/>
      <c r="O200" t="s">
        <v>231</v>
      </c>
      <c r="R200" s="27"/>
      <c r="S200" s="27"/>
      <c r="T200" s="27"/>
      <c r="U200" s="27"/>
      <c r="Z200" s="27"/>
      <c r="AA200" s="27"/>
      <c r="AB200" s="27"/>
      <c r="AC200" s="27"/>
      <c r="AE200">
        <v>0</v>
      </c>
      <c r="AJ200" t="s">
        <v>222</v>
      </c>
    </row>
    <row r="201" spans="2:36" x14ac:dyDescent="0.25">
      <c r="B201">
        <v>23002381</v>
      </c>
      <c r="C201" t="s">
        <v>214</v>
      </c>
      <c r="E201" t="s">
        <v>239</v>
      </c>
      <c r="F201" t="s">
        <v>11</v>
      </c>
      <c r="J201" s="27"/>
      <c r="K201" s="27"/>
      <c r="L201" s="27"/>
      <c r="M201" s="27"/>
      <c r="O201" t="s">
        <v>231</v>
      </c>
      <c r="R201" s="27"/>
      <c r="S201" s="27"/>
      <c r="T201" s="27"/>
      <c r="U201" s="27"/>
      <c r="Z201" s="27"/>
      <c r="AA201" s="27"/>
      <c r="AB201" s="27"/>
      <c r="AC201" s="27"/>
      <c r="AE201">
        <v>0</v>
      </c>
      <c r="AJ201" t="s">
        <v>222</v>
      </c>
    </row>
    <row r="202" spans="2:36" x14ac:dyDescent="0.25">
      <c r="B202">
        <v>23002383</v>
      </c>
      <c r="C202" t="s">
        <v>214</v>
      </c>
      <c r="E202" t="s">
        <v>239</v>
      </c>
      <c r="F202" t="s">
        <v>11</v>
      </c>
      <c r="J202" s="27"/>
      <c r="K202" s="27"/>
      <c r="L202" s="27"/>
      <c r="M202" s="27"/>
      <c r="O202" t="s">
        <v>49</v>
      </c>
      <c r="R202" s="27"/>
      <c r="S202" s="27"/>
      <c r="T202" s="27"/>
      <c r="U202" s="27"/>
      <c r="Z202" s="27"/>
      <c r="AA202" s="27"/>
      <c r="AB202" s="27"/>
      <c r="AC202" s="27"/>
      <c r="AE202">
        <v>0</v>
      </c>
      <c r="AJ202" t="s">
        <v>222</v>
      </c>
    </row>
    <row r="203" spans="2:36" x14ac:dyDescent="0.25">
      <c r="B203">
        <v>23002387</v>
      </c>
      <c r="C203" t="s">
        <v>214</v>
      </c>
      <c r="E203" t="s">
        <v>239</v>
      </c>
      <c r="F203" t="s">
        <v>11</v>
      </c>
      <c r="J203" s="27"/>
      <c r="K203" s="27"/>
      <c r="L203" s="27"/>
      <c r="M203" s="27"/>
      <c r="O203" t="s">
        <v>39</v>
      </c>
      <c r="R203" s="27"/>
      <c r="S203" s="27"/>
      <c r="T203" s="27"/>
      <c r="U203" s="27"/>
      <c r="Z203" s="27"/>
      <c r="AA203" s="27"/>
      <c r="AB203" s="27"/>
      <c r="AC203" s="27"/>
      <c r="AE203">
        <v>0</v>
      </c>
      <c r="AJ203" t="s">
        <v>222</v>
      </c>
    </row>
    <row r="204" spans="2:36" x14ac:dyDescent="0.25">
      <c r="B204">
        <v>23002388</v>
      </c>
      <c r="C204" t="s">
        <v>214</v>
      </c>
      <c r="E204" t="s">
        <v>239</v>
      </c>
      <c r="F204" t="s">
        <v>11</v>
      </c>
      <c r="J204" s="27"/>
      <c r="K204" s="27"/>
      <c r="L204" s="27"/>
      <c r="M204" s="27"/>
      <c r="O204" t="s">
        <v>49</v>
      </c>
      <c r="R204" s="27"/>
      <c r="S204" s="27"/>
      <c r="T204" s="27"/>
      <c r="U204" s="27"/>
      <c r="Z204" s="27"/>
      <c r="AA204" s="27"/>
      <c r="AB204" s="27"/>
      <c r="AC204" s="27"/>
      <c r="AE204">
        <v>0</v>
      </c>
      <c r="AJ204" t="s">
        <v>222</v>
      </c>
    </row>
    <row r="205" spans="2:36" x14ac:dyDescent="0.25">
      <c r="B205">
        <v>23002389</v>
      </c>
      <c r="C205" t="s">
        <v>214</v>
      </c>
      <c r="E205" t="s">
        <v>239</v>
      </c>
      <c r="F205" t="s">
        <v>11</v>
      </c>
      <c r="J205" s="27"/>
      <c r="K205" s="27"/>
      <c r="L205" s="27"/>
      <c r="M205" s="27"/>
      <c r="O205" t="s">
        <v>49</v>
      </c>
      <c r="R205" s="27"/>
      <c r="S205" s="27"/>
      <c r="T205" s="27"/>
      <c r="U205" s="27"/>
      <c r="Z205" s="27"/>
      <c r="AA205" s="27"/>
      <c r="AB205" s="27"/>
      <c r="AC205" s="27"/>
      <c r="AE205">
        <v>0</v>
      </c>
      <c r="AJ205" t="s">
        <v>222</v>
      </c>
    </row>
    <row r="206" spans="2:36" x14ac:dyDescent="0.25">
      <c r="B206">
        <v>23002402</v>
      </c>
      <c r="C206" t="s">
        <v>214</v>
      </c>
      <c r="E206" t="s">
        <v>218</v>
      </c>
      <c r="F206" t="s">
        <v>9</v>
      </c>
      <c r="J206" s="27"/>
      <c r="K206" s="27"/>
      <c r="L206" s="27"/>
      <c r="M206" s="27"/>
      <c r="O206" t="s">
        <v>41</v>
      </c>
      <c r="R206" s="27"/>
      <c r="S206" s="27"/>
      <c r="T206" s="27"/>
      <c r="U206" s="27"/>
      <c r="Z206" s="27"/>
      <c r="AA206" s="27"/>
      <c r="AB206" s="27"/>
      <c r="AC206" s="27"/>
      <c r="AE206">
        <v>0</v>
      </c>
      <c r="AJ206" t="s">
        <v>209</v>
      </c>
    </row>
    <row r="207" spans="2:36" x14ac:dyDescent="0.25">
      <c r="B207">
        <v>23002404</v>
      </c>
      <c r="C207" t="s">
        <v>214</v>
      </c>
      <c r="E207" t="s">
        <v>218</v>
      </c>
      <c r="F207" t="s">
        <v>9</v>
      </c>
      <c r="J207" s="27"/>
      <c r="K207" s="27"/>
      <c r="L207" s="27"/>
      <c r="M207" s="27"/>
      <c r="O207" t="s">
        <v>63</v>
      </c>
      <c r="R207" s="27"/>
      <c r="S207" s="27"/>
      <c r="T207" s="27"/>
      <c r="U207" s="27"/>
      <c r="Z207" s="27"/>
      <c r="AA207" s="27"/>
      <c r="AB207" s="27"/>
      <c r="AC207" s="27"/>
      <c r="AE207">
        <v>0</v>
      </c>
      <c r="AJ207" t="s">
        <v>209</v>
      </c>
    </row>
    <row r="208" spans="2:36" x14ac:dyDescent="0.25">
      <c r="B208">
        <v>23002422</v>
      </c>
      <c r="C208" t="s">
        <v>248</v>
      </c>
      <c r="E208" t="s">
        <v>239</v>
      </c>
      <c r="F208" t="s">
        <v>11</v>
      </c>
      <c r="J208" s="27"/>
      <c r="K208" s="27"/>
      <c r="L208" s="27"/>
      <c r="M208" s="27"/>
      <c r="O208" t="s">
        <v>231</v>
      </c>
      <c r="R208" s="27"/>
      <c r="S208" s="27"/>
      <c r="T208" s="27"/>
      <c r="U208" s="27"/>
      <c r="Z208" s="27"/>
      <c r="AA208" s="27"/>
      <c r="AB208" s="27"/>
      <c r="AC208" s="27"/>
      <c r="AE208">
        <v>0</v>
      </c>
      <c r="AJ208" t="s">
        <v>222</v>
      </c>
    </row>
    <row r="209" spans="2:36" x14ac:dyDescent="0.25">
      <c r="B209">
        <v>23002423</v>
      </c>
      <c r="C209" t="s">
        <v>248</v>
      </c>
      <c r="E209" t="s">
        <v>239</v>
      </c>
      <c r="F209" t="s">
        <v>11</v>
      </c>
      <c r="J209" s="27"/>
      <c r="K209" s="27"/>
      <c r="L209" s="27"/>
      <c r="M209" s="27"/>
      <c r="O209" t="s">
        <v>231</v>
      </c>
      <c r="R209" s="27"/>
      <c r="S209" s="27"/>
      <c r="T209" s="27"/>
      <c r="U209" s="27"/>
      <c r="Z209" s="27"/>
      <c r="AA209" s="27"/>
      <c r="AB209" s="27"/>
      <c r="AC209" s="27"/>
      <c r="AE209">
        <v>0</v>
      </c>
      <c r="AJ209" t="s">
        <v>222</v>
      </c>
    </row>
    <row r="210" spans="2:36" x14ac:dyDescent="0.25">
      <c r="B210">
        <v>23002424</v>
      </c>
      <c r="C210" t="s">
        <v>248</v>
      </c>
      <c r="E210" t="s">
        <v>239</v>
      </c>
      <c r="F210" t="s">
        <v>11</v>
      </c>
      <c r="J210" s="27"/>
      <c r="K210" s="27"/>
      <c r="L210" s="27"/>
      <c r="M210" s="27"/>
      <c r="O210" t="s">
        <v>39</v>
      </c>
      <c r="R210" s="27"/>
      <c r="S210" s="27"/>
      <c r="T210" s="27"/>
      <c r="U210" s="27"/>
      <c r="Z210" s="27"/>
      <c r="AA210" s="27"/>
      <c r="AB210" s="27"/>
      <c r="AC210" s="27"/>
      <c r="AE210">
        <v>0</v>
      </c>
      <c r="AJ210" t="s">
        <v>222</v>
      </c>
    </row>
    <row r="211" spans="2:36" x14ac:dyDescent="0.25">
      <c r="B211">
        <v>23002425</v>
      </c>
      <c r="C211" t="s">
        <v>248</v>
      </c>
      <c r="E211" t="s">
        <v>239</v>
      </c>
      <c r="F211" t="s">
        <v>11</v>
      </c>
      <c r="J211" s="27"/>
      <c r="K211" s="27"/>
      <c r="L211" s="27"/>
      <c r="M211" s="27"/>
      <c r="O211" t="s">
        <v>49</v>
      </c>
      <c r="R211" s="27"/>
      <c r="S211" s="27"/>
      <c r="T211" s="27"/>
      <c r="U211" s="27"/>
      <c r="Z211" s="27"/>
      <c r="AA211" s="27"/>
      <c r="AB211" s="27"/>
      <c r="AC211" s="27"/>
      <c r="AE211">
        <v>0</v>
      </c>
      <c r="AJ211" t="s">
        <v>222</v>
      </c>
    </row>
    <row r="212" spans="2:36" x14ac:dyDescent="0.25">
      <c r="B212">
        <v>23002426</v>
      </c>
      <c r="C212" t="s">
        <v>248</v>
      </c>
      <c r="E212" t="s">
        <v>239</v>
      </c>
      <c r="F212" t="s">
        <v>11</v>
      </c>
      <c r="J212" s="27"/>
      <c r="K212" s="27"/>
      <c r="L212" s="27"/>
      <c r="M212" s="27"/>
      <c r="O212" t="s">
        <v>41</v>
      </c>
      <c r="R212" s="27"/>
      <c r="S212" s="27"/>
      <c r="T212" s="27"/>
      <c r="U212" s="27"/>
      <c r="Z212" s="27"/>
      <c r="AA212" s="27"/>
      <c r="AB212" s="27"/>
      <c r="AC212" s="27"/>
      <c r="AE212">
        <v>0</v>
      </c>
      <c r="AJ212" t="s">
        <v>222</v>
      </c>
    </row>
    <row r="213" spans="2:36" x14ac:dyDescent="0.25">
      <c r="B213">
        <v>23002449</v>
      </c>
      <c r="C213" t="s">
        <v>249</v>
      </c>
      <c r="E213" t="s">
        <v>239</v>
      </c>
      <c r="F213" t="s">
        <v>11</v>
      </c>
      <c r="J213" s="27"/>
      <c r="K213" s="27"/>
      <c r="L213" s="27"/>
      <c r="M213" s="27"/>
      <c r="O213" t="s">
        <v>65</v>
      </c>
      <c r="R213" s="27"/>
      <c r="S213" s="27"/>
      <c r="T213" s="27"/>
      <c r="U213" s="27"/>
      <c r="Z213" s="27"/>
      <c r="AA213" s="27"/>
      <c r="AB213" s="27"/>
      <c r="AC213" s="27"/>
      <c r="AE213">
        <v>0</v>
      </c>
      <c r="AJ213" t="s">
        <v>222</v>
      </c>
    </row>
    <row r="214" spans="2:36" x14ac:dyDescent="0.25">
      <c r="B214">
        <v>23002529</v>
      </c>
      <c r="C214" t="s">
        <v>250</v>
      </c>
      <c r="E214" t="s">
        <v>208</v>
      </c>
      <c r="F214" t="s">
        <v>208</v>
      </c>
      <c r="J214" s="27"/>
      <c r="K214" s="27"/>
      <c r="L214" s="27"/>
      <c r="M214" s="27"/>
      <c r="O214" t="s">
        <v>38</v>
      </c>
      <c r="R214" s="27"/>
      <c r="S214" s="27"/>
      <c r="T214" s="27"/>
      <c r="U214" s="27"/>
      <c r="Z214" s="27"/>
      <c r="AA214" s="27"/>
      <c r="AB214" s="27"/>
      <c r="AC214" s="27"/>
      <c r="AE214">
        <v>0</v>
      </c>
      <c r="AJ214" t="s">
        <v>213</v>
      </c>
    </row>
    <row r="215" spans="2:36" x14ac:dyDescent="0.25">
      <c r="B215">
        <v>23002583</v>
      </c>
      <c r="C215" t="s">
        <v>244</v>
      </c>
      <c r="E215" t="s">
        <v>208</v>
      </c>
      <c r="F215" t="s">
        <v>208</v>
      </c>
      <c r="J215" s="27"/>
      <c r="K215" s="27"/>
      <c r="L215" s="27"/>
      <c r="M215" s="27"/>
      <c r="O215" t="s">
        <v>122</v>
      </c>
      <c r="R215" s="27"/>
      <c r="S215" s="27"/>
      <c r="T215" s="27"/>
      <c r="U215" s="27"/>
      <c r="Z215" s="27"/>
      <c r="AA215" s="27"/>
      <c r="AB215" s="27"/>
      <c r="AC215" s="27"/>
      <c r="AE215">
        <v>0</v>
      </c>
      <c r="AJ215" t="s">
        <v>213</v>
      </c>
    </row>
    <row r="216" spans="2:36" x14ac:dyDescent="0.25">
      <c r="B216">
        <v>23002584</v>
      </c>
      <c r="C216" t="s">
        <v>251</v>
      </c>
      <c r="E216" t="s">
        <v>208</v>
      </c>
      <c r="F216" t="s">
        <v>208</v>
      </c>
      <c r="J216" s="27"/>
      <c r="K216" s="27"/>
      <c r="L216" s="27"/>
      <c r="M216" s="27"/>
      <c r="O216" t="s">
        <v>39</v>
      </c>
      <c r="R216" s="27"/>
      <c r="S216" s="27"/>
      <c r="T216" s="27"/>
      <c r="U216" s="27"/>
      <c r="Z216" s="27"/>
      <c r="AA216" s="27"/>
      <c r="AB216" s="27"/>
      <c r="AC216" s="27"/>
      <c r="AE216">
        <v>0</v>
      </c>
      <c r="AJ216" t="s">
        <v>213</v>
      </c>
    </row>
    <row r="217" spans="2:36" x14ac:dyDescent="0.25">
      <c r="B217">
        <v>23002585</v>
      </c>
      <c r="C217" t="s">
        <v>252</v>
      </c>
      <c r="E217" t="s">
        <v>208</v>
      </c>
      <c r="F217" t="s">
        <v>208</v>
      </c>
      <c r="J217" s="27"/>
      <c r="K217" s="27"/>
      <c r="L217" s="27"/>
      <c r="M217" s="27"/>
      <c r="O217" t="s">
        <v>49</v>
      </c>
      <c r="R217" s="27"/>
      <c r="S217" s="27"/>
      <c r="T217" s="27"/>
      <c r="U217" s="27"/>
      <c r="Z217" s="27"/>
      <c r="AA217" s="27"/>
      <c r="AB217" s="27"/>
      <c r="AC217" s="27"/>
      <c r="AE217">
        <v>0</v>
      </c>
      <c r="AJ217" t="s">
        <v>213</v>
      </c>
    </row>
  </sheetData>
  <autoFilter ref="A2:AM129" xr:uid="{5C6C0668-97E0-45B7-A9B6-141B84094825}">
    <filterColumn colId="6">
      <customFilters>
        <customFilter operator="notEqual" val=" "/>
      </customFilters>
    </filterColumn>
    <filterColumn colId="36">
      <customFilters and="1">
        <customFilter val="B"/>
        <customFilter operator="notEqual" val=" "/>
      </customFilters>
    </filterColumn>
  </autoFilter>
  <mergeCells count="6">
    <mergeCell ref="J1:M1"/>
    <mergeCell ref="N1:Q1"/>
    <mergeCell ref="R1:U1"/>
    <mergeCell ref="V1:Y1"/>
    <mergeCell ref="Z1:AC1"/>
    <mergeCell ref="AD1:A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4190-24C3-4E7A-8B35-B295E62AFE85}">
  <sheetPr codeName="Sheet20"/>
  <dimension ref="A1:AT111"/>
  <sheetViews>
    <sheetView tabSelected="1" topLeftCell="AD1" workbookViewId="0">
      <selection activeCell="AK2" sqref="AK2"/>
    </sheetView>
  </sheetViews>
  <sheetFormatPr defaultRowHeight="15" x14ac:dyDescent="0.25"/>
  <cols>
    <col min="1" max="1" width="13.140625" bestFit="1" customWidth="1"/>
    <col min="2" max="2" width="7" bestFit="1" customWidth="1"/>
    <col min="3" max="3" width="9.5703125" bestFit="1" customWidth="1"/>
    <col min="4" max="4" width="8.42578125" bestFit="1" customWidth="1"/>
    <col min="5" max="5" width="7" bestFit="1" customWidth="1"/>
    <col min="6" max="6" width="24.140625" bestFit="1" customWidth="1"/>
    <col min="7" max="8" width="9.7109375" bestFit="1" customWidth="1"/>
    <col min="9" max="9" width="10" bestFit="1" customWidth="1"/>
    <col min="10" max="10" width="24.140625" bestFit="1" customWidth="1"/>
    <col min="11" max="12" width="9.7109375" bestFit="1" customWidth="1"/>
    <col min="13" max="13" width="10" bestFit="1" customWidth="1"/>
    <col min="14" max="14" width="8.7109375" bestFit="1" customWidth="1"/>
    <col min="15" max="15" width="5.7109375" bestFit="1" customWidth="1"/>
    <col min="16" max="16" width="12" bestFit="1" customWidth="1"/>
    <col min="17" max="17" width="2.5703125" bestFit="1" customWidth="1"/>
    <col min="18" max="18" width="24.140625" bestFit="1" customWidth="1"/>
    <col min="19" max="19" width="6" bestFit="1" customWidth="1"/>
    <col min="20" max="20" width="7.85546875" bestFit="1" customWidth="1"/>
    <col min="21" max="21" width="5.7109375" bestFit="1" customWidth="1"/>
    <col min="22" max="22" width="24.140625" bestFit="1" customWidth="1"/>
    <col min="23" max="23" width="6" bestFit="1" customWidth="1"/>
    <col min="24" max="24" width="7.85546875" bestFit="1" customWidth="1"/>
    <col min="25" max="25" width="6.7109375" bestFit="1" customWidth="1"/>
    <col min="26" max="26" width="24.140625" bestFit="1" customWidth="1"/>
    <col min="27" max="27" width="5.7109375" bestFit="1" customWidth="1"/>
    <col min="28" max="28" width="7.85546875" bestFit="1" customWidth="1"/>
    <col min="29" max="29" width="13.42578125" bestFit="1" customWidth="1"/>
    <col min="30" max="30" width="6" bestFit="1" customWidth="1"/>
    <col min="31" max="31" width="9.5703125" bestFit="1" customWidth="1"/>
    <col min="32" max="32" width="9.28515625" bestFit="1" customWidth="1"/>
    <col min="33" max="33" width="11.7109375" bestFit="1" customWidth="1"/>
    <col min="34" max="34" width="5.85546875" bestFit="1" customWidth="1"/>
    <col min="35" max="35" width="15.7109375" bestFit="1" customWidth="1"/>
    <col min="36" max="36" width="28" bestFit="1" customWidth="1"/>
  </cols>
  <sheetData>
    <row r="1" spans="1:46" s="29" customFormat="1" x14ac:dyDescent="0.25">
      <c r="B1" s="24"/>
      <c r="C1" s="24"/>
      <c r="D1" s="24"/>
      <c r="E1" s="24"/>
      <c r="F1" s="25" t="s">
        <v>135</v>
      </c>
      <c r="G1" s="25"/>
      <c r="H1" s="25"/>
      <c r="I1" s="25"/>
      <c r="J1" s="26" t="s">
        <v>136</v>
      </c>
      <c r="K1" s="26"/>
      <c r="L1" s="26"/>
      <c r="M1" s="26"/>
      <c r="N1" s="25" t="s">
        <v>137</v>
      </c>
      <c r="O1" s="25"/>
      <c r="P1" s="25"/>
      <c r="Q1" s="25"/>
      <c r="R1" s="26" t="s">
        <v>138</v>
      </c>
      <c r="S1" s="26"/>
      <c r="T1" s="26"/>
      <c r="U1" s="26"/>
      <c r="V1" s="25" t="s">
        <v>139</v>
      </c>
      <c r="W1" s="25"/>
      <c r="X1" s="25"/>
      <c r="Y1" s="25"/>
      <c r="Z1" s="26" t="s">
        <v>140</v>
      </c>
      <c r="AA1" s="26"/>
      <c r="AB1" s="26"/>
      <c r="AC1" s="26"/>
      <c r="AD1" s="26"/>
      <c r="AE1" s="24"/>
      <c r="AF1" s="24"/>
      <c r="AG1" s="24"/>
      <c r="AH1" s="24"/>
      <c r="AI1" s="24"/>
      <c r="AJ1"/>
      <c r="AK1"/>
      <c r="AL1"/>
      <c r="AM1"/>
      <c r="AN1"/>
      <c r="AO1"/>
      <c r="AP1"/>
      <c r="AQ1"/>
      <c r="AR1"/>
      <c r="AS1"/>
      <c r="AT1"/>
    </row>
    <row r="2" spans="1:46" x14ac:dyDescent="0.25">
      <c r="B2" t="s">
        <v>7</v>
      </c>
      <c r="C2" t="s">
        <v>17</v>
      </c>
      <c r="D2" t="s">
        <v>18</v>
      </c>
      <c r="E2" t="s">
        <v>19</v>
      </c>
      <c r="F2" s="27" t="s">
        <v>8</v>
      </c>
      <c r="G2" s="27" t="s">
        <v>20</v>
      </c>
      <c r="H2" s="27" t="s">
        <v>21</v>
      </c>
      <c r="I2" s="27" t="s">
        <v>30</v>
      </c>
      <c r="J2" t="s">
        <v>8</v>
      </c>
      <c r="K2" t="s">
        <v>20</v>
      </c>
      <c r="L2" t="s">
        <v>21</v>
      </c>
      <c r="M2" t="s">
        <v>30</v>
      </c>
      <c r="N2" s="27" t="s">
        <v>8</v>
      </c>
      <c r="O2" s="27" t="s">
        <v>20</v>
      </c>
      <c r="P2" s="27" t="s">
        <v>21</v>
      </c>
      <c r="Q2" s="27" t="s">
        <v>31</v>
      </c>
      <c r="R2" t="s">
        <v>8</v>
      </c>
      <c r="S2" t="s">
        <v>20</v>
      </c>
      <c r="T2" t="s">
        <v>21</v>
      </c>
      <c r="U2" t="s">
        <v>31</v>
      </c>
      <c r="V2" s="27" t="s">
        <v>8</v>
      </c>
      <c r="W2" s="27" t="s">
        <v>20</v>
      </c>
      <c r="X2" s="27" t="s">
        <v>21</v>
      </c>
      <c r="Y2" s="27" t="s">
        <v>31</v>
      </c>
      <c r="Z2" t="s">
        <v>8</v>
      </c>
      <c r="AA2" t="s">
        <v>20</v>
      </c>
      <c r="AB2" t="s">
        <v>21</v>
      </c>
      <c r="AC2" t="s">
        <v>144</v>
      </c>
      <c r="AD2" t="s">
        <v>31</v>
      </c>
      <c r="AE2" t="s">
        <v>131</v>
      </c>
      <c r="AF2" t="s">
        <v>23</v>
      </c>
      <c r="AG2" t="s">
        <v>24</v>
      </c>
      <c r="AH2" t="s">
        <v>132</v>
      </c>
      <c r="AI2" t="s">
        <v>145</v>
      </c>
    </row>
    <row r="3" spans="1:46" x14ac:dyDescent="0.25">
      <c r="A3" t="s">
        <v>261</v>
      </c>
      <c r="B3">
        <v>181633</v>
      </c>
      <c r="C3" t="s">
        <v>14</v>
      </c>
      <c r="D3" t="s">
        <v>11</v>
      </c>
      <c r="E3">
        <v>292735</v>
      </c>
      <c r="F3" s="27" t="s">
        <v>10</v>
      </c>
      <c r="G3" s="27" t="s">
        <v>35</v>
      </c>
      <c r="H3" s="27"/>
      <c r="I3" s="27"/>
      <c r="J3" t="s">
        <v>10</v>
      </c>
      <c r="K3" t="s">
        <v>49</v>
      </c>
      <c r="N3" s="27" t="s">
        <v>13</v>
      </c>
      <c r="O3" s="27">
        <v>58</v>
      </c>
      <c r="P3" s="27"/>
      <c r="Q3" s="27"/>
      <c r="R3" t="s">
        <v>10</v>
      </c>
      <c r="S3">
        <v>0.183</v>
      </c>
      <c r="T3">
        <v>0</v>
      </c>
      <c r="V3" s="27" t="s">
        <v>10</v>
      </c>
      <c r="W3" s="27">
        <v>2664</v>
      </c>
      <c r="X3" s="27">
        <v>0</v>
      </c>
      <c r="Y3" s="27"/>
      <c r="Z3" t="s">
        <v>10</v>
      </c>
      <c r="AA3">
        <v>0</v>
      </c>
      <c r="AB3">
        <v>0</v>
      </c>
      <c r="AC3">
        <v>0</v>
      </c>
      <c r="AE3" t="s">
        <v>133</v>
      </c>
      <c r="AG3" t="s">
        <v>25</v>
      </c>
      <c r="AJ3" t="s">
        <v>95</v>
      </c>
      <c r="AK3" t="str" cm="1">
        <f t="array" ref="AK3">_xlfn.IFS(AND(AH3="",AI3=""),"",AND(AH3&lt;&gt;"",AI3=""),AH3,AND(AH3&lt;&gt;"",AI3&lt;&gt;""),AH3&amp;" , "&amp;AJ3,AND(AH3="",AI3&lt;&gt;""),AJ3)</f>
        <v/>
      </c>
    </row>
    <row r="4" spans="1:46" x14ac:dyDescent="0.25">
      <c r="A4" t="s">
        <v>262</v>
      </c>
      <c r="B4">
        <v>181633</v>
      </c>
      <c r="C4" t="s">
        <v>14</v>
      </c>
      <c r="D4" t="s">
        <v>11</v>
      </c>
      <c r="E4">
        <v>290059</v>
      </c>
      <c r="F4" s="27" t="s">
        <v>10</v>
      </c>
      <c r="G4" s="27" t="s">
        <v>35</v>
      </c>
      <c r="H4" s="27" t="s">
        <v>35</v>
      </c>
      <c r="I4" s="27">
        <v>0</v>
      </c>
      <c r="J4" t="s">
        <v>10</v>
      </c>
      <c r="K4" t="s">
        <v>49</v>
      </c>
      <c r="L4" t="s">
        <v>35</v>
      </c>
      <c r="M4">
        <v>8</v>
      </c>
      <c r="N4" s="27" t="s">
        <v>13</v>
      </c>
      <c r="O4" s="27">
        <v>58</v>
      </c>
      <c r="P4" s="27">
        <v>58</v>
      </c>
      <c r="Q4" s="27">
        <v>0</v>
      </c>
      <c r="R4" t="s">
        <v>10</v>
      </c>
      <c r="S4">
        <v>0.183</v>
      </c>
      <c r="T4">
        <v>0.1847</v>
      </c>
      <c r="U4">
        <v>0.93</v>
      </c>
      <c r="V4" s="27" t="s">
        <v>10</v>
      </c>
      <c r="W4" s="27">
        <v>2754</v>
      </c>
      <c r="X4" s="27">
        <v>2754</v>
      </c>
      <c r="Y4" s="27">
        <v>0</v>
      </c>
      <c r="Z4" t="s">
        <v>10</v>
      </c>
      <c r="AA4">
        <v>0</v>
      </c>
      <c r="AB4">
        <v>120.62</v>
      </c>
      <c r="AC4">
        <v>504</v>
      </c>
      <c r="AD4">
        <v>23.93</v>
      </c>
      <c r="AE4" t="s">
        <v>133</v>
      </c>
      <c r="AG4" t="s">
        <v>25</v>
      </c>
      <c r="AJ4" t="s">
        <v>95</v>
      </c>
      <c r="AK4" t="str" cm="1">
        <f t="array" ref="AK4">_xlfn.IFS(AND(AH4="",AI4=""),"",AND(AH4&lt;&gt;"",AI4=""),AH4,AND(AH4&lt;&gt;"",AI4&lt;&gt;""),AH4&amp;" , "&amp;AJ4,AND(AH4="",AI4&lt;&gt;""),AJ4)</f>
        <v/>
      </c>
    </row>
    <row r="5" spans="1:46" x14ac:dyDescent="0.25">
      <c r="A5" t="s">
        <v>263</v>
      </c>
      <c r="B5">
        <v>181633</v>
      </c>
      <c r="C5" t="s">
        <v>14</v>
      </c>
      <c r="D5" t="s">
        <v>11</v>
      </c>
      <c r="E5">
        <v>290060</v>
      </c>
      <c r="F5" s="27" t="s">
        <v>10</v>
      </c>
      <c r="G5" s="27" t="s">
        <v>35</v>
      </c>
      <c r="H5" s="27" t="s">
        <v>35</v>
      </c>
      <c r="I5" s="27">
        <v>0</v>
      </c>
      <c r="J5" t="s">
        <v>10</v>
      </c>
      <c r="K5" t="s">
        <v>49</v>
      </c>
      <c r="L5" t="s">
        <v>35</v>
      </c>
      <c r="M5">
        <v>8</v>
      </c>
      <c r="N5" s="27" t="s">
        <v>13</v>
      </c>
      <c r="O5" s="27">
        <v>58</v>
      </c>
      <c r="P5" s="27">
        <v>58</v>
      </c>
      <c r="Q5" s="27">
        <v>0</v>
      </c>
      <c r="R5" t="s">
        <v>10</v>
      </c>
      <c r="S5">
        <v>0.183</v>
      </c>
      <c r="T5">
        <v>0.18509999999999999</v>
      </c>
      <c r="U5">
        <v>1.1499999999999999</v>
      </c>
      <c r="V5" s="27" t="s">
        <v>10</v>
      </c>
      <c r="W5" s="27">
        <v>2756</v>
      </c>
      <c r="X5" s="27">
        <v>2756</v>
      </c>
      <c r="Y5" s="27">
        <v>0</v>
      </c>
      <c r="Z5" t="s">
        <v>10</v>
      </c>
      <c r="AA5">
        <v>0</v>
      </c>
      <c r="AB5">
        <v>34.61</v>
      </c>
      <c r="AC5">
        <v>504.34</v>
      </c>
      <c r="AD5">
        <v>6.86</v>
      </c>
      <c r="AE5" t="s">
        <v>133</v>
      </c>
      <c r="AG5" t="s">
        <v>25</v>
      </c>
      <c r="AJ5" t="s">
        <v>95</v>
      </c>
      <c r="AK5" t="str" cm="1">
        <f t="array" ref="AK5">_xlfn.IFS(AND(AH5="",AI5=""),"",AND(AH5&lt;&gt;"",AI5=""),AH5,AND(AH5&lt;&gt;"",AI5&lt;&gt;""),AH5&amp;" , "&amp;AJ5,AND(AH5="",AI5&lt;&gt;""),AJ5)</f>
        <v/>
      </c>
    </row>
    <row r="6" spans="1:46" x14ac:dyDescent="0.25">
      <c r="A6" t="s">
        <v>264</v>
      </c>
      <c r="B6">
        <v>181633</v>
      </c>
      <c r="C6" t="s">
        <v>14</v>
      </c>
      <c r="D6" t="s">
        <v>11</v>
      </c>
      <c r="E6">
        <v>290061</v>
      </c>
      <c r="F6" s="27" t="s">
        <v>10</v>
      </c>
      <c r="G6" s="27" t="s">
        <v>35</v>
      </c>
      <c r="H6" s="27" t="s">
        <v>35</v>
      </c>
      <c r="I6" s="27">
        <v>0</v>
      </c>
      <c r="J6" t="s">
        <v>10</v>
      </c>
      <c r="K6" t="s">
        <v>49</v>
      </c>
      <c r="L6" t="s">
        <v>35</v>
      </c>
      <c r="M6">
        <v>8</v>
      </c>
      <c r="N6" s="27" t="s">
        <v>13</v>
      </c>
      <c r="O6" s="27">
        <v>58</v>
      </c>
      <c r="P6" s="27">
        <v>58</v>
      </c>
      <c r="Q6" s="27">
        <v>0</v>
      </c>
      <c r="R6" t="s">
        <v>10</v>
      </c>
      <c r="S6">
        <v>0.183</v>
      </c>
      <c r="T6">
        <v>0.18509999999999999</v>
      </c>
      <c r="U6">
        <v>1.1499999999999999</v>
      </c>
      <c r="V6" s="27" t="s">
        <v>10</v>
      </c>
      <c r="W6" s="27">
        <v>2756</v>
      </c>
      <c r="X6" s="27">
        <v>2756</v>
      </c>
      <c r="Y6" s="27">
        <v>0</v>
      </c>
      <c r="Z6" t="s">
        <v>10</v>
      </c>
      <c r="AA6">
        <v>0</v>
      </c>
      <c r="AB6">
        <v>45.64</v>
      </c>
      <c r="AC6">
        <v>504.4</v>
      </c>
      <c r="AD6">
        <v>9.0500000000000007</v>
      </c>
      <c r="AE6" t="s">
        <v>133</v>
      </c>
      <c r="AG6" t="s">
        <v>25</v>
      </c>
      <c r="AJ6" t="s">
        <v>95</v>
      </c>
      <c r="AK6" t="str" cm="1">
        <f t="array" ref="AK6">_xlfn.IFS(AND(AH6="",AI6=""),"",AND(AH6&lt;&gt;"",AI6=""),AH6,AND(AH6&lt;&gt;"",AI6&lt;&gt;""),AH6&amp;" , "&amp;AJ6,AND(AH6="",AI6&lt;&gt;""),AJ6)</f>
        <v/>
      </c>
    </row>
    <row r="7" spans="1:46" x14ac:dyDescent="0.25">
      <c r="A7" t="s">
        <v>265</v>
      </c>
      <c r="B7">
        <v>181629</v>
      </c>
      <c r="C7" t="s">
        <v>14</v>
      </c>
      <c r="D7" t="s">
        <v>11</v>
      </c>
      <c r="E7">
        <v>290060</v>
      </c>
      <c r="F7" s="27" t="s">
        <v>10</v>
      </c>
      <c r="G7" s="27" t="s">
        <v>38</v>
      </c>
      <c r="H7" s="27" t="s">
        <v>35</v>
      </c>
      <c r="I7" s="27">
        <v>1</v>
      </c>
      <c r="J7" t="s">
        <v>10</v>
      </c>
      <c r="K7" t="s">
        <v>44</v>
      </c>
      <c r="L7" t="s">
        <v>38</v>
      </c>
      <c r="M7">
        <v>11</v>
      </c>
      <c r="N7" s="27" t="s">
        <v>13</v>
      </c>
      <c r="O7" s="27">
        <v>58</v>
      </c>
      <c r="P7" s="27">
        <v>58</v>
      </c>
      <c r="Q7" s="27">
        <v>0</v>
      </c>
      <c r="R7" t="s">
        <v>10</v>
      </c>
      <c r="S7">
        <v>0.20100000000000001</v>
      </c>
      <c r="T7">
        <v>0.2064</v>
      </c>
      <c r="U7">
        <v>2.69</v>
      </c>
      <c r="V7" s="27" t="s">
        <v>10</v>
      </c>
      <c r="W7" s="27">
        <v>372</v>
      </c>
      <c r="X7" s="27">
        <v>277</v>
      </c>
      <c r="Y7" s="27">
        <v>-25.54</v>
      </c>
      <c r="Z7" t="s">
        <v>10</v>
      </c>
      <c r="AA7">
        <v>0</v>
      </c>
      <c r="AB7">
        <v>2.3199999999999998</v>
      </c>
      <c r="AC7">
        <v>55.7</v>
      </c>
      <c r="AD7">
        <v>4.17</v>
      </c>
      <c r="AE7" t="s">
        <v>133</v>
      </c>
      <c r="AG7" t="s">
        <v>25</v>
      </c>
      <c r="AJ7" t="s">
        <v>95</v>
      </c>
      <c r="AK7" t="str" cm="1">
        <f t="array" ref="AK7">_xlfn.IFS(AND(AH7="",AI7=""),"",AND(AH7&lt;&gt;"",AI7=""),AH7,AND(AH7&lt;&gt;"",AI7&lt;&gt;""),AH7&amp;" , "&amp;AJ7,AND(AH7="",AI7&lt;&gt;""),AJ7)</f>
        <v/>
      </c>
    </row>
    <row r="8" spans="1:46" x14ac:dyDescent="0.25">
      <c r="A8" t="s">
        <v>266</v>
      </c>
      <c r="B8">
        <v>181629</v>
      </c>
      <c r="C8" t="s">
        <v>14</v>
      </c>
      <c r="D8" t="s">
        <v>11</v>
      </c>
      <c r="E8">
        <v>292100</v>
      </c>
      <c r="F8" s="27" t="s">
        <v>10</v>
      </c>
      <c r="G8" s="27" t="s">
        <v>38</v>
      </c>
      <c r="H8" s="27" t="s">
        <v>35</v>
      </c>
      <c r="I8" s="27">
        <v>1</v>
      </c>
      <c r="J8" t="s">
        <v>10</v>
      </c>
      <c r="K8" t="s">
        <v>44</v>
      </c>
      <c r="L8" t="s">
        <v>38</v>
      </c>
      <c r="M8">
        <v>11</v>
      </c>
      <c r="N8" s="27" t="s">
        <v>13</v>
      </c>
      <c r="O8" s="27">
        <v>58</v>
      </c>
      <c r="P8" s="27">
        <v>58</v>
      </c>
      <c r="Q8" s="27">
        <v>0</v>
      </c>
      <c r="R8" t="s">
        <v>10</v>
      </c>
      <c r="S8">
        <v>0.20100000000000001</v>
      </c>
      <c r="T8">
        <v>0.20169999999999999</v>
      </c>
      <c r="U8">
        <v>0.35</v>
      </c>
      <c r="V8" s="27" t="s">
        <v>10</v>
      </c>
      <c r="W8" s="27">
        <v>373</v>
      </c>
      <c r="X8" s="27">
        <v>373</v>
      </c>
      <c r="Y8" s="27">
        <v>0</v>
      </c>
      <c r="Z8" t="s">
        <v>10</v>
      </c>
      <c r="AA8">
        <v>0</v>
      </c>
      <c r="AB8">
        <v>0</v>
      </c>
      <c r="AC8">
        <v>75</v>
      </c>
      <c r="AD8">
        <v>0</v>
      </c>
      <c r="AE8" t="s">
        <v>133</v>
      </c>
      <c r="AG8" t="s">
        <v>25</v>
      </c>
      <c r="AJ8" t="s">
        <v>95</v>
      </c>
      <c r="AK8" t="str" cm="1">
        <f t="array" ref="AK8">_xlfn.IFS(AND(AH8="",AI8=""),"",AND(AH8&lt;&gt;"",AI8=""),AH8,AND(AH8&lt;&gt;"",AI8&lt;&gt;""),AH8&amp;" , "&amp;AJ8,AND(AH8="",AI8&lt;&gt;""),AJ8)</f>
        <v/>
      </c>
    </row>
    <row r="9" spans="1:46" x14ac:dyDescent="0.25">
      <c r="A9" t="s">
        <v>267</v>
      </c>
      <c r="B9">
        <v>181629</v>
      </c>
      <c r="C9" t="s">
        <v>14</v>
      </c>
      <c r="D9" t="s">
        <v>11</v>
      </c>
      <c r="E9">
        <v>290059</v>
      </c>
      <c r="F9" s="27" t="s">
        <v>10</v>
      </c>
      <c r="G9" s="27" t="s">
        <v>38</v>
      </c>
      <c r="H9" s="27" t="s">
        <v>35</v>
      </c>
      <c r="I9" s="27">
        <v>1</v>
      </c>
      <c r="J9" t="s">
        <v>10</v>
      </c>
      <c r="K9" t="s">
        <v>44</v>
      </c>
      <c r="L9" t="s">
        <v>38</v>
      </c>
      <c r="M9">
        <v>11</v>
      </c>
      <c r="N9" s="27" t="s">
        <v>13</v>
      </c>
      <c r="O9" s="27">
        <v>58</v>
      </c>
      <c r="P9" s="27">
        <v>58</v>
      </c>
      <c r="Q9" s="27">
        <v>0</v>
      </c>
      <c r="R9" t="s">
        <v>10</v>
      </c>
      <c r="S9">
        <v>0.20100000000000001</v>
      </c>
      <c r="T9">
        <v>0.20169999999999999</v>
      </c>
      <c r="U9">
        <v>0.35</v>
      </c>
      <c r="V9" s="27" t="s">
        <v>10</v>
      </c>
      <c r="W9" s="27">
        <v>373</v>
      </c>
      <c r="X9" s="27">
        <v>373</v>
      </c>
      <c r="Y9" s="27">
        <v>0</v>
      </c>
      <c r="Z9" t="s">
        <v>10</v>
      </c>
      <c r="AA9">
        <v>0</v>
      </c>
      <c r="AB9">
        <v>6.63</v>
      </c>
      <c r="AC9">
        <v>75</v>
      </c>
      <c r="AD9">
        <v>8.84</v>
      </c>
      <c r="AE9" t="s">
        <v>133</v>
      </c>
      <c r="AG9" t="s">
        <v>25</v>
      </c>
      <c r="AJ9" t="s">
        <v>95</v>
      </c>
      <c r="AK9" t="str" cm="1">
        <f t="array" ref="AK9">_xlfn.IFS(AND(AH9="",AI9=""),"",AND(AH9&lt;&gt;"",AI9=""),AH9,AND(AH9&lt;&gt;"",AI9&lt;&gt;""),AH9&amp;" , "&amp;AJ9,AND(AH9="",AI9&lt;&gt;""),AJ9)</f>
        <v/>
      </c>
    </row>
    <row r="10" spans="1:46" x14ac:dyDescent="0.25">
      <c r="A10" t="s">
        <v>268</v>
      </c>
      <c r="B10">
        <v>181629</v>
      </c>
      <c r="C10" t="s">
        <v>14</v>
      </c>
      <c r="D10" t="s">
        <v>11</v>
      </c>
      <c r="E10">
        <v>294353</v>
      </c>
      <c r="F10" s="27" t="s">
        <v>10</v>
      </c>
      <c r="G10" s="27" t="s">
        <v>38</v>
      </c>
      <c r="H10" s="27"/>
      <c r="I10" s="27"/>
      <c r="J10" t="s">
        <v>10</v>
      </c>
      <c r="K10" t="s">
        <v>44</v>
      </c>
      <c r="N10" s="27" t="s">
        <v>13</v>
      </c>
      <c r="O10" s="27">
        <v>58</v>
      </c>
      <c r="P10" s="27"/>
      <c r="Q10" s="27"/>
      <c r="R10" t="s">
        <v>10</v>
      </c>
      <c r="S10">
        <v>0.20100000000000001</v>
      </c>
      <c r="T10">
        <v>0</v>
      </c>
      <c r="V10" s="27" t="s">
        <v>10</v>
      </c>
      <c r="W10" s="27">
        <v>0</v>
      </c>
      <c r="X10" s="27">
        <v>0</v>
      </c>
      <c r="Y10" s="27"/>
      <c r="Z10" t="s">
        <v>10</v>
      </c>
      <c r="AA10">
        <v>0</v>
      </c>
      <c r="AB10">
        <v>0</v>
      </c>
      <c r="AC10">
        <v>0</v>
      </c>
      <c r="AE10" t="s">
        <v>133</v>
      </c>
      <c r="AG10" t="s">
        <v>25</v>
      </c>
      <c r="AI10" t="s">
        <v>148</v>
      </c>
      <c r="AJ10" t="s">
        <v>253</v>
      </c>
      <c r="AK10" t="str" cm="1">
        <f t="array" ref="AK10">_xlfn.IFS(AND(AH10="",AI10=""),"",AND(AH10&lt;&gt;"",AI10=""),AH10,AND(AH10&lt;&gt;"",AI10&lt;&gt;""),AH10&amp;" , "&amp;AJ10,AND(AH10="",AI10&lt;&gt;""),AJ10)</f>
        <v>Available Date 03 Januari 2024</v>
      </c>
    </row>
    <row r="11" spans="1:46" x14ac:dyDescent="0.25">
      <c r="A11" t="s">
        <v>269</v>
      </c>
      <c r="B11">
        <v>181630</v>
      </c>
      <c r="C11" t="s">
        <v>14</v>
      </c>
      <c r="D11" t="s">
        <v>11</v>
      </c>
      <c r="E11">
        <v>290059</v>
      </c>
      <c r="F11" s="27" t="s">
        <v>10</v>
      </c>
      <c r="G11" s="27" t="s">
        <v>35</v>
      </c>
      <c r="H11" s="27" t="s">
        <v>35</v>
      </c>
      <c r="I11" s="27">
        <v>0</v>
      </c>
      <c r="J11" t="s">
        <v>10</v>
      </c>
      <c r="K11" t="s">
        <v>39</v>
      </c>
      <c r="L11" t="s">
        <v>35</v>
      </c>
      <c r="M11">
        <v>7</v>
      </c>
      <c r="N11" s="27" t="s">
        <v>13</v>
      </c>
      <c r="O11" s="27">
        <v>58</v>
      </c>
      <c r="P11" s="27">
        <v>58</v>
      </c>
      <c r="Q11" s="27">
        <v>0</v>
      </c>
      <c r="R11" t="s">
        <v>10</v>
      </c>
      <c r="S11">
        <v>0.18</v>
      </c>
      <c r="T11">
        <v>0.17860000000000001</v>
      </c>
      <c r="U11">
        <v>-0.78</v>
      </c>
      <c r="V11" s="27" t="s">
        <v>10</v>
      </c>
      <c r="W11" s="27">
        <v>1067</v>
      </c>
      <c r="X11" s="27">
        <v>1067</v>
      </c>
      <c r="Y11" s="27">
        <v>0</v>
      </c>
      <c r="Z11" t="s">
        <v>10</v>
      </c>
      <c r="AA11">
        <v>0</v>
      </c>
      <c r="AB11">
        <v>10.51</v>
      </c>
      <c r="AC11">
        <v>192</v>
      </c>
      <c r="AD11">
        <v>5.47</v>
      </c>
      <c r="AE11" t="s">
        <v>133</v>
      </c>
      <c r="AG11" t="s">
        <v>25</v>
      </c>
      <c r="AJ11" t="s">
        <v>95</v>
      </c>
      <c r="AK11" t="str" cm="1">
        <f t="array" ref="AK11">_xlfn.IFS(AND(AH11="",AI11=""),"",AND(AH11&lt;&gt;"",AI11=""),AH11,AND(AH11&lt;&gt;"",AI11&lt;&gt;""),AH11&amp;" , "&amp;AJ11,AND(AH11="",AI11&lt;&gt;""),AJ11)</f>
        <v/>
      </c>
    </row>
    <row r="12" spans="1:46" x14ac:dyDescent="0.25">
      <c r="A12" t="s">
        <v>270</v>
      </c>
      <c r="B12">
        <v>181630</v>
      </c>
      <c r="C12" t="s">
        <v>14</v>
      </c>
      <c r="D12" t="s">
        <v>11</v>
      </c>
      <c r="E12">
        <v>293266</v>
      </c>
      <c r="F12" s="27" t="s">
        <v>10</v>
      </c>
      <c r="G12" s="27" t="s">
        <v>35</v>
      </c>
      <c r="H12" s="27"/>
      <c r="I12" s="27"/>
      <c r="J12" t="s">
        <v>10</v>
      </c>
      <c r="K12" t="s">
        <v>39</v>
      </c>
      <c r="N12" s="27" t="s">
        <v>13</v>
      </c>
      <c r="O12" s="27">
        <v>58</v>
      </c>
      <c r="P12" s="27"/>
      <c r="Q12" s="27"/>
      <c r="R12" t="s">
        <v>10</v>
      </c>
      <c r="S12">
        <v>0.18</v>
      </c>
      <c r="T12">
        <v>0</v>
      </c>
      <c r="V12" s="27" t="s">
        <v>10</v>
      </c>
      <c r="W12" s="27">
        <v>0</v>
      </c>
      <c r="X12" s="27">
        <v>0</v>
      </c>
      <c r="Y12" s="27"/>
      <c r="Z12" t="s">
        <v>10</v>
      </c>
      <c r="AA12">
        <v>0</v>
      </c>
      <c r="AB12">
        <v>0</v>
      </c>
      <c r="AC12">
        <v>0</v>
      </c>
      <c r="AE12" t="s">
        <v>133</v>
      </c>
      <c r="AG12" t="s">
        <v>25</v>
      </c>
      <c r="AJ12" t="s">
        <v>95</v>
      </c>
      <c r="AK12" t="str" cm="1">
        <f t="array" ref="AK12">_xlfn.IFS(AND(AH12="",AI12=""),"",AND(AH12&lt;&gt;"",AI12=""),AH12,AND(AH12&lt;&gt;"",AI12&lt;&gt;""),AH12&amp;" , "&amp;AJ12,AND(AH12="",AI12&lt;&gt;""),AJ12)</f>
        <v/>
      </c>
    </row>
    <row r="13" spans="1:46" x14ac:dyDescent="0.25">
      <c r="A13" t="s">
        <v>271</v>
      </c>
      <c r="B13">
        <v>181630</v>
      </c>
      <c r="C13" t="s">
        <v>14</v>
      </c>
      <c r="D13" t="s">
        <v>11</v>
      </c>
      <c r="E13">
        <v>292103</v>
      </c>
      <c r="F13" s="27" t="s">
        <v>10</v>
      </c>
      <c r="G13" s="27" t="s">
        <v>35</v>
      </c>
      <c r="H13" s="27"/>
      <c r="I13" s="27"/>
      <c r="J13" t="s">
        <v>10</v>
      </c>
      <c r="K13" t="s">
        <v>39</v>
      </c>
      <c r="N13" s="27" t="s">
        <v>13</v>
      </c>
      <c r="O13" s="27">
        <v>58</v>
      </c>
      <c r="P13" s="27"/>
      <c r="Q13" s="27"/>
      <c r="R13" t="s">
        <v>10</v>
      </c>
      <c r="S13">
        <v>0.18</v>
      </c>
      <c r="T13">
        <v>0</v>
      </c>
      <c r="V13" s="27" t="s">
        <v>10</v>
      </c>
      <c r="W13" s="27">
        <v>0</v>
      </c>
      <c r="X13" s="27">
        <v>0</v>
      </c>
      <c r="Y13" s="27"/>
      <c r="Z13" t="s">
        <v>10</v>
      </c>
      <c r="AA13">
        <v>0</v>
      </c>
      <c r="AB13">
        <v>0</v>
      </c>
      <c r="AC13">
        <v>0</v>
      </c>
      <c r="AE13" t="s">
        <v>133</v>
      </c>
      <c r="AG13" t="s">
        <v>25</v>
      </c>
      <c r="AJ13" t="s">
        <v>95</v>
      </c>
      <c r="AK13" t="str" cm="1">
        <f t="array" ref="AK13">_xlfn.IFS(AND(AH13="",AI13=""),"",AND(AH13&lt;&gt;"",AI13=""),AH13,AND(AH13&lt;&gt;"",AI13&lt;&gt;""),AH13&amp;" , "&amp;AJ13,AND(AH13="",AI13&lt;&gt;""),AJ13)</f>
        <v/>
      </c>
    </row>
    <row r="14" spans="1:46" x14ac:dyDescent="0.25">
      <c r="A14" t="s">
        <v>272</v>
      </c>
      <c r="B14">
        <v>181630</v>
      </c>
      <c r="C14" t="s">
        <v>14</v>
      </c>
      <c r="D14" t="s">
        <v>11</v>
      </c>
      <c r="E14">
        <v>293267</v>
      </c>
      <c r="F14" s="27" t="s">
        <v>10</v>
      </c>
      <c r="G14" s="27" t="s">
        <v>35</v>
      </c>
      <c r="H14" s="27"/>
      <c r="I14" s="27"/>
      <c r="J14" t="s">
        <v>10</v>
      </c>
      <c r="K14" t="s">
        <v>39</v>
      </c>
      <c r="N14" s="27" t="s">
        <v>13</v>
      </c>
      <c r="O14" s="27">
        <v>58</v>
      </c>
      <c r="P14" s="27"/>
      <c r="Q14" s="27"/>
      <c r="R14" t="s">
        <v>10</v>
      </c>
      <c r="S14">
        <v>0.18</v>
      </c>
      <c r="T14">
        <v>0</v>
      </c>
      <c r="V14" s="27" t="s">
        <v>10</v>
      </c>
      <c r="W14" s="27">
        <v>0</v>
      </c>
      <c r="X14" s="27">
        <v>0</v>
      </c>
      <c r="Y14" s="27"/>
      <c r="Z14" t="s">
        <v>10</v>
      </c>
      <c r="AA14">
        <v>0</v>
      </c>
      <c r="AB14">
        <v>0</v>
      </c>
      <c r="AC14">
        <v>0</v>
      </c>
      <c r="AE14" t="s">
        <v>133</v>
      </c>
      <c r="AG14" t="s">
        <v>25</v>
      </c>
      <c r="AI14" t="s">
        <v>148</v>
      </c>
      <c r="AJ14" t="s">
        <v>253</v>
      </c>
      <c r="AK14" t="str" cm="1">
        <f t="array" ref="AK14">_xlfn.IFS(AND(AH14="",AI14=""),"",AND(AH14&lt;&gt;"",AI14=""),AH14,AND(AH14&lt;&gt;"",AI14&lt;&gt;""),AH14&amp;" , "&amp;AJ14,AND(AH14="",AI14&lt;&gt;""),AJ14)</f>
        <v>Available Date 03 Januari 2024</v>
      </c>
    </row>
    <row r="15" spans="1:46" x14ac:dyDescent="0.25">
      <c r="A15" t="s">
        <v>273</v>
      </c>
      <c r="B15">
        <v>181635</v>
      </c>
      <c r="C15" t="s">
        <v>14</v>
      </c>
      <c r="D15" t="s">
        <v>11</v>
      </c>
      <c r="E15">
        <v>292101</v>
      </c>
      <c r="F15" s="27" t="s">
        <v>10</v>
      </c>
      <c r="G15" s="27" t="s">
        <v>35</v>
      </c>
      <c r="H15" s="27" t="s">
        <v>35</v>
      </c>
      <c r="I15" s="27">
        <v>0</v>
      </c>
      <c r="J15" t="s">
        <v>10</v>
      </c>
      <c r="K15" t="s">
        <v>42</v>
      </c>
      <c r="L15" t="s">
        <v>38</v>
      </c>
      <c r="M15">
        <v>10</v>
      </c>
      <c r="N15" s="27" t="s">
        <v>13</v>
      </c>
      <c r="O15" s="27">
        <v>58</v>
      </c>
      <c r="P15" s="27">
        <v>58</v>
      </c>
      <c r="Q15" s="27">
        <v>0</v>
      </c>
      <c r="R15" t="s">
        <v>10</v>
      </c>
      <c r="S15">
        <v>0.184</v>
      </c>
      <c r="T15">
        <v>0.1847</v>
      </c>
      <c r="U15">
        <v>0.38</v>
      </c>
      <c r="V15" s="27" t="s">
        <v>10</v>
      </c>
      <c r="W15" s="27">
        <v>1777</v>
      </c>
      <c r="X15" s="27">
        <v>1777</v>
      </c>
      <c r="Y15" s="27">
        <v>0</v>
      </c>
      <c r="Z15" t="s">
        <v>10</v>
      </c>
      <c r="AA15">
        <v>0</v>
      </c>
      <c r="AB15">
        <v>8.5</v>
      </c>
      <c r="AC15">
        <v>327</v>
      </c>
      <c r="AD15">
        <v>2.6</v>
      </c>
      <c r="AE15" t="s">
        <v>133</v>
      </c>
      <c r="AG15" t="s">
        <v>25</v>
      </c>
      <c r="AJ15" t="s">
        <v>95</v>
      </c>
      <c r="AK15" t="str" cm="1">
        <f t="array" ref="AK15">_xlfn.IFS(AND(AH15="",AI15=""),"",AND(AH15&lt;&gt;"",AI15=""),AH15,AND(AH15&lt;&gt;"",AI15&lt;&gt;""),AH15&amp;" , "&amp;AJ15,AND(AH15="",AI15&lt;&gt;""),AJ15)</f>
        <v/>
      </c>
    </row>
    <row r="16" spans="1:46" x14ac:dyDescent="0.25">
      <c r="A16" t="s">
        <v>274</v>
      </c>
      <c r="B16">
        <v>181635</v>
      </c>
      <c r="C16" t="s">
        <v>14</v>
      </c>
      <c r="D16" t="s">
        <v>11</v>
      </c>
      <c r="E16">
        <v>295048</v>
      </c>
      <c r="F16" s="27" t="s">
        <v>10</v>
      </c>
      <c r="G16" s="27" t="s">
        <v>35</v>
      </c>
      <c r="H16" s="27"/>
      <c r="I16" s="27"/>
      <c r="J16" t="s">
        <v>10</v>
      </c>
      <c r="K16" t="s">
        <v>42</v>
      </c>
      <c r="N16" s="27" t="s">
        <v>13</v>
      </c>
      <c r="O16" s="27">
        <v>0</v>
      </c>
      <c r="P16" s="27"/>
      <c r="Q16" s="27"/>
      <c r="R16" t="s">
        <v>10</v>
      </c>
      <c r="S16">
        <v>0.184</v>
      </c>
      <c r="T16">
        <v>0</v>
      </c>
      <c r="V16" s="27" t="s">
        <v>10</v>
      </c>
      <c r="W16" s="27">
        <v>0</v>
      </c>
      <c r="X16" s="27">
        <v>0</v>
      </c>
      <c r="Y16" s="27"/>
      <c r="Z16" t="s">
        <v>10</v>
      </c>
      <c r="AA16">
        <v>0</v>
      </c>
      <c r="AB16">
        <v>0</v>
      </c>
      <c r="AC16">
        <v>0</v>
      </c>
      <c r="AE16" t="s">
        <v>133</v>
      </c>
      <c r="AG16" t="s">
        <v>25</v>
      </c>
      <c r="AJ16" t="s">
        <v>95</v>
      </c>
      <c r="AK16" t="str" cm="1">
        <f t="array" ref="AK16">_xlfn.IFS(AND(AH16="",AI16=""),"",AND(AH16&lt;&gt;"",AI16=""),AH16,AND(AH16&lt;&gt;"",AI16&lt;&gt;""),AH16&amp;" , "&amp;AJ16,AND(AH16="",AI16&lt;&gt;""),AJ16)</f>
        <v/>
      </c>
    </row>
    <row r="17" spans="1:37" x14ac:dyDescent="0.25">
      <c r="A17" t="s">
        <v>275</v>
      </c>
      <c r="B17">
        <v>181635</v>
      </c>
      <c r="C17" t="s">
        <v>14</v>
      </c>
      <c r="D17" t="s">
        <v>11</v>
      </c>
      <c r="E17">
        <v>290061</v>
      </c>
      <c r="F17" s="27" t="s">
        <v>10</v>
      </c>
      <c r="G17" s="27" t="s">
        <v>35</v>
      </c>
      <c r="H17" s="27" t="s">
        <v>35</v>
      </c>
      <c r="I17" s="27">
        <v>0</v>
      </c>
      <c r="J17" t="s">
        <v>10</v>
      </c>
      <c r="K17" t="s">
        <v>42</v>
      </c>
      <c r="L17" t="s">
        <v>38</v>
      </c>
      <c r="M17">
        <v>10</v>
      </c>
      <c r="N17" s="27" t="s">
        <v>13</v>
      </c>
      <c r="O17" s="27">
        <v>58</v>
      </c>
      <c r="P17" s="27">
        <v>58</v>
      </c>
      <c r="Q17" s="27">
        <v>0</v>
      </c>
      <c r="R17" t="s">
        <v>10</v>
      </c>
      <c r="S17">
        <v>0.184</v>
      </c>
      <c r="T17">
        <v>0.18329999999999999</v>
      </c>
      <c r="U17">
        <v>-0.38</v>
      </c>
      <c r="V17" s="27" t="s">
        <v>10</v>
      </c>
      <c r="W17" s="27">
        <v>1777</v>
      </c>
      <c r="X17" s="27">
        <v>1777</v>
      </c>
      <c r="Y17" s="27">
        <v>0</v>
      </c>
      <c r="Z17" t="s">
        <v>10</v>
      </c>
      <c r="AA17">
        <v>0</v>
      </c>
      <c r="AB17">
        <v>19.18</v>
      </c>
      <c r="AC17">
        <v>327</v>
      </c>
      <c r="AD17">
        <v>5.87</v>
      </c>
      <c r="AE17" t="s">
        <v>133</v>
      </c>
      <c r="AG17" t="s">
        <v>25</v>
      </c>
      <c r="AJ17" t="s">
        <v>95</v>
      </c>
      <c r="AK17" t="str" cm="1">
        <f t="array" ref="AK17">_xlfn.IFS(AND(AH17="",AI17=""),"",AND(AH17&lt;&gt;"",AI17=""),AH17,AND(AH17&lt;&gt;"",AI17&lt;&gt;""),AH17&amp;" , "&amp;AJ17,AND(AH17="",AI17&lt;&gt;""),AJ17)</f>
        <v/>
      </c>
    </row>
    <row r="18" spans="1:37" x14ac:dyDescent="0.25">
      <c r="A18" t="s">
        <v>276</v>
      </c>
      <c r="B18">
        <v>181635</v>
      </c>
      <c r="C18" t="s">
        <v>14</v>
      </c>
      <c r="D18" t="s">
        <v>11</v>
      </c>
      <c r="E18">
        <v>295053</v>
      </c>
      <c r="F18" s="27" t="s">
        <v>10</v>
      </c>
      <c r="G18" s="27" t="s">
        <v>35</v>
      </c>
      <c r="H18" s="27"/>
      <c r="I18" s="27"/>
      <c r="J18" t="s">
        <v>10</v>
      </c>
      <c r="K18" t="s">
        <v>42</v>
      </c>
      <c r="N18" s="27" t="s">
        <v>13</v>
      </c>
      <c r="O18" s="27">
        <v>0</v>
      </c>
      <c r="P18" s="27"/>
      <c r="Q18" s="27"/>
      <c r="R18" t="s">
        <v>10</v>
      </c>
      <c r="S18">
        <v>0.184</v>
      </c>
      <c r="T18">
        <v>0</v>
      </c>
      <c r="V18" s="27" t="s">
        <v>10</v>
      </c>
      <c r="W18" s="27">
        <v>0</v>
      </c>
      <c r="X18" s="27">
        <v>0</v>
      </c>
      <c r="Y18" s="27"/>
      <c r="Z18" t="s">
        <v>10</v>
      </c>
      <c r="AA18">
        <v>0</v>
      </c>
      <c r="AB18">
        <v>0</v>
      </c>
      <c r="AC18">
        <v>0</v>
      </c>
      <c r="AE18" t="s">
        <v>133</v>
      </c>
      <c r="AG18" t="s">
        <v>25</v>
      </c>
      <c r="AJ18" t="s">
        <v>95</v>
      </c>
      <c r="AK18" t="str" cm="1">
        <f t="array" ref="AK18">_xlfn.IFS(AND(AH18="",AI18=""),"",AND(AH18&lt;&gt;"",AI18=""),AH18,AND(AH18&lt;&gt;"",AI18&lt;&gt;""),AH18&amp;" , "&amp;AJ18,AND(AH18="",AI18&lt;&gt;""),AJ18)</f>
        <v/>
      </c>
    </row>
    <row r="19" spans="1:37" x14ac:dyDescent="0.25">
      <c r="A19" t="s">
        <v>277</v>
      </c>
      <c r="B19">
        <v>181636</v>
      </c>
      <c r="C19" t="s">
        <v>14</v>
      </c>
      <c r="D19" t="s">
        <v>11</v>
      </c>
      <c r="E19">
        <v>290060</v>
      </c>
      <c r="F19" s="27" t="s">
        <v>10</v>
      </c>
      <c r="G19" s="27" t="s">
        <v>35</v>
      </c>
      <c r="H19" s="27" t="s">
        <v>35</v>
      </c>
      <c r="I19" s="27">
        <v>0</v>
      </c>
      <c r="J19" t="s">
        <v>10</v>
      </c>
      <c r="K19" t="s">
        <v>49</v>
      </c>
      <c r="N19" s="27" t="s">
        <v>13</v>
      </c>
      <c r="O19" s="27">
        <v>58</v>
      </c>
      <c r="P19" s="27"/>
      <c r="Q19" s="27"/>
      <c r="R19" t="s">
        <v>10</v>
      </c>
      <c r="S19">
        <v>0.218</v>
      </c>
      <c r="T19">
        <v>0</v>
      </c>
      <c r="V19" s="27" t="s">
        <v>10</v>
      </c>
      <c r="W19" s="27">
        <v>1257</v>
      </c>
      <c r="X19" s="27">
        <v>1257</v>
      </c>
      <c r="Y19" s="27">
        <v>0</v>
      </c>
      <c r="Z19" t="s">
        <v>10</v>
      </c>
      <c r="AA19">
        <v>0</v>
      </c>
      <c r="AB19">
        <v>0</v>
      </c>
      <c r="AC19">
        <v>274</v>
      </c>
      <c r="AD19">
        <v>0</v>
      </c>
      <c r="AE19" t="s">
        <v>133</v>
      </c>
      <c r="AG19" t="s">
        <v>25</v>
      </c>
      <c r="AJ19" t="s">
        <v>95</v>
      </c>
      <c r="AK19" t="str" cm="1">
        <f t="array" ref="AK19">_xlfn.IFS(AND(AH19="",AI19=""),"",AND(AH19&lt;&gt;"",AI19=""),AH19,AND(AH19&lt;&gt;"",AI19&lt;&gt;""),AH19&amp;" , "&amp;AJ19,AND(AH19="",AI19&lt;&gt;""),AJ19)</f>
        <v/>
      </c>
    </row>
    <row r="20" spans="1:37" x14ac:dyDescent="0.25">
      <c r="A20" t="s">
        <v>278</v>
      </c>
      <c r="B20">
        <v>181636</v>
      </c>
      <c r="C20" t="s">
        <v>14</v>
      </c>
      <c r="D20" t="s">
        <v>11</v>
      </c>
      <c r="E20">
        <v>290059</v>
      </c>
      <c r="F20" s="27" t="s">
        <v>10</v>
      </c>
      <c r="G20" s="27" t="s">
        <v>35</v>
      </c>
      <c r="H20" s="27" t="s">
        <v>35</v>
      </c>
      <c r="I20" s="27">
        <v>0</v>
      </c>
      <c r="J20" t="s">
        <v>10</v>
      </c>
      <c r="K20" t="s">
        <v>49</v>
      </c>
      <c r="L20" t="s">
        <v>38</v>
      </c>
      <c r="M20">
        <v>7</v>
      </c>
      <c r="N20" s="27" t="s">
        <v>13</v>
      </c>
      <c r="O20" s="27">
        <v>58</v>
      </c>
      <c r="P20" s="27">
        <v>58</v>
      </c>
      <c r="Q20" s="27">
        <v>0</v>
      </c>
      <c r="R20" t="s">
        <v>10</v>
      </c>
      <c r="S20">
        <v>0.218</v>
      </c>
      <c r="T20">
        <v>0.21829999999999999</v>
      </c>
      <c r="U20">
        <v>0.14000000000000001</v>
      </c>
      <c r="V20" s="27" t="s">
        <v>10</v>
      </c>
      <c r="W20" s="27">
        <v>1266</v>
      </c>
      <c r="X20" s="27">
        <v>1266</v>
      </c>
      <c r="Y20" s="27">
        <v>0</v>
      </c>
      <c r="Z20" t="s">
        <v>10</v>
      </c>
      <c r="AA20">
        <v>0</v>
      </c>
      <c r="AB20">
        <v>8.08</v>
      </c>
      <c r="AC20">
        <v>276</v>
      </c>
      <c r="AD20">
        <v>2.93</v>
      </c>
      <c r="AE20" t="s">
        <v>133</v>
      </c>
      <c r="AG20" t="s">
        <v>25</v>
      </c>
      <c r="AJ20" t="s">
        <v>95</v>
      </c>
      <c r="AK20" t="str" cm="1">
        <f t="array" ref="AK20">_xlfn.IFS(AND(AH20="",AI20=""),"",AND(AH20&lt;&gt;"",AI20=""),AH20,AND(AH20&lt;&gt;"",AI20&lt;&gt;""),AH20&amp;" , "&amp;AJ20,AND(AH20="",AI20&lt;&gt;""),AJ20)</f>
        <v/>
      </c>
    </row>
    <row r="21" spans="1:37" x14ac:dyDescent="0.25">
      <c r="A21" t="s">
        <v>279</v>
      </c>
      <c r="B21">
        <v>181636</v>
      </c>
      <c r="C21" t="s">
        <v>14</v>
      </c>
      <c r="D21" t="s">
        <v>11</v>
      </c>
      <c r="E21">
        <v>290061</v>
      </c>
      <c r="F21" s="27" t="s">
        <v>10</v>
      </c>
      <c r="G21" s="27" t="s">
        <v>35</v>
      </c>
      <c r="H21" s="27" t="s">
        <v>35</v>
      </c>
      <c r="I21" s="27">
        <v>0</v>
      </c>
      <c r="J21" t="s">
        <v>10</v>
      </c>
      <c r="K21" t="s">
        <v>49</v>
      </c>
      <c r="L21" t="s">
        <v>38</v>
      </c>
      <c r="M21">
        <v>7</v>
      </c>
      <c r="N21" s="27" t="s">
        <v>13</v>
      </c>
      <c r="O21" s="27">
        <v>58</v>
      </c>
      <c r="P21" s="27">
        <v>58</v>
      </c>
      <c r="Q21" s="27">
        <v>0</v>
      </c>
      <c r="R21" t="s">
        <v>10</v>
      </c>
      <c r="S21">
        <v>0.218</v>
      </c>
      <c r="T21">
        <v>0.21759999999999999</v>
      </c>
      <c r="U21">
        <v>-0.18</v>
      </c>
      <c r="V21" s="27" t="s">
        <v>10</v>
      </c>
      <c r="W21" s="27">
        <v>1248</v>
      </c>
      <c r="X21" s="27">
        <v>1248</v>
      </c>
      <c r="Y21" s="27">
        <v>0</v>
      </c>
      <c r="Z21" t="s">
        <v>10</v>
      </c>
      <c r="AA21">
        <v>0</v>
      </c>
      <c r="AB21">
        <v>11.57</v>
      </c>
      <c r="AC21">
        <v>272</v>
      </c>
      <c r="AD21">
        <v>4.25</v>
      </c>
      <c r="AE21" t="s">
        <v>133</v>
      </c>
      <c r="AG21" t="s">
        <v>25</v>
      </c>
      <c r="AJ21" t="s">
        <v>95</v>
      </c>
      <c r="AK21" t="str" cm="1">
        <f t="array" ref="AK21">_xlfn.IFS(AND(AH21="",AI21=""),"",AND(AH21&lt;&gt;"",AI21=""),AH21,AND(AH21&lt;&gt;"",AI21&lt;&gt;""),AH21&amp;" , "&amp;AJ21,AND(AH21="",AI21&lt;&gt;""),AJ21)</f>
        <v/>
      </c>
    </row>
    <row r="22" spans="1:37" x14ac:dyDescent="0.25">
      <c r="A22" t="s">
        <v>280</v>
      </c>
      <c r="B22">
        <v>181636</v>
      </c>
      <c r="C22" t="s">
        <v>14</v>
      </c>
      <c r="D22" t="s">
        <v>11</v>
      </c>
      <c r="E22">
        <v>290062</v>
      </c>
      <c r="F22" s="27" t="s">
        <v>10</v>
      </c>
      <c r="G22" s="27" t="s">
        <v>35</v>
      </c>
      <c r="H22" s="27"/>
      <c r="I22" s="27"/>
      <c r="J22" t="s">
        <v>10</v>
      </c>
      <c r="K22" t="s">
        <v>49</v>
      </c>
      <c r="N22" s="27" t="s">
        <v>13</v>
      </c>
      <c r="O22" s="27">
        <v>58</v>
      </c>
      <c r="P22" s="27"/>
      <c r="Q22" s="27"/>
      <c r="R22" t="s">
        <v>10</v>
      </c>
      <c r="S22">
        <v>0.218</v>
      </c>
      <c r="T22">
        <v>0</v>
      </c>
      <c r="V22" s="27" t="s">
        <v>10</v>
      </c>
      <c r="W22" s="27">
        <v>0</v>
      </c>
      <c r="X22" s="27">
        <v>0</v>
      </c>
      <c r="Y22" s="27"/>
      <c r="Z22" t="s">
        <v>10</v>
      </c>
      <c r="AA22">
        <v>0</v>
      </c>
      <c r="AB22">
        <v>0</v>
      </c>
      <c r="AC22">
        <v>0</v>
      </c>
      <c r="AE22" t="s">
        <v>133</v>
      </c>
      <c r="AG22" t="s">
        <v>25</v>
      </c>
      <c r="AJ22" t="s">
        <v>95</v>
      </c>
      <c r="AK22" t="str" cm="1">
        <f t="array" ref="AK22">_xlfn.IFS(AND(AH22="",AI22=""),"",AND(AH22&lt;&gt;"",AI22=""),AH22,AND(AH22&lt;&gt;"",AI22&lt;&gt;""),AH22&amp;" , "&amp;AJ22,AND(AH22="",AI22&lt;&gt;""),AJ22)</f>
        <v/>
      </c>
    </row>
    <row r="23" spans="1:37" x14ac:dyDescent="0.25">
      <c r="A23" t="s">
        <v>281</v>
      </c>
      <c r="B23">
        <v>181637</v>
      </c>
      <c r="C23" t="s">
        <v>14</v>
      </c>
      <c r="D23" t="s">
        <v>11</v>
      </c>
      <c r="E23">
        <v>290062</v>
      </c>
      <c r="F23" s="27" t="s">
        <v>10</v>
      </c>
      <c r="G23" s="27" t="s">
        <v>35</v>
      </c>
      <c r="H23" s="27"/>
      <c r="I23" s="27"/>
      <c r="J23" t="s">
        <v>10</v>
      </c>
      <c r="K23" t="s">
        <v>46</v>
      </c>
      <c r="N23" s="27" t="s">
        <v>13</v>
      </c>
      <c r="O23" s="27">
        <v>58</v>
      </c>
      <c r="P23" s="27"/>
      <c r="Q23" s="27"/>
      <c r="R23" t="s">
        <v>10</v>
      </c>
      <c r="S23">
        <v>0.214</v>
      </c>
      <c r="T23">
        <v>0</v>
      </c>
      <c r="V23" s="27" t="s">
        <v>10</v>
      </c>
      <c r="W23" s="27">
        <v>0</v>
      </c>
      <c r="X23" s="27">
        <v>0</v>
      </c>
      <c r="Y23" s="27"/>
      <c r="Z23" t="s">
        <v>10</v>
      </c>
      <c r="AA23">
        <v>0</v>
      </c>
      <c r="AB23">
        <v>0</v>
      </c>
      <c r="AC23">
        <v>0</v>
      </c>
      <c r="AE23" t="s">
        <v>133</v>
      </c>
      <c r="AG23" t="s">
        <v>25</v>
      </c>
      <c r="AJ23" t="s">
        <v>95</v>
      </c>
      <c r="AK23" t="str" cm="1">
        <f t="array" ref="AK23">_xlfn.IFS(AND(AH23="",AI23=""),"",AND(AH23&lt;&gt;"",AI23=""),AH23,AND(AH23&lt;&gt;"",AI23&lt;&gt;""),AH23&amp;" , "&amp;AJ23,AND(AH23="",AI23&lt;&gt;""),AJ23)</f>
        <v/>
      </c>
    </row>
    <row r="24" spans="1:37" x14ac:dyDescent="0.25">
      <c r="A24" t="s">
        <v>282</v>
      </c>
      <c r="B24">
        <v>181637</v>
      </c>
      <c r="C24" t="s">
        <v>14</v>
      </c>
      <c r="D24" t="s">
        <v>11</v>
      </c>
      <c r="E24">
        <v>290061</v>
      </c>
      <c r="F24" s="27" t="s">
        <v>10</v>
      </c>
      <c r="G24" s="27" t="s">
        <v>35</v>
      </c>
      <c r="H24" s="27" t="s">
        <v>35</v>
      </c>
      <c r="I24" s="27">
        <v>0</v>
      </c>
      <c r="J24" t="s">
        <v>10</v>
      </c>
      <c r="K24" t="s">
        <v>46</v>
      </c>
      <c r="L24" t="s">
        <v>38</v>
      </c>
      <c r="M24">
        <v>13</v>
      </c>
      <c r="N24" s="27" t="s">
        <v>13</v>
      </c>
      <c r="O24" s="27">
        <v>58</v>
      </c>
      <c r="P24" s="27">
        <v>58</v>
      </c>
      <c r="Q24" s="27">
        <v>0</v>
      </c>
      <c r="R24" t="s">
        <v>10</v>
      </c>
      <c r="S24">
        <v>0.214</v>
      </c>
      <c r="T24">
        <v>0.2142</v>
      </c>
      <c r="U24">
        <v>0.09</v>
      </c>
      <c r="V24" s="27" t="s">
        <v>10</v>
      </c>
      <c r="W24" s="27">
        <v>883</v>
      </c>
      <c r="X24" s="27">
        <v>883</v>
      </c>
      <c r="Y24" s="27">
        <v>0</v>
      </c>
      <c r="Z24" t="s">
        <v>10</v>
      </c>
      <c r="AA24">
        <v>0</v>
      </c>
      <c r="AB24">
        <v>3.91</v>
      </c>
      <c r="AC24">
        <v>189</v>
      </c>
      <c r="AD24">
        <v>2.0699999999999998</v>
      </c>
      <c r="AE24" t="s">
        <v>133</v>
      </c>
      <c r="AG24" t="s">
        <v>25</v>
      </c>
      <c r="AJ24" t="s">
        <v>95</v>
      </c>
      <c r="AK24" t="str" cm="1">
        <f t="array" ref="AK24">_xlfn.IFS(AND(AH24="",AI24=""),"",AND(AH24&lt;&gt;"",AI24=""),AH24,AND(AH24&lt;&gt;"",AI24&lt;&gt;""),AH24&amp;" , "&amp;AJ24,AND(AH24="",AI24&lt;&gt;""),AJ24)</f>
        <v/>
      </c>
    </row>
    <row r="25" spans="1:37" x14ac:dyDescent="0.25">
      <c r="A25" t="s">
        <v>283</v>
      </c>
      <c r="B25">
        <v>181637</v>
      </c>
      <c r="C25" t="s">
        <v>14</v>
      </c>
      <c r="D25" t="s">
        <v>11</v>
      </c>
      <c r="E25">
        <v>290063</v>
      </c>
      <c r="F25" s="27" t="s">
        <v>10</v>
      </c>
      <c r="G25" s="27" t="s">
        <v>35</v>
      </c>
      <c r="H25" s="27" t="s">
        <v>35</v>
      </c>
      <c r="I25" s="27">
        <v>0</v>
      </c>
      <c r="J25" t="s">
        <v>10</v>
      </c>
      <c r="K25" t="s">
        <v>46</v>
      </c>
      <c r="N25" s="27" t="s">
        <v>13</v>
      </c>
      <c r="O25" s="27">
        <v>58</v>
      </c>
      <c r="P25" s="27"/>
      <c r="Q25" s="27"/>
      <c r="R25" t="s">
        <v>10</v>
      </c>
      <c r="S25">
        <v>0.214</v>
      </c>
      <c r="T25">
        <v>0</v>
      </c>
      <c r="V25" s="27" t="s">
        <v>10</v>
      </c>
      <c r="W25" s="27">
        <v>883</v>
      </c>
      <c r="X25" s="27">
        <v>883</v>
      </c>
      <c r="Y25" s="27">
        <v>0</v>
      </c>
      <c r="Z25" t="s">
        <v>10</v>
      </c>
      <c r="AA25">
        <v>0</v>
      </c>
      <c r="AB25">
        <v>0</v>
      </c>
      <c r="AC25">
        <v>189</v>
      </c>
      <c r="AD25">
        <v>0</v>
      </c>
      <c r="AE25" t="s">
        <v>133</v>
      </c>
      <c r="AG25" t="s">
        <v>25</v>
      </c>
      <c r="AJ25" t="s">
        <v>95</v>
      </c>
      <c r="AK25" t="str" cm="1">
        <f t="array" ref="AK25">_xlfn.IFS(AND(AH25="",AI25=""),"",AND(AH25&lt;&gt;"",AI25=""),AH25,AND(AH25&lt;&gt;"",AI25&lt;&gt;""),AH25&amp;" , "&amp;AJ25,AND(AH25="",AI25&lt;&gt;""),AJ25)</f>
        <v/>
      </c>
    </row>
    <row r="26" spans="1:37" x14ac:dyDescent="0.25">
      <c r="A26" t="s">
        <v>284</v>
      </c>
      <c r="B26">
        <v>181637</v>
      </c>
      <c r="C26" t="s">
        <v>14</v>
      </c>
      <c r="D26" t="s">
        <v>11</v>
      </c>
      <c r="E26">
        <v>290060</v>
      </c>
      <c r="F26" s="27" t="s">
        <v>10</v>
      </c>
      <c r="G26" s="27" t="s">
        <v>35</v>
      </c>
      <c r="H26" s="27" t="s">
        <v>35</v>
      </c>
      <c r="I26" s="27">
        <v>0</v>
      </c>
      <c r="J26" t="s">
        <v>10</v>
      </c>
      <c r="K26" t="s">
        <v>46</v>
      </c>
      <c r="L26" t="s">
        <v>38</v>
      </c>
      <c r="M26">
        <v>13</v>
      </c>
      <c r="N26" s="27" t="s">
        <v>13</v>
      </c>
      <c r="O26" s="27">
        <v>58</v>
      </c>
      <c r="P26" s="27">
        <v>58</v>
      </c>
      <c r="Q26" s="27">
        <v>0</v>
      </c>
      <c r="R26" t="s">
        <v>10</v>
      </c>
      <c r="S26">
        <v>0.214</v>
      </c>
      <c r="T26">
        <v>0.21590000000000001</v>
      </c>
      <c r="U26">
        <v>0.89</v>
      </c>
      <c r="V26" s="27" t="s">
        <v>10</v>
      </c>
      <c r="W26" s="27">
        <v>883</v>
      </c>
      <c r="X26" s="27">
        <v>883</v>
      </c>
      <c r="Y26" s="27">
        <v>0</v>
      </c>
      <c r="Z26" t="s">
        <v>10</v>
      </c>
      <c r="AA26">
        <v>0</v>
      </c>
      <c r="AB26">
        <v>22.36</v>
      </c>
      <c r="AC26">
        <v>189</v>
      </c>
      <c r="AD26">
        <v>11.83</v>
      </c>
      <c r="AE26" t="s">
        <v>133</v>
      </c>
      <c r="AG26" t="s">
        <v>25</v>
      </c>
      <c r="AJ26" t="s">
        <v>95</v>
      </c>
      <c r="AK26" t="str" cm="1">
        <f t="array" ref="AK26">_xlfn.IFS(AND(AH26="",AI26=""),"",AND(AH26&lt;&gt;"",AI26=""),AH26,AND(AH26&lt;&gt;"",AI26&lt;&gt;""),AH26&amp;" , "&amp;AJ26,AND(AH26="",AI26&lt;&gt;""),AJ26)</f>
        <v/>
      </c>
    </row>
    <row r="27" spans="1:37" x14ac:dyDescent="0.25">
      <c r="A27" t="s">
        <v>285</v>
      </c>
      <c r="B27">
        <v>181634</v>
      </c>
      <c r="C27" t="s">
        <v>14</v>
      </c>
      <c r="D27" t="s">
        <v>11</v>
      </c>
      <c r="E27">
        <v>292107</v>
      </c>
      <c r="F27" s="27" t="s">
        <v>10</v>
      </c>
      <c r="G27" s="27" t="s">
        <v>38</v>
      </c>
      <c r="H27" s="27"/>
      <c r="I27" s="27"/>
      <c r="J27" t="s">
        <v>10</v>
      </c>
      <c r="K27" t="s">
        <v>45</v>
      </c>
      <c r="N27" s="27" t="s">
        <v>13</v>
      </c>
      <c r="O27" s="27">
        <v>58</v>
      </c>
      <c r="P27" s="27"/>
      <c r="Q27" s="27"/>
      <c r="R27" t="s">
        <v>10</v>
      </c>
      <c r="S27">
        <v>0.186</v>
      </c>
      <c r="T27">
        <v>0</v>
      </c>
      <c r="V27" s="27" t="s">
        <v>10</v>
      </c>
      <c r="W27" s="27">
        <v>0</v>
      </c>
      <c r="X27" s="27">
        <v>0</v>
      </c>
      <c r="Y27" s="27"/>
      <c r="Z27" t="s">
        <v>10</v>
      </c>
      <c r="AA27">
        <v>0</v>
      </c>
      <c r="AB27">
        <v>0</v>
      </c>
      <c r="AC27">
        <v>0</v>
      </c>
      <c r="AE27" t="s">
        <v>133</v>
      </c>
      <c r="AG27" t="s">
        <v>25</v>
      </c>
      <c r="AI27" t="s">
        <v>148</v>
      </c>
      <c r="AJ27" t="s">
        <v>253</v>
      </c>
      <c r="AK27" t="str" cm="1">
        <f t="array" ref="AK27">_xlfn.IFS(AND(AH27="",AI27=""),"",AND(AH27&lt;&gt;"",AI27=""),AH27,AND(AH27&lt;&gt;"",AI27&lt;&gt;""),AH27&amp;" , "&amp;AJ27,AND(AH27="",AI27&lt;&gt;""),AJ27)</f>
        <v>Available Date 03 Januari 2024</v>
      </c>
    </row>
    <row r="28" spans="1:37" x14ac:dyDescent="0.25">
      <c r="A28" t="s">
        <v>286</v>
      </c>
      <c r="B28">
        <v>181634</v>
      </c>
      <c r="C28" t="s">
        <v>14</v>
      </c>
      <c r="D28" t="s">
        <v>11</v>
      </c>
      <c r="E28">
        <v>290059</v>
      </c>
      <c r="F28" s="27" t="s">
        <v>10</v>
      </c>
      <c r="G28" s="27" t="s">
        <v>38</v>
      </c>
      <c r="H28" s="27" t="s">
        <v>38</v>
      </c>
      <c r="I28" s="27">
        <v>0</v>
      </c>
      <c r="J28" t="s">
        <v>10</v>
      </c>
      <c r="K28" t="s">
        <v>45</v>
      </c>
      <c r="L28" t="s">
        <v>62</v>
      </c>
      <c r="M28">
        <v>6</v>
      </c>
      <c r="N28" s="27" t="s">
        <v>13</v>
      </c>
      <c r="O28" s="27">
        <v>58</v>
      </c>
      <c r="P28" s="27">
        <v>58</v>
      </c>
      <c r="Q28" s="27">
        <v>0</v>
      </c>
      <c r="R28" t="s">
        <v>10</v>
      </c>
      <c r="S28">
        <v>0.186</v>
      </c>
      <c r="T28">
        <v>0.18729999999999999</v>
      </c>
      <c r="U28">
        <v>0.7</v>
      </c>
      <c r="V28" s="27" t="s">
        <v>10</v>
      </c>
      <c r="W28" s="27">
        <v>2961</v>
      </c>
      <c r="X28" s="27">
        <v>2961</v>
      </c>
      <c r="Y28" s="27">
        <v>0</v>
      </c>
      <c r="Z28" t="s">
        <v>10</v>
      </c>
      <c r="AA28">
        <v>0</v>
      </c>
      <c r="AB28">
        <v>20.55</v>
      </c>
      <c r="AC28">
        <v>550.79999999999995</v>
      </c>
      <c r="AD28">
        <v>3.73</v>
      </c>
      <c r="AE28" t="s">
        <v>133</v>
      </c>
      <c r="AG28" t="s">
        <v>25</v>
      </c>
      <c r="AJ28" t="s">
        <v>95</v>
      </c>
      <c r="AK28" t="str" cm="1">
        <f t="array" ref="AK28">_xlfn.IFS(AND(AH28="",AI28=""),"",AND(AH28&lt;&gt;"",AI28=""),AH28,AND(AH28&lt;&gt;"",AI28&lt;&gt;""),AH28&amp;" , "&amp;AJ28,AND(AH28="",AI28&lt;&gt;""),AJ28)</f>
        <v/>
      </c>
    </row>
    <row r="29" spans="1:37" x14ac:dyDescent="0.25">
      <c r="A29" t="s">
        <v>287</v>
      </c>
      <c r="B29">
        <v>181634</v>
      </c>
      <c r="C29" t="s">
        <v>14</v>
      </c>
      <c r="D29" t="s">
        <v>11</v>
      </c>
      <c r="E29">
        <v>293262</v>
      </c>
      <c r="F29" s="27" t="s">
        <v>10</v>
      </c>
      <c r="G29" s="27" t="s">
        <v>38</v>
      </c>
      <c r="H29" s="27"/>
      <c r="I29" s="27"/>
      <c r="J29" t="s">
        <v>10</v>
      </c>
      <c r="K29" t="s">
        <v>45</v>
      </c>
      <c r="N29" s="27" t="s">
        <v>13</v>
      </c>
      <c r="O29" s="27">
        <v>58</v>
      </c>
      <c r="P29" s="27"/>
      <c r="Q29" s="27"/>
      <c r="R29" t="s">
        <v>10</v>
      </c>
      <c r="S29">
        <v>0.186</v>
      </c>
      <c r="T29">
        <v>0</v>
      </c>
      <c r="V29" s="27" t="s">
        <v>10</v>
      </c>
      <c r="W29" s="27">
        <v>0</v>
      </c>
      <c r="X29" s="27">
        <v>0</v>
      </c>
      <c r="Y29" s="27"/>
      <c r="Z29" t="s">
        <v>10</v>
      </c>
      <c r="AA29">
        <v>0</v>
      </c>
      <c r="AB29">
        <v>0</v>
      </c>
      <c r="AC29">
        <v>0</v>
      </c>
      <c r="AE29" t="s">
        <v>133</v>
      </c>
      <c r="AG29" t="s">
        <v>25</v>
      </c>
      <c r="AI29" t="s">
        <v>148</v>
      </c>
      <c r="AJ29" t="s">
        <v>253</v>
      </c>
      <c r="AK29" t="str" cm="1">
        <f t="array" ref="AK29">_xlfn.IFS(AND(AH29="",AI29=""),"",AND(AH29&lt;&gt;"",AI29=""),AH29,AND(AH29&lt;&gt;"",AI29&lt;&gt;""),AH29&amp;" , "&amp;AJ29,AND(AH29="",AI29&lt;&gt;""),AJ29)</f>
        <v>Available Date 03 Januari 2024</v>
      </c>
    </row>
    <row r="30" spans="1:37" x14ac:dyDescent="0.25">
      <c r="A30" t="s">
        <v>288</v>
      </c>
      <c r="B30">
        <v>181572</v>
      </c>
      <c r="C30" t="s">
        <v>66</v>
      </c>
      <c r="D30" t="s">
        <v>9</v>
      </c>
      <c r="E30">
        <v>295580</v>
      </c>
      <c r="F30" s="27" t="s">
        <v>12</v>
      </c>
      <c r="G30" s="27" t="s">
        <v>38</v>
      </c>
      <c r="H30" s="27" t="s">
        <v>62</v>
      </c>
      <c r="I30" s="27">
        <v>-3</v>
      </c>
      <c r="J30" t="s">
        <v>12</v>
      </c>
      <c r="K30" t="s">
        <v>35</v>
      </c>
      <c r="L30" t="s">
        <v>62</v>
      </c>
      <c r="M30">
        <v>-4</v>
      </c>
      <c r="N30" s="27"/>
      <c r="O30" s="27">
        <v>0</v>
      </c>
      <c r="P30" s="27">
        <v>57.091428571428999</v>
      </c>
      <c r="Q30" s="27"/>
      <c r="R30" t="s">
        <v>12</v>
      </c>
      <c r="S30">
        <v>0.879</v>
      </c>
      <c r="T30">
        <v>0.87129999999999996</v>
      </c>
      <c r="U30">
        <v>-0.88</v>
      </c>
      <c r="V30" s="27" t="s">
        <v>12</v>
      </c>
      <c r="W30" s="27">
        <v>272</v>
      </c>
      <c r="X30" s="27">
        <v>0</v>
      </c>
      <c r="Y30" s="27"/>
      <c r="Z30" t="s">
        <v>12</v>
      </c>
      <c r="AA30">
        <v>0</v>
      </c>
      <c r="AB30">
        <v>36.9</v>
      </c>
      <c r="AC30">
        <v>0</v>
      </c>
      <c r="AE30" t="s">
        <v>133</v>
      </c>
      <c r="AG30" t="s">
        <v>25</v>
      </c>
      <c r="AI30" t="s">
        <v>157</v>
      </c>
      <c r="AJ30" t="s">
        <v>254</v>
      </c>
      <c r="AK30" t="str" cm="1">
        <f t="array" ref="AK30">_xlfn.IFS(AND(AH30="",AI30=""),"",AND(AH30&lt;&gt;"",AI30=""),AH30,AND(AH30&lt;&gt;"",AI30&lt;&gt;""),AH30&amp;" , "&amp;AJ30,AND(AH30="",AI30&lt;&gt;""),AJ30)</f>
        <v>Available Date 30 Januari 2024</v>
      </c>
    </row>
    <row r="31" spans="1:37" x14ac:dyDescent="0.25">
      <c r="A31" t="s">
        <v>289</v>
      </c>
      <c r="B31">
        <v>181572</v>
      </c>
      <c r="C31" t="s">
        <v>66</v>
      </c>
      <c r="D31" t="s">
        <v>9</v>
      </c>
      <c r="E31">
        <v>295581</v>
      </c>
      <c r="F31" s="27" t="s">
        <v>12</v>
      </c>
      <c r="G31" s="27" t="s">
        <v>38</v>
      </c>
      <c r="H31" s="27" t="s">
        <v>62</v>
      </c>
      <c r="I31" s="27">
        <v>-3</v>
      </c>
      <c r="J31" t="s">
        <v>12</v>
      </c>
      <c r="K31" t="s">
        <v>35</v>
      </c>
      <c r="N31" s="27"/>
      <c r="O31" s="27">
        <v>0</v>
      </c>
      <c r="P31" s="27"/>
      <c r="Q31" s="27"/>
      <c r="R31" t="s">
        <v>12</v>
      </c>
      <c r="S31">
        <v>0.70299999999999996</v>
      </c>
      <c r="T31">
        <v>0</v>
      </c>
      <c r="V31" s="27" t="s">
        <v>12</v>
      </c>
      <c r="W31" s="27">
        <v>295</v>
      </c>
      <c r="X31" s="27">
        <v>0</v>
      </c>
      <c r="Y31" s="27"/>
      <c r="Z31" t="s">
        <v>12</v>
      </c>
      <c r="AA31">
        <v>0</v>
      </c>
      <c r="AB31">
        <v>0</v>
      </c>
      <c r="AC31">
        <v>0</v>
      </c>
      <c r="AE31" t="s">
        <v>133</v>
      </c>
      <c r="AG31" t="s">
        <v>25</v>
      </c>
      <c r="AI31" t="s">
        <v>157</v>
      </c>
      <c r="AJ31" t="s">
        <v>254</v>
      </c>
      <c r="AK31" t="str" cm="1">
        <f t="array" ref="AK31">_xlfn.IFS(AND(AH31="",AI31=""),"",AND(AH31&lt;&gt;"",AI31=""),AH31,AND(AH31&lt;&gt;"",AI31&lt;&gt;""),AH31&amp;" , "&amp;AJ31,AND(AH31="",AI31&lt;&gt;""),AJ31)</f>
        <v>Available Date 30 Januari 2024</v>
      </c>
    </row>
    <row r="32" spans="1:37" x14ac:dyDescent="0.25">
      <c r="A32" t="s">
        <v>290</v>
      </c>
      <c r="B32">
        <v>181571</v>
      </c>
      <c r="C32" t="s">
        <v>66</v>
      </c>
      <c r="D32" t="s">
        <v>9</v>
      </c>
      <c r="E32">
        <v>295580</v>
      </c>
      <c r="F32" s="27" t="s">
        <v>12</v>
      </c>
      <c r="G32" s="27" t="s">
        <v>38</v>
      </c>
      <c r="H32" s="27" t="s">
        <v>62</v>
      </c>
      <c r="I32" s="27">
        <v>-3</v>
      </c>
      <c r="J32" t="s">
        <v>12</v>
      </c>
      <c r="K32" t="s">
        <v>40</v>
      </c>
      <c r="N32" s="27"/>
      <c r="O32" s="27">
        <v>0</v>
      </c>
      <c r="P32" s="27"/>
      <c r="Q32" s="27"/>
      <c r="R32" t="s">
        <v>12</v>
      </c>
      <c r="S32">
        <v>0.73699999999999999</v>
      </c>
      <c r="T32">
        <v>0</v>
      </c>
      <c r="V32" s="27" t="s">
        <v>12</v>
      </c>
      <c r="W32" s="27">
        <v>391</v>
      </c>
      <c r="X32" s="27">
        <v>391</v>
      </c>
      <c r="Y32" s="27">
        <v>0</v>
      </c>
      <c r="Z32" t="s">
        <v>12</v>
      </c>
      <c r="AA32">
        <v>0</v>
      </c>
      <c r="AB32">
        <v>0</v>
      </c>
      <c r="AC32">
        <v>287.81</v>
      </c>
      <c r="AD32">
        <v>0</v>
      </c>
      <c r="AE32" t="s">
        <v>133</v>
      </c>
      <c r="AG32" t="s">
        <v>25</v>
      </c>
      <c r="AI32" t="s">
        <v>161</v>
      </c>
      <c r="AJ32" t="s">
        <v>255</v>
      </c>
      <c r="AK32" t="str" cm="1">
        <f t="array" ref="AK32">_xlfn.IFS(AND(AH32="",AI32=""),"",AND(AH32&lt;&gt;"",AI32=""),AH32,AND(AH32&lt;&gt;"",AI32&lt;&gt;""),AH32&amp;" , "&amp;AJ32,AND(AH32="",AI32&lt;&gt;""),AJ32)</f>
        <v>Available Date 29 Januari 2024</v>
      </c>
    </row>
    <row r="33" spans="1:37" x14ac:dyDescent="0.25">
      <c r="A33" t="s">
        <v>291</v>
      </c>
      <c r="B33">
        <v>181571</v>
      </c>
      <c r="C33" t="s">
        <v>66</v>
      </c>
      <c r="D33" t="s">
        <v>9</v>
      </c>
      <c r="E33">
        <v>295581</v>
      </c>
      <c r="F33" s="27" t="s">
        <v>12</v>
      </c>
      <c r="G33" s="27" t="s">
        <v>38</v>
      </c>
      <c r="H33" s="27" t="s">
        <v>62</v>
      </c>
      <c r="I33" s="27">
        <v>-3</v>
      </c>
      <c r="J33" t="s">
        <v>12</v>
      </c>
      <c r="K33" t="s">
        <v>40</v>
      </c>
      <c r="N33" s="27"/>
      <c r="O33" s="27">
        <v>0</v>
      </c>
      <c r="P33" s="27"/>
      <c r="Q33" s="27"/>
      <c r="R33" t="s">
        <v>12</v>
      </c>
      <c r="S33">
        <v>0.65200000000000002</v>
      </c>
      <c r="T33">
        <v>0</v>
      </c>
      <c r="V33" s="27" t="s">
        <v>12</v>
      </c>
      <c r="W33" s="27">
        <v>144</v>
      </c>
      <c r="X33" s="27">
        <v>7</v>
      </c>
      <c r="Y33" s="27">
        <v>-95.14</v>
      </c>
      <c r="Z33" t="s">
        <v>12</v>
      </c>
      <c r="AA33">
        <v>0</v>
      </c>
      <c r="AB33">
        <v>0</v>
      </c>
      <c r="AC33">
        <v>4.63</v>
      </c>
      <c r="AD33">
        <v>0</v>
      </c>
      <c r="AE33" t="s">
        <v>133</v>
      </c>
      <c r="AG33" t="s">
        <v>25</v>
      </c>
      <c r="AI33" t="s">
        <v>161</v>
      </c>
      <c r="AJ33" t="s">
        <v>255</v>
      </c>
      <c r="AK33" t="str" cm="1">
        <f t="array" ref="AK33">_xlfn.IFS(AND(AH33="",AI33=""),"",AND(AH33&lt;&gt;"",AI33=""),AH33,AND(AH33&lt;&gt;"",AI33&lt;&gt;""),AH33&amp;" , "&amp;AJ33,AND(AH33="",AI33&lt;&gt;""),AJ33)</f>
        <v>Available Date 29 Januari 2024</v>
      </c>
    </row>
    <row r="34" spans="1:37" x14ac:dyDescent="0.25">
      <c r="A34" t="s">
        <v>292</v>
      </c>
      <c r="B34">
        <v>181592</v>
      </c>
      <c r="C34" t="s">
        <v>14</v>
      </c>
      <c r="D34" t="s">
        <v>9</v>
      </c>
      <c r="E34">
        <v>295030</v>
      </c>
      <c r="F34" s="27" t="s">
        <v>12</v>
      </c>
      <c r="G34" s="27" t="s">
        <v>70</v>
      </c>
      <c r="H34" s="27"/>
      <c r="I34" s="27"/>
      <c r="J34" t="s">
        <v>12</v>
      </c>
      <c r="K34" t="s">
        <v>32</v>
      </c>
      <c r="N34" s="27" t="s">
        <v>13</v>
      </c>
      <c r="O34" s="27">
        <v>0</v>
      </c>
      <c r="P34" s="27"/>
      <c r="Q34" s="27"/>
      <c r="R34" t="s">
        <v>12</v>
      </c>
      <c r="S34">
        <v>0.34399999999999997</v>
      </c>
      <c r="T34">
        <v>0</v>
      </c>
      <c r="V34" s="27" t="s">
        <v>12</v>
      </c>
      <c r="W34" s="27">
        <v>393</v>
      </c>
      <c r="X34" s="27">
        <v>0</v>
      </c>
      <c r="Y34" s="27"/>
      <c r="Z34" t="s">
        <v>12</v>
      </c>
      <c r="AA34">
        <v>0</v>
      </c>
      <c r="AB34">
        <v>0</v>
      </c>
      <c r="AC34">
        <v>0</v>
      </c>
      <c r="AE34" t="s">
        <v>134</v>
      </c>
      <c r="AG34" t="s">
        <v>25</v>
      </c>
      <c r="AJ34" t="s">
        <v>95</v>
      </c>
      <c r="AK34" t="str" cm="1">
        <f t="array" ref="AK34">_xlfn.IFS(AND(AH34="",AI34=""),"",AND(AH34&lt;&gt;"",AI34=""),AH34,AND(AH34&lt;&gt;"",AI34&lt;&gt;""),AH34&amp;" , "&amp;AJ34,AND(AH34="",AI34&lt;&gt;""),AJ34)</f>
        <v/>
      </c>
    </row>
    <row r="35" spans="1:37" x14ac:dyDescent="0.25">
      <c r="A35" t="s">
        <v>293</v>
      </c>
      <c r="B35">
        <v>181592</v>
      </c>
      <c r="C35" t="s">
        <v>14</v>
      </c>
      <c r="D35" t="s">
        <v>9</v>
      </c>
      <c r="E35">
        <v>295031</v>
      </c>
      <c r="F35" s="27" t="s">
        <v>12</v>
      </c>
      <c r="G35" s="27" t="s">
        <v>70</v>
      </c>
      <c r="H35" s="27"/>
      <c r="I35" s="27"/>
      <c r="J35" t="s">
        <v>12</v>
      </c>
      <c r="K35" t="s">
        <v>32</v>
      </c>
      <c r="N35" s="27" t="s">
        <v>13</v>
      </c>
      <c r="O35" s="27">
        <v>0</v>
      </c>
      <c r="P35" s="27"/>
      <c r="Q35" s="27"/>
      <c r="R35" t="s">
        <v>12</v>
      </c>
      <c r="S35">
        <v>0.34399999999999997</v>
      </c>
      <c r="T35">
        <v>0</v>
      </c>
      <c r="V35" s="27" t="s">
        <v>12</v>
      </c>
      <c r="W35" s="27">
        <v>387</v>
      </c>
      <c r="X35" s="27">
        <v>0</v>
      </c>
      <c r="Y35" s="27"/>
      <c r="Z35" t="s">
        <v>12</v>
      </c>
      <c r="AA35">
        <v>0</v>
      </c>
      <c r="AB35">
        <v>0</v>
      </c>
      <c r="AC35">
        <v>0</v>
      </c>
      <c r="AE35" t="s">
        <v>134</v>
      </c>
      <c r="AG35" t="s">
        <v>25</v>
      </c>
      <c r="AJ35" t="s">
        <v>95</v>
      </c>
      <c r="AK35" t="str" cm="1">
        <f t="array" ref="AK35">_xlfn.IFS(AND(AH35="",AI35=""),"",AND(AH35&lt;&gt;"",AI35=""),AH35,AND(AH35&lt;&gt;"",AI35&lt;&gt;""),AH35&amp;" , "&amp;AJ35,AND(AH35="",AI35&lt;&gt;""),AJ35)</f>
        <v/>
      </c>
    </row>
    <row r="36" spans="1:37" x14ac:dyDescent="0.25">
      <c r="A36" t="s">
        <v>294</v>
      </c>
      <c r="B36">
        <v>181593</v>
      </c>
      <c r="C36" t="s">
        <v>14</v>
      </c>
      <c r="D36" t="s">
        <v>9</v>
      </c>
      <c r="E36">
        <v>294351</v>
      </c>
      <c r="F36" s="27" t="s">
        <v>12</v>
      </c>
      <c r="G36" s="27" t="s">
        <v>70</v>
      </c>
      <c r="H36" s="27"/>
      <c r="I36" s="27"/>
      <c r="J36" t="s">
        <v>12</v>
      </c>
      <c r="K36" t="s">
        <v>45</v>
      </c>
      <c r="N36" s="27" t="s">
        <v>13</v>
      </c>
      <c r="O36" s="27">
        <v>58</v>
      </c>
      <c r="P36" s="27"/>
      <c r="Q36" s="27"/>
      <c r="R36" t="s">
        <v>12</v>
      </c>
      <c r="S36">
        <v>0.32900000000000001</v>
      </c>
      <c r="T36">
        <v>0</v>
      </c>
      <c r="V36" s="27" t="s">
        <v>12</v>
      </c>
      <c r="W36" s="27">
        <v>766</v>
      </c>
      <c r="X36" s="27">
        <v>0</v>
      </c>
      <c r="Y36" s="27"/>
      <c r="Z36" t="s">
        <v>12</v>
      </c>
      <c r="AA36">
        <v>0</v>
      </c>
      <c r="AB36">
        <v>0</v>
      </c>
      <c r="AC36">
        <v>0</v>
      </c>
      <c r="AE36" t="s">
        <v>134</v>
      </c>
      <c r="AG36" t="s">
        <v>25</v>
      </c>
      <c r="AI36" t="s">
        <v>164</v>
      </c>
      <c r="AJ36" t="s">
        <v>256</v>
      </c>
      <c r="AK36" t="str" cm="1">
        <f t="array" ref="AK36">_xlfn.IFS(AND(AH36="",AI36=""),"",AND(AH36&lt;&gt;"",AI36=""),AH36,AND(AH36&lt;&gt;"",AI36&lt;&gt;""),AH36&amp;" , "&amp;AJ36,AND(AH36="",AI36&lt;&gt;""),AJ36)</f>
        <v>Available Date 07 Januari 2024</v>
      </c>
    </row>
    <row r="37" spans="1:37" x14ac:dyDescent="0.25">
      <c r="A37" t="s">
        <v>295</v>
      </c>
      <c r="B37">
        <v>181593</v>
      </c>
      <c r="C37" t="s">
        <v>14</v>
      </c>
      <c r="D37" t="s">
        <v>9</v>
      </c>
      <c r="E37">
        <v>294352</v>
      </c>
      <c r="F37" s="27" t="s">
        <v>12</v>
      </c>
      <c r="G37" s="27" t="s">
        <v>70</v>
      </c>
      <c r="H37" s="27"/>
      <c r="I37" s="27"/>
      <c r="J37" t="s">
        <v>12</v>
      </c>
      <c r="K37" t="s">
        <v>45</v>
      </c>
      <c r="N37" s="27" t="s">
        <v>13</v>
      </c>
      <c r="O37" s="27">
        <v>58</v>
      </c>
      <c r="P37" s="27"/>
      <c r="Q37" s="27"/>
      <c r="R37" t="s">
        <v>12</v>
      </c>
      <c r="S37">
        <v>0.33700000000000002</v>
      </c>
      <c r="T37">
        <v>0</v>
      </c>
      <c r="V37" s="27" t="s">
        <v>12</v>
      </c>
      <c r="W37" s="27">
        <v>788</v>
      </c>
      <c r="X37" s="27">
        <v>0</v>
      </c>
      <c r="Y37" s="27"/>
      <c r="Z37" t="s">
        <v>12</v>
      </c>
      <c r="AA37">
        <v>0</v>
      </c>
      <c r="AB37">
        <v>0</v>
      </c>
      <c r="AC37">
        <v>0</v>
      </c>
      <c r="AE37" t="s">
        <v>134</v>
      </c>
      <c r="AG37" t="s">
        <v>25</v>
      </c>
      <c r="AI37" t="s">
        <v>164</v>
      </c>
      <c r="AJ37" t="s">
        <v>256</v>
      </c>
      <c r="AK37" t="str" cm="1">
        <f t="array" ref="AK37">_xlfn.IFS(AND(AH37="",AI37=""),"",AND(AH37&lt;&gt;"",AI37=""),AH37,AND(AH37&lt;&gt;"",AI37&lt;&gt;""),AH37&amp;" , "&amp;AJ37,AND(AH37="",AI37&lt;&gt;""),AJ37)</f>
        <v>Available Date 07 Januari 2024</v>
      </c>
    </row>
    <row r="38" spans="1:37" x14ac:dyDescent="0.25">
      <c r="A38" t="s">
        <v>296</v>
      </c>
      <c r="B38">
        <v>181594</v>
      </c>
      <c r="C38" t="s">
        <v>14</v>
      </c>
      <c r="D38" t="s">
        <v>9</v>
      </c>
      <c r="E38">
        <v>295032</v>
      </c>
      <c r="F38" s="27" t="s">
        <v>12</v>
      </c>
      <c r="G38" s="27" t="s">
        <v>70</v>
      </c>
      <c r="H38" s="27"/>
      <c r="I38" s="27"/>
      <c r="J38" t="s">
        <v>12</v>
      </c>
      <c r="K38" t="s">
        <v>34</v>
      </c>
      <c r="N38" s="27" t="s">
        <v>13</v>
      </c>
      <c r="O38" s="27">
        <v>0</v>
      </c>
      <c r="P38" s="27"/>
      <c r="Q38" s="27"/>
      <c r="R38" t="s">
        <v>12</v>
      </c>
      <c r="S38">
        <v>0.34200000000000003</v>
      </c>
      <c r="T38">
        <v>0</v>
      </c>
      <c r="V38" s="27" t="s">
        <v>12</v>
      </c>
      <c r="W38" s="27">
        <v>1890</v>
      </c>
      <c r="X38" s="27">
        <v>0</v>
      </c>
      <c r="Y38" s="27"/>
      <c r="Z38" t="s">
        <v>12</v>
      </c>
      <c r="AA38">
        <v>0</v>
      </c>
      <c r="AB38">
        <v>0</v>
      </c>
      <c r="AC38">
        <v>0</v>
      </c>
      <c r="AE38" t="s">
        <v>134</v>
      </c>
      <c r="AG38" t="s">
        <v>25</v>
      </c>
      <c r="AJ38" t="s">
        <v>95</v>
      </c>
      <c r="AK38" t="str" cm="1">
        <f t="array" ref="AK38">_xlfn.IFS(AND(AH38="",AI38=""),"",AND(AH38&lt;&gt;"",AI38=""),AH38,AND(AH38&lt;&gt;"",AI38&lt;&gt;""),AH38&amp;" , "&amp;AJ38,AND(AH38="",AI38&lt;&gt;""),AJ38)</f>
        <v/>
      </c>
    </row>
    <row r="39" spans="1:37" x14ac:dyDescent="0.25">
      <c r="A39" t="s">
        <v>297</v>
      </c>
      <c r="B39">
        <v>181594</v>
      </c>
      <c r="C39" t="s">
        <v>14</v>
      </c>
      <c r="D39" t="s">
        <v>9</v>
      </c>
      <c r="E39">
        <v>295033</v>
      </c>
      <c r="F39" s="27" t="s">
        <v>12</v>
      </c>
      <c r="G39" s="27" t="s">
        <v>70</v>
      </c>
      <c r="H39" s="27"/>
      <c r="I39" s="27"/>
      <c r="J39" t="s">
        <v>12</v>
      </c>
      <c r="K39" t="s">
        <v>34</v>
      </c>
      <c r="N39" s="27" t="s">
        <v>13</v>
      </c>
      <c r="O39" s="27">
        <v>0</v>
      </c>
      <c r="P39" s="27"/>
      <c r="Q39" s="27"/>
      <c r="R39" t="s">
        <v>12</v>
      </c>
      <c r="S39">
        <v>0.34899999999999998</v>
      </c>
      <c r="T39">
        <v>0</v>
      </c>
      <c r="V39" s="27" t="s">
        <v>12</v>
      </c>
      <c r="W39" s="27">
        <v>1871</v>
      </c>
      <c r="X39" s="27">
        <v>0</v>
      </c>
      <c r="Y39" s="27"/>
      <c r="Z39" t="s">
        <v>12</v>
      </c>
      <c r="AA39">
        <v>0</v>
      </c>
      <c r="AB39">
        <v>0</v>
      </c>
      <c r="AC39">
        <v>0</v>
      </c>
      <c r="AE39" t="s">
        <v>134</v>
      </c>
      <c r="AG39" t="s">
        <v>25</v>
      </c>
      <c r="AI39" t="s">
        <v>164</v>
      </c>
      <c r="AJ39" t="s">
        <v>256</v>
      </c>
      <c r="AK39" t="str" cm="1">
        <f t="array" ref="AK39">_xlfn.IFS(AND(AH39="",AI39=""),"",AND(AH39&lt;&gt;"",AI39=""),AH39,AND(AH39&lt;&gt;"",AI39&lt;&gt;""),AH39&amp;" , "&amp;AJ39,AND(AH39="",AI39&lt;&gt;""),AJ39)</f>
        <v>Available Date 07 Januari 2024</v>
      </c>
    </row>
    <row r="40" spans="1:37" x14ac:dyDescent="0.25">
      <c r="A40" t="s">
        <v>298</v>
      </c>
      <c r="B40">
        <v>181595</v>
      </c>
      <c r="C40" t="s">
        <v>14</v>
      </c>
      <c r="D40" t="s">
        <v>9</v>
      </c>
      <c r="E40">
        <v>267375</v>
      </c>
      <c r="F40" s="27" t="s">
        <v>12</v>
      </c>
      <c r="G40" s="27" t="s">
        <v>70</v>
      </c>
      <c r="H40" s="27"/>
      <c r="I40" s="27"/>
      <c r="J40" t="s">
        <v>12</v>
      </c>
      <c r="K40" t="s">
        <v>33</v>
      </c>
      <c r="N40" s="27" t="s">
        <v>13</v>
      </c>
      <c r="O40" s="27">
        <v>70</v>
      </c>
      <c r="P40" s="27"/>
      <c r="Q40" s="27"/>
      <c r="R40" t="s">
        <v>12</v>
      </c>
      <c r="S40">
        <v>0</v>
      </c>
      <c r="T40">
        <v>0</v>
      </c>
      <c r="V40" s="27" t="s">
        <v>12</v>
      </c>
      <c r="W40" s="27">
        <v>0</v>
      </c>
      <c r="X40" s="27">
        <v>0</v>
      </c>
      <c r="Y40" s="27"/>
      <c r="Z40" t="s">
        <v>12</v>
      </c>
      <c r="AA40">
        <v>0</v>
      </c>
      <c r="AB40">
        <v>0</v>
      </c>
      <c r="AC40">
        <v>0</v>
      </c>
      <c r="AE40" t="s">
        <v>134</v>
      </c>
      <c r="AG40" t="s">
        <v>25</v>
      </c>
      <c r="AI40" t="s">
        <v>167</v>
      </c>
      <c r="AJ40" t="s">
        <v>257</v>
      </c>
      <c r="AK40" t="str" cm="1">
        <f t="array" ref="AK40">_xlfn.IFS(AND(AH40="",AI40=""),"",AND(AH40&lt;&gt;"",AI40=""),AH40,AND(AH40&lt;&gt;"",AI40&lt;&gt;""),AH40&amp;" , "&amp;AJ40,AND(AH40="",AI40&lt;&gt;""),AJ40)</f>
        <v>Available Date 16 Januari 2024</v>
      </c>
    </row>
    <row r="41" spans="1:37" x14ac:dyDescent="0.25">
      <c r="A41" t="s">
        <v>299</v>
      </c>
      <c r="B41">
        <v>181595</v>
      </c>
      <c r="C41" t="s">
        <v>14</v>
      </c>
      <c r="D41" t="s">
        <v>9</v>
      </c>
      <c r="E41">
        <v>282190</v>
      </c>
      <c r="F41" s="27" t="s">
        <v>12</v>
      </c>
      <c r="G41" s="27" t="s">
        <v>70</v>
      </c>
      <c r="H41" s="27"/>
      <c r="I41" s="27"/>
      <c r="J41" t="s">
        <v>12</v>
      </c>
      <c r="K41" t="s">
        <v>33</v>
      </c>
      <c r="N41" s="27" t="s">
        <v>13</v>
      </c>
      <c r="O41" s="27">
        <v>70</v>
      </c>
      <c r="P41" s="27"/>
      <c r="Q41" s="27"/>
      <c r="R41" t="s">
        <v>12</v>
      </c>
      <c r="S41">
        <v>0</v>
      </c>
      <c r="T41">
        <v>0</v>
      </c>
      <c r="V41" s="27" t="s">
        <v>12</v>
      </c>
      <c r="W41" s="27">
        <v>0</v>
      </c>
      <c r="X41" s="27">
        <v>0</v>
      </c>
      <c r="Y41" s="27"/>
      <c r="Z41" t="s">
        <v>12</v>
      </c>
      <c r="AA41">
        <v>0</v>
      </c>
      <c r="AB41">
        <v>0</v>
      </c>
      <c r="AC41">
        <v>0</v>
      </c>
      <c r="AE41" t="s">
        <v>134</v>
      </c>
      <c r="AG41" t="s">
        <v>25</v>
      </c>
      <c r="AI41" t="s">
        <v>167</v>
      </c>
      <c r="AJ41" t="s">
        <v>257</v>
      </c>
      <c r="AK41" t="str" cm="1">
        <f t="array" ref="AK41">_xlfn.IFS(AND(AH41="",AI41=""),"",AND(AH41&lt;&gt;"",AI41=""),AH41,AND(AH41&lt;&gt;"",AI41&lt;&gt;""),AH41&amp;" , "&amp;AJ41,AND(AH41="",AI41&lt;&gt;""),AJ41)</f>
        <v>Available Date 16 Januari 2024</v>
      </c>
    </row>
    <row r="42" spans="1:37" x14ac:dyDescent="0.25">
      <c r="A42" t="s">
        <v>300</v>
      </c>
      <c r="B42">
        <v>181595</v>
      </c>
      <c r="C42" t="s">
        <v>14</v>
      </c>
      <c r="D42" t="s">
        <v>9</v>
      </c>
      <c r="E42">
        <v>267376</v>
      </c>
      <c r="F42" s="27" t="s">
        <v>12</v>
      </c>
      <c r="G42" s="27" t="s">
        <v>70</v>
      </c>
      <c r="H42" s="27"/>
      <c r="I42" s="27"/>
      <c r="J42" t="s">
        <v>12</v>
      </c>
      <c r="K42" t="s">
        <v>33</v>
      </c>
      <c r="N42" s="27" t="s">
        <v>13</v>
      </c>
      <c r="O42" s="27">
        <v>70</v>
      </c>
      <c r="P42" s="27"/>
      <c r="Q42" s="27"/>
      <c r="R42" t="s">
        <v>12</v>
      </c>
      <c r="S42">
        <v>0</v>
      </c>
      <c r="T42">
        <v>0</v>
      </c>
      <c r="V42" s="27" t="s">
        <v>12</v>
      </c>
      <c r="W42" s="27">
        <v>0</v>
      </c>
      <c r="X42" s="27">
        <v>0</v>
      </c>
      <c r="Y42" s="27"/>
      <c r="Z42" t="s">
        <v>12</v>
      </c>
      <c r="AA42">
        <v>0</v>
      </c>
      <c r="AB42">
        <v>0</v>
      </c>
      <c r="AC42">
        <v>0</v>
      </c>
      <c r="AE42" t="s">
        <v>134</v>
      </c>
      <c r="AG42" t="s">
        <v>25</v>
      </c>
      <c r="AI42" t="s">
        <v>167</v>
      </c>
      <c r="AJ42" t="s">
        <v>257</v>
      </c>
      <c r="AK42" t="str" cm="1">
        <f t="array" ref="AK42">_xlfn.IFS(AND(AH42="",AI42=""),"",AND(AH42&lt;&gt;"",AI42=""),AH42,AND(AH42&lt;&gt;"",AI42&lt;&gt;""),AH42&amp;" , "&amp;AJ42,AND(AH42="",AI42&lt;&gt;""),AJ42)</f>
        <v>Available Date 16 Januari 2024</v>
      </c>
    </row>
    <row r="43" spans="1:37" x14ac:dyDescent="0.25">
      <c r="A43" t="s">
        <v>301</v>
      </c>
      <c r="B43">
        <v>181595</v>
      </c>
      <c r="C43" t="s">
        <v>14</v>
      </c>
      <c r="D43" t="s">
        <v>9</v>
      </c>
      <c r="E43">
        <v>267379</v>
      </c>
      <c r="F43" s="27" t="s">
        <v>12</v>
      </c>
      <c r="G43" s="27" t="s">
        <v>70</v>
      </c>
      <c r="H43" s="27"/>
      <c r="I43" s="27"/>
      <c r="J43" t="s">
        <v>12</v>
      </c>
      <c r="K43" t="s">
        <v>33</v>
      </c>
      <c r="N43" s="27" t="s">
        <v>13</v>
      </c>
      <c r="O43" s="27">
        <v>70</v>
      </c>
      <c r="P43" s="27"/>
      <c r="Q43" s="27"/>
      <c r="R43" t="s">
        <v>12</v>
      </c>
      <c r="S43">
        <v>0</v>
      </c>
      <c r="T43">
        <v>0</v>
      </c>
      <c r="V43" s="27" t="s">
        <v>12</v>
      </c>
      <c r="W43" s="27">
        <v>0</v>
      </c>
      <c r="X43" s="27">
        <v>0</v>
      </c>
      <c r="Y43" s="27"/>
      <c r="Z43" t="s">
        <v>12</v>
      </c>
      <c r="AA43">
        <v>0</v>
      </c>
      <c r="AB43">
        <v>0</v>
      </c>
      <c r="AC43">
        <v>0</v>
      </c>
      <c r="AE43" t="s">
        <v>134</v>
      </c>
      <c r="AG43" t="s">
        <v>25</v>
      </c>
      <c r="AI43" t="s">
        <v>167</v>
      </c>
      <c r="AJ43" t="s">
        <v>257</v>
      </c>
      <c r="AK43" t="str" cm="1">
        <f t="array" ref="AK43">_xlfn.IFS(AND(AH43="",AI43=""),"",AND(AH43&lt;&gt;"",AI43=""),AH43,AND(AH43&lt;&gt;"",AI43&lt;&gt;""),AH43&amp;" , "&amp;AJ43,AND(AH43="",AI43&lt;&gt;""),AJ43)</f>
        <v>Available Date 16 Januari 2024</v>
      </c>
    </row>
    <row r="44" spans="1:37" x14ac:dyDescent="0.25">
      <c r="A44" t="s">
        <v>302</v>
      </c>
      <c r="B44">
        <v>181596</v>
      </c>
      <c r="C44" t="s">
        <v>14</v>
      </c>
      <c r="D44" t="s">
        <v>9</v>
      </c>
      <c r="E44">
        <v>295034</v>
      </c>
      <c r="F44" s="27" t="s">
        <v>12</v>
      </c>
      <c r="G44" s="27" t="s">
        <v>70</v>
      </c>
      <c r="H44" s="27"/>
      <c r="I44" s="27"/>
      <c r="J44" t="s">
        <v>12</v>
      </c>
      <c r="K44" t="s">
        <v>65</v>
      </c>
      <c r="N44" s="27" t="s">
        <v>13</v>
      </c>
      <c r="O44" s="27">
        <v>0</v>
      </c>
      <c r="P44" s="27"/>
      <c r="Q44" s="27"/>
      <c r="R44" t="s">
        <v>12</v>
      </c>
      <c r="S44">
        <v>0.378</v>
      </c>
      <c r="T44">
        <v>0</v>
      </c>
      <c r="V44" s="27" t="s">
        <v>12</v>
      </c>
      <c r="W44" s="27">
        <v>372</v>
      </c>
      <c r="X44" s="27">
        <v>0</v>
      </c>
      <c r="Y44" s="27"/>
      <c r="Z44" t="s">
        <v>12</v>
      </c>
      <c r="AA44">
        <v>0</v>
      </c>
      <c r="AB44">
        <v>0</v>
      </c>
      <c r="AC44">
        <v>0</v>
      </c>
      <c r="AE44" t="s">
        <v>134</v>
      </c>
      <c r="AG44" t="s">
        <v>25</v>
      </c>
      <c r="AI44" t="s">
        <v>169</v>
      </c>
      <c r="AJ44" t="s">
        <v>258</v>
      </c>
      <c r="AK44" t="str" cm="1">
        <f t="array" ref="AK44">_xlfn.IFS(AND(AH44="",AI44=""),"",AND(AH44&lt;&gt;"",AI44=""),AH44,AND(AH44&lt;&gt;"",AI44&lt;&gt;""),AH44&amp;" , "&amp;AJ44,AND(AH44="",AI44&lt;&gt;""),AJ44)</f>
        <v>Available Date 12 Januari 2024</v>
      </c>
    </row>
    <row r="45" spans="1:37" x14ac:dyDescent="0.25">
      <c r="A45" t="s">
        <v>303</v>
      </c>
      <c r="B45">
        <v>181597</v>
      </c>
      <c r="C45" t="s">
        <v>14</v>
      </c>
      <c r="D45" t="s">
        <v>9</v>
      </c>
      <c r="E45">
        <v>292731</v>
      </c>
      <c r="F45" s="27" t="s">
        <v>12</v>
      </c>
      <c r="G45" s="27" t="s">
        <v>70</v>
      </c>
      <c r="H45" s="27"/>
      <c r="I45" s="27"/>
      <c r="J45" t="s">
        <v>12</v>
      </c>
      <c r="K45" t="s">
        <v>65</v>
      </c>
      <c r="N45" s="27" t="s">
        <v>13</v>
      </c>
      <c r="O45" s="27">
        <v>58</v>
      </c>
      <c r="P45" s="27"/>
      <c r="Q45" s="27"/>
      <c r="R45" t="s">
        <v>12</v>
      </c>
      <c r="S45">
        <v>0.34399999999999997</v>
      </c>
      <c r="T45">
        <v>0</v>
      </c>
      <c r="V45" s="27" t="s">
        <v>12</v>
      </c>
      <c r="W45" s="27">
        <v>1935</v>
      </c>
      <c r="X45" s="27">
        <v>0</v>
      </c>
      <c r="Y45" s="27"/>
      <c r="Z45" t="s">
        <v>12</v>
      </c>
      <c r="AA45">
        <v>0</v>
      </c>
      <c r="AB45">
        <v>0</v>
      </c>
      <c r="AC45">
        <v>0</v>
      </c>
      <c r="AE45" t="s">
        <v>134</v>
      </c>
      <c r="AG45" t="s">
        <v>25</v>
      </c>
      <c r="AI45" t="s">
        <v>171</v>
      </c>
      <c r="AJ45" t="s">
        <v>259</v>
      </c>
      <c r="AK45" t="str" cm="1">
        <f t="array" ref="AK45">_xlfn.IFS(AND(AH45="",AI45=""),"",AND(AH45&lt;&gt;"",AI45=""),AH45,AND(AH45&lt;&gt;"",AI45&lt;&gt;""),AH45&amp;" , "&amp;AJ45,AND(AH45="",AI45&lt;&gt;""),AJ45)</f>
        <v>Available Date 08 Januari 2024</v>
      </c>
    </row>
    <row r="46" spans="1:37" x14ac:dyDescent="0.25">
      <c r="A46" t="s">
        <v>304</v>
      </c>
      <c r="B46">
        <v>181598</v>
      </c>
      <c r="C46" t="s">
        <v>14</v>
      </c>
      <c r="D46" t="s">
        <v>9</v>
      </c>
      <c r="E46">
        <v>292732</v>
      </c>
      <c r="F46" s="27" t="s">
        <v>12</v>
      </c>
      <c r="G46" s="27" t="s">
        <v>70</v>
      </c>
      <c r="H46" s="27"/>
      <c r="I46" s="27"/>
      <c r="J46" t="s">
        <v>12</v>
      </c>
      <c r="K46" t="s">
        <v>65</v>
      </c>
      <c r="N46" s="27" t="s">
        <v>13</v>
      </c>
      <c r="O46" s="27">
        <v>58</v>
      </c>
      <c r="P46" s="27"/>
      <c r="Q46" s="27"/>
      <c r="R46" t="s">
        <v>12</v>
      </c>
      <c r="S46">
        <v>0.34399999999999997</v>
      </c>
      <c r="T46">
        <v>0</v>
      </c>
      <c r="V46" s="27" t="s">
        <v>12</v>
      </c>
      <c r="W46" s="27">
        <v>1989</v>
      </c>
      <c r="X46" s="27">
        <v>0</v>
      </c>
      <c r="Y46" s="27"/>
      <c r="Z46" t="s">
        <v>12</v>
      </c>
      <c r="AA46">
        <v>0</v>
      </c>
      <c r="AB46">
        <v>0</v>
      </c>
      <c r="AC46">
        <v>0</v>
      </c>
      <c r="AE46" t="s">
        <v>134</v>
      </c>
      <c r="AG46" t="s">
        <v>25</v>
      </c>
      <c r="AI46" t="s">
        <v>171</v>
      </c>
      <c r="AJ46" t="s">
        <v>259</v>
      </c>
      <c r="AK46" t="str" cm="1">
        <f t="array" ref="AK46">_xlfn.IFS(AND(AH46="",AI46=""),"",AND(AH46&lt;&gt;"",AI46=""),AH46,AND(AH46&lt;&gt;"",AI46&lt;&gt;""),AH46&amp;" , "&amp;AJ46,AND(AH46="",AI46&lt;&gt;""),AJ46)</f>
        <v>Available Date 08 Januari 2024</v>
      </c>
    </row>
    <row r="47" spans="1:37" x14ac:dyDescent="0.25">
      <c r="A47" t="s">
        <v>305</v>
      </c>
      <c r="B47">
        <v>181599</v>
      </c>
      <c r="C47" t="s">
        <v>14</v>
      </c>
      <c r="D47" t="s">
        <v>9</v>
      </c>
      <c r="E47">
        <v>292733</v>
      </c>
      <c r="F47" s="27" t="s">
        <v>12</v>
      </c>
      <c r="G47" s="27" t="s">
        <v>70</v>
      </c>
      <c r="H47" s="27"/>
      <c r="I47" s="27"/>
      <c r="J47" t="s">
        <v>12</v>
      </c>
      <c r="K47" t="s">
        <v>38</v>
      </c>
      <c r="N47" s="27" t="s">
        <v>13</v>
      </c>
      <c r="O47" s="27">
        <v>58</v>
      </c>
      <c r="P47" s="27"/>
      <c r="Q47" s="27"/>
      <c r="R47" t="s">
        <v>12</v>
      </c>
      <c r="S47">
        <v>0.34399999999999997</v>
      </c>
      <c r="T47">
        <v>0</v>
      </c>
      <c r="V47" s="27" t="s">
        <v>12</v>
      </c>
      <c r="W47" s="27">
        <v>1918</v>
      </c>
      <c r="X47" s="27">
        <v>0</v>
      </c>
      <c r="Y47" s="27"/>
      <c r="Z47" t="s">
        <v>12</v>
      </c>
      <c r="AA47">
        <v>0</v>
      </c>
      <c r="AB47">
        <v>0</v>
      </c>
      <c r="AC47">
        <v>0</v>
      </c>
      <c r="AE47" t="s">
        <v>134</v>
      </c>
      <c r="AG47" t="s">
        <v>25</v>
      </c>
      <c r="AI47" t="s">
        <v>171</v>
      </c>
      <c r="AJ47" t="s">
        <v>259</v>
      </c>
      <c r="AK47" t="str" cm="1">
        <f t="array" ref="AK47">_xlfn.IFS(AND(AH47="",AI47=""),"",AND(AH47&lt;&gt;"",AI47=""),AH47,AND(AH47&lt;&gt;"",AI47&lt;&gt;""),AH47&amp;" , "&amp;AJ47,AND(AH47="",AI47&lt;&gt;""),AJ47)</f>
        <v>Available Date 08 Januari 2024</v>
      </c>
    </row>
    <row r="48" spans="1:37" x14ac:dyDescent="0.25">
      <c r="A48" t="s">
        <v>306</v>
      </c>
      <c r="B48">
        <v>181600</v>
      </c>
      <c r="C48" t="s">
        <v>14</v>
      </c>
      <c r="D48" t="s">
        <v>9</v>
      </c>
      <c r="E48">
        <v>292734</v>
      </c>
      <c r="F48" s="27" t="s">
        <v>12</v>
      </c>
      <c r="G48" s="27" t="s">
        <v>70</v>
      </c>
      <c r="H48" s="27"/>
      <c r="I48" s="27"/>
      <c r="J48" t="s">
        <v>12</v>
      </c>
      <c r="K48" t="s">
        <v>38</v>
      </c>
      <c r="N48" s="27" t="s">
        <v>13</v>
      </c>
      <c r="O48" s="27">
        <v>58</v>
      </c>
      <c r="P48" s="27"/>
      <c r="Q48" s="27"/>
      <c r="R48" t="s">
        <v>12</v>
      </c>
      <c r="S48">
        <v>0.34399999999999997</v>
      </c>
      <c r="T48">
        <v>0</v>
      </c>
      <c r="V48" s="27" t="s">
        <v>12</v>
      </c>
      <c r="W48" s="27">
        <v>1930</v>
      </c>
      <c r="X48" s="27">
        <v>0</v>
      </c>
      <c r="Y48" s="27"/>
      <c r="Z48" t="s">
        <v>12</v>
      </c>
      <c r="AA48">
        <v>0</v>
      </c>
      <c r="AB48">
        <v>0</v>
      </c>
      <c r="AC48">
        <v>0</v>
      </c>
      <c r="AE48" t="s">
        <v>134</v>
      </c>
      <c r="AG48" t="s">
        <v>25</v>
      </c>
      <c r="AI48" t="s">
        <v>171</v>
      </c>
      <c r="AJ48" t="s">
        <v>259</v>
      </c>
      <c r="AK48" t="str" cm="1">
        <f t="array" ref="AK48">_xlfn.IFS(AND(AH48="",AI48=""),"",AND(AH48&lt;&gt;"",AI48=""),AH48,AND(AH48&lt;&gt;"",AI48&lt;&gt;""),AH48&amp;" , "&amp;AJ48,AND(AH48="",AI48&lt;&gt;""),AJ48)</f>
        <v>Available Date 08 Januari 2024</v>
      </c>
    </row>
    <row r="49" spans="1:37" x14ac:dyDescent="0.25">
      <c r="A49" t="s">
        <v>307</v>
      </c>
      <c r="B49">
        <v>181602</v>
      </c>
      <c r="C49" t="s">
        <v>14</v>
      </c>
      <c r="D49" t="s">
        <v>11</v>
      </c>
      <c r="E49">
        <v>292581</v>
      </c>
      <c r="F49" s="27" t="s">
        <v>10</v>
      </c>
      <c r="G49" s="27" t="s">
        <v>70</v>
      </c>
      <c r="H49" s="27"/>
      <c r="I49" s="27"/>
      <c r="J49" t="s">
        <v>10</v>
      </c>
      <c r="K49" t="s">
        <v>45</v>
      </c>
      <c r="N49" s="27" t="s">
        <v>13</v>
      </c>
      <c r="O49" s="27">
        <v>58</v>
      </c>
      <c r="P49" s="27"/>
      <c r="Q49" s="27"/>
      <c r="R49" t="s">
        <v>10</v>
      </c>
      <c r="S49">
        <v>0.371</v>
      </c>
      <c r="T49">
        <v>0</v>
      </c>
      <c r="V49" s="27" t="s">
        <v>10</v>
      </c>
      <c r="W49" s="27">
        <v>1567</v>
      </c>
      <c r="X49" s="27">
        <v>0</v>
      </c>
      <c r="Y49" s="27"/>
      <c r="Z49" t="s">
        <v>10</v>
      </c>
      <c r="AA49">
        <v>0</v>
      </c>
      <c r="AB49">
        <v>0</v>
      </c>
      <c r="AC49">
        <v>0</v>
      </c>
      <c r="AE49" t="s">
        <v>134</v>
      </c>
      <c r="AG49" t="s">
        <v>25</v>
      </c>
      <c r="AI49" t="s">
        <v>176</v>
      </c>
      <c r="AJ49" t="s">
        <v>260</v>
      </c>
      <c r="AK49" t="str" cm="1">
        <f t="array" ref="AK49">_xlfn.IFS(AND(AH49="",AI49=""),"",AND(AH49&lt;&gt;"",AI49=""),AH49,AND(AH49&lt;&gt;"",AI49&lt;&gt;""),AH49&amp;" , "&amp;AJ49,AND(AH49="",AI49&lt;&gt;""),AJ49)</f>
        <v>Available Date 13 Januari 2024</v>
      </c>
    </row>
    <row r="50" spans="1:37" x14ac:dyDescent="0.25">
      <c r="A50" t="s">
        <v>308</v>
      </c>
      <c r="B50">
        <v>181602</v>
      </c>
      <c r="C50" t="s">
        <v>14</v>
      </c>
      <c r="D50" t="s">
        <v>11</v>
      </c>
      <c r="E50">
        <v>292582</v>
      </c>
      <c r="F50" s="27" t="s">
        <v>10</v>
      </c>
      <c r="G50" s="27" t="s">
        <v>70</v>
      </c>
      <c r="H50" s="27"/>
      <c r="I50" s="27"/>
      <c r="J50" t="s">
        <v>10</v>
      </c>
      <c r="K50" t="s">
        <v>45</v>
      </c>
      <c r="N50" s="27" t="s">
        <v>13</v>
      </c>
      <c r="O50" s="27">
        <v>58</v>
      </c>
      <c r="P50" s="27"/>
      <c r="Q50" s="27"/>
      <c r="R50" t="s">
        <v>10</v>
      </c>
      <c r="S50">
        <v>0.371</v>
      </c>
      <c r="T50">
        <v>0</v>
      </c>
      <c r="V50" s="27" t="s">
        <v>10</v>
      </c>
      <c r="W50" s="27">
        <v>1564</v>
      </c>
      <c r="X50" s="27">
        <v>0</v>
      </c>
      <c r="Y50" s="27"/>
      <c r="Z50" t="s">
        <v>10</v>
      </c>
      <c r="AA50">
        <v>0</v>
      </c>
      <c r="AB50">
        <v>0</v>
      </c>
      <c r="AC50">
        <v>0</v>
      </c>
      <c r="AE50" t="s">
        <v>134</v>
      </c>
      <c r="AG50" t="s">
        <v>25</v>
      </c>
      <c r="AI50" t="s">
        <v>176</v>
      </c>
      <c r="AJ50" t="s">
        <v>260</v>
      </c>
      <c r="AK50" t="str" cm="1">
        <f t="array" ref="AK50">_xlfn.IFS(AND(AH50="",AI50=""),"",AND(AH50&lt;&gt;"",AI50=""),AH50,AND(AH50&lt;&gt;"",AI50&lt;&gt;""),AH50&amp;" , "&amp;AJ50,AND(AH50="",AI50&lt;&gt;""),AJ50)</f>
        <v>Available Date 13 Januari 2024</v>
      </c>
    </row>
    <row r="51" spans="1:37" x14ac:dyDescent="0.25">
      <c r="A51" t="s">
        <v>309</v>
      </c>
      <c r="B51">
        <v>181602</v>
      </c>
      <c r="C51" t="s">
        <v>14</v>
      </c>
      <c r="D51" t="s">
        <v>11</v>
      </c>
      <c r="E51">
        <v>292578</v>
      </c>
      <c r="F51" s="27" t="s">
        <v>10</v>
      </c>
      <c r="G51" s="27" t="s">
        <v>70</v>
      </c>
      <c r="H51" s="27"/>
      <c r="I51" s="27"/>
      <c r="J51" t="s">
        <v>10</v>
      </c>
      <c r="K51" t="s">
        <v>45</v>
      </c>
      <c r="N51" s="27" t="s">
        <v>13</v>
      </c>
      <c r="O51" s="27">
        <v>58</v>
      </c>
      <c r="P51" s="27"/>
      <c r="Q51" s="27"/>
      <c r="R51" t="s">
        <v>10</v>
      </c>
      <c r="S51">
        <v>0.371</v>
      </c>
      <c r="T51">
        <v>0</v>
      </c>
      <c r="V51" s="27" t="s">
        <v>10</v>
      </c>
      <c r="W51" s="27">
        <v>1555</v>
      </c>
      <c r="X51" s="27">
        <v>0</v>
      </c>
      <c r="Y51" s="27"/>
      <c r="Z51" t="s">
        <v>10</v>
      </c>
      <c r="AA51">
        <v>0</v>
      </c>
      <c r="AB51">
        <v>0</v>
      </c>
      <c r="AC51">
        <v>0</v>
      </c>
      <c r="AE51" t="s">
        <v>134</v>
      </c>
      <c r="AG51" t="s">
        <v>25</v>
      </c>
      <c r="AI51" t="s">
        <v>176</v>
      </c>
      <c r="AJ51" t="s">
        <v>260</v>
      </c>
      <c r="AK51" t="str" cm="1">
        <f t="array" ref="AK51">_xlfn.IFS(AND(AH51="",AI51=""),"",AND(AH51&lt;&gt;"",AI51=""),AH51,AND(AH51&lt;&gt;"",AI51&lt;&gt;""),AH51&amp;" , "&amp;AJ51,AND(AH51="",AI51&lt;&gt;""),AJ51)</f>
        <v>Available Date 13 Januari 2024</v>
      </c>
    </row>
    <row r="52" spans="1:37" x14ac:dyDescent="0.25">
      <c r="A52" t="s">
        <v>310</v>
      </c>
      <c r="B52">
        <v>181603</v>
      </c>
      <c r="C52" t="s">
        <v>14</v>
      </c>
      <c r="D52" t="s">
        <v>11</v>
      </c>
      <c r="E52">
        <v>292581</v>
      </c>
      <c r="F52" s="27" t="s">
        <v>10</v>
      </c>
      <c r="G52" s="27" t="s">
        <v>70</v>
      </c>
      <c r="H52" s="27"/>
      <c r="I52" s="27"/>
      <c r="J52" t="s">
        <v>10</v>
      </c>
      <c r="K52" t="s">
        <v>45</v>
      </c>
      <c r="N52" s="27" t="s">
        <v>13</v>
      </c>
      <c r="O52" s="27">
        <v>58</v>
      </c>
      <c r="P52" s="27"/>
      <c r="Q52" s="27"/>
      <c r="R52" t="s">
        <v>10</v>
      </c>
      <c r="S52">
        <v>0.439</v>
      </c>
      <c r="T52">
        <v>0</v>
      </c>
      <c r="V52" s="27" t="s">
        <v>10</v>
      </c>
      <c r="W52" s="27">
        <v>364</v>
      </c>
      <c r="X52" s="27">
        <v>0</v>
      </c>
      <c r="Y52" s="27"/>
      <c r="Z52" t="s">
        <v>10</v>
      </c>
      <c r="AA52">
        <v>0</v>
      </c>
      <c r="AB52">
        <v>0</v>
      </c>
      <c r="AC52">
        <v>0</v>
      </c>
      <c r="AE52" t="s">
        <v>134</v>
      </c>
      <c r="AG52" t="s">
        <v>25</v>
      </c>
      <c r="AJ52" t="s">
        <v>95</v>
      </c>
      <c r="AK52" t="str" cm="1">
        <f t="array" ref="AK52">_xlfn.IFS(AND(AH52="",AI52=""),"",AND(AH52&lt;&gt;"",AI52=""),AH52,AND(AH52&lt;&gt;"",AI52&lt;&gt;""),AH52&amp;" , "&amp;AJ52,AND(AH52="",AI52&lt;&gt;""),AJ52)</f>
        <v/>
      </c>
    </row>
    <row r="53" spans="1:37" x14ac:dyDescent="0.25">
      <c r="A53" t="s">
        <v>311</v>
      </c>
      <c r="B53">
        <v>181603</v>
      </c>
      <c r="C53" t="s">
        <v>14</v>
      </c>
      <c r="D53" t="s">
        <v>11</v>
      </c>
      <c r="E53">
        <v>292582</v>
      </c>
      <c r="F53" s="27" t="s">
        <v>10</v>
      </c>
      <c r="G53" s="27" t="s">
        <v>70</v>
      </c>
      <c r="H53" s="27"/>
      <c r="I53" s="27"/>
      <c r="J53" t="s">
        <v>10</v>
      </c>
      <c r="K53" t="s">
        <v>45</v>
      </c>
      <c r="N53" s="27" t="s">
        <v>13</v>
      </c>
      <c r="O53" s="27">
        <v>58</v>
      </c>
      <c r="P53" s="27"/>
      <c r="Q53" s="27"/>
      <c r="R53" t="s">
        <v>10</v>
      </c>
      <c r="S53">
        <v>0.439</v>
      </c>
      <c r="T53">
        <v>0</v>
      </c>
      <c r="V53" s="27" t="s">
        <v>10</v>
      </c>
      <c r="W53" s="27">
        <v>364</v>
      </c>
      <c r="X53" s="27">
        <v>0</v>
      </c>
      <c r="Y53" s="27"/>
      <c r="Z53" t="s">
        <v>10</v>
      </c>
      <c r="AA53">
        <v>0</v>
      </c>
      <c r="AB53">
        <v>0</v>
      </c>
      <c r="AC53">
        <v>0</v>
      </c>
      <c r="AE53" t="s">
        <v>134</v>
      </c>
      <c r="AG53" t="s">
        <v>25</v>
      </c>
      <c r="AJ53" t="s">
        <v>95</v>
      </c>
      <c r="AK53" t="str" cm="1">
        <f t="array" ref="AK53">_xlfn.IFS(AND(AH53="",AI53=""),"",AND(AH53&lt;&gt;"",AI53=""),AH53,AND(AH53&lt;&gt;"",AI53&lt;&gt;""),AH53&amp;" , "&amp;AJ53,AND(AH53="",AI53&lt;&gt;""),AJ53)</f>
        <v/>
      </c>
    </row>
    <row r="54" spans="1:37" x14ac:dyDescent="0.25">
      <c r="A54" t="s">
        <v>312</v>
      </c>
      <c r="B54">
        <v>181603</v>
      </c>
      <c r="C54" t="s">
        <v>14</v>
      </c>
      <c r="D54" t="s">
        <v>11</v>
      </c>
      <c r="E54">
        <v>292578</v>
      </c>
      <c r="F54" s="27" t="s">
        <v>10</v>
      </c>
      <c r="G54" s="27" t="s">
        <v>70</v>
      </c>
      <c r="H54" s="27"/>
      <c r="I54" s="27"/>
      <c r="J54" t="s">
        <v>10</v>
      </c>
      <c r="K54" t="s">
        <v>45</v>
      </c>
      <c r="N54" s="27" t="s">
        <v>13</v>
      </c>
      <c r="O54" s="27">
        <v>58</v>
      </c>
      <c r="P54" s="27"/>
      <c r="Q54" s="27"/>
      <c r="R54" t="s">
        <v>10</v>
      </c>
      <c r="S54">
        <v>0.439</v>
      </c>
      <c r="T54">
        <v>0</v>
      </c>
      <c r="V54" s="27" t="s">
        <v>10</v>
      </c>
      <c r="W54" s="27">
        <v>362</v>
      </c>
      <c r="X54" s="27">
        <v>0</v>
      </c>
      <c r="Y54" s="27"/>
      <c r="Z54" t="s">
        <v>10</v>
      </c>
      <c r="AA54">
        <v>0</v>
      </c>
      <c r="AB54">
        <v>0</v>
      </c>
      <c r="AC54">
        <v>0</v>
      </c>
      <c r="AE54" t="s">
        <v>134</v>
      </c>
      <c r="AG54" t="s">
        <v>25</v>
      </c>
      <c r="AJ54" t="s">
        <v>95</v>
      </c>
      <c r="AK54" t="str" cm="1">
        <f t="array" ref="AK54">_xlfn.IFS(AND(AH54="",AI54=""),"",AND(AH54&lt;&gt;"",AI54=""),AH54,AND(AH54&lt;&gt;"",AI54&lt;&gt;""),AH54&amp;" , "&amp;AJ54,AND(AH54="",AI54&lt;&gt;""),AJ54)</f>
        <v/>
      </c>
    </row>
    <row r="55" spans="1:37" x14ac:dyDescent="0.25">
      <c r="A55" t="s">
        <v>313</v>
      </c>
      <c r="B55">
        <v>181604</v>
      </c>
      <c r="C55" t="s">
        <v>14</v>
      </c>
      <c r="D55" t="s">
        <v>11</v>
      </c>
      <c r="E55">
        <v>292578</v>
      </c>
      <c r="F55" s="27" t="s">
        <v>10</v>
      </c>
      <c r="G55" s="27" t="s">
        <v>70</v>
      </c>
      <c r="H55" s="27"/>
      <c r="I55" s="27"/>
      <c r="J55" t="s">
        <v>10</v>
      </c>
      <c r="K55" t="s">
        <v>45</v>
      </c>
      <c r="N55" s="27" t="s">
        <v>13</v>
      </c>
      <c r="O55" s="27">
        <v>58</v>
      </c>
      <c r="P55" s="27"/>
      <c r="Q55" s="27"/>
      <c r="R55" t="s">
        <v>10</v>
      </c>
      <c r="S55">
        <v>0.36799999999999999</v>
      </c>
      <c r="T55">
        <v>0</v>
      </c>
      <c r="V55" s="27" t="s">
        <v>10</v>
      </c>
      <c r="W55" s="27">
        <v>2037</v>
      </c>
      <c r="X55" s="27">
        <v>0</v>
      </c>
      <c r="Y55" s="27"/>
      <c r="Z55" t="s">
        <v>10</v>
      </c>
      <c r="AA55">
        <v>0</v>
      </c>
      <c r="AB55">
        <v>0</v>
      </c>
      <c r="AC55">
        <v>0</v>
      </c>
      <c r="AE55" t="s">
        <v>134</v>
      </c>
      <c r="AG55" t="s">
        <v>25</v>
      </c>
      <c r="AI55" t="s">
        <v>176</v>
      </c>
      <c r="AJ55" t="s">
        <v>260</v>
      </c>
      <c r="AK55" t="str" cm="1">
        <f t="array" ref="AK55">_xlfn.IFS(AND(AH55="",AI55=""),"",AND(AH55&lt;&gt;"",AI55=""),AH55,AND(AH55&lt;&gt;"",AI55&lt;&gt;""),AH55&amp;" , "&amp;AJ55,AND(AH55="",AI55&lt;&gt;""),AJ55)</f>
        <v>Available Date 13 Januari 2024</v>
      </c>
    </row>
    <row r="56" spans="1:37" x14ac:dyDescent="0.25">
      <c r="A56" t="s">
        <v>314</v>
      </c>
      <c r="B56">
        <v>181604</v>
      </c>
      <c r="C56" t="s">
        <v>14</v>
      </c>
      <c r="D56" t="s">
        <v>11</v>
      </c>
      <c r="E56">
        <v>292582</v>
      </c>
      <c r="F56" s="27" t="s">
        <v>10</v>
      </c>
      <c r="G56" s="27" t="s">
        <v>70</v>
      </c>
      <c r="H56" s="27"/>
      <c r="I56" s="27"/>
      <c r="J56" t="s">
        <v>10</v>
      </c>
      <c r="K56" t="s">
        <v>45</v>
      </c>
      <c r="N56" s="27" t="s">
        <v>13</v>
      </c>
      <c r="O56" s="27">
        <v>58</v>
      </c>
      <c r="P56" s="27"/>
      <c r="Q56" s="27"/>
      <c r="R56" t="s">
        <v>10</v>
      </c>
      <c r="S56">
        <v>0.36799999999999999</v>
      </c>
      <c r="T56">
        <v>0</v>
      </c>
      <c r="V56" s="27" t="s">
        <v>10</v>
      </c>
      <c r="W56" s="27">
        <v>2027</v>
      </c>
      <c r="X56" s="27">
        <v>0</v>
      </c>
      <c r="Y56" s="27"/>
      <c r="Z56" t="s">
        <v>10</v>
      </c>
      <c r="AA56">
        <v>0</v>
      </c>
      <c r="AB56">
        <v>0</v>
      </c>
      <c r="AC56">
        <v>0</v>
      </c>
      <c r="AE56" t="s">
        <v>134</v>
      </c>
      <c r="AG56" t="s">
        <v>25</v>
      </c>
      <c r="AI56" t="s">
        <v>176</v>
      </c>
      <c r="AJ56" t="s">
        <v>260</v>
      </c>
      <c r="AK56" t="str" cm="1">
        <f t="array" ref="AK56">_xlfn.IFS(AND(AH56="",AI56=""),"",AND(AH56&lt;&gt;"",AI56=""),AH56,AND(AH56&lt;&gt;"",AI56&lt;&gt;""),AH56&amp;" , "&amp;AJ56,AND(AH56="",AI56&lt;&gt;""),AJ56)</f>
        <v>Available Date 13 Januari 2024</v>
      </c>
    </row>
    <row r="57" spans="1:37" x14ac:dyDescent="0.25">
      <c r="A57" t="s">
        <v>315</v>
      </c>
      <c r="B57">
        <v>181605</v>
      </c>
      <c r="C57" t="s">
        <v>14</v>
      </c>
      <c r="D57" t="s">
        <v>11</v>
      </c>
      <c r="E57">
        <v>292578</v>
      </c>
      <c r="F57" s="27" t="s">
        <v>10</v>
      </c>
      <c r="G57" s="27" t="s">
        <v>70</v>
      </c>
      <c r="H57" s="27"/>
      <c r="I57" s="27"/>
      <c r="J57" t="s">
        <v>10</v>
      </c>
      <c r="K57" t="s">
        <v>39</v>
      </c>
      <c r="N57" s="27" t="s">
        <v>13</v>
      </c>
      <c r="O57" s="27">
        <v>58</v>
      </c>
      <c r="P57" s="27"/>
      <c r="Q57" s="27"/>
      <c r="R57" t="s">
        <v>10</v>
      </c>
      <c r="S57">
        <v>0.438</v>
      </c>
      <c r="T57">
        <v>0</v>
      </c>
      <c r="V57" s="27" t="s">
        <v>10</v>
      </c>
      <c r="W57" s="27">
        <v>370</v>
      </c>
      <c r="X57" s="27">
        <v>0</v>
      </c>
      <c r="Y57" s="27"/>
      <c r="Z57" t="s">
        <v>10</v>
      </c>
      <c r="AA57">
        <v>0</v>
      </c>
      <c r="AB57">
        <v>0</v>
      </c>
      <c r="AC57">
        <v>0</v>
      </c>
      <c r="AE57" t="s">
        <v>134</v>
      </c>
      <c r="AG57" t="s">
        <v>25</v>
      </c>
      <c r="AI57" t="s">
        <v>176</v>
      </c>
      <c r="AJ57" t="s">
        <v>260</v>
      </c>
      <c r="AK57" t="str" cm="1">
        <f t="array" ref="AK57">_xlfn.IFS(AND(AH57="",AI57=""),"",AND(AH57&lt;&gt;"",AI57=""),AH57,AND(AH57&lt;&gt;"",AI57&lt;&gt;""),AH57&amp;" , "&amp;AJ57,AND(AH57="",AI57&lt;&gt;""),AJ57)</f>
        <v>Available Date 13 Januari 2024</v>
      </c>
    </row>
    <row r="58" spans="1:37" x14ac:dyDescent="0.25">
      <c r="A58" t="s">
        <v>316</v>
      </c>
      <c r="B58">
        <v>181605</v>
      </c>
      <c r="C58" t="s">
        <v>14</v>
      </c>
      <c r="D58" t="s">
        <v>11</v>
      </c>
      <c r="E58">
        <v>292582</v>
      </c>
      <c r="F58" s="27" t="s">
        <v>10</v>
      </c>
      <c r="G58" s="27" t="s">
        <v>70</v>
      </c>
      <c r="H58" s="27"/>
      <c r="I58" s="27"/>
      <c r="J58" t="s">
        <v>10</v>
      </c>
      <c r="K58" t="s">
        <v>39</v>
      </c>
      <c r="N58" s="27" t="s">
        <v>13</v>
      </c>
      <c r="O58" s="27">
        <v>58</v>
      </c>
      <c r="P58" s="27"/>
      <c r="Q58" s="27"/>
      <c r="R58" t="s">
        <v>10</v>
      </c>
      <c r="S58">
        <v>0.438</v>
      </c>
      <c r="T58">
        <v>0</v>
      </c>
      <c r="V58" s="27" t="s">
        <v>10</v>
      </c>
      <c r="W58" s="27">
        <v>370</v>
      </c>
      <c r="X58" s="27">
        <v>0</v>
      </c>
      <c r="Y58" s="27"/>
      <c r="Z58" t="s">
        <v>10</v>
      </c>
      <c r="AA58">
        <v>0</v>
      </c>
      <c r="AB58">
        <v>0</v>
      </c>
      <c r="AC58">
        <v>0</v>
      </c>
      <c r="AE58" t="s">
        <v>134</v>
      </c>
      <c r="AG58" t="s">
        <v>25</v>
      </c>
      <c r="AI58" t="s">
        <v>176</v>
      </c>
      <c r="AJ58" t="s">
        <v>260</v>
      </c>
      <c r="AK58" t="str" cm="1">
        <f t="array" ref="AK58">_xlfn.IFS(AND(AH58="",AI58=""),"",AND(AH58&lt;&gt;"",AI58=""),AH58,AND(AH58&lt;&gt;"",AI58&lt;&gt;""),AH58&amp;" , "&amp;AJ58,AND(AH58="",AI58&lt;&gt;""),AJ58)</f>
        <v>Available Date 13 Januari 2024</v>
      </c>
    </row>
    <row r="59" spans="1:37" x14ac:dyDescent="0.25">
      <c r="A59" t="s">
        <v>317</v>
      </c>
      <c r="B59">
        <v>181606</v>
      </c>
      <c r="C59" t="s">
        <v>14</v>
      </c>
      <c r="D59" t="s">
        <v>11</v>
      </c>
      <c r="E59">
        <v>292585</v>
      </c>
      <c r="F59" s="27" t="s">
        <v>10</v>
      </c>
      <c r="G59" s="27" t="s">
        <v>70</v>
      </c>
      <c r="H59" s="27"/>
      <c r="I59" s="27"/>
      <c r="J59" t="s">
        <v>10</v>
      </c>
      <c r="K59" t="s">
        <v>42</v>
      </c>
      <c r="N59" s="27" t="s">
        <v>13</v>
      </c>
      <c r="O59" s="27">
        <v>58</v>
      </c>
      <c r="P59" s="27"/>
      <c r="Q59" s="27"/>
      <c r="R59" t="s">
        <v>10</v>
      </c>
      <c r="S59">
        <v>0.36099999999999999</v>
      </c>
      <c r="T59">
        <v>0</v>
      </c>
      <c r="V59" s="27" t="s">
        <v>10</v>
      </c>
      <c r="W59" s="27">
        <v>2418</v>
      </c>
      <c r="X59" s="27">
        <v>0</v>
      </c>
      <c r="Y59" s="27"/>
      <c r="Z59" t="s">
        <v>10</v>
      </c>
      <c r="AA59">
        <v>0</v>
      </c>
      <c r="AB59">
        <v>0</v>
      </c>
      <c r="AC59">
        <v>0</v>
      </c>
      <c r="AE59" t="s">
        <v>134</v>
      </c>
      <c r="AG59" t="s">
        <v>25</v>
      </c>
      <c r="AI59" t="s">
        <v>176</v>
      </c>
      <c r="AJ59" t="s">
        <v>260</v>
      </c>
      <c r="AK59" t="str" cm="1">
        <f t="array" ref="AK59">_xlfn.IFS(AND(AH59="",AI59=""),"",AND(AH59&lt;&gt;"",AI59=""),AH59,AND(AH59&lt;&gt;"",AI59&lt;&gt;""),AH59&amp;" , "&amp;AJ59,AND(AH59="",AI59&lt;&gt;""),AJ59)</f>
        <v>Available Date 13 Januari 2024</v>
      </c>
    </row>
    <row r="60" spans="1:37" x14ac:dyDescent="0.25">
      <c r="A60" t="s">
        <v>318</v>
      </c>
      <c r="B60">
        <v>181606</v>
      </c>
      <c r="C60" t="s">
        <v>14</v>
      </c>
      <c r="D60" t="s">
        <v>11</v>
      </c>
      <c r="E60">
        <v>292578</v>
      </c>
      <c r="F60" s="27" t="s">
        <v>10</v>
      </c>
      <c r="G60" s="27" t="s">
        <v>70</v>
      </c>
      <c r="H60" s="27"/>
      <c r="I60" s="27"/>
      <c r="J60" t="s">
        <v>10</v>
      </c>
      <c r="K60" t="s">
        <v>42</v>
      </c>
      <c r="N60" s="27" t="s">
        <v>13</v>
      </c>
      <c r="O60" s="27">
        <v>58</v>
      </c>
      <c r="P60" s="27"/>
      <c r="Q60" s="27"/>
      <c r="R60" t="s">
        <v>10</v>
      </c>
      <c r="S60">
        <v>0.36099999999999999</v>
      </c>
      <c r="T60">
        <v>0</v>
      </c>
      <c r="V60" s="27" t="s">
        <v>10</v>
      </c>
      <c r="W60" s="27">
        <v>2407</v>
      </c>
      <c r="X60" s="27">
        <v>0</v>
      </c>
      <c r="Y60" s="27"/>
      <c r="Z60" t="s">
        <v>10</v>
      </c>
      <c r="AA60">
        <v>0</v>
      </c>
      <c r="AB60">
        <v>0</v>
      </c>
      <c r="AC60">
        <v>0</v>
      </c>
      <c r="AE60" t="s">
        <v>134</v>
      </c>
      <c r="AG60" t="s">
        <v>25</v>
      </c>
      <c r="AI60" t="s">
        <v>176</v>
      </c>
      <c r="AJ60" t="s">
        <v>260</v>
      </c>
      <c r="AK60" t="str" cm="1">
        <f t="array" ref="AK60">_xlfn.IFS(AND(AH60="",AI60=""),"",AND(AH60&lt;&gt;"",AI60=""),AH60,AND(AH60&lt;&gt;"",AI60&lt;&gt;""),AH60&amp;" , "&amp;AJ60,AND(AH60="",AI60&lt;&gt;""),AJ60)</f>
        <v>Available Date 13 Januari 2024</v>
      </c>
    </row>
    <row r="61" spans="1:37" x14ac:dyDescent="0.25">
      <c r="A61" t="s">
        <v>319</v>
      </c>
      <c r="B61">
        <v>181606</v>
      </c>
      <c r="C61" t="s">
        <v>14</v>
      </c>
      <c r="D61" t="s">
        <v>11</v>
      </c>
      <c r="E61">
        <v>292582</v>
      </c>
      <c r="F61" s="27" t="s">
        <v>10</v>
      </c>
      <c r="G61" s="27" t="s">
        <v>70</v>
      </c>
      <c r="H61" s="27"/>
      <c r="I61" s="27"/>
      <c r="J61" t="s">
        <v>10</v>
      </c>
      <c r="K61" t="s">
        <v>42</v>
      </c>
      <c r="N61" s="27" t="s">
        <v>13</v>
      </c>
      <c r="O61" s="27">
        <v>58</v>
      </c>
      <c r="P61" s="27"/>
      <c r="Q61" s="27"/>
      <c r="R61" t="s">
        <v>10</v>
      </c>
      <c r="S61">
        <v>0.36099999999999999</v>
      </c>
      <c r="T61">
        <v>0</v>
      </c>
      <c r="V61" s="27" t="s">
        <v>10</v>
      </c>
      <c r="W61" s="27">
        <v>2396</v>
      </c>
      <c r="X61" s="27">
        <v>0</v>
      </c>
      <c r="Y61" s="27"/>
      <c r="Z61" t="s">
        <v>10</v>
      </c>
      <c r="AA61">
        <v>0</v>
      </c>
      <c r="AB61">
        <v>0</v>
      </c>
      <c r="AC61">
        <v>0</v>
      </c>
      <c r="AE61" t="s">
        <v>134</v>
      </c>
      <c r="AG61" t="s">
        <v>25</v>
      </c>
      <c r="AI61" t="s">
        <v>176</v>
      </c>
      <c r="AJ61" t="s">
        <v>260</v>
      </c>
      <c r="AK61" t="str" cm="1">
        <f t="array" ref="AK61">_xlfn.IFS(AND(AH61="",AI61=""),"",AND(AH61&lt;&gt;"",AI61=""),AH61,AND(AH61&lt;&gt;"",AI61&lt;&gt;""),AH61&amp;" , "&amp;AJ61,AND(AH61="",AI61&lt;&gt;""),AJ61)</f>
        <v>Available Date 13 Januari 2024</v>
      </c>
    </row>
    <row r="62" spans="1:37" x14ac:dyDescent="0.25">
      <c r="A62" t="s">
        <v>320</v>
      </c>
      <c r="B62">
        <v>181607</v>
      </c>
      <c r="C62" t="s">
        <v>14</v>
      </c>
      <c r="D62" t="s">
        <v>11</v>
      </c>
      <c r="E62">
        <v>292578</v>
      </c>
      <c r="F62" s="27" t="s">
        <v>10</v>
      </c>
      <c r="G62" s="27" t="s">
        <v>70</v>
      </c>
      <c r="H62" s="27"/>
      <c r="I62" s="27"/>
      <c r="J62" t="s">
        <v>10</v>
      </c>
      <c r="K62" t="s">
        <v>39</v>
      </c>
      <c r="N62" s="27" t="s">
        <v>13</v>
      </c>
      <c r="O62" s="27">
        <v>58</v>
      </c>
      <c r="P62" s="27"/>
      <c r="Q62" s="27"/>
      <c r="R62" t="s">
        <v>10</v>
      </c>
      <c r="S62">
        <v>0.36</v>
      </c>
      <c r="T62">
        <v>0</v>
      </c>
      <c r="V62" s="27" t="s">
        <v>10</v>
      </c>
      <c r="W62" s="27">
        <v>4444</v>
      </c>
      <c r="X62" s="27">
        <v>0</v>
      </c>
      <c r="Y62" s="27"/>
      <c r="Z62" t="s">
        <v>10</v>
      </c>
      <c r="AA62">
        <v>0</v>
      </c>
      <c r="AB62">
        <v>0</v>
      </c>
      <c r="AC62">
        <v>0</v>
      </c>
      <c r="AE62" t="s">
        <v>134</v>
      </c>
      <c r="AG62" t="s">
        <v>25</v>
      </c>
      <c r="AI62" t="s">
        <v>176</v>
      </c>
      <c r="AJ62" t="s">
        <v>260</v>
      </c>
      <c r="AK62" t="str" cm="1">
        <f t="array" ref="AK62">_xlfn.IFS(AND(AH62="",AI62=""),"",AND(AH62&lt;&gt;"",AI62=""),AH62,AND(AH62&lt;&gt;"",AI62&lt;&gt;""),AH62&amp;" , "&amp;AJ62,AND(AH62="",AI62&lt;&gt;""),AJ62)</f>
        <v>Available Date 13 Januari 2024</v>
      </c>
    </row>
    <row r="63" spans="1:37" x14ac:dyDescent="0.25">
      <c r="A63" t="s">
        <v>321</v>
      </c>
      <c r="B63">
        <v>181608</v>
      </c>
      <c r="C63" t="s">
        <v>14</v>
      </c>
      <c r="D63" t="s">
        <v>11</v>
      </c>
      <c r="E63">
        <v>292586</v>
      </c>
      <c r="F63" s="27" t="s">
        <v>10</v>
      </c>
      <c r="G63" s="27" t="s">
        <v>70</v>
      </c>
      <c r="H63" s="27"/>
      <c r="I63" s="27"/>
      <c r="J63" t="s">
        <v>10</v>
      </c>
      <c r="K63" t="s">
        <v>39</v>
      </c>
      <c r="N63" s="27" t="s">
        <v>13</v>
      </c>
      <c r="O63" s="27">
        <v>60</v>
      </c>
      <c r="P63" s="27"/>
      <c r="Q63" s="27"/>
      <c r="R63" t="s">
        <v>10</v>
      </c>
      <c r="S63">
        <v>0</v>
      </c>
      <c r="T63">
        <v>0</v>
      </c>
      <c r="V63" s="27" t="s">
        <v>10</v>
      </c>
      <c r="W63" s="27">
        <v>0</v>
      </c>
      <c r="X63" s="27">
        <v>0</v>
      </c>
      <c r="Y63" s="27"/>
      <c r="Z63" t="s">
        <v>10</v>
      </c>
      <c r="AA63">
        <v>0</v>
      </c>
      <c r="AB63">
        <v>0</v>
      </c>
      <c r="AC63">
        <v>0</v>
      </c>
      <c r="AE63" t="s">
        <v>134</v>
      </c>
      <c r="AG63" t="s">
        <v>25</v>
      </c>
      <c r="AI63" t="s">
        <v>167</v>
      </c>
      <c r="AJ63" t="s">
        <v>257</v>
      </c>
      <c r="AK63" t="str" cm="1">
        <f t="array" ref="AK63">_xlfn.IFS(AND(AH63="",AI63=""),"",AND(AH63&lt;&gt;"",AI63=""),AH63,AND(AH63&lt;&gt;"",AI63&lt;&gt;""),AH63&amp;" , "&amp;AJ63,AND(AH63="",AI63&lt;&gt;""),AJ63)</f>
        <v>Available Date 16 Januari 2024</v>
      </c>
    </row>
    <row r="64" spans="1:37" x14ac:dyDescent="0.25">
      <c r="A64" t="s">
        <v>322</v>
      </c>
      <c r="B64">
        <v>181609</v>
      </c>
      <c r="C64" t="s">
        <v>14</v>
      </c>
      <c r="D64" t="s">
        <v>11</v>
      </c>
      <c r="E64">
        <v>292586</v>
      </c>
      <c r="F64" s="27" t="s">
        <v>10</v>
      </c>
      <c r="G64" s="27" t="s">
        <v>70</v>
      </c>
      <c r="H64" s="27"/>
      <c r="I64" s="27"/>
      <c r="J64" t="s">
        <v>10</v>
      </c>
      <c r="K64" t="s">
        <v>62</v>
      </c>
      <c r="N64" s="27" t="s">
        <v>13</v>
      </c>
      <c r="O64" s="27">
        <v>60</v>
      </c>
      <c r="P64" s="27"/>
      <c r="Q64" s="27"/>
      <c r="R64" t="s">
        <v>10</v>
      </c>
      <c r="S64">
        <v>0</v>
      </c>
      <c r="T64">
        <v>0</v>
      </c>
      <c r="V64" s="27" t="s">
        <v>10</v>
      </c>
      <c r="W64" s="27">
        <v>0</v>
      </c>
      <c r="X64" s="27">
        <v>0</v>
      </c>
      <c r="Y64" s="27"/>
      <c r="Z64" t="s">
        <v>10</v>
      </c>
      <c r="AA64">
        <v>0</v>
      </c>
      <c r="AB64">
        <v>0</v>
      </c>
      <c r="AC64">
        <v>0</v>
      </c>
      <c r="AE64" t="s">
        <v>134</v>
      </c>
      <c r="AG64" t="s">
        <v>25</v>
      </c>
      <c r="AI64" t="s">
        <v>167</v>
      </c>
      <c r="AJ64" t="s">
        <v>257</v>
      </c>
      <c r="AK64" t="str" cm="1">
        <f t="array" ref="AK64">_xlfn.IFS(AND(AH64="",AI64=""),"",AND(AH64&lt;&gt;"",AI64=""),AH64,AND(AH64&lt;&gt;"",AI64&lt;&gt;""),AH64&amp;" , "&amp;AJ64,AND(AH64="",AI64&lt;&gt;""),AJ64)</f>
        <v>Available Date 16 Januari 2024</v>
      </c>
    </row>
    <row r="65" spans="1:37" x14ac:dyDescent="0.25">
      <c r="A65" t="s">
        <v>323</v>
      </c>
      <c r="B65">
        <v>181610</v>
      </c>
      <c r="C65" t="s">
        <v>14</v>
      </c>
      <c r="D65" t="s">
        <v>11</v>
      </c>
      <c r="E65">
        <v>292586</v>
      </c>
      <c r="F65" s="27" t="s">
        <v>10</v>
      </c>
      <c r="G65" s="27" t="s">
        <v>70</v>
      </c>
      <c r="H65" s="27"/>
      <c r="I65" s="27"/>
      <c r="J65" t="s">
        <v>10</v>
      </c>
      <c r="K65" t="s">
        <v>62</v>
      </c>
      <c r="N65" s="27" t="s">
        <v>13</v>
      </c>
      <c r="O65" s="27">
        <v>60</v>
      </c>
      <c r="P65" s="27"/>
      <c r="Q65" s="27"/>
      <c r="R65" t="s">
        <v>10</v>
      </c>
      <c r="S65">
        <v>0</v>
      </c>
      <c r="T65">
        <v>0</v>
      </c>
      <c r="V65" s="27" t="s">
        <v>10</v>
      </c>
      <c r="W65" s="27">
        <v>0</v>
      </c>
      <c r="X65" s="27">
        <v>0</v>
      </c>
      <c r="Y65" s="27"/>
      <c r="Z65" t="s">
        <v>10</v>
      </c>
      <c r="AA65">
        <v>0</v>
      </c>
      <c r="AB65">
        <v>0</v>
      </c>
      <c r="AC65">
        <v>0</v>
      </c>
      <c r="AE65" t="s">
        <v>134</v>
      </c>
      <c r="AG65" t="s">
        <v>25</v>
      </c>
      <c r="AI65" t="s">
        <v>167</v>
      </c>
      <c r="AJ65" t="s">
        <v>257</v>
      </c>
      <c r="AK65" t="str" cm="1">
        <f t="array" ref="AK65">_xlfn.IFS(AND(AH65="",AI65=""),"",AND(AH65&lt;&gt;"",AI65=""),AH65,AND(AH65&lt;&gt;"",AI65&lt;&gt;""),AH65&amp;" , "&amp;AJ65,AND(AH65="",AI65&lt;&gt;""),AJ65)</f>
        <v>Available Date 16 Januari 2024</v>
      </c>
    </row>
    <row r="66" spans="1:37" x14ac:dyDescent="0.25">
      <c r="A66" t="s">
        <v>324</v>
      </c>
      <c r="B66">
        <v>181611</v>
      </c>
      <c r="C66" t="s">
        <v>14</v>
      </c>
      <c r="D66" t="s">
        <v>11</v>
      </c>
      <c r="E66">
        <v>292586</v>
      </c>
      <c r="F66" s="27" t="s">
        <v>10</v>
      </c>
      <c r="G66" s="27" t="s">
        <v>70</v>
      </c>
      <c r="H66" s="27"/>
      <c r="I66" s="27"/>
      <c r="J66" t="s">
        <v>10</v>
      </c>
      <c r="K66" t="s">
        <v>39</v>
      </c>
      <c r="N66" s="27" t="s">
        <v>13</v>
      </c>
      <c r="O66" s="27">
        <v>60</v>
      </c>
      <c r="P66" s="27"/>
      <c r="Q66" s="27"/>
      <c r="R66" t="s">
        <v>10</v>
      </c>
      <c r="S66">
        <v>0</v>
      </c>
      <c r="T66">
        <v>0</v>
      </c>
      <c r="V66" s="27" t="s">
        <v>10</v>
      </c>
      <c r="W66" s="27">
        <v>0</v>
      </c>
      <c r="X66" s="27">
        <v>0</v>
      </c>
      <c r="Y66" s="27"/>
      <c r="Z66" t="s">
        <v>10</v>
      </c>
      <c r="AA66">
        <v>0</v>
      </c>
      <c r="AB66">
        <v>0</v>
      </c>
      <c r="AC66">
        <v>0</v>
      </c>
      <c r="AE66" t="s">
        <v>134</v>
      </c>
      <c r="AG66" t="s">
        <v>25</v>
      </c>
      <c r="AI66" t="s">
        <v>167</v>
      </c>
      <c r="AJ66" t="s">
        <v>257</v>
      </c>
      <c r="AK66" t="str" cm="1">
        <f t="array" ref="AK66">_xlfn.IFS(AND(AH66="",AI66=""),"",AND(AH66&lt;&gt;"",AI66=""),AH66,AND(AH66&lt;&gt;"",AI66&lt;&gt;""),AH66&amp;" , "&amp;AJ66,AND(AH66="",AI66&lt;&gt;""),AJ66)</f>
        <v>Available Date 16 Januari 2024</v>
      </c>
    </row>
    <row r="67" spans="1:37" x14ac:dyDescent="0.25">
      <c r="A67" t="s">
        <v>325</v>
      </c>
      <c r="B67">
        <v>181612</v>
      </c>
      <c r="C67" t="s">
        <v>14</v>
      </c>
      <c r="D67" t="s">
        <v>11</v>
      </c>
      <c r="E67">
        <v>292589</v>
      </c>
      <c r="F67" s="27" t="s">
        <v>10</v>
      </c>
      <c r="G67" s="27" t="s">
        <v>70</v>
      </c>
      <c r="H67" s="27"/>
      <c r="I67" s="27"/>
      <c r="J67" t="s">
        <v>10</v>
      </c>
      <c r="K67" t="s">
        <v>41</v>
      </c>
      <c r="N67" s="27" t="s">
        <v>13</v>
      </c>
      <c r="O67" s="27">
        <v>60</v>
      </c>
      <c r="P67" s="27"/>
      <c r="Q67" s="27"/>
      <c r="R67" t="s">
        <v>10</v>
      </c>
      <c r="S67">
        <v>0</v>
      </c>
      <c r="T67">
        <v>0</v>
      </c>
      <c r="V67" s="27" t="s">
        <v>10</v>
      </c>
      <c r="W67" s="27">
        <v>0</v>
      </c>
      <c r="X67" s="27">
        <v>0</v>
      </c>
      <c r="Y67" s="27"/>
      <c r="Z67" t="s">
        <v>10</v>
      </c>
      <c r="AA67">
        <v>0</v>
      </c>
      <c r="AB67">
        <v>0</v>
      </c>
      <c r="AC67">
        <v>0</v>
      </c>
      <c r="AE67" t="s">
        <v>134</v>
      </c>
      <c r="AG67" t="s">
        <v>25</v>
      </c>
      <c r="AJ67" t="s">
        <v>95</v>
      </c>
      <c r="AK67" t="str" cm="1">
        <f t="array" ref="AK67">_xlfn.IFS(AND(AH67="",AI67=""),"",AND(AH67&lt;&gt;"",AI67=""),AH67,AND(AH67&lt;&gt;"",AI67&lt;&gt;""),AH67&amp;" , "&amp;AJ67,AND(AH67="",AI67&lt;&gt;""),AJ67)</f>
        <v/>
      </c>
    </row>
    <row r="68" spans="1:37" x14ac:dyDescent="0.25">
      <c r="A68" t="s">
        <v>326</v>
      </c>
      <c r="B68">
        <v>181612</v>
      </c>
      <c r="C68" t="s">
        <v>14</v>
      </c>
      <c r="D68" t="s">
        <v>11</v>
      </c>
      <c r="E68">
        <v>292587</v>
      </c>
      <c r="F68" s="27" t="s">
        <v>10</v>
      </c>
      <c r="G68" s="27" t="s">
        <v>70</v>
      </c>
      <c r="H68" s="27"/>
      <c r="I68" s="27"/>
      <c r="J68" t="s">
        <v>10</v>
      </c>
      <c r="K68" t="s">
        <v>41</v>
      </c>
      <c r="N68" s="27" t="s">
        <v>13</v>
      </c>
      <c r="O68" s="27">
        <v>60</v>
      </c>
      <c r="P68" s="27"/>
      <c r="Q68" s="27"/>
      <c r="R68" t="s">
        <v>10</v>
      </c>
      <c r="S68">
        <v>0</v>
      </c>
      <c r="T68">
        <v>0</v>
      </c>
      <c r="V68" s="27" t="s">
        <v>10</v>
      </c>
      <c r="W68" s="27">
        <v>0</v>
      </c>
      <c r="X68" s="27">
        <v>0</v>
      </c>
      <c r="Y68" s="27"/>
      <c r="Z68" t="s">
        <v>10</v>
      </c>
      <c r="AA68">
        <v>0</v>
      </c>
      <c r="AB68">
        <v>0</v>
      </c>
      <c r="AC68">
        <v>0</v>
      </c>
      <c r="AE68" t="s">
        <v>134</v>
      </c>
      <c r="AG68" t="s">
        <v>25</v>
      </c>
      <c r="AJ68" t="s">
        <v>95</v>
      </c>
      <c r="AK68" t="str" cm="1">
        <f t="array" ref="AK68">_xlfn.IFS(AND(AH68="",AI68=""),"",AND(AH68&lt;&gt;"",AI68=""),AH68,AND(AH68&lt;&gt;"",AI68&lt;&gt;""),AH68&amp;" , "&amp;AJ68,AND(AH68="",AI68&lt;&gt;""),AJ68)</f>
        <v/>
      </c>
    </row>
    <row r="69" spans="1:37" x14ac:dyDescent="0.25">
      <c r="A69" t="s">
        <v>327</v>
      </c>
      <c r="B69">
        <v>181612</v>
      </c>
      <c r="C69" t="s">
        <v>14</v>
      </c>
      <c r="D69" t="s">
        <v>11</v>
      </c>
      <c r="E69">
        <v>292590</v>
      </c>
      <c r="F69" s="27" t="s">
        <v>10</v>
      </c>
      <c r="G69" s="27" t="s">
        <v>70</v>
      </c>
      <c r="H69" s="27"/>
      <c r="I69" s="27"/>
      <c r="J69" t="s">
        <v>10</v>
      </c>
      <c r="K69" t="s">
        <v>41</v>
      </c>
      <c r="N69" s="27" t="s">
        <v>13</v>
      </c>
      <c r="O69" s="27">
        <v>60</v>
      </c>
      <c r="P69" s="27"/>
      <c r="Q69" s="27"/>
      <c r="R69" t="s">
        <v>10</v>
      </c>
      <c r="S69">
        <v>0</v>
      </c>
      <c r="T69">
        <v>0</v>
      </c>
      <c r="V69" s="27" t="s">
        <v>10</v>
      </c>
      <c r="W69" s="27">
        <v>0</v>
      </c>
      <c r="X69" s="27">
        <v>0</v>
      </c>
      <c r="Y69" s="27"/>
      <c r="Z69" t="s">
        <v>10</v>
      </c>
      <c r="AA69">
        <v>0</v>
      </c>
      <c r="AB69">
        <v>0</v>
      </c>
      <c r="AC69">
        <v>0</v>
      </c>
      <c r="AE69" t="s">
        <v>134</v>
      </c>
      <c r="AG69" t="s">
        <v>25</v>
      </c>
      <c r="AJ69" t="s">
        <v>95</v>
      </c>
      <c r="AK69" t="str" cm="1">
        <f t="array" ref="AK69">_xlfn.IFS(AND(AH69="",AI69=""),"",AND(AH69&lt;&gt;"",AI69=""),AH69,AND(AH69&lt;&gt;"",AI69&lt;&gt;""),AH69&amp;" , "&amp;AJ69,AND(AH69="",AI69&lt;&gt;""),AJ69)</f>
        <v/>
      </c>
    </row>
    <row r="70" spans="1:37" x14ac:dyDescent="0.25">
      <c r="A70" t="s">
        <v>328</v>
      </c>
      <c r="B70">
        <v>181613</v>
      </c>
      <c r="C70" t="s">
        <v>14</v>
      </c>
      <c r="D70" t="s">
        <v>9</v>
      </c>
      <c r="E70">
        <v>292593</v>
      </c>
      <c r="F70" s="27" t="s">
        <v>12</v>
      </c>
      <c r="G70" s="27" t="s">
        <v>70</v>
      </c>
      <c r="H70" s="27"/>
      <c r="I70" s="27"/>
      <c r="J70" t="s">
        <v>12</v>
      </c>
      <c r="K70" t="s">
        <v>91</v>
      </c>
      <c r="N70" s="27" t="s">
        <v>13</v>
      </c>
      <c r="O70" s="27">
        <v>70</v>
      </c>
      <c r="P70" s="27"/>
      <c r="Q70" s="27"/>
      <c r="R70" t="s">
        <v>12</v>
      </c>
      <c r="S70">
        <v>0</v>
      </c>
      <c r="T70">
        <v>0</v>
      </c>
      <c r="V70" s="27" t="s">
        <v>12</v>
      </c>
      <c r="W70" s="27">
        <v>0</v>
      </c>
      <c r="X70" s="27">
        <v>0</v>
      </c>
      <c r="Y70" s="27"/>
      <c r="Z70" t="s">
        <v>12</v>
      </c>
      <c r="AA70">
        <v>0</v>
      </c>
      <c r="AB70">
        <v>0</v>
      </c>
      <c r="AC70">
        <v>0</v>
      </c>
      <c r="AE70" t="s">
        <v>134</v>
      </c>
      <c r="AG70" t="s">
        <v>25</v>
      </c>
      <c r="AI70" t="s">
        <v>167</v>
      </c>
      <c r="AJ70" t="s">
        <v>257</v>
      </c>
      <c r="AK70" t="str" cm="1">
        <f t="array" ref="AK70">_xlfn.IFS(AND(AH70="",AI70=""),"",AND(AH70&lt;&gt;"",AI70=""),AH70,AND(AH70&lt;&gt;"",AI70&lt;&gt;""),AH70&amp;" , "&amp;AJ70,AND(AH70="",AI70&lt;&gt;""),AJ70)</f>
        <v>Available Date 16 Januari 2024</v>
      </c>
    </row>
    <row r="71" spans="1:37" x14ac:dyDescent="0.25">
      <c r="A71" t="s">
        <v>329</v>
      </c>
      <c r="B71">
        <v>181621</v>
      </c>
      <c r="C71" t="s">
        <v>14</v>
      </c>
      <c r="D71" t="s">
        <v>11</v>
      </c>
      <c r="E71">
        <v>292578</v>
      </c>
      <c r="F71" s="27" t="s">
        <v>10</v>
      </c>
      <c r="G71" s="27" t="s">
        <v>70</v>
      </c>
      <c r="H71" s="27"/>
      <c r="I71" s="27"/>
      <c r="J71" t="s">
        <v>10</v>
      </c>
      <c r="K71" t="s">
        <v>38</v>
      </c>
      <c r="N71" s="27" t="s">
        <v>13</v>
      </c>
      <c r="O71" s="27">
        <v>58</v>
      </c>
      <c r="P71" s="27"/>
      <c r="Q71" s="27"/>
      <c r="R71" t="s">
        <v>10</v>
      </c>
      <c r="S71">
        <v>0.41899999999999998</v>
      </c>
      <c r="T71">
        <v>0</v>
      </c>
      <c r="V71" s="27" t="s">
        <v>10</v>
      </c>
      <c r="W71" s="27">
        <v>1520</v>
      </c>
      <c r="X71" s="27">
        <v>0</v>
      </c>
      <c r="Y71" s="27"/>
      <c r="Z71" t="s">
        <v>10</v>
      </c>
      <c r="AA71">
        <v>0</v>
      </c>
      <c r="AB71">
        <v>0</v>
      </c>
      <c r="AC71">
        <v>0</v>
      </c>
      <c r="AE71" t="s">
        <v>134</v>
      </c>
      <c r="AG71" t="s">
        <v>25</v>
      </c>
      <c r="AJ71" t="s">
        <v>95</v>
      </c>
      <c r="AK71" t="str" cm="1">
        <f t="array" ref="AK71">_xlfn.IFS(AND(AH71="",AI71=""),"",AND(AH71&lt;&gt;"",AI71=""),AH71,AND(AH71&lt;&gt;"",AI71&lt;&gt;""),AH71&amp;" , "&amp;AJ71,AND(AH71="",AI71&lt;&gt;""),AJ71)</f>
        <v/>
      </c>
    </row>
    <row r="72" spans="1:37" x14ac:dyDescent="0.25">
      <c r="A72" t="s">
        <v>330</v>
      </c>
      <c r="B72">
        <v>181621</v>
      </c>
      <c r="C72" t="s">
        <v>14</v>
      </c>
      <c r="D72" t="s">
        <v>11</v>
      </c>
      <c r="E72">
        <v>292582</v>
      </c>
      <c r="F72" s="27" t="s">
        <v>10</v>
      </c>
      <c r="G72" s="27" t="s">
        <v>70</v>
      </c>
      <c r="H72" s="27"/>
      <c r="I72" s="27"/>
      <c r="J72" t="s">
        <v>10</v>
      </c>
      <c r="K72" t="s">
        <v>38</v>
      </c>
      <c r="N72" s="27" t="s">
        <v>13</v>
      </c>
      <c r="O72" s="27">
        <v>58</v>
      </c>
      <c r="P72" s="27"/>
      <c r="Q72" s="27"/>
      <c r="R72" t="s">
        <v>10</v>
      </c>
      <c r="S72">
        <v>0.41899999999999998</v>
      </c>
      <c r="T72">
        <v>0</v>
      </c>
      <c r="V72" s="27" t="s">
        <v>10</v>
      </c>
      <c r="W72" s="27">
        <v>1520</v>
      </c>
      <c r="X72" s="27">
        <v>0</v>
      </c>
      <c r="Y72" s="27"/>
      <c r="Z72" t="s">
        <v>10</v>
      </c>
      <c r="AA72">
        <v>0</v>
      </c>
      <c r="AB72">
        <v>0</v>
      </c>
      <c r="AC72">
        <v>0</v>
      </c>
      <c r="AE72" t="s">
        <v>134</v>
      </c>
      <c r="AG72" t="s">
        <v>25</v>
      </c>
      <c r="AJ72" t="s">
        <v>95</v>
      </c>
      <c r="AK72" t="str" cm="1">
        <f t="array" ref="AK72">_xlfn.IFS(AND(AH72="",AI72=""),"",AND(AH72&lt;&gt;"",AI72=""),AH72,AND(AH72&lt;&gt;"",AI72&lt;&gt;""),AH72&amp;" , "&amp;AJ72,AND(AH72="",AI72&lt;&gt;""),AJ72)</f>
        <v/>
      </c>
    </row>
    <row r="73" spans="1:37" x14ac:dyDescent="0.25">
      <c r="A73" t="s">
        <v>331</v>
      </c>
      <c r="B73">
        <v>181622</v>
      </c>
      <c r="C73" t="s">
        <v>14</v>
      </c>
      <c r="D73" t="s">
        <v>11</v>
      </c>
      <c r="E73">
        <v>292578</v>
      </c>
      <c r="F73" s="27" t="s">
        <v>10</v>
      </c>
      <c r="G73" s="27" t="s">
        <v>70</v>
      </c>
      <c r="H73" s="27"/>
      <c r="I73" s="27"/>
      <c r="J73" t="s">
        <v>10</v>
      </c>
      <c r="K73" t="s">
        <v>63</v>
      </c>
      <c r="N73" s="27" t="s">
        <v>13</v>
      </c>
      <c r="O73" s="27">
        <v>58</v>
      </c>
      <c r="P73" s="27"/>
      <c r="Q73" s="27"/>
      <c r="R73" t="s">
        <v>10</v>
      </c>
      <c r="S73">
        <v>0.50800000000000001</v>
      </c>
      <c r="T73">
        <v>0</v>
      </c>
      <c r="V73" s="27" t="s">
        <v>10</v>
      </c>
      <c r="W73" s="27">
        <v>371</v>
      </c>
      <c r="X73" s="27">
        <v>0</v>
      </c>
      <c r="Y73" s="27"/>
      <c r="Z73" t="s">
        <v>10</v>
      </c>
      <c r="AA73">
        <v>0</v>
      </c>
      <c r="AB73">
        <v>0</v>
      </c>
      <c r="AC73">
        <v>0</v>
      </c>
      <c r="AE73" t="s">
        <v>134</v>
      </c>
      <c r="AG73" t="s">
        <v>25</v>
      </c>
      <c r="AI73" t="s">
        <v>176</v>
      </c>
      <c r="AJ73" t="s">
        <v>260</v>
      </c>
      <c r="AK73" t="str" cm="1">
        <f t="array" ref="AK73">_xlfn.IFS(AND(AH73="",AI73=""),"",AND(AH73&lt;&gt;"",AI73=""),AH73,AND(AH73&lt;&gt;"",AI73&lt;&gt;""),AH73&amp;" , "&amp;AJ73,AND(AH73="",AI73&lt;&gt;""),AJ73)</f>
        <v>Available Date 13 Januari 2024</v>
      </c>
    </row>
    <row r="74" spans="1:37" x14ac:dyDescent="0.25">
      <c r="A74" t="s">
        <v>332</v>
      </c>
      <c r="B74">
        <v>181622</v>
      </c>
      <c r="C74" t="s">
        <v>14</v>
      </c>
      <c r="D74" t="s">
        <v>11</v>
      </c>
      <c r="E74">
        <v>292582</v>
      </c>
      <c r="F74" s="27" t="s">
        <v>10</v>
      </c>
      <c r="G74" s="27" t="s">
        <v>70</v>
      </c>
      <c r="H74" s="27"/>
      <c r="I74" s="27"/>
      <c r="J74" t="s">
        <v>10</v>
      </c>
      <c r="K74" t="s">
        <v>63</v>
      </c>
      <c r="N74" s="27" t="s">
        <v>13</v>
      </c>
      <c r="O74" s="27">
        <v>58</v>
      </c>
      <c r="P74" s="27"/>
      <c r="Q74" s="27"/>
      <c r="R74" t="s">
        <v>10</v>
      </c>
      <c r="S74">
        <v>0.50800000000000001</v>
      </c>
      <c r="T74">
        <v>0</v>
      </c>
      <c r="V74" s="27" t="s">
        <v>10</v>
      </c>
      <c r="W74" s="27">
        <v>370</v>
      </c>
      <c r="X74" s="27">
        <v>0</v>
      </c>
      <c r="Y74" s="27"/>
      <c r="Z74" t="s">
        <v>10</v>
      </c>
      <c r="AA74">
        <v>0</v>
      </c>
      <c r="AB74">
        <v>0</v>
      </c>
      <c r="AC74">
        <v>0</v>
      </c>
      <c r="AE74" t="s">
        <v>134</v>
      </c>
      <c r="AG74" t="s">
        <v>25</v>
      </c>
      <c r="AI74" t="s">
        <v>176</v>
      </c>
      <c r="AJ74" t="s">
        <v>260</v>
      </c>
      <c r="AK74" t="str" cm="1">
        <f t="array" ref="AK74">_xlfn.IFS(AND(AH74="",AI74=""),"",AND(AH74&lt;&gt;"",AI74=""),AH74,AND(AH74&lt;&gt;"",AI74&lt;&gt;""),AH74&amp;" , "&amp;AJ74,AND(AH74="",AI74&lt;&gt;""),AJ74)</f>
        <v>Available Date 13 Januari 2024</v>
      </c>
    </row>
    <row r="75" spans="1:37" x14ac:dyDescent="0.25">
      <c r="A75" t="s">
        <v>333</v>
      </c>
      <c r="B75">
        <v>181624</v>
      </c>
      <c r="C75" t="s">
        <v>14</v>
      </c>
      <c r="D75" t="s">
        <v>9</v>
      </c>
      <c r="E75">
        <v>267375</v>
      </c>
      <c r="F75" s="27" t="s">
        <v>12</v>
      </c>
      <c r="G75" s="27" t="s">
        <v>70</v>
      </c>
      <c r="H75" s="27"/>
      <c r="I75" s="27"/>
      <c r="J75" t="s">
        <v>12</v>
      </c>
      <c r="K75" t="s">
        <v>92</v>
      </c>
      <c r="N75" s="27" t="s">
        <v>13</v>
      </c>
      <c r="O75" s="27">
        <v>70</v>
      </c>
      <c r="P75" s="27"/>
      <c r="Q75" s="27"/>
      <c r="R75" t="s">
        <v>12</v>
      </c>
      <c r="S75">
        <v>0</v>
      </c>
      <c r="T75">
        <v>0</v>
      </c>
      <c r="V75" s="27" t="s">
        <v>12</v>
      </c>
      <c r="W75" s="27">
        <v>0</v>
      </c>
      <c r="X75" s="27">
        <v>0</v>
      </c>
      <c r="Y75" s="27"/>
      <c r="Z75" t="s">
        <v>12</v>
      </c>
      <c r="AA75">
        <v>0</v>
      </c>
      <c r="AB75">
        <v>0</v>
      </c>
      <c r="AC75">
        <v>0</v>
      </c>
      <c r="AE75" t="s">
        <v>134</v>
      </c>
      <c r="AG75" t="s">
        <v>25</v>
      </c>
      <c r="AI75" t="s">
        <v>167</v>
      </c>
      <c r="AJ75" t="s">
        <v>257</v>
      </c>
      <c r="AK75" t="str" cm="1">
        <f t="array" ref="AK75">_xlfn.IFS(AND(AH75="",AI75=""),"",AND(AH75&lt;&gt;"",AI75=""),AH75,AND(AH75&lt;&gt;"",AI75&lt;&gt;""),AH75&amp;" , "&amp;AJ75,AND(AH75="",AI75&lt;&gt;""),AJ75)</f>
        <v>Available Date 16 Januari 2024</v>
      </c>
    </row>
    <row r="76" spans="1:37" x14ac:dyDescent="0.25">
      <c r="A76" t="s">
        <v>334</v>
      </c>
      <c r="B76">
        <v>181625</v>
      </c>
      <c r="C76" t="s">
        <v>14</v>
      </c>
      <c r="D76" t="s">
        <v>9</v>
      </c>
      <c r="E76">
        <v>292593</v>
      </c>
      <c r="F76" s="27" t="s">
        <v>12</v>
      </c>
      <c r="G76" s="27" t="s">
        <v>70</v>
      </c>
      <c r="H76" s="27"/>
      <c r="I76" s="27"/>
      <c r="J76" t="s">
        <v>12</v>
      </c>
      <c r="K76" t="s">
        <v>93</v>
      </c>
      <c r="N76" s="27" t="s">
        <v>13</v>
      </c>
      <c r="O76" s="27">
        <v>70</v>
      </c>
      <c r="P76" s="27"/>
      <c r="Q76" s="27"/>
      <c r="R76" t="s">
        <v>12</v>
      </c>
      <c r="S76">
        <v>0.159</v>
      </c>
      <c r="T76">
        <v>0</v>
      </c>
      <c r="V76" s="27" t="s">
        <v>12</v>
      </c>
      <c r="W76" s="27">
        <v>5991</v>
      </c>
      <c r="X76" s="27">
        <v>0</v>
      </c>
      <c r="Y76" s="27"/>
      <c r="Z76" t="s">
        <v>12</v>
      </c>
      <c r="AA76">
        <v>0</v>
      </c>
      <c r="AB76">
        <v>0</v>
      </c>
      <c r="AC76">
        <v>0</v>
      </c>
      <c r="AE76" t="s">
        <v>134</v>
      </c>
      <c r="AG76" t="s">
        <v>25</v>
      </c>
      <c r="AI76" t="s">
        <v>167</v>
      </c>
      <c r="AJ76" t="s">
        <v>257</v>
      </c>
      <c r="AK76" t="str" cm="1">
        <f t="array" ref="AK76">_xlfn.IFS(AND(AH76="",AI76=""),"",AND(AH76&lt;&gt;"",AI76=""),AH76,AND(AH76&lt;&gt;"",AI76&lt;&gt;""),AH76&amp;" , "&amp;AJ76,AND(AH76="",AI76&lt;&gt;""),AJ76)</f>
        <v>Available Date 16 Januari 2024</v>
      </c>
    </row>
    <row r="77" spans="1:37" x14ac:dyDescent="0.25">
      <c r="A77" t="s">
        <v>335</v>
      </c>
      <c r="B77">
        <v>181628</v>
      </c>
      <c r="C77" t="s">
        <v>14</v>
      </c>
      <c r="D77" t="s">
        <v>11</v>
      </c>
      <c r="E77">
        <v>292587</v>
      </c>
      <c r="F77" s="27" t="s">
        <v>10</v>
      </c>
      <c r="G77" s="27" t="s">
        <v>70</v>
      </c>
      <c r="H77" s="27"/>
      <c r="I77" s="27"/>
      <c r="J77" t="s">
        <v>10</v>
      </c>
      <c r="K77" t="s">
        <v>42</v>
      </c>
      <c r="N77" s="27" t="s">
        <v>13</v>
      </c>
      <c r="O77" s="27">
        <v>60</v>
      </c>
      <c r="P77" s="27"/>
      <c r="Q77" s="27"/>
      <c r="R77" t="s">
        <v>10</v>
      </c>
      <c r="S77">
        <v>6.7000000000000004E-2</v>
      </c>
      <c r="T77">
        <v>0</v>
      </c>
      <c r="V77" s="27" t="s">
        <v>10</v>
      </c>
      <c r="W77" s="27">
        <v>1337</v>
      </c>
      <c r="X77" s="27">
        <v>0</v>
      </c>
      <c r="Y77" s="27"/>
      <c r="Z77" t="s">
        <v>10</v>
      </c>
      <c r="AA77">
        <v>0</v>
      </c>
      <c r="AB77">
        <v>0</v>
      </c>
      <c r="AC77">
        <v>0</v>
      </c>
      <c r="AE77" t="s">
        <v>134</v>
      </c>
      <c r="AG77" t="s">
        <v>25</v>
      </c>
      <c r="AI77" t="s">
        <v>167</v>
      </c>
      <c r="AJ77" t="s">
        <v>257</v>
      </c>
      <c r="AK77" t="str" cm="1">
        <f t="array" ref="AK77">_xlfn.IFS(AND(AH77="",AI77=""),"",AND(AH77&lt;&gt;"",AI77=""),AH77,AND(AH77&lt;&gt;"",AI77&lt;&gt;""),AH77&amp;" , "&amp;AJ77,AND(AH77="",AI77&lt;&gt;""),AJ77)</f>
        <v>Available Date 16 Januari 2024</v>
      </c>
    </row>
    <row r="78" spans="1:37" x14ac:dyDescent="0.25">
      <c r="A78" t="s">
        <v>336</v>
      </c>
      <c r="B78">
        <v>181628</v>
      </c>
      <c r="C78" t="s">
        <v>14</v>
      </c>
      <c r="D78" t="s">
        <v>11</v>
      </c>
      <c r="E78">
        <v>292586</v>
      </c>
      <c r="F78" s="27" t="s">
        <v>10</v>
      </c>
      <c r="G78" s="27" t="s">
        <v>70</v>
      </c>
      <c r="H78" s="27"/>
      <c r="I78" s="27"/>
      <c r="J78" t="s">
        <v>10</v>
      </c>
      <c r="K78" t="s">
        <v>42</v>
      </c>
      <c r="N78" s="27" t="s">
        <v>13</v>
      </c>
      <c r="O78" s="27">
        <v>60</v>
      </c>
      <c r="P78" s="27"/>
      <c r="Q78" s="27"/>
      <c r="R78" t="s">
        <v>10</v>
      </c>
      <c r="S78">
        <v>6.7000000000000004E-2</v>
      </c>
      <c r="T78">
        <v>0</v>
      </c>
      <c r="V78" s="27" t="s">
        <v>10</v>
      </c>
      <c r="W78" s="27">
        <v>1306</v>
      </c>
      <c r="X78" s="27">
        <v>0</v>
      </c>
      <c r="Y78" s="27"/>
      <c r="Z78" t="s">
        <v>10</v>
      </c>
      <c r="AA78">
        <v>0</v>
      </c>
      <c r="AB78">
        <v>0</v>
      </c>
      <c r="AC78">
        <v>0</v>
      </c>
      <c r="AE78" t="s">
        <v>134</v>
      </c>
      <c r="AG78" t="s">
        <v>25</v>
      </c>
      <c r="AI78" t="s">
        <v>167</v>
      </c>
      <c r="AJ78" t="s">
        <v>257</v>
      </c>
      <c r="AK78" t="str" cm="1">
        <f t="array" ref="AK78">_xlfn.IFS(AND(AH78="",AI78=""),"",AND(AH78&lt;&gt;"",AI78=""),AH78,AND(AH78&lt;&gt;"",AI78&lt;&gt;""),AH78&amp;" , "&amp;AJ78,AND(AH78="",AI78&lt;&gt;""),AJ78)</f>
        <v>Available Date 16 Januari 2024</v>
      </c>
    </row>
    <row r="79" spans="1:37" x14ac:dyDescent="0.25">
      <c r="A79" t="s">
        <v>337</v>
      </c>
      <c r="B79">
        <v>181628</v>
      </c>
      <c r="C79" t="s">
        <v>14</v>
      </c>
      <c r="D79" t="s">
        <v>11</v>
      </c>
      <c r="E79">
        <v>292588</v>
      </c>
      <c r="F79" s="27" t="s">
        <v>10</v>
      </c>
      <c r="G79" s="27" t="s">
        <v>70</v>
      </c>
      <c r="H79" s="27"/>
      <c r="I79" s="27"/>
      <c r="J79" t="s">
        <v>10</v>
      </c>
      <c r="K79" t="s">
        <v>42</v>
      </c>
      <c r="N79" s="27" t="s">
        <v>13</v>
      </c>
      <c r="O79" s="27">
        <v>60</v>
      </c>
      <c r="P79" s="27"/>
      <c r="Q79" s="27"/>
      <c r="R79" t="s">
        <v>10</v>
      </c>
      <c r="S79">
        <v>6.7000000000000004E-2</v>
      </c>
      <c r="T79">
        <v>0</v>
      </c>
      <c r="V79" s="27" t="s">
        <v>10</v>
      </c>
      <c r="W79" s="27">
        <v>1337</v>
      </c>
      <c r="X79" s="27">
        <v>0</v>
      </c>
      <c r="Y79" s="27"/>
      <c r="Z79" t="s">
        <v>10</v>
      </c>
      <c r="AA79">
        <v>0</v>
      </c>
      <c r="AB79">
        <v>0</v>
      </c>
      <c r="AC79">
        <v>0</v>
      </c>
      <c r="AE79" t="s">
        <v>134</v>
      </c>
      <c r="AG79" t="s">
        <v>25</v>
      </c>
      <c r="AI79" t="s">
        <v>167</v>
      </c>
      <c r="AJ79" t="s">
        <v>257</v>
      </c>
      <c r="AK79" t="str" cm="1">
        <f t="array" ref="AK79">_xlfn.IFS(AND(AH79="",AI79=""),"",AND(AH79&lt;&gt;"",AI79=""),AH79,AND(AH79&lt;&gt;"",AI79&lt;&gt;""),AH79&amp;" , "&amp;AJ79,AND(AH79="",AI79&lt;&gt;""),AJ79)</f>
        <v>Available Date 16 Januari 2024</v>
      </c>
    </row>
    <row r="80" spans="1:37" x14ac:dyDescent="0.25">
      <c r="A80" t="s">
        <v>338</v>
      </c>
      <c r="B80">
        <v>181638</v>
      </c>
      <c r="C80" t="s">
        <v>14</v>
      </c>
      <c r="D80" t="s">
        <v>11</v>
      </c>
      <c r="E80">
        <v>294571</v>
      </c>
      <c r="F80" s="27" t="s">
        <v>10</v>
      </c>
      <c r="G80" s="27" t="s">
        <v>70</v>
      </c>
      <c r="H80" s="27"/>
      <c r="I80" s="27"/>
      <c r="J80" t="s">
        <v>10</v>
      </c>
      <c r="K80" t="s">
        <v>49</v>
      </c>
      <c r="N80" s="27" t="s">
        <v>13</v>
      </c>
      <c r="O80" s="27">
        <v>0</v>
      </c>
      <c r="P80" s="27"/>
      <c r="Q80" s="27"/>
      <c r="R80" t="s">
        <v>10</v>
      </c>
      <c r="S80">
        <v>0.33900000000000002</v>
      </c>
      <c r="T80">
        <v>0</v>
      </c>
      <c r="V80" s="27" t="s">
        <v>10</v>
      </c>
      <c r="W80" s="27">
        <v>2434</v>
      </c>
      <c r="X80" s="27">
        <v>0</v>
      </c>
      <c r="Y80" s="27"/>
      <c r="Z80" t="s">
        <v>10</v>
      </c>
      <c r="AA80">
        <v>0</v>
      </c>
      <c r="AB80">
        <v>0</v>
      </c>
      <c r="AC80">
        <v>0</v>
      </c>
      <c r="AE80" t="s">
        <v>134</v>
      </c>
      <c r="AG80" t="s">
        <v>25</v>
      </c>
      <c r="AJ80" t="s">
        <v>95</v>
      </c>
      <c r="AK80" t="str" cm="1">
        <f t="array" ref="AK80">_xlfn.IFS(AND(AH80="",AI80=""),"",AND(AH80&lt;&gt;"",AI80=""),AH80,AND(AH80&lt;&gt;"",AI80&lt;&gt;""),AH80&amp;" , "&amp;AJ80,AND(AH80="",AI80&lt;&gt;""),AJ80)</f>
        <v/>
      </c>
    </row>
    <row r="81" spans="1:37" x14ac:dyDescent="0.25">
      <c r="A81" t="s">
        <v>339</v>
      </c>
      <c r="B81">
        <v>181638</v>
      </c>
      <c r="C81" t="s">
        <v>14</v>
      </c>
      <c r="D81" t="s">
        <v>11</v>
      </c>
      <c r="E81">
        <v>292101</v>
      </c>
      <c r="F81" s="27" t="s">
        <v>10</v>
      </c>
      <c r="G81" s="27" t="s">
        <v>70</v>
      </c>
      <c r="H81" s="27"/>
      <c r="I81" s="27"/>
      <c r="J81" t="s">
        <v>10</v>
      </c>
      <c r="K81" t="s">
        <v>49</v>
      </c>
      <c r="N81" s="27" t="s">
        <v>13</v>
      </c>
      <c r="O81" s="27">
        <v>58</v>
      </c>
      <c r="P81" s="27"/>
      <c r="Q81" s="27"/>
      <c r="R81" t="s">
        <v>10</v>
      </c>
      <c r="S81">
        <v>0.33900000000000002</v>
      </c>
      <c r="T81">
        <v>0</v>
      </c>
      <c r="V81" s="27" t="s">
        <v>10</v>
      </c>
      <c r="W81" s="27">
        <v>2448</v>
      </c>
      <c r="X81" s="27">
        <v>0</v>
      </c>
      <c r="Y81" s="27"/>
      <c r="Z81" t="s">
        <v>10</v>
      </c>
      <c r="AA81">
        <v>0</v>
      </c>
      <c r="AB81">
        <v>0</v>
      </c>
      <c r="AC81">
        <v>0</v>
      </c>
      <c r="AE81" t="s">
        <v>134</v>
      </c>
      <c r="AG81" t="s">
        <v>25</v>
      </c>
      <c r="AJ81" t="s">
        <v>95</v>
      </c>
      <c r="AK81" t="str" cm="1">
        <f t="array" ref="AK81">_xlfn.IFS(AND(AH81="",AI81=""),"",AND(AH81&lt;&gt;"",AI81=""),AH81,AND(AH81&lt;&gt;"",AI81&lt;&gt;""),AH81&amp;" , "&amp;AJ81,AND(AH81="",AI81&lt;&gt;""),AJ81)</f>
        <v/>
      </c>
    </row>
    <row r="82" spans="1:37" x14ac:dyDescent="0.25">
      <c r="A82" t="s">
        <v>340</v>
      </c>
      <c r="B82">
        <v>181638</v>
      </c>
      <c r="C82" t="s">
        <v>14</v>
      </c>
      <c r="D82" t="s">
        <v>11</v>
      </c>
      <c r="E82">
        <v>290061</v>
      </c>
      <c r="F82" s="27" t="s">
        <v>10</v>
      </c>
      <c r="G82" s="27" t="s">
        <v>70</v>
      </c>
      <c r="H82" s="27"/>
      <c r="I82" s="27"/>
      <c r="J82" t="s">
        <v>10</v>
      </c>
      <c r="K82" t="s">
        <v>49</v>
      </c>
      <c r="N82" s="27" t="s">
        <v>13</v>
      </c>
      <c r="O82" s="27">
        <v>58</v>
      </c>
      <c r="P82" s="27"/>
      <c r="Q82" s="27"/>
      <c r="R82" t="s">
        <v>10</v>
      </c>
      <c r="S82">
        <v>0.33900000000000002</v>
      </c>
      <c r="T82">
        <v>0</v>
      </c>
      <c r="V82" s="27" t="s">
        <v>10</v>
      </c>
      <c r="W82" s="27">
        <v>2434</v>
      </c>
      <c r="X82" s="27">
        <v>0</v>
      </c>
      <c r="Y82" s="27"/>
      <c r="Z82" t="s">
        <v>10</v>
      </c>
      <c r="AA82">
        <v>0</v>
      </c>
      <c r="AB82">
        <v>0</v>
      </c>
      <c r="AC82">
        <v>0</v>
      </c>
      <c r="AE82" t="s">
        <v>134</v>
      </c>
      <c r="AG82" t="s">
        <v>25</v>
      </c>
      <c r="AJ82" t="s">
        <v>95</v>
      </c>
      <c r="AK82" t="str" cm="1">
        <f t="array" ref="AK82">_xlfn.IFS(AND(AH82="",AI82=""),"",AND(AH82&lt;&gt;"",AI82=""),AH82,AND(AH82&lt;&gt;"",AI82&lt;&gt;""),AH82&amp;" , "&amp;AJ82,AND(AH82="",AI82&lt;&gt;""),AJ82)</f>
        <v/>
      </c>
    </row>
    <row r="83" spans="1:37" x14ac:dyDescent="0.25">
      <c r="A83" t="s">
        <v>341</v>
      </c>
      <c r="B83">
        <v>181638</v>
      </c>
      <c r="C83" t="s">
        <v>14</v>
      </c>
      <c r="D83" t="s">
        <v>11</v>
      </c>
      <c r="E83">
        <v>294572</v>
      </c>
      <c r="F83" s="27" t="s">
        <v>10</v>
      </c>
      <c r="G83" s="27" t="s">
        <v>70</v>
      </c>
      <c r="H83" s="27"/>
      <c r="I83" s="27"/>
      <c r="J83" t="s">
        <v>10</v>
      </c>
      <c r="K83" t="s">
        <v>49</v>
      </c>
      <c r="N83" s="27" t="s">
        <v>13</v>
      </c>
      <c r="O83" s="27">
        <v>0</v>
      </c>
      <c r="P83" s="27"/>
      <c r="Q83" s="27"/>
      <c r="R83" t="s">
        <v>10</v>
      </c>
      <c r="S83">
        <v>0.33900000000000002</v>
      </c>
      <c r="T83">
        <v>0</v>
      </c>
      <c r="V83" s="27" t="s">
        <v>10</v>
      </c>
      <c r="W83" s="27">
        <v>2434</v>
      </c>
      <c r="X83" s="27">
        <v>0</v>
      </c>
      <c r="Y83" s="27"/>
      <c r="Z83" t="s">
        <v>10</v>
      </c>
      <c r="AA83">
        <v>0</v>
      </c>
      <c r="AB83">
        <v>0</v>
      </c>
      <c r="AC83">
        <v>0</v>
      </c>
      <c r="AE83" t="s">
        <v>134</v>
      </c>
      <c r="AG83" t="s">
        <v>25</v>
      </c>
      <c r="AJ83" t="s">
        <v>95</v>
      </c>
      <c r="AK83" t="str" cm="1">
        <f t="array" ref="AK83">_xlfn.IFS(AND(AH83="",AI83=""),"",AND(AH83&lt;&gt;"",AI83=""),AH83,AND(AH83&lt;&gt;"",AI83&lt;&gt;""),AH83&amp;" , "&amp;AJ83,AND(AH83="",AI83&lt;&gt;""),AJ83)</f>
        <v/>
      </c>
    </row>
    <row r="84" spans="1:37" x14ac:dyDescent="0.25">
      <c r="A84" t="s">
        <v>342</v>
      </c>
      <c r="B84">
        <v>181583</v>
      </c>
      <c r="C84" t="s">
        <v>14</v>
      </c>
      <c r="D84" t="s">
        <v>121</v>
      </c>
      <c r="E84">
        <v>290059</v>
      </c>
      <c r="F84" s="27" t="s">
        <v>126</v>
      </c>
      <c r="G84" s="27" t="s">
        <v>122</v>
      </c>
      <c r="H84" s="27" t="s">
        <v>122</v>
      </c>
      <c r="I84" s="27">
        <v>0</v>
      </c>
      <c r="J84" t="s">
        <v>126</v>
      </c>
      <c r="K84" t="s">
        <v>63</v>
      </c>
      <c r="L84" t="s">
        <v>122</v>
      </c>
      <c r="M84">
        <v>-1</v>
      </c>
      <c r="N84" s="27" t="s">
        <v>13</v>
      </c>
      <c r="O84" s="27">
        <v>58</v>
      </c>
      <c r="P84" s="27">
        <v>58</v>
      </c>
      <c r="Q84" s="27">
        <v>0</v>
      </c>
      <c r="R84" t="s">
        <v>126</v>
      </c>
      <c r="S84">
        <v>0.33500000000000002</v>
      </c>
      <c r="T84">
        <v>0.34089999999999998</v>
      </c>
      <c r="U84">
        <v>1.76</v>
      </c>
      <c r="V84" s="27" t="s">
        <v>126</v>
      </c>
      <c r="W84" s="27">
        <v>40979</v>
      </c>
      <c r="X84" s="27">
        <v>40979</v>
      </c>
      <c r="Y84" s="27">
        <v>0</v>
      </c>
      <c r="Z84" t="s">
        <v>126</v>
      </c>
      <c r="AA84">
        <v>0</v>
      </c>
      <c r="AB84">
        <v>113</v>
      </c>
      <c r="AC84">
        <v>13728</v>
      </c>
      <c r="AD84">
        <v>0.82</v>
      </c>
      <c r="AE84" t="s">
        <v>133</v>
      </c>
      <c r="AG84" t="s">
        <v>25</v>
      </c>
      <c r="AJ84" t="s">
        <v>95</v>
      </c>
      <c r="AK84" t="str" cm="1">
        <f t="array" ref="AK84">_xlfn.IFS(AND(AH84="",AI84=""),"",AND(AH84&lt;&gt;"",AI84=""),AH84,AND(AH84&lt;&gt;"",AI84&lt;&gt;""),AH84&amp;" , "&amp;AJ84,AND(AH84="",AI84&lt;&gt;""),AJ84)</f>
        <v/>
      </c>
    </row>
    <row r="85" spans="1:37" x14ac:dyDescent="0.25">
      <c r="A85" t="s">
        <v>343</v>
      </c>
      <c r="B85">
        <v>181626</v>
      </c>
      <c r="C85" t="s">
        <v>14</v>
      </c>
      <c r="D85" t="s">
        <v>11</v>
      </c>
      <c r="E85">
        <v>290060</v>
      </c>
      <c r="F85" s="27" t="s">
        <v>10</v>
      </c>
      <c r="G85" s="27" t="s">
        <v>122</v>
      </c>
      <c r="H85" s="27"/>
      <c r="I85" s="27"/>
      <c r="J85" t="s">
        <v>10</v>
      </c>
      <c r="K85" t="s">
        <v>44</v>
      </c>
      <c r="N85" s="27" t="s">
        <v>13</v>
      </c>
      <c r="O85" s="27">
        <v>58</v>
      </c>
      <c r="P85" s="27"/>
      <c r="Q85" s="27"/>
      <c r="R85" t="s">
        <v>10</v>
      </c>
      <c r="S85">
        <v>0.25700000000000001</v>
      </c>
      <c r="T85">
        <v>0</v>
      </c>
      <c r="V85" s="27" t="s">
        <v>10</v>
      </c>
      <c r="W85" s="27">
        <v>743</v>
      </c>
      <c r="X85" s="27">
        <v>0</v>
      </c>
      <c r="Y85" s="27"/>
      <c r="Z85" t="s">
        <v>10</v>
      </c>
      <c r="AA85">
        <v>0</v>
      </c>
      <c r="AB85">
        <v>0</v>
      </c>
      <c r="AC85">
        <v>0</v>
      </c>
      <c r="AE85" t="s">
        <v>134</v>
      </c>
      <c r="AG85" t="s">
        <v>25</v>
      </c>
      <c r="AI85" t="s">
        <v>164</v>
      </c>
      <c r="AJ85" t="s">
        <v>256</v>
      </c>
      <c r="AK85" t="str" cm="1">
        <f t="array" ref="AK85">_xlfn.IFS(AND(AH85="",AI85=""),"",AND(AH85&lt;&gt;"",AI85=""),AH85,AND(AH85&lt;&gt;"",AI85&lt;&gt;""),AH85&amp;" , "&amp;AJ85,AND(AH85="",AI85&lt;&gt;""),AJ85)</f>
        <v>Available Date 07 Januari 2024</v>
      </c>
    </row>
    <row r="86" spans="1:37" x14ac:dyDescent="0.25">
      <c r="A86" t="s">
        <v>344</v>
      </c>
      <c r="B86">
        <v>181626</v>
      </c>
      <c r="C86" t="s">
        <v>14</v>
      </c>
      <c r="D86" t="s">
        <v>11</v>
      </c>
      <c r="E86">
        <v>290059</v>
      </c>
      <c r="F86" s="27" t="s">
        <v>10</v>
      </c>
      <c r="G86" s="27" t="s">
        <v>122</v>
      </c>
      <c r="H86" s="27"/>
      <c r="I86" s="27"/>
      <c r="J86" t="s">
        <v>10</v>
      </c>
      <c r="K86" t="s">
        <v>44</v>
      </c>
      <c r="N86" s="27" t="s">
        <v>13</v>
      </c>
      <c r="O86" s="27">
        <v>58</v>
      </c>
      <c r="P86" s="27"/>
      <c r="Q86" s="27"/>
      <c r="R86" t="s">
        <v>10</v>
      </c>
      <c r="S86">
        <v>0.25700000000000001</v>
      </c>
      <c r="T86">
        <v>0</v>
      </c>
      <c r="V86" s="27" t="s">
        <v>10</v>
      </c>
      <c r="W86" s="27">
        <v>743</v>
      </c>
      <c r="X86" s="27">
        <v>0</v>
      </c>
      <c r="Y86" s="27"/>
      <c r="Z86" t="s">
        <v>10</v>
      </c>
      <c r="AA86">
        <v>0</v>
      </c>
      <c r="AB86">
        <v>0</v>
      </c>
      <c r="AC86">
        <v>0</v>
      </c>
      <c r="AE86" t="s">
        <v>134</v>
      </c>
      <c r="AG86" t="s">
        <v>25</v>
      </c>
      <c r="AJ86" t="s">
        <v>95</v>
      </c>
      <c r="AK86" t="str" cm="1">
        <f t="array" ref="AK86">_xlfn.IFS(AND(AH86="",AI86=""),"",AND(AH86&lt;&gt;"",AI86=""),AH86,AND(AH86&lt;&gt;"",AI86&lt;&gt;""),AH86&amp;" , "&amp;AJ86,AND(AH86="",AI86&lt;&gt;""),AJ86)</f>
        <v/>
      </c>
    </row>
    <row r="87" spans="1:37" x14ac:dyDescent="0.25">
      <c r="A87" t="s">
        <v>345</v>
      </c>
      <c r="B87">
        <v>181626</v>
      </c>
      <c r="C87" t="s">
        <v>14</v>
      </c>
      <c r="D87" t="s">
        <v>11</v>
      </c>
      <c r="E87">
        <v>290061</v>
      </c>
      <c r="F87" s="27" t="s">
        <v>10</v>
      </c>
      <c r="G87" s="27" t="s">
        <v>122</v>
      </c>
      <c r="H87" s="27"/>
      <c r="I87" s="27"/>
      <c r="J87" t="s">
        <v>10</v>
      </c>
      <c r="K87" t="s">
        <v>44</v>
      </c>
      <c r="N87" s="27" t="s">
        <v>13</v>
      </c>
      <c r="O87" s="27">
        <v>58</v>
      </c>
      <c r="P87" s="27"/>
      <c r="Q87" s="27"/>
      <c r="R87" t="s">
        <v>10</v>
      </c>
      <c r="S87">
        <v>0.25700000000000001</v>
      </c>
      <c r="T87">
        <v>0</v>
      </c>
      <c r="V87" s="27" t="s">
        <v>10</v>
      </c>
      <c r="W87" s="27">
        <v>743</v>
      </c>
      <c r="X87" s="27">
        <v>0</v>
      </c>
      <c r="Y87" s="27"/>
      <c r="Z87" t="s">
        <v>10</v>
      </c>
      <c r="AA87">
        <v>0</v>
      </c>
      <c r="AB87">
        <v>0</v>
      </c>
      <c r="AC87">
        <v>0</v>
      </c>
      <c r="AE87" t="s">
        <v>134</v>
      </c>
      <c r="AG87" t="s">
        <v>25</v>
      </c>
      <c r="AI87" t="s">
        <v>164</v>
      </c>
      <c r="AJ87" t="s">
        <v>256</v>
      </c>
      <c r="AK87" t="str" cm="1">
        <f t="array" ref="AK87">_xlfn.IFS(AND(AH87="",AI87=""),"",AND(AH87&lt;&gt;"",AI87=""),AH87,AND(AH87&lt;&gt;"",AI87&lt;&gt;""),AH87&amp;" , "&amp;AJ87,AND(AH87="",AI87&lt;&gt;""),AJ87)</f>
        <v>Available Date 07 Januari 2024</v>
      </c>
    </row>
    <row r="88" spans="1:37" x14ac:dyDescent="0.25">
      <c r="A88" t="s">
        <v>346</v>
      </c>
      <c r="B88">
        <v>181591</v>
      </c>
      <c r="C88" t="s">
        <v>14</v>
      </c>
      <c r="D88" t="s">
        <v>121</v>
      </c>
      <c r="E88">
        <v>293262</v>
      </c>
      <c r="F88" s="27" t="s">
        <v>126</v>
      </c>
      <c r="G88" s="27" t="s">
        <v>122</v>
      </c>
      <c r="H88" s="27"/>
      <c r="I88" s="27"/>
      <c r="J88" t="s">
        <v>126</v>
      </c>
      <c r="K88" t="s">
        <v>47</v>
      </c>
      <c r="N88" s="27" t="s">
        <v>13</v>
      </c>
      <c r="O88" s="27">
        <v>58</v>
      </c>
      <c r="P88" s="27"/>
      <c r="Q88" s="27"/>
      <c r="R88" t="s">
        <v>126</v>
      </c>
      <c r="S88">
        <v>0.41099999999999998</v>
      </c>
      <c r="T88">
        <v>0</v>
      </c>
      <c r="V88" s="27" t="s">
        <v>126</v>
      </c>
      <c r="W88" s="27">
        <v>367</v>
      </c>
      <c r="X88" s="27">
        <v>0</v>
      </c>
      <c r="Y88" s="27"/>
      <c r="Z88" t="s">
        <v>126</v>
      </c>
      <c r="AA88">
        <v>0</v>
      </c>
      <c r="AB88">
        <v>0</v>
      </c>
      <c r="AC88">
        <v>0</v>
      </c>
      <c r="AE88" t="s">
        <v>134</v>
      </c>
      <c r="AG88" t="s">
        <v>25</v>
      </c>
      <c r="AI88" t="s">
        <v>164</v>
      </c>
      <c r="AJ88" t="s">
        <v>256</v>
      </c>
      <c r="AK88" t="str" cm="1">
        <f t="array" ref="AK88">_xlfn.IFS(AND(AH88="",AI88=""),"",AND(AH88&lt;&gt;"",AI88=""),AH88,AND(AH88&lt;&gt;"",AI88&lt;&gt;""),AH88&amp;" , "&amp;AJ88,AND(AH88="",AI88&lt;&gt;""),AJ88)</f>
        <v>Available Date 07 Januari 2024</v>
      </c>
    </row>
    <row r="89" spans="1:37" x14ac:dyDescent="0.25">
      <c r="A89" t="s">
        <v>347</v>
      </c>
      <c r="B89">
        <v>181591</v>
      </c>
      <c r="C89" t="s">
        <v>14</v>
      </c>
      <c r="D89" t="s">
        <v>121</v>
      </c>
      <c r="E89">
        <v>292101</v>
      </c>
      <c r="F89" s="27" t="s">
        <v>126</v>
      </c>
      <c r="G89" s="27" t="s">
        <v>122</v>
      </c>
      <c r="H89" s="27"/>
      <c r="I89" s="27"/>
      <c r="J89" t="s">
        <v>126</v>
      </c>
      <c r="K89" t="s">
        <v>47</v>
      </c>
      <c r="N89" s="27" t="s">
        <v>13</v>
      </c>
      <c r="O89" s="27">
        <v>58</v>
      </c>
      <c r="P89" s="27"/>
      <c r="Q89" s="27"/>
      <c r="R89" t="s">
        <v>126</v>
      </c>
      <c r="S89">
        <v>0.41099999999999998</v>
      </c>
      <c r="T89">
        <v>0</v>
      </c>
      <c r="V89" s="27" t="s">
        <v>126</v>
      </c>
      <c r="W89" s="27">
        <v>367</v>
      </c>
      <c r="X89" s="27">
        <v>0</v>
      </c>
      <c r="Y89" s="27"/>
      <c r="Z89" t="s">
        <v>126</v>
      </c>
      <c r="AA89">
        <v>0</v>
      </c>
      <c r="AB89">
        <v>0</v>
      </c>
      <c r="AC89">
        <v>0</v>
      </c>
      <c r="AE89" t="s">
        <v>134</v>
      </c>
      <c r="AG89" t="s">
        <v>25</v>
      </c>
      <c r="AI89" t="s">
        <v>164</v>
      </c>
      <c r="AJ89" t="s">
        <v>256</v>
      </c>
      <c r="AK89" t="str" cm="1">
        <f t="array" ref="AK89">_xlfn.IFS(AND(AH89="",AI89=""),"",AND(AH89&lt;&gt;"",AI89=""),AH89,AND(AH89&lt;&gt;"",AI89&lt;&gt;""),AH89&amp;" , "&amp;AJ89,AND(AH89="",AI89&lt;&gt;""),AJ89)</f>
        <v>Available Date 07 Januari 2024</v>
      </c>
    </row>
    <row r="90" spans="1:37" x14ac:dyDescent="0.25">
      <c r="A90" t="s">
        <v>348</v>
      </c>
      <c r="B90">
        <v>181591</v>
      </c>
      <c r="C90" t="s">
        <v>14</v>
      </c>
      <c r="D90" t="s">
        <v>121</v>
      </c>
      <c r="E90">
        <v>290061</v>
      </c>
      <c r="F90" s="27" t="s">
        <v>126</v>
      </c>
      <c r="G90" s="27" t="s">
        <v>122</v>
      </c>
      <c r="H90" s="27"/>
      <c r="I90" s="27"/>
      <c r="J90" t="s">
        <v>126</v>
      </c>
      <c r="K90" t="s">
        <v>47</v>
      </c>
      <c r="N90" s="27" t="s">
        <v>13</v>
      </c>
      <c r="O90" s="27">
        <v>58</v>
      </c>
      <c r="P90" s="27"/>
      <c r="Q90" s="27"/>
      <c r="R90" t="s">
        <v>126</v>
      </c>
      <c r="S90">
        <v>0.41099999999999998</v>
      </c>
      <c r="T90">
        <v>0</v>
      </c>
      <c r="V90" s="27" t="s">
        <v>126</v>
      </c>
      <c r="W90" s="27">
        <v>367</v>
      </c>
      <c r="X90" s="27">
        <v>0</v>
      </c>
      <c r="Y90" s="27"/>
      <c r="Z90" t="s">
        <v>126</v>
      </c>
      <c r="AA90">
        <v>0</v>
      </c>
      <c r="AB90">
        <v>0</v>
      </c>
      <c r="AC90">
        <v>0</v>
      </c>
      <c r="AE90" t="s">
        <v>134</v>
      </c>
      <c r="AG90" t="s">
        <v>25</v>
      </c>
      <c r="AI90" t="s">
        <v>164</v>
      </c>
      <c r="AJ90" t="s">
        <v>256</v>
      </c>
      <c r="AK90" t="str" cm="1">
        <f t="array" ref="AK90">_xlfn.IFS(AND(AH90="",AI90=""),"",AND(AH90&lt;&gt;"",AI90=""),AH90,AND(AH90&lt;&gt;"",AI90&lt;&gt;""),AH90&amp;" , "&amp;AJ90,AND(AH90="",AI90&lt;&gt;""),AJ90)</f>
        <v>Available Date 07 Januari 2024</v>
      </c>
    </row>
    <row r="91" spans="1:37" x14ac:dyDescent="0.25">
      <c r="A91" t="s">
        <v>349</v>
      </c>
      <c r="B91">
        <v>181590</v>
      </c>
      <c r="C91" t="s">
        <v>14</v>
      </c>
      <c r="D91" t="s">
        <v>121</v>
      </c>
      <c r="E91">
        <v>293262</v>
      </c>
      <c r="F91" s="27" t="s">
        <v>126</v>
      </c>
      <c r="G91" s="27" t="s">
        <v>122</v>
      </c>
      <c r="H91" s="27"/>
      <c r="I91" s="27"/>
      <c r="J91" t="s">
        <v>126</v>
      </c>
      <c r="K91" t="s">
        <v>44</v>
      </c>
      <c r="N91" s="27" t="s">
        <v>13</v>
      </c>
      <c r="O91" s="27">
        <v>58</v>
      </c>
      <c r="P91" s="27"/>
      <c r="Q91" s="27"/>
      <c r="R91" t="s">
        <v>126</v>
      </c>
      <c r="S91">
        <v>0.32600000000000001</v>
      </c>
      <c r="T91">
        <v>0</v>
      </c>
      <c r="V91" s="27" t="s">
        <v>126</v>
      </c>
      <c r="W91" s="27">
        <v>2350</v>
      </c>
      <c r="X91" s="27">
        <v>0</v>
      </c>
      <c r="Y91" s="27"/>
      <c r="Z91" t="s">
        <v>126</v>
      </c>
      <c r="AA91">
        <v>0</v>
      </c>
      <c r="AB91">
        <v>0</v>
      </c>
      <c r="AC91">
        <v>0</v>
      </c>
      <c r="AE91" t="s">
        <v>134</v>
      </c>
      <c r="AG91" t="s">
        <v>25</v>
      </c>
      <c r="AI91" t="s">
        <v>164</v>
      </c>
      <c r="AJ91" t="s">
        <v>256</v>
      </c>
      <c r="AK91" t="str" cm="1">
        <f t="array" ref="AK91">_xlfn.IFS(AND(AH91="",AI91=""),"",AND(AH91&lt;&gt;"",AI91=""),AH91,AND(AH91&lt;&gt;"",AI91&lt;&gt;""),AH91&amp;" , "&amp;AJ91,AND(AH91="",AI91&lt;&gt;""),AJ91)</f>
        <v>Available Date 07 Januari 2024</v>
      </c>
    </row>
    <row r="92" spans="1:37" x14ac:dyDescent="0.25">
      <c r="A92" t="s">
        <v>350</v>
      </c>
      <c r="B92">
        <v>181590</v>
      </c>
      <c r="C92" t="s">
        <v>14</v>
      </c>
      <c r="D92" t="s">
        <v>121</v>
      </c>
      <c r="E92">
        <v>292101</v>
      </c>
      <c r="F92" s="27" t="s">
        <v>126</v>
      </c>
      <c r="G92" s="27" t="s">
        <v>122</v>
      </c>
      <c r="H92" s="27"/>
      <c r="I92" s="27"/>
      <c r="J92" t="s">
        <v>126</v>
      </c>
      <c r="K92" t="s">
        <v>44</v>
      </c>
      <c r="N92" s="27" t="s">
        <v>13</v>
      </c>
      <c r="O92" s="27">
        <v>58</v>
      </c>
      <c r="P92" s="27"/>
      <c r="Q92" s="27"/>
      <c r="R92" t="s">
        <v>126</v>
      </c>
      <c r="S92">
        <v>0.32600000000000001</v>
      </c>
      <c r="T92">
        <v>0</v>
      </c>
      <c r="V92" s="27" t="s">
        <v>126</v>
      </c>
      <c r="W92" s="27">
        <v>2350</v>
      </c>
      <c r="X92" s="27">
        <v>0</v>
      </c>
      <c r="Y92" s="27"/>
      <c r="Z92" t="s">
        <v>126</v>
      </c>
      <c r="AA92">
        <v>0</v>
      </c>
      <c r="AB92">
        <v>0</v>
      </c>
      <c r="AC92">
        <v>0</v>
      </c>
      <c r="AE92" t="s">
        <v>134</v>
      </c>
      <c r="AG92" t="s">
        <v>25</v>
      </c>
      <c r="AI92" t="s">
        <v>164</v>
      </c>
      <c r="AJ92" t="s">
        <v>256</v>
      </c>
      <c r="AK92" t="str" cm="1">
        <f t="array" ref="AK92">_xlfn.IFS(AND(AH92="",AI92=""),"",AND(AH92&lt;&gt;"",AI92=""),AH92,AND(AH92&lt;&gt;"",AI92&lt;&gt;""),AH92&amp;" , "&amp;AJ92,AND(AH92="",AI92&lt;&gt;""),AJ92)</f>
        <v>Available Date 07 Januari 2024</v>
      </c>
    </row>
    <row r="93" spans="1:37" x14ac:dyDescent="0.25">
      <c r="A93" t="s">
        <v>351</v>
      </c>
      <c r="B93">
        <v>181590</v>
      </c>
      <c r="C93" t="s">
        <v>14</v>
      </c>
      <c r="D93" t="s">
        <v>121</v>
      </c>
      <c r="E93">
        <v>290061</v>
      </c>
      <c r="F93" s="27" t="s">
        <v>126</v>
      </c>
      <c r="G93" s="27" t="s">
        <v>122</v>
      </c>
      <c r="H93" s="27"/>
      <c r="I93" s="27"/>
      <c r="J93" t="s">
        <v>126</v>
      </c>
      <c r="K93" t="s">
        <v>44</v>
      </c>
      <c r="N93" s="27" t="s">
        <v>13</v>
      </c>
      <c r="O93" s="27">
        <v>58</v>
      </c>
      <c r="P93" s="27"/>
      <c r="Q93" s="27"/>
      <c r="R93" t="s">
        <v>126</v>
      </c>
      <c r="S93">
        <v>0.32600000000000001</v>
      </c>
      <c r="T93">
        <v>0</v>
      </c>
      <c r="V93" s="27" t="s">
        <v>126</v>
      </c>
      <c r="W93" s="27">
        <v>2350</v>
      </c>
      <c r="X93" s="27">
        <v>0</v>
      </c>
      <c r="Y93" s="27"/>
      <c r="Z93" t="s">
        <v>126</v>
      </c>
      <c r="AA93">
        <v>0</v>
      </c>
      <c r="AB93">
        <v>0</v>
      </c>
      <c r="AC93">
        <v>0</v>
      </c>
      <c r="AE93" t="s">
        <v>134</v>
      </c>
      <c r="AG93" t="s">
        <v>25</v>
      </c>
      <c r="AI93" t="s">
        <v>164</v>
      </c>
      <c r="AJ93" t="s">
        <v>256</v>
      </c>
      <c r="AK93" t="str" cm="1">
        <f t="array" ref="AK93">_xlfn.IFS(AND(AH93="",AI93=""),"",AND(AH93&lt;&gt;"",AI93=""),AH93,AND(AH93&lt;&gt;"",AI93&lt;&gt;""),AH93&amp;" , "&amp;AJ93,AND(AH93="",AI93&lt;&gt;""),AJ93)</f>
        <v>Available Date 07 Januari 2024</v>
      </c>
    </row>
    <row r="94" spans="1:37" x14ac:dyDescent="0.25">
      <c r="A94" t="s">
        <v>352</v>
      </c>
      <c r="B94">
        <v>181589</v>
      </c>
      <c r="C94" t="s">
        <v>14</v>
      </c>
      <c r="D94" t="s">
        <v>121</v>
      </c>
      <c r="E94">
        <v>292730</v>
      </c>
      <c r="F94" s="27" t="s">
        <v>126</v>
      </c>
      <c r="G94" s="27" t="s">
        <v>122</v>
      </c>
      <c r="H94" s="27"/>
      <c r="I94" s="27"/>
      <c r="J94" t="s">
        <v>126</v>
      </c>
      <c r="K94" t="s">
        <v>49</v>
      </c>
      <c r="N94" s="27" t="s">
        <v>13</v>
      </c>
      <c r="O94" s="27">
        <v>58</v>
      </c>
      <c r="P94" s="27"/>
      <c r="Q94" s="27"/>
      <c r="R94" t="s">
        <v>126</v>
      </c>
      <c r="S94">
        <v>0.32800000000000001</v>
      </c>
      <c r="T94">
        <v>0</v>
      </c>
      <c r="V94" s="27" t="s">
        <v>126</v>
      </c>
      <c r="W94" s="27">
        <v>3341</v>
      </c>
      <c r="X94" s="27">
        <v>0</v>
      </c>
      <c r="Y94" s="27"/>
      <c r="Z94" t="s">
        <v>126</v>
      </c>
      <c r="AA94">
        <v>0</v>
      </c>
      <c r="AB94">
        <v>0</v>
      </c>
      <c r="AC94">
        <v>0</v>
      </c>
      <c r="AE94" t="s">
        <v>133</v>
      </c>
      <c r="AG94" t="s">
        <v>25</v>
      </c>
      <c r="AI94" t="s">
        <v>164</v>
      </c>
      <c r="AJ94" t="s">
        <v>256</v>
      </c>
      <c r="AK94" t="str" cm="1">
        <f t="array" ref="AK94">_xlfn.IFS(AND(AH94="",AI94=""),"",AND(AH94&lt;&gt;"",AI94=""),AH94,AND(AH94&lt;&gt;"",AI94&lt;&gt;""),AH94&amp;" , "&amp;AJ94,AND(AH94="",AI94&lt;&gt;""),AJ94)</f>
        <v>Available Date 07 Januari 2024</v>
      </c>
    </row>
    <row r="95" spans="1:37" x14ac:dyDescent="0.25">
      <c r="A95" t="s">
        <v>353</v>
      </c>
      <c r="B95">
        <v>181589</v>
      </c>
      <c r="C95" t="s">
        <v>14</v>
      </c>
      <c r="D95" t="s">
        <v>121</v>
      </c>
      <c r="E95">
        <v>290061</v>
      </c>
      <c r="F95" s="27" t="s">
        <v>126</v>
      </c>
      <c r="G95" s="27" t="s">
        <v>122</v>
      </c>
      <c r="H95" s="27" t="s">
        <v>62</v>
      </c>
      <c r="I95" s="27">
        <v>-1</v>
      </c>
      <c r="J95" t="s">
        <v>126</v>
      </c>
      <c r="K95" t="s">
        <v>49</v>
      </c>
      <c r="N95" s="27" t="s">
        <v>13</v>
      </c>
      <c r="O95" s="27">
        <v>58</v>
      </c>
      <c r="P95" s="27"/>
      <c r="Q95" s="27"/>
      <c r="R95" t="s">
        <v>126</v>
      </c>
      <c r="S95">
        <v>0.32800000000000001</v>
      </c>
      <c r="T95">
        <v>0</v>
      </c>
      <c r="V95" s="27" t="s">
        <v>126</v>
      </c>
      <c r="W95" s="27">
        <v>3341</v>
      </c>
      <c r="X95" s="27">
        <v>3341</v>
      </c>
      <c r="Y95" s="27">
        <v>0</v>
      </c>
      <c r="Z95" t="s">
        <v>126</v>
      </c>
      <c r="AA95">
        <v>0</v>
      </c>
      <c r="AB95">
        <v>0</v>
      </c>
      <c r="AC95">
        <v>1096</v>
      </c>
      <c r="AD95">
        <v>0</v>
      </c>
      <c r="AE95" t="s">
        <v>133</v>
      </c>
      <c r="AG95" t="s">
        <v>25</v>
      </c>
      <c r="AJ95" t="s">
        <v>95</v>
      </c>
      <c r="AK95" t="str" cm="1">
        <f t="array" ref="AK95">_xlfn.IFS(AND(AH95="",AI95=""),"",AND(AH95&lt;&gt;"",AI95=""),AH95,AND(AH95&lt;&gt;"",AI95&lt;&gt;""),AH95&amp;" , "&amp;AJ95,AND(AH95="",AI95&lt;&gt;""),AJ95)</f>
        <v/>
      </c>
    </row>
    <row r="96" spans="1:37" x14ac:dyDescent="0.25">
      <c r="A96" t="s">
        <v>354</v>
      </c>
      <c r="B96">
        <v>181589</v>
      </c>
      <c r="C96" t="s">
        <v>14</v>
      </c>
      <c r="D96" t="s">
        <v>121</v>
      </c>
      <c r="E96">
        <v>290059</v>
      </c>
      <c r="F96" s="27" t="s">
        <v>126</v>
      </c>
      <c r="G96" s="27" t="s">
        <v>122</v>
      </c>
      <c r="H96" s="27" t="s">
        <v>62</v>
      </c>
      <c r="I96" s="27">
        <v>-1</v>
      </c>
      <c r="J96" t="s">
        <v>126</v>
      </c>
      <c r="K96" t="s">
        <v>49</v>
      </c>
      <c r="N96" s="27" t="s">
        <v>13</v>
      </c>
      <c r="O96" s="27">
        <v>58</v>
      </c>
      <c r="P96" s="27"/>
      <c r="Q96" s="27"/>
      <c r="R96" t="s">
        <v>126</v>
      </c>
      <c r="S96">
        <v>0.32800000000000001</v>
      </c>
      <c r="T96">
        <v>0</v>
      </c>
      <c r="V96" s="27" t="s">
        <v>126</v>
      </c>
      <c r="W96" s="27">
        <v>3341</v>
      </c>
      <c r="X96" s="27">
        <v>3341</v>
      </c>
      <c r="Y96" s="27">
        <v>0</v>
      </c>
      <c r="Z96" t="s">
        <v>126</v>
      </c>
      <c r="AA96">
        <v>0</v>
      </c>
      <c r="AB96">
        <v>0</v>
      </c>
      <c r="AC96">
        <v>1096</v>
      </c>
      <c r="AD96">
        <v>0</v>
      </c>
      <c r="AE96" t="s">
        <v>133</v>
      </c>
      <c r="AG96" t="s">
        <v>25</v>
      </c>
      <c r="AJ96" t="s">
        <v>95</v>
      </c>
      <c r="AK96" t="str" cm="1">
        <f t="array" ref="AK96">_xlfn.IFS(AND(AH96="",AI96=""),"",AND(AH96&lt;&gt;"",AI96=""),AH96,AND(AH96&lt;&gt;"",AI96&lt;&gt;""),AH96&amp;" , "&amp;AJ96,AND(AH96="",AI96&lt;&gt;""),AJ96)</f>
        <v/>
      </c>
    </row>
    <row r="97" spans="1:37" x14ac:dyDescent="0.25">
      <c r="A97" t="s">
        <v>355</v>
      </c>
      <c r="B97">
        <v>181588</v>
      </c>
      <c r="C97" t="s">
        <v>14</v>
      </c>
      <c r="D97" t="s">
        <v>121</v>
      </c>
      <c r="E97">
        <v>290059</v>
      </c>
      <c r="F97" s="27" t="s">
        <v>126</v>
      </c>
      <c r="G97" s="27" t="s">
        <v>122</v>
      </c>
      <c r="H97" s="27"/>
      <c r="I97" s="27"/>
      <c r="J97" t="s">
        <v>126</v>
      </c>
      <c r="K97" t="s">
        <v>39</v>
      </c>
      <c r="N97" s="27" t="s">
        <v>13</v>
      </c>
      <c r="O97" s="27">
        <v>58</v>
      </c>
      <c r="P97" s="27"/>
      <c r="Q97" s="27"/>
      <c r="R97" t="s">
        <v>126</v>
      </c>
      <c r="S97">
        <v>0.41099999999999998</v>
      </c>
      <c r="T97">
        <v>0</v>
      </c>
      <c r="V97" s="27" t="s">
        <v>126</v>
      </c>
      <c r="W97" s="27">
        <v>367</v>
      </c>
      <c r="X97" s="27">
        <v>0</v>
      </c>
      <c r="Y97" s="27"/>
      <c r="Z97" t="s">
        <v>126</v>
      </c>
      <c r="AA97">
        <v>0</v>
      </c>
      <c r="AB97">
        <v>0</v>
      </c>
      <c r="AC97">
        <v>0</v>
      </c>
      <c r="AE97" t="s">
        <v>134</v>
      </c>
      <c r="AG97" t="s">
        <v>25</v>
      </c>
      <c r="AI97" t="s">
        <v>164</v>
      </c>
      <c r="AJ97" t="s">
        <v>256</v>
      </c>
      <c r="AK97" t="str" cm="1">
        <f t="array" ref="AK97">_xlfn.IFS(AND(AH97="",AI97=""),"",AND(AH97&lt;&gt;"",AI97=""),AH97,AND(AH97&lt;&gt;"",AI97&lt;&gt;""),AH97&amp;" , "&amp;AJ97,AND(AH97="",AI97&lt;&gt;""),AJ97)</f>
        <v>Available Date 07 Januari 2024</v>
      </c>
    </row>
    <row r="98" spans="1:37" x14ac:dyDescent="0.25">
      <c r="A98" t="s">
        <v>356</v>
      </c>
      <c r="B98">
        <v>181588</v>
      </c>
      <c r="C98" t="s">
        <v>14</v>
      </c>
      <c r="D98" t="s">
        <v>121</v>
      </c>
      <c r="E98">
        <v>292100</v>
      </c>
      <c r="F98" s="27" t="s">
        <v>126</v>
      </c>
      <c r="G98" s="27" t="s">
        <v>122</v>
      </c>
      <c r="H98" s="27"/>
      <c r="I98" s="27"/>
      <c r="J98" t="s">
        <v>126</v>
      </c>
      <c r="K98" t="s">
        <v>39</v>
      </c>
      <c r="N98" s="27" t="s">
        <v>13</v>
      </c>
      <c r="O98" s="27">
        <v>58</v>
      </c>
      <c r="P98" s="27"/>
      <c r="Q98" s="27"/>
      <c r="R98" t="s">
        <v>126</v>
      </c>
      <c r="S98">
        <v>0.41099999999999998</v>
      </c>
      <c r="T98">
        <v>0</v>
      </c>
      <c r="V98" s="27" t="s">
        <v>126</v>
      </c>
      <c r="W98" s="27">
        <v>367</v>
      </c>
      <c r="X98" s="27">
        <v>0</v>
      </c>
      <c r="Y98" s="27"/>
      <c r="Z98" t="s">
        <v>126</v>
      </c>
      <c r="AA98">
        <v>0</v>
      </c>
      <c r="AB98">
        <v>0</v>
      </c>
      <c r="AC98">
        <v>0</v>
      </c>
      <c r="AE98" t="s">
        <v>134</v>
      </c>
      <c r="AG98" t="s">
        <v>25</v>
      </c>
      <c r="AI98" t="s">
        <v>164</v>
      </c>
      <c r="AJ98" t="s">
        <v>256</v>
      </c>
      <c r="AK98" t="str" cm="1">
        <f t="array" ref="AK98">_xlfn.IFS(AND(AH98="",AI98=""),"",AND(AH98&lt;&gt;"",AI98=""),AH98,AND(AH98&lt;&gt;"",AI98&lt;&gt;""),AH98&amp;" , "&amp;AJ98,AND(AH98="",AI98&lt;&gt;""),AJ98)</f>
        <v>Available Date 07 Januari 2024</v>
      </c>
    </row>
    <row r="99" spans="1:37" x14ac:dyDescent="0.25">
      <c r="A99" t="s">
        <v>357</v>
      </c>
      <c r="B99">
        <v>181588</v>
      </c>
      <c r="C99" t="s">
        <v>14</v>
      </c>
      <c r="D99" t="s">
        <v>121</v>
      </c>
      <c r="E99">
        <v>290060</v>
      </c>
      <c r="F99" s="27" t="s">
        <v>126</v>
      </c>
      <c r="G99" s="27" t="s">
        <v>122</v>
      </c>
      <c r="H99" s="27"/>
      <c r="I99" s="27"/>
      <c r="J99" t="s">
        <v>126</v>
      </c>
      <c r="K99" t="s">
        <v>39</v>
      </c>
      <c r="N99" s="27" t="s">
        <v>13</v>
      </c>
      <c r="O99" s="27">
        <v>58</v>
      </c>
      <c r="P99" s="27"/>
      <c r="Q99" s="27"/>
      <c r="R99" t="s">
        <v>126</v>
      </c>
      <c r="S99">
        <v>0.41099999999999998</v>
      </c>
      <c r="T99">
        <v>0</v>
      </c>
      <c r="V99" s="27" t="s">
        <v>126</v>
      </c>
      <c r="W99" s="27">
        <v>367</v>
      </c>
      <c r="X99" s="27">
        <v>0</v>
      </c>
      <c r="Y99" s="27"/>
      <c r="Z99" t="s">
        <v>126</v>
      </c>
      <c r="AA99">
        <v>0</v>
      </c>
      <c r="AB99">
        <v>0</v>
      </c>
      <c r="AC99">
        <v>0</v>
      </c>
      <c r="AE99" t="s">
        <v>134</v>
      </c>
      <c r="AG99" t="s">
        <v>25</v>
      </c>
      <c r="AI99" t="s">
        <v>164</v>
      </c>
      <c r="AJ99" t="s">
        <v>256</v>
      </c>
      <c r="AK99" t="str" cm="1">
        <f t="array" ref="AK99">_xlfn.IFS(AND(AH99="",AI99=""),"",AND(AH99&lt;&gt;"",AI99=""),AH99,AND(AH99&lt;&gt;"",AI99&lt;&gt;""),AH99&amp;" , "&amp;AJ99,AND(AH99="",AI99&lt;&gt;""),AJ99)</f>
        <v>Available Date 07 Januari 2024</v>
      </c>
    </row>
    <row r="100" spans="1:37" x14ac:dyDescent="0.25">
      <c r="A100" t="s">
        <v>358</v>
      </c>
      <c r="B100">
        <v>181587</v>
      </c>
      <c r="C100" t="s">
        <v>14</v>
      </c>
      <c r="D100" t="s">
        <v>121</v>
      </c>
      <c r="E100">
        <v>290059</v>
      </c>
      <c r="F100" s="27" t="s">
        <v>126</v>
      </c>
      <c r="G100" s="27" t="s">
        <v>122</v>
      </c>
      <c r="H100" s="27" t="s">
        <v>62</v>
      </c>
      <c r="I100" s="27">
        <v>-1</v>
      </c>
      <c r="J100" t="s">
        <v>126</v>
      </c>
      <c r="K100" t="s">
        <v>41</v>
      </c>
      <c r="N100" s="27" t="s">
        <v>13</v>
      </c>
      <c r="O100" s="27">
        <v>58</v>
      </c>
      <c r="P100" s="27"/>
      <c r="Q100" s="27"/>
      <c r="R100" t="s">
        <v>126</v>
      </c>
      <c r="S100">
        <v>0.34799999999999998</v>
      </c>
      <c r="T100">
        <v>0</v>
      </c>
      <c r="V100" s="27" t="s">
        <v>126</v>
      </c>
      <c r="W100" s="27">
        <v>1060</v>
      </c>
      <c r="X100" s="27">
        <v>1060</v>
      </c>
      <c r="Y100" s="27">
        <v>0</v>
      </c>
      <c r="Z100" t="s">
        <v>126</v>
      </c>
      <c r="AA100">
        <v>0</v>
      </c>
      <c r="AB100">
        <v>0</v>
      </c>
      <c r="AC100">
        <v>369</v>
      </c>
      <c r="AD100">
        <v>0</v>
      </c>
      <c r="AE100" t="s">
        <v>133</v>
      </c>
      <c r="AG100" t="s">
        <v>25</v>
      </c>
      <c r="AJ100" t="s">
        <v>95</v>
      </c>
      <c r="AK100" t="str" cm="1">
        <f t="array" ref="AK100">_xlfn.IFS(AND(AH100="",AI100=""),"",AND(AH100&lt;&gt;"",AI100=""),AH100,AND(AH100&lt;&gt;"",AI100&lt;&gt;""),AH100&amp;" , "&amp;AJ100,AND(AH100="",AI100&lt;&gt;""),AJ100)</f>
        <v/>
      </c>
    </row>
    <row r="101" spans="1:37" x14ac:dyDescent="0.25">
      <c r="A101" t="s">
        <v>359</v>
      </c>
      <c r="B101">
        <v>181587</v>
      </c>
      <c r="C101" t="s">
        <v>14</v>
      </c>
      <c r="D101" t="s">
        <v>121</v>
      </c>
      <c r="E101">
        <v>292100</v>
      </c>
      <c r="F101" s="27" t="s">
        <v>126</v>
      </c>
      <c r="G101" s="27" t="s">
        <v>122</v>
      </c>
      <c r="H101" s="27" t="s">
        <v>62</v>
      </c>
      <c r="I101" s="27">
        <v>-1</v>
      </c>
      <c r="J101" t="s">
        <v>126</v>
      </c>
      <c r="K101" t="s">
        <v>41</v>
      </c>
      <c r="N101" s="27" t="s">
        <v>13</v>
      </c>
      <c r="O101" s="27">
        <v>58</v>
      </c>
      <c r="P101" s="27"/>
      <c r="Q101" s="27"/>
      <c r="R101" t="s">
        <v>126</v>
      </c>
      <c r="S101">
        <v>0.34799999999999998</v>
      </c>
      <c r="T101">
        <v>0</v>
      </c>
      <c r="V101" s="27" t="s">
        <v>126</v>
      </c>
      <c r="W101" s="27">
        <v>1101</v>
      </c>
      <c r="X101" s="27">
        <v>1101</v>
      </c>
      <c r="Y101" s="27">
        <v>0</v>
      </c>
      <c r="Z101" t="s">
        <v>126</v>
      </c>
      <c r="AA101">
        <v>0</v>
      </c>
      <c r="AB101">
        <v>0</v>
      </c>
      <c r="AC101">
        <v>383</v>
      </c>
      <c r="AD101">
        <v>0</v>
      </c>
      <c r="AE101" t="s">
        <v>133</v>
      </c>
      <c r="AG101" t="s">
        <v>25</v>
      </c>
      <c r="AJ101" t="s">
        <v>95</v>
      </c>
      <c r="AK101" t="str" cm="1">
        <f t="array" ref="AK101">_xlfn.IFS(AND(AH101="",AI101=""),"",AND(AH101&lt;&gt;"",AI101=""),AH101,AND(AH101&lt;&gt;"",AI101&lt;&gt;""),AH101&amp;" , "&amp;AJ101,AND(AH101="",AI101&lt;&gt;""),AJ101)</f>
        <v/>
      </c>
    </row>
    <row r="102" spans="1:37" x14ac:dyDescent="0.25">
      <c r="A102" t="s">
        <v>360</v>
      </c>
      <c r="B102">
        <v>181587</v>
      </c>
      <c r="C102" t="s">
        <v>14</v>
      </c>
      <c r="D102" t="s">
        <v>121</v>
      </c>
      <c r="E102">
        <v>290060</v>
      </c>
      <c r="F102" s="27" t="s">
        <v>126</v>
      </c>
      <c r="G102" s="27" t="s">
        <v>122</v>
      </c>
      <c r="H102" s="27" t="s">
        <v>62</v>
      </c>
      <c r="I102" s="27">
        <v>-1</v>
      </c>
      <c r="J102" t="s">
        <v>126</v>
      </c>
      <c r="K102" t="s">
        <v>41</v>
      </c>
      <c r="N102" s="27" t="s">
        <v>13</v>
      </c>
      <c r="O102" s="27">
        <v>58</v>
      </c>
      <c r="P102" s="27"/>
      <c r="Q102" s="27"/>
      <c r="R102" t="s">
        <v>126</v>
      </c>
      <c r="S102">
        <v>0.34799999999999998</v>
      </c>
      <c r="T102">
        <v>0</v>
      </c>
      <c r="V102" s="27" t="s">
        <v>126</v>
      </c>
      <c r="W102" s="27">
        <v>1060</v>
      </c>
      <c r="X102" s="27">
        <v>1060</v>
      </c>
      <c r="Y102" s="27">
        <v>0</v>
      </c>
      <c r="Z102" t="s">
        <v>126</v>
      </c>
      <c r="AA102">
        <v>0</v>
      </c>
      <c r="AB102">
        <v>0</v>
      </c>
      <c r="AC102">
        <v>369</v>
      </c>
      <c r="AD102">
        <v>0</v>
      </c>
      <c r="AE102" t="s">
        <v>133</v>
      </c>
      <c r="AG102" t="s">
        <v>25</v>
      </c>
      <c r="AJ102" t="s">
        <v>95</v>
      </c>
      <c r="AK102" t="str" cm="1">
        <f t="array" ref="AK102">_xlfn.IFS(AND(AH102="",AI102=""),"",AND(AH102&lt;&gt;"",AI102=""),AH102,AND(AH102&lt;&gt;"",AI102&lt;&gt;""),AH102&amp;" , "&amp;AJ102,AND(AH102="",AI102&lt;&gt;""),AJ102)</f>
        <v/>
      </c>
    </row>
    <row r="103" spans="1:37" x14ac:dyDescent="0.25">
      <c r="A103" t="s">
        <v>361</v>
      </c>
      <c r="B103">
        <v>181586</v>
      </c>
      <c r="C103" t="s">
        <v>14</v>
      </c>
      <c r="D103" t="s">
        <v>121</v>
      </c>
      <c r="E103">
        <v>290059</v>
      </c>
      <c r="F103" s="27" t="s">
        <v>126</v>
      </c>
      <c r="G103" s="27" t="s">
        <v>122</v>
      </c>
      <c r="H103" s="27" t="s">
        <v>62</v>
      </c>
      <c r="I103" s="27">
        <v>-1</v>
      </c>
      <c r="J103" t="s">
        <v>126</v>
      </c>
      <c r="K103" t="s">
        <v>65</v>
      </c>
      <c r="L103" t="s">
        <v>62</v>
      </c>
      <c r="M103">
        <v>1</v>
      </c>
      <c r="N103" s="27" t="s">
        <v>13</v>
      </c>
      <c r="O103" s="27">
        <v>58</v>
      </c>
      <c r="P103" s="27">
        <v>58</v>
      </c>
      <c r="Q103" s="27">
        <v>0</v>
      </c>
      <c r="R103" t="s">
        <v>126</v>
      </c>
      <c r="S103">
        <v>0.33</v>
      </c>
      <c r="T103">
        <v>0.3135</v>
      </c>
      <c r="U103">
        <v>-5</v>
      </c>
      <c r="V103" s="27" t="s">
        <v>126</v>
      </c>
      <c r="W103" s="27">
        <v>1006</v>
      </c>
      <c r="X103" s="27">
        <v>1006</v>
      </c>
      <c r="Y103" s="27">
        <v>0</v>
      </c>
      <c r="Z103" t="s">
        <v>126</v>
      </c>
      <c r="AA103">
        <v>0</v>
      </c>
      <c r="AB103">
        <v>22.7</v>
      </c>
      <c r="AC103">
        <v>332</v>
      </c>
      <c r="AD103">
        <v>6.84</v>
      </c>
      <c r="AE103" t="s">
        <v>133</v>
      </c>
      <c r="AG103" t="s">
        <v>25</v>
      </c>
      <c r="AJ103" t="s">
        <v>95</v>
      </c>
      <c r="AK103" t="str" cm="1">
        <f t="array" ref="AK103">_xlfn.IFS(AND(AH103="",AI103=""),"",AND(AH103&lt;&gt;"",AI103=""),AH103,AND(AH103&lt;&gt;"",AI103&lt;&gt;""),AH103&amp;" , "&amp;AJ103,AND(AH103="",AI103&lt;&gt;""),AJ103)</f>
        <v/>
      </c>
    </row>
    <row r="104" spans="1:37" x14ac:dyDescent="0.25">
      <c r="A104" t="s">
        <v>362</v>
      </c>
      <c r="B104">
        <v>181584</v>
      </c>
      <c r="C104" t="s">
        <v>14</v>
      </c>
      <c r="D104" t="s">
        <v>121</v>
      </c>
      <c r="E104">
        <v>290059</v>
      </c>
      <c r="F104" s="27" t="s">
        <v>126</v>
      </c>
      <c r="G104" s="27" t="s">
        <v>122</v>
      </c>
      <c r="H104" s="27" t="s">
        <v>62</v>
      </c>
      <c r="I104" s="27">
        <v>-1</v>
      </c>
      <c r="J104" t="s">
        <v>126</v>
      </c>
      <c r="K104" t="s">
        <v>39</v>
      </c>
      <c r="N104" s="27" t="s">
        <v>13</v>
      </c>
      <c r="O104" s="27">
        <v>58</v>
      </c>
      <c r="P104" s="27"/>
      <c r="Q104" s="27"/>
      <c r="R104" t="s">
        <v>126</v>
      </c>
      <c r="S104">
        <v>0.41099999999999998</v>
      </c>
      <c r="T104">
        <v>0</v>
      </c>
      <c r="V104" s="27" t="s">
        <v>126</v>
      </c>
      <c r="W104" s="27">
        <v>7066</v>
      </c>
      <c r="X104" s="27">
        <v>7066</v>
      </c>
      <c r="Y104" s="27">
        <v>0</v>
      </c>
      <c r="Z104" t="s">
        <v>126</v>
      </c>
      <c r="AA104">
        <v>0</v>
      </c>
      <c r="AB104">
        <v>0</v>
      </c>
      <c r="AC104">
        <v>2904</v>
      </c>
      <c r="AD104">
        <v>0</v>
      </c>
      <c r="AE104" t="s">
        <v>133</v>
      </c>
      <c r="AG104" t="s">
        <v>25</v>
      </c>
      <c r="AJ104" t="s">
        <v>95</v>
      </c>
      <c r="AK104" t="str" cm="1">
        <f t="array" ref="AK104">_xlfn.IFS(AND(AH104="",AI104=""),"",AND(AH104&lt;&gt;"",AI104=""),AH104,AND(AH104&lt;&gt;"",AI104&lt;&gt;""),AH104&amp;" , "&amp;AJ104,AND(AH104="",AI104&lt;&gt;""),AJ104)</f>
        <v/>
      </c>
    </row>
    <row r="105" spans="1:37" x14ac:dyDescent="0.25">
      <c r="A105" t="s">
        <v>363</v>
      </c>
      <c r="B105">
        <v>181585</v>
      </c>
      <c r="C105" t="s">
        <v>14</v>
      </c>
      <c r="D105" t="s">
        <v>121</v>
      </c>
      <c r="E105">
        <v>290062</v>
      </c>
      <c r="F105" s="27" t="s">
        <v>126</v>
      </c>
      <c r="G105" s="27" t="s">
        <v>122</v>
      </c>
      <c r="H105" s="27"/>
      <c r="I105" s="27"/>
      <c r="J105" t="s">
        <v>126</v>
      </c>
      <c r="K105" t="s">
        <v>128</v>
      </c>
      <c r="N105" s="27" t="s">
        <v>13</v>
      </c>
      <c r="O105" s="27">
        <v>58</v>
      </c>
      <c r="P105" s="27"/>
      <c r="Q105" s="27"/>
      <c r="R105" t="s">
        <v>126</v>
      </c>
      <c r="S105">
        <v>0.33400000000000002</v>
      </c>
      <c r="T105">
        <v>0</v>
      </c>
      <c r="V105" s="27" t="s">
        <v>126</v>
      </c>
      <c r="W105" s="27">
        <v>3135</v>
      </c>
      <c r="X105" s="27">
        <v>0</v>
      </c>
      <c r="Y105" s="27"/>
      <c r="Z105" t="s">
        <v>126</v>
      </c>
      <c r="AA105">
        <v>0</v>
      </c>
      <c r="AB105">
        <v>0</v>
      </c>
      <c r="AC105">
        <v>0</v>
      </c>
      <c r="AE105" t="s">
        <v>133</v>
      </c>
      <c r="AG105" t="s">
        <v>25</v>
      </c>
      <c r="AI105" t="s">
        <v>164</v>
      </c>
      <c r="AJ105" t="s">
        <v>256</v>
      </c>
      <c r="AK105" t="str" cm="1">
        <f t="array" ref="AK105">_xlfn.IFS(AND(AH105="",AI105=""),"",AND(AH105&lt;&gt;"",AI105=""),AH105,AND(AH105&lt;&gt;"",AI105&lt;&gt;""),AH105&amp;" , "&amp;AJ105,AND(AH105="",AI105&lt;&gt;""),AJ105)</f>
        <v>Available Date 07 Januari 2024</v>
      </c>
    </row>
    <row r="106" spans="1:37" x14ac:dyDescent="0.25">
      <c r="A106" t="s">
        <v>364</v>
      </c>
      <c r="B106">
        <v>181585</v>
      </c>
      <c r="C106" t="s">
        <v>14</v>
      </c>
      <c r="D106" t="s">
        <v>121</v>
      </c>
      <c r="E106">
        <v>290061</v>
      </c>
      <c r="F106" s="27" t="s">
        <v>126</v>
      </c>
      <c r="G106" s="27" t="s">
        <v>122</v>
      </c>
      <c r="H106" s="27" t="s">
        <v>62</v>
      </c>
      <c r="I106" s="27">
        <v>-1</v>
      </c>
      <c r="J106" t="s">
        <v>126</v>
      </c>
      <c r="K106" t="s">
        <v>128</v>
      </c>
      <c r="N106" s="27" t="s">
        <v>13</v>
      </c>
      <c r="O106" s="27">
        <v>58</v>
      </c>
      <c r="P106" s="27"/>
      <c r="Q106" s="27"/>
      <c r="R106" t="s">
        <v>126</v>
      </c>
      <c r="S106">
        <v>0.33400000000000002</v>
      </c>
      <c r="T106">
        <v>0</v>
      </c>
      <c r="V106" s="27" t="s">
        <v>126</v>
      </c>
      <c r="W106" s="27">
        <v>3135</v>
      </c>
      <c r="X106" s="27">
        <v>3135</v>
      </c>
      <c r="Y106" s="27">
        <v>0</v>
      </c>
      <c r="Z106" t="s">
        <v>126</v>
      </c>
      <c r="AA106">
        <v>0</v>
      </c>
      <c r="AB106">
        <v>0</v>
      </c>
      <c r="AC106">
        <v>1047</v>
      </c>
      <c r="AD106">
        <v>0</v>
      </c>
      <c r="AE106" t="s">
        <v>133</v>
      </c>
      <c r="AG106" t="s">
        <v>25</v>
      </c>
      <c r="AJ106" t="s">
        <v>95</v>
      </c>
      <c r="AK106" t="str" cm="1">
        <f t="array" ref="AK106">_xlfn.IFS(AND(AH106="",AI106=""),"",AND(AH106&lt;&gt;"",AI106=""),AH106,AND(AH106&lt;&gt;"",AI106&lt;&gt;""),AH106&amp;" , "&amp;AJ106,AND(AH106="",AI106&lt;&gt;""),AJ106)</f>
        <v/>
      </c>
    </row>
    <row r="107" spans="1:37" x14ac:dyDescent="0.25">
      <c r="A107" t="s">
        <v>365</v>
      </c>
      <c r="B107">
        <v>181585</v>
      </c>
      <c r="C107" t="s">
        <v>14</v>
      </c>
      <c r="D107" t="s">
        <v>121</v>
      </c>
      <c r="E107">
        <v>290063</v>
      </c>
      <c r="F107" s="27" t="s">
        <v>126</v>
      </c>
      <c r="G107" s="27" t="s">
        <v>122</v>
      </c>
      <c r="H107" s="27" t="s">
        <v>62</v>
      </c>
      <c r="I107" s="27">
        <v>-1</v>
      </c>
      <c r="J107" t="s">
        <v>126</v>
      </c>
      <c r="K107" t="s">
        <v>128</v>
      </c>
      <c r="N107" s="27" t="s">
        <v>13</v>
      </c>
      <c r="O107" s="27">
        <v>58</v>
      </c>
      <c r="P107" s="27"/>
      <c r="Q107" s="27"/>
      <c r="R107" t="s">
        <v>126</v>
      </c>
      <c r="S107">
        <v>0.33400000000000002</v>
      </c>
      <c r="T107">
        <v>0</v>
      </c>
      <c r="V107" s="27" t="s">
        <v>126</v>
      </c>
      <c r="W107" s="27">
        <v>3135</v>
      </c>
      <c r="X107" s="27">
        <v>3135</v>
      </c>
      <c r="Y107" s="27">
        <v>0</v>
      </c>
      <c r="Z107" t="s">
        <v>126</v>
      </c>
      <c r="AA107">
        <v>0</v>
      </c>
      <c r="AB107">
        <v>0</v>
      </c>
      <c r="AC107">
        <v>1047</v>
      </c>
      <c r="AD107">
        <v>0</v>
      </c>
      <c r="AE107" t="s">
        <v>133</v>
      </c>
      <c r="AG107" t="s">
        <v>25</v>
      </c>
      <c r="AJ107" t="s">
        <v>95</v>
      </c>
      <c r="AK107" t="str" cm="1">
        <f t="array" ref="AK107">_xlfn.IFS(AND(AH107="",AI107=""),"",AND(AH107&lt;&gt;"",AI107=""),AH107,AND(AH107&lt;&gt;"",AI107&lt;&gt;""),AH107&amp;" , "&amp;AJ107,AND(AH107="",AI107&lt;&gt;""),AJ107)</f>
        <v/>
      </c>
    </row>
    <row r="108" spans="1:37" x14ac:dyDescent="0.25">
      <c r="A108" t="s">
        <v>366</v>
      </c>
      <c r="B108">
        <v>181570</v>
      </c>
      <c r="C108" t="s">
        <v>66</v>
      </c>
      <c r="D108" t="s">
        <v>9</v>
      </c>
      <c r="E108">
        <v>295580</v>
      </c>
      <c r="F108" s="27" t="s">
        <v>12</v>
      </c>
      <c r="G108" s="27" t="s">
        <v>122</v>
      </c>
      <c r="H108" s="27" t="s">
        <v>62</v>
      </c>
      <c r="I108" s="27">
        <v>-1</v>
      </c>
      <c r="J108" t="s">
        <v>12</v>
      </c>
      <c r="K108" t="s">
        <v>123</v>
      </c>
      <c r="N108" s="27"/>
      <c r="O108" s="27">
        <v>0</v>
      </c>
      <c r="P108" s="27"/>
      <c r="Q108" s="27"/>
      <c r="R108" t="s">
        <v>12</v>
      </c>
      <c r="S108">
        <v>0.871</v>
      </c>
      <c r="T108">
        <v>0</v>
      </c>
      <c r="V108" s="27" t="s">
        <v>12</v>
      </c>
      <c r="W108" s="27">
        <v>463</v>
      </c>
      <c r="X108" s="27">
        <v>462</v>
      </c>
      <c r="Y108" s="27">
        <v>-0.22</v>
      </c>
      <c r="Z108" t="s">
        <v>12</v>
      </c>
      <c r="AA108">
        <v>0</v>
      </c>
      <c r="AB108">
        <v>0</v>
      </c>
      <c r="AC108">
        <v>402.5</v>
      </c>
      <c r="AD108">
        <v>0</v>
      </c>
      <c r="AE108" t="s">
        <v>133</v>
      </c>
      <c r="AG108" t="s">
        <v>25</v>
      </c>
      <c r="AI108" t="s">
        <v>157</v>
      </c>
      <c r="AJ108" t="s">
        <v>254</v>
      </c>
      <c r="AK108" t="str" cm="1">
        <f t="array" ref="AK108">_xlfn.IFS(AND(AH108="",AI108=""),"",AND(AH108&lt;&gt;"",AI108=""),AH108,AND(AH108&lt;&gt;"",AI108&lt;&gt;""),AH108&amp;" , "&amp;AJ108,AND(AH108="",AI108&lt;&gt;""),AJ108)</f>
        <v>Available Date 30 Januari 2024</v>
      </c>
    </row>
    <row r="109" spans="1:37" x14ac:dyDescent="0.25">
      <c r="A109" t="s">
        <v>367</v>
      </c>
      <c r="B109">
        <v>181570</v>
      </c>
      <c r="C109" t="s">
        <v>66</v>
      </c>
      <c r="D109" t="s">
        <v>9</v>
      </c>
      <c r="E109">
        <v>295581</v>
      </c>
      <c r="F109" s="27" t="s">
        <v>12</v>
      </c>
      <c r="G109" s="27" t="s">
        <v>122</v>
      </c>
      <c r="H109" s="27" t="s">
        <v>62</v>
      </c>
      <c r="I109" s="27">
        <v>-1</v>
      </c>
      <c r="J109" t="s">
        <v>12</v>
      </c>
      <c r="K109" t="s">
        <v>123</v>
      </c>
      <c r="N109" s="27"/>
      <c r="O109" s="27">
        <v>0</v>
      </c>
      <c r="P109" s="27"/>
      <c r="Q109" s="27"/>
      <c r="R109" t="s">
        <v>12</v>
      </c>
      <c r="S109">
        <v>0.69699999999999995</v>
      </c>
      <c r="T109">
        <v>0</v>
      </c>
      <c r="V109" s="27" t="s">
        <v>12</v>
      </c>
      <c r="W109" s="27">
        <v>471</v>
      </c>
      <c r="X109" s="27">
        <v>212</v>
      </c>
      <c r="Y109" s="27">
        <v>-54.99</v>
      </c>
      <c r="Z109" t="s">
        <v>12</v>
      </c>
      <c r="AA109">
        <v>0</v>
      </c>
      <c r="AB109">
        <v>0</v>
      </c>
      <c r="AC109">
        <v>147.63999999999999</v>
      </c>
      <c r="AD109">
        <v>0</v>
      </c>
      <c r="AE109" t="s">
        <v>133</v>
      </c>
      <c r="AG109" t="s">
        <v>25</v>
      </c>
      <c r="AI109" t="s">
        <v>157</v>
      </c>
      <c r="AJ109" t="s">
        <v>254</v>
      </c>
      <c r="AK109" t="str" cm="1">
        <f t="array" ref="AK109">_xlfn.IFS(AND(AH109="",AI109=""),"",AND(AH109&lt;&gt;"",AI109=""),AH109,AND(AH109&lt;&gt;"",AI109&lt;&gt;""),AH109&amp;" , "&amp;AJ109,AND(AH109="",AI109&lt;&gt;""),AJ109)</f>
        <v>Available Date 30 Januari 2024</v>
      </c>
    </row>
    <row r="110" spans="1:37" x14ac:dyDescent="0.25">
      <c r="A110" t="s">
        <v>368</v>
      </c>
      <c r="B110">
        <v>181569</v>
      </c>
      <c r="C110" t="s">
        <v>66</v>
      </c>
      <c r="D110" t="s">
        <v>9</v>
      </c>
      <c r="E110">
        <v>295580</v>
      </c>
      <c r="F110" s="27" t="s">
        <v>12</v>
      </c>
      <c r="G110" s="27" t="s">
        <v>122</v>
      </c>
      <c r="H110" s="27" t="s">
        <v>62</v>
      </c>
      <c r="I110" s="27">
        <v>-1</v>
      </c>
      <c r="J110" t="s">
        <v>12</v>
      </c>
      <c r="K110" t="s">
        <v>124</v>
      </c>
      <c r="N110" s="27" t="s">
        <v>15</v>
      </c>
      <c r="O110" s="27">
        <v>0</v>
      </c>
      <c r="P110" s="27"/>
      <c r="Q110" s="27"/>
      <c r="R110" t="s">
        <v>12</v>
      </c>
      <c r="S110">
        <v>0.872</v>
      </c>
      <c r="T110">
        <v>0</v>
      </c>
      <c r="V110" s="27" t="s">
        <v>12</v>
      </c>
      <c r="W110" s="27">
        <v>212</v>
      </c>
      <c r="X110" s="27">
        <v>206</v>
      </c>
      <c r="Y110" s="27">
        <v>-2.83</v>
      </c>
      <c r="Z110" t="s">
        <v>12</v>
      </c>
      <c r="AA110">
        <v>0</v>
      </c>
      <c r="AB110">
        <v>0</v>
      </c>
      <c r="AC110">
        <v>180</v>
      </c>
      <c r="AD110">
        <v>0</v>
      </c>
      <c r="AE110" t="s">
        <v>133</v>
      </c>
      <c r="AG110" t="s">
        <v>25</v>
      </c>
      <c r="AJ110" t="s">
        <v>95</v>
      </c>
      <c r="AK110" t="str" cm="1">
        <f t="array" ref="AK110">_xlfn.IFS(AND(AH110="",AI110=""),"",AND(AH110&lt;&gt;"",AI110=""),AH110,AND(AH110&lt;&gt;"",AI110&lt;&gt;""),AH110&amp;" , "&amp;AJ110,AND(AH110="",AI110&lt;&gt;""),AJ110)</f>
        <v/>
      </c>
    </row>
    <row r="111" spans="1:37" x14ac:dyDescent="0.25">
      <c r="A111" t="s">
        <v>369</v>
      </c>
      <c r="B111">
        <v>181569</v>
      </c>
      <c r="C111" t="s">
        <v>66</v>
      </c>
      <c r="D111" t="s">
        <v>9</v>
      </c>
      <c r="E111">
        <v>295581</v>
      </c>
      <c r="F111" s="27" t="s">
        <v>12</v>
      </c>
      <c r="G111" s="27" t="s">
        <v>122</v>
      </c>
      <c r="H111" s="27" t="s">
        <v>62</v>
      </c>
      <c r="I111" s="27">
        <v>-1</v>
      </c>
      <c r="J111" t="s">
        <v>12</v>
      </c>
      <c r="K111" t="s">
        <v>124</v>
      </c>
      <c r="N111" s="27" t="s">
        <v>15</v>
      </c>
      <c r="O111" s="27">
        <v>0</v>
      </c>
      <c r="P111" s="27"/>
      <c r="Q111" s="27"/>
      <c r="R111" t="s">
        <v>12</v>
      </c>
      <c r="S111">
        <v>0.69699999999999995</v>
      </c>
      <c r="T111">
        <v>0</v>
      </c>
      <c r="V111" s="27" t="s">
        <v>12</v>
      </c>
      <c r="W111" s="27">
        <v>212</v>
      </c>
      <c r="X111" s="27">
        <v>41</v>
      </c>
      <c r="Y111" s="27">
        <v>-80.66</v>
      </c>
      <c r="Z111" t="s">
        <v>12</v>
      </c>
      <c r="AA111">
        <v>0</v>
      </c>
      <c r="AB111">
        <v>0</v>
      </c>
      <c r="AC111">
        <v>28.5</v>
      </c>
      <c r="AD111">
        <v>0</v>
      </c>
      <c r="AE111" t="s">
        <v>133</v>
      </c>
      <c r="AG111" t="s">
        <v>25</v>
      </c>
      <c r="AJ111" t="s">
        <v>95</v>
      </c>
      <c r="AK111" t="str" cm="1">
        <f t="array" ref="AK111">_xlfn.IFS(AND(AH111="",AI111=""),"",AND(AH111&lt;&gt;"",AI111=""),AH111,AND(AH111&lt;&gt;"",AI111&lt;&gt;""),AH111&amp;" , "&amp;AJ111,AND(AH111="",AI111&lt;&gt;""),AJ111)</f>
        <v/>
      </c>
    </row>
  </sheetData>
  <mergeCells count="6">
    <mergeCell ref="F1:I1"/>
    <mergeCell ref="J1:M1"/>
    <mergeCell ref="N1:Q1"/>
    <mergeCell ref="R1:U1"/>
    <mergeCell ref="V1:Y1"/>
    <mergeCell ref="Z1:AD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ADD1C-196B-40AE-BA98-0F616B800F5B}">
  <sheetPr codeName="Sheet21"/>
  <dimension ref="A1:AI123"/>
  <sheetViews>
    <sheetView workbookViewId="0"/>
  </sheetViews>
  <sheetFormatPr defaultRowHeight="15" x14ac:dyDescent="0.25"/>
  <cols>
    <col min="1" max="1" width="7" bestFit="1" customWidth="1"/>
    <col min="2" max="2" width="9.5703125" bestFit="1" customWidth="1"/>
    <col min="3" max="3" width="8.42578125" bestFit="1" customWidth="1"/>
    <col min="4" max="4" width="7" bestFit="1" customWidth="1"/>
    <col min="5" max="5" width="33.28515625" bestFit="1" customWidth="1"/>
    <col min="6" max="6" width="34.85546875" bestFit="1" customWidth="1"/>
    <col min="7" max="7" width="37.42578125" bestFit="1" customWidth="1"/>
    <col min="8" max="9" width="9.7109375" bestFit="1" customWidth="1"/>
    <col min="10" max="10" width="12" bestFit="1" customWidth="1"/>
    <col min="11" max="11" width="28.42578125" bestFit="1" customWidth="1"/>
    <col min="12" max="13" width="9.7109375" bestFit="1" customWidth="1"/>
    <col min="14" max="14" width="12" bestFit="1" customWidth="1"/>
    <col min="15" max="15" width="33" bestFit="1" customWidth="1"/>
    <col min="16" max="16" width="5.7109375" bestFit="1" customWidth="1"/>
    <col min="17" max="17" width="12" bestFit="1" customWidth="1"/>
    <col min="18" max="18" width="5.5703125" bestFit="1" customWidth="1"/>
    <col min="19" max="19" width="38.7109375" bestFit="1" customWidth="1"/>
    <col min="20" max="20" width="6" bestFit="1" customWidth="1"/>
    <col min="21" max="21" width="8" bestFit="1" customWidth="1"/>
    <col min="22" max="22" width="5.7109375" bestFit="1" customWidth="1"/>
    <col min="23" max="23" width="24.28515625" bestFit="1" customWidth="1"/>
    <col min="24" max="24" width="6" bestFit="1" customWidth="1"/>
    <col min="25" max="25" width="8" bestFit="1" customWidth="1"/>
    <col min="26" max="26" width="6.7109375" bestFit="1" customWidth="1"/>
    <col min="27" max="27" width="24.140625" bestFit="1" customWidth="1"/>
    <col min="28" max="28" width="5.7109375" bestFit="1" customWidth="1"/>
    <col min="29" max="29" width="8" bestFit="1" customWidth="1"/>
    <col min="30" max="30" width="6" bestFit="1" customWidth="1"/>
    <col min="31" max="31" width="9.5703125" bestFit="1" customWidth="1"/>
    <col min="32" max="32" width="9.28515625" bestFit="1" customWidth="1"/>
    <col min="33" max="33" width="11.85546875" bestFit="1" customWidth="1"/>
    <col min="34" max="34" width="5.85546875" bestFit="1" customWidth="1"/>
    <col min="35" max="35" width="15.7109375" bestFit="1" customWidth="1"/>
  </cols>
  <sheetData>
    <row r="1" spans="1:35" x14ac:dyDescent="0.25">
      <c r="A1" s="15" t="s">
        <v>7</v>
      </c>
      <c r="B1" s="15" t="s">
        <v>17</v>
      </c>
      <c r="C1" s="15" t="s">
        <v>18</v>
      </c>
      <c r="D1" s="15" t="s">
        <v>19</v>
      </c>
      <c r="E1" s="15" t="s">
        <v>28</v>
      </c>
      <c r="F1" s="15" t="s">
        <v>29</v>
      </c>
      <c r="G1" s="15" t="s">
        <v>54</v>
      </c>
      <c r="H1" s="15" t="s">
        <v>20</v>
      </c>
      <c r="I1" s="15" t="s">
        <v>21</v>
      </c>
      <c r="J1" s="15" t="s">
        <v>30</v>
      </c>
      <c r="K1" s="15" t="s">
        <v>55</v>
      </c>
      <c r="L1" s="15" t="s">
        <v>20</v>
      </c>
      <c r="M1" s="15" t="s">
        <v>21</v>
      </c>
      <c r="N1" s="15" t="s">
        <v>30</v>
      </c>
      <c r="O1" s="15" t="s">
        <v>56</v>
      </c>
      <c r="P1" s="15" t="s">
        <v>20</v>
      </c>
      <c r="Q1" s="15" t="s">
        <v>21</v>
      </c>
      <c r="R1" s="15" t="s">
        <v>31</v>
      </c>
      <c r="S1" s="15" t="s">
        <v>57</v>
      </c>
      <c r="T1" s="15" t="s">
        <v>20</v>
      </c>
      <c r="U1" s="15" t="s">
        <v>21</v>
      </c>
      <c r="V1" s="15" t="s">
        <v>31</v>
      </c>
      <c r="W1" s="15" t="s">
        <v>58</v>
      </c>
      <c r="X1" s="15" t="s">
        <v>20</v>
      </c>
      <c r="Y1" s="15" t="s">
        <v>21</v>
      </c>
      <c r="Z1" s="15" t="s">
        <v>31</v>
      </c>
      <c r="AA1" s="15" t="s">
        <v>53</v>
      </c>
      <c r="AB1" s="15" t="s">
        <v>20</v>
      </c>
      <c r="AC1" s="15" t="s">
        <v>21</v>
      </c>
      <c r="AD1" s="15" t="s">
        <v>31</v>
      </c>
      <c r="AE1" s="15" t="s">
        <v>131</v>
      </c>
      <c r="AF1" s="15" t="s">
        <v>23</v>
      </c>
      <c r="AG1" s="15" t="s">
        <v>24</v>
      </c>
      <c r="AH1" s="15" t="s">
        <v>132</v>
      </c>
      <c r="AI1" s="15" t="s">
        <v>145</v>
      </c>
    </row>
    <row r="2" spans="1:35" x14ac:dyDescent="0.25">
      <c r="A2" s="28"/>
      <c r="B2" s="28"/>
      <c r="C2" s="28"/>
      <c r="D2" s="28"/>
      <c r="E2" s="28"/>
      <c r="F2" s="28"/>
      <c r="G2" s="28" t="s">
        <v>8</v>
      </c>
      <c r="H2" s="28"/>
      <c r="I2" s="28"/>
      <c r="J2" s="28" t="s">
        <v>59</v>
      </c>
      <c r="K2" s="28" t="s">
        <v>8</v>
      </c>
      <c r="L2" s="28"/>
      <c r="M2" s="28"/>
      <c r="N2" s="28" t="s">
        <v>59</v>
      </c>
      <c r="O2" s="28" t="s">
        <v>8</v>
      </c>
      <c r="P2" s="28"/>
      <c r="Q2" s="28"/>
      <c r="R2" s="28" t="s">
        <v>60</v>
      </c>
      <c r="S2" s="28" t="s">
        <v>8</v>
      </c>
      <c r="T2" s="28"/>
      <c r="U2" s="28"/>
      <c r="V2" s="28" t="s">
        <v>60</v>
      </c>
      <c r="W2" s="28" t="s">
        <v>8</v>
      </c>
      <c r="X2" s="28"/>
      <c r="Y2" s="28"/>
      <c r="Z2" s="28" t="s">
        <v>60</v>
      </c>
      <c r="AA2" s="28" t="s">
        <v>8</v>
      </c>
      <c r="AB2" s="28"/>
      <c r="AC2" s="28"/>
      <c r="AD2" s="28" t="s">
        <v>60</v>
      </c>
      <c r="AE2" s="28"/>
      <c r="AF2" s="28"/>
      <c r="AG2" s="28"/>
      <c r="AH2" s="28"/>
      <c r="AI2" s="28"/>
    </row>
    <row r="3" spans="1:35" x14ac:dyDescent="0.25">
      <c r="A3" s="17">
        <v>181572</v>
      </c>
      <c r="B3" s="17" t="s">
        <v>66</v>
      </c>
      <c r="C3" s="17" t="s">
        <v>9</v>
      </c>
      <c r="D3" s="17">
        <v>295580</v>
      </c>
      <c r="E3" s="17" t="s">
        <v>67</v>
      </c>
      <c r="F3" s="17" t="s">
        <v>68</v>
      </c>
      <c r="G3" s="17" t="s">
        <v>12</v>
      </c>
      <c r="H3" s="17" t="s">
        <v>38</v>
      </c>
      <c r="I3" s="17" t="s">
        <v>62</v>
      </c>
      <c r="J3" s="17">
        <v>-3</v>
      </c>
      <c r="K3" s="17" t="s">
        <v>12</v>
      </c>
      <c r="L3" s="17" t="s">
        <v>35</v>
      </c>
      <c r="M3" s="17" t="s">
        <v>62</v>
      </c>
      <c r="N3" s="17">
        <v>-4</v>
      </c>
      <c r="O3" s="17" t="s">
        <v>61</v>
      </c>
      <c r="P3" s="17">
        <v>0</v>
      </c>
      <c r="Q3" s="17"/>
      <c r="R3" s="17"/>
      <c r="S3" s="17" t="s">
        <v>12</v>
      </c>
      <c r="T3" s="17">
        <v>0.871</v>
      </c>
      <c r="U3" s="17">
        <v>0</v>
      </c>
      <c r="V3" s="17"/>
      <c r="W3" s="17" t="s">
        <v>12</v>
      </c>
      <c r="X3" s="17">
        <v>463</v>
      </c>
      <c r="Y3" s="17">
        <v>462</v>
      </c>
      <c r="Z3" s="17">
        <v>-0.22</v>
      </c>
      <c r="AA3" s="17" t="s">
        <v>12</v>
      </c>
      <c r="AB3" s="17">
        <v>0</v>
      </c>
      <c r="AC3" s="17">
        <v>0</v>
      </c>
      <c r="AD3" s="17">
        <v>0</v>
      </c>
      <c r="AE3" s="17" t="s">
        <v>133</v>
      </c>
      <c r="AF3" s="17"/>
      <c r="AG3" s="17" t="s">
        <v>25</v>
      </c>
      <c r="AH3" s="17"/>
      <c r="AI3" s="17" t="s">
        <v>157</v>
      </c>
    </row>
    <row r="4" spans="1:35" x14ac:dyDescent="0.25">
      <c r="A4" s="17">
        <v>181583</v>
      </c>
      <c r="B4" s="17" t="s">
        <v>14</v>
      </c>
      <c r="C4" s="17" t="s">
        <v>121</v>
      </c>
      <c r="D4" s="17">
        <v>290059</v>
      </c>
      <c r="E4" s="17" t="s">
        <v>36</v>
      </c>
      <c r="F4" s="17" t="s">
        <v>37</v>
      </c>
      <c r="G4" s="17" t="s">
        <v>126</v>
      </c>
      <c r="H4" s="17" t="s">
        <v>122</v>
      </c>
      <c r="I4" s="17" t="s">
        <v>122</v>
      </c>
      <c r="J4" s="17">
        <v>0</v>
      </c>
      <c r="K4" s="17" t="s">
        <v>126</v>
      </c>
      <c r="L4" s="17" t="s">
        <v>63</v>
      </c>
      <c r="M4" s="17" t="s">
        <v>122</v>
      </c>
      <c r="N4" s="17">
        <v>-1</v>
      </c>
      <c r="O4" s="17" t="s">
        <v>13</v>
      </c>
      <c r="P4" s="17">
        <v>58</v>
      </c>
      <c r="Q4" s="17">
        <v>57.091428571428999</v>
      </c>
      <c r="R4" s="17"/>
      <c r="S4" s="17" t="s">
        <v>12</v>
      </c>
      <c r="T4" s="17">
        <v>0.879</v>
      </c>
      <c r="U4" s="17">
        <v>0.87129999999999996</v>
      </c>
      <c r="V4" s="17">
        <v>-0.88</v>
      </c>
      <c r="W4" s="17" t="s">
        <v>12</v>
      </c>
      <c r="X4" s="17">
        <v>272</v>
      </c>
      <c r="Y4" s="17">
        <v>0</v>
      </c>
      <c r="Z4" s="17"/>
      <c r="AA4" s="17" t="s">
        <v>12</v>
      </c>
      <c r="AB4" s="17">
        <v>0</v>
      </c>
      <c r="AC4" s="17">
        <v>36.9</v>
      </c>
      <c r="AD4" s="17"/>
      <c r="AE4" s="17" t="s">
        <v>133</v>
      </c>
      <c r="AF4" s="17"/>
      <c r="AG4" s="17" t="s">
        <v>25</v>
      </c>
      <c r="AH4" s="17"/>
      <c r="AI4" s="17" t="s">
        <v>157</v>
      </c>
    </row>
    <row r="5" spans="1:35" x14ac:dyDescent="0.25">
      <c r="A5" s="17">
        <v>181586</v>
      </c>
      <c r="B5" s="17" t="s">
        <v>14</v>
      </c>
      <c r="C5" s="17" t="s">
        <v>121</v>
      </c>
      <c r="D5" s="17">
        <v>290059</v>
      </c>
      <c r="E5" s="17" t="s">
        <v>36</v>
      </c>
      <c r="F5" s="17" t="s">
        <v>37</v>
      </c>
      <c r="G5" s="17" t="s">
        <v>126</v>
      </c>
      <c r="H5" s="17" t="s">
        <v>122</v>
      </c>
      <c r="I5" s="17" t="s">
        <v>62</v>
      </c>
      <c r="J5" s="17">
        <v>-1</v>
      </c>
      <c r="K5" s="17" t="s">
        <v>126</v>
      </c>
      <c r="L5" s="17" t="s">
        <v>65</v>
      </c>
      <c r="M5" s="17" t="s">
        <v>62</v>
      </c>
      <c r="N5" s="17">
        <v>1</v>
      </c>
      <c r="O5" s="17" t="s">
        <v>13</v>
      </c>
      <c r="P5" s="17">
        <v>58</v>
      </c>
      <c r="Q5" s="17"/>
      <c r="R5" s="17"/>
      <c r="S5" s="17" t="s">
        <v>12</v>
      </c>
      <c r="T5" s="17">
        <v>0.34399999999999997</v>
      </c>
      <c r="U5" s="17">
        <v>0</v>
      </c>
      <c r="V5" s="17"/>
      <c r="W5" s="17" t="s">
        <v>12</v>
      </c>
      <c r="X5" s="17">
        <v>387</v>
      </c>
      <c r="Y5" s="17">
        <v>0</v>
      </c>
      <c r="Z5" s="17"/>
      <c r="AA5" s="17" t="s">
        <v>12</v>
      </c>
      <c r="AB5" s="17">
        <v>0</v>
      </c>
      <c r="AC5" s="17">
        <v>0</v>
      </c>
      <c r="AD5" s="17"/>
      <c r="AE5" s="17" t="s">
        <v>134</v>
      </c>
      <c r="AF5" s="17"/>
      <c r="AG5" s="17" t="s">
        <v>25</v>
      </c>
      <c r="AH5" s="17"/>
      <c r="AI5" s="17"/>
    </row>
    <row r="6" spans="1:35" x14ac:dyDescent="0.25">
      <c r="A6" s="17">
        <v>181586</v>
      </c>
      <c r="B6" s="17" t="s">
        <v>14</v>
      </c>
      <c r="C6" s="17" t="s">
        <v>121</v>
      </c>
      <c r="D6" s="17">
        <v>290059</v>
      </c>
      <c r="E6" s="17" t="s">
        <v>36</v>
      </c>
      <c r="F6" s="17" t="s">
        <v>37</v>
      </c>
      <c r="G6" s="17" t="s">
        <v>126</v>
      </c>
      <c r="H6" s="17" t="s">
        <v>122</v>
      </c>
      <c r="I6" s="17" t="s">
        <v>62</v>
      </c>
      <c r="J6" s="17">
        <v>-1</v>
      </c>
      <c r="K6" s="17" t="s">
        <v>126</v>
      </c>
      <c r="L6" s="17" t="s">
        <v>65</v>
      </c>
      <c r="M6" s="17" t="s">
        <v>62</v>
      </c>
      <c r="N6" s="17">
        <v>1</v>
      </c>
      <c r="O6" s="17" t="s">
        <v>13</v>
      </c>
      <c r="P6" s="17">
        <v>58</v>
      </c>
      <c r="Q6" s="17"/>
      <c r="R6" s="17"/>
      <c r="S6" s="17" t="s">
        <v>12</v>
      </c>
      <c r="T6" s="17">
        <v>0.32900000000000001</v>
      </c>
      <c r="U6" s="17">
        <v>0</v>
      </c>
      <c r="V6" s="17"/>
      <c r="W6" s="17" t="s">
        <v>12</v>
      </c>
      <c r="X6" s="17">
        <v>766</v>
      </c>
      <c r="Y6" s="17">
        <v>0</v>
      </c>
      <c r="Z6" s="17"/>
      <c r="AA6" s="17" t="s">
        <v>12</v>
      </c>
      <c r="AB6" s="17">
        <v>0</v>
      </c>
      <c r="AC6" s="17">
        <v>0</v>
      </c>
      <c r="AD6" s="17"/>
      <c r="AE6" s="17" t="s">
        <v>134</v>
      </c>
      <c r="AF6" s="17"/>
      <c r="AG6" s="17" t="s">
        <v>25</v>
      </c>
      <c r="AH6" s="17"/>
      <c r="AI6" s="17" t="s">
        <v>164</v>
      </c>
    </row>
    <row r="7" spans="1:35" x14ac:dyDescent="0.25">
      <c r="A7" s="17">
        <v>181586</v>
      </c>
      <c r="B7" s="17" t="s">
        <v>14</v>
      </c>
      <c r="C7" s="17" t="s">
        <v>121</v>
      </c>
      <c r="D7" s="17">
        <v>290059</v>
      </c>
      <c r="E7" s="17" t="s">
        <v>36</v>
      </c>
      <c r="F7" s="17" t="s">
        <v>37</v>
      </c>
      <c r="G7" s="17" t="s">
        <v>126</v>
      </c>
      <c r="H7" s="17" t="s">
        <v>122</v>
      </c>
      <c r="I7" s="17" t="s">
        <v>62</v>
      </c>
      <c r="J7" s="17">
        <v>-1</v>
      </c>
      <c r="K7" s="17" t="s">
        <v>126</v>
      </c>
      <c r="L7" s="17" t="s">
        <v>65</v>
      </c>
      <c r="M7" s="17" t="s">
        <v>62</v>
      </c>
      <c r="N7" s="17">
        <v>1</v>
      </c>
      <c r="O7" s="17" t="s">
        <v>13</v>
      </c>
      <c r="P7" s="17">
        <v>58</v>
      </c>
      <c r="Q7" s="17"/>
      <c r="R7" s="17"/>
      <c r="S7" s="17" t="s">
        <v>12</v>
      </c>
      <c r="T7" s="17">
        <v>0.33700000000000002</v>
      </c>
      <c r="U7" s="17">
        <v>0</v>
      </c>
      <c r="V7" s="17"/>
      <c r="W7" s="17" t="s">
        <v>12</v>
      </c>
      <c r="X7" s="17">
        <v>788</v>
      </c>
      <c r="Y7" s="17">
        <v>0</v>
      </c>
      <c r="Z7" s="17"/>
      <c r="AA7" s="17" t="s">
        <v>12</v>
      </c>
      <c r="AB7" s="17">
        <v>0</v>
      </c>
      <c r="AC7" s="17">
        <v>0</v>
      </c>
      <c r="AD7" s="17"/>
      <c r="AE7" s="17" t="s">
        <v>134</v>
      </c>
      <c r="AF7" s="17"/>
      <c r="AG7" s="17" t="s">
        <v>25</v>
      </c>
      <c r="AH7" s="17"/>
      <c r="AI7" s="17" t="s">
        <v>164</v>
      </c>
    </row>
    <row r="8" spans="1:35" x14ac:dyDescent="0.25">
      <c r="A8" s="17">
        <v>181634</v>
      </c>
      <c r="B8" s="17" t="s">
        <v>14</v>
      </c>
      <c r="C8" s="17" t="s">
        <v>11</v>
      </c>
      <c r="D8" s="17">
        <v>290059</v>
      </c>
      <c r="E8" s="17" t="s">
        <v>36</v>
      </c>
      <c r="F8" s="17" t="s">
        <v>37</v>
      </c>
      <c r="G8" s="17" t="s">
        <v>10</v>
      </c>
      <c r="H8" s="17" t="s">
        <v>38</v>
      </c>
      <c r="I8" s="17" t="s">
        <v>38</v>
      </c>
      <c r="J8" s="17">
        <v>0</v>
      </c>
      <c r="K8" s="17" t="s">
        <v>10</v>
      </c>
      <c r="L8" s="17" t="s">
        <v>45</v>
      </c>
      <c r="M8" s="17" t="s">
        <v>62</v>
      </c>
      <c r="N8" s="17">
        <v>6</v>
      </c>
      <c r="O8" s="17" t="s">
        <v>13</v>
      </c>
      <c r="P8" s="17">
        <v>58</v>
      </c>
      <c r="Q8" s="17">
        <v>58</v>
      </c>
      <c r="R8" s="17">
        <v>0</v>
      </c>
      <c r="S8" s="17" t="s">
        <v>10</v>
      </c>
      <c r="T8" s="17">
        <v>0.186</v>
      </c>
      <c r="U8" s="17">
        <v>0.1867</v>
      </c>
      <c r="V8" s="17">
        <v>0.38</v>
      </c>
      <c r="W8" s="17" t="s">
        <v>10</v>
      </c>
      <c r="X8" s="17">
        <v>2963</v>
      </c>
      <c r="Y8" s="17">
        <v>2963</v>
      </c>
      <c r="Z8" s="17">
        <v>0</v>
      </c>
      <c r="AA8" s="17" t="s">
        <v>10</v>
      </c>
      <c r="AB8" s="17">
        <v>0</v>
      </c>
      <c r="AC8" s="17">
        <v>43.02</v>
      </c>
      <c r="AD8" s="17">
        <v>7.8</v>
      </c>
      <c r="AE8" s="17" t="s">
        <v>133</v>
      </c>
      <c r="AF8" s="17"/>
      <c r="AG8" s="17" t="s">
        <v>25</v>
      </c>
      <c r="AH8" s="17"/>
      <c r="AI8" s="17"/>
    </row>
    <row r="9" spans="1:35" x14ac:dyDescent="0.25">
      <c r="A9" s="17">
        <v>181630</v>
      </c>
      <c r="B9" s="17" t="s">
        <v>14</v>
      </c>
      <c r="C9" s="17" t="s">
        <v>11</v>
      </c>
      <c r="D9" s="17">
        <v>290059</v>
      </c>
      <c r="E9" s="17" t="s">
        <v>36</v>
      </c>
      <c r="F9" s="17" t="s">
        <v>37</v>
      </c>
      <c r="G9" s="17" t="s">
        <v>10</v>
      </c>
      <c r="H9" s="17" t="s">
        <v>35</v>
      </c>
      <c r="I9" s="17" t="s">
        <v>35</v>
      </c>
      <c r="J9" s="17">
        <v>0</v>
      </c>
      <c r="K9" s="17" t="s">
        <v>10</v>
      </c>
      <c r="L9" s="17" t="s">
        <v>39</v>
      </c>
      <c r="M9" s="17" t="s">
        <v>35</v>
      </c>
      <c r="N9" s="17">
        <v>7</v>
      </c>
      <c r="O9" s="17" t="s">
        <v>13</v>
      </c>
      <c r="P9" s="17">
        <v>58</v>
      </c>
      <c r="Q9" s="17"/>
      <c r="R9" s="17"/>
      <c r="S9" s="17" t="s">
        <v>10</v>
      </c>
      <c r="T9" s="17">
        <v>0.186</v>
      </c>
      <c r="U9" s="17">
        <v>0</v>
      </c>
      <c r="V9" s="17"/>
      <c r="W9" s="17" t="s">
        <v>10</v>
      </c>
      <c r="X9" s="17">
        <v>0</v>
      </c>
      <c r="Y9" s="17">
        <v>0</v>
      </c>
      <c r="Z9" s="17"/>
      <c r="AA9" s="17" t="s">
        <v>10</v>
      </c>
      <c r="AB9" s="17">
        <v>0</v>
      </c>
      <c r="AC9" s="17">
        <v>0</v>
      </c>
      <c r="AD9" s="17"/>
      <c r="AE9" s="17" t="s">
        <v>133</v>
      </c>
      <c r="AF9" s="17"/>
      <c r="AG9" s="17" t="s">
        <v>25</v>
      </c>
      <c r="AH9" s="17"/>
      <c r="AI9" s="17" t="s">
        <v>148</v>
      </c>
    </row>
    <row r="10" spans="1:35" x14ac:dyDescent="0.25">
      <c r="A10" s="17">
        <v>181636</v>
      </c>
      <c r="B10" s="17" t="s">
        <v>14</v>
      </c>
      <c r="C10" s="17" t="s">
        <v>11</v>
      </c>
      <c r="D10" s="17">
        <v>290059</v>
      </c>
      <c r="E10" s="17" t="s">
        <v>36</v>
      </c>
      <c r="F10" s="17" t="s">
        <v>37</v>
      </c>
      <c r="G10" s="17" t="s">
        <v>10</v>
      </c>
      <c r="H10" s="17" t="s">
        <v>35</v>
      </c>
      <c r="I10" s="17" t="s">
        <v>35</v>
      </c>
      <c r="J10" s="17">
        <v>0</v>
      </c>
      <c r="K10" s="17" t="s">
        <v>10</v>
      </c>
      <c r="L10" s="17" t="s">
        <v>49</v>
      </c>
      <c r="M10" s="17" t="s">
        <v>38</v>
      </c>
      <c r="N10" s="17">
        <v>7</v>
      </c>
      <c r="O10" s="17" t="s">
        <v>13</v>
      </c>
      <c r="P10" s="17">
        <v>58</v>
      </c>
      <c r="Q10" s="17">
        <v>58</v>
      </c>
      <c r="R10" s="17">
        <v>0</v>
      </c>
      <c r="S10" s="17" t="s">
        <v>10</v>
      </c>
      <c r="T10" s="17">
        <v>0.186</v>
      </c>
      <c r="U10" s="17">
        <v>0.18729999999999999</v>
      </c>
      <c r="V10" s="17">
        <v>0.7</v>
      </c>
      <c r="W10" s="17" t="s">
        <v>10</v>
      </c>
      <c r="X10" s="17">
        <v>2961</v>
      </c>
      <c r="Y10" s="17">
        <v>2961</v>
      </c>
      <c r="Z10" s="17">
        <v>0</v>
      </c>
      <c r="AA10" s="17" t="s">
        <v>10</v>
      </c>
      <c r="AB10" s="17">
        <v>0</v>
      </c>
      <c r="AC10" s="17">
        <v>20.55</v>
      </c>
      <c r="AD10" s="17">
        <v>3.73</v>
      </c>
      <c r="AE10" s="17" t="s">
        <v>133</v>
      </c>
      <c r="AF10" s="17"/>
      <c r="AG10" s="17" t="s">
        <v>25</v>
      </c>
      <c r="AH10" s="17"/>
      <c r="AI10" s="17"/>
    </row>
    <row r="11" spans="1:35" x14ac:dyDescent="0.25">
      <c r="A11" s="17">
        <v>181636</v>
      </c>
      <c r="B11" s="17" t="s">
        <v>14</v>
      </c>
      <c r="C11" s="17" t="s">
        <v>11</v>
      </c>
      <c r="D11" s="17">
        <v>290061</v>
      </c>
      <c r="E11" s="17" t="s">
        <v>36</v>
      </c>
      <c r="F11" s="17" t="s">
        <v>98</v>
      </c>
      <c r="G11" s="17" t="s">
        <v>10</v>
      </c>
      <c r="H11" s="17" t="s">
        <v>35</v>
      </c>
      <c r="I11" s="17" t="s">
        <v>35</v>
      </c>
      <c r="J11" s="17">
        <v>0</v>
      </c>
      <c r="K11" s="17" t="s">
        <v>10</v>
      </c>
      <c r="L11" s="17" t="s">
        <v>49</v>
      </c>
      <c r="M11" s="17" t="s">
        <v>38</v>
      </c>
      <c r="N11" s="17">
        <v>7</v>
      </c>
      <c r="O11" s="17" t="s">
        <v>13</v>
      </c>
      <c r="P11" s="17">
        <v>58</v>
      </c>
      <c r="Q11" s="17"/>
      <c r="R11" s="17"/>
      <c r="S11" s="17" t="s">
        <v>10</v>
      </c>
      <c r="T11" s="17">
        <v>0.439</v>
      </c>
      <c r="U11" s="17">
        <v>0</v>
      </c>
      <c r="V11" s="17"/>
      <c r="W11" s="17" t="s">
        <v>10</v>
      </c>
      <c r="X11" s="17">
        <v>364</v>
      </c>
      <c r="Y11" s="17">
        <v>0</v>
      </c>
      <c r="Z11" s="17"/>
      <c r="AA11" s="17" t="s">
        <v>10</v>
      </c>
      <c r="AB11" s="17">
        <v>0</v>
      </c>
      <c r="AC11" s="17">
        <v>0</v>
      </c>
      <c r="AD11" s="17"/>
      <c r="AE11" s="17" t="s">
        <v>134</v>
      </c>
      <c r="AF11" s="17"/>
      <c r="AG11" s="17" t="s">
        <v>25</v>
      </c>
      <c r="AH11" s="17"/>
      <c r="AI11" s="17"/>
    </row>
    <row r="12" spans="1:35" x14ac:dyDescent="0.25">
      <c r="A12" s="17">
        <v>181633</v>
      </c>
      <c r="B12" s="17" t="s">
        <v>14</v>
      </c>
      <c r="C12" s="17" t="s">
        <v>11</v>
      </c>
      <c r="D12" s="17">
        <v>290059</v>
      </c>
      <c r="E12" s="17" t="s">
        <v>36</v>
      </c>
      <c r="F12" s="17" t="s">
        <v>37</v>
      </c>
      <c r="G12" s="17" t="s">
        <v>10</v>
      </c>
      <c r="H12" s="17" t="s">
        <v>35</v>
      </c>
      <c r="I12" s="17" t="s">
        <v>35</v>
      </c>
      <c r="J12" s="17">
        <v>0</v>
      </c>
      <c r="K12" s="17" t="s">
        <v>10</v>
      </c>
      <c r="L12" s="17" t="s">
        <v>49</v>
      </c>
      <c r="M12" s="17" t="s">
        <v>35</v>
      </c>
      <c r="N12" s="17">
        <v>8</v>
      </c>
      <c r="O12" s="17" t="s">
        <v>13</v>
      </c>
      <c r="P12" s="17">
        <v>58</v>
      </c>
      <c r="Q12" s="17"/>
      <c r="R12" s="17"/>
      <c r="S12" s="17" t="s">
        <v>10</v>
      </c>
      <c r="T12" s="17">
        <v>0.214</v>
      </c>
      <c r="U12" s="17">
        <v>0</v>
      </c>
      <c r="V12" s="17"/>
      <c r="W12" s="17" t="s">
        <v>10</v>
      </c>
      <c r="X12" s="17">
        <v>883</v>
      </c>
      <c r="Y12" s="17">
        <v>883</v>
      </c>
      <c r="Z12" s="17">
        <v>0</v>
      </c>
      <c r="AA12" s="17" t="s">
        <v>10</v>
      </c>
      <c r="AB12" s="17">
        <v>0</v>
      </c>
      <c r="AC12" s="17">
        <v>0</v>
      </c>
      <c r="AD12" s="17">
        <v>0</v>
      </c>
      <c r="AE12" s="17" t="s">
        <v>133</v>
      </c>
      <c r="AF12" s="17"/>
      <c r="AG12" s="17" t="s">
        <v>25</v>
      </c>
      <c r="AH12" s="17"/>
      <c r="AI12" s="17"/>
    </row>
    <row r="13" spans="1:35" x14ac:dyDescent="0.25">
      <c r="A13" s="17">
        <v>181633</v>
      </c>
      <c r="B13" s="17" t="s">
        <v>14</v>
      </c>
      <c r="C13" s="17" t="s">
        <v>11</v>
      </c>
      <c r="D13" s="17">
        <v>290061</v>
      </c>
      <c r="E13" s="17" t="s">
        <v>36</v>
      </c>
      <c r="F13" s="17" t="s">
        <v>98</v>
      </c>
      <c r="G13" s="17" t="s">
        <v>10</v>
      </c>
      <c r="H13" s="17" t="s">
        <v>35</v>
      </c>
      <c r="I13" s="17" t="s">
        <v>35</v>
      </c>
      <c r="J13" s="17">
        <v>0</v>
      </c>
      <c r="K13" s="17" t="s">
        <v>10</v>
      </c>
      <c r="L13" s="17" t="s">
        <v>49</v>
      </c>
      <c r="M13" s="17" t="s">
        <v>35</v>
      </c>
      <c r="N13" s="17">
        <v>8</v>
      </c>
      <c r="O13" s="17" t="s">
        <v>13</v>
      </c>
      <c r="P13" s="17">
        <v>58</v>
      </c>
      <c r="Q13" s="17"/>
      <c r="R13" s="17"/>
      <c r="S13" s="17" t="s">
        <v>10</v>
      </c>
      <c r="T13" s="17">
        <v>0.371</v>
      </c>
      <c r="U13" s="17">
        <v>0</v>
      </c>
      <c r="V13" s="17"/>
      <c r="W13" s="17" t="s">
        <v>10</v>
      </c>
      <c r="X13" s="17">
        <v>1555</v>
      </c>
      <c r="Y13" s="17">
        <v>0</v>
      </c>
      <c r="Z13" s="17"/>
      <c r="AA13" s="17" t="s">
        <v>10</v>
      </c>
      <c r="AB13" s="17">
        <v>0</v>
      </c>
      <c r="AC13" s="17">
        <v>0</v>
      </c>
      <c r="AD13" s="17"/>
      <c r="AE13" s="17" t="s">
        <v>134</v>
      </c>
      <c r="AF13" s="17"/>
      <c r="AG13" s="17" t="s">
        <v>25</v>
      </c>
      <c r="AH13" s="17"/>
      <c r="AI13" s="17" t="s">
        <v>176</v>
      </c>
    </row>
    <row r="14" spans="1:35" x14ac:dyDescent="0.25">
      <c r="A14" s="17">
        <v>181633</v>
      </c>
      <c r="B14" s="17" t="s">
        <v>14</v>
      </c>
      <c r="C14" s="17" t="s">
        <v>11</v>
      </c>
      <c r="D14" s="17">
        <v>290060</v>
      </c>
      <c r="E14" s="17" t="s">
        <v>36</v>
      </c>
      <c r="F14" s="17" t="s">
        <v>43</v>
      </c>
      <c r="G14" s="17" t="s">
        <v>10</v>
      </c>
      <c r="H14" s="17" t="s">
        <v>35</v>
      </c>
      <c r="I14" s="17" t="s">
        <v>35</v>
      </c>
      <c r="J14" s="17">
        <v>0</v>
      </c>
      <c r="K14" s="17" t="s">
        <v>10</v>
      </c>
      <c r="L14" s="17" t="s">
        <v>49</v>
      </c>
      <c r="M14" s="17" t="s">
        <v>35</v>
      </c>
      <c r="N14" s="17">
        <v>8</v>
      </c>
      <c r="O14" s="17" t="s">
        <v>13</v>
      </c>
      <c r="P14" s="17">
        <v>58</v>
      </c>
      <c r="Q14" s="17"/>
      <c r="R14" s="17"/>
      <c r="S14" s="17" t="s">
        <v>10</v>
      </c>
      <c r="T14" s="17">
        <v>0</v>
      </c>
      <c r="U14" s="17">
        <v>0</v>
      </c>
      <c r="V14" s="17"/>
      <c r="W14" s="17" t="s">
        <v>10</v>
      </c>
      <c r="X14" s="17">
        <v>0</v>
      </c>
      <c r="Y14" s="17">
        <v>0</v>
      </c>
      <c r="Z14" s="17"/>
      <c r="AA14" s="17" t="s">
        <v>10</v>
      </c>
      <c r="AB14" s="17">
        <v>0</v>
      </c>
      <c r="AC14" s="17">
        <v>0</v>
      </c>
      <c r="AD14" s="17"/>
      <c r="AE14" s="17" t="s">
        <v>134</v>
      </c>
      <c r="AF14" s="17"/>
      <c r="AG14" s="17" t="s">
        <v>25</v>
      </c>
      <c r="AH14" s="17"/>
      <c r="AI14" s="17" t="s">
        <v>167</v>
      </c>
    </row>
    <row r="15" spans="1:35" x14ac:dyDescent="0.25">
      <c r="A15" s="17">
        <v>181634</v>
      </c>
      <c r="B15" s="17" t="s">
        <v>14</v>
      </c>
      <c r="C15" s="17" t="s">
        <v>11</v>
      </c>
      <c r="D15" s="17">
        <v>290059</v>
      </c>
      <c r="E15" s="17" t="s">
        <v>36</v>
      </c>
      <c r="F15" s="17" t="s">
        <v>37</v>
      </c>
      <c r="G15" s="17" t="s">
        <v>10</v>
      </c>
      <c r="H15" s="17" t="s">
        <v>38</v>
      </c>
      <c r="I15" s="17" t="s">
        <v>38</v>
      </c>
      <c r="J15" s="17">
        <v>0</v>
      </c>
      <c r="K15" s="17" t="s">
        <v>10</v>
      </c>
      <c r="L15" s="17" t="s">
        <v>45</v>
      </c>
      <c r="M15" s="17" t="s">
        <v>38</v>
      </c>
      <c r="N15" s="17">
        <v>9</v>
      </c>
      <c r="O15" s="17" t="s">
        <v>13</v>
      </c>
      <c r="P15" s="17">
        <v>58</v>
      </c>
      <c r="Q15" s="17"/>
      <c r="R15" s="17"/>
      <c r="S15" s="17" t="s">
        <v>10</v>
      </c>
      <c r="T15" s="17">
        <v>0.186</v>
      </c>
      <c r="U15" s="17">
        <v>0</v>
      </c>
      <c r="V15" s="17"/>
      <c r="W15" s="17" t="s">
        <v>10</v>
      </c>
      <c r="X15" s="17">
        <v>0</v>
      </c>
      <c r="Y15" s="17">
        <v>0</v>
      </c>
      <c r="Z15" s="17"/>
      <c r="AA15" s="17" t="s">
        <v>10</v>
      </c>
      <c r="AB15" s="17">
        <v>0</v>
      </c>
      <c r="AC15" s="17">
        <v>0</v>
      </c>
      <c r="AD15" s="17"/>
      <c r="AE15" s="17" t="s">
        <v>133</v>
      </c>
      <c r="AF15" s="17"/>
      <c r="AG15" s="17" t="s">
        <v>25</v>
      </c>
      <c r="AH15" s="17"/>
      <c r="AI15" s="17" t="s">
        <v>148</v>
      </c>
    </row>
    <row r="16" spans="1:35" x14ac:dyDescent="0.25">
      <c r="A16" s="17">
        <v>181635</v>
      </c>
      <c r="B16" s="17" t="s">
        <v>14</v>
      </c>
      <c r="C16" s="17" t="s">
        <v>11</v>
      </c>
      <c r="D16" s="17">
        <v>290061</v>
      </c>
      <c r="E16" s="17" t="s">
        <v>36</v>
      </c>
      <c r="F16" s="17" t="s">
        <v>98</v>
      </c>
      <c r="G16" s="17" t="s">
        <v>10</v>
      </c>
      <c r="H16" s="17" t="s">
        <v>35</v>
      </c>
      <c r="I16" s="17" t="s">
        <v>35</v>
      </c>
      <c r="J16" s="17">
        <v>0</v>
      </c>
      <c r="K16" s="17" t="s">
        <v>10</v>
      </c>
      <c r="L16" s="17" t="s">
        <v>42</v>
      </c>
      <c r="M16" s="17" t="s">
        <v>38</v>
      </c>
      <c r="N16" s="17">
        <v>10</v>
      </c>
      <c r="O16" s="17" t="s">
        <v>13</v>
      </c>
      <c r="P16" s="17">
        <v>58</v>
      </c>
      <c r="Q16" s="17"/>
      <c r="R16" s="17"/>
      <c r="S16" s="17" t="s">
        <v>10</v>
      </c>
      <c r="T16" s="17">
        <v>0.439</v>
      </c>
      <c r="U16" s="17">
        <v>0</v>
      </c>
      <c r="V16" s="17"/>
      <c r="W16" s="17" t="s">
        <v>10</v>
      </c>
      <c r="X16" s="17">
        <v>364</v>
      </c>
      <c r="Y16" s="17">
        <v>0</v>
      </c>
      <c r="Z16" s="17"/>
      <c r="AA16" s="17" t="s">
        <v>10</v>
      </c>
      <c r="AB16" s="17">
        <v>0</v>
      </c>
      <c r="AC16" s="17">
        <v>0</v>
      </c>
      <c r="AD16" s="17"/>
      <c r="AE16" s="17" t="s">
        <v>134</v>
      </c>
      <c r="AF16" s="17"/>
      <c r="AG16" s="17" t="s">
        <v>25</v>
      </c>
      <c r="AH16" s="17"/>
      <c r="AI16" s="17"/>
    </row>
    <row r="17" spans="1:35" x14ac:dyDescent="0.25">
      <c r="A17" s="17">
        <v>181635</v>
      </c>
      <c r="B17" s="17" t="s">
        <v>14</v>
      </c>
      <c r="C17" s="17" t="s">
        <v>11</v>
      </c>
      <c r="D17" s="17">
        <v>292101</v>
      </c>
      <c r="E17" s="17" t="s">
        <v>36</v>
      </c>
      <c r="F17" s="17" t="s">
        <v>51</v>
      </c>
      <c r="G17" s="17" t="s">
        <v>10</v>
      </c>
      <c r="H17" s="17" t="s">
        <v>35</v>
      </c>
      <c r="I17" s="17" t="s">
        <v>35</v>
      </c>
      <c r="J17" s="17">
        <v>0</v>
      </c>
      <c r="K17" s="17" t="s">
        <v>10</v>
      </c>
      <c r="L17" s="17" t="s">
        <v>42</v>
      </c>
      <c r="M17" s="17" t="s">
        <v>38</v>
      </c>
      <c r="N17" s="17">
        <v>10</v>
      </c>
      <c r="O17" s="17" t="s">
        <v>13</v>
      </c>
      <c r="P17" s="17">
        <v>58</v>
      </c>
      <c r="Q17" s="17"/>
      <c r="R17" s="17"/>
      <c r="S17" s="17" t="s">
        <v>10</v>
      </c>
      <c r="T17" s="17">
        <v>0.36099999999999999</v>
      </c>
      <c r="U17" s="17">
        <v>0</v>
      </c>
      <c r="V17" s="17"/>
      <c r="W17" s="17" t="s">
        <v>10</v>
      </c>
      <c r="X17" s="17">
        <v>2418</v>
      </c>
      <c r="Y17" s="17">
        <v>0</v>
      </c>
      <c r="Z17" s="17"/>
      <c r="AA17" s="17" t="s">
        <v>10</v>
      </c>
      <c r="AB17" s="17">
        <v>0</v>
      </c>
      <c r="AC17" s="17">
        <v>0</v>
      </c>
      <c r="AD17" s="17"/>
      <c r="AE17" s="17" t="s">
        <v>134</v>
      </c>
      <c r="AF17" s="17"/>
      <c r="AG17" s="17" t="s">
        <v>25</v>
      </c>
      <c r="AH17" s="17"/>
      <c r="AI17" s="17" t="s">
        <v>176</v>
      </c>
    </row>
    <row r="18" spans="1:35" x14ac:dyDescent="0.25">
      <c r="A18" s="17">
        <v>181629</v>
      </c>
      <c r="B18" s="17" t="s">
        <v>14</v>
      </c>
      <c r="C18" s="17" t="s">
        <v>11</v>
      </c>
      <c r="D18" s="17">
        <v>290059</v>
      </c>
      <c r="E18" s="17" t="s">
        <v>36</v>
      </c>
      <c r="F18" s="17" t="s">
        <v>37</v>
      </c>
      <c r="G18" s="17" t="s">
        <v>10</v>
      </c>
      <c r="H18" s="17" t="s">
        <v>38</v>
      </c>
      <c r="I18" s="17" t="s">
        <v>35</v>
      </c>
      <c r="J18" s="17">
        <v>1</v>
      </c>
      <c r="K18" s="17" t="s">
        <v>10</v>
      </c>
      <c r="L18" s="17" t="s">
        <v>44</v>
      </c>
      <c r="M18" s="17" t="s">
        <v>38</v>
      </c>
      <c r="N18" s="17">
        <v>11</v>
      </c>
      <c r="O18" s="17" t="s">
        <v>13</v>
      </c>
      <c r="P18" s="17">
        <v>58</v>
      </c>
      <c r="Q18" s="17">
        <v>58</v>
      </c>
      <c r="R18" s="17">
        <v>0</v>
      </c>
      <c r="S18" s="17" t="s">
        <v>10</v>
      </c>
      <c r="T18" s="17">
        <v>0.214</v>
      </c>
      <c r="U18" s="17">
        <v>0.21590000000000001</v>
      </c>
      <c r="V18" s="17">
        <v>0.89</v>
      </c>
      <c r="W18" s="17" t="s">
        <v>10</v>
      </c>
      <c r="X18" s="17">
        <v>883</v>
      </c>
      <c r="Y18" s="17">
        <v>883</v>
      </c>
      <c r="Z18" s="17">
        <v>0</v>
      </c>
      <c r="AA18" s="17" t="s">
        <v>10</v>
      </c>
      <c r="AB18" s="17">
        <v>0</v>
      </c>
      <c r="AC18" s="17">
        <v>22.36</v>
      </c>
      <c r="AD18" s="17">
        <v>11.83</v>
      </c>
      <c r="AE18" s="17" t="s">
        <v>133</v>
      </c>
      <c r="AF18" s="17"/>
      <c r="AG18" s="17" t="s">
        <v>25</v>
      </c>
      <c r="AH18" s="17"/>
      <c r="AI18" s="17"/>
    </row>
    <row r="19" spans="1:35" x14ac:dyDescent="0.25">
      <c r="A19" s="17">
        <v>181629</v>
      </c>
      <c r="B19" s="17" t="s">
        <v>14</v>
      </c>
      <c r="C19" s="17" t="s">
        <v>11</v>
      </c>
      <c r="D19" s="17">
        <v>290060</v>
      </c>
      <c r="E19" s="17" t="s">
        <v>36</v>
      </c>
      <c r="F19" s="17" t="s">
        <v>43</v>
      </c>
      <c r="G19" s="17" t="s">
        <v>10</v>
      </c>
      <c r="H19" s="17" t="s">
        <v>38</v>
      </c>
      <c r="I19" s="17" t="s">
        <v>35</v>
      </c>
      <c r="J19" s="17">
        <v>1</v>
      </c>
      <c r="K19" s="17" t="s">
        <v>10</v>
      </c>
      <c r="L19" s="17" t="s">
        <v>44</v>
      </c>
      <c r="M19" s="17" t="s">
        <v>38</v>
      </c>
      <c r="N19" s="17">
        <v>11</v>
      </c>
      <c r="O19" s="17" t="s">
        <v>13</v>
      </c>
      <c r="P19" s="17">
        <v>58</v>
      </c>
      <c r="Q19" s="17"/>
      <c r="R19" s="17"/>
      <c r="S19" s="17" t="s">
        <v>10</v>
      </c>
      <c r="T19" s="17">
        <v>0</v>
      </c>
      <c r="U19" s="17">
        <v>0</v>
      </c>
      <c r="V19" s="17"/>
      <c r="W19" s="17" t="s">
        <v>10</v>
      </c>
      <c r="X19" s="17">
        <v>0</v>
      </c>
      <c r="Y19" s="17">
        <v>0</v>
      </c>
      <c r="Z19" s="17"/>
      <c r="AA19" s="17" t="s">
        <v>10</v>
      </c>
      <c r="AB19" s="17">
        <v>0</v>
      </c>
      <c r="AC19" s="17">
        <v>0</v>
      </c>
      <c r="AD19" s="17"/>
      <c r="AE19" s="17" t="s">
        <v>134</v>
      </c>
      <c r="AF19" s="17"/>
      <c r="AG19" s="17" t="s">
        <v>25</v>
      </c>
      <c r="AH19" s="17"/>
      <c r="AI19" s="17" t="s">
        <v>167</v>
      </c>
    </row>
    <row r="20" spans="1:35" x14ac:dyDescent="0.25">
      <c r="A20" s="17">
        <v>181629</v>
      </c>
      <c r="B20" s="17" t="s">
        <v>14</v>
      </c>
      <c r="C20" s="17" t="s">
        <v>11</v>
      </c>
      <c r="D20" s="17">
        <v>292100</v>
      </c>
      <c r="E20" s="17" t="s">
        <v>36</v>
      </c>
      <c r="F20" s="17" t="s">
        <v>100</v>
      </c>
      <c r="G20" s="17" t="s">
        <v>10</v>
      </c>
      <c r="H20" s="17" t="s">
        <v>38</v>
      </c>
      <c r="I20" s="17" t="s">
        <v>35</v>
      </c>
      <c r="J20" s="17">
        <v>1</v>
      </c>
      <c r="K20" s="17" t="s">
        <v>10</v>
      </c>
      <c r="L20" s="17" t="s">
        <v>44</v>
      </c>
      <c r="M20" s="17" t="s">
        <v>38</v>
      </c>
      <c r="N20" s="17">
        <v>11</v>
      </c>
      <c r="O20" s="17" t="s">
        <v>13</v>
      </c>
      <c r="P20" s="17">
        <v>58</v>
      </c>
      <c r="Q20" s="17"/>
      <c r="R20" s="17"/>
      <c r="S20" s="17" t="s">
        <v>10</v>
      </c>
      <c r="T20" s="17">
        <v>0.50800000000000001</v>
      </c>
      <c r="U20" s="17">
        <v>0</v>
      </c>
      <c r="V20" s="17"/>
      <c r="W20" s="17" t="s">
        <v>10</v>
      </c>
      <c r="X20" s="17">
        <v>371</v>
      </c>
      <c r="Y20" s="17">
        <v>0</v>
      </c>
      <c r="Z20" s="17"/>
      <c r="AA20" s="17" t="s">
        <v>10</v>
      </c>
      <c r="AB20" s="17">
        <v>0</v>
      </c>
      <c r="AC20" s="17">
        <v>0</v>
      </c>
      <c r="AD20" s="17"/>
      <c r="AE20" s="17" t="s">
        <v>134</v>
      </c>
      <c r="AF20" s="17"/>
      <c r="AG20" s="17" t="s">
        <v>25</v>
      </c>
      <c r="AH20" s="17"/>
      <c r="AI20" s="17" t="s">
        <v>176</v>
      </c>
    </row>
    <row r="21" spans="1:35" x14ac:dyDescent="0.25">
      <c r="A21" s="17">
        <v>181637</v>
      </c>
      <c r="B21" s="17" t="s">
        <v>14</v>
      </c>
      <c r="C21" s="17" t="s">
        <v>11</v>
      </c>
      <c r="D21" s="17">
        <v>290061</v>
      </c>
      <c r="E21" s="17" t="s">
        <v>36</v>
      </c>
      <c r="F21" s="17" t="s">
        <v>98</v>
      </c>
      <c r="G21" s="17" t="s">
        <v>10</v>
      </c>
      <c r="H21" s="17" t="s">
        <v>35</v>
      </c>
      <c r="I21" s="17" t="s">
        <v>35</v>
      </c>
      <c r="J21" s="17">
        <v>0</v>
      </c>
      <c r="K21" s="17" t="s">
        <v>10</v>
      </c>
      <c r="L21" s="17" t="s">
        <v>46</v>
      </c>
      <c r="M21" s="17" t="s">
        <v>38</v>
      </c>
      <c r="N21" s="17">
        <v>13</v>
      </c>
      <c r="O21" s="17" t="s">
        <v>13</v>
      </c>
      <c r="P21" s="17">
        <v>58</v>
      </c>
      <c r="Q21" s="17"/>
      <c r="R21" s="17"/>
      <c r="S21" s="17" t="s">
        <v>10</v>
      </c>
      <c r="T21" s="17">
        <v>0.439</v>
      </c>
      <c r="U21" s="17">
        <v>0</v>
      </c>
      <c r="V21" s="17"/>
      <c r="W21" s="17" t="s">
        <v>10</v>
      </c>
      <c r="X21" s="17">
        <v>362</v>
      </c>
      <c r="Y21" s="17">
        <v>0</v>
      </c>
      <c r="Z21" s="17"/>
      <c r="AA21" s="17" t="s">
        <v>10</v>
      </c>
      <c r="AB21" s="17">
        <v>0</v>
      </c>
      <c r="AC21" s="17">
        <v>0</v>
      </c>
      <c r="AD21" s="17"/>
      <c r="AE21" s="17" t="s">
        <v>134</v>
      </c>
      <c r="AF21" s="17"/>
      <c r="AG21" s="17" t="s">
        <v>25</v>
      </c>
      <c r="AH21" s="17"/>
      <c r="AI21" s="17"/>
    </row>
    <row r="22" spans="1:35" x14ac:dyDescent="0.25">
      <c r="A22" s="17">
        <v>181637</v>
      </c>
      <c r="B22" s="17" t="s">
        <v>14</v>
      </c>
      <c r="C22" s="17" t="s">
        <v>11</v>
      </c>
      <c r="D22" s="17">
        <v>290060</v>
      </c>
      <c r="E22" s="17" t="s">
        <v>36</v>
      </c>
      <c r="F22" s="17" t="s">
        <v>43</v>
      </c>
      <c r="G22" s="17" t="s">
        <v>10</v>
      </c>
      <c r="H22" s="17" t="s">
        <v>35</v>
      </c>
      <c r="I22" s="17" t="s">
        <v>35</v>
      </c>
      <c r="J22" s="17">
        <v>0</v>
      </c>
      <c r="K22" s="17" t="s">
        <v>10</v>
      </c>
      <c r="L22" s="17" t="s">
        <v>46</v>
      </c>
      <c r="M22" s="17" t="s">
        <v>38</v>
      </c>
      <c r="N22" s="17">
        <v>13</v>
      </c>
      <c r="O22" s="17" t="s">
        <v>13</v>
      </c>
      <c r="P22" s="17">
        <v>58</v>
      </c>
      <c r="Q22" s="17"/>
      <c r="R22" s="17"/>
      <c r="S22" s="17" t="s">
        <v>10</v>
      </c>
      <c r="T22" s="17">
        <v>0</v>
      </c>
      <c r="U22" s="17">
        <v>0</v>
      </c>
      <c r="V22" s="17"/>
      <c r="W22" s="17" t="s">
        <v>10</v>
      </c>
      <c r="X22" s="17">
        <v>0</v>
      </c>
      <c r="Y22" s="17">
        <v>0</v>
      </c>
      <c r="Z22" s="17"/>
      <c r="AA22" s="17" t="s">
        <v>10</v>
      </c>
      <c r="AB22" s="17">
        <v>0</v>
      </c>
      <c r="AC22" s="17">
        <v>0</v>
      </c>
      <c r="AD22" s="17"/>
      <c r="AE22" s="17" t="s">
        <v>134</v>
      </c>
      <c r="AF22" s="17"/>
      <c r="AG22" s="17" t="s">
        <v>25</v>
      </c>
      <c r="AH22" s="17"/>
      <c r="AI22" s="17" t="s">
        <v>167</v>
      </c>
    </row>
    <row r="23" spans="1:35" x14ac:dyDescent="0.25">
      <c r="A23" s="17">
        <v>181572</v>
      </c>
      <c r="B23" s="17" t="s">
        <v>66</v>
      </c>
      <c r="C23" s="17" t="s">
        <v>9</v>
      </c>
      <c r="D23" s="17">
        <v>295581</v>
      </c>
      <c r="E23" s="17" t="s">
        <v>67</v>
      </c>
      <c r="F23" s="17" t="s">
        <v>108</v>
      </c>
      <c r="G23" s="17" t="s">
        <v>12</v>
      </c>
      <c r="H23" s="17" t="s">
        <v>38</v>
      </c>
      <c r="I23" s="17" t="s">
        <v>62</v>
      </c>
      <c r="J23" s="17">
        <v>-3</v>
      </c>
      <c r="K23" s="17" t="s">
        <v>12</v>
      </c>
      <c r="L23" s="17" t="s">
        <v>35</v>
      </c>
      <c r="M23" s="17" t="s">
        <v>61</v>
      </c>
      <c r="N23" s="17" t="s">
        <v>61</v>
      </c>
      <c r="O23" s="17" t="s">
        <v>61</v>
      </c>
      <c r="P23" s="17">
        <v>0</v>
      </c>
      <c r="Q23" s="17"/>
      <c r="R23" s="17"/>
      <c r="S23" s="17" t="s">
        <v>126</v>
      </c>
      <c r="T23" s="17">
        <v>0.32600000000000001</v>
      </c>
      <c r="U23" s="17">
        <v>0</v>
      </c>
      <c r="V23" s="17"/>
      <c r="W23" s="17" t="s">
        <v>126</v>
      </c>
      <c r="X23" s="17">
        <v>2350</v>
      </c>
      <c r="Y23" s="17">
        <v>0</v>
      </c>
      <c r="Z23" s="17"/>
      <c r="AA23" s="17" t="s">
        <v>126</v>
      </c>
      <c r="AB23" s="17">
        <v>0</v>
      </c>
      <c r="AC23" s="17">
        <v>0</v>
      </c>
      <c r="AD23" s="17"/>
      <c r="AE23" s="17" t="s">
        <v>134</v>
      </c>
      <c r="AF23" s="17"/>
      <c r="AG23" s="17" t="s">
        <v>25</v>
      </c>
      <c r="AH23" s="17"/>
      <c r="AI23" s="17" t="s">
        <v>164</v>
      </c>
    </row>
    <row r="24" spans="1:35" x14ac:dyDescent="0.25">
      <c r="A24" s="17">
        <v>181571</v>
      </c>
      <c r="B24" s="17" t="s">
        <v>66</v>
      </c>
      <c r="C24" s="17" t="s">
        <v>9</v>
      </c>
      <c r="D24" s="17">
        <v>295581</v>
      </c>
      <c r="E24" s="17" t="s">
        <v>67</v>
      </c>
      <c r="F24" s="17" t="s">
        <v>108</v>
      </c>
      <c r="G24" s="17" t="s">
        <v>12</v>
      </c>
      <c r="H24" s="17" t="s">
        <v>38</v>
      </c>
      <c r="I24" s="17" t="s">
        <v>62</v>
      </c>
      <c r="J24" s="17">
        <v>-3</v>
      </c>
      <c r="K24" s="17" t="s">
        <v>12</v>
      </c>
      <c r="L24" s="17" t="s">
        <v>40</v>
      </c>
      <c r="M24" s="17" t="s">
        <v>61</v>
      </c>
      <c r="N24" s="17" t="s">
        <v>61</v>
      </c>
      <c r="O24" s="17" t="s">
        <v>61</v>
      </c>
      <c r="P24" s="17">
        <v>0</v>
      </c>
      <c r="Q24" s="17"/>
      <c r="R24" s="17"/>
      <c r="S24" s="17" t="s">
        <v>126</v>
      </c>
      <c r="T24" s="17">
        <v>0.32600000000000001</v>
      </c>
      <c r="U24" s="17">
        <v>0</v>
      </c>
      <c r="V24" s="17"/>
      <c r="W24" s="17" t="s">
        <v>126</v>
      </c>
      <c r="X24" s="17">
        <v>2350</v>
      </c>
      <c r="Y24" s="17">
        <v>0</v>
      </c>
      <c r="Z24" s="17"/>
      <c r="AA24" s="17" t="s">
        <v>126</v>
      </c>
      <c r="AB24" s="17">
        <v>0</v>
      </c>
      <c r="AC24" s="17">
        <v>0</v>
      </c>
      <c r="AD24" s="17"/>
      <c r="AE24" s="17" t="s">
        <v>134</v>
      </c>
      <c r="AF24" s="17"/>
      <c r="AG24" s="17" t="s">
        <v>25</v>
      </c>
      <c r="AH24" s="17"/>
      <c r="AI24" s="17" t="s">
        <v>164</v>
      </c>
    </row>
    <row r="25" spans="1:35" x14ac:dyDescent="0.25">
      <c r="A25" s="17">
        <v>181571</v>
      </c>
      <c r="B25" s="17" t="s">
        <v>66</v>
      </c>
      <c r="C25" s="17" t="s">
        <v>9</v>
      </c>
      <c r="D25" s="17">
        <v>295580</v>
      </c>
      <c r="E25" s="17" t="s">
        <v>67</v>
      </c>
      <c r="F25" s="17" t="s">
        <v>68</v>
      </c>
      <c r="G25" s="17" t="s">
        <v>12</v>
      </c>
      <c r="H25" s="17" t="s">
        <v>38</v>
      </c>
      <c r="I25" s="17" t="s">
        <v>62</v>
      </c>
      <c r="J25" s="17">
        <v>-3</v>
      </c>
      <c r="K25" s="17" t="s">
        <v>12</v>
      </c>
      <c r="L25" s="17" t="s">
        <v>40</v>
      </c>
      <c r="M25" s="17" t="s">
        <v>61</v>
      </c>
      <c r="N25" s="17" t="s">
        <v>61</v>
      </c>
      <c r="O25" s="17" t="s">
        <v>61</v>
      </c>
      <c r="P25" s="17">
        <v>0</v>
      </c>
      <c r="Q25" s="17"/>
      <c r="R25" s="17"/>
      <c r="S25" s="17" t="s">
        <v>12</v>
      </c>
      <c r="T25" s="17">
        <v>0.69699999999999995</v>
      </c>
      <c r="U25" s="17">
        <v>0</v>
      </c>
      <c r="V25" s="17"/>
      <c r="W25" s="17" t="s">
        <v>12</v>
      </c>
      <c r="X25" s="17">
        <v>471</v>
      </c>
      <c r="Y25" s="17">
        <v>212</v>
      </c>
      <c r="Z25" s="17">
        <v>-54.99</v>
      </c>
      <c r="AA25" s="17" t="s">
        <v>12</v>
      </c>
      <c r="AB25" s="17">
        <v>0</v>
      </c>
      <c r="AC25" s="17">
        <v>0</v>
      </c>
      <c r="AD25" s="17">
        <v>0</v>
      </c>
      <c r="AE25" s="17" t="s">
        <v>133</v>
      </c>
      <c r="AF25" s="17"/>
      <c r="AG25" s="17" t="s">
        <v>25</v>
      </c>
      <c r="AH25" s="17"/>
      <c r="AI25" s="17" t="s">
        <v>157</v>
      </c>
    </row>
    <row r="26" spans="1:35" x14ac:dyDescent="0.25">
      <c r="A26" s="17">
        <v>181589</v>
      </c>
      <c r="B26" s="17" t="s">
        <v>14</v>
      </c>
      <c r="C26" s="17" t="s">
        <v>121</v>
      </c>
      <c r="D26" s="17">
        <v>290059</v>
      </c>
      <c r="E26" s="17" t="s">
        <v>36</v>
      </c>
      <c r="F26" s="17" t="s">
        <v>37</v>
      </c>
      <c r="G26" s="17" t="s">
        <v>126</v>
      </c>
      <c r="H26" s="17" t="s">
        <v>122</v>
      </c>
      <c r="I26" s="17" t="s">
        <v>62</v>
      </c>
      <c r="J26" s="17">
        <v>-1</v>
      </c>
      <c r="K26" s="17" t="s">
        <v>126</v>
      </c>
      <c r="L26" s="17" t="s">
        <v>49</v>
      </c>
      <c r="M26" s="17" t="s">
        <v>61</v>
      </c>
      <c r="N26" s="17" t="s">
        <v>61</v>
      </c>
      <c r="O26" s="17" t="s">
        <v>13</v>
      </c>
      <c r="P26" s="17">
        <v>58</v>
      </c>
      <c r="Q26" s="17"/>
      <c r="R26" s="17"/>
      <c r="S26" s="17" t="s">
        <v>12</v>
      </c>
      <c r="T26" s="17">
        <v>0.73699999999999999</v>
      </c>
      <c r="U26" s="17">
        <v>0</v>
      </c>
      <c r="V26" s="17"/>
      <c r="W26" s="17" t="s">
        <v>12</v>
      </c>
      <c r="X26" s="17">
        <v>391</v>
      </c>
      <c r="Y26" s="17">
        <v>391</v>
      </c>
      <c r="Z26" s="17">
        <v>0</v>
      </c>
      <c r="AA26" s="17" t="s">
        <v>12</v>
      </c>
      <c r="AB26" s="17">
        <v>0</v>
      </c>
      <c r="AC26" s="17">
        <v>0</v>
      </c>
      <c r="AD26" s="17">
        <v>0</v>
      </c>
      <c r="AE26" s="17" t="s">
        <v>133</v>
      </c>
      <c r="AF26" s="17"/>
      <c r="AG26" s="17" t="s">
        <v>25</v>
      </c>
      <c r="AH26" s="17"/>
      <c r="AI26" s="17" t="s">
        <v>161</v>
      </c>
    </row>
    <row r="27" spans="1:35" x14ac:dyDescent="0.25">
      <c r="A27" s="17">
        <v>181587</v>
      </c>
      <c r="B27" s="17" t="s">
        <v>14</v>
      </c>
      <c r="C27" s="17" t="s">
        <v>121</v>
      </c>
      <c r="D27" s="17">
        <v>290059</v>
      </c>
      <c r="E27" s="17" t="s">
        <v>36</v>
      </c>
      <c r="F27" s="17" t="s">
        <v>37</v>
      </c>
      <c r="G27" s="17" t="s">
        <v>126</v>
      </c>
      <c r="H27" s="17" t="s">
        <v>122</v>
      </c>
      <c r="I27" s="17" t="s">
        <v>62</v>
      </c>
      <c r="J27" s="17">
        <v>-1</v>
      </c>
      <c r="K27" s="17" t="s">
        <v>126</v>
      </c>
      <c r="L27" s="17" t="s">
        <v>41</v>
      </c>
      <c r="M27" s="17" t="s">
        <v>61</v>
      </c>
      <c r="N27" s="17" t="s">
        <v>61</v>
      </c>
      <c r="O27" s="17" t="s">
        <v>13</v>
      </c>
      <c r="P27" s="17">
        <v>58</v>
      </c>
      <c r="Q27" s="17"/>
      <c r="R27" s="17"/>
      <c r="S27" s="17" t="s">
        <v>12</v>
      </c>
      <c r="T27" s="17">
        <v>0.34399999999999997</v>
      </c>
      <c r="U27" s="17">
        <v>0</v>
      </c>
      <c r="V27" s="17"/>
      <c r="W27" s="17" t="s">
        <v>12</v>
      </c>
      <c r="X27" s="17">
        <v>393</v>
      </c>
      <c r="Y27" s="17">
        <v>0</v>
      </c>
      <c r="Z27" s="17"/>
      <c r="AA27" s="17" t="s">
        <v>12</v>
      </c>
      <c r="AB27" s="17">
        <v>0</v>
      </c>
      <c r="AC27" s="17">
        <v>0</v>
      </c>
      <c r="AD27" s="17"/>
      <c r="AE27" s="17" t="s">
        <v>134</v>
      </c>
      <c r="AF27" s="17"/>
      <c r="AG27" s="17" t="s">
        <v>25</v>
      </c>
      <c r="AH27" s="17"/>
      <c r="AI27" s="17"/>
    </row>
    <row r="28" spans="1:35" x14ac:dyDescent="0.25">
      <c r="A28" s="17">
        <v>181584</v>
      </c>
      <c r="B28" s="17" t="s">
        <v>14</v>
      </c>
      <c r="C28" s="17" t="s">
        <v>121</v>
      </c>
      <c r="D28" s="17">
        <v>290059</v>
      </c>
      <c r="E28" s="17" t="s">
        <v>36</v>
      </c>
      <c r="F28" s="17" t="s">
        <v>37</v>
      </c>
      <c r="G28" s="17" t="s">
        <v>126</v>
      </c>
      <c r="H28" s="17" t="s">
        <v>122</v>
      </c>
      <c r="I28" s="17" t="s">
        <v>62</v>
      </c>
      <c r="J28" s="17">
        <v>-1</v>
      </c>
      <c r="K28" s="17" t="s">
        <v>126</v>
      </c>
      <c r="L28" s="17" t="s">
        <v>39</v>
      </c>
      <c r="M28" s="17" t="s">
        <v>61</v>
      </c>
      <c r="N28" s="17" t="s">
        <v>61</v>
      </c>
      <c r="O28" s="17" t="s">
        <v>13</v>
      </c>
      <c r="P28" s="17">
        <v>58</v>
      </c>
      <c r="Q28" s="17"/>
      <c r="R28" s="17"/>
      <c r="S28" s="17" t="s">
        <v>12</v>
      </c>
      <c r="T28" s="17">
        <v>0.34200000000000003</v>
      </c>
      <c r="U28" s="17">
        <v>0</v>
      </c>
      <c r="V28" s="17"/>
      <c r="W28" s="17" t="s">
        <v>12</v>
      </c>
      <c r="X28" s="17">
        <v>1890</v>
      </c>
      <c r="Y28" s="17">
        <v>0</v>
      </c>
      <c r="Z28" s="17"/>
      <c r="AA28" s="17" t="s">
        <v>12</v>
      </c>
      <c r="AB28" s="17">
        <v>0</v>
      </c>
      <c r="AC28" s="17">
        <v>0</v>
      </c>
      <c r="AD28" s="17"/>
      <c r="AE28" s="17" t="s">
        <v>134</v>
      </c>
      <c r="AF28" s="17"/>
      <c r="AG28" s="17" t="s">
        <v>25</v>
      </c>
      <c r="AH28" s="17"/>
      <c r="AI28" s="17"/>
    </row>
    <row r="29" spans="1:35" x14ac:dyDescent="0.25">
      <c r="A29" s="17">
        <v>181585</v>
      </c>
      <c r="B29" s="17" t="s">
        <v>14</v>
      </c>
      <c r="C29" s="17" t="s">
        <v>121</v>
      </c>
      <c r="D29" s="17">
        <v>290063</v>
      </c>
      <c r="E29" s="17" t="s">
        <v>36</v>
      </c>
      <c r="F29" s="17" t="s">
        <v>99</v>
      </c>
      <c r="G29" s="17" t="s">
        <v>126</v>
      </c>
      <c r="H29" s="17" t="s">
        <v>122</v>
      </c>
      <c r="I29" s="17" t="s">
        <v>62</v>
      </c>
      <c r="J29" s="17">
        <v>-1</v>
      </c>
      <c r="K29" s="17" t="s">
        <v>126</v>
      </c>
      <c r="L29" s="17" t="s">
        <v>128</v>
      </c>
      <c r="M29" s="17" t="s">
        <v>61</v>
      </c>
      <c r="N29" s="17" t="s">
        <v>61</v>
      </c>
      <c r="O29" s="17" t="s">
        <v>13</v>
      </c>
      <c r="P29" s="17">
        <v>58</v>
      </c>
      <c r="Q29" s="17"/>
      <c r="R29" s="17"/>
      <c r="S29" s="17" t="s">
        <v>12</v>
      </c>
      <c r="T29" s="17">
        <v>0.34399999999999997</v>
      </c>
      <c r="U29" s="17">
        <v>0</v>
      </c>
      <c r="V29" s="17"/>
      <c r="W29" s="17" t="s">
        <v>12</v>
      </c>
      <c r="X29" s="17">
        <v>1989</v>
      </c>
      <c r="Y29" s="17">
        <v>0</v>
      </c>
      <c r="Z29" s="17"/>
      <c r="AA29" s="17" t="s">
        <v>12</v>
      </c>
      <c r="AB29" s="17">
        <v>0</v>
      </c>
      <c r="AC29" s="17">
        <v>0</v>
      </c>
      <c r="AD29" s="17"/>
      <c r="AE29" s="17" t="s">
        <v>134</v>
      </c>
      <c r="AF29" s="17"/>
      <c r="AG29" s="17" t="s">
        <v>25</v>
      </c>
      <c r="AH29" s="17"/>
      <c r="AI29" s="17" t="s">
        <v>171</v>
      </c>
    </row>
    <row r="30" spans="1:35" x14ac:dyDescent="0.25">
      <c r="A30" s="17">
        <v>181589</v>
      </c>
      <c r="B30" s="17" t="s">
        <v>14</v>
      </c>
      <c r="C30" s="17" t="s">
        <v>121</v>
      </c>
      <c r="D30" s="17">
        <v>290061</v>
      </c>
      <c r="E30" s="17" t="s">
        <v>36</v>
      </c>
      <c r="F30" s="17" t="s">
        <v>98</v>
      </c>
      <c r="G30" s="17" t="s">
        <v>126</v>
      </c>
      <c r="H30" s="17" t="s">
        <v>122</v>
      </c>
      <c r="I30" s="17" t="s">
        <v>62</v>
      </c>
      <c r="J30" s="17">
        <v>-1</v>
      </c>
      <c r="K30" s="17" t="s">
        <v>126</v>
      </c>
      <c r="L30" s="17" t="s">
        <v>49</v>
      </c>
      <c r="M30" s="17" t="s">
        <v>61</v>
      </c>
      <c r="N30" s="17" t="s">
        <v>61</v>
      </c>
      <c r="O30" s="17" t="s">
        <v>13</v>
      </c>
      <c r="P30" s="17">
        <v>58</v>
      </c>
      <c r="Q30" s="17"/>
      <c r="R30" s="17"/>
      <c r="S30" s="17" t="s">
        <v>10</v>
      </c>
      <c r="T30" s="17">
        <v>0.438</v>
      </c>
      <c r="U30" s="17">
        <v>0</v>
      </c>
      <c r="V30" s="17"/>
      <c r="W30" s="17" t="s">
        <v>10</v>
      </c>
      <c r="X30" s="17">
        <v>370</v>
      </c>
      <c r="Y30" s="17">
        <v>0</v>
      </c>
      <c r="Z30" s="17"/>
      <c r="AA30" s="17" t="s">
        <v>10</v>
      </c>
      <c r="AB30" s="17">
        <v>0</v>
      </c>
      <c r="AC30" s="17">
        <v>0</v>
      </c>
      <c r="AD30" s="17"/>
      <c r="AE30" s="17" t="s">
        <v>134</v>
      </c>
      <c r="AF30" s="17"/>
      <c r="AG30" s="17" t="s">
        <v>25</v>
      </c>
      <c r="AH30" s="17"/>
      <c r="AI30" s="17" t="s">
        <v>176</v>
      </c>
    </row>
    <row r="31" spans="1:35" x14ac:dyDescent="0.25">
      <c r="A31" s="17">
        <v>181585</v>
      </c>
      <c r="B31" s="17" t="s">
        <v>14</v>
      </c>
      <c r="C31" s="17" t="s">
        <v>121</v>
      </c>
      <c r="D31" s="17">
        <v>290061</v>
      </c>
      <c r="E31" s="17" t="s">
        <v>36</v>
      </c>
      <c r="F31" s="17" t="s">
        <v>98</v>
      </c>
      <c r="G31" s="17" t="s">
        <v>126</v>
      </c>
      <c r="H31" s="17" t="s">
        <v>122</v>
      </c>
      <c r="I31" s="17" t="s">
        <v>62</v>
      </c>
      <c r="J31" s="17">
        <v>-1</v>
      </c>
      <c r="K31" s="17" t="s">
        <v>126</v>
      </c>
      <c r="L31" s="17" t="s">
        <v>128</v>
      </c>
      <c r="M31" s="17" t="s">
        <v>61</v>
      </c>
      <c r="N31" s="17" t="s">
        <v>61</v>
      </c>
      <c r="O31" s="17" t="s">
        <v>13</v>
      </c>
      <c r="P31" s="17">
        <v>58</v>
      </c>
      <c r="Q31" s="17"/>
      <c r="R31" s="17"/>
      <c r="S31" s="17" t="s">
        <v>10</v>
      </c>
      <c r="T31" s="17">
        <v>0.438</v>
      </c>
      <c r="U31" s="17">
        <v>0</v>
      </c>
      <c r="V31" s="17"/>
      <c r="W31" s="17" t="s">
        <v>10</v>
      </c>
      <c r="X31" s="17">
        <v>370</v>
      </c>
      <c r="Y31" s="17">
        <v>0</v>
      </c>
      <c r="Z31" s="17"/>
      <c r="AA31" s="17" t="s">
        <v>10</v>
      </c>
      <c r="AB31" s="17">
        <v>0</v>
      </c>
      <c r="AC31" s="17">
        <v>0</v>
      </c>
      <c r="AD31" s="17"/>
      <c r="AE31" s="17" t="s">
        <v>134</v>
      </c>
      <c r="AF31" s="17"/>
      <c r="AG31" s="17" t="s">
        <v>25</v>
      </c>
      <c r="AH31" s="17"/>
      <c r="AI31" s="17" t="s">
        <v>176</v>
      </c>
    </row>
    <row r="32" spans="1:35" x14ac:dyDescent="0.25">
      <c r="A32" s="17">
        <v>181587</v>
      </c>
      <c r="B32" s="17" t="s">
        <v>14</v>
      </c>
      <c r="C32" s="17" t="s">
        <v>121</v>
      </c>
      <c r="D32" s="17">
        <v>290060</v>
      </c>
      <c r="E32" s="17" t="s">
        <v>36</v>
      </c>
      <c r="F32" s="17" t="s">
        <v>43</v>
      </c>
      <c r="G32" s="17" t="s">
        <v>126</v>
      </c>
      <c r="H32" s="17" t="s">
        <v>122</v>
      </c>
      <c r="I32" s="17" t="s">
        <v>62</v>
      </c>
      <c r="J32" s="17">
        <v>-1</v>
      </c>
      <c r="K32" s="17" t="s">
        <v>126</v>
      </c>
      <c r="L32" s="17" t="s">
        <v>41</v>
      </c>
      <c r="M32" s="17" t="s">
        <v>61</v>
      </c>
      <c r="N32" s="17" t="s">
        <v>61</v>
      </c>
      <c r="O32" s="17" t="s">
        <v>13</v>
      </c>
      <c r="P32" s="17">
        <v>58</v>
      </c>
      <c r="Q32" s="17"/>
      <c r="R32" s="17"/>
      <c r="S32" s="17" t="s">
        <v>10</v>
      </c>
      <c r="T32" s="17">
        <v>0</v>
      </c>
      <c r="U32" s="17">
        <v>0</v>
      </c>
      <c r="V32" s="17"/>
      <c r="W32" s="17" t="s">
        <v>10</v>
      </c>
      <c r="X32" s="17">
        <v>0</v>
      </c>
      <c r="Y32" s="17">
        <v>0</v>
      </c>
      <c r="Z32" s="17"/>
      <c r="AA32" s="17" t="s">
        <v>10</v>
      </c>
      <c r="AB32" s="17">
        <v>0</v>
      </c>
      <c r="AC32" s="17">
        <v>0</v>
      </c>
      <c r="AD32" s="17"/>
      <c r="AE32" s="17" t="s">
        <v>134</v>
      </c>
      <c r="AF32" s="17"/>
      <c r="AG32" s="17" t="s">
        <v>25</v>
      </c>
      <c r="AH32" s="17"/>
      <c r="AI32" s="17"/>
    </row>
    <row r="33" spans="1:35" x14ac:dyDescent="0.25">
      <c r="A33" s="17">
        <v>181587</v>
      </c>
      <c r="B33" s="17" t="s">
        <v>14</v>
      </c>
      <c r="C33" s="17" t="s">
        <v>121</v>
      </c>
      <c r="D33" s="17">
        <v>292100</v>
      </c>
      <c r="E33" s="17" t="s">
        <v>36</v>
      </c>
      <c r="F33" s="17" t="s">
        <v>100</v>
      </c>
      <c r="G33" s="17" t="s">
        <v>126</v>
      </c>
      <c r="H33" s="17" t="s">
        <v>122</v>
      </c>
      <c r="I33" s="17" t="s">
        <v>62</v>
      </c>
      <c r="J33" s="17">
        <v>-1</v>
      </c>
      <c r="K33" s="17" t="s">
        <v>126</v>
      </c>
      <c r="L33" s="17" t="s">
        <v>41</v>
      </c>
      <c r="M33" s="17" t="s">
        <v>61</v>
      </c>
      <c r="N33" s="17" t="s">
        <v>61</v>
      </c>
      <c r="O33" s="17" t="s">
        <v>13</v>
      </c>
      <c r="P33" s="17">
        <v>58</v>
      </c>
      <c r="Q33" s="17"/>
      <c r="R33" s="17"/>
      <c r="S33" s="17" t="s">
        <v>10</v>
      </c>
      <c r="T33" s="17">
        <v>0.50800000000000001</v>
      </c>
      <c r="U33" s="17">
        <v>0</v>
      </c>
      <c r="V33" s="17"/>
      <c r="W33" s="17" t="s">
        <v>10</v>
      </c>
      <c r="X33" s="17">
        <v>371</v>
      </c>
      <c r="Y33" s="17">
        <v>0</v>
      </c>
      <c r="Z33" s="17"/>
      <c r="AA33" s="17" t="s">
        <v>10</v>
      </c>
      <c r="AB33" s="17">
        <v>0</v>
      </c>
      <c r="AC33" s="17">
        <v>0</v>
      </c>
      <c r="AD33" s="17"/>
      <c r="AE33" s="17" t="s">
        <v>134</v>
      </c>
      <c r="AF33" s="17"/>
      <c r="AG33" s="17" t="s">
        <v>25</v>
      </c>
      <c r="AH33" s="17"/>
      <c r="AI33" s="17" t="s">
        <v>176</v>
      </c>
    </row>
    <row r="34" spans="1:35" x14ac:dyDescent="0.25">
      <c r="A34" s="17">
        <v>181570</v>
      </c>
      <c r="B34" s="17" t="s">
        <v>66</v>
      </c>
      <c r="C34" s="17" t="s">
        <v>9</v>
      </c>
      <c r="D34" s="17">
        <v>295581</v>
      </c>
      <c r="E34" s="17" t="s">
        <v>67</v>
      </c>
      <c r="F34" s="17" t="s">
        <v>108</v>
      </c>
      <c r="G34" s="17" t="s">
        <v>12</v>
      </c>
      <c r="H34" s="17" t="s">
        <v>122</v>
      </c>
      <c r="I34" s="17" t="s">
        <v>62</v>
      </c>
      <c r="J34" s="17">
        <v>-1</v>
      </c>
      <c r="K34" s="17" t="s">
        <v>12</v>
      </c>
      <c r="L34" s="17" t="s">
        <v>123</v>
      </c>
      <c r="M34" s="17" t="s">
        <v>61</v>
      </c>
      <c r="N34" s="17" t="s">
        <v>61</v>
      </c>
      <c r="O34" s="17" t="s">
        <v>61</v>
      </c>
      <c r="P34" s="17">
        <v>0</v>
      </c>
      <c r="Q34" s="17"/>
      <c r="R34" s="17"/>
      <c r="S34" s="17" t="s">
        <v>126</v>
      </c>
      <c r="T34" s="17">
        <v>0.32800000000000001</v>
      </c>
      <c r="U34" s="17">
        <v>0</v>
      </c>
      <c r="V34" s="17"/>
      <c r="W34" s="17" t="s">
        <v>126</v>
      </c>
      <c r="X34" s="17">
        <v>3341</v>
      </c>
      <c r="Y34" s="17">
        <v>0</v>
      </c>
      <c r="Z34" s="17"/>
      <c r="AA34" s="17" t="s">
        <v>126</v>
      </c>
      <c r="AB34" s="17">
        <v>0</v>
      </c>
      <c r="AC34" s="17">
        <v>0</v>
      </c>
      <c r="AD34" s="17"/>
      <c r="AE34" s="17" t="s">
        <v>133</v>
      </c>
      <c r="AF34" s="17"/>
      <c r="AG34" s="17" t="s">
        <v>25</v>
      </c>
      <c r="AH34" s="17"/>
      <c r="AI34" s="17" t="s">
        <v>164</v>
      </c>
    </row>
    <row r="35" spans="1:35" x14ac:dyDescent="0.25">
      <c r="A35" s="17">
        <v>181569</v>
      </c>
      <c r="B35" s="17" t="s">
        <v>66</v>
      </c>
      <c r="C35" s="17" t="s">
        <v>9</v>
      </c>
      <c r="D35" s="17">
        <v>295581</v>
      </c>
      <c r="E35" s="17" t="s">
        <v>67</v>
      </c>
      <c r="F35" s="17" t="s">
        <v>108</v>
      </c>
      <c r="G35" s="17" t="s">
        <v>12</v>
      </c>
      <c r="H35" s="17" t="s">
        <v>122</v>
      </c>
      <c r="I35" s="17" t="s">
        <v>62</v>
      </c>
      <c r="J35" s="17">
        <v>-1</v>
      </c>
      <c r="K35" s="17" t="s">
        <v>12</v>
      </c>
      <c r="L35" s="17" t="s">
        <v>124</v>
      </c>
      <c r="M35" s="17" t="s">
        <v>61</v>
      </c>
      <c r="N35" s="17" t="s">
        <v>61</v>
      </c>
      <c r="O35" s="17" t="s">
        <v>15</v>
      </c>
      <c r="P35" s="17">
        <v>0</v>
      </c>
      <c r="Q35" s="17"/>
      <c r="R35" s="17"/>
      <c r="S35" s="17" t="s">
        <v>126</v>
      </c>
      <c r="T35" s="17">
        <v>0.32800000000000001</v>
      </c>
      <c r="U35" s="17">
        <v>0</v>
      </c>
      <c r="V35" s="17"/>
      <c r="W35" s="17" t="s">
        <v>126</v>
      </c>
      <c r="X35" s="17">
        <v>3341</v>
      </c>
      <c r="Y35" s="17">
        <v>3341</v>
      </c>
      <c r="Z35" s="17">
        <v>0</v>
      </c>
      <c r="AA35" s="17" t="s">
        <v>126</v>
      </c>
      <c r="AB35" s="17">
        <v>0</v>
      </c>
      <c r="AC35" s="17">
        <v>0</v>
      </c>
      <c r="AD35" s="17">
        <v>0</v>
      </c>
      <c r="AE35" s="17" t="s">
        <v>133</v>
      </c>
      <c r="AF35" s="17"/>
      <c r="AG35" s="17" t="s">
        <v>25</v>
      </c>
      <c r="AH35" s="17"/>
      <c r="AI35" s="17"/>
    </row>
    <row r="36" spans="1:35" x14ac:dyDescent="0.25">
      <c r="A36" s="17">
        <v>181570</v>
      </c>
      <c r="B36" s="17" t="s">
        <v>66</v>
      </c>
      <c r="C36" s="17" t="s">
        <v>9</v>
      </c>
      <c r="D36" s="17">
        <v>295580</v>
      </c>
      <c r="E36" s="17" t="s">
        <v>67</v>
      </c>
      <c r="F36" s="17" t="s">
        <v>68</v>
      </c>
      <c r="G36" s="17" t="s">
        <v>12</v>
      </c>
      <c r="H36" s="17" t="s">
        <v>122</v>
      </c>
      <c r="I36" s="17" t="s">
        <v>62</v>
      </c>
      <c r="J36" s="17">
        <v>-1</v>
      </c>
      <c r="K36" s="17" t="s">
        <v>12</v>
      </c>
      <c r="L36" s="17" t="s">
        <v>123</v>
      </c>
      <c r="M36" s="17" t="s">
        <v>61</v>
      </c>
      <c r="N36" s="17" t="s">
        <v>61</v>
      </c>
      <c r="O36" s="17" t="s">
        <v>61</v>
      </c>
      <c r="P36" s="17">
        <v>0</v>
      </c>
      <c r="Q36" s="17"/>
      <c r="R36" s="17"/>
      <c r="S36" s="17" t="s">
        <v>12</v>
      </c>
      <c r="T36" s="17">
        <v>0.872</v>
      </c>
      <c r="U36" s="17">
        <v>0</v>
      </c>
      <c r="V36" s="17"/>
      <c r="W36" s="17" t="s">
        <v>12</v>
      </c>
      <c r="X36" s="17">
        <v>212</v>
      </c>
      <c r="Y36" s="17">
        <v>206</v>
      </c>
      <c r="Z36" s="17">
        <v>-2.83</v>
      </c>
      <c r="AA36" s="17" t="s">
        <v>12</v>
      </c>
      <c r="AB36" s="17">
        <v>0</v>
      </c>
      <c r="AC36" s="17">
        <v>0</v>
      </c>
      <c r="AD36" s="17">
        <v>0</v>
      </c>
      <c r="AE36" s="17" t="s">
        <v>133</v>
      </c>
      <c r="AF36" s="17"/>
      <c r="AG36" s="17" t="s">
        <v>25</v>
      </c>
      <c r="AH36" s="17"/>
      <c r="AI36" s="17"/>
    </row>
    <row r="37" spans="1:35" x14ac:dyDescent="0.25">
      <c r="A37" s="17">
        <v>181569</v>
      </c>
      <c r="B37" s="17" t="s">
        <v>66</v>
      </c>
      <c r="C37" s="17" t="s">
        <v>9</v>
      </c>
      <c r="D37" s="17">
        <v>295580</v>
      </c>
      <c r="E37" s="17" t="s">
        <v>67</v>
      </c>
      <c r="F37" s="17" t="s">
        <v>68</v>
      </c>
      <c r="G37" s="17" t="s">
        <v>12</v>
      </c>
      <c r="H37" s="17" t="s">
        <v>122</v>
      </c>
      <c r="I37" s="17" t="s">
        <v>62</v>
      </c>
      <c r="J37" s="17">
        <v>-1</v>
      </c>
      <c r="K37" s="17" t="s">
        <v>12</v>
      </c>
      <c r="L37" s="17" t="s">
        <v>124</v>
      </c>
      <c r="M37" s="17" t="s">
        <v>61</v>
      </c>
      <c r="N37" s="17" t="s">
        <v>61</v>
      </c>
      <c r="O37" s="17" t="s">
        <v>15</v>
      </c>
      <c r="P37" s="17">
        <v>0</v>
      </c>
      <c r="Q37" s="17"/>
      <c r="R37" s="17"/>
      <c r="S37" s="17" t="s">
        <v>12</v>
      </c>
      <c r="T37" s="17">
        <v>0.69699999999999995</v>
      </c>
      <c r="U37" s="17">
        <v>0</v>
      </c>
      <c r="V37" s="17"/>
      <c r="W37" s="17" t="s">
        <v>12</v>
      </c>
      <c r="X37" s="17">
        <v>212</v>
      </c>
      <c r="Y37" s="17">
        <v>41</v>
      </c>
      <c r="Z37" s="17">
        <v>-80.66</v>
      </c>
      <c r="AA37" s="17" t="s">
        <v>12</v>
      </c>
      <c r="AB37" s="17">
        <v>0</v>
      </c>
      <c r="AC37" s="17">
        <v>0</v>
      </c>
      <c r="AD37" s="17">
        <v>0</v>
      </c>
      <c r="AE37" s="17" t="s">
        <v>133</v>
      </c>
      <c r="AF37" s="17"/>
      <c r="AG37" s="17" t="s">
        <v>25</v>
      </c>
      <c r="AH37" s="17"/>
      <c r="AI37" s="17"/>
    </row>
    <row r="38" spans="1:35" x14ac:dyDescent="0.25">
      <c r="A38" s="17">
        <v>181637</v>
      </c>
      <c r="B38" s="17" t="s">
        <v>14</v>
      </c>
      <c r="C38" s="17" t="s">
        <v>11</v>
      </c>
      <c r="D38" s="17">
        <v>290063</v>
      </c>
      <c r="E38" s="17" t="s">
        <v>36</v>
      </c>
      <c r="F38" s="17" t="s">
        <v>99</v>
      </c>
      <c r="G38" s="17" t="s">
        <v>10</v>
      </c>
      <c r="H38" s="17" t="s">
        <v>35</v>
      </c>
      <c r="I38" s="17" t="s">
        <v>35</v>
      </c>
      <c r="J38" s="17">
        <v>0</v>
      </c>
      <c r="K38" s="17" t="s">
        <v>10</v>
      </c>
      <c r="L38" s="17" t="s">
        <v>46</v>
      </c>
      <c r="M38" s="17" t="s">
        <v>61</v>
      </c>
      <c r="N38" s="17" t="s">
        <v>61</v>
      </c>
      <c r="O38" s="17" t="s">
        <v>13</v>
      </c>
      <c r="P38" s="17">
        <v>58</v>
      </c>
      <c r="Q38" s="17"/>
      <c r="R38" s="17"/>
      <c r="S38" s="17" t="s">
        <v>12</v>
      </c>
      <c r="T38" s="17">
        <v>0.34399999999999997</v>
      </c>
      <c r="U38" s="17">
        <v>0</v>
      </c>
      <c r="V38" s="17"/>
      <c r="W38" s="17" t="s">
        <v>12</v>
      </c>
      <c r="X38" s="17">
        <v>1935</v>
      </c>
      <c r="Y38" s="17">
        <v>0</v>
      </c>
      <c r="Z38" s="17"/>
      <c r="AA38" s="17" t="s">
        <v>12</v>
      </c>
      <c r="AB38" s="17">
        <v>0</v>
      </c>
      <c r="AC38" s="17">
        <v>0</v>
      </c>
      <c r="AD38" s="17"/>
      <c r="AE38" s="17" t="s">
        <v>134</v>
      </c>
      <c r="AF38" s="17"/>
      <c r="AG38" s="17" t="s">
        <v>25</v>
      </c>
      <c r="AH38" s="17"/>
      <c r="AI38" s="17" t="s">
        <v>171</v>
      </c>
    </row>
    <row r="39" spans="1:35" x14ac:dyDescent="0.25">
      <c r="A39" s="17">
        <v>181636</v>
      </c>
      <c r="B39" s="17" t="s">
        <v>14</v>
      </c>
      <c r="C39" s="17" t="s">
        <v>11</v>
      </c>
      <c r="D39" s="17">
        <v>290060</v>
      </c>
      <c r="E39" s="17" t="s">
        <v>36</v>
      </c>
      <c r="F39" s="17" t="s">
        <v>43</v>
      </c>
      <c r="G39" s="17" t="s">
        <v>10</v>
      </c>
      <c r="H39" s="17" t="s">
        <v>35</v>
      </c>
      <c r="I39" s="17" t="s">
        <v>35</v>
      </c>
      <c r="J39" s="17">
        <v>0</v>
      </c>
      <c r="K39" s="17" t="s">
        <v>10</v>
      </c>
      <c r="L39" s="17" t="s">
        <v>49</v>
      </c>
      <c r="M39" s="17" t="s">
        <v>61</v>
      </c>
      <c r="N39" s="17" t="s">
        <v>61</v>
      </c>
      <c r="O39" s="17" t="s">
        <v>13</v>
      </c>
      <c r="P39" s="17">
        <v>58</v>
      </c>
      <c r="Q39" s="17"/>
      <c r="R39" s="17"/>
      <c r="S39" s="17" t="s">
        <v>10</v>
      </c>
      <c r="T39" s="17">
        <v>0</v>
      </c>
      <c r="U39" s="17">
        <v>0</v>
      </c>
      <c r="V39" s="17"/>
      <c r="W39" s="17" t="s">
        <v>10</v>
      </c>
      <c r="X39" s="17">
        <v>0</v>
      </c>
      <c r="Y39" s="17">
        <v>0</v>
      </c>
      <c r="Z39" s="17"/>
      <c r="AA39" s="17" t="s">
        <v>10</v>
      </c>
      <c r="AB39" s="17">
        <v>0</v>
      </c>
      <c r="AC39" s="17">
        <v>0</v>
      </c>
      <c r="AD39" s="17"/>
      <c r="AE39" s="17" t="s">
        <v>134</v>
      </c>
      <c r="AF39" s="17"/>
      <c r="AG39" s="17" t="s">
        <v>25</v>
      </c>
      <c r="AH39" s="17"/>
      <c r="AI39" s="17" t="s">
        <v>167</v>
      </c>
    </row>
    <row r="40" spans="1:35" x14ac:dyDescent="0.25">
      <c r="A40" s="17">
        <v>181626</v>
      </c>
      <c r="B40" s="17" t="s">
        <v>14</v>
      </c>
      <c r="C40" s="17" t="s">
        <v>11</v>
      </c>
      <c r="D40" s="17">
        <v>290059</v>
      </c>
      <c r="E40" s="17" t="s">
        <v>36</v>
      </c>
      <c r="F40" s="17" t="s">
        <v>37</v>
      </c>
      <c r="G40" s="17" t="s">
        <v>10</v>
      </c>
      <c r="H40" s="17" t="s">
        <v>122</v>
      </c>
      <c r="I40" s="17" t="s">
        <v>61</v>
      </c>
      <c r="J40" s="17" t="s">
        <v>61</v>
      </c>
      <c r="K40" s="17" t="s">
        <v>10</v>
      </c>
      <c r="L40" s="17" t="s">
        <v>44</v>
      </c>
      <c r="M40" s="17" t="s">
        <v>61</v>
      </c>
      <c r="N40" s="17" t="s">
        <v>61</v>
      </c>
      <c r="O40" s="17" t="s">
        <v>13</v>
      </c>
      <c r="P40" s="17">
        <v>58</v>
      </c>
      <c r="Q40" s="17"/>
      <c r="R40" s="17"/>
      <c r="S40" s="17" t="s">
        <v>12</v>
      </c>
      <c r="T40" s="17">
        <v>0.70299999999999996</v>
      </c>
      <c r="U40" s="17">
        <v>0</v>
      </c>
      <c r="V40" s="17"/>
      <c r="W40" s="17" t="s">
        <v>12</v>
      </c>
      <c r="X40" s="17">
        <v>295</v>
      </c>
      <c r="Y40" s="17">
        <v>0</v>
      </c>
      <c r="Z40" s="17"/>
      <c r="AA40" s="17" t="s">
        <v>12</v>
      </c>
      <c r="AB40" s="17">
        <v>0</v>
      </c>
      <c r="AC40" s="17">
        <v>0</v>
      </c>
      <c r="AD40" s="17"/>
      <c r="AE40" s="17" t="s">
        <v>133</v>
      </c>
      <c r="AF40" s="17"/>
      <c r="AG40" s="17" t="s">
        <v>25</v>
      </c>
      <c r="AH40" s="17"/>
      <c r="AI40" s="17" t="s">
        <v>157</v>
      </c>
    </row>
    <row r="41" spans="1:35" x14ac:dyDescent="0.25">
      <c r="A41" s="17">
        <v>181588</v>
      </c>
      <c r="B41" s="17" t="s">
        <v>14</v>
      </c>
      <c r="C41" s="17" t="s">
        <v>121</v>
      </c>
      <c r="D41" s="17">
        <v>290059</v>
      </c>
      <c r="E41" s="17" t="s">
        <v>36</v>
      </c>
      <c r="F41" s="17" t="s">
        <v>37</v>
      </c>
      <c r="G41" s="17" t="s">
        <v>126</v>
      </c>
      <c r="H41" s="17" t="s">
        <v>122</v>
      </c>
      <c r="I41" s="17" t="s">
        <v>61</v>
      </c>
      <c r="J41" s="17" t="s">
        <v>61</v>
      </c>
      <c r="K41" s="17" t="s">
        <v>126</v>
      </c>
      <c r="L41" s="17" t="s">
        <v>39</v>
      </c>
      <c r="M41" s="17" t="s">
        <v>61</v>
      </c>
      <c r="N41" s="17" t="s">
        <v>61</v>
      </c>
      <c r="O41" s="17" t="s">
        <v>13</v>
      </c>
      <c r="P41" s="17">
        <v>58</v>
      </c>
      <c r="Q41" s="17"/>
      <c r="R41" s="17"/>
      <c r="S41" s="17" t="s">
        <v>12</v>
      </c>
      <c r="T41" s="17">
        <v>0.65200000000000002</v>
      </c>
      <c r="U41" s="17">
        <v>0</v>
      </c>
      <c r="V41" s="17"/>
      <c r="W41" s="17" t="s">
        <v>12</v>
      </c>
      <c r="X41" s="17">
        <v>144</v>
      </c>
      <c r="Y41" s="17">
        <v>7</v>
      </c>
      <c r="Z41" s="17">
        <v>-95.14</v>
      </c>
      <c r="AA41" s="17" t="s">
        <v>12</v>
      </c>
      <c r="AB41" s="17">
        <v>0</v>
      </c>
      <c r="AC41" s="17">
        <v>0</v>
      </c>
      <c r="AD41" s="17">
        <v>0</v>
      </c>
      <c r="AE41" s="17" t="s">
        <v>133</v>
      </c>
      <c r="AF41" s="17"/>
      <c r="AG41" s="17" t="s">
        <v>25</v>
      </c>
      <c r="AH41" s="17"/>
      <c r="AI41" s="17" t="s">
        <v>161</v>
      </c>
    </row>
    <row r="42" spans="1:35" x14ac:dyDescent="0.25">
      <c r="A42" s="17">
        <v>181585</v>
      </c>
      <c r="B42" s="17" t="s">
        <v>14</v>
      </c>
      <c r="C42" s="17" t="s">
        <v>121</v>
      </c>
      <c r="D42" s="17">
        <v>290062</v>
      </c>
      <c r="E42" s="17" t="s">
        <v>36</v>
      </c>
      <c r="F42" s="17" t="s">
        <v>52</v>
      </c>
      <c r="G42" s="17" t="s">
        <v>126</v>
      </c>
      <c r="H42" s="17" t="s">
        <v>122</v>
      </c>
      <c r="I42" s="17" t="s">
        <v>61</v>
      </c>
      <c r="J42" s="17" t="s">
        <v>61</v>
      </c>
      <c r="K42" s="17" t="s">
        <v>126</v>
      </c>
      <c r="L42" s="17" t="s">
        <v>128</v>
      </c>
      <c r="M42" s="17" t="s">
        <v>61</v>
      </c>
      <c r="N42" s="17" t="s">
        <v>61</v>
      </c>
      <c r="O42" s="17" t="s">
        <v>13</v>
      </c>
      <c r="P42" s="17">
        <v>58</v>
      </c>
      <c r="Q42" s="17"/>
      <c r="R42" s="17"/>
      <c r="S42" s="17" t="s">
        <v>12</v>
      </c>
      <c r="T42" s="17">
        <v>0.378</v>
      </c>
      <c r="U42" s="17">
        <v>0</v>
      </c>
      <c r="V42" s="17"/>
      <c r="W42" s="17" t="s">
        <v>12</v>
      </c>
      <c r="X42" s="17">
        <v>372</v>
      </c>
      <c r="Y42" s="17">
        <v>0</v>
      </c>
      <c r="Z42" s="17"/>
      <c r="AA42" s="17" t="s">
        <v>12</v>
      </c>
      <c r="AB42" s="17">
        <v>0</v>
      </c>
      <c r="AC42" s="17">
        <v>0</v>
      </c>
      <c r="AD42" s="17"/>
      <c r="AE42" s="17" t="s">
        <v>134</v>
      </c>
      <c r="AF42" s="17"/>
      <c r="AG42" s="17" t="s">
        <v>25</v>
      </c>
      <c r="AH42" s="17"/>
      <c r="AI42" s="17" t="s">
        <v>169</v>
      </c>
    </row>
    <row r="43" spans="1:35" x14ac:dyDescent="0.25">
      <c r="A43" s="17">
        <v>181589</v>
      </c>
      <c r="B43" s="17" t="s">
        <v>14</v>
      </c>
      <c r="C43" s="17" t="s">
        <v>121</v>
      </c>
      <c r="D43" s="17">
        <v>292730</v>
      </c>
      <c r="E43" s="17" t="s">
        <v>36</v>
      </c>
      <c r="F43" s="17" t="s">
        <v>127</v>
      </c>
      <c r="G43" s="17" t="s">
        <v>126</v>
      </c>
      <c r="H43" s="17" t="s">
        <v>122</v>
      </c>
      <c r="I43" s="17" t="s">
        <v>61</v>
      </c>
      <c r="J43" s="17" t="s">
        <v>61</v>
      </c>
      <c r="K43" s="17" t="s">
        <v>126</v>
      </c>
      <c r="L43" s="17" t="s">
        <v>49</v>
      </c>
      <c r="M43" s="17" t="s">
        <v>61</v>
      </c>
      <c r="N43" s="17" t="s">
        <v>61</v>
      </c>
      <c r="O43" s="17" t="s">
        <v>13</v>
      </c>
      <c r="P43" s="17">
        <v>58</v>
      </c>
      <c r="Q43" s="17"/>
      <c r="R43" s="17"/>
      <c r="S43" s="17" t="s">
        <v>10</v>
      </c>
      <c r="T43" s="17">
        <v>0.371</v>
      </c>
      <c r="U43" s="17">
        <v>0</v>
      </c>
      <c r="V43" s="17"/>
      <c r="W43" s="17" t="s">
        <v>10</v>
      </c>
      <c r="X43" s="17">
        <v>1564</v>
      </c>
      <c r="Y43" s="17">
        <v>0</v>
      </c>
      <c r="Z43" s="17"/>
      <c r="AA43" s="17" t="s">
        <v>10</v>
      </c>
      <c r="AB43" s="17">
        <v>0</v>
      </c>
      <c r="AC43" s="17">
        <v>0</v>
      </c>
      <c r="AD43" s="17"/>
      <c r="AE43" s="17" t="s">
        <v>134</v>
      </c>
      <c r="AF43" s="17"/>
      <c r="AG43" s="17" t="s">
        <v>25</v>
      </c>
      <c r="AH43" s="17"/>
      <c r="AI43" s="17" t="s">
        <v>176</v>
      </c>
    </row>
    <row r="44" spans="1:35" x14ac:dyDescent="0.25">
      <c r="A44" s="17">
        <v>181626</v>
      </c>
      <c r="B44" s="17" t="s">
        <v>14</v>
      </c>
      <c r="C44" s="17" t="s">
        <v>11</v>
      </c>
      <c r="D44" s="17">
        <v>290061</v>
      </c>
      <c r="E44" s="17" t="s">
        <v>36</v>
      </c>
      <c r="F44" s="17" t="s">
        <v>98</v>
      </c>
      <c r="G44" s="17" t="s">
        <v>10</v>
      </c>
      <c r="H44" s="17" t="s">
        <v>122</v>
      </c>
      <c r="I44" s="17" t="s">
        <v>61</v>
      </c>
      <c r="J44" s="17" t="s">
        <v>61</v>
      </c>
      <c r="K44" s="17" t="s">
        <v>10</v>
      </c>
      <c r="L44" s="17" t="s">
        <v>44</v>
      </c>
      <c r="M44" s="17" t="s">
        <v>61</v>
      </c>
      <c r="N44" s="17" t="s">
        <v>61</v>
      </c>
      <c r="O44" s="17" t="s">
        <v>13</v>
      </c>
      <c r="P44" s="17">
        <v>58</v>
      </c>
      <c r="Q44" s="17"/>
      <c r="R44" s="17"/>
      <c r="S44" s="17" t="s">
        <v>10</v>
      </c>
      <c r="T44" s="17">
        <v>0.36799999999999999</v>
      </c>
      <c r="U44" s="17">
        <v>0</v>
      </c>
      <c r="V44" s="17"/>
      <c r="W44" s="17" t="s">
        <v>10</v>
      </c>
      <c r="X44" s="17">
        <v>2027</v>
      </c>
      <c r="Y44" s="17">
        <v>0</v>
      </c>
      <c r="Z44" s="17"/>
      <c r="AA44" s="17" t="s">
        <v>10</v>
      </c>
      <c r="AB44" s="17">
        <v>0</v>
      </c>
      <c r="AC44" s="17">
        <v>0</v>
      </c>
      <c r="AD44" s="17"/>
      <c r="AE44" s="17" t="s">
        <v>134</v>
      </c>
      <c r="AF44" s="17"/>
      <c r="AG44" s="17" t="s">
        <v>25</v>
      </c>
      <c r="AH44" s="17"/>
      <c r="AI44" s="17" t="s">
        <v>176</v>
      </c>
    </row>
    <row r="45" spans="1:35" x14ac:dyDescent="0.25">
      <c r="A45" s="17">
        <v>181591</v>
      </c>
      <c r="B45" s="17" t="s">
        <v>14</v>
      </c>
      <c r="C45" s="17" t="s">
        <v>121</v>
      </c>
      <c r="D45" s="17">
        <v>290061</v>
      </c>
      <c r="E45" s="17" t="s">
        <v>36</v>
      </c>
      <c r="F45" s="17" t="s">
        <v>98</v>
      </c>
      <c r="G45" s="17" t="s">
        <v>126</v>
      </c>
      <c r="H45" s="17" t="s">
        <v>122</v>
      </c>
      <c r="I45" s="17" t="s">
        <v>61</v>
      </c>
      <c r="J45" s="17" t="s">
        <v>61</v>
      </c>
      <c r="K45" s="17" t="s">
        <v>126</v>
      </c>
      <c r="L45" s="17" t="s">
        <v>47</v>
      </c>
      <c r="M45" s="17" t="s">
        <v>61</v>
      </c>
      <c r="N45" s="17" t="s">
        <v>61</v>
      </c>
      <c r="O45" s="17" t="s">
        <v>13</v>
      </c>
      <c r="P45" s="17">
        <v>58</v>
      </c>
      <c r="Q45" s="17"/>
      <c r="R45" s="17"/>
      <c r="S45" s="17" t="s">
        <v>10</v>
      </c>
      <c r="T45" s="17">
        <v>0.36799999999999999</v>
      </c>
      <c r="U45" s="17">
        <v>0</v>
      </c>
      <c r="V45" s="17"/>
      <c r="W45" s="17" t="s">
        <v>10</v>
      </c>
      <c r="X45" s="17">
        <v>2037</v>
      </c>
      <c r="Y45" s="17">
        <v>0</v>
      </c>
      <c r="Z45" s="17"/>
      <c r="AA45" s="17" t="s">
        <v>10</v>
      </c>
      <c r="AB45" s="17">
        <v>0</v>
      </c>
      <c r="AC45" s="17">
        <v>0</v>
      </c>
      <c r="AD45" s="17"/>
      <c r="AE45" s="17" t="s">
        <v>134</v>
      </c>
      <c r="AF45" s="17"/>
      <c r="AG45" s="17" t="s">
        <v>25</v>
      </c>
      <c r="AH45" s="17"/>
      <c r="AI45" s="17" t="s">
        <v>176</v>
      </c>
    </row>
    <row r="46" spans="1:35" x14ac:dyDescent="0.25">
      <c r="A46" s="17">
        <v>181590</v>
      </c>
      <c r="B46" s="17" t="s">
        <v>14</v>
      </c>
      <c r="C46" s="17" t="s">
        <v>121</v>
      </c>
      <c r="D46" s="17">
        <v>290061</v>
      </c>
      <c r="E46" s="17" t="s">
        <v>36</v>
      </c>
      <c r="F46" s="17" t="s">
        <v>98</v>
      </c>
      <c r="G46" s="17" t="s">
        <v>126</v>
      </c>
      <c r="H46" s="17" t="s">
        <v>122</v>
      </c>
      <c r="I46" s="17" t="s">
        <v>61</v>
      </c>
      <c r="J46" s="17" t="s">
        <v>61</v>
      </c>
      <c r="K46" s="17" t="s">
        <v>126</v>
      </c>
      <c r="L46" s="17" t="s">
        <v>44</v>
      </c>
      <c r="M46" s="17" t="s">
        <v>61</v>
      </c>
      <c r="N46" s="17" t="s">
        <v>61</v>
      </c>
      <c r="O46" s="17" t="s">
        <v>13</v>
      </c>
      <c r="P46" s="17">
        <v>58</v>
      </c>
      <c r="Q46" s="17"/>
      <c r="R46" s="17"/>
      <c r="S46" s="17" t="s">
        <v>10</v>
      </c>
      <c r="T46" s="17">
        <v>0.438</v>
      </c>
      <c r="U46" s="17">
        <v>0</v>
      </c>
      <c r="V46" s="17"/>
      <c r="W46" s="17" t="s">
        <v>10</v>
      </c>
      <c r="X46" s="17">
        <v>370</v>
      </c>
      <c r="Y46" s="17">
        <v>0</v>
      </c>
      <c r="Z46" s="17"/>
      <c r="AA46" s="17" t="s">
        <v>10</v>
      </c>
      <c r="AB46" s="17">
        <v>0</v>
      </c>
      <c r="AC46" s="17">
        <v>0</v>
      </c>
      <c r="AD46" s="17"/>
      <c r="AE46" s="17" t="s">
        <v>134</v>
      </c>
      <c r="AF46" s="17"/>
      <c r="AG46" s="17" t="s">
        <v>25</v>
      </c>
      <c r="AH46" s="17"/>
      <c r="AI46" s="17" t="s">
        <v>176</v>
      </c>
    </row>
    <row r="47" spans="1:35" x14ac:dyDescent="0.25">
      <c r="A47" s="17">
        <v>181591</v>
      </c>
      <c r="B47" s="17" t="s">
        <v>14</v>
      </c>
      <c r="C47" s="17" t="s">
        <v>121</v>
      </c>
      <c r="D47" s="17">
        <v>292101</v>
      </c>
      <c r="E47" s="17" t="s">
        <v>36</v>
      </c>
      <c r="F47" s="17" t="s">
        <v>51</v>
      </c>
      <c r="G47" s="17" t="s">
        <v>126</v>
      </c>
      <c r="H47" s="17" t="s">
        <v>122</v>
      </c>
      <c r="I47" s="17" t="s">
        <v>61</v>
      </c>
      <c r="J47" s="17" t="s">
        <v>61</v>
      </c>
      <c r="K47" s="17" t="s">
        <v>126</v>
      </c>
      <c r="L47" s="17" t="s">
        <v>47</v>
      </c>
      <c r="M47" s="17" t="s">
        <v>61</v>
      </c>
      <c r="N47" s="17" t="s">
        <v>61</v>
      </c>
      <c r="O47" s="17" t="s">
        <v>13</v>
      </c>
      <c r="P47" s="17">
        <v>58</v>
      </c>
      <c r="Q47" s="17"/>
      <c r="R47" s="17"/>
      <c r="S47" s="17" t="s">
        <v>10</v>
      </c>
      <c r="T47" s="17">
        <v>0.36099999999999999</v>
      </c>
      <c r="U47" s="17">
        <v>0</v>
      </c>
      <c r="V47" s="17"/>
      <c r="W47" s="17" t="s">
        <v>10</v>
      </c>
      <c r="X47" s="17">
        <v>2396</v>
      </c>
      <c r="Y47" s="17">
        <v>0</v>
      </c>
      <c r="Z47" s="17"/>
      <c r="AA47" s="17" t="s">
        <v>10</v>
      </c>
      <c r="AB47" s="17">
        <v>0</v>
      </c>
      <c r="AC47" s="17">
        <v>0</v>
      </c>
      <c r="AD47" s="17"/>
      <c r="AE47" s="17" t="s">
        <v>134</v>
      </c>
      <c r="AF47" s="17"/>
      <c r="AG47" s="17" t="s">
        <v>25</v>
      </c>
      <c r="AH47" s="17"/>
      <c r="AI47" s="17" t="s">
        <v>176</v>
      </c>
    </row>
    <row r="48" spans="1:35" x14ac:dyDescent="0.25">
      <c r="A48" s="17">
        <v>181590</v>
      </c>
      <c r="B48" s="17" t="s">
        <v>14</v>
      </c>
      <c r="C48" s="17" t="s">
        <v>121</v>
      </c>
      <c r="D48" s="17">
        <v>292101</v>
      </c>
      <c r="E48" s="17" t="s">
        <v>36</v>
      </c>
      <c r="F48" s="17" t="s">
        <v>51</v>
      </c>
      <c r="G48" s="17" t="s">
        <v>126</v>
      </c>
      <c r="H48" s="17" t="s">
        <v>122</v>
      </c>
      <c r="I48" s="17" t="s">
        <v>61</v>
      </c>
      <c r="J48" s="17" t="s">
        <v>61</v>
      </c>
      <c r="K48" s="17" t="s">
        <v>126</v>
      </c>
      <c r="L48" s="17" t="s">
        <v>44</v>
      </c>
      <c r="M48" s="17" t="s">
        <v>61</v>
      </c>
      <c r="N48" s="17" t="s">
        <v>61</v>
      </c>
      <c r="O48" s="17" t="s">
        <v>13</v>
      </c>
      <c r="P48" s="17">
        <v>58</v>
      </c>
      <c r="Q48" s="17"/>
      <c r="R48" s="17"/>
      <c r="S48" s="17" t="s">
        <v>10</v>
      </c>
      <c r="T48" s="17">
        <v>0.36</v>
      </c>
      <c r="U48" s="17">
        <v>0</v>
      </c>
      <c r="V48" s="17"/>
      <c r="W48" s="17" t="s">
        <v>10</v>
      </c>
      <c r="X48" s="17">
        <v>4444</v>
      </c>
      <c r="Y48" s="17">
        <v>0</v>
      </c>
      <c r="Z48" s="17"/>
      <c r="AA48" s="17" t="s">
        <v>10</v>
      </c>
      <c r="AB48" s="17">
        <v>0</v>
      </c>
      <c r="AC48" s="17">
        <v>0</v>
      </c>
      <c r="AD48" s="17"/>
      <c r="AE48" s="17" t="s">
        <v>134</v>
      </c>
      <c r="AF48" s="17"/>
      <c r="AG48" s="17" t="s">
        <v>25</v>
      </c>
      <c r="AH48" s="17"/>
      <c r="AI48" s="17" t="s">
        <v>176</v>
      </c>
    </row>
    <row r="49" spans="1:35" x14ac:dyDescent="0.25">
      <c r="A49" s="17">
        <v>181626</v>
      </c>
      <c r="B49" s="17" t="s">
        <v>14</v>
      </c>
      <c r="C49" s="17" t="s">
        <v>11</v>
      </c>
      <c r="D49" s="17">
        <v>290060</v>
      </c>
      <c r="E49" s="17" t="s">
        <v>36</v>
      </c>
      <c r="F49" s="17" t="s">
        <v>43</v>
      </c>
      <c r="G49" s="17" t="s">
        <v>10</v>
      </c>
      <c r="H49" s="17" t="s">
        <v>122</v>
      </c>
      <c r="I49" s="17" t="s">
        <v>61</v>
      </c>
      <c r="J49" s="17" t="s">
        <v>61</v>
      </c>
      <c r="K49" s="17" t="s">
        <v>10</v>
      </c>
      <c r="L49" s="17" t="s">
        <v>44</v>
      </c>
      <c r="M49" s="17" t="s">
        <v>61</v>
      </c>
      <c r="N49" s="17" t="s">
        <v>61</v>
      </c>
      <c r="O49" s="17" t="s">
        <v>13</v>
      </c>
      <c r="P49" s="17">
        <v>58</v>
      </c>
      <c r="Q49" s="17"/>
      <c r="R49" s="17"/>
      <c r="S49" s="17" t="s">
        <v>10</v>
      </c>
      <c r="T49" s="17">
        <v>0</v>
      </c>
      <c r="U49" s="17">
        <v>0</v>
      </c>
      <c r="V49" s="17"/>
      <c r="W49" s="17" t="s">
        <v>10</v>
      </c>
      <c r="X49" s="17">
        <v>0</v>
      </c>
      <c r="Y49" s="17">
        <v>0</v>
      </c>
      <c r="Z49" s="17"/>
      <c r="AA49" s="17" t="s">
        <v>10</v>
      </c>
      <c r="AB49" s="17">
        <v>0</v>
      </c>
      <c r="AC49" s="17">
        <v>0</v>
      </c>
      <c r="AD49" s="17"/>
      <c r="AE49" s="17" t="s">
        <v>134</v>
      </c>
      <c r="AF49" s="17"/>
      <c r="AG49" s="17" t="s">
        <v>25</v>
      </c>
      <c r="AH49" s="17"/>
      <c r="AI49" s="17" t="s">
        <v>167</v>
      </c>
    </row>
    <row r="50" spans="1:35" x14ac:dyDescent="0.25">
      <c r="A50" s="17">
        <v>181588</v>
      </c>
      <c r="B50" s="17" t="s">
        <v>14</v>
      </c>
      <c r="C50" s="17" t="s">
        <v>121</v>
      </c>
      <c r="D50" s="17">
        <v>290060</v>
      </c>
      <c r="E50" s="17" t="s">
        <v>36</v>
      </c>
      <c r="F50" s="17" t="s">
        <v>43</v>
      </c>
      <c r="G50" s="17" t="s">
        <v>126</v>
      </c>
      <c r="H50" s="17" t="s">
        <v>122</v>
      </c>
      <c r="I50" s="17" t="s">
        <v>61</v>
      </c>
      <c r="J50" s="17" t="s">
        <v>61</v>
      </c>
      <c r="K50" s="17" t="s">
        <v>126</v>
      </c>
      <c r="L50" s="17" t="s">
        <v>39</v>
      </c>
      <c r="M50" s="17" t="s">
        <v>61</v>
      </c>
      <c r="N50" s="17" t="s">
        <v>61</v>
      </c>
      <c r="O50" s="17" t="s">
        <v>13</v>
      </c>
      <c r="P50" s="17">
        <v>58</v>
      </c>
      <c r="Q50" s="17"/>
      <c r="R50" s="17"/>
      <c r="S50" s="17" t="s">
        <v>10</v>
      </c>
      <c r="T50" s="17">
        <v>0</v>
      </c>
      <c r="U50" s="17">
        <v>0</v>
      </c>
      <c r="V50" s="17"/>
      <c r="W50" s="17" t="s">
        <v>10</v>
      </c>
      <c r="X50" s="17">
        <v>0</v>
      </c>
      <c r="Y50" s="17">
        <v>0</v>
      </c>
      <c r="Z50" s="17"/>
      <c r="AA50" s="17" t="s">
        <v>10</v>
      </c>
      <c r="AB50" s="17">
        <v>0</v>
      </c>
      <c r="AC50" s="17">
        <v>0</v>
      </c>
      <c r="AD50" s="17"/>
      <c r="AE50" s="17" t="s">
        <v>134</v>
      </c>
      <c r="AF50" s="17"/>
      <c r="AG50" s="17" t="s">
        <v>25</v>
      </c>
      <c r="AH50" s="17"/>
      <c r="AI50" s="17"/>
    </row>
    <row r="51" spans="1:35" x14ac:dyDescent="0.25">
      <c r="A51" s="17">
        <v>181591</v>
      </c>
      <c r="B51" s="17" t="s">
        <v>14</v>
      </c>
      <c r="C51" s="17" t="s">
        <v>121</v>
      </c>
      <c r="D51" s="17">
        <v>293262</v>
      </c>
      <c r="E51" s="17" t="s">
        <v>36</v>
      </c>
      <c r="F51" s="17" t="s">
        <v>107</v>
      </c>
      <c r="G51" s="17" t="s">
        <v>126</v>
      </c>
      <c r="H51" s="17" t="s">
        <v>122</v>
      </c>
      <c r="I51" s="17" t="s">
        <v>61</v>
      </c>
      <c r="J51" s="17" t="s">
        <v>61</v>
      </c>
      <c r="K51" s="17" t="s">
        <v>126</v>
      </c>
      <c r="L51" s="17" t="s">
        <v>47</v>
      </c>
      <c r="M51" s="17" t="s">
        <v>61</v>
      </c>
      <c r="N51" s="17" t="s">
        <v>61</v>
      </c>
      <c r="O51" s="17" t="s">
        <v>13</v>
      </c>
      <c r="P51" s="17">
        <v>58</v>
      </c>
      <c r="Q51" s="17"/>
      <c r="R51" s="17"/>
      <c r="S51" s="17" t="s">
        <v>12</v>
      </c>
      <c r="T51" s="17">
        <v>0</v>
      </c>
      <c r="U51" s="17">
        <v>0</v>
      </c>
      <c r="V51" s="17"/>
      <c r="W51" s="17" t="s">
        <v>12</v>
      </c>
      <c r="X51" s="17">
        <v>0</v>
      </c>
      <c r="Y51" s="17">
        <v>0</v>
      </c>
      <c r="Z51" s="17"/>
      <c r="AA51" s="17" t="s">
        <v>12</v>
      </c>
      <c r="AB51" s="17">
        <v>0</v>
      </c>
      <c r="AC51" s="17">
        <v>0</v>
      </c>
      <c r="AD51" s="17"/>
      <c r="AE51" s="17" t="s">
        <v>134</v>
      </c>
      <c r="AF51" s="17"/>
      <c r="AG51" s="17" t="s">
        <v>25</v>
      </c>
      <c r="AH51" s="17"/>
      <c r="AI51" s="17" t="s">
        <v>167</v>
      </c>
    </row>
    <row r="52" spans="1:35" x14ac:dyDescent="0.25">
      <c r="A52" s="17">
        <v>181590</v>
      </c>
      <c r="B52" s="17" t="s">
        <v>14</v>
      </c>
      <c r="C52" s="17" t="s">
        <v>121</v>
      </c>
      <c r="D52" s="17">
        <v>293262</v>
      </c>
      <c r="E52" s="17" t="s">
        <v>36</v>
      </c>
      <c r="F52" s="17" t="s">
        <v>107</v>
      </c>
      <c r="G52" s="17" t="s">
        <v>126</v>
      </c>
      <c r="H52" s="17" t="s">
        <v>122</v>
      </c>
      <c r="I52" s="17" t="s">
        <v>61</v>
      </c>
      <c r="J52" s="17" t="s">
        <v>61</v>
      </c>
      <c r="K52" s="17" t="s">
        <v>126</v>
      </c>
      <c r="L52" s="17" t="s">
        <v>44</v>
      </c>
      <c r="M52" s="17" t="s">
        <v>61</v>
      </c>
      <c r="N52" s="17" t="s">
        <v>61</v>
      </c>
      <c r="O52" s="17" t="s">
        <v>13</v>
      </c>
      <c r="P52" s="17">
        <v>58</v>
      </c>
      <c r="Q52" s="17"/>
      <c r="R52" s="17"/>
      <c r="S52" s="17" t="s">
        <v>10</v>
      </c>
      <c r="T52" s="17">
        <v>0.41899999999999998</v>
      </c>
      <c r="U52" s="17">
        <v>0</v>
      </c>
      <c r="V52" s="17"/>
      <c r="W52" s="17" t="s">
        <v>10</v>
      </c>
      <c r="X52" s="17">
        <v>1520</v>
      </c>
      <c r="Y52" s="17">
        <v>0</v>
      </c>
      <c r="Z52" s="17"/>
      <c r="AA52" s="17" t="s">
        <v>10</v>
      </c>
      <c r="AB52" s="17">
        <v>0</v>
      </c>
      <c r="AC52" s="17">
        <v>0</v>
      </c>
      <c r="AD52" s="17"/>
      <c r="AE52" s="17" t="s">
        <v>134</v>
      </c>
      <c r="AF52" s="17"/>
      <c r="AG52" s="17" t="s">
        <v>25</v>
      </c>
      <c r="AH52" s="17"/>
      <c r="AI52" s="17"/>
    </row>
    <row r="53" spans="1:35" x14ac:dyDescent="0.25">
      <c r="A53" s="17">
        <v>181588</v>
      </c>
      <c r="B53" s="17" t="s">
        <v>14</v>
      </c>
      <c r="C53" s="17" t="s">
        <v>121</v>
      </c>
      <c r="D53" s="17">
        <v>292100</v>
      </c>
      <c r="E53" s="17" t="s">
        <v>36</v>
      </c>
      <c r="F53" s="17" t="s">
        <v>100</v>
      </c>
      <c r="G53" s="17" t="s">
        <v>126</v>
      </c>
      <c r="H53" s="17" t="s">
        <v>122</v>
      </c>
      <c r="I53" s="17" t="s">
        <v>61</v>
      </c>
      <c r="J53" s="17" t="s">
        <v>61</v>
      </c>
      <c r="K53" s="17" t="s">
        <v>126</v>
      </c>
      <c r="L53" s="17" t="s">
        <v>39</v>
      </c>
      <c r="M53" s="17" t="s">
        <v>61</v>
      </c>
      <c r="N53" s="17" t="s">
        <v>61</v>
      </c>
      <c r="O53" s="17" t="s">
        <v>13</v>
      </c>
      <c r="P53" s="17">
        <v>58</v>
      </c>
      <c r="Q53" s="17"/>
      <c r="R53" s="17"/>
      <c r="S53" s="17" t="s">
        <v>10</v>
      </c>
      <c r="T53" s="17">
        <v>0.50800000000000001</v>
      </c>
      <c r="U53" s="17">
        <v>0</v>
      </c>
      <c r="V53" s="17"/>
      <c r="W53" s="17" t="s">
        <v>10</v>
      </c>
      <c r="X53" s="17">
        <v>370</v>
      </c>
      <c r="Y53" s="17">
        <v>0</v>
      </c>
      <c r="Z53" s="17"/>
      <c r="AA53" s="17" t="s">
        <v>10</v>
      </c>
      <c r="AB53" s="17">
        <v>0</v>
      </c>
      <c r="AC53" s="17">
        <v>0</v>
      </c>
      <c r="AD53" s="17"/>
      <c r="AE53" s="17" t="s">
        <v>134</v>
      </c>
      <c r="AF53" s="17"/>
      <c r="AG53" s="17" t="s">
        <v>25</v>
      </c>
      <c r="AH53" s="17"/>
      <c r="AI53" s="17" t="s">
        <v>176</v>
      </c>
    </row>
    <row r="54" spans="1:35" x14ac:dyDescent="0.25">
      <c r="A54" s="17">
        <v>181635</v>
      </c>
      <c r="B54" s="17" t="s">
        <v>14</v>
      </c>
      <c r="C54" s="17" t="s">
        <v>11</v>
      </c>
      <c r="D54" s="17">
        <v>295053</v>
      </c>
      <c r="E54" s="17" t="s">
        <v>36</v>
      </c>
      <c r="F54" s="17" t="s">
        <v>106</v>
      </c>
      <c r="G54" s="17" t="s">
        <v>10</v>
      </c>
      <c r="H54" s="17" t="s">
        <v>35</v>
      </c>
      <c r="I54" s="17" t="s">
        <v>61</v>
      </c>
      <c r="J54" s="17" t="s">
        <v>61</v>
      </c>
      <c r="K54" s="17" t="s">
        <v>10</v>
      </c>
      <c r="L54" s="17" t="s">
        <v>42</v>
      </c>
      <c r="M54" s="17" t="s">
        <v>61</v>
      </c>
      <c r="N54" s="17" t="s">
        <v>61</v>
      </c>
      <c r="O54" s="17" t="s">
        <v>13</v>
      </c>
      <c r="P54" s="17">
        <v>0</v>
      </c>
      <c r="Q54" s="17"/>
      <c r="R54" s="17"/>
      <c r="S54" s="17" t="s">
        <v>12</v>
      </c>
      <c r="T54" s="17">
        <v>0</v>
      </c>
      <c r="U54" s="17">
        <v>0</v>
      </c>
      <c r="V54" s="17"/>
      <c r="W54" s="17" t="s">
        <v>12</v>
      </c>
      <c r="X54" s="17">
        <v>0</v>
      </c>
      <c r="Y54" s="17">
        <v>0</v>
      </c>
      <c r="Z54" s="17"/>
      <c r="AA54" s="17" t="s">
        <v>12</v>
      </c>
      <c r="AB54" s="17">
        <v>0</v>
      </c>
      <c r="AC54" s="17">
        <v>0</v>
      </c>
      <c r="AD54" s="17"/>
      <c r="AE54" s="17" t="s">
        <v>134</v>
      </c>
      <c r="AF54" s="17"/>
      <c r="AG54" s="17" t="s">
        <v>25</v>
      </c>
      <c r="AH54" s="17"/>
      <c r="AI54" s="17" t="s">
        <v>167</v>
      </c>
    </row>
    <row r="55" spans="1:35" x14ac:dyDescent="0.25">
      <c r="A55" s="17">
        <v>181635</v>
      </c>
      <c r="B55" s="17" t="s">
        <v>14</v>
      </c>
      <c r="C55" s="17" t="s">
        <v>11</v>
      </c>
      <c r="D55" s="17">
        <v>295048</v>
      </c>
      <c r="E55" s="17" t="s">
        <v>36</v>
      </c>
      <c r="F55" s="17" t="s">
        <v>105</v>
      </c>
      <c r="G55" s="17" t="s">
        <v>10</v>
      </c>
      <c r="H55" s="17" t="s">
        <v>35</v>
      </c>
      <c r="I55" s="17" t="s">
        <v>61</v>
      </c>
      <c r="J55" s="17" t="s">
        <v>61</v>
      </c>
      <c r="K55" s="17" t="s">
        <v>10</v>
      </c>
      <c r="L55" s="17" t="s">
        <v>42</v>
      </c>
      <c r="M55" s="17" t="s">
        <v>61</v>
      </c>
      <c r="N55" s="17" t="s">
        <v>61</v>
      </c>
      <c r="O55" s="17" t="s">
        <v>13</v>
      </c>
      <c r="P55" s="17">
        <v>0</v>
      </c>
      <c r="Q55" s="17"/>
      <c r="R55" s="17"/>
      <c r="S55" s="17" t="s">
        <v>12</v>
      </c>
      <c r="T55" s="17">
        <v>0</v>
      </c>
      <c r="U55" s="17">
        <v>0</v>
      </c>
      <c r="V55" s="17"/>
      <c r="W55" s="17" t="s">
        <v>12</v>
      </c>
      <c r="X55" s="17">
        <v>0</v>
      </c>
      <c r="Y55" s="17">
        <v>0</v>
      </c>
      <c r="Z55" s="17"/>
      <c r="AA55" s="17" t="s">
        <v>12</v>
      </c>
      <c r="AB55" s="17">
        <v>0</v>
      </c>
      <c r="AC55" s="17">
        <v>0</v>
      </c>
      <c r="AD55" s="17"/>
      <c r="AE55" s="17" t="s">
        <v>134</v>
      </c>
      <c r="AF55" s="17"/>
      <c r="AG55" s="17" t="s">
        <v>25</v>
      </c>
      <c r="AH55" s="17"/>
      <c r="AI55" s="17" t="s">
        <v>167</v>
      </c>
    </row>
    <row r="56" spans="1:35" x14ac:dyDescent="0.25">
      <c r="A56" s="17">
        <v>181636</v>
      </c>
      <c r="B56" s="17" t="s">
        <v>14</v>
      </c>
      <c r="C56" s="17" t="s">
        <v>11</v>
      </c>
      <c r="D56" s="17">
        <v>290062</v>
      </c>
      <c r="E56" s="17" t="s">
        <v>36</v>
      </c>
      <c r="F56" s="17" t="s">
        <v>52</v>
      </c>
      <c r="G56" s="17" t="s">
        <v>10</v>
      </c>
      <c r="H56" s="17" t="s">
        <v>35</v>
      </c>
      <c r="I56" s="17" t="s">
        <v>61</v>
      </c>
      <c r="J56" s="17" t="s">
        <v>61</v>
      </c>
      <c r="K56" s="17" t="s">
        <v>10</v>
      </c>
      <c r="L56" s="17" t="s">
        <v>49</v>
      </c>
      <c r="M56" s="17" t="s">
        <v>61</v>
      </c>
      <c r="N56" s="17" t="s">
        <v>61</v>
      </c>
      <c r="O56" s="17" t="s">
        <v>13</v>
      </c>
      <c r="P56" s="17">
        <v>58</v>
      </c>
      <c r="Q56" s="17"/>
      <c r="R56" s="17"/>
      <c r="S56" s="17" t="s">
        <v>12</v>
      </c>
      <c r="T56" s="17">
        <v>0</v>
      </c>
      <c r="U56" s="17">
        <v>0</v>
      </c>
      <c r="V56" s="17"/>
      <c r="W56" s="17" t="s">
        <v>12</v>
      </c>
      <c r="X56" s="17">
        <v>0</v>
      </c>
      <c r="Y56" s="17">
        <v>0</v>
      </c>
      <c r="Z56" s="17"/>
      <c r="AA56" s="17" t="s">
        <v>12</v>
      </c>
      <c r="AB56" s="17">
        <v>0</v>
      </c>
      <c r="AC56" s="17">
        <v>0</v>
      </c>
      <c r="AD56" s="17"/>
      <c r="AE56" s="17" t="s">
        <v>134</v>
      </c>
      <c r="AF56" s="17"/>
      <c r="AG56" s="17" t="s">
        <v>25</v>
      </c>
      <c r="AH56" s="17"/>
      <c r="AI56" s="17" t="s">
        <v>167</v>
      </c>
    </row>
    <row r="57" spans="1:35" x14ac:dyDescent="0.25">
      <c r="A57" s="17">
        <v>181637</v>
      </c>
      <c r="B57" s="17" t="s">
        <v>14</v>
      </c>
      <c r="C57" s="17" t="s">
        <v>11</v>
      </c>
      <c r="D57" s="17">
        <v>290062</v>
      </c>
      <c r="E57" s="17" t="s">
        <v>36</v>
      </c>
      <c r="F57" s="17" t="s">
        <v>52</v>
      </c>
      <c r="G57" s="17" t="s">
        <v>10</v>
      </c>
      <c r="H57" s="17" t="s">
        <v>35</v>
      </c>
      <c r="I57" s="17" t="s">
        <v>61</v>
      </c>
      <c r="J57" s="17" t="s">
        <v>61</v>
      </c>
      <c r="K57" s="17" t="s">
        <v>10</v>
      </c>
      <c r="L57" s="17" t="s">
        <v>46</v>
      </c>
      <c r="M57" s="17" t="s">
        <v>61</v>
      </c>
      <c r="N57" s="17" t="s">
        <v>61</v>
      </c>
      <c r="O57" s="17" t="s">
        <v>13</v>
      </c>
      <c r="P57" s="17">
        <v>58</v>
      </c>
      <c r="Q57" s="17"/>
      <c r="R57" s="17"/>
      <c r="S57" s="17" t="s">
        <v>12</v>
      </c>
      <c r="T57" s="17">
        <v>0</v>
      </c>
      <c r="U57" s="17">
        <v>0</v>
      </c>
      <c r="V57" s="17"/>
      <c r="W57" s="17" t="s">
        <v>12</v>
      </c>
      <c r="X57" s="17">
        <v>0</v>
      </c>
      <c r="Y57" s="17">
        <v>0</v>
      </c>
      <c r="Z57" s="17"/>
      <c r="AA57" s="17" t="s">
        <v>12</v>
      </c>
      <c r="AB57" s="17">
        <v>0</v>
      </c>
      <c r="AC57" s="17">
        <v>0</v>
      </c>
      <c r="AD57" s="17"/>
      <c r="AE57" s="17" t="s">
        <v>134</v>
      </c>
      <c r="AF57" s="17"/>
      <c r="AG57" s="17" t="s">
        <v>25</v>
      </c>
      <c r="AH57" s="17"/>
      <c r="AI57" s="17" t="s">
        <v>167</v>
      </c>
    </row>
    <row r="58" spans="1:35" x14ac:dyDescent="0.25">
      <c r="A58" s="17">
        <v>181630</v>
      </c>
      <c r="B58" s="17" t="s">
        <v>14</v>
      </c>
      <c r="C58" s="17" t="s">
        <v>11</v>
      </c>
      <c r="D58" s="17">
        <v>292103</v>
      </c>
      <c r="E58" s="17" t="s">
        <v>36</v>
      </c>
      <c r="F58" s="17" t="s">
        <v>103</v>
      </c>
      <c r="G58" s="17" t="s">
        <v>10</v>
      </c>
      <c r="H58" s="17" t="s">
        <v>35</v>
      </c>
      <c r="I58" s="17" t="s">
        <v>61</v>
      </c>
      <c r="J58" s="17" t="s">
        <v>61</v>
      </c>
      <c r="K58" s="17" t="s">
        <v>10</v>
      </c>
      <c r="L58" s="17" t="s">
        <v>39</v>
      </c>
      <c r="M58" s="17" t="s">
        <v>61</v>
      </c>
      <c r="N58" s="17" t="s">
        <v>61</v>
      </c>
      <c r="O58" s="17" t="s">
        <v>13</v>
      </c>
      <c r="P58" s="17">
        <v>58</v>
      </c>
      <c r="Q58" s="17"/>
      <c r="R58" s="17"/>
      <c r="S58" s="17" t="s">
        <v>12</v>
      </c>
      <c r="T58" s="17">
        <v>0.34399999999999997</v>
      </c>
      <c r="U58" s="17">
        <v>0</v>
      </c>
      <c r="V58" s="17"/>
      <c r="W58" s="17" t="s">
        <v>12</v>
      </c>
      <c r="X58" s="17">
        <v>1918</v>
      </c>
      <c r="Y58" s="17">
        <v>0</v>
      </c>
      <c r="Z58" s="17"/>
      <c r="AA58" s="17" t="s">
        <v>12</v>
      </c>
      <c r="AB58" s="17">
        <v>0</v>
      </c>
      <c r="AC58" s="17">
        <v>0</v>
      </c>
      <c r="AD58" s="17"/>
      <c r="AE58" s="17" t="s">
        <v>134</v>
      </c>
      <c r="AF58" s="17"/>
      <c r="AG58" s="17" t="s">
        <v>25</v>
      </c>
      <c r="AH58" s="17"/>
      <c r="AI58" s="17" t="s">
        <v>171</v>
      </c>
    </row>
    <row r="59" spans="1:35" x14ac:dyDescent="0.25">
      <c r="A59" s="17">
        <v>181630</v>
      </c>
      <c r="B59" s="17" t="s">
        <v>14</v>
      </c>
      <c r="C59" s="17" t="s">
        <v>11</v>
      </c>
      <c r="D59" s="17">
        <v>293266</v>
      </c>
      <c r="E59" s="17" t="s">
        <v>36</v>
      </c>
      <c r="F59" s="17" t="s">
        <v>102</v>
      </c>
      <c r="G59" s="17" t="s">
        <v>10</v>
      </c>
      <c r="H59" s="17" t="s">
        <v>35</v>
      </c>
      <c r="I59" s="17" t="s">
        <v>61</v>
      </c>
      <c r="J59" s="17" t="s">
        <v>61</v>
      </c>
      <c r="K59" s="17" t="s">
        <v>10</v>
      </c>
      <c r="L59" s="17" t="s">
        <v>39</v>
      </c>
      <c r="M59" s="17" t="s">
        <v>61</v>
      </c>
      <c r="N59" s="17" t="s">
        <v>61</v>
      </c>
      <c r="O59" s="17" t="s">
        <v>13</v>
      </c>
      <c r="P59" s="17">
        <v>58</v>
      </c>
      <c r="Q59" s="17"/>
      <c r="R59" s="17"/>
      <c r="S59" s="17" t="s">
        <v>12</v>
      </c>
      <c r="T59" s="17">
        <v>0.34399999999999997</v>
      </c>
      <c r="U59" s="17">
        <v>0</v>
      </c>
      <c r="V59" s="17"/>
      <c r="W59" s="17" t="s">
        <v>12</v>
      </c>
      <c r="X59" s="17">
        <v>1930</v>
      </c>
      <c r="Y59" s="17">
        <v>0</v>
      </c>
      <c r="Z59" s="17"/>
      <c r="AA59" s="17" t="s">
        <v>12</v>
      </c>
      <c r="AB59" s="17">
        <v>0</v>
      </c>
      <c r="AC59" s="17">
        <v>0</v>
      </c>
      <c r="AD59" s="17"/>
      <c r="AE59" s="17" t="s">
        <v>134</v>
      </c>
      <c r="AF59" s="17"/>
      <c r="AG59" s="17" t="s">
        <v>25</v>
      </c>
      <c r="AH59" s="17"/>
      <c r="AI59" s="17" t="s">
        <v>171</v>
      </c>
    </row>
    <row r="60" spans="1:35" x14ac:dyDescent="0.25">
      <c r="A60" s="17">
        <v>181633</v>
      </c>
      <c r="B60" s="17" t="s">
        <v>14</v>
      </c>
      <c r="C60" s="17" t="s">
        <v>11</v>
      </c>
      <c r="D60" s="17">
        <v>292735</v>
      </c>
      <c r="E60" s="17" t="s">
        <v>36</v>
      </c>
      <c r="F60" s="17" t="s">
        <v>48</v>
      </c>
      <c r="G60" s="17" t="s">
        <v>10</v>
      </c>
      <c r="H60" s="17" t="s">
        <v>35</v>
      </c>
      <c r="I60" s="17" t="s">
        <v>61</v>
      </c>
      <c r="J60" s="17" t="s">
        <v>61</v>
      </c>
      <c r="K60" s="17" t="s">
        <v>10</v>
      </c>
      <c r="L60" s="17" t="s">
        <v>49</v>
      </c>
      <c r="M60" s="17" t="s">
        <v>61</v>
      </c>
      <c r="N60" s="17" t="s">
        <v>61</v>
      </c>
      <c r="O60" s="17" t="s">
        <v>13</v>
      </c>
      <c r="P60" s="17">
        <v>58</v>
      </c>
      <c r="Q60" s="17"/>
      <c r="R60" s="17"/>
      <c r="S60" s="17" t="s">
        <v>10</v>
      </c>
      <c r="T60" s="17">
        <v>0.41899999999999998</v>
      </c>
      <c r="U60" s="17">
        <v>0</v>
      </c>
      <c r="V60" s="17"/>
      <c r="W60" s="17" t="s">
        <v>10</v>
      </c>
      <c r="X60" s="17">
        <v>1520</v>
      </c>
      <c r="Y60" s="17">
        <v>0</v>
      </c>
      <c r="Z60" s="17"/>
      <c r="AA60" s="17" t="s">
        <v>10</v>
      </c>
      <c r="AB60" s="17">
        <v>0</v>
      </c>
      <c r="AC60" s="17">
        <v>0</v>
      </c>
      <c r="AD60" s="17"/>
      <c r="AE60" s="17" t="s">
        <v>134</v>
      </c>
      <c r="AF60" s="17"/>
      <c r="AG60" s="17" t="s">
        <v>25</v>
      </c>
      <c r="AH60" s="17"/>
      <c r="AI60" s="17"/>
    </row>
    <row r="61" spans="1:35" x14ac:dyDescent="0.25">
      <c r="A61" s="17">
        <v>181630</v>
      </c>
      <c r="B61" s="17" t="s">
        <v>14</v>
      </c>
      <c r="C61" s="17" t="s">
        <v>11</v>
      </c>
      <c r="D61" s="17">
        <v>293267</v>
      </c>
      <c r="E61" s="17" t="s">
        <v>50</v>
      </c>
      <c r="F61" s="17" t="s">
        <v>104</v>
      </c>
      <c r="G61" s="17" t="s">
        <v>10</v>
      </c>
      <c r="H61" s="17" t="s">
        <v>35</v>
      </c>
      <c r="I61" s="17" t="s">
        <v>61</v>
      </c>
      <c r="J61" s="17" t="s">
        <v>61</v>
      </c>
      <c r="K61" s="17" t="s">
        <v>10</v>
      </c>
      <c r="L61" s="17" t="s">
        <v>39</v>
      </c>
      <c r="M61" s="17" t="s">
        <v>61</v>
      </c>
      <c r="N61" s="17" t="s">
        <v>61</v>
      </c>
      <c r="O61" s="17" t="s">
        <v>13</v>
      </c>
      <c r="P61" s="17">
        <v>58</v>
      </c>
      <c r="Q61" s="17"/>
      <c r="R61" s="17"/>
      <c r="S61" s="17" t="s">
        <v>126</v>
      </c>
      <c r="T61" s="17">
        <v>0.33400000000000002</v>
      </c>
      <c r="U61" s="17">
        <v>0</v>
      </c>
      <c r="V61" s="17"/>
      <c r="W61" s="17" t="s">
        <v>126</v>
      </c>
      <c r="X61" s="17">
        <v>3135</v>
      </c>
      <c r="Y61" s="17">
        <v>0</v>
      </c>
      <c r="Z61" s="17"/>
      <c r="AA61" s="17" t="s">
        <v>126</v>
      </c>
      <c r="AB61" s="17">
        <v>0</v>
      </c>
      <c r="AC61" s="17">
        <v>0</v>
      </c>
      <c r="AD61" s="17"/>
      <c r="AE61" s="17" t="s">
        <v>133</v>
      </c>
      <c r="AF61" s="17"/>
      <c r="AG61" s="17" t="s">
        <v>25</v>
      </c>
      <c r="AH61" s="17"/>
      <c r="AI61" s="17" t="s">
        <v>164</v>
      </c>
    </row>
    <row r="62" spans="1:35" x14ac:dyDescent="0.25">
      <c r="A62" s="17">
        <v>181634</v>
      </c>
      <c r="B62" s="17" t="s">
        <v>14</v>
      </c>
      <c r="C62" s="17" t="s">
        <v>11</v>
      </c>
      <c r="D62" s="17">
        <v>292107</v>
      </c>
      <c r="E62" s="17" t="s">
        <v>36</v>
      </c>
      <c r="F62" s="17" t="s">
        <v>64</v>
      </c>
      <c r="G62" s="17" t="s">
        <v>10</v>
      </c>
      <c r="H62" s="17" t="s">
        <v>38</v>
      </c>
      <c r="I62" s="17" t="s">
        <v>61</v>
      </c>
      <c r="J62" s="17" t="s">
        <v>61</v>
      </c>
      <c r="K62" s="17" t="s">
        <v>10</v>
      </c>
      <c r="L62" s="17" t="s">
        <v>45</v>
      </c>
      <c r="M62" s="17" t="s">
        <v>61</v>
      </c>
      <c r="N62" s="17" t="s">
        <v>61</v>
      </c>
      <c r="O62" s="17" t="s">
        <v>13</v>
      </c>
      <c r="P62" s="17">
        <v>58</v>
      </c>
      <c r="Q62" s="17"/>
      <c r="R62" s="17"/>
      <c r="S62" s="17" t="s">
        <v>10</v>
      </c>
      <c r="T62" s="17">
        <v>0</v>
      </c>
      <c r="U62" s="17">
        <v>0</v>
      </c>
      <c r="V62" s="17"/>
      <c r="W62" s="17" t="s">
        <v>10</v>
      </c>
      <c r="X62" s="17">
        <v>0</v>
      </c>
      <c r="Y62" s="17">
        <v>0</v>
      </c>
      <c r="Z62" s="17"/>
      <c r="AA62" s="17" t="s">
        <v>10</v>
      </c>
      <c r="AB62" s="17">
        <v>0</v>
      </c>
      <c r="AC62" s="17">
        <v>0</v>
      </c>
      <c r="AD62" s="17"/>
      <c r="AE62" s="17" t="s">
        <v>134</v>
      </c>
      <c r="AF62" s="17"/>
      <c r="AG62" s="17" t="s">
        <v>25</v>
      </c>
      <c r="AH62" s="17"/>
      <c r="AI62" s="17" t="s">
        <v>167</v>
      </c>
    </row>
    <row r="63" spans="1:35" x14ac:dyDescent="0.25">
      <c r="A63" s="17">
        <v>181634</v>
      </c>
      <c r="B63" s="17" t="s">
        <v>14</v>
      </c>
      <c r="C63" s="17" t="s">
        <v>11</v>
      </c>
      <c r="D63" s="17">
        <v>293262</v>
      </c>
      <c r="E63" s="17" t="s">
        <v>36</v>
      </c>
      <c r="F63" s="17" t="s">
        <v>107</v>
      </c>
      <c r="G63" s="17" t="s">
        <v>10</v>
      </c>
      <c r="H63" s="17" t="s">
        <v>38</v>
      </c>
      <c r="I63" s="17" t="s">
        <v>61</v>
      </c>
      <c r="J63" s="17" t="s">
        <v>61</v>
      </c>
      <c r="K63" s="17" t="s">
        <v>10</v>
      </c>
      <c r="L63" s="17" t="s">
        <v>45</v>
      </c>
      <c r="M63" s="17" t="s">
        <v>61</v>
      </c>
      <c r="N63" s="17" t="s">
        <v>61</v>
      </c>
      <c r="O63" s="17" t="s">
        <v>13</v>
      </c>
      <c r="P63" s="17">
        <v>58</v>
      </c>
      <c r="Q63" s="17"/>
      <c r="R63" s="17"/>
      <c r="S63" s="17" t="s">
        <v>12</v>
      </c>
      <c r="T63" s="17">
        <v>0</v>
      </c>
      <c r="U63" s="17">
        <v>0</v>
      </c>
      <c r="V63" s="17"/>
      <c r="W63" s="17" t="s">
        <v>12</v>
      </c>
      <c r="X63" s="17">
        <v>0</v>
      </c>
      <c r="Y63" s="17">
        <v>0</v>
      </c>
      <c r="Z63" s="17"/>
      <c r="AA63" s="17" t="s">
        <v>12</v>
      </c>
      <c r="AB63" s="17">
        <v>0</v>
      </c>
      <c r="AC63" s="17">
        <v>0</v>
      </c>
      <c r="AD63" s="17"/>
      <c r="AE63" s="17" t="s">
        <v>134</v>
      </c>
      <c r="AF63" s="17"/>
      <c r="AG63" s="17" t="s">
        <v>25</v>
      </c>
      <c r="AH63" s="17"/>
      <c r="AI63" s="17" t="s">
        <v>167</v>
      </c>
    </row>
    <row r="64" spans="1:35" x14ac:dyDescent="0.25">
      <c r="A64" s="17">
        <v>181629</v>
      </c>
      <c r="B64" s="17" t="s">
        <v>14</v>
      </c>
      <c r="C64" s="17" t="s">
        <v>11</v>
      </c>
      <c r="D64" s="17">
        <v>294353</v>
      </c>
      <c r="E64" s="17" t="s">
        <v>50</v>
      </c>
      <c r="F64" s="17" t="s">
        <v>101</v>
      </c>
      <c r="G64" s="17" t="s">
        <v>10</v>
      </c>
      <c r="H64" s="17" t="s">
        <v>38</v>
      </c>
      <c r="I64" s="17" t="s">
        <v>61</v>
      </c>
      <c r="J64" s="17" t="s">
        <v>61</v>
      </c>
      <c r="K64" s="17" t="s">
        <v>10</v>
      </c>
      <c r="L64" s="17" t="s">
        <v>44</v>
      </c>
      <c r="M64" s="17" t="s">
        <v>61</v>
      </c>
      <c r="N64" s="17" t="s">
        <v>61</v>
      </c>
      <c r="O64" s="17" t="s">
        <v>13</v>
      </c>
      <c r="P64" s="17">
        <v>58</v>
      </c>
      <c r="Q64" s="17"/>
      <c r="R64" s="17"/>
      <c r="S64" s="17" t="s">
        <v>126</v>
      </c>
      <c r="T64" s="17">
        <v>0.33400000000000002</v>
      </c>
      <c r="U64" s="17">
        <v>0</v>
      </c>
      <c r="V64" s="17"/>
      <c r="W64" s="17" t="s">
        <v>126</v>
      </c>
      <c r="X64" s="17">
        <v>3135</v>
      </c>
      <c r="Y64" s="17">
        <v>3135</v>
      </c>
      <c r="Z64" s="17">
        <v>0</v>
      </c>
      <c r="AA64" s="17" t="s">
        <v>126</v>
      </c>
      <c r="AB64" s="17">
        <v>0</v>
      </c>
      <c r="AC64" s="17">
        <v>0</v>
      </c>
      <c r="AD64" s="17">
        <v>0</v>
      </c>
      <c r="AE64" s="17" t="s">
        <v>133</v>
      </c>
      <c r="AF64" s="17"/>
      <c r="AG64" s="17" t="s">
        <v>25</v>
      </c>
      <c r="AH64" s="17"/>
      <c r="AI64" s="17"/>
    </row>
    <row r="65" spans="1:35" x14ac:dyDescent="0.25">
      <c r="A65" s="17">
        <v>181602</v>
      </c>
      <c r="B65" s="17" t="s">
        <v>14</v>
      </c>
      <c r="C65" s="17" t="s">
        <v>11</v>
      </c>
      <c r="D65" s="17">
        <v>292578</v>
      </c>
      <c r="E65" s="17" t="s">
        <v>82</v>
      </c>
      <c r="F65" s="17" t="s">
        <v>83</v>
      </c>
      <c r="G65" s="17" t="s">
        <v>10</v>
      </c>
      <c r="H65" s="17" t="s">
        <v>70</v>
      </c>
      <c r="I65" s="17" t="s">
        <v>61</v>
      </c>
      <c r="J65" s="17" t="s">
        <v>61</v>
      </c>
      <c r="K65" s="17" t="s">
        <v>10</v>
      </c>
      <c r="L65" s="17" t="s">
        <v>45</v>
      </c>
      <c r="M65" s="17" t="s">
        <v>61</v>
      </c>
      <c r="N65" s="17" t="s">
        <v>61</v>
      </c>
      <c r="O65" s="17" t="s">
        <v>13</v>
      </c>
      <c r="P65" s="17">
        <v>58</v>
      </c>
      <c r="Q65" s="17"/>
      <c r="R65" s="17"/>
      <c r="S65" s="17" t="s">
        <v>10</v>
      </c>
      <c r="T65" s="17">
        <v>0.183</v>
      </c>
      <c r="U65" s="17">
        <v>0</v>
      </c>
      <c r="V65" s="17"/>
      <c r="W65" s="17" t="s">
        <v>10</v>
      </c>
      <c r="X65" s="17">
        <v>2664</v>
      </c>
      <c r="Y65" s="17">
        <v>0</v>
      </c>
      <c r="Z65" s="17"/>
      <c r="AA65" s="17" t="s">
        <v>10</v>
      </c>
      <c r="AB65" s="17">
        <v>0</v>
      </c>
      <c r="AC65" s="17">
        <v>0</v>
      </c>
      <c r="AD65" s="17"/>
      <c r="AE65" s="17" t="s">
        <v>133</v>
      </c>
      <c r="AF65" s="17"/>
      <c r="AG65" s="17" t="s">
        <v>25</v>
      </c>
      <c r="AH65" s="17"/>
      <c r="AI65" s="17"/>
    </row>
    <row r="66" spans="1:35" x14ac:dyDescent="0.25">
      <c r="A66" s="17">
        <v>181603</v>
      </c>
      <c r="B66" s="17" t="s">
        <v>14</v>
      </c>
      <c r="C66" s="17" t="s">
        <v>11</v>
      </c>
      <c r="D66" s="17">
        <v>292578</v>
      </c>
      <c r="E66" s="17" t="s">
        <v>82</v>
      </c>
      <c r="F66" s="17" t="s">
        <v>83</v>
      </c>
      <c r="G66" s="17" t="s">
        <v>10</v>
      </c>
      <c r="H66" s="17" t="s">
        <v>70</v>
      </c>
      <c r="I66" s="17" t="s">
        <v>61</v>
      </c>
      <c r="J66" s="17" t="s">
        <v>61</v>
      </c>
      <c r="K66" s="17" t="s">
        <v>10</v>
      </c>
      <c r="L66" s="17" t="s">
        <v>45</v>
      </c>
      <c r="M66" s="17" t="s">
        <v>61</v>
      </c>
      <c r="N66" s="17" t="s">
        <v>61</v>
      </c>
      <c r="O66" s="17" t="s">
        <v>13</v>
      </c>
      <c r="P66" s="17">
        <v>58</v>
      </c>
      <c r="Q66" s="17">
        <v>58</v>
      </c>
      <c r="R66" s="17">
        <v>0</v>
      </c>
      <c r="S66" s="17" t="s">
        <v>10</v>
      </c>
      <c r="T66" s="17">
        <v>0.183</v>
      </c>
      <c r="U66" s="17">
        <v>0.1847</v>
      </c>
      <c r="V66" s="17">
        <v>0.93</v>
      </c>
      <c r="W66" s="17" t="s">
        <v>10</v>
      </c>
      <c r="X66" s="17">
        <v>2754</v>
      </c>
      <c r="Y66" s="17">
        <v>2754</v>
      </c>
      <c r="Z66" s="17">
        <v>0</v>
      </c>
      <c r="AA66" s="17" t="s">
        <v>10</v>
      </c>
      <c r="AB66" s="17">
        <v>0</v>
      </c>
      <c r="AC66" s="17">
        <v>120.62</v>
      </c>
      <c r="AD66" s="17">
        <v>23.93</v>
      </c>
      <c r="AE66" s="17" t="s">
        <v>133</v>
      </c>
      <c r="AF66" s="17"/>
      <c r="AG66" s="17" t="s">
        <v>25</v>
      </c>
      <c r="AH66" s="17"/>
      <c r="AI66" s="17"/>
    </row>
    <row r="67" spans="1:35" x14ac:dyDescent="0.25">
      <c r="A67" s="17">
        <v>181604</v>
      </c>
      <c r="B67" s="17" t="s">
        <v>14</v>
      </c>
      <c r="C67" s="17" t="s">
        <v>11</v>
      </c>
      <c r="D67" s="17">
        <v>292578</v>
      </c>
      <c r="E67" s="17" t="s">
        <v>82</v>
      </c>
      <c r="F67" s="17" t="s">
        <v>83</v>
      </c>
      <c r="G67" s="17" t="s">
        <v>10</v>
      </c>
      <c r="H67" s="17" t="s">
        <v>70</v>
      </c>
      <c r="I67" s="17" t="s">
        <v>61</v>
      </c>
      <c r="J67" s="17" t="s">
        <v>61</v>
      </c>
      <c r="K67" s="17" t="s">
        <v>10</v>
      </c>
      <c r="L67" s="17" t="s">
        <v>45</v>
      </c>
      <c r="M67" s="17" t="s">
        <v>61</v>
      </c>
      <c r="N67" s="17" t="s">
        <v>61</v>
      </c>
      <c r="O67" s="17" t="s">
        <v>13</v>
      </c>
      <c r="P67" s="17">
        <v>58</v>
      </c>
      <c r="Q67" s="17">
        <v>58</v>
      </c>
      <c r="R67" s="17">
        <v>0</v>
      </c>
      <c r="S67" s="17" t="s">
        <v>10</v>
      </c>
      <c r="T67" s="17">
        <v>0.183</v>
      </c>
      <c r="U67" s="17">
        <v>0.18509999999999999</v>
      </c>
      <c r="V67" s="17">
        <v>1.1499999999999999</v>
      </c>
      <c r="W67" s="17" t="s">
        <v>10</v>
      </c>
      <c r="X67" s="17">
        <v>2756</v>
      </c>
      <c r="Y67" s="17">
        <v>2756</v>
      </c>
      <c r="Z67" s="17">
        <v>0</v>
      </c>
      <c r="AA67" s="17" t="s">
        <v>10</v>
      </c>
      <c r="AB67" s="17">
        <v>0</v>
      </c>
      <c r="AC67" s="17">
        <v>34.61</v>
      </c>
      <c r="AD67" s="17">
        <v>6.86</v>
      </c>
      <c r="AE67" s="17" t="s">
        <v>133</v>
      </c>
      <c r="AF67" s="17"/>
      <c r="AG67" s="17" t="s">
        <v>25</v>
      </c>
      <c r="AH67" s="17"/>
      <c r="AI67" s="17"/>
    </row>
    <row r="68" spans="1:35" x14ac:dyDescent="0.25">
      <c r="A68" s="17">
        <v>181604</v>
      </c>
      <c r="B68" s="17" t="s">
        <v>14</v>
      </c>
      <c r="C68" s="17" t="s">
        <v>11</v>
      </c>
      <c r="D68" s="17">
        <v>292578</v>
      </c>
      <c r="E68" s="17" t="s">
        <v>82</v>
      </c>
      <c r="F68" s="17" t="s">
        <v>83</v>
      </c>
      <c r="G68" s="17" t="s">
        <v>10</v>
      </c>
      <c r="H68" s="17" t="s">
        <v>70</v>
      </c>
      <c r="I68" s="17" t="s">
        <v>61</v>
      </c>
      <c r="J68" s="17" t="s">
        <v>61</v>
      </c>
      <c r="K68" s="17" t="s">
        <v>10</v>
      </c>
      <c r="L68" s="17" t="s">
        <v>45</v>
      </c>
      <c r="M68" s="17" t="s">
        <v>61</v>
      </c>
      <c r="N68" s="17" t="s">
        <v>61</v>
      </c>
      <c r="O68" s="17" t="s">
        <v>13</v>
      </c>
      <c r="P68" s="17">
        <v>58</v>
      </c>
      <c r="Q68" s="17">
        <v>58</v>
      </c>
      <c r="R68" s="17">
        <v>0</v>
      </c>
      <c r="S68" s="17" t="s">
        <v>10</v>
      </c>
      <c r="T68" s="17">
        <v>0.183</v>
      </c>
      <c r="U68" s="17">
        <v>0.18509999999999999</v>
      </c>
      <c r="V68" s="17">
        <v>1.1499999999999999</v>
      </c>
      <c r="W68" s="17" t="s">
        <v>10</v>
      </c>
      <c r="X68" s="17">
        <v>2756</v>
      </c>
      <c r="Y68" s="17">
        <v>2756</v>
      </c>
      <c r="Z68" s="17">
        <v>0</v>
      </c>
      <c r="AA68" s="17" t="s">
        <v>10</v>
      </c>
      <c r="AB68" s="17">
        <v>0</v>
      </c>
      <c r="AC68" s="17">
        <v>45.64</v>
      </c>
      <c r="AD68" s="17">
        <v>9.0500000000000007</v>
      </c>
      <c r="AE68" s="17" t="s">
        <v>133</v>
      </c>
      <c r="AF68" s="17"/>
      <c r="AG68" s="17" t="s">
        <v>25</v>
      </c>
      <c r="AH68" s="17"/>
      <c r="AI68" s="17"/>
    </row>
    <row r="69" spans="1:35" x14ac:dyDescent="0.25">
      <c r="A69" s="17">
        <v>181605</v>
      </c>
      <c r="B69" s="17" t="s">
        <v>14</v>
      </c>
      <c r="C69" s="17" t="s">
        <v>11</v>
      </c>
      <c r="D69" s="17">
        <v>292578</v>
      </c>
      <c r="E69" s="17" t="s">
        <v>82</v>
      </c>
      <c r="F69" s="17" t="s">
        <v>83</v>
      </c>
      <c r="G69" s="17" t="s">
        <v>10</v>
      </c>
      <c r="H69" s="17" t="s">
        <v>70</v>
      </c>
      <c r="I69" s="17" t="s">
        <v>61</v>
      </c>
      <c r="J69" s="17" t="s">
        <v>61</v>
      </c>
      <c r="K69" s="17" t="s">
        <v>10</v>
      </c>
      <c r="L69" s="17" t="s">
        <v>39</v>
      </c>
      <c r="M69" s="17" t="s">
        <v>61</v>
      </c>
      <c r="N69" s="17" t="s">
        <v>61</v>
      </c>
      <c r="O69" s="17" t="s">
        <v>13</v>
      </c>
      <c r="P69" s="17">
        <v>58</v>
      </c>
      <c r="Q69" s="17">
        <v>58</v>
      </c>
      <c r="R69" s="17">
        <v>0</v>
      </c>
      <c r="S69" s="17" t="s">
        <v>10</v>
      </c>
      <c r="T69" s="17">
        <v>0.20100000000000001</v>
      </c>
      <c r="U69" s="17">
        <v>0.2064</v>
      </c>
      <c r="V69" s="17">
        <v>2.69</v>
      </c>
      <c r="W69" s="17" t="s">
        <v>10</v>
      </c>
      <c r="X69" s="17">
        <v>372</v>
      </c>
      <c r="Y69" s="17">
        <v>277</v>
      </c>
      <c r="Z69" s="17">
        <v>-25.54</v>
      </c>
      <c r="AA69" s="17" t="s">
        <v>10</v>
      </c>
      <c r="AB69" s="17">
        <v>0</v>
      </c>
      <c r="AC69" s="17">
        <v>2.3199999999999998</v>
      </c>
      <c r="AD69" s="17">
        <v>4.17</v>
      </c>
      <c r="AE69" s="17" t="s">
        <v>133</v>
      </c>
      <c r="AF69" s="17"/>
      <c r="AG69" s="17" t="s">
        <v>25</v>
      </c>
      <c r="AH69" s="17"/>
      <c r="AI69" s="17"/>
    </row>
    <row r="70" spans="1:35" x14ac:dyDescent="0.25">
      <c r="A70" s="17">
        <v>181605</v>
      </c>
      <c r="B70" s="17" t="s">
        <v>14</v>
      </c>
      <c r="C70" s="17" t="s">
        <v>11</v>
      </c>
      <c r="D70" s="17">
        <v>292578</v>
      </c>
      <c r="E70" s="17" t="s">
        <v>82</v>
      </c>
      <c r="F70" s="17" t="s">
        <v>83</v>
      </c>
      <c r="G70" s="17" t="s">
        <v>10</v>
      </c>
      <c r="H70" s="17" t="s">
        <v>70</v>
      </c>
      <c r="I70" s="17" t="s">
        <v>61</v>
      </c>
      <c r="J70" s="17" t="s">
        <v>61</v>
      </c>
      <c r="K70" s="17" t="s">
        <v>10</v>
      </c>
      <c r="L70" s="17" t="s">
        <v>39</v>
      </c>
      <c r="M70" s="17" t="s">
        <v>61</v>
      </c>
      <c r="N70" s="17" t="s">
        <v>61</v>
      </c>
      <c r="O70" s="17" t="s">
        <v>13</v>
      </c>
      <c r="P70" s="17">
        <v>58</v>
      </c>
      <c r="Q70" s="17">
        <v>58</v>
      </c>
      <c r="R70" s="17">
        <v>0</v>
      </c>
      <c r="S70" s="17" t="s">
        <v>10</v>
      </c>
      <c r="T70" s="17">
        <v>0.20100000000000001</v>
      </c>
      <c r="U70" s="17">
        <v>0.20169999999999999</v>
      </c>
      <c r="V70" s="17">
        <v>0.35</v>
      </c>
      <c r="W70" s="17" t="s">
        <v>10</v>
      </c>
      <c r="X70" s="17">
        <v>373</v>
      </c>
      <c r="Y70" s="17">
        <v>373</v>
      </c>
      <c r="Z70" s="17">
        <v>0</v>
      </c>
      <c r="AA70" s="17" t="s">
        <v>10</v>
      </c>
      <c r="AB70" s="17">
        <v>0</v>
      </c>
      <c r="AC70" s="17">
        <v>0</v>
      </c>
      <c r="AD70" s="17">
        <v>0</v>
      </c>
      <c r="AE70" s="17" t="s">
        <v>133</v>
      </c>
      <c r="AF70" s="17"/>
      <c r="AG70" s="17" t="s">
        <v>25</v>
      </c>
      <c r="AH70" s="17"/>
      <c r="AI70" s="17"/>
    </row>
    <row r="71" spans="1:35" x14ac:dyDescent="0.25">
      <c r="A71" s="17">
        <v>181606</v>
      </c>
      <c r="B71" s="17" t="s">
        <v>14</v>
      </c>
      <c r="C71" s="17" t="s">
        <v>11</v>
      </c>
      <c r="D71" s="17">
        <v>292578</v>
      </c>
      <c r="E71" s="17" t="s">
        <v>82</v>
      </c>
      <c r="F71" s="17" t="s">
        <v>83</v>
      </c>
      <c r="G71" s="17" t="s">
        <v>10</v>
      </c>
      <c r="H71" s="17" t="s">
        <v>70</v>
      </c>
      <c r="I71" s="17" t="s">
        <v>61</v>
      </c>
      <c r="J71" s="17" t="s">
        <v>61</v>
      </c>
      <c r="K71" s="17" t="s">
        <v>10</v>
      </c>
      <c r="L71" s="17" t="s">
        <v>42</v>
      </c>
      <c r="M71" s="17" t="s">
        <v>61</v>
      </c>
      <c r="N71" s="17" t="s">
        <v>61</v>
      </c>
      <c r="O71" s="17" t="s">
        <v>13</v>
      </c>
      <c r="P71" s="17">
        <v>58</v>
      </c>
      <c r="Q71" s="17">
        <v>58</v>
      </c>
      <c r="R71" s="17">
        <v>0</v>
      </c>
      <c r="S71" s="17" t="s">
        <v>10</v>
      </c>
      <c r="T71" s="17">
        <v>0.20100000000000001</v>
      </c>
      <c r="U71" s="17">
        <v>0.20169999999999999</v>
      </c>
      <c r="V71" s="17">
        <v>0.35</v>
      </c>
      <c r="W71" s="17" t="s">
        <v>10</v>
      </c>
      <c r="X71" s="17">
        <v>373</v>
      </c>
      <c r="Y71" s="17">
        <v>373</v>
      </c>
      <c r="Z71" s="17">
        <v>0</v>
      </c>
      <c r="AA71" s="17" t="s">
        <v>10</v>
      </c>
      <c r="AB71" s="17">
        <v>0</v>
      </c>
      <c r="AC71" s="17">
        <v>6.63</v>
      </c>
      <c r="AD71" s="17">
        <v>8.84</v>
      </c>
      <c r="AE71" s="17" t="s">
        <v>133</v>
      </c>
      <c r="AF71" s="17"/>
      <c r="AG71" s="17" t="s">
        <v>25</v>
      </c>
      <c r="AH71" s="17"/>
      <c r="AI71" s="17"/>
    </row>
    <row r="72" spans="1:35" x14ac:dyDescent="0.25">
      <c r="A72" s="17">
        <v>181607</v>
      </c>
      <c r="B72" s="17" t="s">
        <v>14</v>
      </c>
      <c r="C72" s="17" t="s">
        <v>11</v>
      </c>
      <c r="D72" s="17">
        <v>292578</v>
      </c>
      <c r="E72" s="17" t="s">
        <v>82</v>
      </c>
      <c r="F72" s="17" t="s">
        <v>83</v>
      </c>
      <c r="G72" s="17" t="s">
        <v>10</v>
      </c>
      <c r="H72" s="17" t="s">
        <v>70</v>
      </c>
      <c r="I72" s="17" t="s">
        <v>61</v>
      </c>
      <c r="J72" s="17" t="s">
        <v>61</v>
      </c>
      <c r="K72" s="17" t="s">
        <v>10</v>
      </c>
      <c r="L72" s="17" t="s">
        <v>39</v>
      </c>
      <c r="M72" s="17" t="s">
        <v>61</v>
      </c>
      <c r="N72" s="17" t="s">
        <v>61</v>
      </c>
      <c r="O72" s="17" t="s">
        <v>13</v>
      </c>
      <c r="P72" s="17">
        <v>58</v>
      </c>
      <c r="Q72" s="17"/>
      <c r="R72" s="17"/>
      <c r="S72" s="17" t="s">
        <v>10</v>
      </c>
      <c r="T72" s="17">
        <v>0.20100000000000001</v>
      </c>
      <c r="U72" s="17">
        <v>0</v>
      </c>
      <c r="V72" s="17"/>
      <c r="W72" s="17" t="s">
        <v>10</v>
      </c>
      <c r="X72" s="17">
        <v>0</v>
      </c>
      <c r="Y72" s="17">
        <v>0</v>
      </c>
      <c r="Z72" s="17"/>
      <c r="AA72" s="17" t="s">
        <v>10</v>
      </c>
      <c r="AB72" s="17">
        <v>0</v>
      </c>
      <c r="AC72" s="17">
        <v>0</v>
      </c>
      <c r="AD72" s="17"/>
      <c r="AE72" s="17" t="s">
        <v>133</v>
      </c>
      <c r="AF72" s="17"/>
      <c r="AG72" s="17" t="s">
        <v>25</v>
      </c>
      <c r="AH72" s="17"/>
      <c r="AI72" s="17" t="s">
        <v>148</v>
      </c>
    </row>
    <row r="73" spans="1:35" x14ac:dyDescent="0.25">
      <c r="A73" s="17">
        <v>181621</v>
      </c>
      <c r="B73" s="17" t="s">
        <v>14</v>
      </c>
      <c r="C73" s="17" t="s">
        <v>11</v>
      </c>
      <c r="D73" s="17">
        <v>292578</v>
      </c>
      <c r="E73" s="17" t="s">
        <v>82</v>
      </c>
      <c r="F73" s="17" t="s">
        <v>83</v>
      </c>
      <c r="G73" s="17" t="s">
        <v>10</v>
      </c>
      <c r="H73" s="17" t="s">
        <v>70</v>
      </c>
      <c r="I73" s="17" t="s">
        <v>61</v>
      </c>
      <c r="J73" s="17" t="s">
        <v>61</v>
      </c>
      <c r="K73" s="17" t="s">
        <v>10</v>
      </c>
      <c r="L73" s="17" t="s">
        <v>38</v>
      </c>
      <c r="M73" s="17" t="s">
        <v>61</v>
      </c>
      <c r="N73" s="17" t="s">
        <v>61</v>
      </c>
      <c r="O73" s="17" t="s">
        <v>13</v>
      </c>
      <c r="P73" s="17">
        <v>58</v>
      </c>
      <c r="Q73" s="17">
        <v>58</v>
      </c>
      <c r="R73" s="17">
        <v>0</v>
      </c>
      <c r="S73" s="17" t="s">
        <v>10</v>
      </c>
      <c r="T73" s="17">
        <v>0.18</v>
      </c>
      <c r="U73" s="17">
        <v>0.17860000000000001</v>
      </c>
      <c r="V73" s="17">
        <v>-0.78</v>
      </c>
      <c r="W73" s="17" t="s">
        <v>10</v>
      </c>
      <c r="X73" s="17">
        <v>1067</v>
      </c>
      <c r="Y73" s="17">
        <v>1067</v>
      </c>
      <c r="Z73" s="17">
        <v>0</v>
      </c>
      <c r="AA73" s="17" t="s">
        <v>10</v>
      </c>
      <c r="AB73" s="17">
        <v>0</v>
      </c>
      <c r="AC73" s="17">
        <v>10.51</v>
      </c>
      <c r="AD73" s="17">
        <v>5.47</v>
      </c>
      <c r="AE73" s="17" t="s">
        <v>133</v>
      </c>
      <c r="AF73" s="17"/>
      <c r="AG73" s="17" t="s">
        <v>25</v>
      </c>
      <c r="AH73" s="17"/>
      <c r="AI73" s="17"/>
    </row>
    <row r="74" spans="1:35" x14ac:dyDescent="0.25">
      <c r="A74" s="17">
        <v>181621</v>
      </c>
      <c r="B74" s="17" t="s">
        <v>14</v>
      </c>
      <c r="C74" s="17" t="s">
        <v>11</v>
      </c>
      <c r="D74" s="17">
        <v>292578</v>
      </c>
      <c r="E74" s="17" t="s">
        <v>82</v>
      </c>
      <c r="F74" s="17" t="s">
        <v>83</v>
      </c>
      <c r="G74" s="17" t="s">
        <v>10</v>
      </c>
      <c r="H74" s="17" t="s">
        <v>70</v>
      </c>
      <c r="I74" s="17" t="s">
        <v>61</v>
      </c>
      <c r="J74" s="17" t="s">
        <v>61</v>
      </c>
      <c r="K74" s="17" t="s">
        <v>10</v>
      </c>
      <c r="L74" s="17" t="s">
        <v>38</v>
      </c>
      <c r="M74" s="17" t="s">
        <v>61</v>
      </c>
      <c r="N74" s="17" t="s">
        <v>61</v>
      </c>
      <c r="O74" s="17" t="s">
        <v>13</v>
      </c>
      <c r="P74" s="17">
        <v>58</v>
      </c>
      <c r="Q74" s="17"/>
      <c r="R74" s="17"/>
      <c r="S74" s="17" t="s">
        <v>10</v>
      </c>
      <c r="T74" s="17">
        <v>0.18</v>
      </c>
      <c r="U74" s="17">
        <v>0</v>
      </c>
      <c r="V74" s="17"/>
      <c r="W74" s="17" t="s">
        <v>10</v>
      </c>
      <c r="X74" s="17">
        <v>0</v>
      </c>
      <c r="Y74" s="17">
        <v>0</v>
      </c>
      <c r="Z74" s="17"/>
      <c r="AA74" s="17" t="s">
        <v>10</v>
      </c>
      <c r="AB74" s="17">
        <v>0</v>
      </c>
      <c r="AC74" s="17">
        <v>0</v>
      </c>
      <c r="AD74" s="17"/>
      <c r="AE74" s="17" t="s">
        <v>133</v>
      </c>
      <c r="AF74" s="17"/>
      <c r="AG74" s="17" t="s">
        <v>25</v>
      </c>
      <c r="AH74" s="17"/>
      <c r="AI74" s="17"/>
    </row>
    <row r="75" spans="1:35" x14ac:dyDescent="0.25">
      <c r="A75" s="17">
        <v>181622</v>
      </c>
      <c r="B75" s="17" t="s">
        <v>14</v>
      </c>
      <c r="C75" s="17" t="s">
        <v>11</v>
      </c>
      <c r="D75" s="17">
        <v>292578</v>
      </c>
      <c r="E75" s="17" t="s">
        <v>82</v>
      </c>
      <c r="F75" s="17" t="s">
        <v>83</v>
      </c>
      <c r="G75" s="17" t="s">
        <v>10</v>
      </c>
      <c r="H75" s="17" t="s">
        <v>70</v>
      </c>
      <c r="I75" s="17" t="s">
        <v>61</v>
      </c>
      <c r="J75" s="17" t="s">
        <v>61</v>
      </c>
      <c r="K75" s="17" t="s">
        <v>10</v>
      </c>
      <c r="L75" s="17" t="s">
        <v>63</v>
      </c>
      <c r="M75" s="17" t="s">
        <v>61</v>
      </c>
      <c r="N75" s="17" t="s">
        <v>61</v>
      </c>
      <c r="O75" s="17" t="s">
        <v>13</v>
      </c>
      <c r="P75" s="17">
        <v>58</v>
      </c>
      <c r="Q75" s="17"/>
      <c r="R75" s="17"/>
      <c r="S75" s="17" t="s">
        <v>10</v>
      </c>
      <c r="T75" s="17">
        <v>0.18</v>
      </c>
      <c r="U75" s="17">
        <v>0</v>
      </c>
      <c r="V75" s="17"/>
      <c r="W75" s="17" t="s">
        <v>10</v>
      </c>
      <c r="X75" s="17">
        <v>0</v>
      </c>
      <c r="Y75" s="17">
        <v>0</v>
      </c>
      <c r="Z75" s="17"/>
      <c r="AA75" s="17" t="s">
        <v>10</v>
      </c>
      <c r="AB75" s="17">
        <v>0</v>
      </c>
      <c r="AC75" s="17">
        <v>0</v>
      </c>
      <c r="AD75" s="17"/>
      <c r="AE75" s="17" t="s">
        <v>133</v>
      </c>
      <c r="AF75" s="17"/>
      <c r="AG75" s="17" t="s">
        <v>25</v>
      </c>
      <c r="AH75" s="17"/>
      <c r="AI75" s="17"/>
    </row>
    <row r="76" spans="1:35" x14ac:dyDescent="0.25">
      <c r="A76" s="17">
        <v>181622</v>
      </c>
      <c r="B76" s="17" t="s">
        <v>14</v>
      </c>
      <c r="C76" s="17" t="s">
        <v>11</v>
      </c>
      <c r="D76" s="17">
        <v>292578</v>
      </c>
      <c r="E76" s="17" t="s">
        <v>82</v>
      </c>
      <c r="F76" s="17" t="s">
        <v>83</v>
      </c>
      <c r="G76" s="17" t="s">
        <v>10</v>
      </c>
      <c r="H76" s="17" t="s">
        <v>70</v>
      </c>
      <c r="I76" s="17" t="s">
        <v>61</v>
      </c>
      <c r="J76" s="17" t="s">
        <v>61</v>
      </c>
      <c r="K76" s="17" t="s">
        <v>10</v>
      </c>
      <c r="L76" s="17" t="s">
        <v>63</v>
      </c>
      <c r="M76" s="17" t="s">
        <v>61</v>
      </c>
      <c r="N76" s="17" t="s">
        <v>61</v>
      </c>
      <c r="O76" s="17" t="s">
        <v>13</v>
      </c>
      <c r="P76" s="17">
        <v>58</v>
      </c>
      <c r="Q76" s="17"/>
      <c r="R76" s="17"/>
      <c r="S76" s="17" t="s">
        <v>10</v>
      </c>
      <c r="T76" s="17">
        <v>0.18</v>
      </c>
      <c r="U76" s="17">
        <v>0</v>
      </c>
      <c r="V76" s="17"/>
      <c r="W76" s="17" t="s">
        <v>10</v>
      </c>
      <c r="X76" s="17">
        <v>0</v>
      </c>
      <c r="Y76" s="17">
        <v>0</v>
      </c>
      <c r="Z76" s="17"/>
      <c r="AA76" s="17" t="s">
        <v>10</v>
      </c>
      <c r="AB76" s="17">
        <v>0</v>
      </c>
      <c r="AC76" s="17">
        <v>0</v>
      </c>
      <c r="AD76" s="17"/>
      <c r="AE76" s="17" t="s">
        <v>133</v>
      </c>
      <c r="AF76" s="17"/>
      <c r="AG76" s="17" t="s">
        <v>25</v>
      </c>
      <c r="AH76" s="17"/>
      <c r="AI76" s="17" t="s">
        <v>148</v>
      </c>
    </row>
    <row r="77" spans="1:35" x14ac:dyDescent="0.25">
      <c r="A77" s="17">
        <v>181606</v>
      </c>
      <c r="B77" s="17" t="s">
        <v>14</v>
      </c>
      <c r="C77" s="17" t="s">
        <v>11</v>
      </c>
      <c r="D77" s="17">
        <v>292585</v>
      </c>
      <c r="E77" s="17" t="s">
        <v>82</v>
      </c>
      <c r="F77" s="17" t="s">
        <v>84</v>
      </c>
      <c r="G77" s="17" t="s">
        <v>10</v>
      </c>
      <c r="H77" s="17" t="s">
        <v>70</v>
      </c>
      <c r="I77" s="17" t="s">
        <v>61</v>
      </c>
      <c r="J77" s="17" t="s">
        <v>61</v>
      </c>
      <c r="K77" s="17" t="s">
        <v>10</v>
      </c>
      <c r="L77" s="17" t="s">
        <v>42</v>
      </c>
      <c r="M77" s="17" t="s">
        <v>61</v>
      </c>
      <c r="N77" s="17" t="s">
        <v>61</v>
      </c>
      <c r="O77" s="17" t="s">
        <v>13</v>
      </c>
      <c r="P77" s="17">
        <v>58</v>
      </c>
      <c r="Q77" s="17">
        <v>58</v>
      </c>
      <c r="R77" s="17">
        <v>0</v>
      </c>
      <c r="S77" s="17" t="s">
        <v>10</v>
      </c>
      <c r="T77" s="17">
        <v>0.184</v>
      </c>
      <c r="U77" s="17">
        <v>0.1847</v>
      </c>
      <c r="V77" s="17">
        <v>0.38</v>
      </c>
      <c r="W77" s="17" t="s">
        <v>10</v>
      </c>
      <c r="X77" s="17">
        <v>1777</v>
      </c>
      <c r="Y77" s="17">
        <v>1777</v>
      </c>
      <c r="Z77" s="17">
        <v>0</v>
      </c>
      <c r="AA77" s="17" t="s">
        <v>10</v>
      </c>
      <c r="AB77" s="17">
        <v>0</v>
      </c>
      <c r="AC77" s="17">
        <v>8.5</v>
      </c>
      <c r="AD77" s="17">
        <v>2.6</v>
      </c>
      <c r="AE77" s="17" t="s">
        <v>133</v>
      </c>
      <c r="AF77" s="17"/>
      <c r="AG77" s="17" t="s">
        <v>25</v>
      </c>
      <c r="AH77" s="17"/>
      <c r="AI77" s="17"/>
    </row>
    <row r="78" spans="1:35" x14ac:dyDescent="0.25">
      <c r="A78" s="17">
        <v>181602</v>
      </c>
      <c r="B78" s="17" t="s">
        <v>14</v>
      </c>
      <c r="C78" s="17" t="s">
        <v>11</v>
      </c>
      <c r="D78" s="17">
        <v>292582</v>
      </c>
      <c r="E78" s="17" t="s">
        <v>82</v>
      </c>
      <c r="F78" s="17" t="s">
        <v>115</v>
      </c>
      <c r="G78" s="17" t="s">
        <v>10</v>
      </c>
      <c r="H78" s="17" t="s">
        <v>70</v>
      </c>
      <c r="I78" s="17" t="s">
        <v>61</v>
      </c>
      <c r="J78" s="17" t="s">
        <v>61</v>
      </c>
      <c r="K78" s="17" t="s">
        <v>10</v>
      </c>
      <c r="L78" s="17" t="s">
        <v>45</v>
      </c>
      <c r="M78" s="17" t="s">
        <v>61</v>
      </c>
      <c r="N78" s="17" t="s">
        <v>61</v>
      </c>
      <c r="O78" s="17" t="s">
        <v>13</v>
      </c>
      <c r="P78" s="17">
        <v>58</v>
      </c>
      <c r="Q78" s="17"/>
      <c r="R78" s="17"/>
      <c r="S78" s="17" t="s">
        <v>10</v>
      </c>
      <c r="T78" s="17">
        <v>0.184</v>
      </c>
      <c r="U78" s="17">
        <v>0</v>
      </c>
      <c r="V78" s="17"/>
      <c r="W78" s="17" t="s">
        <v>10</v>
      </c>
      <c r="X78" s="17">
        <v>0</v>
      </c>
      <c r="Y78" s="17">
        <v>0</v>
      </c>
      <c r="Z78" s="17"/>
      <c r="AA78" s="17" t="s">
        <v>10</v>
      </c>
      <c r="AB78" s="17">
        <v>0</v>
      </c>
      <c r="AC78" s="17">
        <v>0</v>
      </c>
      <c r="AD78" s="17"/>
      <c r="AE78" s="17" t="s">
        <v>133</v>
      </c>
      <c r="AF78" s="17"/>
      <c r="AG78" s="17" t="s">
        <v>25</v>
      </c>
      <c r="AH78" s="17"/>
      <c r="AI78" s="17"/>
    </row>
    <row r="79" spans="1:35" x14ac:dyDescent="0.25">
      <c r="A79" s="17">
        <v>181603</v>
      </c>
      <c r="B79" s="17" t="s">
        <v>14</v>
      </c>
      <c r="C79" s="17" t="s">
        <v>11</v>
      </c>
      <c r="D79" s="17">
        <v>292582</v>
      </c>
      <c r="E79" s="17" t="s">
        <v>82</v>
      </c>
      <c r="F79" s="17" t="s">
        <v>115</v>
      </c>
      <c r="G79" s="17" t="s">
        <v>10</v>
      </c>
      <c r="H79" s="17" t="s">
        <v>70</v>
      </c>
      <c r="I79" s="17" t="s">
        <v>61</v>
      </c>
      <c r="J79" s="17" t="s">
        <v>61</v>
      </c>
      <c r="K79" s="17" t="s">
        <v>10</v>
      </c>
      <c r="L79" s="17" t="s">
        <v>45</v>
      </c>
      <c r="M79" s="17" t="s">
        <v>61</v>
      </c>
      <c r="N79" s="17" t="s">
        <v>61</v>
      </c>
      <c r="O79" s="17" t="s">
        <v>13</v>
      </c>
      <c r="P79" s="17">
        <v>58</v>
      </c>
      <c r="Q79" s="17">
        <v>58</v>
      </c>
      <c r="R79" s="17">
        <v>0</v>
      </c>
      <c r="S79" s="17" t="s">
        <v>10</v>
      </c>
      <c r="T79" s="17">
        <v>0.184</v>
      </c>
      <c r="U79" s="17">
        <v>0.18329999999999999</v>
      </c>
      <c r="V79" s="17">
        <v>-0.38</v>
      </c>
      <c r="W79" s="17" t="s">
        <v>10</v>
      </c>
      <c r="X79" s="17">
        <v>1777</v>
      </c>
      <c r="Y79" s="17">
        <v>1777</v>
      </c>
      <c r="Z79" s="17">
        <v>0</v>
      </c>
      <c r="AA79" s="17" t="s">
        <v>10</v>
      </c>
      <c r="AB79" s="17">
        <v>0</v>
      </c>
      <c r="AC79" s="17">
        <v>19.18</v>
      </c>
      <c r="AD79" s="17">
        <v>5.87</v>
      </c>
      <c r="AE79" s="17" t="s">
        <v>133</v>
      </c>
      <c r="AF79" s="17"/>
      <c r="AG79" s="17" t="s">
        <v>25</v>
      </c>
      <c r="AH79" s="17"/>
      <c r="AI79" s="17"/>
    </row>
    <row r="80" spans="1:35" x14ac:dyDescent="0.25">
      <c r="A80" s="17">
        <v>181604</v>
      </c>
      <c r="B80" s="17" t="s">
        <v>14</v>
      </c>
      <c r="C80" s="17" t="s">
        <v>11</v>
      </c>
      <c r="D80" s="17">
        <v>292582</v>
      </c>
      <c r="E80" s="17" t="s">
        <v>82</v>
      </c>
      <c r="F80" s="17" t="s">
        <v>115</v>
      </c>
      <c r="G80" s="17" t="s">
        <v>10</v>
      </c>
      <c r="H80" s="17" t="s">
        <v>70</v>
      </c>
      <c r="I80" s="17" t="s">
        <v>61</v>
      </c>
      <c r="J80" s="17" t="s">
        <v>61</v>
      </c>
      <c r="K80" s="17" t="s">
        <v>10</v>
      </c>
      <c r="L80" s="17" t="s">
        <v>45</v>
      </c>
      <c r="M80" s="17" t="s">
        <v>61</v>
      </c>
      <c r="N80" s="17" t="s">
        <v>61</v>
      </c>
      <c r="O80" s="17" t="s">
        <v>13</v>
      </c>
      <c r="P80" s="17">
        <v>58</v>
      </c>
      <c r="Q80" s="17"/>
      <c r="R80" s="17"/>
      <c r="S80" s="17" t="s">
        <v>10</v>
      </c>
      <c r="T80" s="17">
        <v>0.184</v>
      </c>
      <c r="U80" s="17">
        <v>0</v>
      </c>
      <c r="V80" s="17"/>
      <c r="W80" s="17" t="s">
        <v>10</v>
      </c>
      <c r="X80" s="17">
        <v>0</v>
      </c>
      <c r="Y80" s="17">
        <v>0</v>
      </c>
      <c r="Z80" s="17"/>
      <c r="AA80" s="17" t="s">
        <v>10</v>
      </c>
      <c r="AB80" s="17">
        <v>0</v>
      </c>
      <c r="AC80" s="17">
        <v>0</v>
      </c>
      <c r="AD80" s="17"/>
      <c r="AE80" s="17" t="s">
        <v>133</v>
      </c>
      <c r="AF80" s="17"/>
      <c r="AG80" s="17" t="s">
        <v>25</v>
      </c>
      <c r="AH80" s="17"/>
      <c r="AI80" s="17"/>
    </row>
    <row r="81" spans="1:35" x14ac:dyDescent="0.25">
      <c r="A81" s="17">
        <v>181605</v>
      </c>
      <c r="B81" s="17" t="s">
        <v>14</v>
      </c>
      <c r="C81" s="17" t="s">
        <v>11</v>
      </c>
      <c r="D81" s="17">
        <v>292582</v>
      </c>
      <c r="E81" s="17" t="s">
        <v>82</v>
      </c>
      <c r="F81" s="17" t="s">
        <v>115</v>
      </c>
      <c r="G81" s="17" t="s">
        <v>10</v>
      </c>
      <c r="H81" s="17" t="s">
        <v>70</v>
      </c>
      <c r="I81" s="17" t="s">
        <v>61</v>
      </c>
      <c r="J81" s="17" t="s">
        <v>61</v>
      </c>
      <c r="K81" s="17" t="s">
        <v>10</v>
      </c>
      <c r="L81" s="17" t="s">
        <v>39</v>
      </c>
      <c r="M81" s="17" t="s">
        <v>61</v>
      </c>
      <c r="N81" s="17" t="s">
        <v>61</v>
      </c>
      <c r="O81" s="17" t="s">
        <v>13</v>
      </c>
      <c r="P81" s="17">
        <v>58</v>
      </c>
      <c r="Q81" s="17"/>
      <c r="R81" s="17"/>
      <c r="S81" s="17" t="s">
        <v>10</v>
      </c>
      <c r="T81" s="17">
        <v>0.218</v>
      </c>
      <c r="U81" s="17">
        <v>0</v>
      </c>
      <c r="V81" s="17"/>
      <c r="W81" s="17" t="s">
        <v>10</v>
      </c>
      <c r="X81" s="17">
        <v>1257</v>
      </c>
      <c r="Y81" s="17">
        <v>1257</v>
      </c>
      <c r="Z81" s="17">
        <v>0</v>
      </c>
      <c r="AA81" s="17" t="s">
        <v>10</v>
      </c>
      <c r="AB81" s="17">
        <v>0</v>
      </c>
      <c r="AC81" s="17">
        <v>0</v>
      </c>
      <c r="AD81" s="17">
        <v>0</v>
      </c>
      <c r="AE81" s="17" t="s">
        <v>133</v>
      </c>
      <c r="AF81" s="17"/>
      <c r="AG81" s="17" t="s">
        <v>25</v>
      </c>
      <c r="AH81" s="17"/>
      <c r="AI81" s="17"/>
    </row>
    <row r="82" spans="1:35" x14ac:dyDescent="0.25">
      <c r="A82" s="17">
        <v>181606</v>
      </c>
      <c r="B82" s="17" t="s">
        <v>14</v>
      </c>
      <c r="C82" s="17" t="s">
        <v>11</v>
      </c>
      <c r="D82" s="17">
        <v>292582</v>
      </c>
      <c r="E82" s="17" t="s">
        <v>82</v>
      </c>
      <c r="F82" s="17" t="s">
        <v>115</v>
      </c>
      <c r="G82" s="17" t="s">
        <v>10</v>
      </c>
      <c r="H82" s="17" t="s">
        <v>70</v>
      </c>
      <c r="I82" s="17" t="s">
        <v>61</v>
      </c>
      <c r="J82" s="17" t="s">
        <v>61</v>
      </c>
      <c r="K82" s="17" t="s">
        <v>10</v>
      </c>
      <c r="L82" s="17" t="s">
        <v>42</v>
      </c>
      <c r="M82" s="17" t="s">
        <v>61</v>
      </c>
      <c r="N82" s="17" t="s">
        <v>61</v>
      </c>
      <c r="O82" s="17" t="s">
        <v>13</v>
      </c>
      <c r="P82" s="17">
        <v>58</v>
      </c>
      <c r="Q82" s="17">
        <v>58</v>
      </c>
      <c r="R82" s="17">
        <v>0</v>
      </c>
      <c r="S82" s="17" t="s">
        <v>10</v>
      </c>
      <c r="T82" s="17">
        <v>0.218</v>
      </c>
      <c r="U82" s="17">
        <v>0.21829999999999999</v>
      </c>
      <c r="V82" s="17">
        <v>0.14000000000000001</v>
      </c>
      <c r="W82" s="17" t="s">
        <v>10</v>
      </c>
      <c r="X82" s="17">
        <v>1266</v>
      </c>
      <c r="Y82" s="17">
        <v>1266</v>
      </c>
      <c r="Z82" s="17">
        <v>0</v>
      </c>
      <c r="AA82" s="17" t="s">
        <v>10</v>
      </c>
      <c r="AB82" s="17">
        <v>0</v>
      </c>
      <c r="AC82" s="17">
        <v>8.08</v>
      </c>
      <c r="AD82" s="17">
        <v>2.93</v>
      </c>
      <c r="AE82" s="17" t="s">
        <v>133</v>
      </c>
      <c r="AF82" s="17"/>
      <c r="AG82" s="17" t="s">
        <v>25</v>
      </c>
      <c r="AH82" s="17"/>
      <c r="AI82" s="17"/>
    </row>
    <row r="83" spans="1:35" x14ac:dyDescent="0.25">
      <c r="A83" s="17">
        <v>181621</v>
      </c>
      <c r="B83" s="17" t="s">
        <v>14</v>
      </c>
      <c r="C83" s="17" t="s">
        <v>11</v>
      </c>
      <c r="D83" s="17">
        <v>292582</v>
      </c>
      <c r="E83" s="17" t="s">
        <v>82</v>
      </c>
      <c r="F83" s="17" t="s">
        <v>115</v>
      </c>
      <c r="G83" s="17" t="s">
        <v>10</v>
      </c>
      <c r="H83" s="17" t="s">
        <v>70</v>
      </c>
      <c r="I83" s="17" t="s">
        <v>61</v>
      </c>
      <c r="J83" s="17" t="s">
        <v>61</v>
      </c>
      <c r="K83" s="17" t="s">
        <v>10</v>
      </c>
      <c r="L83" s="17" t="s">
        <v>38</v>
      </c>
      <c r="M83" s="17" t="s">
        <v>61</v>
      </c>
      <c r="N83" s="17" t="s">
        <v>61</v>
      </c>
      <c r="O83" s="17" t="s">
        <v>13</v>
      </c>
      <c r="P83" s="17">
        <v>58</v>
      </c>
      <c r="Q83" s="17">
        <v>58</v>
      </c>
      <c r="R83" s="17">
        <v>0</v>
      </c>
      <c r="S83" s="17" t="s">
        <v>10</v>
      </c>
      <c r="T83" s="17">
        <v>0.218</v>
      </c>
      <c r="U83" s="17">
        <v>0.21759999999999999</v>
      </c>
      <c r="V83" s="17">
        <v>-0.18</v>
      </c>
      <c r="W83" s="17" t="s">
        <v>10</v>
      </c>
      <c r="X83" s="17">
        <v>1248</v>
      </c>
      <c r="Y83" s="17">
        <v>1248</v>
      </c>
      <c r="Z83" s="17">
        <v>0</v>
      </c>
      <c r="AA83" s="17" t="s">
        <v>10</v>
      </c>
      <c r="AB83" s="17">
        <v>0</v>
      </c>
      <c r="AC83" s="17">
        <v>11.57</v>
      </c>
      <c r="AD83" s="17">
        <v>4.25</v>
      </c>
      <c r="AE83" s="17" t="s">
        <v>133</v>
      </c>
      <c r="AF83" s="17"/>
      <c r="AG83" s="17" t="s">
        <v>25</v>
      </c>
      <c r="AH83" s="17"/>
      <c r="AI83" s="17"/>
    </row>
    <row r="84" spans="1:35" x14ac:dyDescent="0.25">
      <c r="A84" s="17">
        <v>181622</v>
      </c>
      <c r="B84" s="17" t="s">
        <v>14</v>
      </c>
      <c r="C84" s="17" t="s">
        <v>11</v>
      </c>
      <c r="D84" s="17">
        <v>292582</v>
      </c>
      <c r="E84" s="17" t="s">
        <v>82</v>
      </c>
      <c r="F84" s="17" t="s">
        <v>115</v>
      </c>
      <c r="G84" s="17" t="s">
        <v>10</v>
      </c>
      <c r="H84" s="17" t="s">
        <v>70</v>
      </c>
      <c r="I84" s="17" t="s">
        <v>61</v>
      </c>
      <c r="J84" s="17" t="s">
        <v>61</v>
      </c>
      <c r="K84" s="17" t="s">
        <v>10</v>
      </c>
      <c r="L84" s="17" t="s">
        <v>63</v>
      </c>
      <c r="M84" s="17" t="s">
        <v>61</v>
      </c>
      <c r="N84" s="17" t="s">
        <v>61</v>
      </c>
      <c r="O84" s="17" t="s">
        <v>13</v>
      </c>
      <c r="P84" s="17">
        <v>58</v>
      </c>
      <c r="Q84" s="17"/>
      <c r="R84" s="17"/>
      <c r="S84" s="17" t="s">
        <v>10</v>
      </c>
      <c r="T84" s="17">
        <v>0.218</v>
      </c>
      <c r="U84" s="17">
        <v>0</v>
      </c>
      <c r="V84" s="17"/>
      <c r="W84" s="17" t="s">
        <v>10</v>
      </c>
      <c r="X84" s="17">
        <v>0</v>
      </c>
      <c r="Y84" s="17">
        <v>0</v>
      </c>
      <c r="Z84" s="17"/>
      <c r="AA84" s="17" t="s">
        <v>10</v>
      </c>
      <c r="AB84" s="17">
        <v>0</v>
      </c>
      <c r="AC84" s="17">
        <v>0</v>
      </c>
      <c r="AD84" s="17"/>
      <c r="AE84" s="17" t="s">
        <v>133</v>
      </c>
      <c r="AF84" s="17"/>
      <c r="AG84" s="17" t="s">
        <v>25</v>
      </c>
      <c r="AH84" s="17"/>
      <c r="AI84" s="17"/>
    </row>
    <row r="85" spans="1:35" x14ac:dyDescent="0.25">
      <c r="A85" s="17">
        <v>181602</v>
      </c>
      <c r="B85" s="17" t="s">
        <v>14</v>
      </c>
      <c r="C85" s="17" t="s">
        <v>11</v>
      </c>
      <c r="D85" s="17">
        <v>292581</v>
      </c>
      <c r="E85" s="17" t="s">
        <v>80</v>
      </c>
      <c r="F85" s="17" t="s">
        <v>81</v>
      </c>
      <c r="G85" s="17" t="s">
        <v>10</v>
      </c>
      <c r="H85" s="17" t="s">
        <v>70</v>
      </c>
      <c r="I85" s="17" t="s">
        <v>61</v>
      </c>
      <c r="J85" s="17" t="s">
        <v>61</v>
      </c>
      <c r="K85" s="17" t="s">
        <v>10</v>
      </c>
      <c r="L85" s="17" t="s">
        <v>45</v>
      </c>
      <c r="M85" s="17" t="s">
        <v>61</v>
      </c>
      <c r="N85" s="17" t="s">
        <v>61</v>
      </c>
      <c r="O85" s="17" t="s">
        <v>13</v>
      </c>
      <c r="P85" s="17">
        <v>58</v>
      </c>
      <c r="Q85" s="17"/>
      <c r="R85" s="17"/>
      <c r="S85" s="17" t="s">
        <v>10</v>
      </c>
      <c r="T85" s="17">
        <v>0.214</v>
      </c>
      <c r="U85" s="17">
        <v>0</v>
      </c>
      <c r="V85" s="17"/>
      <c r="W85" s="17" t="s">
        <v>10</v>
      </c>
      <c r="X85" s="17">
        <v>0</v>
      </c>
      <c r="Y85" s="17">
        <v>0</v>
      </c>
      <c r="Z85" s="17"/>
      <c r="AA85" s="17" t="s">
        <v>10</v>
      </c>
      <c r="AB85" s="17">
        <v>0</v>
      </c>
      <c r="AC85" s="17">
        <v>0</v>
      </c>
      <c r="AD85" s="17"/>
      <c r="AE85" s="17" t="s">
        <v>133</v>
      </c>
      <c r="AF85" s="17"/>
      <c r="AG85" s="17" t="s">
        <v>25</v>
      </c>
      <c r="AH85" s="17"/>
      <c r="AI85" s="17"/>
    </row>
    <row r="86" spans="1:35" x14ac:dyDescent="0.25">
      <c r="A86" s="17">
        <v>181603</v>
      </c>
      <c r="B86" s="17" t="s">
        <v>14</v>
      </c>
      <c r="C86" s="17" t="s">
        <v>11</v>
      </c>
      <c r="D86" s="17">
        <v>292581</v>
      </c>
      <c r="E86" s="17" t="s">
        <v>80</v>
      </c>
      <c r="F86" s="17" t="s">
        <v>81</v>
      </c>
      <c r="G86" s="17" t="s">
        <v>10</v>
      </c>
      <c r="H86" s="17" t="s">
        <v>70</v>
      </c>
      <c r="I86" s="17" t="s">
        <v>61</v>
      </c>
      <c r="J86" s="17" t="s">
        <v>61</v>
      </c>
      <c r="K86" s="17" t="s">
        <v>10</v>
      </c>
      <c r="L86" s="17" t="s">
        <v>45</v>
      </c>
      <c r="M86" s="17" t="s">
        <v>61</v>
      </c>
      <c r="N86" s="17" t="s">
        <v>61</v>
      </c>
      <c r="O86" s="17" t="s">
        <v>13</v>
      </c>
      <c r="P86" s="17">
        <v>58</v>
      </c>
      <c r="Q86" s="17">
        <v>58</v>
      </c>
      <c r="R86" s="17">
        <v>0</v>
      </c>
      <c r="S86" s="17" t="s">
        <v>10</v>
      </c>
      <c r="T86" s="17">
        <v>0.214</v>
      </c>
      <c r="U86" s="17">
        <v>0.2142</v>
      </c>
      <c r="V86" s="17">
        <v>0.09</v>
      </c>
      <c r="W86" s="17" t="s">
        <v>10</v>
      </c>
      <c r="X86" s="17">
        <v>883</v>
      </c>
      <c r="Y86" s="17">
        <v>883</v>
      </c>
      <c r="Z86" s="17">
        <v>0</v>
      </c>
      <c r="AA86" s="17" t="s">
        <v>10</v>
      </c>
      <c r="AB86" s="17">
        <v>0</v>
      </c>
      <c r="AC86" s="17">
        <v>3.91</v>
      </c>
      <c r="AD86" s="17">
        <v>2.0699999999999998</v>
      </c>
      <c r="AE86" s="17" t="s">
        <v>133</v>
      </c>
      <c r="AF86" s="17"/>
      <c r="AG86" s="17" t="s">
        <v>25</v>
      </c>
      <c r="AH86" s="17"/>
      <c r="AI86" s="17"/>
    </row>
    <row r="87" spans="1:35" x14ac:dyDescent="0.25">
      <c r="A87" s="17">
        <v>181638</v>
      </c>
      <c r="B87" s="17" t="s">
        <v>14</v>
      </c>
      <c r="C87" s="17" t="s">
        <v>11</v>
      </c>
      <c r="D87" s="17">
        <v>294571</v>
      </c>
      <c r="E87" s="17" t="s">
        <v>36</v>
      </c>
      <c r="F87" s="17" t="s">
        <v>94</v>
      </c>
      <c r="G87" s="17" t="s">
        <v>10</v>
      </c>
      <c r="H87" s="17" t="s">
        <v>70</v>
      </c>
      <c r="I87" s="17" t="s">
        <v>61</v>
      </c>
      <c r="J87" s="17" t="s">
        <v>61</v>
      </c>
      <c r="K87" s="17" t="s">
        <v>10</v>
      </c>
      <c r="L87" s="17" t="s">
        <v>49</v>
      </c>
      <c r="M87" s="17" t="s">
        <v>61</v>
      </c>
      <c r="N87" s="17" t="s">
        <v>61</v>
      </c>
      <c r="O87" s="17" t="s">
        <v>13</v>
      </c>
      <c r="P87" s="17">
        <v>0</v>
      </c>
      <c r="Q87" s="17"/>
      <c r="R87" s="17"/>
      <c r="S87" s="17" t="s">
        <v>12</v>
      </c>
      <c r="T87" s="17">
        <v>0.34899999999999998</v>
      </c>
      <c r="U87" s="17">
        <v>0</v>
      </c>
      <c r="V87" s="17"/>
      <c r="W87" s="17" t="s">
        <v>12</v>
      </c>
      <c r="X87" s="17">
        <v>1871</v>
      </c>
      <c r="Y87" s="17">
        <v>0</v>
      </c>
      <c r="Z87" s="17"/>
      <c r="AA87" s="17" t="s">
        <v>12</v>
      </c>
      <c r="AB87" s="17">
        <v>0</v>
      </c>
      <c r="AC87" s="17">
        <v>0</v>
      </c>
      <c r="AD87" s="17"/>
      <c r="AE87" s="17" t="s">
        <v>134</v>
      </c>
      <c r="AF87" s="17"/>
      <c r="AG87" s="17" t="s">
        <v>25</v>
      </c>
      <c r="AH87" s="17"/>
      <c r="AI87" s="17" t="s">
        <v>164</v>
      </c>
    </row>
    <row r="88" spans="1:35" x14ac:dyDescent="0.25">
      <c r="A88" s="17">
        <v>181593</v>
      </c>
      <c r="B88" s="17" t="s">
        <v>14</v>
      </c>
      <c r="C88" s="17" t="s">
        <v>9</v>
      </c>
      <c r="D88" s="17">
        <v>294351</v>
      </c>
      <c r="E88" s="17" t="s">
        <v>36</v>
      </c>
      <c r="F88" s="17" t="s">
        <v>71</v>
      </c>
      <c r="G88" s="17" t="s">
        <v>12</v>
      </c>
      <c r="H88" s="17" t="s">
        <v>70</v>
      </c>
      <c r="I88" s="17" t="s">
        <v>61</v>
      </c>
      <c r="J88" s="17" t="s">
        <v>61</v>
      </c>
      <c r="K88" s="17" t="s">
        <v>12</v>
      </c>
      <c r="L88" s="17" t="s">
        <v>45</v>
      </c>
      <c r="M88" s="17" t="s">
        <v>61</v>
      </c>
      <c r="N88" s="17" t="s">
        <v>61</v>
      </c>
      <c r="O88" s="17" t="s">
        <v>13</v>
      </c>
      <c r="P88" s="17">
        <v>58</v>
      </c>
      <c r="Q88" s="17"/>
      <c r="R88" s="17"/>
      <c r="S88" s="17" t="s">
        <v>10</v>
      </c>
      <c r="T88" s="17">
        <v>0.371</v>
      </c>
      <c r="U88" s="17">
        <v>0</v>
      </c>
      <c r="V88" s="17"/>
      <c r="W88" s="17" t="s">
        <v>10</v>
      </c>
      <c r="X88" s="17">
        <v>1567</v>
      </c>
      <c r="Y88" s="17">
        <v>0</v>
      </c>
      <c r="Z88" s="17"/>
      <c r="AA88" s="17" t="s">
        <v>10</v>
      </c>
      <c r="AB88" s="17">
        <v>0</v>
      </c>
      <c r="AC88" s="17">
        <v>0</v>
      </c>
      <c r="AD88" s="17"/>
      <c r="AE88" s="17" t="s">
        <v>134</v>
      </c>
      <c r="AF88" s="17"/>
      <c r="AG88" s="17" t="s">
        <v>25</v>
      </c>
      <c r="AH88" s="17"/>
      <c r="AI88" s="17" t="s">
        <v>176</v>
      </c>
    </row>
    <row r="89" spans="1:35" x14ac:dyDescent="0.25">
      <c r="A89" s="17">
        <v>181638</v>
      </c>
      <c r="B89" s="17" t="s">
        <v>14</v>
      </c>
      <c r="C89" s="17" t="s">
        <v>11</v>
      </c>
      <c r="D89" s="17">
        <v>290061</v>
      </c>
      <c r="E89" s="17" t="s">
        <v>36</v>
      </c>
      <c r="F89" s="17" t="s">
        <v>98</v>
      </c>
      <c r="G89" s="17" t="s">
        <v>10</v>
      </c>
      <c r="H89" s="17" t="s">
        <v>70</v>
      </c>
      <c r="I89" s="17" t="s">
        <v>61</v>
      </c>
      <c r="J89" s="17" t="s">
        <v>61</v>
      </c>
      <c r="K89" s="17" t="s">
        <v>10</v>
      </c>
      <c r="L89" s="17" t="s">
        <v>49</v>
      </c>
      <c r="M89" s="17" t="s">
        <v>61</v>
      </c>
      <c r="N89" s="17" t="s">
        <v>61</v>
      </c>
      <c r="O89" s="17" t="s">
        <v>13</v>
      </c>
      <c r="P89" s="17">
        <v>58</v>
      </c>
      <c r="Q89" s="17"/>
      <c r="R89" s="17"/>
      <c r="S89" s="17" t="s">
        <v>10</v>
      </c>
      <c r="T89" s="17">
        <v>0.36799999999999999</v>
      </c>
      <c r="U89" s="17">
        <v>0</v>
      </c>
      <c r="V89" s="17"/>
      <c r="W89" s="17" t="s">
        <v>10</v>
      </c>
      <c r="X89" s="17">
        <v>2037</v>
      </c>
      <c r="Y89" s="17">
        <v>0</v>
      </c>
      <c r="Z89" s="17"/>
      <c r="AA89" s="17" t="s">
        <v>10</v>
      </c>
      <c r="AB89" s="17">
        <v>0</v>
      </c>
      <c r="AC89" s="17">
        <v>0</v>
      </c>
      <c r="AD89" s="17"/>
      <c r="AE89" s="17" t="s">
        <v>134</v>
      </c>
      <c r="AF89" s="17"/>
      <c r="AG89" s="17" t="s">
        <v>25</v>
      </c>
      <c r="AH89" s="17"/>
      <c r="AI89" s="17" t="s">
        <v>176</v>
      </c>
    </row>
    <row r="90" spans="1:35" x14ac:dyDescent="0.25">
      <c r="A90" s="17">
        <v>181638</v>
      </c>
      <c r="B90" s="17" t="s">
        <v>14</v>
      </c>
      <c r="C90" s="17" t="s">
        <v>11</v>
      </c>
      <c r="D90" s="17">
        <v>292101</v>
      </c>
      <c r="E90" s="17" t="s">
        <v>36</v>
      </c>
      <c r="F90" s="17" t="s">
        <v>51</v>
      </c>
      <c r="G90" s="17" t="s">
        <v>10</v>
      </c>
      <c r="H90" s="17" t="s">
        <v>70</v>
      </c>
      <c r="I90" s="17" t="s">
        <v>61</v>
      </c>
      <c r="J90" s="17" t="s">
        <v>61</v>
      </c>
      <c r="K90" s="17" t="s">
        <v>10</v>
      </c>
      <c r="L90" s="17" t="s">
        <v>49</v>
      </c>
      <c r="M90" s="17" t="s">
        <v>61</v>
      </c>
      <c r="N90" s="17" t="s">
        <v>61</v>
      </c>
      <c r="O90" s="17" t="s">
        <v>13</v>
      </c>
      <c r="P90" s="17">
        <v>58</v>
      </c>
      <c r="Q90" s="17"/>
      <c r="R90" s="17"/>
      <c r="S90" s="17" t="s">
        <v>10</v>
      </c>
      <c r="T90" s="17">
        <v>0.36099999999999999</v>
      </c>
      <c r="U90" s="17">
        <v>0</v>
      </c>
      <c r="V90" s="17"/>
      <c r="W90" s="17" t="s">
        <v>10</v>
      </c>
      <c r="X90" s="17">
        <v>2407</v>
      </c>
      <c r="Y90" s="17">
        <v>0</v>
      </c>
      <c r="Z90" s="17"/>
      <c r="AA90" s="17" t="s">
        <v>10</v>
      </c>
      <c r="AB90" s="17">
        <v>0</v>
      </c>
      <c r="AC90" s="17">
        <v>0</v>
      </c>
      <c r="AD90" s="17"/>
      <c r="AE90" s="17" t="s">
        <v>134</v>
      </c>
      <c r="AF90" s="17"/>
      <c r="AG90" s="17" t="s">
        <v>25</v>
      </c>
      <c r="AH90" s="17"/>
      <c r="AI90" s="17" t="s">
        <v>176</v>
      </c>
    </row>
    <row r="91" spans="1:35" x14ac:dyDescent="0.25">
      <c r="A91" s="17">
        <v>181592</v>
      </c>
      <c r="B91" s="17" t="s">
        <v>14</v>
      </c>
      <c r="C91" s="17" t="s">
        <v>9</v>
      </c>
      <c r="D91" s="17">
        <v>295031</v>
      </c>
      <c r="E91" s="17" t="s">
        <v>36</v>
      </c>
      <c r="F91" s="17" t="s">
        <v>109</v>
      </c>
      <c r="G91" s="17" t="s">
        <v>12</v>
      </c>
      <c r="H91" s="17" t="s">
        <v>70</v>
      </c>
      <c r="I91" s="17" t="s">
        <v>61</v>
      </c>
      <c r="J91" s="17" t="s">
        <v>61</v>
      </c>
      <c r="K91" s="17" t="s">
        <v>12</v>
      </c>
      <c r="L91" s="17" t="s">
        <v>32</v>
      </c>
      <c r="M91" s="17" t="s">
        <v>61</v>
      </c>
      <c r="N91" s="17" t="s">
        <v>61</v>
      </c>
      <c r="O91" s="17" t="s">
        <v>13</v>
      </c>
      <c r="P91" s="17">
        <v>0</v>
      </c>
      <c r="Q91" s="17"/>
      <c r="R91" s="17"/>
      <c r="S91" s="17" t="s">
        <v>10</v>
      </c>
      <c r="T91" s="17">
        <v>0</v>
      </c>
      <c r="U91" s="17">
        <v>0</v>
      </c>
      <c r="V91" s="17"/>
      <c r="W91" s="17" t="s">
        <v>10</v>
      </c>
      <c r="X91" s="17">
        <v>0</v>
      </c>
      <c r="Y91" s="17">
        <v>0</v>
      </c>
      <c r="Z91" s="17"/>
      <c r="AA91" s="17" t="s">
        <v>10</v>
      </c>
      <c r="AB91" s="17">
        <v>0</v>
      </c>
      <c r="AC91" s="17">
        <v>0</v>
      </c>
      <c r="AD91" s="17"/>
      <c r="AE91" s="17" t="s">
        <v>134</v>
      </c>
      <c r="AF91" s="17"/>
      <c r="AG91" s="17" t="s">
        <v>25</v>
      </c>
      <c r="AH91" s="17"/>
      <c r="AI91" s="17" t="s">
        <v>167</v>
      </c>
    </row>
    <row r="92" spans="1:35" x14ac:dyDescent="0.25">
      <c r="A92" s="17">
        <v>181592</v>
      </c>
      <c r="B92" s="17" t="s">
        <v>14</v>
      </c>
      <c r="C92" s="17" t="s">
        <v>9</v>
      </c>
      <c r="D92" s="17">
        <v>295030</v>
      </c>
      <c r="E92" s="17" t="s">
        <v>36</v>
      </c>
      <c r="F92" s="17" t="s">
        <v>69</v>
      </c>
      <c r="G92" s="17" t="s">
        <v>12</v>
      </c>
      <c r="H92" s="17" t="s">
        <v>70</v>
      </c>
      <c r="I92" s="17" t="s">
        <v>61</v>
      </c>
      <c r="J92" s="17" t="s">
        <v>61</v>
      </c>
      <c r="K92" s="17" t="s">
        <v>12</v>
      </c>
      <c r="L92" s="17" t="s">
        <v>32</v>
      </c>
      <c r="M92" s="17" t="s">
        <v>61</v>
      </c>
      <c r="N92" s="17" t="s">
        <v>61</v>
      </c>
      <c r="O92" s="17" t="s">
        <v>13</v>
      </c>
      <c r="P92" s="17">
        <v>0</v>
      </c>
      <c r="Q92" s="17"/>
      <c r="R92" s="17"/>
      <c r="S92" s="17" t="s">
        <v>10</v>
      </c>
      <c r="T92" s="17">
        <v>0</v>
      </c>
      <c r="U92" s="17">
        <v>0</v>
      </c>
      <c r="V92" s="17"/>
      <c r="W92" s="17" t="s">
        <v>10</v>
      </c>
      <c r="X92" s="17">
        <v>0</v>
      </c>
      <c r="Y92" s="17">
        <v>0</v>
      </c>
      <c r="Z92" s="17"/>
      <c r="AA92" s="17" t="s">
        <v>10</v>
      </c>
      <c r="AB92" s="17">
        <v>0</v>
      </c>
      <c r="AC92" s="17">
        <v>0</v>
      </c>
      <c r="AD92" s="17"/>
      <c r="AE92" s="17" t="s">
        <v>134</v>
      </c>
      <c r="AF92" s="17"/>
      <c r="AG92" s="17" t="s">
        <v>25</v>
      </c>
      <c r="AH92" s="17"/>
      <c r="AI92" s="17" t="s">
        <v>167</v>
      </c>
    </row>
    <row r="93" spans="1:35" x14ac:dyDescent="0.25">
      <c r="A93" s="17">
        <v>181638</v>
      </c>
      <c r="B93" s="17" t="s">
        <v>14</v>
      </c>
      <c r="C93" s="17" t="s">
        <v>11</v>
      </c>
      <c r="D93" s="17">
        <v>294572</v>
      </c>
      <c r="E93" s="17" t="s">
        <v>36</v>
      </c>
      <c r="F93" s="17" t="s">
        <v>118</v>
      </c>
      <c r="G93" s="17" t="s">
        <v>10</v>
      </c>
      <c r="H93" s="17" t="s">
        <v>70</v>
      </c>
      <c r="I93" s="17" t="s">
        <v>61</v>
      </c>
      <c r="J93" s="17" t="s">
        <v>61</v>
      </c>
      <c r="K93" s="17" t="s">
        <v>10</v>
      </c>
      <c r="L93" s="17" t="s">
        <v>49</v>
      </c>
      <c r="M93" s="17" t="s">
        <v>61</v>
      </c>
      <c r="N93" s="17" t="s">
        <v>61</v>
      </c>
      <c r="O93" s="17" t="s">
        <v>13</v>
      </c>
      <c r="P93" s="17">
        <v>0</v>
      </c>
      <c r="Q93" s="17"/>
      <c r="R93" s="17"/>
      <c r="S93" s="17" t="s">
        <v>10</v>
      </c>
      <c r="T93" s="17">
        <v>0</v>
      </c>
      <c r="U93" s="17">
        <v>0</v>
      </c>
      <c r="V93" s="17"/>
      <c r="W93" s="17" t="s">
        <v>10</v>
      </c>
      <c r="X93" s="17">
        <v>0</v>
      </c>
      <c r="Y93" s="17">
        <v>0</v>
      </c>
      <c r="Z93" s="17"/>
      <c r="AA93" s="17" t="s">
        <v>10</v>
      </c>
      <c r="AB93" s="17">
        <v>0</v>
      </c>
      <c r="AC93" s="17">
        <v>0</v>
      </c>
      <c r="AD93" s="17"/>
      <c r="AE93" s="17" t="s">
        <v>134</v>
      </c>
      <c r="AF93" s="17"/>
      <c r="AG93" s="17" t="s">
        <v>25</v>
      </c>
      <c r="AH93" s="17"/>
      <c r="AI93" s="17"/>
    </row>
    <row r="94" spans="1:35" x14ac:dyDescent="0.25">
      <c r="A94" s="17">
        <v>181594</v>
      </c>
      <c r="B94" s="17" t="s">
        <v>14</v>
      </c>
      <c r="C94" s="17" t="s">
        <v>9</v>
      </c>
      <c r="D94" s="17">
        <v>295032</v>
      </c>
      <c r="E94" s="17" t="s">
        <v>36</v>
      </c>
      <c r="F94" s="17" t="s">
        <v>72</v>
      </c>
      <c r="G94" s="17" t="s">
        <v>12</v>
      </c>
      <c r="H94" s="17" t="s">
        <v>70</v>
      </c>
      <c r="I94" s="17" t="s">
        <v>61</v>
      </c>
      <c r="J94" s="17" t="s">
        <v>61</v>
      </c>
      <c r="K94" s="17" t="s">
        <v>12</v>
      </c>
      <c r="L94" s="17" t="s">
        <v>34</v>
      </c>
      <c r="M94" s="17" t="s">
        <v>61</v>
      </c>
      <c r="N94" s="17" t="s">
        <v>61</v>
      </c>
      <c r="O94" s="17" t="s">
        <v>13</v>
      </c>
      <c r="P94" s="17">
        <v>0</v>
      </c>
      <c r="Q94" s="17"/>
      <c r="R94" s="17"/>
      <c r="S94" s="17" t="s">
        <v>10</v>
      </c>
      <c r="T94" s="17">
        <v>0.41899999999999998</v>
      </c>
      <c r="U94" s="17">
        <v>0</v>
      </c>
      <c r="V94" s="17"/>
      <c r="W94" s="17" t="s">
        <v>10</v>
      </c>
      <c r="X94" s="17">
        <v>1520</v>
      </c>
      <c r="Y94" s="17">
        <v>0</v>
      </c>
      <c r="Z94" s="17"/>
      <c r="AA94" s="17" t="s">
        <v>10</v>
      </c>
      <c r="AB94" s="17">
        <v>0</v>
      </c>
      <c r="AC94" s="17">
        <v>0</v>
      </c>
      <c r="AD94" s="17"/>
      <c r="AE94" s="17" t="s">
        <v>134</v>
      </c>
      <c r="AF94" s="17"/>
      <c r="AG94" s="17" t="s">
        <v>25</v>
      </c>
      <c r="AH94" s="17"/>
      <c r="AI94" s="17"/>
    </row>
    <row r="95" spans="1:35" x14ac:dyDescent="0.25">
      <c r="A95" s="17">
        <v>181608</v>
      </c>
      <c r="B95" s="17" t="s">
        <v>14</v>
      </c>
      <c r="C95" s="17" t="s">
        <v>11</v>
      </c>
      <c r="D95" s="17">
        <v>292586</v>
      </c>
      <c r="E95" s="17" t="s">
        <v>85</v>
      </c>
      <c r="F95" s="17" t="s">
        <v>86</v>
      </c>
      <c r="G95" s="17" t="s">
        <v>10</v>
      </c>
      <c r="H95" s="17" t="s">
        <v>70</v>
      </c>
      <c r="I95" s="17" t="s">
        <v>61</v>
      </c>
      <c r="J95" s="17" t="s">
        <v>61</v>
      </c>
      <c r="K95" s="17" t="s">
        <v>10</v>
      </c>
      <c r="L95" s="17" t="s">
        <v>39</v>
      </c>
      <c r="M95" s="17" t="s">
        <v>61</v>
      </c>
      <c r="N95" s="17" t="s">
        <v>61</v>
      </c>
      <c r="O95" s="17" t="s">
        <v>13</v>
      </c>
      <c r="P95" s="17">
        <v>60</v>
      </c>
      <c r="Q95" s="17"/>
      <c r="R95" s="17"/>
      <c r="S95" s="17" t="s">
        <v>12</v>
      </c>
      <c r="T95" s="17">
        <v>0</v>
      </c>
      <c r="U95" s="17">
        <v>0</v>
      </c>
      <c r="V95" s="17"/>
      <c r="W95" s="17" t="s">
        <v>12</v>
      </c>
      <c r="X95" s="17">
        <v>0</v>
      </c>
      <c r="Y95" s="17">
        <v>0</v>
      </c>
      <c r="Z95" s="17"/>
      <c r="AA95" s="17" t="s">
        <v>12</v>
      </c>
      <c r="AB95" s="17">
        <v>0</v>
      </c>
      <c r="AC95" s="17">
        <v>0</v>
      </c>
      <c r="AD95" s="17"/>
      <c r="AE95" s="17" t="s">
        <v>134</v>
      </c>
      <c r="AF95" s="17"/>
      <c r="AG95" s="17" t="s">
        <v>25</v>
      </c>
      <c r="AH95" s="17"/>
      <c r="AI95" s="17" t="s">
        <v>167</v>
      </c>
    </row>
    <row r="96" spans="1:35" x14ac:dyDescent="0.25">
      <c r="A96" s="17">
        <v>181608</v>
      </c>
      <c r="B96" s="17" t="s">
        <v>14</v>
      </c>
      <c r="C96" s="17" t="s">
        <v>11</v>
      </c>
      <c r="D96" s="17">
        <v>292586</v>
      </c>
      <c r="E96" s="17" t="s">
        <v>85</v>
      </c>
      <c r="F96" s="17" t="s">
        <v>86</v>
      </c>
      <c r="G96" s="17" t="s">
        <v>10</v>
      </c>
      <c r="H96" s="17" t="s">
        <v>70</v>
      </c>
      <c r="I96" s="17" t="s">
        <v>61</v>
      </c>
      <c r="J96" s="17" t="s">
        <v>61</v>
      </c>
      <c r="K96" s="17" t="s">
        <v>10</v>
      </c>
      <c r="L96" s="17" t="s">
        <v>39</v>
      </c>
      <c r="M96" s="17" t="s">
        <v>61</v>
      </c>
      <c r="N96" s="17" t="s">
        <v>61</v>
      </c>
      <c r="O96" s="17" t="s">
        <v>13</v>
      </c>
      <c r="P96" s="17">
        <v>60</v>
      </c>
      <c r="Q96" s="17"/>
      <c r="R96" s="17"/>
      <c r="S96" s="17" t="s">
        <v>12</v>
      </c>
      <c r="T96" s="17">
        <v>0.159</v>
      </c>
      <c r="U96" s="17">
        <v>0</v>
      </c>
      <c r="V96" s="17"/>
      <c r="W96" s="17" t="s">
        <v>12</v>
      </c>
      <c r="X96" s="17">
        <v>5991</v>
      </c>
      <c r="Y96" s="17">
        <v>0</v>
      </c>
      <c r="Z96" s="17"/>
      <c r="AA96" s="17" t="s">
        <v>12</v>
      </c>
      <c r="AB96" s="17">
        <v>0</v>
      </c>
      <c r="AC96" s="17">
        <v>0</v>
      </c>
      <c r="AD96" s="17"/>
      <c r="AE96" s="17" t="s">
        <v>134</v>
      </c>
      <c r="AF96" s="17"/>
      <c r="AG96" s="17" t="s">
        <v>25</v>
      </c>
      <c r="AH96" s="17"/>
      <c r="AI96" s="17" t="s">
        <v>167</v>
      </c>
    </row>
    <row r="97" spans="1:35" x14ac:dyDescent="0.25">
      <c r="A97" s="17">
        <v>181608</v>
      </c>
      <c r="B97" s="17" t="s">
        <v>14</v>
      </c>
      <c r="C97" s="17" t="s">
        <v>11</v>
      </c>
      <c r="D97" s="17">
        <v>292586</v>
      </c>
      <c r="E97" s="17" t="s">
        <v>85</v>
      </c>
      <c r="F97" s="17" t="s">
        <v>86</v>
      </c>
      <c r="G97" s="17" t="s">
        <v>10</v>
      </c>
      <c r="H97" s="17" t="s">
        <v>70</v>
      </c>
      <c r="I97" s="17" t="s">
        <v>61</v>
      </c>
      <c r="J97" s="17" t="s">
        <v>61</v>
      </c>
      <c r="K97" s="17" t="s">
        <v>10</v>
      </c>
      <c r="L97" s="17" t="s">
        <v>39</v>
      </c>
      <c r="M97" s="17" t="s">
        <v>61</v>
      </c>
      <c r="N97" s="17" t="s">
        <v>61</v>
      </c>
      <c r="O97" s="17" t="s">
        <v>13</v>
      </c>
      <c r="P97" s="17">
        <v>60</v>
      </c>
      <c r="Q97" s="17"/>
      <c r="R97" s="17"/>
      <c r="S97" s="17" t="s">
        <v>10</v>
      </c>
      <c r="T97" s="17">
        <v>6.7000000000000004E-2</v>
      </c>
      <c r="U97" s="17">
        <v>0</v>
      </c>
      <c r="V97" s="17"/>
      <c r="W97" s="17" t="s">
        <v>10</v>
      </c>
      <c r="X97" s="17">
        <v>1337</v>
      </c>
      <c r="Y97" s="17">
        <v>0</v>
      </c>
      <c r="Z97" s="17"/>
      <c r="AA97" s="17" t="s">
        <v>10</v>
      </c>
      <c r="AB97" s="17">
        <v>0</v>
      </c>
      <c r="AC97" s="17">
        <v>0</v>
      </c>
      <c r="AD97" s="17"/>
      <c r="AE97" s="17" t="s">
        <v>134</v>
      </c>
      <c r="AF97" s="17"/>
      <c r="AG97" s="17" t="s">
        <v>25</v>
      </c>
      <c r="AH97" s="17"/>
      <c r="AI97" s="17" t="s">
        <v>167</v>
      </c>
    </row>
    <row r="98" spans="1:35" x14ac:dyDescent="0.25">
      <c r="A98" s="17">
        <v>181609</v>
      </c>
      <c r="B98" s="17" t="s">
        <v>14</v>
      </c>
      <c r="C98" s="17" t="s">
        <v>11</v>
      </c>
      <c r="D98" s="17">
        <v>292586</v>
      </c>
      <c r="E98" s="17" t="s">
        <v>85</v>
      </c>
      <c r="F98" s="17" t="s">
        <v>86</v>
      </c>
      <c r="G98" s="17" t="s">
        <v>10</v>
      </c>
      <c r="H98" s="17" t="s">
        <v>70</v>
      </c>
      <c r="I98" s="17" t="s">
        <v>61</v>
      </c>
      <c r="J98" s="17" t="s">
        <v>61</v>
      </c>
      <c r="K98" s="17" t="s">
        <v>10</v>
      </c>
      <c r="L98" s="17" t="s">
        <v>62</v>
      </c>
      <c r="M98" s="17" t="s">
        <v>61</v>
      </c>
      <c r="N98" s="17" t="s">
        <v>61</v>
      </c>
      <c r="O98" s="17" t="s">
        <v>13</v>
      </c>
      <c r="P98" s="17">
        <v>60</v>
      </c>
      <c r="Q98" s="17"/>
      <c r="R98" s="17"/>
      <c r="S98" s="17" t="s">
        <v>10</v>
      </c>
      <c r="T98" s="17">
        <v>6.7000000000000004E-2</v>
      </c>
      <c r="U98" s="17">
        <v>0</v>
      </c>
      <c r="V98" s="17"/>
      <c r="W98" s="17" t="s">
        <v>10</v>
      </c>
      <c r="X98" s="17">
        <v>1306</v>
      </c>
      <c r="Y98" s="17">
        <v>0</v>
      </c>
      <c r="Z98" s="17"/>
      <c r="AA98" s="17" t="s">
        <v>10</v>
      </c>
      <c r="AB98" s="17">
        <v>0</v>
      </c>
      <c r="AC98" s="17">
        <v>0</v>
      </c>
      <c r="AD98" s="17"/>
      <c r="AE98" s="17" t="s">
        <v>134</v>
      </c>
      <c r="AF98" s="17"/>
      <c r="AG98" s="17" t="s">
        <v>25</v>
      </c>
      <c r="AH98" s="17"/>
      <c r="AI98" s="17" t="s">
        <v>167</v>
      </c>
    </row>
    <row r="99" spans="1:35" x14ac:dyDescent="0.25">
      <c r="A99" s="17">
        <v>181609</v>
      </c>
      <c r="B99" s="17" t="s">
        <v>14</v>
      </c>
      <c r="C99" s="17" t="s">
        <v>11</v>
      </c>
      <c r="D99" s="17">
        <v>292586</v>
      </c>
      <c r="E99" s="17" t="s">
        <v>85</v>
      </c>
      <c r="F99" s="17" t="s">
        <v>86</v>
      </c>
      <c r="G99" s="17" t="s">
        <v>10</v>
      </c>
      <c r="H99" s="17" t="s">
        <v>70</v>
      </c>
      <c r="I99" s="17" t="s">
        <v>61</v>
      </c>
      <c r="J99" s="17" t="s">
        <v>61</v>
      </c>
      <c r="K99" s="17" t="s">
        <v>10</v>
      </c>
      <c r="L99" s="17" t="s">
        <v>62</v>
      </c>
      <c r="M99" s="17" t="s">
        <v>61</v>
      </c>
      <c r="N99" s="17" t="s">
        <v>61</v>
      </c>
      <c r="O99" s="17" t="s">
        <v>13</v>
      </c>
      <c r="P99" s="17">
        <v>60</v>
      </c>
      <c r="Q99" s="17"/>
      <c r="R99" s="17"/>
      <c r="S99" s="17" t="s">
        <v>10</v>
      </c>
      <c r="T99" s="17">
        <v>6.7000000000000004E-2</v>
      </c>
      <c r="U99" s="17">
        <v>0</v>
      </c>
      <c r="V99" s="17"/>
      <c r="W99" s="17" t="s">
        <v>10</v>
      </c>
      <c r="X99" s="17">
        <v>1337</v>
      </c>
      <c r="Y99" s="17">
        <v>0</v>
      </c>
      <c r="Z99" s="17"/>
      <c r="AA99" s="17" t="s">
        <v>10</v>
      </c>
      <c r="AB99" s="17">
        <v>0</v>
      </c>
      <c r="AC99" s="17">
        <v>0</v>
      </c>
      <c r="AD99" s="17"/>
      <c r="AE99" s="17" t="s">
        <v>134</v>
      </c>
      <c r="AF99" s="17"/>
      <c r="AG99" s="17" t="s">
        <v>25</v>
      </c>
      <c r="AH99" s="17"/>
      <c r="AI99" s="17" t="s">
        <v>167</v>
      </c>
    </row>
    <row r="100" spans="1:35" x14ac:dyDescent="0.25">
      <c r="A100" s="17">
        <v>181609</v>
      </c>
      <c r="B100" s="17" t="s">
        <v>14</v>
      </c>
      <c r="C100" s="17" t="s">
        <v>11</v>
      </c>
      <c r="D100" s="17">
        <v>292586</v>
      </c>
      <c r="E100" s="17" t="s">
        <v>85</v>
      </c>
      <c r="F100" s="17" t="s">
        <v>86</v>
      </c>
      <c r="G100" s="17" t="s">
        <v>10</v>
      </c>
      <c r="H100" s="17" t="s">
        <v>70</v>
      </c>
      <c r="I100" s="17" t="s">
        <v>61</v>
      </c>
      <c r="J100" s="17" t="s">
        <v>61</v>
      </c>
      <c r="K100" s="17" t="s">
        <v>10</v>
      </c>
      <c r="L100" s="17" t="s">
        <v>62</v>
      </c>
      <c r="M100" s="17" t="s">
        <v>61</v>
      </c>
      <c r="N100" s="17" t="s">
        <v>61</v>
      </c>
      <c r="O100" s="17" t="s">
        <v>13</v>
      </c>
      <c r="P100" s="17">
        <v>60</v>
      </c>
      <c r="Q100" s="17"/>
      <c r="R100" s="17"/>
      <c r="S100" s="17" t="s">
        <v>10</v>
      </c>
      <c r="T100" s="17">
        <v>0.33900000000000002</v>
      </c>
      <c r="U100" s="17">
        <v>0</v>
      </c>
      <c r="V100" s="17"/>
      <c r="W100" s="17" t="s">
        <v>10</v>
      </c>
      <c r="X100" s="17">
        <v>2434</v>
      </c>
      <c r="Y100" s="17">
        <v>0</v>
      </c>
      <c r="Z100" s="17"/>
      <c r="AA100" s="17" t="s">
        <v>10</v>
      </c>
      <c r="AB100" s="17">
        <v>0</v>
      </c>
      <c r="AC100" s="17">
        <v>0</v>
      </c>
      <c r="AD100" s="17"/>
      <c r="AE100" s="17" t="s">
        <v>134</v>
      </c>
      <c r="AF100" s="17"/>
      <c r="AG100" s="17" t="s">
        <v>25</v>
      </c>
      <c r="AH100" s="17"/>
      <c r="AI100" s="17"/>
    </row>
    <row r="101" spans="1:35" x14ac:dyDescent="0.25">
      <c r="A101" s="17">
        <v>181610</v>
      </c>
      <c r="B101" s="17" t="s">
        <v>14</v>
      </c>
      <c r="C101" s="17" t="s">
        <v>11</v>
      </c>
      <c r="D101" s="17">
        <v>292586</v>
      </c>
      <c r="E101" s="17" t="s">
        <v>85</v>
      </c>
      <c r="F101" s="17" t="s">
        <v>86</v>
      </c>
      <c r="G101" s="17" t="s">
        <v>10</v>
      </c>
      <c r="H101" s="17" t="s">
        <v>70</v>
      </c>
      <c r="I101" s="17" t="s">
        <v>61</v>
      </c>
      <c r="J101" s="17" t="s">
        <v>61</v>
      </c>
      <c r="K101" s="17" t="s">
        <v>10</v>
      </c>
      <c r="L101" s="17" t="s">
        <v>62</v>
      </c>
      <c r="M101" s="17" t="s">
        <v>61</v>
      </c>
      <c r="N101" s="17" t="s">
        <v>61</v>
      </c>
      <c r="O101" s="17" t="s">
        <v>13</v>
      </c>
      <c r="P101" s="17">
        <v>60</v>
      </c>
      <c r="Q101" s="17"/>
      <c r="R101" s="17"/>
      <c r="S101" s="17" t="s">
        <v>10</v>
      </c>
      <c r="T101" s="17">
        <v>0.33900000000000002</v>
      </c>
      <c r="U101" s="17">
        <v>0</v>
      </c>
      <c r="V101" s="17"/>
      <c r="W101" s="17" t="s">
        <v>10</v>
      </c>
      <c r="X101" s="17">
        <v>2448</v>
      </c>
      <c r="Y101" s="17">
        <v>0</v>
      </c>
      <c r="Z101" s="17"/>
      <c r="AA101" s="17" t="s">
        <v>10</v>
      </c>
      <c r="AB101" s="17">
        <v>0</v>
      </c>
      <c r="AC101" s="17">
        <v>0</v>
      </c>
      <c r="AD101" s="17"/>
      <c r="AE101" s="17" t="s">
        <v>134</v>
      </c>
      <c r="AF101" s="17"/>
      <c r="AG101" s="17" t="s">
        <v>25</v>
      </c>
      <c r="AH101" s="17"/>
      <c r="AI101" s="17"/>
    </row>
    <row r="102" spans="1:35" x14ac:dyDescent="0.25">
      <c r="A102" s="17">
        <v>181611</v>
      </c>
      <c r="B102" s="17" t="s">
        <v>14</v>
      </c>
      <c r="C102" s="17" t="s">
        <v>11</v>
      </c>
      <c r="D102" s="17">
        <v>292586</v>
      </c>
      <c r="E102" s="17" t="s">
        <v>85</v>
      </c>
      <c r="F102" s="17" t="s">
        <v>86</v>
      </c>
      <c r="G102" s="17" t="s">
        <v>10</v>
      </c>
      <c r="H102" s="17" t="s">
        <v>70</v>
      </c>
      <c r="I102" s="17" t="s">
        <v>61</v>
      </c>
      <c r="J102" s="17" t="s">
        <v>61</v>
      </c>
      <c r="K102" s="17" t="s">
        <v>10</v>
      </c>
      <c r="L102" s="17" t="s">
        <v>39</v>
      </c>
      <c r="M102" s="17" t="s">
        <v>61</v>
      </c>
      <c r="N102" s="17" t="s">
        <v>61</v>
      </c>
      <c r="O102" s="17" t="s">
        <v>13</v>
      </c>
      <c r="P102" s="17">
        <v>60</v>
      </c>
      <c r="Q102" s="17"/>
      <c r="R102" s="17"/>
      <c r="S102" s="17" t="s">
        <v>10</v>
      </c>
      <c r="T102" s="17">
        <v>0.33900000000000002</v>
      </c>
      <c r="U102" s="17">
        <v>0</v>
      </c>
      <c r="V102" s="17"/>
      <c r="W102" s="17" t="s">
        <v>10</v>
      </c>
      <c r="X102" s="17">
        <v>2434</v>
      </c>
      <c r="Y102" s="17">
        <v>0</v>
      </c>
      <c r="Z102" s="17"/>
      <c r="AA102" s="17" t="s">
        <v>10</v>
      </c>
      <c r="AB102" s="17">
        <v>0</v>
      </c>
      <c r="AC102" s="17">
        <v>0</v>
      </c>
      <c r="AD102" s="17"/>
      <c r="AE102" s="17" t="s">
        <v>134</v>
      </c>
      <c r="AF102" s="17"/>
      <c r="AG102" s="17" t="s">
        <v>25</v>
      </c>
      <c r="AH102" s="17"/>
      <c r="AI102" s="17"/>
    </row>
    <row r="103" spans="1:35" x14ac:dyDescent="0.25">
      <c r="A103" s="17">
        <v>181628</v>
      </c>
      <c r="B103" s="17" t="s">
        <v>14</v>
      </c>
      <c r="C103" s="17" t="s">
        <v>11</v>
      </c>
      <c r="D103" s="17">
        <v>292586</v>
      </c>
      <c r="E103" s="17" t="s">
        <v>85</v>
      </c>
      <c r="F103" s="17" t="s">
        <v>86</v>
      </c>
      <c r="G103" s="17" t="s">
        <v>10</v>
      </c>
      <c r="H103" s="17" t="s">
        <v>70</v>
      </c>
      <c r="I103" s="17" t="s">
        <v>61</v>
      </c>
      <c r="J103" s="17" t="s">
        <v>61</v>
      </c>
      <c r="K103" s="17" t="s">
        <v>10</v>
      </c>
      <c r="L103" s="17" t="s">
        <v>42</v>
      </c>
      <c r="M103" s="17" t="s">
        <v>61</v>
      </c>
      <c r="N103" s="17" t="s">
        <v>61</v>
      </c>
      <c r="O103" s="17" t="s">
        <v>13</v>
      </c>
      <c r="P103" s="17">
        <v>60</v>
      </c>
      <c r="Q103" s="17"/>
      <c r="R103" s="17"/>
      <c r="S103" s="17" t="s">
        <v>10</v>
      </c>
      <c r="T103" s="17">
        <v>0.33900000000000002</v>
      </c>
      <c r="U103" s="17">
        <v>0</v>
      </c>
      <c r="V103" s="17"/>
      <c r="W103" s="17" t="s">
        <v>10</v>
      </c>
      <c r="X103" s="17">
        <v>2434</v>
      </c>
      <c r="Y103" s="17">
        <v>0</v>
      </c>
      <c r="Z103" s="17"/>
      <c r="AA103" s="17" t="s">
        <v>10</v>
      </c>
      <c r="AB103" s="17">
        <v>0</v>
      </c>
      <c r="AC103" s="17">
        <v>0</v>
      </c>
      <c r="AD103" s="17"/>
      <c r="AE103" s="17" t="s">
        <v>134</v>
      </c>
      <c r="AF103" s="17"/>
      <c r="AG103" s="17" t="s">
        <v>25</v>
      </c>
      <c r="AH103" s="17"/>
      <c r="AI103" s="17"/>
    </row>
    <row r="104" spans="1:35" x14ac:dyDescent="0.25">
      <c r="A104" s="17">
        <v>181628</v>
      </c>
      <c r="B104" s="17" t="s">
        <v>14</v>
      </c>
      <c r="C104" s="17" t="s">
        <v>11</v>
      </c>
      <c r="D104" s="17">
        <v>292588</v>
      </c>
      <c r="E104" s="17" t="s">
        <v>85</v>
      </c>
      <c r="F104" s="17" t="s">
        <v>117</v>
      </c>
      <c r="G104" s="17" t="s">
        <v>10</v>
      </c>
      <c r="H104" s="17" t="s">
        <v>70</v>
      </c>
      <c r="I104" s="17" t="s">
        <v>61</v>
      </c>
      <c r="J104" s="17" t="s">
        <v>61</v>
      </c>
      <c r="K104" s="17" t="s">
        <v>10</v>
      </c>
      <c r="L104" s="17" t="s">
        <v>42</v>
      </c>
      <c r="M104" s="17" t="s">
        <v>61</v>
      </c>
      <c r="N104" s="17" t="s">
        <v>61</v>
      </c>
      <c r="O104" s="17" t="s">
        <v>13</v>
      </c>
      <c r="P104" s="17">
        <v>60</v>
      </c>
      <c r="Q104" s="17">
        <v>58</v>
      </c>
      <c r="R104" s="17">
        <v>0</v>
      </c>
      <c r="S104" s="17" t="s">
        <v>126</v>
      </c>
      <c r="T104" s="17">
        <v>0.33500000000000002</v>
      </c>
      <c r="U104" s="17">
        <v>0.34089999999999998</v>
      </c>
      <c r="V104" s="17">
        <v>1.76</v>
      </c>
      <c r="W104" s="17" t="s">
        <v>126</v>
      </c>
      <c r="X104" s="17">
        <v>40979</v>
      </c>
      <c r="Y104" s="17">
        <v>40979</v>
      </c>
      <c r="Z104" s="17">
        <v>0</v>
      </c>
      <c r="AA104" s="17" t="s">
        <v>126</v>
      </c>
      <c r="AB104" s="17">
        <v>0</v>
      </c>
      <c r="AC104" s="17">
        <v>113</v>
      </c>
      <c r="AD104" s="17">
        <v>0.82</v>
      </c>
      <c r="AE104" s="17" t="s">
        <v>133</v>
      </c>
      <c r="AF104" s="17"/>
      <c r="AG104" s="17" t="s">
        <v>25</v>
      </c>
      <c r="AH104" s="17"/>
      <c r="AI104" s="17"/>
    </row>
    <row r="105" spans="1:35" x14ac:dyDescent="0.25">
      <c r="A105" s="17">
        <v>181612</v>
      </c>
      <c r="B105" s="17" t="s">
        <v>14</v>
      </c>
      <c r="C105" s="17" t="s">
        <v>11</v>
      </c>
      <c r="D105" s="17">
        <v>292590</v>
      </c>
      <c r="E105" s="17" t="s">
        <v>85</v>
      </c>
      <c r="F105" s="17" t="s">
        <v>116</v>
      </c>
      <c r="G105" s="17" t="s">
        <v>10</v>
      </c>
      <c r="H105" s="17" t="s">
        <v>70</v>
      </c>
      <c r="I105" s="17" t="s">
        <v>61</v>
      </c>
      <c r="J105" s="17" t="s">
        <v>61</v>
      </c>
      <c r="K105" s="17" t="s">
        <v>10</v>
      </c>
      <c r="L105" s="17" t="s">
        <v>41</v>
      </c>
      <c r="M105" s="17" t="s">
        <v>61</v>
      </c>
      <c r="N105" s="17" t="s">
        <v>61</v>
      </c>
      <c r="O105" s="17" t="s">
        <v>13</v>
      </c>
      <c r="P105" s="17">
        <v>60</v>
      </c>
      <c r="Q105" s="17"/>
      <c r="R105" s="17"/>
      <c r="S105" s="17" t="s">
        <v>10</v>
      </c>
      <c r="T105" s="17">
        <v>0.25700000000000001</v>
      </c>
      <c r="U105" s="17">
        <v>0</v>
      </c>
      <c r="V105" s="17"/>
      <c r="W105" s="17" t="s">
        <v>10</v>
      </c>
      <c r="X105" s="17">
        <v>743</v>
      </c>
      <c r="Y105" s="17">
        <v>0</v>
      </c>
      <c r="Z105" s="17"/>
      <c r="AA105" s="17" t="s">
        <v>10</v>
      </c>
      <c r="AB105" s="17">
        <v>0</v>
      </c>
      <c r="AC105" s="17">
        <v>0</v>
      </c>
      <c r="AD105" s="17"/>
      <c r="AE105" s="17" t="s">
        <v>134</v>
      </c>
      <c r="AF105" s="17"/>
      <c r="AG105" s="17" t="s">
        <v>25</v>
      </c>
      <c r="AH105" s="17"/>
      <c r="AI105" s="17" t="s">
        <v>164</v>
      </c>
    </row>
    <row r="106" spans="1:35" x14ac:dyDescent="0.25">
      <c r="A106" s="17">
        <v>181612</v>
      </c>
      <c r="B106" s="17" t="s">
        <v>14</v>
      </c>
      <c r="C106" s="17" t="s">
        <v>11</v>
      </c>
      <c r="D106" s="17">
        <v>292587</v>
      </c>
      <c r="E106" s="17" t="s">
        <v>85</v>
      </c>
      <c r="F106" s="17" t="s">
        <v>88</v>
      </c>
      <c r="G106" s="17" t="s">
        <v>10</v>
      </c>
      <c r="H106" s="17" t="s">
        <v>70</v>
      </c>
      <c r="I106" s="17" t="s">
        <v>61</v>
      </c>
      <c r="J106" s="17" t="s">
        <v>61</v>
      </c>
      <c r="K106" s="17" t="s">
        <v>10</v>
      </c>
      <c r="L106" s="17" t="s">
        <v>41</v>
      </c>
      <c r="M106" s="17" t="s">
        <v>61</v>
      </c>
      <c r="N106" s="17" t="s">
        <v>61</v>
      </c>
      <c r="O106" s="17" t="s">
        <v>13</v>
      </c>
      <c r="P106" s="17">
        <v>60</v>
      </c>
      <c r="Q106" s="17"/>
      <c r="R106" s="17"/>
      <c r="S106" s="17" t="s">
        <v>10</v>
      </c>
      <c r="T106" s="17">
        <v>0.25700000000000001</v>
      </c>
      <c r="U106" s="17">
        <v>0</v>
      </c>
      <c r="V106" s="17"/>
      <c r="W106" s="17" t="s">
        <v>10</v>
      </c>
      <c r="X106" s="17">
        <v>743</v>
      </c>
      <c r="Y106" s="17">
        <v>0</v>
      </c>
      <c r="Z106" s="17"/>
      <c r="AA106" s="17" t="s">
        <v>10</v>
      </c>
      <c r="AB106" s="17">
        <v>0</v>
      </c>
      <c r="AC106" s="17">
        <v>0</v>
      </c>
      <c r="AD106" s="17"/>
      <c r="AE106" s="17" t="s">
        <v>134</v>
      </c>
      <c r="AF106" s="17"/>
      <c r="AG106" s="17" t="s">
        <v>25</v>
      </c>
      <c r="AH106" s="17"/>
      <c r="AI106" s="17"/>
    </row>
    <row r="107" spans="1:35" x14ac:dyDescent="0.25">
      <c r="A107" s="17">
        <v>181628</v>
      </c>
      <c r="B107" s="17" t="s">
        <v>14</v>
      </c>
      <c r="C107" s="17" t="s">
        <v>11</v>
      </c>
      <c r="D107" s="17">
        <v>292587</v>
      </c>
      <c r="E107" s="17" t="s">
        <v>85</v>
      </c>
      <c r="F107" s="17" t="s">
        <v>88</v>
      </c>
      <c r="G107" s="17" t="s">
        <v>10</v>
      </c>
      <c r="H107" s="17" t="s">
        <v>70</v>
      </c>
      <c r="I107" s="17" t="s">
        <v>61</v>
      </c>
      <c r="J107" s="17" t="s">
        <v>61</v>
      </c>
      <c r="K107" s="17" t="s">
        <v>10</v>
      </c>
      <c r="L107" s="17" t="s">
        <v>42</v>
      </c>
      <c r="M107" s="17" t="s">
        <v>61</v>
      </c>
      <c r="N107" s="17" t="s">
        <v>61</v>
      </c>
      <c r="O107" s="17" t="s">
        <v>13</v>
      </c>
      <c r="P107" s="17">
        <v>60</v>
      </c>
      <c r="Q107" s="17"/>
      <c r="R107" s="17"/>
      <c r="S107" s="17" t="s">
        <v>10</v>
      </c>
      <c r="T107" s="17">
        <v>0.25700000000000001</v>
      </c>
      <c r="U107" s="17">
        <v>0</v>
      </c>
      <c r="V107" s="17"/>
      <c r="W107" s="17" t="s">
        <v>10</v>
      </c>
      <c r="X107" s="17">
        <v>743</v>
      </c>
      <c r="Y107" s="17">
        <v>0</v>
      </c>
      <c r="Z107" s="17"/>
      <c r="AA107" s="17" t="s">
        <v>10</v>
      </c>
      <c r="AB107" s="17">
        <v>0</v>
      </c>
      <c r="AC107" s="17">
        <v>0</v>
      </c>
      <c r="AD107" s="17"/>
      <c r="AE107" s="17" t="s">
        <v>134</v>
      </c>
      <c r="AF107" s="17"/>
      <c r="AG107" s="17" t="s">
        <v>25</v>
      </c>
      <c r="AH107" s="17"/>
      <c r="AI107" s="17" t="s">
        <v>164</v>
      </c>
    </row>
    <row r="108" spans="1:35" x14ac:dyDescent="0.25">
      <c r="A108" s="17">
        <v>181612</v>
      </c>
      <c r="B108" s="17" t="s">
        <v>14</v>
      </c>
      <c r="C108" s="17" t="s">
        <v>11</v>
      </c>
      <c r="D108" s="17">
        <v>292589</v>
      </c>
      <c r="E108" s="17" t="s">
        <v>85</v>
      </c>
      <c r="F108" s="17" t="s">
        <v>87</v>
      </c>
      <c r="G108" s="17" t="s">
        <v>10</v>
      </c>
      <c r="H108" s="17" t="s">
        <v>70</v>
      </c>
      <c r="I108" s="17" t="s">
        <v>61</v>
      </c>
      <c r="J108" s="17" t="s">
        <v>61</v>
      </c>
      <c r="K108" s="17" t="s">
        <v>10</v>
      </c>
      <c r="L108" s="17" t="s">
        <v>41</v>
      </c>
      <c r="M108" s="17" t="s">
        <v>61</v>
      </c>
      <c r="N108" s="17" t="s">
        <v>61</v>
      </c>
      <c r="O108" s="17" t="s">
        <v>13</v>
      </c>
      <c r="P108" s="17">
        <v>60</v>
      </c>
      <c r="Q108" s="17"/>
      <c r="R108" s="17"/>
      <c r="S108" s="17" t="s">
        <v>126</v>
      </c>
      <c r="T108" s="17">
        <v>0.41099999999999998</v>
      </c>
      <c r="U108" s="17">
        <v>0</v>
      </c>
      <c r="V108" s="17"/>
      <c r="W108" s="17" t="s">
        <v>126</v>
      </c>
      <c r="X108" s="17">
        <v>367</v>
      </c>
      <c r="Y108" s="17">
        <v>0</v>
      </c>
      <c r="Z108" s="17"/>
      <c r="AA108" s="17" t="s">
        <v>126</v>
      </c>
      <c r="AB108" s="17">
        <v>0</v>
      </c>
      <c r="AC108" s="17">
        <v>0</v>
      </c>
      <c r="AD108" s="17"/>
      <c r="AE108" s="17" t="s">
        <v>134</v>
      </c>
      <c r="AF108" s="17"/>
      <c r="AG108" s="17" t="s">
        <v>25</v>
      </c>
      <c r="AH108" s="17"/>
      <c r="AI108" s="17" t="s">
        <v>164</v>
      </c>
    </row>
    <row r="109" spans="1:35" x14ac:dyDescent="0.25">
      <c r="A109" s="17">
        <v>181613</v>
      </c>
      <c r="B109" s="17" t="s">
        <v>14</v>
      </c>
      <c r="C109" s="17" t="s">
        <v>9</v>
      </c>
      <c r="D109" s="17">
        <v>292593</v>
      </c>
      <c r="E109" s="17" t="s">
        <v>89</v>
      </c>
      <c r="F109" s="17" t="s">
        <v>90</v>
      </c>
      <c r="G109" s="17" t="s">
        <v>12</v>
      </c>
      <c r="H109" s="17" t="s">
        <v>70</v>
      </c>
      <c r="I109" s="17" t="s">
        <v>61</v>
      </c>
      <c r="J109" s="17" t="s">
        <v>61</v>
      </c>
      <c r="K109" s="17" t="s">
        <v>12</v>
      </c>
      <c r="L109" s="17" t="s">
        <v>91</v>
      </c>
      <c r="M109" s="17" t="s">
        <v>61</v>
      </c>
      <c r="N109" s="17" t="s">
        <v>61</v>
      </c>
      <c r="O109" s="17" t="s">
        <v>13</v>
      </c>
      <c r="P109" s="17">
        <v>70</v>
      </c>
      <c r="Q109" s="17"/>
      <c r="R109" s="17"/>
      <c r="S109" s="17" t="s">
        <v>126</v>
      </c>
      <c r="T109" s="17">
        <v>0.41099999999999998</v>
      </c>
      <c r="U109" s="17">
        <v>0</v>
      </c>
      <c r="V109" s="17"/>
      <c r="W109" s="17" t="s">
        <v>126</v>
      </c>
      <c r="X109" s="17">
        <v>367</v>
      </c>
      <c r="Y109" s="17">
        <v>0</v>
      </c>
      <c r="Z109" s="17"/>
      <c r="AA109" s="17" t="s">
        <v>126</v>
      </c>
      <c r="AB109" s="17">
        <v>0</v>
      </c>
      <c r="AC109" s="17">
        <v>0</v>
      </c>
      <c r="AD109" s="17"/>
      <c r="AE109" s="17" t="s">
        <v>134</v>
      </c>
      <c r="AF109" s="17"/>
      <c r="AG109" s="17" t="s">
        <v>25</v>
      </c>
      <c r="AH109" s="17"/>
      <c r="AI109" s="17" t="s">
        <v>164</v>
      </c>
    </row>
    <row r="110" spans="1:35" x14ac:dyDescent="0.25">
      <c r="A110" s="17">
        <v>181613</v>
      </c>
      <c r="B110" s="17" t="s">
        <v>14</v>
      </c>
      <c r="C110" s="17" t="s">
        <v>9</v>
      </c>
      <c r="D110" s="17">
        <v>292593</v>
      </c>
      <c r="E110" s="17" t="s">
        <v>89</v>
      </c>
      <c r="F110" s="17" t="s">
        <v>90</v>
      </c>
      <c r="G110" s="17" t="s">
        <v>12</v>
      </c>
      <c r="H110" s="17" t="s">
        <v>70</v>
      </c>
      <c r="I110" s="17" t="s">
        <v>61</v>
      </c>
      <c r="J110" s="17" t="s">
        <v>61</v>
      </c>
      <c r="K110" s="17" t="s">
        <v>12</v>
      </c>
      <c r="L110" s="17" t="s">
        <v>91</v>
      </c>
      <c r="M110" s="17" t="s">
        <v>61</v>
      </c>
      <c r="N110" s="17" t="s">
        <v>61</v>
      </c>
      <c r="O110" s="17" t="s">
        <v>13</v>
      </c>
      <c r="P110" s="17">
        <v>70</v>
      </c>
      <c r="Q110" s="17"/>
      <c r="R110" s="17"/>
      <c r="S110" s="17" t="s">
        <v>126</v>
      </c>
      <c r="T110" s="17">
        <v>0.41099999999999998</v>
      </c>
      <c r="U110" s="17">
        <v>0</v>
      </c>
      <c r="V110" s="17"/>
      <c r="W110" s="17" t="s">
        <v>126</v>
      </c>
      <c r="X110" s="17">
        <v>367</v>
      </c>
      <c r="Y110" s="17">
        <v>0</v>
      </c>
      <c r="Z110" s="17"/>
      <c r="AA110" s="17" t="s">
        <v>126</v>
      </c>
      <c r="AB110" s="17">
        <v>0</v>
      </c>
      <c r="AC110" s="17">
        <v>0</v>
      </c>
      <c r="AD110" s="17"/>
      <c r="AE110" s="17" t="s">
        <v>134</v>
      </c>
      <c r="AF110" s="17"/>
      <c r="AG110" s="17" t="s">
        <v>25</v>
      </c>
      <c r="AH110" s="17"/>
      <c r="AI110" s="17" t="s">
        <v>164</v>
      </c>
    </row>
    <row r="111" spans="1:35" x14ac:dyDescent="0.25">
      <c r="A111" s="17">
        <v>181625</v>
      </c>
      <c r="B111" s="17" t="s">
        <v>14</v>
      </c>
      <c r="C111" s="17" t="s">
        <v>9</v>
      </c>
      <c r="D111" s="17">
        <v>292593</v>
      </c>
      <c r="E111" s="17" t="s">
        <v>89</v>
      </c>
      <c r="F111" s="17" t="s">
        <v>90</v>
      </c>
      <c r="G111" s="17" t="s">
        <v>12</v>
      </c>
      <c r="H111" s="17" t="s">
        <v>70</v>
      </c>
      <c r="I111" s="17" t="s">
        <v>61</v>
      </c>
      <c r="J111" s="17" t="s">
        <v>61</v>
      </c>
      <c r="K111" s="17" t="s">
        <v>12</v>
      </c>
      <c r="L111" s="17" t="s">
        <v>93</v>
      </c>
      <c r="M111" s="17" t="s">
        <v>61</v>
      </c>
      <c r="N111" s="17" t="s">
        <v>61</v>
      </c>
      <c r="O111" s="17" t="s">
        <v>13</v>
      </c>
      <c r="P111" s="17">
        <v>70</v>
      </c>
      <c r="Q111" s="17"/>
      <c r="R111" s="17"/>
      <c r="S111" s="17" t="s">
        <v>126</v>
      </c>
      <c r="T111" s="17">
        <v>0.32600000000000001</v>
      </c>
      <c r="U111" s="17">
        <v>0</v>
      </c>
      <c r="V111" s="17"/>
      <c r="W111" s="17" t="s">
        <v>126</v>
      </c>
      <c r="X111" s="17">
        <v>2350</v>
      </c>
      <c r="Y111" s="17">
        <v>0</v>
      </c>
      <c r="Z111" s="17"/>
      <c r="AA111" s="17" t="s">
        <v>126</v>
      </c>
      <c r="AB111" s="17">
        <v>0</v>
      </c>
      <c r="AC111" s="17">
        <v>0</v>
      </c>
      <c r="AD111" s="17"/>
      <c r="AE111" s="17" t="s">
        <v>134</v>
      </c>
      <c r="AF111" s="17"/>
      <c r="AG111" s="17" t="s">
        <v>25</v>
      </c>
      <c r="AH111" s="17"/>
      <c r="AI111" s="17" t="s">
        <v>164</v>
      </c>
    </row>
    <row r="112" spans="1:35" x14ac:dyDescent="0.25">
      <c r="A112" s="17">
        <v>181595</v>
      </c>
      <c r="B112" s="17" t="s">
        <v>14</v>
      </c>
      <c r="C112" s="17" t="s">
        <v>9</v>
      </c>
      <c r="D112" s="17">
        <v>267375</v>
      </c>
      <c r="E112" s="17" t="s">
        <v>73</v>
      </c>
      <c r="F112" s="17" t="s">
        <v>74</v>
      </c>
      <c r="G112" s="17" t="s">
        <v>12</v>
      </c>
      <c r="H112" s="17" t="s">
        <v>70</v>
      </c>
      <c r="I112" s="17" t="s">
        <v>61</v>
      </c>
      <c r="J112" s="17" t="s">
        <v>61</v>
      </c>
      <c r="K112" s="17" t="s">
        <v>12</v>
      </c>
      <c r="L112" s="17" t="s">
        <v>33</v>
      </c>
      <c r="M112" s="17" t="s">
        <v>61</v>
      </c>
      <c r="N112" s="17" t="s">
        <v>61</v>
      </c>
      <c r="O112" s="17" t="s">
        <v>13</v>
      </c>
      <c r="P112" s="17">
        <v>70</v>
      </c>
      <c r="Q112" s="17"/>
      <c r="R112" s="17"/>
      <c r="S112" s="17" t="s">
        <v>126</v>
      </c>
      <c r="T112" s="17">
        <v>0.32800000000000001</v>
      </c>
      <c r="U112" s="17">
        <v>0</v>
      </c>
      <c r="V112" s="17"/>
      <c r="W112" s="17" t="s">
        <v>126</v>
      </c>
      <c r="X112" s="17">
        <v>3341</v>
      </c>
      <c r="Y112" s="17">
        <v>3341</v>
      </c>
      <c r="Z112" s="17">
        <v>0</v>
      </c>
      <c r="AA112" s="17" t="s">
        <v>126</v>
      </c>
      <c r="AB112" s="17">
        <v>0</v>
      </c>
      <c r="AC112" s="17">
        <v>0</v>
      </c>
      <c r="AD112" s="17">
        <v>0</v>
      </c>
      <c r="AE112" s="17" t="s">
        <v>133</v>
      </c>
      <c r="AF112" s="17"/>
      <c r="AG112" s="17" t="s">
        <v>25</v>
      </c>
      <c r="AH112" s="17"/>
      <c r="AI112" s="17"/>
    </row>
    <row r="113" spans="1:35" x14ac:dyDescent="0.25">
      <c r="A113" s="17">
        <v>181624</v>
      </c>
      <c r="B113" s="17" t="s">
        <v>14</v>
      </c>
      <c r="C113" s="17" t="s">
        <v>9</v>
      </c>
      <c r="D113" s="17">
        <v>267375</v>
      </c>
      <c r="E113" s="17" t="s">
        <v>73</v>
      </c>
      <c r="F113" s="17" t="s">
        <v>74</v>
      </c>
      <c r="G113" s="17" t="s">
        <v>12</v>
      </c>
      <c r="H113" s="17" t="s">
        <v>70</v>
      </c>
      <c r="I113" s="17" t="s">
        <v>61</v>
      </c>
      <c r="J113" s="17" t="s">
        <v>61</v>
      </c>
      <c r="K113" s="17" t="s">
        <v>12</v>
      </c>
      <c r="L113" s="17" t="s">
        <v>92</v>
      </c>
      <c r="M113" s="17" t="s">
        <v>61</v>
      </c>
      <c r="N113" s="17" t="s">
        <v>61</v>
      </c>
      <c r="O113" s="17" t="s">
        <v>13</v>
      </c>
      <c r="P113" s="17">
        <v>70</v>
      </c>
      <c r="Q113" s="17"/>
      <c r="R113" s="17"/>
      <c r="S113" s="17" t="s">
        <v>126</v>
      </c>
      <c r="T113" s="17">
        <v>0.41099999999999998</v>
      </c>
      <c r="U113" s="17">
        <v>0</v>
      </c>
      <c r="V113" s="17"/>
      <c r="W113" s="17" t="s">
        <v>126</v>
      </c>
      <c r="X113" s="17">
        <v>367</v>
      </c>
      <c r="Y113" s="17">
        <v>0</v>
      </c>
      <c r="Z113" s="17"/>
      <c r="AA113" s="17" t="s">
        <v>126</v>
      </c>
      <c r="AB113" s="17">
        <v>0</v>
      </c>
      <c r="AC113" s="17">
        <v>0</v>
      </c>
      <c r="AD113" s="17"/>
      <c r="AE113" s="17" t="s">
        <v>134</v>
      </c>
      <c r="AF113" s="17"/>
      <c r="AG113" s="17" t="s">
        <v>25</v>
      </c>
      <c r="AH113" s="17"/>
      <c r="AI113" s="17" t="s">
        <v>164</v>
      </c>
    </row>
    <row r="114" spans="1:35" x14ac:dyDescent="0.25">
      <c r="A114" s="17">
        <v>181595</v>
      </c>
      <c r="B114" s="17" t="s">
        <v>14</v>
      </c>
      <c r="C114" s="17" t="s">
        <v>9</v>
      </c>
      <c r="D114" s="17">
        <v>267379</v>
      </c>
      <c r="E114" s="17" t="s">
        <v>73</v>
      </c>
      <c r="F114" s="17" t="s">
        <v>114</v>
      </c>
      <c r="G114" s="17" t="s">
        <v>12</v>
      </c>
      <c r="H114" s="17" t="s">
        <v>70</v>
      </c>
      <c r="I114" s="17" t="s">
        <v>61</v>
      </c>
      <c r="J114" s="17" t="s">
        <v>61</v>
      </c>
      <c r="K114" s="17" t="s">
        <v>12</v>
      </c>
      <c r="L114" s="17" t="s">
        <v>33</v>
      </c>
      <c r="M114" s="17" t="s">
        <v>61</v>
      </c>
      <c r="N114" s="17" t="s">
        <v>61</v>
      </c>
      <c r="O114" s="17" t="s">
        <v>13</v>
      </c>
      <c r="P114" s="17">
        <v>70</v>
      </c>
      <c r="Q114" s="17"/>
      <c r="R114" s="17"/>
      <c r="S114" s="17" t="s">
        <v>126</v>
      </c>
      <c r="T114" s="17">
        <v>0.41099999999999998</v>
      </c>
      <c r="U114" s="17">
        <v>0</v>
      </c>
      <c r="V114" s="17"/>
      <c r="W114" s="17" t="s">
        <v>126</v>
      </c>
      <c r="X114" s="17">
        <v>367</v>
      </c>
      <c r="Y114" s="17">
        <v>0</v>
      </c>
      <c r="Z114" s="17"/>
      <c r="AA114" s="17" t="s">
        <v>126</v>
      </c>
      <c r="AB114" s="17">
        <v>0</v>
      </c>
      <c r="AC114" s="17">
        <v>0</v>
      </c>
      <c r="AD114" s="17"/>
      <c r="AE114" s="17" t="s">
        <v>134</v>
      </c>
      <c r="AF114" s="17"/>
      <c r="AG114" s="17" t="s">
        <v>25</v>
      </c>
      <c r="AH114" s="17"/>
      <c r="AI114" s="17" t="s">
        <v>164</v>
      </c>
    </row>
    <row r="115" spans="1:35" x14ac:dyDescent="0.25">
      <c r="A115" s="17">
        <v>181595</v>
      </c>
      <c r="B115" s="17" t="s">
        <v>14</v>
      </c>
      <c r="C115" s="17" t="s">
        <v>9</v>
      </c>
      <c r="D115" s="17">
        <v>267376</v>
      </c>
      <c r="E115" s="17" t="s">
        <v>73</v>
      </c>
      <c r="F115" s="17" t="s">
        <v>113</v>
      </c>
      <c r="G115" s="17" t="s">
        <v>12</v>
      </c>
      <c r="H115" s="17" t="s">
        <v>70</v>
      </c>
      <c r="I115" s="17" t="s">
        <v>61</v>
      </c>
      <c r="J115" s="17" t="s">
        <v>61</v>
      </c>
      <c r="K115" s="17" t="s">
        <v>12</v>
      </c>
      <c r="L115" s="17" t="s">
        <v>33</v>
      </c>
      <c r="M115" s="17" t="s">
        <v>61</v>
      </c>
      <c r="N115" s="17" t="s">
        <v>61</v>
      </c>
      <c r="O115" s="17" t="s">
        <v>13</v>
      </c>
      <c r="P115" s="17">
        <v>70</v>
      </c>
      <c r="Q115" s="17"/>
      <c r="R115" s="17"/>
      <c r="S115" s="17" t="s">
        <v>126</v>
      </c>
      <c r="T115" s="17">
        <v>0.41099999999999998</v>
      </c>
      <c r="U115" s="17">
        <v>0</v>
      </c>
      <c r="V115" s="17"/>
      <c r="W115" s="17" t="s">
        <v>126</v>
      </c>
      <c r="X115" s="17">
        <v>367</v>
      </c>
      <c r="Y115" s="17">
        <v>0</v>
      </c>
      <c r="Z115" s="17"/>
      <c r="AA115" s="17" t="s">
        <v>126</v>
      </c>
      <c r="AB115" s="17">
        <v>0</v>
      </c>
      <c r="AC115" s="17">
        <v>0</v>
      </c>
      <c r="AD115" s="17"/>
      <c r="AE115" s="17" t="s">
        <v>134</v>
      </c>
      <c r="AF115" s="17"/>
      <c r="AG115" s="17" t="s">
        <v>25</v>
      </c>
      <c r="AH115" s="17"/>
      <c r="AI115" s="17" t="s">
        <v>164</v>
      </c>
    </row>
    <row r="116" spans="1:35" x14ac:dyDescent="0.25">
      <c r="A116" s="17">
        <v>181595</v>
      </c>
      <c r="B116" s="17" t="s">
        <v>14</v>
      </c>
      <c r="C116" s="17" t="s">
        <v>9</v>
      </c>
      <c r="D116" s="17">
        <v>282190</v>
      </c>
      <c r="E116" s="17" t="s">
        <v>73</v>
      </c>
      <c r="F116" s="17" t="s">
        <v>112</v>
      </c>
      <c r="G116" s="17" t="s">
        <v>12</v>
      </c>
      <c r="H116" s="17" t="s">
        <v>70</v>
      </c>
      <c r="I116" s="17" t="s">
        <v>61</v>
      </c>
      <c r="J116" s="17" t="s">
        <v>61</v>
      </c>
      <c r="K116" s="17" t="s">
        <v>12</v>
      </c>
      <c r="L116" s="17" t="s">
        <v>33</v>
      </c>
      <c r="M116" s="17" t="s">
        <v>61</v>
      </c>
      <c r="N116" s="17" t="s">
        <v>61</v>
      </c>
      <c r="O116" s="17" t="s">
        <v>13</v>
      </c>
      <c r="P116" s="17">
        <v>70</v>
      </c>
      <c r="Q116" s="17"/>
      <c r="R116" s="17"/>
      <c r="S116" s="17" t="s">
        <v>126</v>
      </c>
      <c r="T116" s="17">
        <v>0.34799999999999998</v>
      </c>
      <c r="U116" s="17">
        <v>0</v>
      </c>
      <c r="V116" s="17"/>
      <c r="W116" s="17" t="s">
        <v>126</v>
      </c>
      <c r="X116" s="17">
        <v>1060</v>
      </c>
      <c r="Y116" s="17">
        <v>1060</v>
      </c>
      <c r="Z116" s="17">
        <v>0</v>
      </c>
      <c r="AA116" s="17" t="s">
        <v>126</v>
      </c>
      <c r="AB116" s="17">
        <v>0</v>
      </c>
      <c r="AC116" s="17">
        <v>0</v>
      </c>
      <c r="AD116" s="17">
        <v>0</v>
      </c>
      <c r="AE116" s="17" t="s">
        <v>133</v>
      </c>
      <c r="AF116" s="17"/>
      <c r="AG116" s="17" t="s">
        <v>25</v>
      </c>
      <c r="AH116" s="17"/>
      <c r="AI116" s="17"/>
    </row>
    <row r="117" spans="1:35" x14ac:dyDescent="0.25">
      <c r="A117" s="17">
        <v>181598</v>
      </c>
      <c r="B117" s="17" t="s">
        <v>14</v>
      </c>
      <c r="C117" s="17" t="s">
        <v>9</v>
      </c>
      <c r="D117" s="17">
        <v>292732</v>
      </c>
      <c r="E117" s="17" t="s">
        <v>50</v>
      </c>
      <c r="F117" s="17" t="s">
        <v>77</v>
      </c>
      <c r="G117" s="17" t="s">
        <v>12</v>
      </c>
      <c r="H117" s="17" t="s">
        <v>70</v>
      </c>
      <c r="I117" s="17" t="s">
        <v>61</v>
      </c>
      <c r="J117" s="17" t="s">
        <v>61</v>
      </c>
      <c r="K117" s="17" t="s">
        <v>12</v>
      </c>
      <c r="L117" s="17" t="s">
        <v>65</v>
      </c>
      <c r="M117" s="17" t="s">
        <v>61</v>
      </c>
      <c r="N117" s="17" t="s">
        <v>61</v>
      </c>
      <c r="O117" s="17" t="s">
        <v>13</v>
      </c>
      <c r="P117" s="17">
        <v>58</v>
      </c>
      <c r="Q117" s="17"/>
      <c r="R117" s="17"/>
      <c r="S117" s="17" t="s">
        <v>126</v>
      </c>
      <c r="T117" s="17">
        <v>0.34799999999999998</v>
      </c>
      <c r="U117" s="17">
        <v>0</v>
      </c>
      <c r="V117" s="17"/>
      <c r="W117" s="17" t="s">
        <v>126</v>
      </c>
      <c r="X117" s="17">
        <v>1101</v>
      </c>
      <c r="Y117" s="17">
        <v>1101</v>
      </c>
      <c r="Z117" s="17">
        <v>0</v>
      </c>
      <c r="AA117" s="17" t="s">
        <v>126</v>
      </c>
      <c r="AB117" s="17">
        <v>0</v>
      </c>
      <c r="AC117" s="17">
        <v>0</v>
      </c>
      <c r="AD117" s="17">
        <v>0</v>
      </c>
      <c r="AE117" s="17" t="s">
        <v>133</v>
      </c>
      <c r="AF117" s="17"/>
      <c r="AG117" s="17" t="s">
        <v>25</v>
      </c>
      <c r="AH117" s="17"/>
      <c r="AI117" s="17"/>
    </row>
    <row r="118" spans="1:35" x14ac:dyDescent="0.25">
      <c r="A118" s="17">
        <v>181596</v>
      </c>
      <c r="B118" s="17" t="s">
        <v>14</v>
      </c>
      <c r="C118" s="17" t="s">
        <v>9</v>
      </c>
      <c r="D118" s="17">
        <v>295034</v>
      </c>
      <c r="E118" s="17" t="s">
        <v>50</v>
      </c>
      <c r="F118" s="17" t="s">
        <v>75</v>
      </c>
      <c r="G118" s="17" t="s">
        <v>12</v>
      </c>
      <c r="H118" s="17" t="s">
        <v>70</v>
      </c>
      <c r="I118" s="17" t="s">
        <v>61</v>
      </c>
      <c r="J118" s="17" t="s">
        <v>61</v>
      </c>
      <c r="K118" s="17" t="s">
        <v>12</v>
      </c>
      <c r="L118" s="17" t="s">
        <v>65</v>
      </c>
      <c r="M118" s="17" t="s">
        <v>61</v>
      </c>
      <c r="N118" s="17" t="s">
        <v>61</v>
      </c>
      <c r="O118" s="17" t="s">
        <v>13</v>
      </c>
      <c r="P118" s="17">
        <v>0</v>
      </c>
      <c r="Q118" s="17"/>
      <c r="R118" s="17"/>
      <c r="S118" s="17" t="s">
        <v>126</v>
      </c>
      <c r="T118" s="17">
        <v>0.34799999999999998</v>
      </c>
      <c r="U118" s="17">
        <v>0</v>
      </c>
      <c r="V118" s="17"/>
      <c r="W118" s="17" t="s">
        <v>126</v>
      </c>
      <c r="X118" s="17">
        <v>1060</v>
      </c>
      <c r="Y118" s="17">
        <v>1060</v>
      </c>
      <c r="Z118" s="17">
        <v>0</v>
      </c>
      <c r="AA118" s="17" t="s">
        <v>126</v>
      </c>
      <c r="AB118" s="17">
        <v>0</v>
      </c>
      <c r="AC118" s="17">
        <v>0</v>
      </c>
      <c r="AD118" s="17">
        <v>0</v>
      </c>
      <c r="AE118" s="17" t="s">
        <v>133</v>
      </c>
      <c r="AF118" s="17"/>
      <c r="AG118" s="17" t="s">
        <v>25</v>
      </c>
      <c r="AH118" s="17"/>
      <c r="AI118" s="17"/>
    </row>
    <row r="119" spans="1:35" x14ac:dyDescent="0.25">
      <c r="A119" s="17">
        <v>181599</v>
      </c>
      <c r="B119" s="17" t="s">
        <v>14</v>
      </c>
      <c r="C119" s="17" t="s">
        <v>9</v>
      </c>
      <c r="D119" s="17">
        <v>292733</v>
      </c>
      <c r="E119" s="17" t="s">
        <v>50</v>
      </c>
      <c r="F119" s="17" t="s">
        <v>78</v>
      </c>
      <c r="G119" s="17" t="s">
        <v>12</v>
      </c>
      <c r="H119" s="17" t="s">
        <v>70</v>
      </c>
      <c r="I119" s="17" t="s">
        <v>61</v>
      </c>
      <c r="J119" s="17" t="s">
        <v>61</v>
      </c>
      <c r="K119" s="17" t="s">
        <v>12</v>
      </c>
      <c r="L119" s="17" t="s">
        <v>38</v>
      </c>
      <c r="M119" s="17" t="s">
        <v>61</v>
      </c>
      <c r="N119" s="17" t="s">
        <v>61</v>
      </c>
      <c r="O119" s="17" t="s">
        <v>13</v>
      </c>
      <c r="P119" s="17">
        <v>58</v>
      </c>
      <c r="Q119" s="17">
        <v>58</v>
      </c>
      <c r="R119" s="17">
        <v>0</v>
      </c>
      <c r="S119" s="17" t="s">
        <v>126</v>
      </c>
      <c r="T119" s="17">
        <v>0.33</v>
      </c>
      <c r="U119" s="17">
        <v>0.3135</v>
      </c>
      <c r="V119" s="17">
        <v>-5</v>
      </c>
      <c r="W119" s="17" t="s">
        <v>126</v>
      </c>
      <c r="X119" s="17">
        <v>1006</v>
      </c>
      <c r="Y119" s="17">
        <v>1006</v>
      </c>
      <c r="Z119" s="17">
        <v>0</v>
      </c>
      <c r="AA119" s="17" t="s">
        <v>126</v>
      </c>
      <c r="AB119" s="17">
        <v>0</v>
      </c>
      <c r="AC119" s="17">
        <v>22.7</v>
      </c>
      <c r="AD119" s="17">
        <v>6.84</v>
      </c>
      <c r="AE119" s="17" t="s">
        <v>133</v>
      </c>
      <c r="AF119" s="17"/>
      <c r="AG119" s="17" t="s">
        <v>25</v>
      </c>
      <c r="AH119" s="17"/>
      <c r="AI119" s="17"/>
    </row>
    <row r="120" spans="1:35" x14ac:dyDescent="0.25">
      <c r="A120" s="17">
        <v>181600</v>
      </c>
      <c r="B120" s="17" t="s">
        <v>14</v>
      </c>
      <c r="C120" s="17" t="s">
        <v>9</v>
      </c>
      <c r="D120" s="17">
        <v>292734</v>
      </c>
      <c r="E120" s="17" t="s">
        <v>50</v>
      </c>
      <c r="F120" s="17" t="s">
        <v>79</v>
      </c>
      <c r="G120" s="17" t="s">
        <v>12</v>
      </c>
      <c r="H120" s="17" t="s">
        <v>70</v>
      </c>
      <c r="I120" s="17" t="s">
        <v>61</v>
      </c>
      <c r="J120" s="17" t="s">
        <v>61</v>
      </c>
      <c r="K120" s="17" t="s">
        <v>12</v>
      </c>
      <c r="L120" s="17" t="s">
        <v>38</v>
      </c>
      <c r="M120" s="17" t="s">
        <v>61</v>
      </c>
      <c r="N120" s="17" t="s">
        <v>61</v>
      </c>
      <c r="O120" s="17" t="s">
        <v>13</v>
      </c>
      <c r="P120" s="17">
        <v>58</v>
      </c>
      <c r="Q120" s="17">
        <v>58</v>
      </c>
      <c r="R120" s="17">
        <v>0</v>
      </c>
      <c r="S120" s="17" t="s">
        <v>126</v>
      </c>
      <c r="T120" s="17">
        <v>0.33</v>
      </c>
      <c r="U120" s="17">
        <v>0.34010000000000001</v>
      </c>
      <c r="V120" s="17">
        <v>3.06</v>
      </c>
      <c r="W120" s="17" t="s">
        <v>126</v>
      </c>
      <c r="X120" s="17">
        <v>1006</v>
      </c>
      <c r="Y120" s="17">
        <v>1006</v>
      </c>
      <c r="Z120" s="17">
        <v>0</v>
      </c>
      <c r="AA120" s="17" t="s">
        <v>126</v>
      </c>
      <c r="AB120" s="17">
        <v>0</v>
      </c>
      <c r="AC120" s="17">
        <v>27.8</v>
      </c>
      <c r="AD120" s="17">
        <v>8.3699999999999992</v>
      </c>
      <c r="AE120" s="17" t="s">
        <v>133</v>
      </c>
      <c r="AF120" s="17"/>
      <c r="AG120" s="17" t="s">
        <v>25</v>
      </c>
      <c r="AH120" s="17"/>
      <c r="AI120" s="17"/>
    </row>
    <row r="121" spans="1:35" x14ac:dyDescent="0.25">
      <c r="A121" s="17">
        <v>181594</v>
      </c>
      <c r="B121" s="17" t="s">
        <v>14</v>
      </c>
      <c r="C121" s="17" t="s">
        <v>9</v>
      </c>
      <c r="D121" s="17">
        <v>295033</v>
      </c>
      <c r="E121" s="17" t="s">
        <v>50</v>
      </c>
      <c r="F121" s="17" t="s">
        <v>111</v>
      </c>
      <c r="G121" s="17" t="s">
        <v>12</v>
      </c>
      <c r="H121" s="17" t="s">
        <v>70</v>
      </c>
      <c r="I121" s="17" t="s">
        <v>61</v>
      </c>
      <c r="J121" s="17" t="s">
        <v>61</v>
      </c>
      <c r="K121" s="17" t="s">
        <v>12</v>
      </c>
      <c r="L121" s="17" t="s">
        <v>34</v>
      </c>
      <c r="M121" s="17" t="s">
        <v>61</v>
      </c>
      <c r="N121" s="17" t="s">
        <v>61</v>
      </c>
      <c r="O121" s="17" t="s">
        <v>13</v>
      </c>
      <c r="P121" s="17">
        <v>0</v>
      </c>
      <c r="Q121" s="17">
        <v>58</v>
      </c>
      <c r="R121" s="17">
        <v>0</v>
      </c>
      <c r="S121" s="17" t="s">
        <v>126</v>
      </c>
      <c r="T121" s="17">
        <v>0.33</v>
      </c>
      <c r="U121" s="17">
        <v>0.34010000000000001</v>
      </c>
      <c r="V121" s="17">
        <v>3.06</v>
      </c>
      <c r="W121" s="17" t="s">
        <v>126</v>
      </c>
      <c r="X121" s="17">
        <v>1006</v>
      </c>
      <c r="Y121" s="17">
        <v>1006</v>
      </c>
      <c r="Z121" s="17">
        <v>0</v>
      </c>
      <c r="AA121" s="17" t="s">
        <v>126</v>
      </c>
      <c r="AB121" s="17">
        <v>0</v>
      </c>
      <c r="AC121" s="17">
        <v>17.2</v>
      </c>
      <c r="AD121" s="17">
        <v>5.18</v>
      </c>
      <c r="AE121" s="17" t="s">
        <v>133</v>
      </c>
      <c r="AF121" s="17"/>
      <c r="AG121" s="17" t="s">
        <v>25</v>
      </c>
      <c r="AH121" s="17"/>
      <c r="AI121" s="17"/>
    </row>
    <row r="122" spans="1:35" x14ac:dyDescent="0.25">
      <c r="A122" s="17">
        <v>181597</v>
      </c>
      <c r="B122" s="17" t="s">
        <v>14</v>
      </c>
      <c r="C122" s="17" t="s">
        <v>9</v>
      </c>
      <c r="D122" s="17">
        <v>292731</v>
      </c>
      <c r="E122" s="17" t="s">
        <v>50</v>
      </c>
      <c r="F122" s="17" t="s">
        <v>76</v>
      </c>
      <c r="G122" s="17" t="s">
        <v>12</v>
      </c>
      <c r="H122" s="17" t="s">
        <v>70</v>
      </c>
      <c r="I122" s="17" t="s">
        <v>61</v>
      </c>
      <c r="J122" s="17" t="s">
        <v>61</v>
      </c>
      <c r="K122" s="17" t="s">
        <v>12</v>
      </c>
      <c r="L122" s="17" t="s">
        <v>65</v>
      </c>
      <c r="M122" s="17" t="s">
        <v>61</v>
      </c>
      <c r="N122" s="17" t="s">
        <v>61</v>
      </c>
      <c r="O122" s="17" t="s">
        <v>13</v>
      </c>
      <c r="P122" s="17">
        <v>58</v>
      </c>
      <c r="Q122" s="17"/>
      <c r="R122" s="17"/>
      <c r="S122" s="17" t="s">
        <v>126</v>
      </c>
      <c r="T122" s="17">
        <v>0.41099999999999998</v>
      </c>
      <c r="U122" s="17">
        <v>0</v>
      </c>
      <c r="V122" s="17"/>
      <c r="W122" s="17" t="s">
        <v>126</v>
      </c>
      <c r="X122" s="17">
        <v>7066</v>
      </c>
      <c r="Y122" s="17">
        <v>7066</v>
      </c>
      <c r="Z122" s="17">
        <v>0</v>
      </c>
      <c r="AA122" s="17" t="s">
        <v>126</v>
      </c>
      <c r="AB122" s="17">
        <v>0</v>
      </c>
      <c r="AC122" s="17">
        <v>0</v>
      </c>
      <c r="AD122" s="17">
        <v>0</v>
      </c>
      <c r="AE122" s="17" t="s">
        <v>133</v>
      </c>
      <c r="AF122" s="17"/>
      <c r="AG122" s="17" t="s">
        <v>25</v>
      </c>
      <c r="AH122" s="17"/>
      <c r="AI122" s="17"/>
    </row>
    <row r="123" spans="1:35" x14ac:dyDescent="0.25">
      <c r="A123" s="17">
        <v>181593</v>
      </c>
      <c r="B123" s="17" t="s">
        <v>14</v>
      </c>
      <c r="C123" s="17" t="s">
        <v>9</v>
      </c>
      <c r="D123" s="17">
        <v>294352</v>
      </c>
      <c r="E123" s="17" t="s">
        <v>50</v>
      </c>
      <c r="F123" s="17" t="s">
        <v>110</v>
      </c>
      <c r="G123" s="17" t="s">
        <v>12</v>
      </c>
      <c r="H123" s="17" t="s">
        <v>70</v>
      </c>
      <c r="I123" s="17" t="s">
        <v>61</v>
      </c>
      <c r="J123" s="17" t="s">
        <v>61</v>
      </c>
      <c r="K123" s="17" t="s">
        <v>12</v>
      </c>
      <c r="L123" s="17" t="s">
        <v>45</v>
      </c>
      <c r="M123" s="17" t="s">
        <v>61</v>
      </c>
      <c r="N123" s="17" t="s">
        <v>61</v>
      </c>
      <c r="O123" s="17" t="s">
        <v>13</v>
      </c>
      <c r="P123" s="17">
        <v>58</v>
      </c>
      <c r="Q123" s="17"/>
      <c r="R123" s="17"/>
      <c r="S123" s="17" t="s">
        <v>126</v>
      </c>
      <c r="T123" s="17">
        <v>0.33400000000000002</v>
      </c>
      <c r="U123" s="17">
        <v>0</v>
      </c>
      <c r="V123" s="17"/>
      <c r="W123" s="17" t="s">
        <v>126</v>
      </c>
      <c r="X123" s="17">
        <v>3135</v>
      </c>
      <c r="Y123" s="17">
        <v>3135</v>
      </c>
      <c r="Z123" s="17">
        <v>0</v>
      </c>
      <c r="AA123" s="17" t="s">
        <v>126</v>
      </c>
      <c r="AB123" s="17">
        <v>0</v>
      </c>
      <c r="AC123" s="17">
        <v>0</v>
      </c>
      <c r="AD123" s="17">
        <v>0</v>
      </c>
      <c r="AE123" s="17" t="s">
        <v>133</v>
      </c>
      <c r="AF123" s="17"/>
      <c r="AG123" s="17" t="s">
        <v>25</v>
      </c>
      <c r="AH123" s="17"/>
      <c r="AI123" s="17"/>
    </row>
  </sheetData>
  <autoFilter ref="A2:AI2" xr:uid="{CBEADD1C-196B-40AE-BA98-0F616B800F5B}"/>
  <sortState xmlns:xlrd2="http://schemas.microsoft.com/office/spreadsheetml/2017/richdata2" ref="A3:P123">
    <sortCondition ref="F3:F12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01B49-D642-4D23-9170-09D03DA694A8}">
  <sheetPr codeName="Sheet26"/>
  <dimension ref="A1:BI111"/>
  <sheetViews>
    <sheetView workbookViewId="0">
      <selection activeCell="AB1" sqref="AB1:AJ1048576"/>
    </sheetView>
  </sheetViews>
  <sheetFormatPr defaultColWidth="12.7109375" defaultRowHeight="15" x14ac:dyDescent="0.25"/>
  <cols>
    <col min="1" max="1" width="7" style="9" bestFit="1" customWidth="1"/>
    <col min="2" max="2" width="7.7109375" style="9" bestFit="1" customWidth="1"/>
    <col min="3" max="3" width="8.42578125" style="9" bestFit="1" customWidth="1"/>
    <col min="4" max="4" width="7" style="9" bestFit="1" customWidth="1"/>
    <col min="5" max="5" width="24.140625" style="9" bestFit="1" customWidth="1"/>
    <col min="6" max="6" width="9.7109375" style="9" bestFit="1" customWidth="1"/>
    <col min="7" max="7" width="8" style="9" bestFit="1" customWidth="1"/>
    <col min="8" max="8" width="12" style="9" bestFit="1" customWidth="1"/>
    <col min="9" max="9" width="12.7109375" style="9"/>
    <col min="10" max="10" width="7" style="9" bestFit="1" customWidth="1"/>
    <col min="11" max="11" width="9.5703125" style="9" bestFit="1" customWidth="1"/>
    <col min="12" max="12" width="8.42578125" style="9" bestFit="1" customWidth="1"/>
    <col min="13" max="13" width="7" style="9" bestFit="1" customWidth="1"/>
    <col min="14" max="14" width="24.140625" style="9" bestFit="1" customWidth="1"/>
    <col min="15" max="15" width="9.7109375" style="9" bestFit="1" customWidth="1"/>
    <col min="16" max="16" width="8" style="9" bestFit="1" customWidth="1"/>
    <col min="17" max="17" width="12" style="9" bestFit="1" customWidth="1"/>
    <col min="18" max="18" width="12.7109375" style="9"/>
    <col min="19" max="19" width="7" style="9" bestFit="1" customWidth="1"/>
    <col min="20" max="20" width="9.5703125" style="9" bestFit="1" customWidth="1"/>
    <col min="21" max="21" width="8.42578125" style="9" bestFit="1" customWidth="1"/>
    <col min="22" max="22" width="7" style="9" bestFit="1" customWidth="1"/>
    <col min="23" max="23" width="8.7109375" style="9" bestFit="1" customWidth="1"/>
    <col min="24" max="24" width="5.7109375" style="9" bestFit="1" customWidth="1"/>
    <col min="25" max="25" width="8" style="9" bestFit="1" customWidth="1"/>
    <col min="26" max="26" width="6.28515625" style="9" bestFit="1" customWidth="1"/>
    <col min="27" max="27" width="30.42578125" style="9" bestFit="1" customWidth="1"/>
    <col min="28" max="36" width="30.42578125" style="10" customWidth="1"/>
    <col min="37" max="37" width="12.7109375" style="9"/>
    <col min="38" max="38" width="7" style="9" bestFit="1" customWidth="1"/>
    <col min="39" max="39" width="9.5703125" style="9" bestFit="1" customWidth="1"/>
    <col min="40" max="40" width="8.42578125" style="9" bestFit="1" customWidth="1"/>
    <col min="41" max="41" width="7" style="9" bestFit="1" customWidth="1"/>
    <col min="42" max="42" width="24.140625" style="9" bestFit="1" customWidth="1"/>
    <col min="43" max="43" width="6" style="9" bestFit="1" customWidth="1"/>
    <col min="44" max="44" width="8" style="9" bestFit="1" customWidth="1"/>
    <col min="45" max="45" width="6.28515625" style="9" bestFit="1" customWidth="1"/>
    <col min="46" max="46" width="12.7109375" style="9"/>
    <col min="47" max="47" width="7" style="9" bestFit="1" customWidth="1"/>
    <col min="48" max="48" width="9.5703125" style="9" bestFit="1" customWidth="1"/>
    <col min="49" max="49" width="8.42578125" style="9" bestFit="1" customWidth="1"/>
    <col min="50" max="50" width="7" style="9" bestFit="1" customWidth="1"/>
    <col min="51" max="51" width="24.140625" style="9" bestFit="1" customWidth="1"/>
    <col min="52" max="52" width="6.7109375" style="9" bestFit="1" customWidth="1"/>
    <col min="53" max="53" width="11.28515625" style="9" bestFit="1" customWidth="1"/>
    <col min="54" max="54" width="12.7109375" style="9"/>
    <col min="55" max="55" width="7" style="9" bestFit="1" customWidth="1"/>
    <col min="56" max="56" width="7.7109375" style="9" bestFit="1" customWidth="1"/>
    <col min="57" max="57" width="8.42578125" style="9" bestFit="1" customWidth="1"/>
    <col min="58" max="58" width="7" style="9" bestFit="1" customWidth="1"/>
    <col min="59" max="59" width="24.140625" style="9" bestFit="1" customWidth="1"/>
    <col min="60" max="60" width="6.28515625" style="9" bestFit="1" customWidth="1"/>
    <col min="61" max="61" width="11.28515625" style="9" bestFit="1" customWidth="1"/>
    <col min="62" max="16384" width="12.7109375" style="9"/>
  </cols>
  <sheetData>
    <row r="1" spans="1:61" s="11" customFormat="1" x14ac:dyDescent="0.25">
      <c r="A1" s="23" t="s">
        <v>54</v>
      </c>
      <c r="B1" s="23"/>
      <c r="C1" s="23"/>
      <c r="D1" s="23"/>
      <c r="E1" s="23"/>
      <c r="F1" s="23"/>
      <c r="G1" s="23"/>
      <c r="H1" s="23"/>
      <c r="J1" s="23" t="s">
        <v>55</v>
      </c>
      <c r="K1" s="23"/>
      <c r="L1" s="23"/>
      <c r="M1" s="23"/>
      <c r="N1" s="23"/>
      <c r="O1" s="23"/>
      <c r="P1" s="23"/>
      <c r="Q1" s="23"/>
      <c r="S1" s="23" t="s">
        <v>56</v>
      </c>
      <c r="T1" s="23"/>
      <c r="U1" s="23"/>
      <c r="V1" s="23"/>
      <c r="W1" s="23"/>
      <c r="X1" s="23"/>
      <c r="Y1" s="23"/>
      <c r="Z1" s="23"/>
      <c r="AA1" s="23"/>
      <c r="AB1" s="13"/>
      <c r="AC1" s="13"/>
      <c r="AD1" s="13"/>
      <c r="AE1" s="13"/>
      <c r="AF1" s="13"/>
      <c r="AG1" s="13"/>
      <c r="AH1" s="13"/>
      <c r="AI1" s="13"/>
      <c r="AJ1" s="13"/>
      <c r="AL1" s="23" t="s">
        <v>57</v>
      </c>
      <c r="AM1" s="23"/>
      <c r="AN1" s="23"/>
      <c r="AO1" s="23"/>
      <c r="AP1" s="23"/>
      <c r="AQ1" s="23"/>
      <c r="AR1" s="23"/>
      <c r="AS1" s="23"/>
      <c r="AU1" s="23" t="s">
        <v>58</v>
      </c>
      <c r="AV1" s="23"/>
      <c r="AW1" s="23"/>
      <c r="AX1" s="23"/>
      <c r="AY1" s="23"/>
      <c r="AZ1" s="23"/>
      <c r="BA1" s="23"/>
      <c r="BC1" s="23" t="s">
        <v>53</v>
      </c>
      <c r="BD1" s="23"/>
      <c r="BE1" s="23"/>
      <c r="BF1" s="23"/>
      <c r="BG1" s="23"/>
      <c r="BH1" s="23"/>
      <c r="BI1" s="23"/>
    </row>
    <row r="2" spans="1:61" s="12" customFormat="1" x14ac:dyDescent="0.25">
      <c r="A2" s="16" t="s">
        <v>7</v>
      </c>
      <c r="B2" s="16" t="s">
        <v>17</v>
      </c>
      <c r="C2" s="16" t="s">
        <v>18</v>
      </c>
      <c r="D2" s="16" t="s">
        <v>19</v>
      </c>
      <c r="E2" s="16" t="s">
        <v>8</v>
      </c>
      <c r="F2" s="16" t="s">
        <v>20</v>
      </c>
      <c r="G2" s="16" t="s">
        <v>21</v>
      </c>
      <c r="H2" s="16" t="s">
        <v>59</v>
      </c>
      <c r="J2" s="16" t="s">
        <v>7</v>
      </c>
      <c r="K2" s="16" t="s">
        <v>17</v>
      </c>
      <c r="L2" s="16" t="s">
        <v>18</v>
      </c>
      <c r="M2" s="16" t="s">
        <v>19</v>
      </c>
      <c r="N2" s="16" t="s">
        <v>8</v>
      </c>
      <c r="O2" s="16" t="s">
        <v>20</v>
      </c>
      <c r="P2" s="16" t="s">
        <v>21</v>
      </c>
      <c r="Q2" s="16" t="s">
        <v>59</v>
      </c>
      <c r="S2" s="16" t="s">
        <v>7</v>
      </c>
      <c r="T2" s="16" t="s">
        <v>17</v>
      </c>
      <c r="U2" s="16" t="s">
        <v>18</v>
      </c>
      <c r="V2" s="16" t="s">
        <v>19</v>
      </c>
      <c r="W2" s="16" t="s">
        <v>8</v>
      </c>
      <c r="X2" s="16" t="s">
        <v>20</v>
      </c>
      <c r="Y2" s="16" t="s">
        <v>21</v>
      </c>
      <c r="Z2" s="16" t="s">
        <v>119</v>
      </c>
      <c r="AA2" s="16" t="s">
        <v>120</v>
      </c>
      <c r="AB2" s="13"/>
      <c r="AC2" s="13"/>
      <c r="AD2" s="13"/>
      <c r="AE2" s="13"/>
      <c r="AF2" s="13"/>
      <c r="AG2" s="13"/>
      <c r="AH2" s="13"/>
      <c r="AI2" s="13"/>
      <c r="AJ2" s="13"/>
      <c r="AL2" s="16" t="s">
        <v>7</v>
      </c>
      <c r="AM2" s="16" t="s">
        <v>17</v>
      </c>
      <c r="AN2" s="16" t="s">
        <v>18</v>
      </c>
      <c r="AO2" s="16" t="s">
        <v>19</v>
      </c>
      <c r="AP2" s="16" t="s">
        <v>8</v>
      </c>
      <c r="AQ2" s="16" t="s">
        <v>20</v>
      </c>
      <c r="AR2" s="16" t="s">
        <v>21</v>
      </c>
      <c r="AS2" s="16" t="s">
        <v>119</v>
      </c>
      <c r="AU2" s="16" t="s">
        <v>7</v>
      </c>
      <c r="AV2" s="16" t="s">
        <v>17</v>
      </c>
      <c r="AW2" s="16" t="s">
        <v>18</v>
      </c>
      <c r="AX2" s="16" t="s">
        <v>19</v>
      </c>
      <c r="AY2" s="16" t="s">
        <v>8</v>
      </c>
      <c r="AZ2" s="16" t="s">
        <v>119</v>
      </c>
      <c r="BA2" s="16" t="s">
        <v>130</v>
      </c>
      <c r="BC2" s="16" t="s">
        <v>7</v>
      </c>
      <c r="BD2" s="16" t="s">
        <v>17</v>
      </c>
      <c r="BE2" s="16" t="s">
        <v>18</v>
      </c>
      <c r="BF2" s="16" t="s">
        <v>19</v>
      </c>
      <c r="BG2" s="16" t="s">
        <v>8</v>
      </c>
      <c r="BH2" s="16" t="s">
        <v>119</v>
      </c>
      <c r="BI2" s="16" t="s">
        <v>130</v>
      </c>
    </row>
    <row r="3" spans="1:61" x14ac:dyDescent="0.25">
      <c r="A3" s="17">
        <v>181635</v>
      </c>
      <c r="B3" s="17" t="s">
        <v>14</v>
      </c>
      <c r="C3" s="17" t="s">
        <v>11</v>
      </c>
      <c r="D3" s="17">
        <v>295053</v>
      </c>
      <c r="E3" s="17" t="s">
        <v>10</v>
      </c>
      <c r="F3" s="18" t="s">
        <v>35</v>
      </c>
      <c r="G3" s="17"/>
      <c r="H3" s="19">
        <v>-6</v>
      </c>
      <c r="J3" s="17">
        <v>181569</v>
      </c>
      <c r="K3" s="17" t="s">
        <v>66</v>
      </c>
      <c r="L3" s="17" t="s">
        <v>9</v>
      </c>
      <c r="M3" s="17">
        <v>295581</v>
      </c>
      <c r="N3" s="17" t="s">
        <v>12</v>
      </c>
      <c r="O3" s="18" t="s">
        <v>124</v>
      </c>
      <c r="P3" s="17"/>
      <c r="Q3" s="19">
        <v>-19</v>
      </c>
      <c r="S3" s="17">
        <v>181633</v>
      </c>
      <c r="T3" s="17" t="s">
        <v>14</v>
      </c>
      <c r="U3" s="17" t="s">
        <v>11</v>
      </c>
      <c r="V3" s="17">
        <v>290059</v>
      </c>
      <c r="W3" s="17" t="s">
        <v>13</v>
      </c>
      <c r="X3" s="17">
        <v>58</v>
      </c>
      <c r="Y3" s="17">
        <v>58</v>
      </c>
      <c r="Z3" s="17">
        <v>0</v>
      </c>
      <c r="AA3" s="17" t="s">
        <v>95</v>
      </c>
      <c r="AB3" s="14"/>
      <c r="AC3" s="14"/>
      <c r="AD3" s="14"/>
      <c r="AE3" s="14"/>
      <c r="AF3" s="14"/>
      <c r="AG3" s="14"/>
      <c r="AH3" s="14"/>
      <c r="AI3" s="14"/>
      <c r="AJ3" s="14"/>
      <c r="AL3" s="17">
        <v>181586</v>
      </c>
      <c r="AM3" s="17" t="s">
        <v>14</v>
      </c>
      <c r="AN3" s="17" t="s">
        <v>121</v>
      </c>
      <c r="AO3" s="17">
        <v>290059</v>
      </c>
      <c r="AP3" s="17" t="s">
        <v>126</v>
      </c>
      <c r="AQ3" s="17">
        <v>0.33</v>
      </c>
      <c r="AR3" s="17">
        <v>0.3135</v>
      </c>
      <c r="AS3" s="17">
        <v>-5</v>
      </c>
      <c r="AU3" s="17">
        <v>181571</v>
      </c>
      <c r="AV3" s="17" t="s">
        <v>66</v>
      </c>
      <c r="AW3" s="17" t="s">
        <v>9</v>
      </c>
      <c r="AX3" s="17">
        <v>295581</v>
      </c>
      <c r="AY3" s="17" t="s">
        <v>12</v>
      </c>
      <c r="AZ3" s="17">
        <v>-95.14</v>
      </c>
      <c r="BA3" s="17" t="s">
        <v>125</v>
      </c>
      <c r="BC3" s="17">
        <v>181583</v>
      </c>
      <c r="BD3" s="17" t="s">
        <v>14</v>
      </c>
      <c r="BE3" s="17" t="s">
        <v>121</v>
      </c>
      <c r="BF3" s="17">
        <v>290059</v>
      </c>
      <c r="BG3" s="17" t="s">
        <v>126</v>
      </c>
      <c r="BH3" s="17">
        <v>0.82</v>
      </c>
      <c r="BI3" s="17" t="s">
        <v>27</v>
      </c>
    </row>
    <row r="4" spans="1:61" x14ac:dyDescent="0.25">
      <c r="A4" s="17">
        <v>181635</v>
      </c>
      <c r="B4" s="17" t="s">
        <v>14</v>
      </c>
      <c r="C4" s="17" t="s">
        <v>11</v>
      </c>
      <c r="D4" s="17">
        <v>295048</v>
      </c>
      <c r="E4" s="17" t="s">
        <v>10</v>
      </c>
      <c r="F4" s="18" t="s">
        <v>35</v>
      </c>
      <c r="G4" s="17"/>
      <c r="H4" s="19">
        <v>-6</v>
      </c>
      <c r="J4" s="17">
        <v>181569</v>
      </c>
      <c r="K4" s="17" t="s">
        <v>66</v>
      </c>
      <c r="L4" s="17" t="s">
        <v>9</v>
      </c>
      <c r="M4" s="17">
        <v>295580</v>
      </c>
      <c r="N4" s="17" t="s">
        <v>12</v>
      </c>
      <c r="O4" s="18" t="s">
        <v>124</v>
      </c>
      <c r="P4" s="17"/>
      <c r="Q4" s="19">
        <v>-19</v>
      </c>
      <c r="S4" s="17">
        <v>181633</v>
      </c>
      <c r="T4" s="17" t="s">
        <v>14</v>
      </c>
      <c r="U4" s="17" t="s">
        <v>11</v>
      </c>
      <c r="V4" s="17">
        <v>290060</v>
      </c>
      <c r="W4" s="17" t="s">
        <v>13</v>
      </c>
      <c r="X4" s="17">
        <v>58</v>
      </c>
      <c r="Y4" s="17">
        <v>58</v>
      </c>
      <c r="Z4" s="17">
        <v>0</v>
      </c>
      <c r="AA4" s="17" t="s">
        <v>95</v>
      </c>
      <c r="AB4" s="14"/>
      <c r="AC4" s="14"/>
      <c r="AD4" s="14"/>
      <c r="AE4" s="14"/>
      <c r="AF4" s="14"/>
      <c r="AG4" s="14"/>
      <c r="AH4" s="14"/>
      <c r="AI4" s="14"/>
      <c r="AJ4" s="14"/>
      <c r="AL4" s="17">
        <v>181572</v>
      </c>
      <c r="AM4" s="17" t="s">
        <v>66</v>
      </c>
      <c r="AN4" s="17" t="s">
        <v>9</v>
      </c>
      <c r="AO4" s="17">
        <v>295580</v>
      </c>
      <c r="AP4" s="17" t="s">
        <v>12</v>
      </c>
      <c r="AQ4" s="17">
        <v>0.879</v>
      </c>
      <c r="AR4" s="17">
        <v>0.87129999999999996</v>
      </c>
      <c r="AS4" s="17">
        <v>-0.88</v>
      </c>
      <c r="AU4" s="17">
        <v>181569</v>
      </c>
      <c r="AV4" s="17" t="s">
        <v>66</v>
      </c>
      <c r="AW4" s="17" t="s">
        <v>9</v>
      </c>
      <c r="AX4" s="17">
        <v>295581</v>
      </c>
      <c r="AY4" s="17" t="s">
        <v>12</v>
      </c>
      <c r="AZ4" s="17">
        <v>-80.66</v>
      </c>
      <c r="BA4" s="17" t="s">
        <v>129</v>
      </c>
      <c r="BC4" s="17">
        <v>181637</v>
      </c>
      <c r="BD4" s="17" t="s">
        <v>14</v>
      </c>
      <c r="BE4" s="17" t="s">
        <v>11</v>
      </c>
      <c r="BF4" s="17">
        <v>290061</v>
      </c>
      <c r="BG4" s="17" t="s">
        <v>10</v>
      </c>
      <c r="BH4" s="17">
        <v>2.0699999999999998</v>
      </c>
      <c r="BI4" s="17" t="s">
        <v>27</v>
      </c>
    </row>
    <row r="5" spans="1:61" x14ac:dyDescent="0.25">
      <c r="A5" s="17">
        <v>181636</v>
      </c>
      <c r="B5" s="17" t="s">
        <v>14</v>
      </c>
      <c r="C5" s="17" t="s">
        <v>11</v>
      </c>
      <c r="D5" s="17">
        <v>290062</v>
      </c>
      <c r="E5" s="17" t="s">
        <v>10</v>
      </c>
      <c r="F5" s="18" t="s">
        <v>35</v>
      </c>
      <c r="G5" s="17"/>
      <c r="H5" s="19">
        <v>-6</v>
      </c>
      <c r="J5" s="17">
        <v>181570</v>
      </c>
      <c r="K5" s="17" t="s">
        <v>66</v>
      </c>
      <c r="L5" s="17" t="s">
        <v>9</v>
      </c>
      <c r="M5" s="17">
        <v>295581</v>
      </c>
      <c r="N5" s="17" t="s">
        <v>12</v>
      </c>
      <c r="O5" s="18" t="s">
        <v>123</v>
      </c>
      <c r="P5" s="17"/>
      <c r="Q5" s="19">
        <v>-16</v>
      </c>
      <c r="S5" s="17">
        <v>181633</v>
      </c>
      <c r="T5" s="17" t="s">
        <v>14</v>
      </c>
      <c r="U5" s="17" t="s">
        <v>11</v>
      </c>
      <c r="V5" s="17">
        <v>290061</v>
      </c>
      <c r="W5" s="17" t="s">
        <v>13</v>
      </c>
      <c r="X5" s="17">
        <v>58</v>
      </c>
      <c r="Y5" s="17">
        <v>58</v>
      </c>
      <c r="Z5" s="17">
        <v>0</v>
      </c>
      <c r="AA5" s="17" t="s">
        <v>95</v>
      </c>
      <c r="AB5" s="14"/>
      <c r="AC5" s="14"/>
      <c r="AD5" s="14"/>
      <c r="AE5" s="14"/>
      <c r="AF5" s="14"/>
      <c r="AG5" s="14"/>
      <c r="AH5" s="14"/>
      <c r="AI5" s="14"/>
      <c r="AJ5" s="14"/>
      <c r="AL5" s="17">
        <v>181630</v>
      </c>
      <c r="AM5" s="17" t="s">
        <v>14</v>
      </c>
      <c r="AN5" s="17" t="s">
        <v>11</v>
      </c>
      <c r="AO5" s="17">
        <v>290059</v>
      </c>
      <c r="AP5" s="17" t="s">
        <v>10</v>
      </c>
      <c r="AQ5" s="17">
        <v>0.18</v>
      </c>
      <c r="AR5" s="17">
        <v>0.17860000000000001</v>
      </c>
      <c r="AS5" s="17">
        <v>-0.78</v>
      </c>
      <c r="AU5" s="17">
        <v>181570</v>
      </c>
      <c r="AV5" s="17" t="s">
        <v>66</v>
      </c>
      <c r="AW5" s="17" t="s">
        <v>9</v>
      </c>
      <c r="AX5" s="17">
        <v>295581</v>
      </c>
      <c r="AY5" s="17" t="s">
        <v>12</v>
      </c>
      <c r="AZ5" s="17">
        <v>-54.99</v>
      </c>
      <c r="BA5" s="17" t="s">
        <v>129</v>
      </c>
      <c r="BC5" s="17">
        <v>181635</v>
      </c>
      <c r="BD5" s="17" t="s">
        <v>14</v>
      </c>
      <c r="BE5" s="17" t="s">
        <v>11</v>
      </c>
      <c r="BF5" s="17">
        <v>292101</v>
      </c>
      <c r="BG5" s="17" t="s">
        <v>10</v>
      </c>
      <c r="BH5" s="17">
        <v>2.6</v>
      </c>
      <c r="BI5" s="17" t="s">
        <v>27</v>
      </c>
    </row>
    <row r="6" spans="1:61" x14ac:dyDescent="0.25">
      <c r="A6" s="17">
        <v>181637</v>
      </c>
      <c r="B6" s="17" t="s">
        <v>14</v>
      </c>
      <c r="C6" s="17" t="s">
        <v>11</v>
      </c>
      <c r="D6" s="17">
        <v>290062</v>
      </c>
      <c r="E6" s="17" t="s">
        <v>10</v>
      </c>
      <c r="F6" s="18" t="s">
        <v>35</v>
      </c>
      <c r="G6" s="17"/>
      <c r="H6" s="19">
        <v>-6</v>
      </c>
      <c r="J6" s="17">
        <v>181570</v>
      </c>
      <c r="K6" s="17" t="s">
        <v>66</v>
      </c>
      <c r="L6" s="17" t="s">
        <v>9</v>
      </c>
      <c r="M6" s="17">
        <v>295580</v>
      </c>
      <c r="N6" s="17" t="s">
        <v>12</v>
      </c>
      <c r="O6" s="18" t="s">
        <v>123</v>
      </c>
      <c r="P6" s="17"/>
      <c r="Q6" s="19">
        <v>-16</v>
      </c>
      <c r="S6" s="17">
        <v>181629</v>
      </c>
      <c r="T6" s="17" t="s">
        <v>14</v>
      </c>
      <c r="U6" s="17" t="s">
        <v>11</v>
      </c>
      <c r="V6" s="17">
        <v>290060</v>
      </c>
      <c r="W6" s="17" t="s">
        <v>13</v>
      </c>
      <c r="X6" s="17">
        <v>58</v>
      </c>
      <c r="Y6" s="17">
        <v>58</v>
      </c>
      <c r="Z6" s="17">
        <v>0</v>
      </c>
      <c r="AA6" s="17" t="s">
        <v>95</v>
      </c>
      <c r="AB6" s="14"/>
      <c r="AC6" s="14"/>
      <c r="AD6" s="14"/>
      <c r="AE6" s="14"/>
      <c r="AF6" s="14"/>
      <c r="AG6" s="14"/>
      <c r="AH6" s="14"/>
      <c r="AI6" s="14"/>
      <c r="AJ6" s="14"/>
      <c r="AL6" s="17">
        <v>181635</v>
      </c>
      <c r="AM6" s="17" t="s">
        <v>14</v>
      </c>
      <c r="AN6" s="17" t="s">
        <v>11</v>
      </c>
      <c r="AO6" s="17">
        <v>290061</v>
      </c>
      <c r="AP6" s="17" t="s">
        <v>10</v>
      </c>
      <c r="AQ6" s="17">
        <v>0.184</v>
      </c>
      <c r="AR6" s="17">
        <v>0.18329999999999999</v>
      </c>
      <c r="AS6" s="17">
        <v>-0.38</v>
      </c>
      <c r="AU6" s="17">
        <v>181629</v>
      </c>
      <c r="AV6" s="17" t="s">
        <v>14</v>
      </c>
      <c r="AW6" s="17" t="s">
        <v>11</v>
      </c>
      <c r="AX6" s="17">
        <v>290060</v>
      </c>
      <c r="AY6" s="17" t="s">
        <v>10</v>
      </c>
      <c r="AZ6" s="17">
        <v>-25.54</v>
      </c>
      <c r="BA6" s="17" t="s">
        <v>27</v>
      </c>
      <c r="BC6" s="17">
        <v>181636</v>
      </c>
      <c r="BD6" s="17" t="s">
        <v>14</v>
      </c>
      <c r="BE6" s="17" t="s">
        <v>11</v>
      </c>
      <c r="BF6" s="17">
        <v>290059</v>
      </c>
      <c r="BG6" s="17" t="s">
        <v>10</v>
      </c>
      <c r="BH6" s="17">
        <v>2.93</v>
      </c>
      <c r="BI6" s="17" t="s">
        <v>27</v>
      </c>
    </row>
    <row r="7" spans="1:61" x14ac:dyDescent="0.25">
      <c r="A7" s="17">
        <v>181630</v>
      </c>
      <c r="B7" s="17" t="s">
        <v>14</v>
      </c>
      <c r="C7" s="17" t="s">
        <v>11</v>
      </c>
      <c r="D7" s="17">
        <v>292103</v>
      </c>
      <c r="E7" s="17" t="s">
        <v>10</v>
      </c>
      <c r="F7" s="18" t="s">
        <v>35</v>
      </c>
      <c r="G7" s="17"/>
      <c r="H7" s="19">
        <v>-6</v>
      </c>
      <c r="J7" s="17">
        <v>181592</v>
      </c>
      <c r="K7" s="17" t="s">
        <v>14</v>
      </c>
      <c r="L7" s="17" t="s">
        <v>9</v>
      </c>
      <c r="M7" s="17">
        <v>295031</v>
      </c>
      <c r="N7" s="17" t="s">
        <v>12</v>
      </c>
      <c r="O7" s="18" t="s">
        <v>32</v>
      </c>
      <c r="P7" s="17"/>
      <c r="Q7" s="19">
        <v>-14</v>
      </c>
      <c r="S7" s="17">
        <v>181629</v>
      </c>
      <c r="T7" s="17" t="s">
        <v>14</v>
      </c>
      <c r="U7" s="17" t="s">
        <v>11</v>
      </c>
      <c r="V7" s="17">
        <v>292100</v>
      </c>
      <c r="W7" s="17" t="s">
        <v>13</v>
      </c>
      <c r="X7" s="17">
        <v>58</v>
      </c>
      <c r="Y7" s="17">
        <v>58</v>
      </c>
      <c r="Z7" s="17">
        <v>0</v>
      </c>
      <c r="AA7" s="17" t="s">
        <v>95</v>
      </c>
      <c r="AB7" s="14"/>
      <c r="AC7" s="14"/>
      <c r="AD7" s="14"/>
      <c r="AE7" s="14"/>
      <c r="AF7" s="14"/>
      <c r="AG7" s="14"/>
      <c r="AH7" s="14"/>
      <c r="AI7" s="14"/>
      <c r="AJ7" s="14"/>
      <c r="AL7" s="17">
        <v>181636</v>
      </c>
      <c r="AM7" s="17" t="s">
        <v>14</v>
      </c>
      <c r="AN7" s="17" t="s">
        <v>11</v>
      </c>
      <c r="AO7" s="17">
        <v>290061</v>
      </c>
      <c r="AP7" s="17" t="s">
        <v>10</v>
      </c>
      <c r="AQ7" s="17">
        <v>0.218</v>
      </c>
      <c r="AR7" s="17">
        <v>0.21759999999999999</v>
      </c>
      <c r="AS7" s="17">
        <v>-0.18</v>
      </c>
      <c r="AU7" s="17">
        <v>181569</v>
      </c>
      <c r="AV7" s="17" t="s">
        <v>66</v>
      </c>
      <c r="AW7" s="17" t="s">
        <v>9</v>
      </c>
      <c r="AX7" s="17">
        <v>295580</v>
      </c>
      <c r="AY7" s="17" t="s">
        <v>12</v>
      </c>
      <c r="AZ7" s="17">
        <v>-2.83</v>
      </c>
      <c r="BA7" s="17" t="s">
        <v>129</v>
      </c>
      <c r="BC7" s="17">
        <v>181634</v>
      </c>
      <c r="BD7" s="17" t="s">
        <v>14</v>
      </c>
      <c r="BE7" s="17" t="s">
        <v>11</v>
      </c>
      <c r="BF7" s="17">
        <v>290059</v>
      </c>
      <c r="BG7" s="17" t="s">
        <v>10</v>
      </c>
      <c r="BH7" s="17">
        <v>3.73</v>
      </c>
      <c r="BI7" s="17" t="s">
        <v>27</v>
      </c>
    </row>
    <row r="8" spans="1:61" x14ac:dyDescent="0.25">
      <c r="A8" s="17">
        <v>181630</v>
      </c>
      <c r="B8" s="17" t="s">
        <v>14</v>
      </c>
      <c r="C8" s="17" t="s">
        <v>11</v>
      </c>
      <c r="D8" s="17">
        <v>293266</v>
      </c>
      <c r="E8" s="17" t="s">
        <v>10</v>
      </c>
      <c r="F8" s="18" t="s">
        <v>35</v>
      </c>
      <c r="G8" s="17"/>
      <c r="H8" s="19">
        <v>-6</v>
      </c>
      <c r="J8" s="17">
        <v>181592</v>
      </c>
      <c r="K8" s="17" t="s">
        <v>14</v>
      </c>
      <c r="L8" s="17" t="s">
        <v>9</v>
      </c>
      <c r="M8" s="17">
        <v>295030</v>
      </c>
      <c r="N8" s="17" t="s">
        <v>12</v>
      </c>
      <c r="O8" s="18" t="s">
        <v>32</v>
      </c>
      <c r="P8" s="17"/>
      <c r="Q8" s="19">
        <v>-14</v>
      </c>
      <c r="S8" s="17">
        <v>181629</v>
      </c>
      <c r="T8" s="17" t="s">
        <v>14</v>
      </c>
      <c r="U8" s="17" t="s">
        <v>11</v>
      </c>
      <c r="V8" s="17">
        <v>290059</v>
      </c>
      <c r="W8" s="17" t="s">
        <v>13</v>
      </c>
      <c r="X8" s="17">
        <v>58</v>
      </c>
      <c r="Y8" s="17">
        <v>58</v>
      </c>
      <c r="Z8" s="17">
        <v>0</v>
      </c>
      <c r="AA8" s="17" t="s">
        <v>95</v>
      </c>
      <c r="AB8" s="14"/>
      <c r="AC8" s="14"/>
      <c r="AD8" s="14"/>
      <c r="AE8" s="14"/>
      <c r="AF8" s="14"/>
      <c r="AG8" s="14"/>
      <c r="AH8" s="14"/>
      <c r="AI8" s="14"/>
      <c r="AJ8" s="14"/>
      <c r="AL8" s="17">
        <v>181637</v>
      </c>
      <c r="AM8" s="17" t="s">
        <v>14</v>
      </c>
      <c r="AN8" s="17" t="s">
        <v>11</v>
      </c>
      <c r="AO8" s="17">
        <v>290061</v>
      </c>
      <c r="AP8" s="17" t="s">
        <v>10</v>
      </c>
      <c r="AQ8" s="17">
        <v>0.214</v>
      </c>
      <c r="AR8" s="17">
        <v>0.2142</v>
      </c>
      <c r="AS8" s="17">
        <v>0.09</v>
      </c>
      <c r="AU8" s="17">
        <v>181570</v>
      </c>
      <c r="AV8" s="17" t="s">
        <v>66</v>
      </c>
      <c r="AW8" s="17" t="s">
        <v>9</v>
      </c>
      <c r="AX8" s="17">
        <v>295580</v>
      </c>
      <c r="AY8" s="17" t="s">
        <v>12</v>
      </c>
      <c r="AZ8" s="17">
        <v>-0.22</v>
      </c>
      <c r="BA8" s="17" t="s">
        <v>129</v>
      </c>
      <c r="BC8" s="17">
        <v>181629</v>
      </c>
      <c r="BD8" s="17" t="s">
        <v>14</v>
      </c>
      <c r="BE8" s="17" t="s">
        <v>11</v>
      </c>
      <c r="BF8" s="17">
        <v>290060</v>
      </c>
      <c r="BG8" s="17" t="s">
        <v>10</v>
      </c>
      <c r="BH8" s="17">
        <v>4.17</v>
      </c>
      <c r="BI8" s="17" t="s">
        <v>27</v>
      </c>
    </row>
    <row r="9" spans="1:61" x14ac:dyDescent="0.25">
      <c r="A9" s="17">
        <v>181633</v>
      </c>
      <c r="B9" s="17" t="s">
        <v>14</v>
      </c>
      <c r="C9" s="17" t="s">
        <v>11</v>
      </c>
      <c r="D9" s="17">
        <v>292735</v>
      </c>
      <c r="E9" s="17" t="s">
        <v>10</v>
      </c>
      <c r="F9" s="18" t="s">
        <v>35</v>
      </c>
      <c r="G9" s="17"/>
      <c r="H9" s="19">
        <v>-6</v>
      </c>
      <c r="J9" s="17">
        <v>181571</v>
      </c>
      <c r="K9" s="17" t="s">
        <v>66</v>
      </c>
      <c r="L9" s="17" t="s">
        <v>9</v>
      </c>
      <c r="M9" s="17">
        <v>295581</v>
      </c>
      <c r="N9" s="17" t="s">
        <v>12</v>
      </c>
      <c r="O9" s="18" t="s">
        <v>40</v>
      </c>
      <c r="P9" s="17"/>
      <c r="Q9" s="19">
        <v>-13</v>
      </c>
      <c r="S9" s="17">
        <v>181630</v>
      </c>
      <c r="T9" s="17" t="s">
        <v>14</v>
      </c>
      <c r="U9" s="17" t="s">
        <v>11</v>
      </c>
      <c r="V9" s="17">
        <v>290059</v>
      </c>
      <c r="W9" s="17" t="s">
        <v>13</v>
      </c>
      <c r="X9" s="17">
        <v>58</v>
      </c>
      <c r="Y9" s="17">
        <v>58</v>
      </c>
      <c r="Z9" s="17">
        <v>0</v>
      </c>
      <c r="AA9" s="17" t="s">
        <v>95</v>
      </c>
      <c r="AB9" s="14"/>
      <c r="AC9" s="14"/>
      <c r="AD9" s="14"/>
      <c r="AE9" s="14"/>
      <c r="AF9" s="14"/>
      <c r="AG9" s="14"/>
      <c r="AH9" s="14"/>
      <c r="AI9" s="14"/>
      <c r="AJ9" s="14"/>
      <c r="AL9" s="17">
        <v>181636</v>
      </c>
      <c r="AM9" s="17" t="s">
        <v>14</v>
      </c>
      <c r="AN9" s="17" t="s">
        <v>11</v>
      </c>
      <c r="AO9" s="17">
        <v>290059</v>
      </c>
      <c r="AP9" s="17" t="s">
        <v>10</v>
      </c>
      <c r="AQ9" s="17">
        <v>0.218</v>
      </c>
      <c r="AR9" s="17">
        <v>0.21829999999999999</v>
      </c>
      <c r="AS9" s="17">
        <v>0.14000000000000001</v>
      </c>
      <c r="BC9" s="17">
        <v>181636</v>
      </c>
      <c r="BD9" s="17" t="s">
        <v>14</v>
      </c>
      <c r="BE9" s="17" t="s">
        <v>11</v>
      </c>
      <c r="BF9" s="17">
        <v>290061</v>
      </c>
      <c r="BG9" s="17" t="s">
        <v>10</v>
      </c>
      <c r="BH9" s="17">
        <v>4.25</v>
      </c>
      <c r="BI9" s="17" t="s">
        <v>27</v>
      </c>
    </row>
    <row r="10" spans="1:61" x14ac:dyDescent="0.25">
      <c r="A10" s="17">
        <v>181630</v>
      </c>
      <c r="B10" s="17" t="s">
        <v>14</v>
      </c>
      <c r="C10" s="17" t="s">
        <v>11</v>
      </c>
      <c r="D10" s="17">
        <v>293267</v>
      </c>
      <c r="E10" s="17" t="s">
        <v>10</v>
      </c>
      <c r="F10" s="18" t="s">
        <v>35</v>
      </c>
      <c r="G10" s="17"/>
      <c r="H10" s="19">
        <v>-6</v>
      </c>
      <c r="J10" s="17">
        <v>181571</v>
      </c>
      <c r="K10" s="17" t="s">
        <v>66</v>
      </c>
      <c r="L10" s="17" t="s">
        <v>9</v>
      </c>
      <c r="M10" s="17">
        <v>295580</v>
      </c>
      <c r="N10" s="17" t="s">
        <v>12</v>
      </c>
      <c r="O10" s="18" t="s">
        <v>40</v>
      </c>
      <c r="P10" s="17"/>
      <c r="Q10" s="19">
        <v>-13</v>
      </c>
      <c r="S10" s="17">
        <v>181635</v>
      </c>
      <c r="T10" s="17" t="s">
        <v>14</v>
      </c>
      <c r="U10" s="17" t="s">
        <v>11</v>
      </c>
      <c r="V10" s="17">
        <v>292101</v>
      </c>
      <c r="W10" s="17" t="s">
        <v>13</v>
      </c>
      <c r="X10" s="17">
        <v>58</v>
      </c>
      <c r="Y10" s="17">
        <v>58</v>
      </c>
      <c r="Z10" s="17">
        <v>0</v>
      </c>
      <c r="AA10" s="17" t="s">
        <v>95</v>
      </c>
      <c r="AB10" s="14"/>
      <c r="AC10" s="14"/>
      <c r="AD10" s="14"/>
      <c r="AE10" s="14"/>
      <c r="AF10" s="14"/>
      <c r="AG10" s="14"/>
      <c r="AH10" s="14"/>
      <c r="AI10" s="14"/>
      <c r="AJ10" s="14"/>
      <c r="AL10" s="17">
        <v>181629</v>
      </c>
      <c r="AM10" s="17" t="s">
        <v>14</v>
      </c>
      <c r="AN10" s="17" t="s">
        <v>11</v>
      </c>
      <c r="AO10" s="17">
        <v>292100</v>
      </c>
      <c r="AP10" s="17" t="s">
        <v>10</v>
      </c>
      <c r="AQ10" s="17">
        <v>0.20100000000000001</v>
      </c>
      <c r="AR10" s="17">
        <v>0.20169999999999999</v>
      </c>
      <c r="AS10" s="17">
        <v>0.35</v>
      </c>
      <c r="BC10" s="17">
        <v>181586</v>
      </c>
      <c r="BD10" s="17" t="s">
        <v>14</v>
      </c>
      <c r="BE10" s="17" t="s">
        <v>121</v>
      </c>
      <c r="BF10" s="17">
        <v>290059</v>
      </c>
      <c r="BG10" s="17" t="s">
        <v>126</v>
      </c>
      <c r="BH10" s="17">
        <v>5.18</v>
      </c>
      <c r="BI10" s="17" t="s">
        <v>27</v>
      </c>
    </row>
    <row r="11" spans="1:61" x14ac:dyDescent="0.25">
      <c r="A11" s="17">
        <v>181634</v>
      </c>
      <c r="B11" s="17" t="s">
        <v>14</v>
      </c>
      <c r="C11" s="17" t="s">
        <v>11</v>
      </c>
      <c r="D11" s="17">
        <v>292107</v>
      </c>
      <c r="E11" s="17" t="s">
        <v>10</v>
      </c>
      <c r="F11" s="18" t="s">
        <v>38</v>
      </c>
      <c r="G11" s="17"/>
      <c r="H11" s="19">
        <v>-5</v>
      </c>
      <c r="J11" s="17">
        <v>181594</v>
      </c>
      <c r="K11" s="17" t="s">
        <v>14</v>
      </c>
      <c r="L11" s="17" t="s">
        <v>9</v>
      </c>
      <c r="M11" s="17">
        <v>295032</v>
      </c>
      <c r="N11" s="17" t="s">
        <v>12</v>
      </c>
      <c r="O11" s="18" t="s">
        <v>34</v>
      </c>
      <c r="P11" s="17"/>
      <c r="Q11" s="19">
        <v>-8</v>
      </c>
      <c r="S11" s="17">
        <v>181635</v>
      </c>
      <c r="T11" s="17" t="s">
        <v>14</v>
      </c>
      <c r="U11" s="17" t="s">
        <v>11</v>
      </c>
      <c r="V11" s="17">
        <v>290061</v>
      </c>
      <c r="W11" s="17" t="s">
        <v>13</v>
      </c>
      <c r="X11" s="17">
        <v>58</v>
      </c>
      <c r="Y11" s="17">
        <v>58</v>
      </c>
      <c r="Z11" s="17">
        <v>0</v>
      </c>
      <c r="AA11" s="17" t="s">
        <v>95</v>
      </c>
      <c r="AB11" s="14"/>
      <c r="AC11" s="14"/>
      <c r="AD11" s="14"/>
      <c r="AE11" s="14"/>
      <c r="AF11" s="14"/>
      <c r="AG11" s="14"/>
      <c r="AH11" s="14"/>
      <c r="AI11" s="14"/>
      <c r="AJ11" s="14"/>
      <c r="AL11" s="17">
        <v>181629</v>
      </c>
      <c r="AM11" s="17" t="s">
        <v>14</v>
      </c>
      <c r="AN11" s="17" t="s">
        <v>11</v>
      </c>
      <c r="AO11" s="17">
        <v>290059</v>
      </c>
      <c r="AP11" s="17" t="s">
        <v>10</v>
      </c>
      <c r="AQ11" s="17">
        <v>0.20100000000000001</v>
      </c>
      <c r="AR11" s="17">
        <v>0.20169999999999999</v>
      </c>
      <c r="AS11" s="17">
        <v>0.35</v>
      </c>
      <c r="BC11" s="17">
        <v>181630</v>
      </c>
      <c r="BD11" s="17" t="s">
        <v>14</v>
      </c>
      <c r="BE11" s="17" t="s">
        <v>11</v>
      </c>
      <c r="BF11" s="17">
        <v>290059</v>
      </c>
      <c r="BG11" s="17" t="s">
        <v>10</v>
      </c>
      <c r="BH11" s="17">
        <v>5.47</v>
      </c>
      <c r="BI11" s="17" t="s">
        <v>27</v>
      </c>
    </row>
    <row r="12" spans="1:61" x14ac:dyDescent="0.25">
      <c r="A12" s="17">
        <v>181634</v>
      </c>
      <c r="B12" s="17" t="s">
        <v>14</v>
      </c>
      <c r="C12" s="17" t="s">
        <v>11</v>
      </c>
      <c r="D12" s="17">
        <v>293262</v>
      </c>
      <c r="E12" s="17" t="s">
        <v>10</v>
      </c>
      <c r="F12" s="18" t="s">
        <v>38</v>
      </c>
      <c r="G12" s="17"/>
      <c r="H12" s="19">
        <v>-5</v>
      </c>
      <c r="J12" s="17">
        <v>181594</v>
      </c>
      <c r="K12" s="17" t="s">
        <v>14</v>
      </c>
      <c r="L12" s="17" t="s">
        <v>9</v>
      </c>
      <c r="M12" s="17">
        <v>295033</v>
      </c>
      <c r="N12" s="17" t="s">
        <v>12</v>
      </c>
      <c r="O12" s="18" t="s">
        <v>34</v>
      </c>
      <c r="P12" s="17"/>
      <c r="Q12" s="19">
        <v>-8</v>
      </c>
      <c r="S12" s="17">
        <v>181636</v>
      </c>
      <c r="T12" s="17" t="s">
        <v>14</v>
      </c>
      <c r="U12" s="17" t="s">
        <v>11</v>
      </c>
      <c r="V12" s="17">
        <v>290059</v>
      </c>
      <c r="W12" s="17" t="s">
        <v>13</v>
      </c>
      <c r="X12" s="17">
        <v>58</v>
      </c>
      <c r="Y12" s="17">
        <v>58</v>
      </c>
      <c r="Z12" s="17">
        <v>0</v>
      </c>
      <c r="AA12" s="17" t="s">
        <v>95</v>
      </c>
      <c r="AB12" s="14"/>
      <c r="AC12" s="14"/>
      <c r="AD12" s="14"/>
      <c r="AE12" s="14"/>
      <c r="AF12" s="14"/>
      <c r="AG12" s="14"/>
      <c r="AH12" s="14"/>
      <c r="AI12" s="14"/>
      <c r="AJ12" s="14"/>
      <c r="AL12" s="17">
        <v>181635</v>
      </c>
      <c r="AM12" s="17" t="s">
        <v>14</v>
      </c>
      <c r="AN12" s="17" t="s">
        <v>11</v>
      </c>
      <c r="AO12" s="17">
        <v>292101</v>
      </c>
      <c r="AP12" s="17" t="s">
        <v>10</v>
      </c>
      <c r="AQ12" s="17">
        <v>0.184</v>
      </c>
      <c r="AR12" s="17">
        <v>0.1847</v>
      </c>
      <c r="AS12" s="17">
        <v>0.38</v>
      </c>
      <c r="BC12" s="17">
        <v>181635</v>
      </c>
      <c r="BD12" s="17" t="s">
        <v>14</v>
      </c>
      <c r="BE12" s="17" t="s">
        <v>11</v>
      </c>
      <c r="BF12" s="17">
        <v>290061</v>
      </c>
      <c r="BG12" s="17" t="s">
        <v>10</v>
      </c>
      <c r="BH12" s="17">
        <v>5.87</v>
      </c>
      <c r="BI12" s="17" t="s">
        <v>27</v>
      </c>
    </row>
    <row r="13" spans="1:61" x14ac:dyDescent="0.25">
      <c r="A13" s="17">
        <v>181629</v>
      </c>
      <c r="B13" s="17" t="s">
        <v>14</v>
      </c>
      <c r="C13" s="17" t="s">
        <v>11</v>
      </c>
      <c r="D13" s="17">
        <v>294353</v>
      </c>
      <c r="E13" s="17" t="s">
        <v>10</v>
      </c>
      <c r="F13" s="18" t="s">
        <v>38</v>
      </c>
      <c r="G13" s="17"/>
      <c r="H13" s="19">
        <v>-5</v>
      </c>
      <c r="J13" s="17">
        <v>181595</v>
      </c>
      <c r="K13" s="17" t="s">
        <v>14</v>
      </c>
      <c r="L13" s="17" t="s">
        <v>9</v>
      </c>
      <c r="M13" s="17">
        <v>267375</v>
      </c>
      <c r="N13" s="17" t="s">
        <v>12</v>
      </c>
      <c r="O13" s="18" t="s">
        <v>33</v>
      </c>
      <c r="P13" s="17"/>
      <c r="Q13" s="19">
        <v>-7</v>
      </c>
      <c r="S13" s="17">
        <v>181636</v>
      </c>
      <c r="T13" s="17" t="s">
        <v>14</v>
      </c>
      <c r="U13" s="17" t="s">
        <v>11</v>
      </c>
      <c r="V13" s="17">
        <v>290061</v>
      </c>
      <c r="W13" s="17" t="s">
        <v>13</v>
      </c>
      <c r="X13" s="17">
        <v>58</v>
      </c>
      <c r="Y13" s="17">
        <v>58</v>
      </c>
      <c r="Z13" s="17">
        <v>0</v>
      </c>
      <c r="AA13" s="17" t="s">
        <v>95</v>
      </c>
      <c r="AB13" s="14"/>
      <c r="AC13" s="14"/>
      <c r="AD13" s="14"/>
      <c r="AE13" s="14"/>
      <c r="AF13" s="14"/>
      <c r="AG13" s="14"/>
      <c r="AH13" s="14"/>
      <c r="AI13" s="14"/>
      <c r="AJ13" s="14"/>
      <c r="AL13" s="17">
        <v>181634</v>
      </c>
      <c r="AM13" s="17" t="s">
        <v>14</v>
      </c>
      <c r="AN13" s="17" t="s">
        <v>11</v>
      </c>
      <c r="AO13" s="17">
        <v>290059</v>
      </c>
      <c r="AP13" s="17" t="s">
        <v>10</v>
      </c>
      <c r="AQ13" s="17">
        <v>0.186</v>
      </c>
      <c r="AR13" s="17">
        <v>0.1867</v>
      </c>
      <c r="AS13" s="17">
        <v>0.38</v>
      </c>
      <c r="BC13" s="17">
        <v>181633</v>
      </c>
      <c r="BD13" s="17" t="s">
        <v>14</v>
      </c>
      <c r="BE13" s="17" t="s">
        <v>11</v>
      </c>
      <c r="BF13" s="17">
        <v>290060</v>
      </c>
      <c r="BG13" s="17" t="s">
        <v>10</v>
      </c>
      <c r="BH13" s="17">
        <v>6.86</v>
      </c>
      <c r="BI13" s="17" t="s">
        <v>27</v>
      </c>
    </row>
    <row r="14" spans="1:61" x14ac:dyDescent="0.25">
      <c r="A14" s="17">
        <v>181602</v>
      </c>
      <c r="B14" s="17" t="s">
        <v>14</v>
      </c>
      <c r="C14" s="17" t="s">
        <v>11</v>
      </c>
      <c r="D14" s="17">
        <v>292578</v>
      </c>
      <c r="E14" s="17" t="s">
        <v>10</v>
      </c>
      <c r="F14" s="18" t="s">
        <v>70</v>
      </c>
      <c r="G14" s="17"/>
      <c r="H14" s="19">
        <v>-4</v>
      </c>
      <c r="J14" s="17">
        <v>181595</v>
      </c>
      <c r="K14" s="17" t="s">
        <v>14</v>
      </c>
      <c r="L14" s="17" t="s">
        <v>9</v>
      </c>
      <c r="M14" s="17">
        <v>267379</v>
      </c>
      <c r="N14" s="17" t="s">
        <v>12</v>
      </c>
      <c r="O14" s="18" t="s">
        <v>33</v>
      </c>
      <c r="P14" s="17"/>
      <c r="Q14" s="19">
        <v>-7</v>
      </c>
      <c r="S14" s="17">
        <v>181637</v>
      </c>
      <c r="T14" s="17" t="s">
        <v>14</v>
      </c>
      <c r="U14" s="17" t="s">
        <v>11</v>
      </c>
      <c r="V14" s="17">
        <v>290061</v>
      </c>
      <c r="W14" s="17" t="s">
        <v>13</v>
      </c>
      <c r="X14" s="17">
        <v>58</v>
      </c>
      <c r="Y14" s="17">
        <v>58</v>
      </c>
      <c r="Z14" s="17">
        <v>0</v>
      </c>
      <c r="AA14" s="17" t="s">
        <v>95</v>
      </c>
      <c r="AB14" s="14"/>
      <c r="AC14" s="14"/>
      <c r="AD14" s="14"/>
      <c r="AE14" s="14"/>
      <c r="AF14" s="14"/>
      <c r="AG14" s="14"/>
      <c r="AH14" s="14"/>
      <c r="AI14" s="14"/>
      <c r="AJ14" s="14"/>
      <c r="AL14" s="17">
        <v>181637</v>
      </c>
      <c r="AM14" s="17" t="s">
        <v>14</v>
      </c>
      <c r="AN14" s="17" t="s">
        <v>11</v>
      </c>
      <c r="AO14" s="17">
        <v>290060</v>
      </c>
      <c r="AP14" s="17" t="s">
        <v>10</v>
      </c>
      <c r="AQ14" s="17">
        <v>0.214</v>
      </c>
      <c r="AR14" s="17">
        <v>0.21590000000000001</v>
      </c>
      <c r="AS14" s="17">
        <v>0.89</v>
      </c>
      <c r="BC14" s="17">
        <v>181629</v>
      </c>
      <c r="BD14" s="17" t="s">
        <v>14</v>
      </c>
      <c r="BE14" s="17" t="s">
        <v>11</v>
      </c>
      <c r="BF14" s="17">
        <v>290059</v>
      </c>
      <c r="BG14" s="17" t="s">
        <v>10</v>
      </c>
      <c r="BH14" s="17">
        <v>8.84</v>
      </c>
      <c r="BI14" s="17" t="s">
        <v>27</v>
      </c>
    </row>
    <row r="15" spans="1:61" x14ac:dyDescent="0.25">
      <c r="A15" s="17">
        <v>181603</v>
      </c>
      <c r="B15" s="17" t="s">
        <v>14</v>
      </c>
      <c r="C15" s="17" t="s">
        <v>11</v>
      </c>
      <c r="D15" s="17">
        <v>292578</v>
      </c>
      <c r="E15" s="17" t="s">
        <v>10</v>
      </c>
      <c r="F15" s="18" t="s">
        <v>70</v>
      </c>
      <c r="G15" s="17"/>
      <c r="H15" s="19">
        <v>-4</v>
      </c>
      <c r="J15" s="17">
        <v>181595</v>
      </c>
      <c r="K15" s="17" t="s">
        <v>14</v>
      </c>
      <c r="L15" s="17" t="s">
        <v>9</v>
      </c>
      <c r="M15" s="17">
        <v>267376</v>
      </c>
      <c r="N15" s="17" t="s">
        <v>12</v>
      </c>
      <c r="O15" s="18" t="s">
        <v>33</v>
      </c>
      <c r="P15" s="17"/>
      <c r="Q15" s="19">
        <v>-7</v>
      </c>
      <c r="S15" s="17">
        <v>181637</v>
      </c>
      <c r="T15" s="17" t="s">
        <v>14</v>
      </c>
      <c r="U15" s="17" t="s">
        <v>11</v>
      </c>
      <c r="V15" s="17">
        <v>290060</v>
      </c>
      <c r="W15" s="17" t="s">
        <v>13</v>
      </c>
      <c r="X15" s="17">
        <v>58</v>
      </c>
      <c r="Y15" s="17">
        <v>58</v>
      </c>
      <c r="Z15" s="17">
        <v>0</v>
      </c>
      <c r="AA15" s="17" t="s">
        <v>95</v>
      </c>
      <c r="AB15" s="14"/>
      <c r="AC15" s="14"/>
      <c r="AD15" s="14"/>
      <c r="AE15" s="14"/>
      <c r="AF15" s="14"/>
      <c r="AG15" s="14"/>
      <c r="AH15" s="14"/>
      <c r="AI15" s="14"/>
      <c r="AJ15" s="14"/>
      <c r="AL15" s="17">
        <v>181633</v>
      </c>
      <c r="AM15" s="17" t="s">
        <v>14</v>
      </c>
      <c r="AN15" s="17" t="s">
        <v>11</v>
      </c>
      <c r="AO15" s="17">
        <v>290059</v>
      </c>
      <c r="AP15" s="17" t="s">
        <v>10</v>
      </c>
      <c r="AQ15" s="17">
        <v>0.183</v>
      </c>
      <c r="AR15" s="17">
        <v>0.1847</v>
      </c>
      <c r="AS15" s="17">
        <v>0.93</v>
      </c>
      <c r="BC15" s="17">
        <v>181633</v>
      </c>
      <c r="BD15" s="17" t="s">
        <v>14</v>
      </c>
      <c r="BE15" s="17" t="s">
        <v>11</v>
      </c>
      <c r="BF15" s="17">
        <v>290061</v>
      </c>
      <c r="BG15" s="17" t="s">
        <v>10</v>
      </c>
      <c r="BH15" s="17">
        <v>9.0500000000000007</v>
      </c>
      <c r="BI15" s="17" t="s">
        <v>27</v>
      </c>
    </row>
    <row r="16" spans="1:61" x14ac:dyDescent="0.25">
      <c r="A16" s="17">
        <v>181604</v>
      </c>
      <c r="B16" s="17" t="s">
        <v>14</v>
      </c>
      <c r="C16" s="17" t="s">
        <v>11</v>
      </c>
      <c r="D16" s="17">
        <v>292578</v>
      </c>
      <c r="E16" s="17" t="s">
        <v>10</v>
      </c>
      <c r="F16" s="18" t="s">
        <v>70</v>
      </c>
      <c r="G16" s="17"/>
      <c r="H16" s="19">
        <v>-4</v>
      </c>
      <c r="J16" s="17">
        <v>181595</v>
      </c>
      <c r="K16" s="17" t="s">
        <v>14</v>
      </c>
      <c r="L16" s="17" t="s">
        <v>9</v>
      </c>
      <c r="M16" s="17">
        <v>282190</v>
      </c>
      <c r="N16" s="17" t="s">
        <v>12</v>
      </c>
      <c r="O16" s="18" t="s">
        <v>33</v>
      </c>
      <c r="P16" s="17"/>
      <c r="Q16" s="19">
        <v>-7</v>
      </c>
      <c r="S16" s="17">
        <v>181634</v>
      </c>
      <c r="T16" s="17" t="s">
        <v>14</v>
      </c>
      <c r="U16" s="17" t="s">
        <v>11</v>
      </c>
      <c r="V16" s="17">
        <v>290059</v>
      </c>
      <c r="W16" s="17" t="s">
        <v>13</v>
      </c>
      <c r="X16" s="17">
        <v>58</v>
      </c>
      <c r="Y16" s="17">
        <v>58</v>
      </c>
      <c r="Z16" s="17">
        <v>0</v>
      </c>
      <c r="AA16" s="17" t="s">
        <v>95</v>
      </c>
      <c r="AB16" s="14"/>
      <c r="AC16" s="14"/>
      <c r="AD16" s="14"/>
      <c r="AE16" s="14"/>
      <c r="AF16" s="14"/>
      <c r="AG16" s="14"/>
      <c r="AH16" s="14"/>
      <c r="AI16" s="14"/>
      <c r="AJ16" s="14"/>
      <c r="AL16" s="17">
        <v>181633</v>
      </c>
      <c r="AM16" s="17" t="s">
        <v>14</v>
      </c>
      <c r="AN16" s="17" t="s">
        <v>11</v>
      </c>
      <c r="AO16" s="17">
        <v>290060</v>
      </c>
      <c r="AP16" s="17" t="s">
        <v>10</v>
      </c>
      <c r="AQ16" s="17">
        <v>0.183</v>
      </c>
      <c r="AR16" s="17">
        <v>0.18509999999999999</v>
      </c>
      <c r="AS16" s="17">
        <v>1.1499999999999999</v>
      </c>
      <c r="BC16" s="17">
        <v>181637</v>
      </c>
      <c r="BD16" s="17" t="s">
        <v>14</v>
      </c>
      <c r="BE16" s="17" t="s">
        <v>11</v>
      </c>
      <c r="BF16" s="17">
        <v>290060</v>
      </c>
      <c r="BG16" s="17" t="s">
        <v>10</v>
      </c>
      <c r="BH16" s="17">
        <v>11.83</v>
      </c>
      <c r="BI16" s="17" t="s">
        <v>27</v>
      </c>
    </row>
    <row r="17" spans="1:61" x14ac:dyDescent="0.25">
      <c r="A17" s="17">
        <v>181605</v>
      </c>
      <c r="B17" s="17" t="s">
        <v>14</v>
      </c>
      <c r="C17" s="17" t="s">
        <v>11</v>
      </c>
      <c r="D17" s="17">
        <v>292578</v>
      </c>
      <c r="E17" s="17" t="s">
        <v>10</v>
      </c>
      <c r="F17" s="18" t="s">
        <v>70</v>
      </c>
      <c r="G17" s="17"/>
      <c r="H17" s="19">
        <v>-4</v>
      </c>
      <c r="J17" s="17">
        <v>181572</v>
      </c>
      <c r="K17" s="17" t="s">
        <v>66</v>
      </c>
      <c r="L17" s="17" t="s">
        <v>9</v>
      </c>
      <c r="M17" s="17">
        <v>295581</v>
      </c>
      <c r="N17" s="17" t="s">
        <v>12</v>
      </c>
      <c r="O17" s="18" t="s">
        <v>35</v>
      </c>
      <c r="P17" s="17"/>
      <c r="Q17" s="19">
        <v>-6</v>
      </c>
      <c r="S17" s="17">
        <v>181583</v>
      </c>
      <c r="T17" s="17" t="s">
        <v>14</v>
      </c>
      <c r="U17" s="17" t="s">
        <v>121</v>
      </c>
      <c r="V17" s="17">
        <v>290059</v>
      </c>
      <c r="W17" s="17" t="s">
        <v>13</v>
      </c>
      <c r="X17" s="17">
        <v>58</v>
      </c>
      <c r="Y17" s="17">
        <v>58</v>
      </c>
      <c r="Z17" s="17">
        <v>0</v>
      </c>
      <c r="AA17" s="17" t="s">
        <v>95</v>
      </c>
      <c r="AB17" s="14"/>
      <c r="AC17" s="14"/>
      <c r="AD17" s="14"/>
      <c r="AE17" s="14"/>
      <c r="AF17" s="14"/>
      <c r="AG17" s="14"/>
      <c r="AH17" s="14"/>
      <c r="AI17" s="14"/>
      <c r="AJ17" s="14"/>
      <c r="AL17" s="17">
        <v>181633</v>
      </c>
      <c r="AM17" s="17" t="s">
        <v>14</v>
      </c>
      <c r="AN17" s="17" t="s">
        <v>11</v>
      </c>
      <c r="AO17" s="17">
        <v>290061</v>
      </c>
      <c r="AP17" s="17" t="s">
        <v>10</v>
      </c>
      <c r="AQ17" s="17">
        <v>0.183</v>
      </c>
      <c r="AR17" s="17">
        <v>0.18509999999999999</v>
      </c>
      <c r="AS17" s="17">
        <v>1.1499999999999999</v>
      </c>
      <c r="BC17" s="17">
        <v>181633</v>
      </c>
      <c r="BD17" s="17" t="s">
        <v>14</v>
      </c>
      <c r="BE17" s="17" t="s">
        <v>11</v>
      </c>
      <c r="BF17" s="17">
        <v>290059</v>
      </c>
      <c r="BG17" s="17" t="s">
        <v>10</v>
      </c>
      <c r="BH17" s="17">
        <v>23.93</v>
      </c>
      <c r="BI17" s="17" t="s">
        <v>27</v>
      </c>
    </row>
    <row r="18" spans="1:61" x14ac:dyDescent="0.25">
      <c r="A18" s="17">
        <v>181606</v>
      </c>
      <c r="B18" s="17" t="s">
        <v>14</v>
      </c>
      <c r="C18" s="17" t="s">
        <v>11</v>
      </c>
      <c r="D18" s="17">
        <v>292578</v>
      </c>
      <c r="E18" s="17" t="s">
        <v>10</v>
      </c>
      <c r="F18" s="18" t="s">
        <v>70</v>
      </c>
      <c r="G18" s="17"/>
      <c r="H18" s="19">
        <v>-4</v>
      </c>
      <c r="J18" s="17">
        <v>181621</v>
      </c>
      <c r="K18" s="17" t="s">
        <v>14</v>
      </c>
      <c r="L18" s="17" t="s">
        <v>11</v>
      </c>
      <c r="M18" s="17">
        <v>292578</v>
      </c>
      <c r="N18" s="17" t="s">
        <v>10</v>
      </c>
      <c r="O18" s="18" t="s">
        <v>38</v>
      </c>
      <c r="P18" s="17"/>
      <c r="Q18" s="19">
        <v>-5</v>
      </c>
      <c r="S18" s="17">
        <v>181586</v>
      </c>
      <c r="T18" s="17" t="s">
        <v>14</v>
      </c>
      <c r="U18" s="17" t="s">
        <v>121</v>
      </c>
      <c r="V18" s="17">
        <v>290059</v>
      </c>
      <c r="W18" s="17" t="s">
        <v>13</v>
      </c>
      <c r="X18" s="17">
        <v>58</v>
      </c>
      <c r="Y18" s="17">
        <v>58</v>
      </c>
      <c r="Z18" s="17">
        <v>0</v>
      </c>
      <c r="AA18" s="17" t="s">
        <v>95</v>
      </c>
      <c r="AB18" s="14"/>
      <c r="AC18" s="14"/>
      <c r="AD18" s="14"/>
      <c r="AE18" s="14"/>
      <c r="AF18" s="14"/>
      <c r="AG18" s="14"/>
      <c r="AH18" s="14"/>
      <c r="AI18" s="14"/>
      <c r="AJ18" s="14"/>
      <c r="AL18" s="17">
        <v>181583</v>
      </c>
      <c r="AM18" s="17" t="s">
        <v>14</v>
      </c>
      <c r="AN18" s="17" t="s">
        <v>121</v>
      </c>
      <c r="AO18" s="17">
        <v>290059</v>
      </c>
      <c r="AP18" s="17" t="s">
        <v>126</v>
      </c>
      <c r="AQ18" s="17">
        <v>0.33500000000000002</v>
      </c>
      <c r="AR18" s="17">
        <v>0.34089999999999998</v>
      </c>
      <c r="AS18" s="17">
        <v>1.76</v>
      </c>
    </row>
    <row r="19" spans="1:61" x14ac:dyDescent="0.25">
      <c r="A19" s="17">
        <v>181607</v>
      </c>
      <c r="B19" s="17" t="s">
        <v>14</v>
      </c>
      <c r="C19" s="17" t="s">
        <v>11</v>
      </c>
      <c r="D19" s="17">
        <v>292578</v>
      </c>
      <c r="E19" s="17" t="s">
        <v>10</v>
      </c>
      <c r="F19" s="18" t="s">
        <v>70</v>
      </c>
      <c r="G19" s="17"/>
      <c r="H19" s="19">
        <v>-4</v>
      </c>
      <c r="J19" s="17">
        <v>181621</v>
      </c>
      <c r="K19" s="17" t="s">
        <v>14</v>
      </c>
      <c r="L19" s="17" t="s">
        <v>11</v>
      </c>
      <c r="M19" s="17">
        <v>292582</v>
      </c>
      <c r="N19" s="17" t="s">
        <v>10</v>
      </c>
      <c r="O19" s="18" t="s">
        <v>38</v>
      </c>
      <c r="P19" s="17"/>
      <c r="Q19" s="19">
        <v>-5</v>
      </c>
      <c r="S19" s="17">
        <v>181572</v>
      </c>
      <c r="T19" s="17" t="s">
        <v>66</v>
      </c>
      <c r="U19" s="17" t="s">
        <v>9</v>
      </c>
      <c r="V19" s="17">
        <v>295580</v>
      </c>
      <c r="W19" s="17"/>
      <c r="X19" s="17">
        <v>0</v>
      </c>
      <c r="Y19" s="17">
        <v>57.1</v>
      </c>
      <c r="Z19" s="17"/>
      <c r="AA19" s="17" t="s">
        <v>97</v>
      </c>
      <c r="AB19" s="14"/>
      <c r="AC19" s="14"/>
      <c r="AD19" s="14"/>
      <c r="AE19" s="14"/>
      <c r="AF19" s="14"/>
      <c r="AG19" s="14"/>
      <c r="AH19" s="14"/>
      <c r="AI19" s="14"/>
      <c r="AJ19" s="14"/>
      <c r="AL19" s="17">
        <v>181629</v>
      </c>
      <c r="AM19" s="17" t="s">
        <v>14</v>
      </c>
      <c r="AN19" s="17" t="s">
        <v>11</v>
      </c>
      <c r="AO19" s="17">
        <v>290060</v>
      </c>
      <c r="AP19" s="17" t="s">
        <v>10</v>
      </c>
      <c r="AQ19" s="17">
        <v>0.20100000000000001</v>
      </c>
      <c r="AR19" s="17">
        <v>0.2064</v>
      </c>
      <c r="AS19" s="17">
        <v>2.69</v>
      </c>
    </row>
    <row r="20" spans="1:61" x14ac:dyDescent="0.25">
      <c r="A20" s="17">
        <v>181621</v>
      </c>
      <c r="B20" s="17" t="s">
        <v>14</v>
      </c>
      <c r="C20" s="17" t="s">
        <v>11</v>
      </c>
      <c r="D20" s="17">
        <v>292578</v>
      </c>
      <c r="E20" s="17" t="s">
        <v>10</v>
      </c>
      <c r="F20" s="18" t="s">
        <v>70</v>
      </c>
      <c r="G20" s="17"/>
      <c r="H20" s="19">
        <v>-4</v>
      </c>
      <c r="J20" s="17">
        <v>181599</v>
      </c>
      <c r="K20" s="17" t="s">
        <v>14</v>
      </c>
      <c r="L20" s="17" t="s">
        <v>9</v>
      </c>
      <c r="M20" s="17">
        <v>292733</v>
      </c>
      <c r="N20" s="17" t="s">
        <v>12</v>
      </c>
      <c r="O20" s="18" t="s">
        <v>38</v>
      </c>
      <c r="P20" s="17"/>
      <c r="Q20" s="19">
        <v>-5</v>
      </c>
      <c r="S20" s="17">
        <v>181633</v>
      </c>
      <c r="T20" s="17" t="s">
        <v>14</v>
      </c>
      <c r="U20" s="17" t="s">
        <v>11</v>
      </c>
      <c r="V20" s="17">
        <v>292735</v>
      </c>
      <c r="W20" s="17" t="s">
        <v>13</v>
      </c>
      <c r="X20" s="17">
        <v>58</v>
      </c>
      <c r="Y20" s="17"/>
      <c r="Z20" s="17"/>
      <c r="AA20" s="17" t="s">
        <v>95</v>
      </c>
      <c r="AB20" s="14"/>
      <c r="AC20" s="14"/>
      <c r="AD20" s="14"/>
      <c r="AE20" s="14"/>
      <c r="AF20" s="14"/>
      <c r="AG20" s="14"/>
      <c r="AH20" s="14"/>
      <c r="AI20" s="14"/>
      <c r="AJ20" s="14"/>
    </row>
    <row r="21" spans="1:61" x14ac:dyDescent="0.25">
      <c r="A21" s="17">
        <v>181622</v>
      </c>
      <c r="B21" s="17" t="s">
        <v>14</v>
      </c>
      <c r="C21" s="17" t="s">
        <v>11</v>
      </c>
      <c r="D21" s="17">
        <v>292578</v>
      </c>
      <c r="E21" s="17" t="s">
        <v>10</v>
      </c>
      <c r="F21" s="18" t="s">
        <v>70</v>
      </c>
      <c r="G21" s="17"/>
      <c r="H21" s="19">
        <v>-4</v>
      </c>
      <c r="J21" s="17">
        <v>181600</v>
      </c>
      <c r="K21" s="17" t="s">
        <v>14</v>
      </c>
      <c r="L21" s="17" t="s">
        <v>9</v>
      </c>
      <c r="M21" s="17">
        <v>292734</v>
      </c>
      <c r="N21" s="17" t="s">
        <v>12</v>
      </c>
      <c r="O21" s="18" t="s">
        <v>38</v>
      </c>
      <c r="P21" s="17"/>
      <c r="Q21" s="19">
        <v>-5</v>
      </c>
      <c r="S21" s="17">
        <v>181629</v>
      </c>
      <c r="T21" s="17" t="s">
        <v>14</v>
      </c>
      <c r="U21" s="17" t="s">
        <v>11</v>
      </c>
      <c r="V21" s="17">
        <v>294353</v>
      </c>
      <c r="W21" s="17" t="s">
        <v>13</v>
      </c>
      <c r="X21" s="17">
        <v>58</v>
      </c>
      <c r="Y21" s="17"/>
      <c r="Z21" s="17"/>
      <c r="AA21" s="17" t="s">
        <v>95</v>
      </c>
      <c r="AB21" s="14"/>
      <c r="AC21" s="14"/>
      <c r="AD21" s="14"/>
      <c r="AE21" s="14"/>
      <c r="AF21" s="14"/>
      <c r="AG21" s="14"/>
      <c r="AH21" s="14"/>
      <c r="AI21" s="14"/>
      <c r="AJ21" s="14"/>
    </row>
    <row r="22" spans="1:61" x14ac:dyDescent="0.25">
      <c r="A22" s="17">
        <v>181606</v>
      </c>
      <c r="B22" s="17" t="s">
        <v>14</v>
      </c>
      <c r="C22" s="17" t="s">
        <v>11</v>
      </c>
      <c r="D22" s="17">
        <v>292585</v>
      </c>
      <c r="E22" s="17" t="s">
        <v>10</v>
      </c>
      <c r="F22" s="18" t="s">
        <v>70</v>
      </c>
      <c r="G22" s="17"/>
      <c r="H22" s="19">
        <v>-4</v>
      </c>
      <c r="J22" s="17">
        <v>181622</v>
      </c>
      <c r="K22" s="17" t="s">
        <v>14</v>
      </c>
      <c r="L22" s="17" t="s">
        <v>11</v>
      </c>
      <c r="M22" s="17">
        <v>292578</v>
      </c>
      <c r="N22" s="17" t="s">
        <v>10</v>
      </c>
      <c r="O22" s="18" t="s">
        <v>63</v>
      </c>
      <c r="P22" s="17"/>
      <c r="Q22" s="19">
        <v>-2</v>
      </c>
      <c r="S22" s="17">
        <v>181630</v>
      </c>
      <c r="T22" s="17" t="s">
        <v>14</v>
      </c>
      <c r="U22" s="17" t="s">
        <v>11</v>
      </c>
      <c r="V22" s="17">
        <v>293266</v>
      </c>
      <c r="W22" s="17" t="s">
        <v>13</v>
      </c>
      <c r="X22" s="17">
        <v>58</v>
      </c>
      <c r="Y22" s="17"/>
      <c r="Z22" s="17"/>
      <c r="AA22" s="17" t="s">
        <v>95</v>
      </c>
      <c r="AB22" s="14"/>
      <c r="AC22" s="14"/>
      <c r="AD22" s="14"/>
      <c r="AE22" s="14"/>
      <c r="AF22" s="14"/>
      <c r="AG22" s="14"/>
      <c r="AH22" s="14"/>
      <c r="AI22" s="14"/>
      <c r="AJ22" s="14"/>
    </row>
    <row r="23" spans="1:61" x14ac:dyDescent="0.25">
      <c r="A23" s="17">
        <v>181602</v>
      </c>
      <c r="B23" s="17" t="s">
        <v>14</v>
      </c>
      <c r="C23" s="17" t="s">
        <v>11</v>
      </c>
      <c r="D23" s="17">
        <v>292582</v>
      </c>
      <c r="E23" s="17" t="s">
        <v>10</v>
      </c>
      <c r="F23" s="18" t="s">
        <v>70</v>
      </c>
      <c r="G23" s="17"/>
      <c r="H23" s="19">
        <v>-4</v>
      </c>
      <c r="J23" s="17">
        <v>181622</v>
      </c>
      <c r="K23" s="17" t="s">
        <v>14</v>
      </c>
      <c r="L23" s="17" t="s">
        <v>11</v>
      </c>
      <c r="M23" s="17">
        <v>292582</v>
      </c>
      <c r="N23" s="17" t="s">
        <v>10</v>
      </c>
      <c r="O23" s="18" t="s">
        <v>63</v>
      </c>
      <c r="P23" s="17"/>
      <c r="Q23" s="19">
        <v>-2</v>
      </c>
      <c r="S23" s="17">
        <v>181630</v>
      </c>
      <c r="T23" s="17" t="s">
        <v>14</v>
      </c>
      <c r="U23" s="17" t="s">
        <v>11</v>
      </c>
      <c r="V23" s="17">
        <v>292103</v>
      </c>
      <c r="W23" s="17" t="s">
        <v>13</v>
      </c>
      <c r="X23" s="17">
        <v>58</v>
      </c>
      <c r="Y23" s="17"/>
      <c r="Z23" s="17"/>
      <c r="AA23" s="17" t="s">
        <v>95</v>
      </c>
      <c r="AB23" s="14"/>
      <c r="AC23" s="14"/>
      <c r="AD23" s="14"/>
      <c r="AE23" s="14"/>
      <c r="AF23" s="14"/>
      <c r="AG23" s="14"/>
      <c r="AH23" s="14"/>
      <c r="AI23" s="14"/>
      <c r="AJ23" s="14"/>
    </row>
    <row r="24" spans="1:61" x14ac:dyDescent="0.25">
      <c r="A24" s="17">
        <v>181603</v>
      </c>
      <c r="B24" s="17" t="s">
        <v>14</v>
      </c>
      <c r="C24" s="17" t="s">
        <v>11</v>
      </c>
      <c r="D24" s="17">
        <v>292582</v>
      </c>
      <c r="E24" s="17" t="s">
        <v>10</v>
      </c>
      <c r="F24" s="18" t="s">
        <v>70</v>
      </c>
      <c r="G24" s="17"/>
      <c r="H24" s="19">
        <v>-4</v>
      </c>
      <c r="J24" s="17">
        <v>181609</v>
      </c>
      <c r="K24" s="17" t="s">
        <v>14</v>
      </c>
      <c r="L24" s="17" t="s">
        <v>11</v>
      </c>
      <c r="M24" s="17">
        <v>292586</v>
      </c>
      <c r="N24" s="17" t="s">
        <v>10</v>
      </c>
      <c r="O24" s="18" t="s">
        <v>62</v>
      </c>
      <c r="P24" s="17"/>
      <c r="Q24" s="19">
        <v>0</v>
      </c>
      <c r="S24" s="17">
        <v>181630</v>
      </c>
      <c r="T24" s="17" t="s">
        <v>14</v>
      </c>
      <c r="U24" s="17" t="s">
        <v>11</v>
      </c>
      <c r="V24" s="17">
        <v>293267</v>
      </c>
      <c r="W24" s="17" t="s">
        <v>13</v>
      </c>
      <c r="X24" s="17">
        <v>58</v>
      </c>
      <c r="Y24" s="17"/>
      <c r="Z24" s="17"/>
      <c r="AA24" s="17" t="s">
        <v>95</v>
      </c>
      <c r="AB24" s="14"/>
      <c r="AC24" s="14"/>
      <c r="AD24" s="14"/>
      <c r="AE24" s="14"/>
      <c r="AF24" s="14"/>
      <c r="AG24" s="14"/>
      <c r="AH24" s="14"/>
      <c r="AI24" s="14"/>
      <c r="AJ24" s="14"/>
    </row>
    <row r="25" spans="1:61" x14ac:dyDescent="0.25">
      <c r="A25" s="17">
        <v>181604</v>
      </c>
      <c r="B25" s="17" t="s">
        <v>14</v>
      </c>
      <c r="C25" s="17" t="s">
        <v>11</v>
      </c>
      <c r="D25" s="17">
        <v>292582</v>
      </c>
      <c r="E25" s="17" t="s">
        <v>10</v>
      </c>
      <c r="F25" s="18" t="s">
        <v>70</v>
      </c>
      <c r="G25" s="17"/>
      <c r="H25" s="19">
        <v>-4</v>
      </c>
      <c r="J25" s="17">
        <v>181610</v>
      </c>
      <c r="K25" s="17" t="s">
        <v>14</v>
      </c>
      <c r="L25" s="17" t="s">
        <v>11</v>
      </c>
      <c r="M25" s="17">
        <v>292586</v>
      </c>
      <c r="N25" s="17" t="s">
        <v>10</v>
      </c>
      <c r="O25" s="18" t="s">
        <v>62</v>
      </c>
      <c r="P25" s="17"/>
      <c r="Q25" s="19">
        <v>0</v>
      </c>
      <c r="S25" s="17">
        <v>181635</v>
      </c>
      <c r="T25" s="17" t="s">
        <v>14</v>
      </c>
      <c r="U25" s="17" t="s">
        <v>11</v>
      </c>
      <c r="V25" s="17">
        <v>295048</v>
      </c>
      <c r="W25" s="17" t="s">
        <v>13</v>
      </c>
      <c r="X25" s="17">
        <v>0</v>
      </c>
      <c r="Y25" s="17"/>
      <c r="Z25" s="17"/>
      <c r="AA25" s="17" t="s">
        <v>97</v>
      </c>
      <c r="AB25" s="14"/>
      <c r="AC25" s="14"/>
      <c r="AD25" s="14"/>
      <c r="AE25" s="14"/>
      <c r="AF25" s="14"/>
      <c r="AG25" s="14"/>
      <c r="AH25" s="14"/>
      <c r="AI25" s="14"/>
      <c r="AJ25" s="14"/>
    </row>
    <row r="26" spans="1:61" x14ac:dyDescent="0.25">
      <c r="A26" s="17">
        <v>181605</v>
      </c>
      <c r="B26" s="17" t="s">
        <v>14</v>
      </c>
      <c r="C26" s="17" t="s">
        <v>11</v>
      </c>
      <c r="D26" s="17">
        <v>292582</v>
      </c>
      <c r="E26" s="17" t="s">
        <v>10</v>
      </c>
      <c r="F26" s="18" t="s">
        <v>70</v>
      </c>
      <c r="G26" s="17"/>
      <c r="H26" s="19">
        <v>-4</v>
      </c>
      <c r="J26" s="17">
        <v>181598</v>
      </c>
      <c r="K26" s="17" t="s">
        <v>14</v>
      </c>
      <c r="L26" s="17" t="s">
        <v>9</v>
      </c>
      <c r="M26" s="17">
        <v>292732</v>
      </c>
      <c r="N26" s="17" t="s">
        <v>12</v>
      </c>
      <c r="O26" s="18" t="s">
        <v>65</v>
      </c>
      <c r="P26" s="17"/>
      <c r="Q26" s="19">
        <v>1</v>
      </c>
      <c r="S26" s="17">
        <v>181635</v>
      </c>
      <c r="T26" s="17" t="s">
        <v>14</v>
      </c>
      <c r="U26" s="17" t="s">
        <v>11</v>
      </c>
      <c r="V26" s="17">
        <v>295053</v>
      </c>
      <c r="W26" s="17" t="s">
        <v>13</v>
      </c>
      <c r="X26" s="17">
        <v>0</v>
      </c>
      <c r="Y26" s="17"/>
      <c r="Z26" s="17"/>
      <c r="AA26" s="17" t="s">
        <v>97</v>
      </c>
      <c r="AB26" s="14"/>
      <c r="AC26" s="14"/>
      <c r="AD26" s="14"/>
      <c r="AE26" s="14"/>
      <c r="AF26" s="14"/>
      <c r="AG26" s="14"/>
      <c r="AH26" s="14"/>
      <c r="AI26" s="14"/>
      <c r="AJ26" s="14"/>
    </row>
    <row r="27" spans="1:61" x14ac:dyDescent="0.25">
      <c r="A27" s="17">
        <v>181606</v>
      </c>
      <c r="B27" s="17" t="s">
        <v>14</v>
      </c>
      <c r="C27" s="17" t="s">
        <v>11</v>
      </c>
      <c r="D27" s="17">
        <v>292582</v>
      </c>
      <c r="E27" s="17" t="s">
        <v>10</v>
      </c>
      <c r="F27" s="18" t="s">
        <v>70</v>
      </c>
      <c r="G27" s="17"/>
      <c r="H27" s="19">
        <v>-4</v>
      </c>
      <c r="J27" s="17">
        <v>181596</v>
      </c>
      <c r="K27" s="17" t="s">
        <v>14</v>
      </c>
      <c r="L27" s="17" t="s">
        <v>9</v>
      </c>
      <c r="M27" s="17">
        <v>295034</v>
      </c>
      <c r="N27" s="17" t="s">
        <v>12</v>
      </c>
      <c r="O27" s="18" t="s">
        <v>65</v>
      </c>
      <c r="P27" s="17"/>
      <c r="Q27" s="19">
        <v>1</v>
      </c>
      <c r="S27" s="17">
        <v>181636</v>
      </c>
      <c r="T27" s="17" t="s">
        <v>14</v>
      </c>
      <c r="U27" s="17" t="s">
        <v>11</v>
      </c>
      <c r="V27" s="17">
        <v>290060</v>
      </c>
      <c r="W27" s="17" t="s">
        <v>13</v>
      </c>
      <c r="X27" s="17">
        <v>58</v>
      </c>
      <c r="Y27" s="17"/>
      <c r="Z27" s="17"/>
      <c r="AA27" s="17" t="s">
        <v>95</v>
      </c>
      <c r="AB27" s="14"/>
      <c r="AC27" s="14"/>
      <c r="AD27" s="14"/>
      <c r="AE27" s="14"/>
      <c r="AF27" s="14"/>
      <c r="AG27" s="14"/>
      <c r="AH27" s="14"/>
      <c r="AI27" s="14"/>
      <c r="AJ27" s="14"/>
    </row>
    <row r="28" spans="1:61" x14ac:dyDescent="0.25">
      <c r="A28" s="17">
        <v>181621</v>
      </c>
      <c r="B28" s="17" t="s">
        <v>14</v>
      </c>
      <c r="C28" s="17" t="s">
        <v>11</v>
      </c>
      <c r="D28" s="17">
        <v>292582</v>
      </c>
      <c r="E28" s="17" t="s">
        <v>10</v>
      </c>
      <c r="F28" s="18" t="s">
        <v>70</v>
      </c>
      <c r="G28" s="17"/>
      <c r="H28" s="19">
        <v>-4</v>
      </c>
      <c r="J28" s="17">
        <v>181597</v>
      </c>
      <c r="K28" s="17" t="s">
        <v>14</v>
      </c>
      <c r="L28" s="17" t="s">
        <v>9</v>
      </c>
      <c r="M28" s="17">
        <v>292731</v>
      </c>
      <c r="N28" s="17" t="s">
        <v>12</v>
      </c>
      <c r="O28" s="18" t="s">
        <v>65</v>
      </c>
      <c r="P28" s="17"/>
      <c r="Q28" s="19">
        <v>1</v>
      </c>
      <c r="S28" s="17">
        <v>181636</v>
      </c>
      <c r="T28" s="17" t="s">
        <v>14</v>
      </c>
      <c r="U28" s="17" t="s">
        <v>11</v>
      </c>
      <c r="V28" s="17">
        <v>290062</v>
      </c>
      <c r="W28" s="17" t="s">
        <v>13</v>
      </c>
      <c r="X28" s="17">
        <v>58</v>
      </c>
      <c r="Y28" s="17"/>
      <c r="Z28" s="17"/>
      <c r="AA28" s="17" t="s">
        <v>95</v>
      </c>
      <c r="AB28" s="14"/>
      <c r="AC28" s="14"/>
      <c r="AD28" s="14"/>
      <c r="AE28" s="14"/>
      <c r="AF28" s="14"/>
      <c r="AG28" s="14"/>
      <c r="AH28" s="14"/>
      <c r="AI28" s="14"/>
      <c r="AJ28" s="14"/>
    </row>
    <row r="29" spans="1:61" x14ac:dyDescent="0.25">
      <c r="A29" s="17">
        <v>181622</v>
      </c>
      <c r="B29" s="17" t="s">
        <v>14</v>
      </c>
      <c r="C29" s="17" t="s">
        <v>11</v>
      </c>
      <c r="D29" s="17">
        <v>292582</v>
      </c>
      <c r="E29" s="17" t="s">
        <v>10</v>
      </c>
      <c r="F29" s="18" t="s">
        <v>70</v>
      </c>
      <c r="G29" s="17"/>
      <c r="H29" s="19">
        <v>-4</v>
      </c>
      <c r="J29" s="17">
        <v>181587</v>
      </c>
      <c r="K29" s="17" t="s">
        <v>14</v>
      </c>
      <c r="L29" s="17" t="s">
        <v>121</v>
      </c>
      <c r="M29" s="17">
        <v>290059</v>
      </c>
      <c r="N29" s="17" t="s">
        <v>126</v>
      </c>
      <c r="O29" s="18" t="s">
        <v>41</v>
      </c>
      <c r="P29" s="17"/>
      <c r="Q29" s="19">
        <v>2</v>
      </c>
      <c r="S29" s="17">
        <v>181637</v>
      </c>
      <c r="T29" s="17" t="s">
        <v>14</v>
      </c>
      <c r="U29" s="17" t="s">
        <v>11</v>
      </c>
      <c r="V29" s="17">
        <v>290062</v>
      </c>
      <c r="W29" s="17" t="s">
        <v>13</v>
      </c>
      <c r="X29" s="17">
        <v>58</v>
      </c>
      <c r="Y29" s="17"/>
      <c r="Z29" s="17"/>
      <c r="AA29" s="17" t="s">
        <v>95</v>
      </c>
      <c r="AB29" s="14"/>
      <c r="AC29" s="14"/>
      <c r="AD29" s="14"/>
      <c r="AE29" s="14"/>
      <c r="AF29" s="14"/>
      <c r="AG29" s="14"/>
      <c r="AH29" s="14"/>
      <c r="AI29" s="14"/>
      <c r="AJ29" s="14"/>
    </row>
    <row r="30" spans="1:61" x14ac:dyDescent="0.25">
      <c r="A30" s="17">
        <v>181602</v>
      </c>
      <c r="B30" s="17" t="s">
        <v>14</v>
      </c>
      <c r="C30" s="17" t="s">
        <v>11</v>
      </c>
      <c r="D30" s="17">
        <v>292581</v>
      </c>
      <c r="E30" s="17" t="s">
        <v>10</v>
      </c>
      <c r="F30" s="18" t="s">
        <v>70</v>
      </c>
      <c r="G30" s="17"/>
      <c r="H30" s="19">
        <v>-4</v>
      </c>
      <c r="J30" s="17">
        <v>181587</v>
      </c>
      <c r="K30" s="17" t="s">
        <v>14</v>
      </c>
      <c r="L30" s="17" t="s">
        <v>121</v>
      </c>
      <c r="M30" s="17">
        <v>290060</v>
      </c>
      <c r="N30" s="17" t="s">
        <v>126</v>
      </c>
      <c r="O30" s="18" t="s">
        <v>41</v>
      </c>
      <c r="P30" s="17"/>
      <c r="Q30" s="19">
        <v>2</v>
      </c>
      <c r="S30" s="17">
        <v>181637</v>
      </c>
      <c r="T30" s="17" t="s">
        <v>14</v>
      </c>
      <c r="U30" s="17" t="s">
        <v>11</v>
      </c>
      <c r="V30" s="17">
        <v>290063</v>
      </c>
      <c r="W30" s="17" t="s">
        <v>13</v>
      </c>
      <c r="X30" s="17">
        <v>58</v>
      </c>
      <c r="Y30" s="17"/>
      <c r="Z30" s="17"/>
      <c r="AA30" s="17" t="s">
        <v>95</v>
      </c>
      <c r="AB30" s="14"/>
      <c r="AC30" s="14"/>
      <c r="AD30" s="14"/>
      <c r="AE30" s="14"/>
      <c r="AF30" s="14"/>
      <c r="AG30" s="14"/>
      <c r="AH30" s="14"/>
      <c r="AI30" s="14"/>
      <c r="AJ30" s="14"/>
    </row>
    <row r="31" spans="1:61" x14ac:dyDescent="0.25">
      <c r="A31" s="17">
        <v>181603</v>
      </c>
      <c r="B31" s="17" t="s">
        <v>14</v>
      </c>
      <c r="C31" s="17" t="s">
        <v>11</v>
      </c>
      <c r="D31" s="17">
        <v>292581</v>
      </c>
      <c r="E31" s="17" t="s">
        <v>10</v>
      </c>
      <c r="F31" s="18" t="s">
        <v>70</v>
      </c>
      <c r="G31" s="17"/>
      <c r="H31" s="19">
        <v>-4</v>
      </c>
      <c r="J31" s="17">
        <v>181587</v>
      </c>
      <c r="K31" s="17" t="s">
        <v>14</v>
      </c>
      <c r="L31" s="17" t="s">
        <v>121</v>
      </c>
      <c r="M31" s="17">
        <v>292100</v>
      </c>
      <c r="N31" s="17" t="s">
        <v>126</v>
      </c>
      <c r="O31" s="18" t="s">
        <v>41</v>
      </c>
      <c r="P31" s="17"/>
      <c r="Q31" s="19">
        <v>2</v>
      </c>
      <c r="S31" s="17">
        <v>181634</v>
      </c>
      <c r="T31" s="17" t="s">
        <v>14</v>
      </c>
      <c r="U31" s="17" t="s">
        <v>11</v>
      </c>
      <c r="V31" s="17">
        <v>292107</v>
      </c>
      <c r="W31" s="17" t="s">
        <v>13</v>
      </c>
      <c r="X31" s="17">
        <v>58</v>
      </c>
      <c r="Y31" s="17"/>
      <c r="Z31" s="17"/>
      <c r="AA31" s="17" t="s">
        <v>95</v>
      </c>
      <c r="AB31" s="14"/>
      <c r="AC31" s="14"/>
      <c r="AD31" s="14"/>
      <c r="AE31" s="14"/>
      <c r="AF31" s="14"/>
      <c r="AG31" s="14"/>
      <c r="AH31" s="14"/>
      <c r="AI31" s="14"/>
      <c r="AJ31" s="14"/>
    </row>
    <row r="32" spans="1:61" x14ac:dyDescent="0.25">
      <c r="A32" s="17">
        <v>181638</v>
      </c>
      <c r="B32" s="17" t="s">
        <v>14</v>
      </c>
      <c r="C32" s="17" t="s">
        <v>11</v>
      </c>
      <c r="D32" s="17">
        <v>294571</v>
      </c>
      <c r="E32" s="17" t="s">
        <v>10</v>
      </c>
      <c r="F32" s="18" t="s">
        <v>70</v>
      </c>
      <c r="G32" s="17"/>
      <c r="H32" s="19">
        <v>-4</v>
      </c>
      <c r="J32" s="17">
        <v>181612</v>
      </c>
      <c r="K32" s="17" t="s">
        <v>14</v>
      </c>
      <c r="L32" s="17" t="s">
        <v>11</v>
      </c>
      <c r="M32" s="17">
        <v>292590</v>
      </c>
      <c r="N32" s="17" t="s">
        <v>10</v>
      </c>
      <c r="O32" s="18" t="s">
        <v>41</v>
      </c>
      <c r="P32" s="17"/>
      <c r="Q32" s="19">
        <v>2</v>
      </c>
      <c r="S32" s="17">
        <v>181634</v>
      </c>
      <c r="T32" s="17" t="s">
        <v>14</v>
      </c>
      <c r="U32" s="17" t="s">
        <v>11</v>
      </c>
      <c r="V32" s="17">
        <v>293262</v>
      </c>
      <c r="W32" s="17" t="s">
        <v>13</v>
      </c>
      <c r="X32" s="17">
        <v>58</v>
      </c>
      <c r="Y32" s="17"/>
      <c r="Z32" s="17"/>
      <c r="AA32" s="17" t="s">
        <v>95</v>
      </c>
      <c r="AB32" s="14"/>
      <c r="AC32" s="14"/>
      <c r="AD32" s="14"/>
      <c r="AE32" s="14"/>
      <c r="AF32" s="14"/>
      <c r="AG32" s="14"/>
      <c r="AH32" s="14"/>
      <c r="AI32" s="14"/>
      <c r="AJ32" s="14"/>
    </row>
    <row r="33" spans="1:36" x14ac:dyDescent="0.25">
      <c r="A33" s="17">
        <v>181593</v>
      </c>
      <c r="B33" s="17" t="s">
        <v>14</v>
      </c>
      <c r="C33" s="17" t="s">
        <v>9</v>
      </c>
      <c r="D33" s="17">
        <v>294351</v>
      </c>
      <c r="E33" s="17" t="s">
        <v>12</v>
      </c>
      <c r="F33" s="18" t="s">
        <v>70</v>
      </c>
      <c r="G33" s="17"/>
      <c r="H33" s="19">
        <v>-4</v>
      </c>
      <c r="J33" s="17">
        <v>181612</v>
      </c>
      <c r="K33" s="17" t="s">
        <v>14</v>
      </c>
      <c r="L33" s="17" t="s">
        <v>11</v>
      </c>
      <c r="M33" s="17">
        <v>292587</v>
      </c>
      <c r="N33" s="17" t="s">
        <v>10</v>
      </c>
      <c r="O33" s="18" t="s">
        <v>41</v>
      </c>
      <c r="P33" s="17"/>
      <c r="Q33" s="19">
        <v>2</v>
      </c>
      <c r="S33" s="17">
        <v>181572</v>
      </c>
      <c r="T33" s="17" t="s">
        <v>66</v>
      </c>
      <c r="U33" s="17" t="s">
        <v>9</v>
      </c>
      <c r="V33" s="17">
        <v>295581</v>
      </c>
      <c r="W33" s="17"/>
      <c r="X33" s="17">
        <v>0</v>
      </c>
      <c r="Y33" s="17"/>
      <c r="Z33" s="17"/>
      <c r="AA33" s="17" t="s">
        <v>97</v>
      </c>
      <c r="AB33" s="14"/>
      <c r="AC33" s="14"/>
      <c r="AD33" s="14"/>
      <c r="AE33" s="14"/>
      <c r="AF33" s="14"/>
      <c r="AG33" s="14"/>
      <c r="AH33" s="14"/>
      <c r="AI33" s="14"/>
      <c r="AJ33" s="14"/>
    </row>
    <row r="34" spans="1:36" x14ac:dyDescent="0.25">
      <c r="A34" s="17">
        <v>181638</v>
      </c>
      <c r="B34" s="17" t="s">
        <v>14</v>
      </c>
      <c r="C34" s="17" t="s">
        <v>11</v>
      </c>
      <c r="D34" s="17">
        <v>290061</v>
      </c>
      <c r="E34" s="17" t="s">
        <v>10</v>
      </c>
      <c r="F34" s="18" t="s">
        <v>70</v>
      </c>
      <c r="G34" s="17"/>
      <c r="H34" s="19">
        <v>-4</v>
      </c>
      <c r="J34" s="17">
        <v>181612</v>
      </c>
      <c r="K34" s="17" t="s">
        <v>14</v>
      </c>
      <c r="L34" s="17" t="s">
        <v>11</v>
      </c>
      <c r="M34" s="17">
        <v>292589</v>
      </c>
      <c r="N34" s="17" t="s">
        <v>10</v>
      </c>
      <c r="O34" s="18" t="s">
        <v>41</v>
      </c>
      <c r="P34" s="17"/>
      <c r="Q34" s="19">
        <v>2</v>
      </c>
      <c r="S34" s="17">
        <v>181571</v>
      </c>
      <c r="T34" s="17" t="s">
        <v>66</v>
      </c>
      <c r="U34" s="17" t="s">
        <v>9</v>
      </c>
      <c r="V34" s="17">
        <v>295580</v>
      </c>
      <c r="W34" s="17"/>
      <c r="X34" s="17">
        <v>0</v>
      </c>
      <c r="Y34" s="17"/>
      <c r="Z34" s="17"/>
      <c r="AA34" s="17" t="s">
        <v>97</v>
      </c>
      <c r="AB34" s="14"/>
      <c r="AC34" s="14"/>
      <c r="AD34" s="14"/>
      <c r="AE34" s="14"/>
      <c r="AF34" s="14"/>
      <c r="AG34" s="14"/>
      <c r="AH34" s="14"/>
      <c r="AI34" s="14"/>
      <c r="AJ34" s="14"/>
    </row>
    <row r="35" spans="1:36" x14ac:dyDescent="0.25">
      <c r="A35" s="17">
        <v>181638</v>
      </c>
      <c r="B35" s="17" t="s">
        <v>14</v>
      </c>
      <c r="C35" s="17" t="s">
        <v>11</v>
      </c>
      <c r="D35" s="17">
        <v>292101</v>
      </c>
      <c r="E35" s="17" t="s">
        <v>10</v>
      </c>
      <c r="F35" s="18" t="s">
        <v>70</v>
      </c>
      <c r="G35" s="17"/>
      <c r="H35" s="19">
        <v>-4</v>
      </c>
      <c r="J35" s="17">
        <v>181584</v>
      </c>
      <c r="K35" s="17" t="s">
        <v>14</v>
      </c>
      <c r="L35" s="17" t="s">
        <v>121</v>
      </c>
      <c r="M35" s="17">
        <v>290059</v>
      </c>
      <c r="N35" s="17" t="s">
        <v>126</v>
      </c>
      <c r="O35" s="18" t="s">
        <v>39</v>
      </c>
      <c r="P35" s="17"/>
      <c r="Q35" s="19">
        <v>5</v>
      </c>
      <c r="S35" s="17">
        <v>181571</v>
      </c>
      <c r="T35" s="17" t="s">
        <v>66</v>
      </c>
      <c r="U35" s="17" t="s">
        <v>9</v>
      </c>
      <c r="V35" s="17">
        <v>295581</v>
      </c>
      <c r="W35" s="17"/>
      <c r="X35" s="17">
        <v>0</v>
      </c>
      <c r="Y35" s="17"/>
      <c r="Z35" s="17"/>
      <c r="AA35" s="17" t="s">
        <v>97</v>
      </c>
      <c r="AB35" s="14"/>
      <c r="AC35" s="14"/>
      <c r="AD35" s="14"/>
      <c r="AE35" s="14"/>
      <c r="AF35" s="14"/>
      <c r="AG35" s="14"/>
      <c r="AH35" s="14"/>
      <c r="AI35" s="14"/>
      <c r="AJ35" s="14"/>
    </row>
    <row r="36" spans="1:36" x14ac:dyDescent="0.25">
      <c r="A36" s="17">
        <v>181592</v>
      </c>
      <c r="B36" s="17" t="s">
        <v>14</v>
      </c>
      <c r="C36" s="17" t="s">
        <v>9</v>
      </c>
      <c r="D36" s="17">
        <v>295031</v>
      </c>
      <c r="E36" s="17" t="s">
        <v>12</v>
      </c>
      <c r="F36" s="18" t="s">
        <v>70</v>
      </c>
      <c r="G36" s="17"/>
      <c r="H36" s="19">
        <v>-4</v>
      </c>
      <c r="J36" s="17">
        <v>181588</v>
      </c>
      <c r="K36" s="17" t="s">
        <v>14</v>
      </c>
      <c r="L36" s="17" t="s">
        <v>121</v>
      </c>
      <c r="M36" s="17">
        <v>290059</v>
      </c>
      <c r="N36" s="17" t="s">
        <v>126</v>
      </c>
      <c r="O36" s="18" t="s">
        <v>39</v>
      </c>
      <c r="P36" s="17"/>
      <c r="Q36" s="19">
        <v>5</v>
      </c>
      <c r="S36" s="17">
        <v>181592</v>
      </c>
      <c r="T36" s="17" t="s">
        <v>14</v>
      </c>
      <c r="U36" s="17" t="s">
        <v>9</v>
      </c>
      <c r="V36" s="17">
        <v>295030</v>
      </c>
      <c r="W36" s="17" t="s">
        <v>13</v>
      </c>
      <c r="X36" s="17">
        <v>0</v>
      </c>
      <c r="Y36" s="17"/>
      <c r="Z36" s="17"/>
      <c r="AA36" s="17" t="s">
        <v>97</v>
      </c>
      <c r="AB36" s="14"/>
      <c r="AC36" s="14"/>
      <c r="AD36" s="14"/>
      <c r="AE36" s="14"/>
      <c r="AF36" s="14"/>
      <c r="AG36" s="14"/>
      <c r="AH36" s="14"/>
      <c r="AI36" s="14"/>
      <c r="AJ36" s="14"/>
    </row>
    <row r="37" spans="1:36" x14ac:dyDescent="0.25">
      <c r="A37" s="17">
        <v>181592</v>
      </c>
      <c r="B37" s="17" t="s">
        <v>14</v>
      </c>
      <c r="C37" s="17" t="s">
        <v>9</v>
      </c>
      <c r="D37" s="17">
        <v>295030</v>
      </c>
      <c r="E37" s="17" t="s">
        <v>12</v>
      </c>
      <c r="F37" s="18" t="s">
        <v>70</v>
      </c>
      <c r="G37" s="17"/>
      <c r="H37" s="19">
        <v>-4</v>
      </c>
      <c r="J37" s="17">
        <v>181588</v>
      </c>
      <c r="K37" s="17" t="s">
        <v>14</v>
      </c>
      <c r="L37" s="17" t="s">
        <v>121</v>
      </c>
      <c r="M37" s="17">
        <v>290060</v>
      </c>
      <c r="N37" s="17" t="s">
        <v>126</v>
      </c>
      <c r="O37" s="18" t="s">
        <v>39</v>
      </c>
      <c r="P37" s="17"/>
      <c r="Q37" s="19">
        <v>5</v>
      </c>
      <c r="S37" s="17">
        <v>181592</v>
      </c>
      <c r="T37" s="17" t="s">
        <v>14</v>
      </c>
      <c r="U37" s="17" t="s">
        <v>9</v>
      </c>
      <c r="V37" s="17">
        <v>295031</v>
      </c>
      <c r="W37" s="17" t="s">
        <v>13</v>
      </c>
      <c r="X37" s="17">
        <v>0</v>
      </c>
      <c r="Y37" s="17"/>
      <c r="Z37" s="17"/>
      <c r="AA37" s="17" t="s">
        <v>97</v>
      </c>
      <c r="AB37" s="14"/>
      <c r="AC37" s="14"/>
      <c r="AD37" s="14"/>
      <c r="AE37" s="14"/>
      <c r="AF37" s="14"/>
      <c r="AG37" s="14"/>
      <c r="AH37" s="14"/>
      <c r="AI37" s="14"/>
      <c r="AJ37" s="14"/>
    </row>
    <row r="38" spans="1:36" x14ac:dyDescent="0.25">
      <c r="A38" s="17">
        <v>181638</v>
      </c>
      <c r="B38" s="17" t="s">
        <v>14</v>
      </c>
      <c r="C38" s="17" t="s">
        <v>11</v>
      </c>
      <c r="D38" s="17">
        <v>294572</v>
      </c>
      <c r="E38" s="17" t="s">
        <v>10</v>
      </c>
      <c r="F38" s="18" t="s">
        <v>70</v>
      </c>
      <c r="G38" s="17"/>
      <c r="H38" s="19">
        <v>-4</v>
      </c>
      <c r="J38" s="17">
        <v>181588</v>
      </c>
      <c r="K38" s="17" t="s">
        <v>14</v>
      </c>
      <c r="L38" s="17" t="s">
        <v>121</v>
      </c>
      <c r="M38" s="17">
        <v>292100</v>
      </c>
      <c r="N38" s="17" t="s">
        <v>126</v>
      </c>
      <c r="O38" s="18" t="s">
        <v>39</v>
      </c>
      <c r="P38" s="17"/>
      <c r="Q38" s="19">
        <v>5</v>
      </c>
      <c r="S38" s="17">
        <v>181593</v>
      </c>
      <c r="T38" s="17" t="s">
        <v>14</v>
      </c>
      <c r="U38" s="17" t="s">
        <v>9</v>
      </c>
      <c r="V38" s="17">
        <v>294351</v>
      </c>
      <c r="W38" s="17" t="s">
        <v>13</v>
      </c>
      <c r="X38" s="17">
        <v>58</v>
      </c>
      <c r="Y38" s="17"/>
      <c r="Z38" s="17"/>
      <c r="AA38" s="17" t="s">
        <v>95</v>
      </c>
      <c r="AB38" s="14"/>
      <c r="AC38" s="14"/>
      <c r="AD38" s="14"/>
      <c r="AE38" s="14"/>
      <c r="AF38" s="14"/>
      <c r="AG38" s="14"/>
      <c r="AH38" s="14"/>
      <c r="AI38" s="14"/>
      <c r="AJ38" s="14"/>
    </row>
    <row r="39" spans="1:36" x14ac:dyDescent="0.25">
      <c r="A39" s="17">
        <v>181594</v>
      </c>
      <c r="B39" s="17" t="s">
        <v>14</v>
      </c>
      <c r="C39" s="17" t="s">
        <v>9</v>
      </c>
      <c r="D39" s="17">
        <v>295032</v>
      </c>
      <c r="E39" s="17" t="s">
        <v>12</v>
      </c>
      <c r="F39" s="18" t="s">
        <v>70</v>
      </c>
      <c r="G39" s="17"/>
      <c r="H39" s="19">
        <v>-4</v>
      </c>
      <c r="J39" s="17">
        <v>181630</v>
      </c>
      <c r="K39" s="17" t="s">
        <v>14</v>
      </c>
      <c r="L39" s="17" t="s">
        <v>11</v>
      </c>
      <c r="M39" s="17">
        <v>292103</v>
      </c>
      <c r="N39" s="17" t="s">
        <v>10</v>
      </c>
      <c r="O39" s="18" t="s">
        <v>39</v>
      </c>
      <c r="P39" s="17"/>
      <c r="Q39" s="19">
        <v>5</v>
      </c>
      <c r="S39" s="17">
        <v>181593</v>
      </c>
      <c r="T39" s="17" t="s">
        <v>14</v>
      </c>
      <c r="U39" s="17" t="s">
        <v>9</v>
      </c>
      <c r="V39" s="17">
        <v>294352</v>
      </c>
      <c r="W39" s="17" t="s">
        <v>13</v>
      </c>
      <c r="X39" s="17">
        <v>58</v>
      </c>
      <c r="Y39" s="17"/>
      <c r="Z39" s="17"/>
      <c r="AA39" s="17" t="s">
        <v>95</v>
      </c>
      <c r="AB39" s="14"/>
      <c r="AC39" s="14"/>
      <c r="AD39" s="14"/>
      <c r="AE39" s="14"/>
      <c r="AF39" s="14"/>
      <c r="AG39" s="14"/>
      <c r="AH39" s="14"/>
      <c r="AI39" s="14"/>
      <c r="AJ39" s="14"/>
    </row>
    <row r="40" spans="1:36" x14ac:dyDescent="0.25">
      <c r="A40" s="17">
        <v>181608</v>
      </c>
      <c r="B40" s="17" t="s">
        <v>14</v>
      </c>
      <c r="C40" s="17" t="s">
        <v>11</v>
      </c>
      <c r="D40" s="17">
        <v>292586</v>
      </c>
      <c r="E40" s="17" t="s">
        <v>10</v>
      </c>
      <c r="F40" s="18" t="s">
        <v>70</v>
      </c>
      <c r="G40" s="17"/>
      <c r="H40" s="19">
        <v>-4</v>
      </c>
      <c r="J40" s="17">
        <v>181630</v>
      </c>
      <c r="K40" s="17" t="s">
        <v>14</v>
      </c>
      <c r="L40" s="17" t="s">
        <v>11</v>
      </c>
      <c r="M40" s="17">
        <v>293266</v>
      </c>
      <c r="N40" s="17" t="s">
        <v>10</v>
      </c>
      <c r="O40" s="18" t="s">
        <v>39</v>
      </c>
      <c r="P40" s="17"/>
      <c r="Q40" s="19">
        <v>5</v>
      </c>
      <c r="S40" s="17">
        <v>181594</v>
      </c>
      <c r="T40" s="17" t="s">
        <v>14</v>
      </c>
      <c r="U40" s="17" t="s">
        <v>9</v>
      </c>
      <c r="V40" s="17">
        <v>295032</v>
      </c>
      <c r="W40" s="17" t="s">
        <v>13</v>
      </c>
      <c r="X40" s="17">
        <v>0</v>
      </c>
      <c r="Y40" s="17"/>
      <c r="Z40" s="17"/>
      <c r="AA40" s="17" t="s">
        <v>97</v>
      </c>
      <c r="AB40" s="14"/>
      <c r="AC40" s="14"/>
      <c r="AD40" s="14"/>
      <c r="AE40" s="14"/>
      <c r="AF40" s="14"/>
      <c r="AG40" s="14"/>
      <c r="AH40" s="14"/>
      <c r="AI40" s="14"/>
      <c r="AJ40" s="14"/>
    </row>
    <row r="41" spans="1:36" x14ac:dyDescent="0.25">
      <c r="A41" s="17">
        <v>181609</v>
      </c>
      <c r="B41" s="17" t="s">
        <v>14</v>
      </c>
      <c r="C41" s="17" t="s">
        <v>11</v>
      </c>
      <c r="D41" s="17">
        <v>292586</v>
      </c>
      <c r="E41" s="17" t="s">
        <v>10</v>
      </c>
      <c r="F41" s="18" t="s">
        <v>70</v>
      </c>
      <c r="G41" s="17"/>
      <c r="H41" s="19">
        <v>-4</v>
      </c>
      <c r="J41" s="17">
        <v>181630</v>
      </c>
      <c r="K41" s="17" t="s">
        <v>14</v>
      </c>
      <c r="L41" s="17" t="s">
        <v>11</v>
      </c>
      <c r="M41" s="17">
        <v>293267</v>
      </c>
      <c r="N41" s="17" t="s">
        <v>10</v>
      </c>
      <c r="O41" s="18" t="s">
        <v>39</v>
      </c>
      <c r="P41" s="17"/>
      <c r="Q41" s="19">
        <v>5</v>
      </c>
      <c r="S41" s="17">
        <v>181594</v>
      </c>
      <c r="T41" s="17" t="s">
        <v>14</v>
      </c>
      <c r="U41" s="17" t="s">
        <v>9</v>
      </c>
      <c r="V41" s="17">
        <v>295033</v>
      </c>
      <c r="W41" s="17" t="s">
        <v>13</v>
      </c>
      <c r="X41" s="17">
        <v>0</v>
      </c>
      <c r="Y41" s="17"/>
      <c r="Z41" s="17"/>
      <c r="AA41" s="17" t="s">
        <v>97</v>
      </c>
      <c r="AB41" s="14"/>
      <c r="AC41" s="14"/>
      <c r="AD41" s="14"/>
      <c r="AE41" s="14"/>
      <c r="AF41" s="14"/>
      <c r="AG41" s="14"/>
      <c r="AH41" s="14"/>
      <c r="AI41" s="14"/>
      <c r="AJ41" s="14"/>
    </row>
    <row r="42" spans="1:36" x14ac:dyDescent="0.25">
      <c r="A42" s="17">
        <v>181610</v>
      </c>
      <c r="B42" s="17" t="s">
        <v>14</v>
      </c>
      <c r="C42" s="17" t="s">
        <v>11</v>
      </c>
      <c r="D42" s="17">
        <v>292586</v>
      </c>
      <c r="E42" s="17" t="s">
        <v>10</v>
      </c>
      <c r="F42" s="18" t="s">
        <v>70</v>
      </c>
      <c r="G42" s="17"/>
      <c r="H42" s="19">
        <v>-4</v>
      </c>
      <c r="J42" s="17">
        <v>181605</v>
      </c>
      <c r="K42" s="17" t="s">
        <v>14</v>
      </c>
      <c r="L42" s="17" t="s">
        <v>11</v>
      </c>
      <c r="M42" s="17">
        <v>292578</v>
      </c>
      <c r="N42" s="17" t="s">
        <v>10</v>
      </c>
      <c r="O42" s="18" t="s">
        <v>39</v>
      </c>
      <c r="P42" s="17"/>
      <c r="Q42" s="19">
        <v>5</v>
      </c>
      <c r="S42" s="17">
        <v>181595</v>
      </c>
      <c r="T42" s="17" t="s">
        <v>14</v>
      </c>
      <c r="U42" s="17" t="s">
        <v>9</v>
      </c>
      <c r="V42" s="17">
        <v>267375</v>
      </c>
      <c r="W42" s="17" t="s">
        <v>13</v>
      </c>
      <c r="X42" s="17">
        <v>70</v>
      </c>
      <c r="Y42" s="17"/>
      <c r="Z42" s="17"/>
      <c r="AA42" s="17" t="s">
        <v>95</v>
      </c>
      <c r="AB42" s="14"/>
      <c r="AC42" s="14"/>
      <c r="AD42" s="14"/>
      <c r="AE42" s="14"/>
      <c r="AF42" s="14"/>
      <c r="AG42" s="14"/>
      <c r="AH42" s="14"/>
      <c r="AI42" s="14"/>
      <c r="AJ42" s="14"/>
    </row>
    <row r="43" spans="1:36" x14ac:dyDescent="0.25">
      <c r="A43" s="17">
        <v>181611</v>
      </c>
      <c r="B43" s="17" t="s">
        <v>14</v>
      </c>
      <c r="C43" s="17" t="s">
        <v>11</v>
      </c>
      <c r="D43" s="17">
        <v>292586</v>
      </c>
      <c r="E43" s="17" t="s">
        <v>10</v>
      </c>
      <c r="F43" s="18" t="s">
        <v>70</v>
      </c>
      <c r="G43" s="17"/>
      <c r="H43" s="19">
        <v>-4</v>
      </c>
      <c r="J43" s="17">
        <v>181607</v>
      </c>
      <c r="K43" s="17" t="s">
        <v>14</v>
      </c>
      <c r="L43" s="17" t="s">
        <v>11</v>
      </c>
      <c r="M43" s="17">
        <v>292578</v>
      </c>
      <c r="N43" s="17" t="s">
        <v>10</v>
      </c>
      <c r="O43" s="18" t="s">
        <v>39</v>
      </c>
      <c r="P43" s="17"/>
      <c r="Q43" s="19">
        <v>5</v>
      </c>
      <c r="S43" s="17">
        <v>181595</v>
      </c>
      <c r="T43" s="17" t="s">
        <v>14</v>
      </c>
      <c r="U43" s="17" t="s">
        <v>9</v>
      </c>
      <c r="V43" s="17">
        <v>282190</v>
      </c>
      <c r="W43" s="17" t="s">
        <v>13</v>
      </c>
      <c r="X43" s="17">
        <v>70</v>
      </c>
      <c r="Y43" s="17"/>
      <c r="Z43" s="17"/>
      <c r="AA43" s="17" t="s">
        <v>95</v>
      </c>
      <c r="AB43" s="14"/>
      <c r="AC43" s="14"/>
      <c r="AD43" s="14"/>
      <c r="AE43" s="14"/>
      <c r="AF43" s="14"/>
      <c r="AG43" s="14"/>
      <c r="AH43" s="14"/>
      <c r="AI43" s="14"/>
      <c r="AJ43" s="14"/>
    </row>
    <row r="44" spans="1:36" x14ac:dyDescent="0.25">
      <c r="A44" s="17">
        <v>181628</v>
      </c>
      <c r="B44" s="17" t="s">
        <v>14</v>
      </c>
      <c r="C44" s="17" t="s">
        <v>11</v>
      </c>
      <c r="D44" s="17">
        <v>292586</v>
      </c>
      <c r="E44" s="17" t="s">
        <v>10</v>
      </c>
      <c r="F44" s="18" t="s">
        <v>70</v>
      </c>
      <c r="G44" s="17"/>
      <c r="H44" s="19">
        <v>-4</v>
      </c>
      <c r="J44" s="17">
        <v>181605</v>
      </c>
      <c r="K44" s="17" t="s">
        <v>14</v>
      </c>
      <c r="L44" s="17" t="s">
        <v>11</v>
      </c>
      <c r="M44" s="17">
        <v>292582</v>
      </c>
      <c r="N44" s="17" t="s">
        <v>10</v>
      </c>
      <c r="O44" s="18" t="s">
        <v>39</v>
      </c>
      <c r="P44" s="17"/>
      <c r="Q44" s="19">
        <v>5</v>
      </c>
      <c r="S44" s="17">
        <v>181595</v>
      </c>
      <c r="T44" s="17" t="s">
        <v>14</v>
      </c>
      <c r="U44" s="17" t="s">
        <v>9</v>
      </c>
      <c r="V44" s="17">
        <v>267376</v>
      </c>
      <c r="W44" s="17" t="s">
        <v>13</v>
      </c>
      <c r="X44" s="17">
        <v>70</v>
      </c>
      <c r="Y44" s="17"/>
      <c r="Z44" s="17"/>
      <c r="AA44" s="17" t="s">
        <v>95</v>
      </c>
      <c r="AB44" s="14"/>
      <c r="AC44" s="14"/>
      <c r="AD44" s="14"/>
      <c r="AE44" s="14"/>
      <c r="AF44" s="14"/>
      <c r="AG44" s="14"/>
      <c r="AH44" s="14"/>
      <c r="AI44" s="14"/>
      <c r="AJ44" s="14"/>
    </row>
    <row r="45" spans="1:36" x14ac:dyDescent="0.25">
      <c r="A45" s="17">
        <v>181628</v>
      </c>
      <c r="B45" s="17" t="s">
        <v>14</v>
      </c>
      <c r="C45" s="17" t="s">
        <v>11</v>
      </c>
      <c r="D45" s="17">
        <v>292588</v>
      </c>
      <c r="E45" s="17" t="s">
        <v>10</v>
      </c>
      <c r="F45" s="18" t="s">
        <v>70</v>
      </c>
      <c r="G45" s="17"/>
      <c r="H45" s="19">
        <v>-4</v>
      </c>
      <c r="J45" s="17">
        <v>181608</v>
      </c>
      <c r="K45" s="17" t="s">
        <v>14</v>
      </c>
      <c r="L45" s="17" t="s">
        <v>11</v>
      </c>
      <c r="M45" s="17">
        <v>292586</v>
      </c>
      <c r="N45" s="17" t="s">
        <v>10</v>
      </c>
      <c r="O45" s="18" t="s">
        <v>39</v>
      </c>
      <c r="P45" s="17"/>
      <c r="Q45" s="19">
        <v>5</v>
      </c>
      <c r="S45" s="17">
        <v>181595</v>
      </c>
      <c r="T45" s="17" t="s">
        <v>14</v>
      </c>
      <c r="U45" s="17" t="s">
        <v>9</v>
      </c>
      <c r="V45" s="17">
        <v>267379</v>
      </c>
      <c r="W45" s="17" t="s">
        <v>13</v>
      </c>
      <c r="X45" s="17">
        <v>70</v>
      </c>
      <c r="Y45" s="17"/>
      <c r="Z45" s="17"/>
      <c r="AA45" s="17" t="s">
        <v>95</v>
      </c>
      <c r="AB45" s="14"/>
      <c r="AC45" s="14"/>
      <c r="AD45" s="14"/>
      <c r="AE45" s="14"/>
      <c r="AF45" s="14"/>
      <c r="AG45" s="14"/>
      <c r="AH45" s="14"/>
      <c r="AI45" s="14"/>
      <c r="AJ45" s="14"/>
    </row>
    <row r="46" spans="1:36" x14ac:dyDescent="0.25">
      <c r="A46" s="17">
        <v>181612</v>
      </c>
      <c r="B46" s="17" t="s">
        <v>14</v>
      </c>
      <c r="C46" s="17" t="s">
        <v>11</v>
      </c>
      <c r="D46" s="17">
        <v>292590</v>
      </c>
      <c r="E46" s="17" t="s">
        <v>10</v>
      </c>
      <c r="F46" s="18" t="s">
        <v>70</v>
      </c>
      <c r="G46" s="17"/>
      <c r="H46" s="19">
        <v>-4</v>
      </c>
      <c r="J46" s="17">
        <v>181611</v>
      </c>
      <c r="K46" s="17" t="s">
        <v>14</v>
      </c>
      <c r="L46" s="17" t="s">
        <v>11</v>
      </c>
      <c r="M46" s="17">
        <v>292586</v>
      </c>
      <c r="N46" s="17" t="s">
        <v>10</v>
      </c>
      <c r="O46" s="18" t="s">
        <v>39</v>
      </c>
      <c r="P46" s="17"/>
      <c r="Q46" s="19">
        <v>5</v>
      </c>
      <c r="S46" s="17">
        <v>181596</v>
      </c>
      <c r="T46" s="17" t="s">
        <v>14</v>
      </c>
      <c r="U46" s="17" t="s">
        <v>9</v>
      </c>
      <c r="V46" s="17">
        <v>295034</v>
      </c>
      <c r="W46" s="17" t="s">
        <v>13</v>
      </c>
      <c r="X46" s="17">
        <v>0</v>
      </c>
      <c r="Y46" s="17"/>
      <c r="Z46" s="17"/>
      <c r="AA46" s="17" t="s">
        <v>97</v>
      </c>
      <c r="AB46" s="14"/>
      <c r="AC46" s="14"/>
      <c r="AD46" s="14"/>
      <c r="AE46" s="14"/>
      <c r="AF46" s="14"/>
      <c r="AG46" s="14"/>
      <c r="AH46" s="14"/>
      <c r="AI46" s="14"/>
      <c r="AJ46" s="14"/>
    </row>
    <row r="47" spans="1:36" x14ac:dyDescent="0.25">
      <c r="A47" s="17">
        <v>181612</v>
      </c>
      <c r="B47" s="17" t="s">
        <v>14</v>
      </c>
      <c r="C47" s="17" t="s">
        <v>11</v>
      </c>
      <c r="D47" s="17">
        <v>292587</v>
      </c>
      <c r="E47" s="17" t="s">
        <v>10</v>
      </c>
      <c r="F47" s="18" t="s">
        <v>70</v>
      </c>
      <c r="G47" s="17"/>
      <c r="H47" s="19">
        <v>-4</v>
      </c>
      <c r="J47" s="17">
        <v>181589</v>
      </c>
      <c r="K47" s="17" t="s">
        <v>14</v>
      </c>
      <c r="L47" s="17" t="s">
        <v>121</v>
      </c>
      <c r="M47" s="17">
        <v>290059</v>
      </c>
      <c r="N47" s="17" t="s">
        <v>126</v>
      </c>
      <c r="O47" s="18" t="s">
        <v>49</v>
      </c>
      <c r="P47" s="17"/>
      <c r="Q47" s="19">
        <v>6</v>
      </c>
      <c r="S47" s="17">
        <v>181597</v>
      </c>
      <c r="T47" s="17" t="s">
        <v>14</v>
      </c>
      <c r="U47" s="17" t="s">
        <v>9</v>
      </c>
      <c r="V47" s="17">
        <v>292731</v>
      </c>
      <c r="W47" s="17" t="s">
        <v>13</v>
      </c>
      <c r="X47" s="17">
        <v>58</v>
      </c>
      <c r="Y47" s="17"/>
      <c r="Z47" s="17"/>
      <c r="AA47" s="17" t="s">
        <v>95</v>
      </c>
      <c r="AB47" s="14"/>
      <c r="AC47" s="14"/>
      <c r="AD47" s="14"/>
      <c r="AE47" s="14"/>
      <c r="AF47" s="14"/>
      <c r="AG47" s="14"/>
      <c r="AH47" s="14"/>
      <c r="AI47" s="14"/>
      <c r="AJ47" s="14"/>
    </row>
    <row r="48" spans="1:36" x14ac:dyDescent="0.25">
      <c r="A48" s="17">
        <v>181628</v>
      </c>
      <c r="B48" s="17" t="s">
        <v>14</v>
      </c>
      <c r="C48" s="17" t="s">
        <v>11</v>
      </c>
      <c r="D48" s="17">
        <v>292587</v>
      </c>
      <c r="E48" s="17" t="s">
        <v>10</v>
      </c>
      <c r="F48" s="18" t="s">
        <v>70</v>
      </c>
      <c r="G48" s="17"/>
      <c r="H48" s="19">
        <v>-4</v>
      </c>
      <c r="J48" s="17">
        <v>181589</v>
      </c>
      <c r="K48" s="17" t="s">
        <v>14</v>
      </c>
      <c r="L48" s="17" t="s">
        <v>121</v>
      </c>
      <c r="M48" s="17">
        <v>290061</v>
      </c>
      <c r="N48" s="17" t="s">
        <v>126</v>
      </c>
      <c r="O48" s="18" t="s">
        <v>49</v>
      </c>
      <c r="P48" s="17"/>
      <c r="Q48" s="19">
        <v>6</v>
      </c>
      <c r="S48" s="17">
        <v>181598</v>
      </c>
      <c r="T48" s="17" t="s">
        <v>14</v>
      </c>
      <c r="U48" s="17" t="s">
        <v>9</v>
      </c>
      <c r="V48" s="17">
        <v>292732</v>
      </c>
      <c r="W48" s="17" t="s">
        <v>13</v>
      </c>
      <c r="X48" s="17">
        <v>58</v>
      </c>
      <c r="Y48" s="17"/>
      <c r="Z48" s="17"/>
      <c r="AA48" s="17" t="s">
        <v>95</v>
      </c>
      <c r="AB48" s="14"/>
      <c r="AC48" s="14"/>
      <c r="AD48" s="14"/>
      <c r="AE48" s="14"/>
      <c r="AF48" s="14"/>
      <c r="AG48" s="14"/>
      <c r="AH48" s="14"/>
      <c r="AI48" s="14"/>
      <c r="AJ48" s="14"/>
    </row>
    <row r="49" spans="1:36" x14ac:dyDescent="0.25">
      <c r="A49" s="17">
        <v>181612</v>
      </c>
      <c r="B49" s="17" t="s">
        <v>14</v>
      </c>
      <c r="C49" s="17" t="s">
        <v>11</v>
      </c>
      <c r="D49" s="17">
        <v>292589</v>
      </c>
      <c r="E49" s="17" t="s">
        <v>10</v>
      </c>
      <c r="F49" s="18" t="s">
        <v>70</v>
      </c>
      <c r="G49" s="17"/>
      <c r="H49" s="19">
        <v>-4</v>
      </c>
      <c r="J49" s="17">
        <v>181636</v>
      </c>
      <c r="K49" s="17" t="s">
        <v>14</v>
      </c>
      <c r="L49" s="17" t="s">
        <v>11</v>
      </c>
      <c r="M49" s="17">
        <v>290060</v>
      </c>
      <c r="N49" s="17" t="s">
        <v>10</v>
      </c>
      <c r="O49" s="18" t="s">
        <v>49</v>
      </c>
      <c r="P49" s="17"/>
      <c r="Q49" s="19">
        <v>6</v>
      </c>
      <c r="S49" s="17">
        <v>181599</v>
      </c>
      <c r="T49" s="17" t="s">
        <v>14</v>
      </c>
      <c r="U49" s="17" t="s">
        <v>9</v>
      </c>
      <c r="V49" s="17">
        <v>292733</v>
      </c>
      <c r="W49" s="17" t="s">
        <v>13</v>
      </c>
      <c r="X49" s="17">
        <v>58</v>
      </c>
      <c r="Y49" s="17"/>
      <c r="Z49" s="17"/>
      <c r="AA49" s="17" t="s">
        <v>95</v>
      </c>
      <c r="AB49" s="14"/>
      <c r="AC49" s="14"/>
      <c r="AD49" s="14"/>
      <c r="AE49" s="14"/>
      <c r="AF49" s="14"/>
      <c r="AG49" s="14"/>
      <c r="AH49" s="14"/>
      <c r="AI49" s="14"/>
      <c r="AJ49" s="14"/>
    </row>
    <row r="50" spans="1:36" x14ac:dyDescent="0.25">
      <c r="A50" s="17">
        <v>181613</v>
      </c>
      <c r="B50" s="17" t="s">
        <v>14</v>
      </c>
      <c r="C50" s="17" t="s">
        <v>9</v>
      </c>
      <c r="D50" s="17">
        <v>292593</v>
      </c>
      <c r="E50" s="17" t="s">
        <v>12</v>
      </c>
      <c r="F50" s="18" t="s">
        <v>70</v>
      </c>
      <c r="G50" s="17"/>
      <c r="H50" s="19">
        <v>-4</v>
      </c>
      <c r="J50" s="17">
        <v>181589</v>
      </c>
      <c r="K50" s="17" t="s">
        <v>14</v>
      </c>
      <c r="L50" s="17" t="s">
        <v>121</v>
      </c>
      <c r="M50" s="17">
        <v>292730</v>
      </c>
      <c r="N50" s="17" t="s">
        <v>126</v>
      </c>
      <c r="O50" s="18" t="s">
        <v>49</v>
      </c>
      <c r="P50" s="17"/>
      <c r="Q50" s="19">
        <v>6</v>
      </c>
      <c r="S50" s="17">
        <v>181600</v>
      </c>
      <c r="T50" s="17" t="s">
        <v>14</v>
      </c>
      <c r="U50" s="17" t="s">
        <v>9</v>
      </c>
      <c r="V50" s="17">
        <v>292734</v>
      </c>
      <c r="W50" s="17" t="s">
        <v>13</v>
      </c>
      <c r="X50" s="17">
        <v>58</v>
      </c>
      <c r="Y50" s="17"/>
      <c r="Z50" s="17"/>
      <c r="AA50" s="17" t="s">
        <v>95</v>
      </c>
      <c r="AB50" s="14"/>
      <c r="AC50" s="14"/>
      <c r="AD50" s="14"/>
      <c r="AE50" s="14"/>
      <c r="AF50" s="14"/>
      <c r="AG50" s="14"/>
      <c r="AH50" s="14"/>
      <c r="AI50" s="14"/>
      <c r="AJ50" s="14"/>
    </row>
    <row r="51" spans="1:36" x14ac:dyDescent="0.25">
      <c r="A51" s="17">
        <v>181625</v>
      </c>
      <c r="B51" s="17" t="s">
        <v>14</v>
      </c>
      <c r="C51" s="17" t="s">
        <v>9</v>
      </c>
      <c r="D51" s="17">
        <v>292593</v>
      </c>
      <c r="E51" s="17" t="s">
        <v>12</v>
      </c>
      <c r="F51" s="18" t="s">
        <v>70</v>
      </c>
      <c r="G51" s="17"/>
      <c r="H51" s="19">
        <v>-4</v>
      </c>
      <c r="J51" s="17">
        <v>181636</v>
      </c>
      <c r="K51" s="17" t="s">
        <v>14</v>
      </c>
      <c r="L51" s="17" t="s">
        <v>11</v>
      </c>
      <c r="M51" s="17">
        <v>290062</v>
      </c>
      <c r="N51" s="17" t="s">
        <v>10</v>
      </c>
      <c r="O51" s="18" t="s">
        <v>49</v>
      </c>
      <c r="P51" s="17"/>
      <c r="Q51" s="19">
        <v>6</v>
      </c>
      <c r="S51" s="17">
        <v>181602</v>
      </c>
      <c r="T51" s="17" t="s">
        <v>14</v>
      </c>
      <c r="U51" s="17" t="s">
        <v>11</v>
      </c>
      <c r="V51" s="17">
        <v>292581</v>
      </c>
      <c r="W51" s="17" t="s">
        <v>13</v>
      </c>
      <c r="X51" s="17">
        <v>58</v>
      </c>
      <c r="Y51" s="17"/>
      <c r="Z51" s="17"/>
      <c r="AA51" s="17" t="s">
        <v>95</v>
      </c>
      <c r="AB51" s="14"/>
      <c r="AC51" s="14"/>
      <c r="AD51" s="14"/>
      <c r="AE51" s="14"/>
      <c r="AF51" s="14"/>
      <c r="AG51" s="14"/>
      <c r="AH51" s="14"/>
      <c r="AI51" s="14"/>
      <c r="AJ51" s="14"/>
    </row>
    <row r="52" spans="1:36" x14ac:dyDescent="0.25">
      <c r="A52" s="17">
        <v>181595</v>
      </c>
      <c r="B52" s="17" t="s">
        <v>14</v>
      </c>
      <c r="C52" s="17" t="s">
        <v>9</v>
      </c>
      <c r="D52" s="17">
        <v>267375</v>
      </c>
      <c r="E52" s="17" t="s">
        <v>12</v>
      </c>
      <c r="F52" s="18" t="s">
        <v>70</v>
      </c>
      <c r="G52" s="17"/>
      <c r="H52" s="19">
        <v>-4</v>
      </c>
      <c r="J52" s="17">
        <v>181633</v>
      </c>
      <c r="K52" s="17" t="s">
        <v>14</v>
      </c>
      <c r="L52" s="17" t="s">
        <v>11</v>
      </c>
      <c r="M52" s="17">
        <v>292735</v>
      </c>
      <c r="N52" s="17" t="s">
        <v>10</v>
      </c>
      <c r="O52" s="18" t="s">
        <v>49</v>
      </c>
      <c r="P52" s="17"/>
      <c r="Q52" s="19">
        <v>6</v>
      </c>
      <c r="S52" s="17">
        <v>181602</v>
      </c>
      <c r="T52" s="17" t="s">
        <v>14</v>
      </c>
      <c r="U52" s="17" t="s">
        <v>11</v>
      </c>
      <c r="V52" s="17">
        <v>292582</v>
      </c>
      <c r="W52" s="17" t="s">
        <v>13</v>
      </c>
      <c r="X52" s="17">
        <v>58</v>
      </c>
      <c r="Y52" s="17"/>
      <c r="Z52" s="17"/>
      <c r="AA52" s="17" t="s">
        <v>95</v>
      </c>
      <c r="AB52" s="14"/>
      <c r="AC52" s="14"/>
      <c r="AD52" s="14"/>
      <c r="AE52" s="14"/>
      <c r="AF52" s="14"/>
      <c r="AG52" s="14"/>
      <c r="AH52" s="14"/>
      <c r="AI52" s="14"/>
      <c r="AJ52" s="14"/>
    </row>
    <row r="53" spans="1:36" x14ac:dyDescent="0.25">
      <c r="A53" s="17">
        <v>181624</v>
      </c>
      <c r="B53" s="17" t="s">
        <v>14</v>
      </c>
      <c r="C53" s="17" t="s">
        <v>9</v>
      </c>
      <c r="D53" s="17">
        <v>267375</v>
      </c>
      <c r="E53" s="17" t="s">
        <v>12</v>
      </c>
      <c r="F53" s="18" t="s">
        <v>70</v>
      </c>
      <c r="G53" s="17"/>
      <c r="H53" s="19">
        <v>-4</v>
      </c>
      <c r="J53" s="17">
        <v>181638</v>
      </c>
      <c r="K53" s="17" t="s">
        <v>14</v>
      </c>
      <c r="L53" s="17" t="s">
        <v>11</v>
      </c>
      <c r="M53" s="17">
        <v>294571</v>
      </c>
      <c r="N53" s="17" t="s">
        <v>10</v>
      </c>
      <c r="O53" s="18" t="s">
        <v>49</v>
      </c>
      <c r="P53" s="17"/>
      <c r="Q53" s="19">
        <v>6</v>
      </c>
      <c r="S53" s="17">
        <v>181602</v>
      </c>
      <c r="T53" s="17" t="s">
        <v>14</v>
      </c>
      <c r="U53" s="17" t="s">
        <v>11</v>
      </c>
      <c r="V53" s="17">
        <v>292578</v>
      </c>
      <c r="W53" s="17" t="s">
        <v>13</v>
      </c>
      <c r="X53" s="17">
        <v>58</v>
      </c>
      <c r="Y53" s="17"/>
      <c r="Z53" s="17"/>
      <c r="AA53" s="17" t="s">
        <v>95</v>
      </c>
      <c r="AB53" s="14"/>
      <c r="AC53" s="14"/>
      <c r="AD53" s="14"/>
      <c r="AE53" s="14"/>
      <c r="AF53" s="14"/>
      <c r="AG53" s="14"/>
      <c r="AH53" s="14"/>
      <c r="AI53" s="14"/>
      <c r="AJ53" s="14"/>
    </row>
    <row r="54" spans="1:36" x14ac:dyDescent="0.25">
      <c r="A54" s="17">
        <v>181595</v>
      </c>
      <c r="B54" s="17" t="s">
        <v>14</v>
      </c>
      <c r="C54" s="17" t="s">
        <v>9</v>
      </c>
      <c r="D54" s="17">
        <v>267379</v>
      </c>
      <c r="E54" s="17" t="s">
        <v>12</v>
      </c>
      <c r="F54" s="18" t="s">
        <v>70</v>
      </c>
      <c r="G54" s="17"/>
      <c r="H54" s="19">
        <v>-4</v>
      </c>
      <c r="J54" s="17">
        <v>181638</v>
      </c>
      <c r="K54" s="17" t="s">
        <v>14</v>
      </c>
      <c r="L54" s="17" t="s">
        <v>11</v>
      </c>
      <c r="M54" s="17">
        <v>290061</v>
      </c>
      <c r="N54" s="17" t="s">
        <v>10</v>
      </c>
      <c r="O54" s="18" t="s">
        <v>49</v>
      </c>
      <c r="P54" s="17"/>
      <c r="Q54" s="19">
        <v>6</v>
      </c>
      <c r="S54" s="17">
        <v>181603</v>
      </c>
      <c r="T54" s="17" t="s">
        <v>14</v>
      </c>
      <c r="U54" s="17" t="s">
        <v>11</v>
      </c>
      <c r="V54" s="17">
        <v>292581</v>
      </c>
      <c r="W54" s="17" t="s">
        <v>13</v>
      </c>
      <c r="X54" s="17">
        <v>58</v>
      </c>
      <c r="Y54" s="17"/>
      <c r="Z54" s="17"/>
      <c r="AA54" s="17" t="s">
        <v>95</v>
      </c>
      <c r="AB54" s="14"/>
      <c r="AC54" s="14"/>
      <c r="AD54" s="14"/>
      <c r="AE54" s="14"/>
      <c r="AF54" s="14"/>
      <c r="AG54" s="14"/>
      <c r="AH54" s="14"/>
      <c r="AI54" s="14"/>
      <c r="AJ54" s="14"/>
    </row>
    <row r="55" spans="1:36" x14ac:dyDescent="0.25">
      <c r="A55" s="17">
        <v>181595</v>
      </c>
      <c r="B55" s="17" t="s">
        <v>14</v>
      </c>
      <c r="C55" s="17" t="s">
        <v>9</v>
      </c>
      <c r="D55" s="17">
        <v>267376</v>
      </c>
      <c r="E55" s="17" t="s">
        <v>12</v>
      </c>
      <c r="F55" s="18" t="s">
        <v>70</v>
      </c>
      <c r="G55" s="17"/>
      <c r="H55" s="19">
        <v>-4</v>
      </c>
      <c r="J55" s="17">
        <v>181638</v>
      </c>
      <c r="K55" s="17" t="s">
        <v>14</v>
      </c>
      <c r="L55" s="17" t="s">
        <v>11</v>
      </c>
      <c r="M55" s="17">
        <v>292101</v>
      </c>
      <c r="N55" s="17" t="s">
        <v>10</v>
      </c>
      <c r="O55" s="18" t="s">
        <v>49</v>
      </c>
      <c r="P55" s="17"/>
      <c r="Q55" s="19">
        <v>6</v>
      </c>
      <c r="S55" s="17">
        <v>181603</v>
      </c>
      <c r="T55" s="17" t="s">
        <v>14</v>
      </c>
      <c r="U55" s="17" t="s">
        <v>11</v>
      </c>
      <c r="V55" s="17">
        <v>292582</v>
      </c>
      <c r="W55" s="17" t="s">
        <v>13</v>
      </c>
      <c r="X55" s="17">
        <v>58</v>
      </c>
      <c r="Y55" s="17"/>
      <c r="Z55" s="17"/>
      <c r="AA55" s="17" t="s">
        <v>95</v>
      </c>
      <c r="AB55" s="14"/>
      <c r="AC55" s="14"/>
      <c r="AD55" s="14"/>
      <c r="AE55" s="14"/>
      <c r="AF55" s="14"/>
      <c r="AG55" s="14"/>
      <c r="AH55" s="14"/>
      <c r="AI55" s="14"/>
      <c r="AJ55" s="14"/>
    </row>
    <row r="56" spans="1:36" x14ac:dyDescent="0.25">
      <c r="A56" s="17">
        <v>181595</v>
      </c>
      <c r="B56" s="17" t="s">
        <v>14</v>
      </c>
      <c r="C56" s="17" t="s">
        <v>9</v>
      </c>
      <c r="D56" s="17">
        <v>282190</v>
      </c>
      <c r="E56" s="17" t="s">
        <v>12</v>
      </c>
      <c r="F56" s="18" t="s">
        <v>70</v>
      </c>
      <c r="G56" s="17"/>
      <c r="H56" s="19">
        <v>-4</v>
      </c>
      <c r="J56" s="17">
        <v>181638</v>
      </c>
      <c r="K56" s="17" t="s">
        <v>14</v>
      </c>
      <c r="L56" s="17" t="s">
        <v>11</v>
      </c>
      <c r="M56" s="17">
        <v>294572</v>
      </c>
      <c r="N56" s="17" t="s">
        <v>10</v>
      </c>
      <c r="O56" s="18" t="s">
        <v>49</v>
      </c>
      <c r="P56" s="17"/>
      <c r="Q56" s="19">
        <v>6</v>
      </c>
      <c r="S56" s="17">
        <v>181603</v>
      </c>
      <c r="T56" s="17" t="s">
        <v>14</v>
      </c>
      <c r="U56" s="17" t="s">
        <v>11</v>
      </c>
      <c r="V56" s="17">
        <v>292578</v>
      </c>
      <c r="W56" s="17" t="s">
        <v>13</v>
      </c>
      <c r="X56" s="17">
        <v>58</v>
      </c>
      <c r="Y56" s="17"/>
      <c r="Z56" s="17"/>
      <c r="AA56" s="17" t="s">
        <v>95</v>
      </c>
      <c r="AB56" s="14"/>
      <c r="AC56" s="14"/>
      <c r="AD56" s="14"/>
      <c r="AE56" s="14"/>
      <c r="AF56" s="14"/>
      <c r="AG56" s="14"/>
      <c r="AH56" s="14"/>
      <c r="AI56" s="14"/>
      <c r="AJ56" s="14"/>
    </row>
    <row r="57" spans="1:36" x14ac:dyDescent="0.25">
      <c r="A57" s="17">
        <v>181598</v>
      </c>
      <c r="B57" s="17" t="s">
        <v>14</v>
      </c>
      <c r="C57" s="17" t="s">
        <v>9</v>
      </c>
      <c r="D57" s="17">
        <v>292732</v>
      </c>
      <c r="E57" s="17" t="s">
        <v>12</v>
      </c>
      <c r="F57" s="18" t="s">
        <v>70</v>
      </c>
      <c r="G57" s="17"/>
      <c r="H57" s="19">
        <v>-4</v>
      </c>
      <c r="J57" s="17">
        <v>181634</v>
      </c>
      <c r="K57" s="17" t="s">
        <v>14</v>
      </c>
      <c r="L57" s="17" t="s">
        <v>11</v>
      </c>
      <c r="M57" s="17">
        <v>292107</v>
      </c>
      <c r="N57" s="17" t="s">
        <v>10</v>
      </c>
      <c r="O57" s="18" t="s">
        <v>45</v>
      </c>
      <c r="P57" s="17"/>
      <c r="Q57" s="19">
        <v>8</v>
      </c>
      <c r="S57" s="17">
        <v>181604</v>
      </c>
      <c r="T57" s="17" t="s">
        <v>14</v>
      </c>
      <c r="U57" s="17" t="s">
        <v>11</v>
      </c>
      <c r="V57" s="17">
        <v>292578</v>
      </c>
      <c r="W57" s="17" t="s">
        <v>13</v>
      </c>
      <c r="X57" s="17">
        <v>58</v>
      </c>
      <c r="Y57" s="17"/>
      <c r="Z57" s="17"/>
      <c r="AA57" s="17" t="s">
        <v>95</v>
      </c>
      <c r="AB57" s="14"/>
      <c r="AC57" s="14"/>
      <c r="AD57" s="14"/>
      <c r="AE57" s="14"/>
      <c r="AF57" s="14"/>
      <c r="AG57" s="14"/>
      <c r="AH57" s="14"/>
      <c r="AI57" s="14"/>
      <c r="AJ57" s="14"/>
    </row>
    <row r="58" spans="1:36" x14ac:dyDescent="0.25">
      <c r="A58" s="17">
        <v>181596</v>
      </c>
      <c r="B58" s="17" t="s">
        <v>14</v>
      </c>
      <c r="C58" s="17" t="s">
        <v>9</v>
      </c>
      <c r="D58" s="17">
        <v>295034</v>
      </c>
      <c r="E58" s="17" t="s">
        <v>12</v>
      </c>
      <c r="F58" s="18" t="s">
        <v>70</v>
      </c>
      <c r="G58" s="17"/>
      <c r="H58" s="19">
        <v>-4</v>
      </c>
      <c r="J58" s="17">
        <v>181634</v>
      </c>
      <c r="K58" s="17" t="s">
        <v>14</v>
      </c>
      <c r="L58" s="17" t="s">
        <v>11</v>
      </c>
      <c r="M58" s="17">
        <v>293262</v>
      </c>
      <c r="N58" s="17" t="s">
        <v>10</v>
      </c>
      <c r="O58" s="18" t="s">
        <v>45</v>
      </c>
      <c r="P58" s="17"/>
      <c r="Q58" s="19">
        <v>8</v>
      </c>
      <c r="S58" s="17">
        <v>181604</v>
      </c>
      <c r="T58" s="17" t="s">
        <v>14</v>
      </c>
      <c r="U58" s="17" t="s">
        <v>11</v>
      </c>
      <c r="V58" s="17">
        <v>292582</v>
      </c>
      <c r="W58" s="17" t="s">
        <v>13</v>
      </c>
      <c r="X58" s="17">
        <v>58</v>
      </c>
      <c r="Y58" s="17"/>
      <c r="Z58" s="17"/>
      <c r="AA58" s="17" t="s">
        <v>95</v>
      </c>
      <c r="AB58" s="14"/>
      <c r="AC58" s="14"/>
      <c r="AD58" s="14"/>
      <c r="AE58" s="14"/>
      <c r="AF58" s="14"/>
      <c r="AG58" s="14"/>
      <c r="AH58" s="14"/>
      <c r="AI58" s="14"/>
      <c r="AJ58" s="14"/>
    </row>
    <row r="59" spans="1:36" x14ac:dyDescent="0.25">
      <c r="A59" s="17">
        <v>181599</v>
      </c>
      <c r="B59" s="17" t="s">
        <v>14</v>
      </c>
      <c r="C59" s="17" t="s">
        <v>9</v>
      </c>
      <c r="D59" s="17">
        <v>292733</v>
      </c>
      <c r="E59" s="17" t="s">
        <v>12</v>
      </c>
      <c r="F59" s="18" t="s">
        <v>70</v>
      </c>
      <c r="G59" s="17"/>
      <c r="H59" s="19">
        <v>-4</v>
      </c>
      <c r="J59" s="17">
        <v>181602</v>
      </c>
      <c r="K59" s="17" t="s">
        <v>14</v>
      </c>
      <c r="L59" s="17" t="s">
        <v>11</v>
      </c>
      <c r="M59" s="17">
        <v>292578</v>
      </c>
      <c r="N59" s="17" t="s">
        <v>10</v>
      </c>
      <c r="O59" s="18" t="s">
        <v>45</v>
      </c>
      <c r="P59" s="17"/>
      <c r="Q59" s="19">
        <v>8</v>
      </c>
      <c r="S59" s="17">
        <v>181605</v>
      </c>
      <c r="T59" s="17" t="s">
        <v>14</v>
      </c>
      <c r="U59" s="17" t="s">
        <v>11</v>
      </c>
      <c r="V59" s="17">
        <v>292578</v>
      </c>
      <c r="W59" s="17" t="s">
        <v>13</v>
      </c>
      <c r="X59" s="17">
        <v>58</v>
      </c>
      <c r="Y59" s="17"/>
      <c r="Z59" s="17"/>
      <c r="AA59" s="17" t="s">
        <v>95</v>
      </c>
      <c r="AB59" s="14"/>
      <c r="AC59" s="14"/>
      <c r="AD59" s="14"/>
      <c r="AE59" s="14"/>
      <c r="AF59" s="14"/>
      <c r="AG59" s="14"/>
      <c r="AH59" s="14"/>
      <c r="AI59" s="14"/>
      <c r="AJ59" s="14"/>
    </row>
    <row r="60" spans="1:36" x14ac:dyDescent="0.25">
      <c r="A60" s="17">
        <v>181600</v>
      </c>
      <c r="B60" s="17" t="s">
        <v>14</v>
      </c>
      <c r="C60" s="17" t="s">
        <v>9</v>
      </c>
      <c r="D60" s="17">
        <v>292734</v>
      </c>
      <c r="E60" s="17" t="s">
        <v>12</v>
      </c>
      <c r="F60" s="18" t="s">
        <v>70</v>
      </c>
      <c r="G60" s="17"/>
      <c r="H60" s="19">
        <v>-4</v>
      </c>
      <c r="J60" s="17">
        <v>181603</v>
      </c>
      <c r="K60" s="17" t="s">
        <v>14</v>
      </c>
      <c r="L60" s="17" t="s">
        <v>11</v>
      </c>
      <c r="M60" s="17">
        <v>292578</v>
      </c>
      <c r="N60" s="17" t="s">
        <v>10</v>
      </c>
      <c r="O60" s="18" t="s">
        <v>45</v>
      </c>
      <c r="P60" s="17"/>
      <c r="Q60" s="19">
        <v>8</v>
      </c>
      <c r="S60" s="17">
        <v>181605</v>
      </c>
      <c r="T60" s="17" t="s">
        <v>14</v>
      </c>
      <c r="U60" s="17" t="s">
        <v>11</v>
      </c>
      <c r="V60" s="17">
        <v>292582</v>
      </c>
      <c r="W60" s="17" t="s">
        <v>13</v>
      </c>
      <c r="X60" s="17">
        <v>58</v>
      </c>
      <c r="Y60" s="17"/>
      <c r="Z60" s="17"/>
      <c r="AA60" s="17" t="s">
        <v>95</v>
      </c>
      <c r="AB60" s="14"/>
      <c r="AC60" s="14"/>
      <c r="AD60" s="14"/>
      <c r="AE60" s="14"/>
      <c r="AF60" s="14"/>
      <c r="AG60" s="14"/>
      <c r="AH60" s="14"/>
      <c r="AI60" s="14"/>
      <c r="AJ60" s="14"/>
    </row>
    <row r="61" spans="1:36" x14ac:dyDescent="0.25">
      <c r="A61" s="17">
        <v>181594</v>
      </c>
      <c r="B61" s="17" t="s">
        <v>14</v>
      </c>
      <c r="C61" s="17" t="s">
        <v>9</v>
      </c>
      <c r="D61" s="17">
        <v>295033</v>
      </c>
      <c r="E61" s="17" t="s">
        <v>12</v>
      </c>
      <c r="F61" s="18" t="s">
        <v>70</v>
      </c>
      <c r="G61" s="17"/>
      <c r="H61" s="19">
        <v>-4</v>
      </c>
      <c r="J61" s="17">
        <v>181604</v>
      </c>
      <c r="K61" s="17" t="s">
        <v>14</v>
      </c>
      <c r="L61" s="17" t="s">
        <v>11</v>
      </c>
      <c r="M61" s="17">
        <v>292578</v>
      </c>
      <c r="N61" s="17" t="s">
        <v>10</v>
      </c>
      <c r="O61" s="18" t="s">
        <v>45</v>
      </c>
      <c r="P61" s="17"/>
      <c r="Q61" s="19">
        <v>8</v>
      </c>
      <c r="S61" s="17">
        <v>181606</v>
      </c>
      <c r="T61" s="17" t="s">
        <v>14</v>
      </c>
      <c r="U61" s="17" t="s">
        <v>11</v>
      </c>
      <c r="V61" s="17">
        <v>292585</v>
      </c>
      <c r="W61" s="17" t="s">
        <v>13</v>
      </c>
      <c r="X61" s="17">
        <v>58</v>
      </c>
      <c r="Y61" s="17"/>
      <c r="Z61" s="17"/>
      <c r="AA61" s="17" t="s">
        <v>95</v>
      </c>
      <c r="AB61" s="14"/>
      <c r="AC61" s="14"/>
      <c r="AD61" s="14"/>
      <c r="AE61" s="14"/>
      <c r="AF61" s="14"/>
      <c r="AG61" s="14"/>
      <c r="AH61" s="14"/>
      <c r="AI61" s="14"/>
      <c r="AJ61" s="14"/>
    </row>
    <row r="62" spans="1:36" x14ac:dyDescent="0.25">
      <c r="A62" s="17">
        <v>181597</v>
      </c>
      <c r="B62" s="17" t="s">
        <v>14</v>
      </c>
      <c r="C62" s="17" t="s">
        <v>9</v>
      </c>
      <c r="D62" s="17">
        <v>292731</v>
      </c>
      <c r="E62" s="17" t="s">
        <v>12</v>
      </c>
      <c r="F62" s="18" t="s">
        <v>70</v>
      </c>
      <c r="G62" s="17"/>
      <c r="H62" s="19">
        <v>-4</v>
      </c>
      <c r="J62" s="17">
        <v>181602</v>
      </c>
      <c r="K62" s="17" t="s">
        <v>14</v>
      </c>
      <c r="L62" s="17" t="s">
        <v>11</v>
      </c>
      <c r="M62" s="17">
        <v>292582</v>
      </c>
      <c r="N62" s="17" t="s">
        <v>10</v>
      </c>
      <c r="O62" s="18" t="s">
        <v>45</v>
      </c>
      <c r="P62" s="17"/>
      <c r="Q62" s="19">
        <v>8</v>
      </c>
      <c r="S62" s="17">
        <v>181606</v>
      </c>
      <c r="T62" s="17" t="s">
        <v>14</v>
      </c>
      <c r="U62" s="17" t="s">
        <v>11</v>
      </c>
      <c r="V62" s="17">
        <v>292578</v>
      </c>
      <c r="W62" s="17" t="s">
        <v>13</v>
      </c>
      <c r="X62" s="17">
        <v>58</v>
      </c>
      <c r="Y62" s="17"/>
      <c r="Z62" s="17"/>
      <c r="AA62" s="17" t="s">
        <v>95</v>
      </c>
      <c r="AB62" s="14"/>
      <c r="AC62" s="14"/>
      <c r="AD62" s="14"/>
      <c r="AE62" s="14"/>
      <c r="AF62" s="14"/>
      <c r="AG62" s="14"/>
      <c r="AH62" s="14"/>
      <c r="AI62" s="14"/>
      <c r="AJ62" s="14"/>
    </row>
    <row r="63" spans="1:36" x14ac:dyDescent="0.25">
      <c r="A63" s="17">
        <v>181593</v>
      </c>
      <c r="B63" s="17" t="s">
        <v>14</v>
      </c>
      <c r="C63" s="17" t="s">
        <v>9</v>
      </c>
      <c r="D63" s="17">
        <v>294352</v>
      </c>
      <c r="E63" s="17" t="s">
        <v>12</v>
      </c>
      <c r="F63" s="18" t="s">
        <v>70</v>
      </c>
      <c r="G63" s="17"/>
      <c r="H63" s="19">
        <v>-4</v>
      </c>
      <c r="J63" s="17">
        <v>181603</v>
      </c>
      <c r="K63" s="17" t="s">
        <v>14</v>
      </c>
      <c r="L63" s="17" t="s">
        <v>11</v>
      </c>
      <c r="M63" s="17">
        <v>292582</v>
      </c>
      <c r="N63" s="17" t="s">
        <v>10</v>
      </c>
      <c r="O63" s="18" t="s">
        <v>45</v>
      </c>
      <c r="P63" s="17"/>
      <c r="Q63" s="19">
        <v>8</v>
      </c>
      <c r="S63" s="17">
        <v>181606</v>
      </c>
      <c r="T63" s="17" t="s">
        <v>14</v>
      </c>
      <c r="U63" s="17" t="s">
        <v>11</v>
      </c>
      <c r="V63" s="17">
        <v>292582</v>
      </c>
      <c r="W63" s="17" t="s">
        <v>13</v>
      </c>
      <c r="X63" s="17">
        <v>58</v>
      </c>
      <c r="Y63" s="17"/>
      <c r="Z63" s="17"/>
      <c r="AA63" s="17" t="s">
        <v>95</v>
      </c>
      <c r="AB63" s="14"/>
      <c r="AC63" s="14"/>
      <c r="AD63" s="14"/>
      <c r="AE63" s="14"/>
      <c r="AF63" s="14"/>
      <c r="AG63" s="14"/>
      <c r="AH63" s="14"/>
      <c r="AI63" s="14"/>
      <c r="AJ63" s="14"/>
    </row>
    <row r="64" spans="1:36" x14ac:dyDescent="0.25">
      <c r="A64" s="17">
        <v>181626</v>
      </c>
      <c r="B64" s="17" t="s">
        <v>14</v>
      </c>
      <c r="C64" s="17" t="s">
        <v>11</v>
      </c>
      <c r="D64" s="17">
        <v>290059</v>
      </c>
      <c r="E64" s="17" t="s">
        <v>10</v>
      </c>
      <c r="F64" s="18" t="s">
        <v>122</v>
      </c>
      <c r="G64" s="17"/>
      <c r="H64" s="19">
        <v>-1</v>
      </c>
      <c r="J64" s="17">
        <v>181604</v>
      </c>
      <c r="K64" s="17" t="s">
        <v>14</v>
      </c>
      <c r="L64" s="17" t="s">
        <v>11</v>
      </c>
      <c r="M64" s="17">
        <v>292582</v>
      </c>
      <c r="N64" s="17" t="s">
        <v>10</v>
      </c>
      <c r="O64" s="18" t="s">
        <v>45</v>
      </c>
      <c r="P64" s="17"/>
      <c r="Q64" s="19">
        <v>8</v>
      </c>
      <c r="S64" s="17">
        <v>181607</v>
      </c>
      <c r="T64" s="17" t="s">
        <v>14</v>
      </c>
      <c r="U64" s="17" t="s">
        <v>11</v>
      </c>
      <c r="V64" s="17">
        <v>292578</v>
      </c>
      <c r="W64" s="17" t="s">
        <v>13</v>
      </c>
      <c r="X64" s="17">
        <v>58</v>
      </c>
      <c r="Y64" s="17"/>
      <c r="Z64" s="17"/>
      <c r="AA64" s="17" t="s">
        <v>95</v>
      </c>
      <c r="AB64" s="14"/>
      <c r="AC64" s="14"/>
      <c r="AD64" s="14"/>
      <c r="AE64" s="14"/>
      <c r="AF64" s="14"/>
      <c r="AG64" s="14"/>
      <c r="AH64" s="14"/>
      <c r="AI64" s="14"/>
      <c r="AJ64" s="14"/>
    </row>
    <row r="65" spans="1:36" x14ac:dyDescent="0.25">
      <c r="A65" s="17">
        <v>181588</v>
      </c>
      <c r="B65" s="17" t="s">
        <v>14</v>
      </c>
      <c r="C65" s="17" t="s">
        <v>121</v>
      </c>
      <c r="D65" s="17">
        <v>290059</v>
      </c>
      <c r="E65" s="17" t="s">
        <v>126</v>
      </c>
      <c r="F65" s="18" t="s">
        <v>122</v>
      </c>
      <c r="G65" s="17"/>
      <c r="H65" s="19">
        <v>-1</v>
      </c>
      <c r="J65" s="17">
        <v>181602</v>
      </c>
      <c r="K65" s="17" t="s">
        <v>14</v>
      </c>
      <c r="L65" s="17" t="s">
        <v>11</v>
      </c>
      <c r="M65" s="17">
        <v>292581</v>
      </c>
      <c r="N65" s="17" t="s">
        <v>10</v>
      </c>
      <c r="O65" s="18" t="s">
        <v>45</v>
      </c>
      <c r="P65" s="17"/>
      <c r="Q65" s="19">
        <v>8</v>
      </c>
      <c r="S65" s="17">
        <v>181608</v>
      </c>
      <c r="T65" s="17" t="s">
        <v>14</v>
      </c>
      <c r="U65" s="17" t="s">
        <v>11</v>
      </c>
      <c r="V65" s="17">
        <v>292586</v>
      </c>
      <c r="W65" s="17" t="s">
        <v>13</v>
      </c>
      <c r="X65" s="17">
        <v>60</v>
      </c>
      <c r="Y65" s="17"/>
      <c r="Z65" s="17"/>
      <c r="AA65" s="17" t="s">
        <v>95</v>
      </c>
      <c r="AB65" s="14"/>
      <c r="AC65" s="14"/>
      <c r="AD65" s="14"/>
      <c r="AE65" s="14"/>
      <c r="AF65" s="14"/>
      <c r="AG65" s="14"/>
      <c r="AH65" s="14"/>
      <c r="AI65" s="14"/>
      <c r="AJ65" s="14"/>
    </row>
    <row r="66" spans="1:36" x14ac:dyDescent="0.25">
      <c r="A66" s="17">
        <v>181585</v>
      </c>
      <c r="B66" s="17" t="s">
        <v>14</v>
      </c>
      <c r="C66" s="17" t="s">
        <v>121</v>
      </c>
      <c r="D66" s="17">
        <v>290062</v>
      </c>
      <c r="E66" s="17" t="s">
        <v>126</v>
      </c>
      <c r="F66" s="18" t="s">
        <v>122</v>
      </c>
      <c r="G66" s="17"/>
      <c r="H66" s="19">
        <v>-1</v>
      </c>
      <c r="J66" s="17">
        <v>181603</v>
      </c>
      <c r="K66" s="17" t="s">
        <v>14</v>
      </c>
      <c r="L66" s="17" t="s">
        <v>11</v>
      </c>
      <c r="M66" s="17">
        <v>292581</v>
      </c>
      <c r="N66" s="17" t="s">
        <v>10</v>
      </c>
      <c r="O66" s="18" t="s">
        <v>45</v>
      </c>
      <c r="P66" s="17"/>
      <c r="Q66" s="19">
        <v>8</v>
      </c>
      <c r="S66" s="17">
        <v>181609</v>
      </c>
      <c r="T66" s="17" t="s">
        <v>14</v>
      </c>
      <c r="U66" s="17" t="s">
        <v>11</v>
      </c>
      <c r="V66" s="17">
        <v>292586</v>
      </c>
      <c r="W66" s="17" t="s">
        <v>13</v>
      </c>
      <c r="X66" s="17">
        <v>60</v>
      </c>
      <c r="Y66" s="17"/>
      <c r="Z66" s="17"/>
      <c r="AA66" s="17" t="s">
        <v>95</v>
      </c>
      <c r="AB66" s="14"/>
      <c r="AC66" s="14"/>
      <c r="AD66" s="14"/>
      <c r="AE66" s="14"/>
      <c r="AF66" s="14"/>
      <c r="AG66" s="14"/>
      <c r="AH66" s="14"/>
      <c r="AI66" s="14"/>
      <c r="AJ66" s="14"/>
    </row>
    <row r="67" spans="1:36" x14ac:dyDescent="0.25">
      <c r="A67" s="17">
        <v>181589</v>
      </c>
      <c r="B67" s="17" t="s">
        <v>14</v>
      </c>
      <c r="C67" s="17" t="s">
        <v>121</v>
      </c>
      <c r="D67" s="17">
        <v>292730</v>
      </c>
      <c r="E67" s="17" t="s">
        <v>126</v>
      </c>
      <c r="F67" s="18" t="s">
        <v>122</v>
      </c>
      <c r="G67" s="17"/>
      <c r="H67" s="19">
        <v>-1</v>
      </c>
      <c r="J67" s="17">
        <v>181593</v>
      </c>
      <c r="K67" s="17" t="s">
        <v>14</v>
      </c>
      <c r="L67" s="17" t="s">
        <v>9</v>
      </c>
      <c r="M67" s="17">
        <v>294351</v>
      </c>
      <c r="N67" s="17" t="s">
        <v>12</v>
      </c>
      <c r="O67" s="18" t="s">
        <v>45</v>
      </c>
      <c r="P67" s="17"/>
      <c r="Q67" s="19">
        <v>8</v>
      </c>
      <c r="S67" s="17">
        <v>181610</v>
      </c>
      <c r="T67" s="17" t="s">
        <v>14</v>
      </c>
      <c r="U67" s="17" t="s">
        <v>11</v>
      </c>
      <c r="V67" s="17">
        <v>292586</v>
      </c>
      <c r="W67" s="17" t="s">
        <v>13</v>
      </c>
      <c r="X67" s="17">
        <v>60</v>
      </c>
      <c r="Y67" s="17"/>
      <c r="Z67" s="17"/>
      <c r="AA67" s="17" t="s">
        <v>95</v>
      </c>
      <c r="AB67" s="14"/>
      <c r="AC67" s="14"/>
      <c r="AD67" s="14"/>
      <c r="AE67" s="14"/>
      <c r="AF67" s="14"/>
      <c r="AG67" s="14"/>
      <c r="AH67" s="14"/>
      <c r="AI67" s="14"/>
      <c r="AJ67" s="14"/>
    </row>
    <row r="68" spans="1:36" x14ac:dyDescent="0.25">
      <c r="A68" s="17">
        <v>181626</v>
      </c>
      <c r="B68" s="17" t="s">
        <v>14</v>
      </c>
      <c r="C68" s="17" t="s">
        <v>11</v>
      </c>
      <c r="D68" s="17">
        <v>290061</v>
      </c>
      <c r="E68" s="17" t="s">
        <v>10</v>
      </c>
      <c r="F68" s="18" t="s">
        <v>122</v>
      </c>
      <c r="G68" s="17"/>
      <c r="H68" s="19">
        <v>-1</v>
      </c>
      <c r="J68" s="17">
        <v>181593</v>
      </c>
      <c r="K68" s="17" t="s">
        <v>14</v>
      </c>
      <c r="L68" s="17" t="s">
        <v>9</v>
      </c>
      <c r="M68" s="17">
        <v>294352</v>
      </c>
      <c r="N68" s="17" t="s">
        <v>12</v>
      </c>
      <c r="O68" s="18" t="s">
        <v>45</v>
      </c>
      <c r="P68" s="17"/>
      <c r="Q68" s="19">
        <v>8</v>
      </c>
      <c r="S68" s="17">
        <v>181611</v>
      </c>
      <c r="T68" s="17" t="s">
        <v>14</v>
      </c>
      <c r="U68" s="17" t="s">
        <v>11</v>
      </c>
      <c r="V68" s="17">
        <v>292586</v>
      </c>
      <c r="W68" s="17" t="s">
        <v>13</v>
      </c>
      <c r="X68" s="17">
        <v>60</v>
      </c>
      <c r="Y68" s="17"/>
      <c r="Z68" s="17"/>
      <c r="AA68" s="17" t="s">
        <v>95</v>
      </c>
      <c r="AB68" s="14"/>
      <c r="AC68" s="14"/>
      <c r="AD68" s="14"/>
      <c r="AE68" s="14"/>
      <c r="AF68" s="14"/>
      <c r="AG68" s="14"/>
      <c r="AH68" s="14"/>
      <c r="AI68" s="14"/>
      <c r="AJ68" s="14"/>
    </row>
    <row r="69" spans="1:36" x14ac:dyDescent="0.25">
      <c r="A69" s="17">
        <v>181591</v>
      </c>
      <c r="B69" s="17" t="s">
        <v>14</v>
      </c>
      <c r="C69" s="17" t="s">
        <v>121</v>
      </c>
      <c r="D69" s="17">
        <v>290061</v>
      </c>
      <c r="E69" s="17" t="s">
        <v>126</v>
      </c>
      <c r="F69" s="18" t="s">
        <v>122</v>
      </c>
      <c r="G69" s="17"/>
      <c r="H69" s="19">
        <v>-1</v>
      </c>
      <c r="J69" s="17">
        <v>181635</v>
      </c>
      <c r="K69" s="17" t="s">
        <v>14</v>
      </c>
      <c r="L69" s="17" t="s">
        <v>11</v>
      </c>
      <c r="M69" s="17">
        <v>295053</v>
      </c>
      <c r="N69" s="17" t="s">
        <v>10</v>
      </c>
      <c r="O69" s="18" t="s">
        <v>42</v>
      </c>
      <c r="P69" s="17"/>
      <c r="Q69" s="19">
        <v>9</v>
      </c>
      <c r="S69" s="17">
        <v>181612</v>
      </c>
      <c r="T69" s="17" t="s">
        <v>14</v>
      </c>
      <c r="U69" s="17" t="s">
        <v>11</v>
      </c>
      <c r="V69" s="17">
        <v>292589</v>
      </c>
      <c r="W69" s="17" t="s">
        <v>13</v>
      </c>
      <c r="X69" s="17">
        <v>60</v>
      </c>
      <c r="Y69" s="17"/>
      <c r="Z69" s="17"/>
      <c r="AA69" s="17" t="s">
        <v>95</v>
      </c>
      <c r="AB69" s="14"/>
      <c r="AC69" s="14"/>
      <c r="AD69" s="14"/>
      <c r="AE69" s="14"/>
      <c r="AF69" s="14"/>
      <c r="AG69" s="14"/>
      <c r="AH69" s="14"/>
      <c r="AI69" s="14"/>
      <c r="AJ69" s="14"/>
    </row>
    <row r="70" spans="1:36" x14ac:dyDescent="0.25">
      <c r="A70" s="17">
        <v>181590</v>
      </c>
      <c r="B70" s="17" t="s">
        <v>14</v>
      </c>
      <c r="C70" s="17" t="s">
        <v>121</v>
      </c>
      <c r="D70" s="17">
        <v>290061</v>
      </c>
      <c r="E70" s="17" t="s">
        <v>126</v>
      </c>
      <c r="F70" s="18" t="s">
        <v>122</v>
      </c>
      <c r="G70" s="17"/>
      <c r="H70" s="19">
        <v>-1</v>
      </c>
      <c r="J70" s="17">
        <v>181635</v>
      </c>
      <c r="K70" s="17" t="s">
        <v>14</v>
      </c>
      <c r="L70" s="17" t="s">
        <v>11</v>
      </c>
      <c r="M70" s="17">
        <v>295048</v>
      </c>
      <c r="N70" s="17" t="s">
        <v>10</v>
      </c>
      <c r="O70" s="18" t="s">
        <v>42</v>
      </c>
      <c r="P70" s="17"/>
      <c r="Q70" s="19">
        <v>9</v>
      </c>
      <c r="S70" s="17">
        <v>181612</v>
      </c>
      <c r="T70" s="17" t="s">
        <v>14</v>
      </c>
      <c r="U70" s="17" t="s">
        <v>11</v>
      </c>
      <c r="V70" s="17">
        <v>292587</v>
      </c>
      <c r="W70" s="17" t="s">
        <v>13</v>
      </c>
      <c r="X70" s="17">
        <v>60</v>
      </c>
      <c r="Y70" s="17"/>
      <c r="Z70" s="17"/>
      <c r="AA70" s="17" t="s">
        <v>95</v>
      </c>
      <c r="AB70" s="14"/>
      <c r="AC70" s="14"/>
      <c r="AD70" s="14"/>
      <c r="AE70" s="14"/>
      <c r="AF70" s="14"/>
      <c r="AG70" s="14"/>
      <c r="AH70" s="14"/>
      <c r="AI70" s="14"/>
      <c r="AJ70" s="14"/>
    </row>
    <row r="71" spans="1:36" x14ac:dyDescent="0.25">
      <c r="A71" s="17">
        <v>181591</v>
      </c>
      <c r="B71" s="17" t="s">
        <v>14</v>
      </c>
      <c r="C71" s="17" t="s">
        <v>121</v>
      </c>
      <c r="D71" s="17">
        <v>292101</v>
      </c>
      <c r="E71" s="17" t="s">
        <v>126</v>
      </c>
      <c r="F71" s="18" t="s">
        <v>122</v>
      </c>
      <c r="G71" s="17"/>
      <c r="H71" s="19">
        <v>-1</v>
      </c>
      <c r="J71" s="17">
        <v>181606</v>
      </c>
      <c r="K71" s="17" t="s">
        <v>14</v>
      </c>
      <c r="L71" s="17" t="s">
        <v>11</v>
      </c>
      <c r="M71" s="17">
        <v>292578</v>
      </c>
      <c r="N71" s="17" t="s">
        <v>10</v>
      </c>
      <c r="O71" s="18" t="s">
        <v>42</v>
      </c>
      <c r="P71" s="17"/>
      <c r="Q71" s="19">
        <v>9</v>
      </c>
      <c r="S71" s="17">
        <v>181612</v>
      </c>
      <c r="T71" s="17" t="s">
        <v>14</v>
      </c>
      <c r="U71" s="17" t="s">
        <v>11</v>
      </c>
      <c r="V71" s="17">
        <v>292590</v>
      </c>
      <c r="W71" s="17" t="s">
        <v>13</v>
      </c>
      <c r="X71" s="17">
        <v>60</v>
      </c>
      <c r="Y71" s="17"/>
      <c r="Z71" s="17"/>
      <c r="AA71" s="17" t="s">
        <v>95</v>
      </c>
      <c r="AB71" s="14"/>
      <c r="AC71" s="14"/>
      <c r="AD71" s="14"/>
      <c r="AE71" s="14"/>
      <c r="AF71" s="14"/>
      <c r="AG71" s="14"/>
      <c r="AH71" s="14"/>
      <c r="AI71" s="14"/>
      <c r="AJ71" s="14"/>
    </row>
    <row r="72" spans="1:36" x14ac:dyDescent="0.25">
      <c r="A72" s="17">
        <v>181590</v>
      </c>
      <c r="B72" s="17" t="s">
        <v>14</v>
      </c>
      <c r="C72" s="17" t="s">
        <v>121</v>
      </c>
      <c r="D72" s="17">
        <v>292101</v>
      </c>
      <c r="E72" s="17" t="s">
        <v>126</v>
      </c>
      <c r="F72" s="18" t="s">
        <v>122</v>
      </c>
      <c r="G72" s="17"/>
      <c r="H72" s="19">
        <v>-1</v>
      </c>
      <c r="J72" s="17">
        <v>181606</v>
      </c>
      <c r="K72" s="17" t="s">
        <v>14</v>
      </c>
      <c r="L72" s="17" t="s">
        <v>11</v>
      </c>
      <c r="M72" s="17">
        <v>292585</v>
      </c>
      <c r="N72" s="17" t="s">
        <v>10</v>
      </c>
      <c r="O72" s="18" t="s">
        <v>42</v>
      </c>
      <c r="P72" s="17"/>
      <c r="Q72" s="19">
        <v>9</v>
      </c>
      <c r="S72" s="17">
        <v>181613</v>
      </c>
      <c r="T72" s="17" t="s">
        <v>14</v>
      </c>
      <c r="U72" s="17" t="s">
        <v>9</v>
      </c>
      <c r="V72" s="17">
        <v>292593</v>
      </c>
      <c r="W72" s="17" t="s">
        <v>13</v>
      </c>
      <c r="X72" s="17">
        <v>70</v>
      </c>
      <c r="Y72" s="17"/>
      <c r="Z72" s="17"/>
      <c r="AA72" s="17" t="s">
        <v>95</v>
      </c>
      <c r="AB72" s="14"/>
      <c r="AC72" s="14"/>
      <c r="AD72" s="14"/>
      <c r="AE72" s="14"/>
      <c r="AF72" s="14"/>
      <c r="AG72" s="14"/>
      <c r="AH72" s="14"/>
      <c r="AI72" s="14"/>
      <c r="AJ72" s="14"/>
    </row>
    <row r="73" spans="1:36" x14ac:dyDescent="0.25">
      <c r="A73" s="17">
        <v>181626</v>
      </c>
      <c r="B73" s="17" t="s">
        <v>14</v>
      </c>
      <c r="C73" s="17" t="s">
        <v>11</v>
      </c>
      <c r="D73" s="17">
        <v>290060</v>
      </c>
      <c r="E73" s="17" t="s">
        <v>10</v>
      </c>
      <c r="F73" s="18" t="s">
        <v>122</v>
      </c>
      <c r="G73" s="17"/>
      <c r="H73" s="19">
        <v>-1</v>
      </c>
      <c r="J73" s="17">
        <v>181606</v>
      </c>
      <c r="K73" s="17" t="s">
        <v>14</v>
      </c>
      <c r="L73" s="17" t="s">
        <v>11</v>
      </c>
      <c r="M73" s="17">
        <v>292582</v>
      </c>
      <c r="N73" s="17" t="s">
        <v>10</v>
      </c>
      <c r="O73" s="18" t="s">
        <v>42</v>
      </c>
      <c r="P73" s="17"/>
      <c r="Q73" s="19">
        <v>9</v>
      </c>
      <c r="S73" s="17">
        <v>181621</v>
      </c>
      <c r="T73" s="17" t="s">
        <v>14</v>
      </c>
      <c r="U73" s="17" t="s">
        <v>11</v>
      </c>
      <c r="V73" s="17">
        <v>292578</v>
      </c>
      <c r="W73" s="17" t="s">
        <v>13</v>
      </c>
      <c r="X73" s="17">
        <v>58</v>
      </c>
      <c r="Y73" s="17"/>
      <c r="Z73" s="17"/>
      <c r="AA73" s="17" t="s">
        <v>95</v>
      </c>
      <c r="AB73" s="14"/>
      <c r="AC73" s="14"/>
      <c r="AD73" s="14"/>
      <c r="AE73" s="14"/>
      <c r="AF73" s="14"/>
      <c r="AG73" s="14"/>
      <c r="AH73" s="14"/>
      <c r="AI73" s="14"/>
      <c r="AJ73" s="14"/>
    </row>
    <row r="74" spans="1:36" x14ac:dyDescent="0.25">
      <c r="A74" s="17">
        <v>181588</v>
      </c>
      <c r="B74" s="17" t="s">
        <v>14</v>
      </c>
      <c r="C74" s="17" t="s">
        <v>121</v>
      </c>
      <c r="D74" s="17">
        <v>290060</v>
      </c>
      <c r="E74" s="17" t="s">
        <v>126</v>
      </c>
      <c r="F74" s="18" t="s">
        <v>122</v>
      </c>
      <c r="G74" s="17"/>
      <c r="H74" s="19">
        <v>-1</v>
      </c>
      <c r="J74" s="17">
        <v>181628</v>
      </c>
      <c r="K74" s="17" t="s">
        <v>14</v>
      </c>
      <c r="L74" s="17" t="s">
        <v>11</v>
      </c>
      <c r="M74" s="17">
        <v>292586</v>
      </c>
      <c r="N74" s="17" t="s">
        <v>10</v>
      </c>
      <c r="O74" s="18" t="s">
        <v>42</v>
      </c>
      <c r="P74" s="17"/>
      <c r="Q74" s="19">
        <v>9</v>
      </c>
      <c r="S74" s="17">
        <v>181621</v>
      </c>
      <c r="T74" s="17" t="s">
        <v>14</v>
      </c>
      <c r="U74" s="17" t="s">
        <v>11</v>
      </c>
      <c r="V74" s="17">
        <v>292582</v>
      </c>
      <c r="W74" s="17" t="s">
        <v>13</v>
      </c>
      <c r="X74" s="17">
        <v>58</v>
      </c>
      <c r="Y74" s="17"/>
      <c r="Z74" s="17"/>
      <c r="AA74" s="17" t="s">
        <v>95</v>
      </c>
      <c r="AB74" s="14"/>
      <c r="AC74" s="14"/>
      <c r="AD74" s="14"/>
      <c r="AE74" s="14"/>
      <c r="AF74" s="14"/>
      <c r="AG74" s="14"/>
      <c r="AH74" s="14"/>
      <c r="AI74" s="14"/>
      <c r="AJ74" s="14"/>
    </row>
    <row r="75" spans="1:36" x14ac:dyDescent="0.25">
      <c r="A75" s="17">
        <v>181591</v>
      </c>
      <c r="B75" s="17" t="s">
        <v>14</v>
      </c>
      <c r="C75" s="17" t="s">
        <v>121</v>
      </c>
      <c r="D75" s="17">
        <v>293262</v>
      </c>
      <c r="E75" s="17" t="s">
        <v>126</v>
      </c>
      <c r="F75" s="18" t="s">
        <v>122</v>
      </c>
      <c r="G75" s="17"/>
      <c r="H75" s="19">
        <v>-1</v>
      </c>
      <c r="J75" s="17">
        <v>181628</v>
      </c>
      <c r="K75" s="17" t="s">
        <v>14</v>
      </c>
      <c r="L75" s="17" t="s">
        <v>11</v>
      </c>
      <c r="M75" s="17">
        <v>292588</v>
      </c>
      <c r="N75" s="17" t="s">
        <v>10</v>
      </c>
      <c r="O75" s="18" t="s">
        <v>42</v>
      </c>
      <c r="P75" s="17"/>
      <c r="Q75" s="19">
        <v>9</v>
      </c>
      <c r="S75" s="17">
        <v>181622</v>
      </c>
      <c r="T75" s="17" t="s">
        <v>14</v>
      </c>
      <c r="U75" s="17" t="s">
        <v>11</v>
      </c>
      <c r="V75" s="17">
        <v>292578</v>
      </c>
      <c r="W75" s="17" t="s">
        <v>13</v>
      </c>
      <c r="X75" s="17">
        <v>58</v>
      </c>
      <c r="Y75" s="17"/>
      <c r="Z75" s="17"/>
      <c r="AA75" s="17" t="s">
        <v>95</v>
      </c>
      <c r="AB75" s="14"/>
      <c r="AC75" s="14"/>
      <c r="AD75" s="14"/>
      <c r="AE75" s="14"/>
      <c r="AF75" s="14"/>
      <c r="AG75" s="14"/>
      <c r="AH75" s="14"/>
      <c r="AI75" s="14"/>
      <c r="AJ75" s="14"/>
    </row>
    <row r="76" spans="1:36" x14ac:dyDescent="0.25">
      <c r="A76" s="17">
        <v>181590</v>
      </c>
      <c r="B76" s="17" t="s">
        <v>14</v>
      </c>
      <c r="C76" s="17" t="s">
        <v>121</v>
      </c>
      <c r="D76" s="17">
        <v>293262</v>
      </c>
      <c r="E76" s="17" t="s">
        <v>126</v>
      </c>
      <c r="F76" s="18" t="s">
        <v>122</v>
      </c>
      <c r="G76" s="17"/>
      <c r="H76" s="19">
        <v>-1</v>
      </c>
      <c r="J76" s="17">
        <v>181628</v>
      </c>
      <c r="K76" s="17" t="s">
        <v>14</v>
      </c>
      <c r="L76" s="17" t="s">
        <v>11</v>
      </c>
      <c r="M76" s="17">
        <v>292587</v>
      </c>
      <c r="N76" s="17" t="s">
        <v>10</v>
      </c>
      <c r="O76" s="18" t="s">
        <v>42</v>
      </c>
      <c r="P76" s="17"/>
      <c r="Q76" s="19">
        <v>9</v>
      </c>
      <c r="S76" s="17">
        <v>181622</v>
      </c>
      <c r="T76" s="17" t="s">
        <v>14</v>
      </c>
      <c r="U76" s="17" t="s">
        <v>11</v>
      </c>
      <c r="V76" s="17">
        <v>292582</v>
      </c>
      <c r="W76" s="17" t="s">
        <v>13</v>
      </c>
      <c r="X76" s="17">
        <v>58</v>
      </c>
      <c r="Y76" s="17"/>
      <c r="Z76" s="17"/>
      <c r="AA76" s="17" t="s">
        <v>95</v>
      </c>
      <c r="AB76" s="14"/>
      <c r="AC76" s="14"/>
      <c r="AD76" s="14"/>
      <c r="AE76" s="14"/>
      <c r="AF76" s="14"/>
      <c r="AG76" s="14"/>
      <c r="AH76" s="14"/>
      <c r="AI76" s="14"/>
      <c r="AJ76" s="14"/>
    </row>
    <row r="77" spans="1:36" x14ac:dyDescent="0.25">
      <c r="A77" s="17">
        <v>181588</v>
      </c>
      <c r="B77" s="17" t="s">
        <v>14</v>
      </c>
      <c r="C77" s="17" t="s">
        <v>121</v>
      </c>
      <c r="D77" s="17">
        <v>292100</v>
      </c>
      <c r="E77" s="17" t="s">
        <v>126</v>
      </c>
      <c r="F77" s="18" t="s">
        <v>122</v>
      </c>
      <c r="G77" s="17"/>
      <c r="H77" s="19">
        <v>-1</v>
      </c>
      <c r="J77" s="17">
        <v>181626</v>
      </c>
      <c r="K77" s="17" t="s">
        <v>14</v>
      </c>
      <c r="L77" s="17" t="s">
        <v>11</v>
      </c>
      <c r="M77" s="17">
        <v>290059</v>
      </c>
      <c r="N77" s="17" t="s">
        <v>10</v>
      </c>
      <c r="O77" s="18" t="s">
        <v>44</v>
      </c>
      <c r="P77" s="17"/>
      <c r="Q77" s="19">
        <v>12</v>
      </c>
      <c r="S77" s="17">
        <v>181624</v>
      </c>
      <c r="T77" s="17" t="s">
        <v>14</v>
      </c>
      <c r="U77" s="17" t="s">
        <v>9</v>
      </c>
      <c r="V77" s="17">
        <v>267375</v>
      </c>
      <c r="W77" s="17" t="s">
        <v>13</v>
      </c>
      <c r="X77" s="17">
        <v>70</v>
      </c>
      <c r="Y77" s="17"/>
      <c r="Z77" s="17"/>
      <c r="AA77" s="17" t="s">
        <v>95</v>
      </c>
      <c r="AB77" s="14"/>
      <c r="AC77" s="14"/>
      <c r="AD77" s="14"/>
      <c r="AE77" s="14"/>
      <c r="AF77" s="14"/>
      <c r="AG77" s="14"/>
      <c r="AH77" s="14"/>
      <c r="AI77" s="14"/>
      <c r="AJ77" s="14"/>
    </row>
    <row r="78" spans="1:36" x14ac:dyDescent="0.25">
      <c r="J78" s="17">
        <v>181626</v>
      </c>
      <c r="K78" s="17" t="s">
        <v>14</v>
      </c>
      <c r="L78" s="17" t="s">
        <v>11</v>
      </c>
      <c r="M78" s="17">
        <v>290061</v>
      </c>
      <c r="N78" s="17" t="s">
        <v>10</v>
      </c>
      <c r="O78" s="18" t="s">
        <v>44</v>
      </c>
      <c r="P78" s="17"/>
      <c r="Q78" s="19">
        <v>12</v>
      </c>
      <c r="S78" s="17">
        <v>181625</v>
      </c>
      <c r="T78" s="17" t="s">
        <v>14</v>
      </c>
      <c r="U78" s="17" t="s">
        <v>9</v>
      </c>
      <c r="V78" s="17">
        <v>292593</v>
      </c>
      <c r="W78" s="17" t="s">
        <v>13</v>
      </c>
      <c r="X78" s="17">
        <v>70</v>
      </c>
      <c r="Y78" s="17"/>
      <c r="Z78" s="17"/>
      <c r="AA78" s="17" t="s">
        <v>95</v>
      </c>
      <c r="AB78" s="14"/>
      <c r="AC78" s="14"/>
      <c r="AD78" s="14"/>
      <c r="AE78" s="14"/>
      <c r="AF78" s="14"/>
      <c r="AG78" s="14"/>
      <c r="AH78" s="14"/>
      <c r="AI78" s="14"/>
      <c r="AJ78" s="14"/>
    </row>
    <row r="79" spans="1:36" x14ac:dyDescent="0.25">
      <c r="J79" s="17">
        <v>181590</v>
      </c>
      <c r="K79" s="17" t="s">
        <v>14</v>
      </c>
      <c r="L79" s="17" t="s">
        <v>121</v>
      </c>
      <c r="M79" s="17">
        <v>290061</v>
      </c>
      <c r="N79" s="17" t="s">
        <v>126</v>
      </c>
      <c r="O79" s="18" t="s">
        <v>44</v>
      </c>
      <c r="P79" s="17"/>
      <c r="Q79" s="19">
        <v>12</v>
      </c>
      <c r="S79" s="17">
        <v>181628</v>
      </c>
      <c r="T79" s="17" t="s">
        <v>14</v>
      </c>
      <c r="U79" s="17" t="s">
        <v>11</v>
      </c>
      <c r="V79" s="17">
        <v>292587</v>
      </c>
      <c r="W79" s="17" t="s">
        <v>13</v>
      </c>
      <c r="X79" s="17">
        <v>60</v>
      </c>
      <c r="Y79" s="17"/>
      <c r="Z79" s="17"/>
      <c r="AA79" s="17" t="s">
        <v>95</v>
      </c>
      <c r="AB79" s="14"/>
      <c r="AC79" s="14"/>
      <c r="AD79" s="14"/>
      <c r="AE79" s="14"/>
      <c r="AF79" s="14"/>
      <c r="AG79" s="14"/>
      <c r="AH79" s="14"/>
      <c r="AI79" s="14"/>
      <c r="AJ79" s="14"/>
    </row>
    <row r="80" spans="1:36" x14ac:dyDescent="0.25">
      <c r="J80" s="17">
        <v>181590</v>
      </c>
      <c r="K80" s="17" t="s">
        <v>14</v>
      </c>
      <c r="L80" s="17" t="s">
        <v>121</v>
      </c>
      <c r="M80" s="17">
        <v>292101</v>
      </c>
      <c r="N80" s="17" t="s">
        <v>126</v>
      </c>
      <c r="O80" s="18" t="s">
        <v>44</v>
      </c>
      <c r="P80" s="17"/>
      <c r="Q80" s="19">
        <v>12</v>
      </c>
      <c r="S80" s="17">
        <v>181628</v>
      </c>
      <c r="T80" s="17" t="s">
        <v>14</v>
      </c>
      <c r="U80" s="17" t="s">
        <v>11</v>
      </c>
      <c r="V80" s="17">
        <v>292586</v>
      </c>
      <c r="W80" s="17" t="s">
        <v>13</v>
      </c>
      <c r="X80" s="17">
        <v>60</v>
      </c>
      <c r="Y80" s="17"/>
      <c r="Z80" s="17"/>
      <c r="AA80" s="17" t="s">
        <v>95</v>
      </c>
      <c r="AB80" s="14"/>
      <c r="AC80" s="14"/>
      <c r="AD80" s="14"/>
      <c r="AE80" s="14"/>
      <c r="AF80" s="14"/>
      <c r="AG80" s="14"/>
      <c r="AH80" s="14"/>
      <c r="AI80" s="14"/>
      <c r="AJ80" s="14"/>
    </row>
    <row r="81" spans="10:36" x14ac:dyDescent="0.25">
      <c r="J81" s="17">
        <v>181626</v>
      </c>
      <c r="K81" s="17" t="s">
        <v>14</v>
      </c>
      <c r="L81" s="17" t="s">
        <v>11</v>
      </c>
      <c r="M81" s="17">
        <v>290060</v>
      </c>
      <c r="N81" s="17" t="s">
        <v>10</v>
      </c>
      <c r="O81" s="18" t="s">
        <v>44</v>
      </c>
      <c r="P81" s="17"/>
      <c r="Q81" s="19">
        <v>12</v>
      </c>
      <c r="S81" s="17">
        <v>181628</v>
      </c>
      <c r="T81" s="17" t="s">
        <v>14</v>
      </c>
      <c r="U81" s="17" t="s">
        <v>11</v>
      </c>
      <c r="V81" s="17">
        <v>292588</v>
      </c>
      <c r="W81" s="17" t="s">
        <v>13</v>
      </c>
      <c r="X81" s="17">
        <v>60</v>
      </c>
      <c r="Y81" s="17"/>
      <c r="Z81" s="17"/>
      <c r="AA81" s="17" t="s">
        <v>95</v>
      </c>
      <c r="AB81" s="14"/>
      <c r="AC81" s="14"/>
      <c r="AD81" s="14"/>
      <c r="AE81" s="14"/>
      <c r="AF81" s="14"/>
      <c r="AG81" s="14"/>
      <c r="AH81" s="14"/>
      <c r="AI81" s="14"/>
      <c r="AJ81" s="14"/>
    </row>
    <row r="82" spans="10:36" x14ac:dyDescent="0.25">
      <c r="J82" s="17">
        <v>181590</v>
      </c>
      <c r="K82" s="17" t="s">
        <v>14</v>
      </c>
      <c r="L82" s="17" t="s">
        <v>121</v>
      </c>
      <c r="M82" s="17">
        <v>293262</v>
      </c>
      <c r="N82" s="17" t="s">
        <v>126</v>
      </c>
      <c r="O82" s="18" t="s">
        <v>44</v>
      </c>
      <c r="P82" s="17"/>
      <c r="Q82" s="19">
        <v>12</v>
      </c>
      <c r="S82" s="17">
        <v>181638</v>
      </c>
      <c r="T82" s="17" t="s">
        <v>14</v>
      </c>
      <c r="U82" s="17" t="s">
        <v>11</v>
      </c>
      <c r="V82" s="17">
        <v>294571</v>
      </c>
      <c r="W82" s="17" t="s">
        <v>13</v>
      </c>
      <c r="X82" s="17">
        <v>0</v>
      </c>
      <c r="Y82" s="17"/>
      <c r="Z82" s="17"/>
      <c r="AA82" s="17" t="s">
        <v>97</v>
      </c>
      <c r="AB82" s="14"/>
      <c r="AC82" s="14"/>
      <c r="AD82" s="14"/>
      <c r="AE82" s="14"/>
      <c r="AF82" s="14"/>
      <c r="AG82" s="14"/>
      <c r="AH82" s="14"/>
      <c r="AI82" s="14"/>
      <c r="AJ82" s="14"/>
    </row>
    <row r="83" spans="10:36" x14ac:dyDescent="0.25">
      <c r="J83" s="17">
        <v>181629</v>
      </c>
      <c r="K83" s="17" t="s">
        <v>14</v>
      </c>
      <c r="L83" s="17" t="s">
        <v>11</v>
      </c>
      <c r="M83" s="17">
        <v>294353</v>
      </c>
      <c r="N83" s="17" t="s">
        <v>10</v>
      </c>
      <c r="O83" s="18" t="s">
        <v>44</v>
      </c>
      <c r="P83" s="17"/>
      <c r="Q83" s="19">
        <v>12</v>
      </c>
      <c r="S83" s="17">
        <v>181638</v>
      </c>
      <c r="T83" s="17" t="s">
        <v>14</v>
      </c>
      <c r="U83" s="17" t="s">
        <v>11</v>
      </c>
      <c r="V83" s="17">
        <v>292101</v>
      </c>
      <c r="W83" s="17" t="s">
        <v>13</v>
      </c>
      <c r="X83" s="17">
        <v>58</v>
      </c>
      <c r="Y83" s="17"/>
      <c r="Z83" s="17"/>
      <c r="AA83" s="17" t="s">
        <v>95</v>
      </c>
      <c r="AB83" s="14"/>
      <c r="AC83" s="14"/>
      <c r="AD83" s="14"/>
      <c r="AE83" s="14"/>
      <c r="AF83" s="14"/>
      <c r="AG83" s="14"/>
      <c r="AH83" s="14"/>
      <c r="AI83" s="14"/>
      <c r="AJ83" s="14"/>
    </row>
    <row r="84" spans="10:36" x14ac:dyDescent="0.25">
      <c r="J84" s="17">
        <v>181591</v>
      </c>
      <c r="K84" s="17" t="s">
        <v>14</v>
      </c>
      <c r="L84" s="17" t="s">
        <v>121</v>
      </c>
      <c r="M84" s="17">
        <v>290061</v>
      </c>
      <c r="N84" s="17" t="s">
        <v>126</v>
      </c>
      <c r="O84" s="18" t="s">
        <v>47</v>
      </c>
      <c r="P84" s="17"/>
      <c r="Q84" s="19">
        <v>13</v>
      </c>
      <c r="S84" s="17">
        <v>181638</v>
      </c>
      <c r="T84" s="17" t="s">
        <v>14</v>
      </c>
      <c r="U84" s="17" t="s">
        <v>11</v>
      </c>
      <c r="V84" s="17">
        <v>290061</v>
      </c>
      <c r="W84" s="17" t="s">
        <v>13</v>
      </c>
      <c r="X84" s="17">
        <v>58</v>
      </c>
      <c r="Y84" s="17"/>
      <c r="Z84" s="17"/>
      <c r="AA84" s="17" t="s">
        <v>95</v>
      </c>
      <c r="AB84" s="14"/>
      <c r="AC84" s="14"/>
      <c r="AD84" s="14"/>
      <c r="AE84" s="14"/>
      <c r="AF84" s="14"/>
      <c r="AG84" s="14"/>
      <c r="AH84" s="14"/>
      <c r="AI84" s="14"/>
      <c r="AJ84" s="14"/>
    </row>
    <row r="85" spans="10:36" x14ac:dyDescent="0.25">
      <c r="J85" s="17">
        <v>181591</v>
      </c>
      <c r="K85" s="17" t="s">
        <v>14</v>
      </c>
      <c r="L85" s="17" t="s">
        <v>121</v>
      </c>
      <c r="M85" s="17">
        <v>292101</v>
      </c>
      <c r="N85" s="17" t="s">
        <v>126</v>
      </c>
      <c r="O85" s="18" t="s">
        <v>47</v>
      </c>
      <c r="P85" s="17"/>
      <c r="Q85" s="19">
        <v>13</v>
      </c>
      <c r="S85" s="17">
        <v>181638</v>
      </c>
      <c r="T85" s="17" t="s">
        <v>14</v>
      </c>
      <c r="U85" s="17" t="s">
        <v>11</v>
      </c>
      <c r="V85" s="17">
        <v>294572</v>
      </c>
      <c r="W85" s="17" t="s">
        <v>13</v>
      </c>
      <c r="X85" s="17">
        <v>0</v>
      </c>
      <c r="Y85" s="17"/>
      <c r="Z85" s="17"/>
      <c r="AA85" s="17" t="s">
        <v>97</v>
      </c>
      <c r="AB85" s="14"/>
      <c r="AC85" s="14"/>
      <c r="AD85" s="14"/>
      <c r="AE85" s="14"/>
      <c r="AF85" s="14"/>
      <c r="AG85" s="14"/>
      <c r="AH85" s="14"/>
      <c r="AI85" s="14"/>
      <c r="AJ85" s="14"/>
    </row>
    <row r="86" spans="10:36" x14ac:dyDescent="0.25">
      <c r="J86" s="17">
        <v>181591</v>
      </c>
      <c r="K86" s="17" t="s">
        <v>14</v>
      </c>
      <c r="L86" s="17" t="s">
        <v>121</v>
      </c>
      <c r="M86" s="17">
        <v>293262</v>
      </c>
      <c r="N86" s="17" t="s">
        <v>126</v>
      </c>
      <c r="O86" s="18" t="s">
        <v>47</v>
      </c>
      <c r="P86" s="17"/>
      <c r="Q86" s="19">
        <v>13</v>
      </c>
      <c r="S86" s="17">
        <v>181626</v>
      </c>
      <c r="T86" s="17" t="s">
        <v>14</v>
      </c>
      <c r="U86" s="17" t="s">
        <v>11</v>
      </c>
      <c r="V86" s="17">
        <v>290060</v>
      </c>
      <c r="W86" s="17" t="s">
        <v>13</v>
      </c>
      <c r="X86" s="17">
        <v>58</v>
      </c>
      <c r="Y86" s="17"/>
      <c r="Z86" s="17"/>
      <c r="AA86" s="17" t="s">
        <v>95</v>
      </c>
      <c r="AB86" s="14"/>
      <c r="AC86" s="14"/>
      <c r="AD86" s="14"/>
      <c r="AE86" s="14"/>
      <c r="AF86" s="14"/>
      <c r="AG86" s="14"/>
      <c r="AH86" s="14"/>
      <c r="AI86" s="14"/>
      <c r="AJ86" s="14"/>
    </row>
    <row r="87" spans="10:36" x14ac:dyDescent="0.25">
      <c r="J87" s="17">
        <v>181637</v>
      </c>
      <c r="K87" s="17" t="s">
        <v>14</v>
      </c>
      <c r="L87" s="17" t="s">
        <v>11</v>
      </c>
      <c r="M87" s="17">
        <v>290063</v>
      </c>
      <c r="N87" s="17" t="s">
        <v>10</v>
      </c>
      <c r="O87" s="18" t="s">
        <v>46</v>
      </c>
      <c r="P87" s="17"/>
      <c r="Q87" s="19">
        <v>14</v>
      </c>
      <c r="S87" s="17">
        <v>181626</v>
      </c>
      <c r="T87" s="17" t="s">
        <v>14</v>
      </c>
      <c r="U87" s="17" t="s">
        <v>11</v>
      </c>
      <c r="V87" s="17">
        <v>290059</v>
      </c>
      <c r="W87" s="17" t="s">
        <v>13</v>
      </c>
      <c r="X87" s="17">
        <v>58</v>
      </c>
      <c r="Y87" s="17"/>
      <c r="Z87" s="17"/>
      <c r="AA87" s="17" t="s">
        <v>95</v>
      </c>
      <c r="AB87" s="14"/>
      <c r="AC87" s="14"/>
      <c r="AD87" s="14"/>
      <c r="AE87" s="14"/>
      <c r="AF87" s="14"/>
      <c r="AG87" s="14"/>
      <c r="AH87" s="14"/>
      <c r="AI87" s="14"/>
      <c r="AJ87" s="14"/>
    </row>
    <row r="88" spans="10:36" x14ac:dyDescent="0.25">
      <c r="J88" s="17">
        <v>181637</v>
      </c>
      <c r="K88" s="17" t="s">
        <v>14</v>
      </c>
      <c r="L88" s="17" t="s">
        <v>11</v>
      </c>
      <c r="M88" s="17">
        <v>290062</v>
      </c>
      <c r="N88" s="17" t="s">
        <v>10</v>
      </c>
      <c r="O88" s="18" t="s">
        <v>46</v>
      </c>
      <c r="P88" s="17"/>
      <c r="Q88" s="19">
        <v>14</v>
      </c>
      <c r="S88" s="17">
        <v>181626</v>
      </c>
      <c r="T88" s="17" t="s">
        <v>14</v>
      </c>
      <c r="U88" s="17" t="s">
        <v>11</v>
      </c>
      <c r="V88" s="17">
        <v>290061</v>
      </c>
      <c r="W88" s="17" t="s">
        <v>13</v>
      </c>
      <c r="X88" s="17">
        <v>58</v>
      </c>
      <c r="Y88" s="17"/>
      <c r="Z88" s="17"/>
      <c r="AA88" s="17" t="s">
        <v>95</v>
      </c>
      <c r="AB88" s="14"/>
      <c r="AC88" s="14"/>
      <c r="AD88" s="14"/>
      <c r="AE88" s="14"/>
      <c r="AF88" s="14"/>
      <c r="AG88" s="14"/>
      <c r="AH88" s="14"/>
      <c r="AI88" s="14"/>
      <c r="AJ88" s="14"/>
    </row>
    <row r="89" spans="10:36" x14ac:dyDescent="0.25">
      <c r="J89" s="17">
        <v>181585</v>
      </c>
      <c r="K89" s="17" t="s">
        <v>14</v>
      </c>
      <c r="L89" s="17" t="s">
        <v>121</v>
      </c>
      <c r="M89" s="17">
        <v>290063</v>
      </c>
      <c r="N89" s="17" t="s">
        <v>126</v>
      </c>
      <c r="O89" s="18" t="s">
        <v>128</v>
      </c>
      <c r="P89" s="17"/>
      <c r="Q89" s="19">
        <v>19</v>
      </c>
      <c r="S89" s="17">
        <v>181591</v>
      </c>
      <c r="T89" s="17" t="s">
        <v>14</v>
      </c>
      <c r="U89" s="17" t="s">
        <v>121</v>
      </c>
      <c r="V89" s="17">
        <v>293262</v>
      </c>
      <c r="W89" s="17" t="s">
        <v>13</v>
      </c>
      <c r="X89" s="17">
        <v>58</v>
      </c>
      <c r="Y89" s="17"/>
      <c r="Z89" s="17"/>
      <c r="AA89" s="17" t="s">
        <v>95</v>
      </c>
      <c r="AB89" s="14"/>
      <c r="AC89" s="14"/>
      <c r="AD89" s="14"/>
      <c r="AE89" s="14"/>
      <c r="AF89" s="14"/>
      <c r="AG89" s="14"/>
      <c r="AH89" s="14"/>
      <c r="AI89" s="14"/>
      <c r="AJ89" s="14"/>
    </row>
    <row r="90" spans="10:36" x14ac:dyDescent="0.25">
      <c r="J90" s="17">
        <v>181585</v>
      </c>
      <c r="K90" s="17" t="s">
        <v>14</v>
      </c>
      <c r="L90" s="17" t="s">
        <v>121</v>
      </c>
      <c r="M90" s="17">
        <v>290061</v>
      </c>
      <c r="N90" s="17" t="s">
        <v>126</v>
      </c>
      <c r="O90" s="18" t="s">
        <v>128</v>
      </c>
      <c r="P90" s="17"/>
      <c r="Q90" s="19">
        <v>19</v>
      </c>
      <c r="S90" s="17">
        <v>181591</v>
      </c>
      <c r="T90" s="17" t="s">
        <v>14</v>
      </c>
      <c r="U90" s="17" t="s">
        <v>121</v>
      </c>
      <c r="V90" s="17">
        <v>292101</v>
      </c>
      <c r="W90" s="17" t="s">
        <v>13</v>
      </c>
      <c r="X90" s="17">
        <v>58</v>
      </c>
      <c r="Y90" s="17"/>
      <c r="Z90" s="17"/>
      <c r="AA90" s="17" t="s">
        <v>95</v>
      </c>
      <c r="AB90" s="14"/>
      <c r="AC90" s="14"/>
      <c r="AD90" s="14"/>
      <c r="AE90" s="14"/>
      <c r="AF90" s="14"/>
      <c r="AG90" s="14"/>
      <c r="AH90" s="14"/>
      <c r="AI90" s="14"/>
      <c r="AJ90" s="14"/>
    </row>
    <row r="91" spans="10:36" x14ac:dyDescent="0.25">
      <c r="J91" s="17">
        <v>181585</v>
      </c>
      <c r="K91" s="17" t="s">
        <v>14</v>
      </c>
      <c r="L91" s="17" t="s">
        <v>121</v>
      </c>
      <c r="M91" s="17">
        <v>290062</v>
      </c>
      <c r="N91" s="17" t="s">
        <v>126</v>
      </c>
      <c r="O91" s="18" t="s">
        <v>128</v>
      </c>
      <c r="P91" s="17"/>
      <c r="Q91" s="19">
        <v>19</v>
      </c>
      <c r="S91" s="17">
        <v>181591</v>
      </c>
      <c r="T91" s="17" t="s">
        <v>14</v>
      </c>
      <c r="U91" s="17" t="s">
        <v>121</v>
      </c>
      <c r="V91" s="17">
        <v>290061</v>
      </c>
      <c r="W91" s="17" t="s">
        <v>13</v>
      </c>
      <c r="X91" s="17">
        <v>58</v>
      </c>
      <c r="Y91" s="17"/>
      <c r="Z91" s="17"/>
      <c r="AA91" s="17" t="s">
        <v>95</v>
      </c>
      <c r="AB91" s="14"/>
      <c r="AC91" s="14"/>
      <c r="AD91" s="14"/>
      <c r="AE91" s="14"/>
      <c r="AF91" s="14"/>
      <c r="AG91" s="14"/>
      <c r="AH91" s="14"/>
      <c r="AI91" s="14"/>
      <c r="AJ91" s="14"/>
    </row>
    <row r="92" spans="10:36" x14ac:dyDescent="0.25">
      <c r="J92" s="17">
        <v>181613</v>
      </c>
      <c r="K92" s="17" t="s">
        <v>14</v>
      </c>
      <c r="L92" s="17" t="s">
        <v>9</v>
      </c>
      <c r="M92" s="17">
        <v>292593</v>
      </c>
      <c r="N92" s="17" t="s">
        <v>12</v>
      </c>
      <c r="O92" s="18" t="s">
        <v>91</v>
      </c>
      <c r="P92" s="17"/>
      <c r="Q92" s="19">
        <v>36</v>
      </c>
      <c r="S92" s="17">
        <v>181590</v>
      </c>
      <c r="T92" s="17" t="s">
        <v>14</v>
      </c>
      <c r="U92" s="17" t="s">
        <v>121</v>
      </c>
      <c r="V92" s="17">
        <v>293262</v>
      </c>
      <c r="W92" s="17" t="s">
        <v>13</v>
      </c>
      <c r="X92" s="17">
        <v>58</v>
      </c>
      <c r="Y92" s="17"/>
      <c r="Z92" s="17"/>
      <c r="AA92" s="17" t="s">
        <v>95</v>
      </c>
      <c r="AB92" s="14"/>
      <c r="AC92" s="14"/>
      <c r="AD92" s="14"/>
      <c r="AE92" s="14"/>
      <c r="AF92" s="14"/>
      <c r="AG92" s="14"/>
      <c r="AH92" s="14"/>
      <c r="AI92" s="14"/>
      <c r="AJ92" s="14"/>
    </row>
    <row r="93" spans="10:36" x14ac:dyDescent="0.25">
      <c r="J93" s="17">
        <v>181624</v>
      </c>
      <c r="K93" s="17" t="s">
        <v>14</v>
      </c>
      <c r="L93" s="17" t="s">
        <v>9</v>
      </c>
      <c r="M93" s="17">
        <v>267375</v>
      </c>
      <c r="N93" s="17" t="s">
        <v>12</v>
      </c>
      <c r="O93" s="18" t="s">
        <v>92</v>
      </c>
      <c r="P93" s="17"/>
      <c r="Q93" s="19">
        <v>41</v>
      </c>
      <c r="S93" s="17">
        <v>181590</v>
      </c>
      <c r="T93" s="17" t="s">
        <v>14</v>
      </c>
      <c r="U93" s="17" t="s">
        <v>121</v>
      </c>
      <c r="V93" s="17">
        <v>292101</v>
      </c>
      <c r="W93" s="17" t="s">
        <v>13</v>
      </c>
      <c r="X93" s="17">
        <v>58</v>
      </c>
      <c r="Y93" s="17"/>
      <c r="Z93" s="17"/>
      <c r="AA93" s="17" t="s">
        <v>95</v>
      </c>
      <c r="AB93" s="14"/>
      <c r="AC93" s="14"/>
      <c r="AD93" s="14"/>
      <c r="AE93" s="14"/>
      <c r="AF93" s="14"/>
      <c r="AG93" s="14"/>
      <c r="AH93" s="14"/>
      <c r="AI93" s="14"/>
      <c r="AJ93" s="14"/>
    </row>
    <row r="94" spans="10:36" x14ac:dyDescent="0.25">
      <c r="J94" s="17">
        <v>181625</v>
      </c>
      <c r="K94" s="17" t="s">
        <v>14</v>
      </c>
      <c r="L94" s="17" t="s">
        <v>9</v>
      </c>
      <c r="M94" s="17">
        <v>292593</v>
      </c>
      <c r="N94" s="17" t="s">
        <v>12</v>
      </c>
      <c r="O94" s="18" t="s">
        <v>93</v>
      </c>
      <c r="P94" s="17"/>
      <c r="Q94" s="19">
        <v>47</v>
      </c>
      <c r="S94" s="17">
        <v>181590</v>
      </c>
      <c r="T94" s="17" t="s">
        <v>14</v>
      </c>
      <c r="U94" s="17" t="s">
        <v>121</v>
      </c>
      <c r="V94" s="17">
        <v>290061</v>
      </c>
      <c r="W94" s="17" t="s">
        <v>13</v>
      </c>
      <c r="X94" s="17">
        <v>58</v>
      </c>
      <c r="Y94" s="17"/>
      <c r="Z94" s="17"/>
      <c r="AA94" s="17" t="s">
        <v>95</v>
      </c>
      <c r="AB94" s="14"/>
      <c r="AC94" s="14"/>
      <c r="AD94" s="14"/>
      <c r="AE94" s="14"/>
      <c r="AF94" s="14"/>
      <c r="AG94" s="14"/>
      <c r="AH94" s="14"/>
      <c r="AI94" s="14"/>
      <c r="AJ94" s="14"/>
    </row>
    <row r="95" spans="10:36" x14ac:dyDescent="0.25">
      <c r="S95" s="17">
        <v>181589</v>
      </c>
      <c r="T95" s="17" t="s">
        <v>14</v>
      </c>
      <c r="U95" s="17" t="s">
        <v>121</v>
      </c>
      <c r="V95" s="17">
        <v>292730</v>
      </c>
      <c r="W95" s="17" t="s">
        <v>13</v>
      </c>
      <c r="X95" s="17">
        <v>58</v>
      </c>
      <c r="Y95" s="17"/>
      <c r="Z95" s="17"/>
      <c r="AA95" s="17" t="s">
        <v>95</v>
      </c>
      <c r="AB95" s="14"/>
      <c r="AC95" s="14"/>
      <c r="AD95" s="14"/>
      <c r="AE95" s="14"/>
      <c r="AF95" s="14"/>
      <c r="AG95" s="14"/>
      <c r="AH95" s="14"/>
      <c r="AI95" s="14"/>
      <c r="AJ95" s="14"/>
    </row>
    <row r="96" spans="10:36" x14ac:dyDescent="0.25">
      <c r="S96" s="17">
        <v>181589</v>
      </c>
      <c r="T96" s="17" t="s">
        <v>14</v>
      </c>
      <c r="U96" s="17" t="s">
        <v>121</v>
      </c>
      <c r="V96" s="17">
        <v>290061</v>
      </c>
      <c r="W96" s="17" t="s">
        <v>13</v>
      </c>
      <c r="X96" s="17">
        <v>58</v>
      </c>
      <c r="Y96" s="17"/>
      <c r="Z96" s="17"/>
      <c r="AA96" s="17" t="s">
        <v>95</v>
      </c>
      <c r="AB96" s="14"/>
      <c r="AC96" s="14"/>
      <c r="AD96" s="14"/>
      <c r="AE96" s="14"/>
      <c r="AF96" s="14"/>
      <c r="AG96" s="14"/>
      <c r="AH96" s="14"/>
      <c r="AI96" s="14"/>
      <c r="AJ96" s="14"/>
    </row>
    <row r="97" spans="19:36" x14ac:dyDescent="0.25">
      <c r="S97" s="17">
        <v>181589</v>
      </c>
      <c r="T97" s="17" t="s">
        <v>14</v>
      </c>
      <c r="U97" s="17" t="s">
        <v>121</v>
      </c>
      <c r="V97" s="17">
        <v>290059</v>
      </c>
      <c r="W97" s="17" t="s">
        <v>13</v>
      </c>
      <c r="X97" s="17">
        <v>58</v>
      </c>
      <c r="Y97" s="17"/>
      <c r="Z97" s="17"/>
      <c r="AA97" s="17" t="s">
        <v>95</v>
      </c>
      <c r="AB97" s="14"/>
      <c r="AC97" s="14"/>
      <c r="AD97" s="14"/>
      <c r="AE97" s="14"/>
      <c r="AF97" s="14"/>
      <c r="AG97" s="14"/>
      <c r="AH97" s="14"/>
      <c r="AI97" s="14"/>
      <c r="AJ97" s="14"/>
    </row>
    <row r="98" spans="19:36" x14ac:dyDescent="0.25">
      <c r="S98" s="17">
        <v>181588</v>
      </c>
      <c r="T98" s="17" t="s">
        <v>14</v>
      </c>
      <c r="U98" s="17" t="s">
        <v>121</v>
      </c>
      <c r="V98" s="17">
        <v>290059</v>
      </c>
      <c r="W98" s="17" t="s">
        <v>13</v>
      </c>
      <c r="X98" s="17">
        <v>58</v>
      </c>
      <c r="Y98" s="17"/>
      <c r="Z98" s="17"/>
      <c r="AA98" s="17" t="s">
        <v>95</v>
      </c>
      <c r="AB98" s="14"/>
      <c r="AC98" s="14"/>
      <c r="AD98" s="14"/>
      <c r="AE98" s="14"/>
      <c r="AF98" s="14"/>
      <c r="AG98" s="14"/>
      <c r="AH98" s="14"/>
      <c r="AI98" s="14"/>
      <c r="AJ98" s="14"/>
    </row>
    <row r="99" spans="19:36" x14ac:dyDescent="0.25">
      <c r="S99" s="17">
        <v>181588</v>
      </c>
      <c r="T99" s="17" t="s">
        <v>14</v>
      </c>
      <c r="U99" s="17" t="s">
        <v>121</v>
      </c>
      <c r="V99" s="17">
        <v>292100</v>
      </c>
      <c r="W99" s="17" t="s">
        <v>13</v>
      </c>
      <c r="X99" s="17">
        <v>58</v>
      </c>
      <c r="Y99" s="17"/>
      <c r="Z99" s="17"/>
      <c r="AA99" s="17" t="s">
        <v>95</v>
      </c>
      <c r="AB99" s="14"/>
      <c r="AC99" s="14"/>
      <c r="AD99" s="14"/>
      <c r="AE99" s="14"/>
      <c r="AF99" s="14"/>
      <c r="AG99" s="14"/>
      <c r="AH99" s="14"/>
      <c r="AI99" s="14"/>
      <c r="AJ99" s="14"/>
    </row>
    <row r="100" spans="19:36" x14ac:dyDescent="0.25">
      <c r="S100" s="17">
        <v>181588</v>
      </c>
      <c r="T100" s="17" t="s">
        <v>14</v>
      </c>
      <c r="U100" s="17" t="s">
        <v>121</v>
      </c>
      <c r="V100" s="17">
        <v>290060</v>
      </c>
      <c r="W100" s="17" t="s">
        <v>13</v>
      </c>
      <c r="X100" s="17">
        <v>58</v>
      </c>
      <c r="Y100" s="17"/>
      <c r="Z100" s="17"/>
      <c r="AA100" s="17" t="s">
        <v>95</v>
      </c>
      <c r="AB100" s="14"/>
      <c r="AC100" s="14"/>
      <c r="AD100" s="14"/>
      <c r="AE100" s="14"/>
      <c r="AF100" s="14"/>
      <c r="AG100" s="14"/>
      <c r="AH100" s="14"/>
      <c r="AI100" s="14"/>
      <c r="AJ100" s="14"/>
    </row>
    <row r="101" spans="19:36" x14ac:dyDescent="0.25">
      <c r="S101" s="17">
        <v>181587</v>
      </c>
      <c r="T101" s="17" t="s">
        <v>14</v>
      </c>
      <c r="U101" s="17" t="s">
        <v>121</v>
      </c>
      <c r="V101" s="17">
        <v>290059</v>
      </c>
      <c r="W101" s="17" t="s">
        <v>13</v>
      </c>
      <c r="X101" s="17">
        <v>58</v>
      </c>
      <c r="Y101" s="17"/>
      <c r="Z101" s="17"/>
      <c r="AA101" s="17" t="s">
        <v>95</v>
      </c>
      <c r="AB101" s="14"/>
      <c r="AC101" s="14"/>
      <c r="AD101" s="14"/>
      <c r="AE101" s="14"/>
      <c r="AF101" s="14"/>
      <c r="AG101" s="14"/>
      <c r="AH101" s="14"/>
      <c r="AI101" s="14"/>
      <c r="AJ101" s="14"/>
    </row>
    <row r="102" spans="19:36" x14ac:dyDescent="0.25">
      <c r="S102" s="17">
        <v>181587</v>
      </c>
      <c r="T102" s="17" t="s">
        <v>14</v>
      </c>
      <c r="U102" s="17" t="s">
        <v>121</v>
      </c>
      <c r="V102" s="17">
        <v>292100</v>
      </c>
      <c r="W102" s="17" t="s">
        <v>13</v>
      </c>
      <c r="X102" s="17">
        <v>58</v>
      </c>
      <c r="Y102" s="17"/>
      <c r="Z102" s="17"/>
      <c r="AA102" s="17" t="s">
        <v>95</v>
      </c>
      <c r="AB102" s="14"/>
      <c r="AC102" s="14"/>
      <c r="AD102" s="14"/>
      <c r="AE102" s="14"/>
      <c r="AF102" s="14"/>
      <c r="AG102" s="14"/>
      <c r="AH102" s="14"/>
      <c r="AI102" s="14"/>
      <c r="AJ102" s="14"/>
    </row>
    <row r="103" spans="19:36" x14ac:dyDescent="0.25">
      <c r="S103" s="17">
        <v>181587</v>
      </c>
      <c r="T103" s="17" t="s">
        <v>14</v>
      </c>
      <c r="U103" s="17" t="s">
        <v>121</v>
      </c>
      <c r="V103" s="17">
        <v>290060</v>
      </c>
      <c r="W103" s="17" t="s">
        <v>13</v>
      </c>
      <c r="X103" s="17">
        <v>58</v>
      </c>
      <c r="Y103" s="17"/>
      <c r="Z103" s="17"/>
      <c r="AA103" s="17" t="s">
        <v>95</v>
      </c>
      <c r="AB103" s="14"/>
      <c r="AC103" s="14"/>
      <c r="AD103" s="14"/>
      <c r="AE103" s="14"/>
      <c r="AF103" s="14"/>
      <c r="AG103" s="14"/>
      <c r="AH103" s="14"/>
      <c r="AI103" s="14"/>
      <c r="AJ103" s="14"/>
    </row>
    <row r="104" spans="19:36" x14ac:dyDescent="0.25">
      <c r="S104" s="17">
        <v>181584</v>
      </c>
      <c r="T104" s="17" t="s">
        <v>14</v>
      </c>
      <c r="U104" s="17" t="s">
        <v>121</v>
      </c>
      <c r="V104" s="17">
        <v>290059</v>
      </c>
      <c r="W104" s="17" t="s">
        <v>13</v>
      </c>
      <c r="X104" s="17">
        <v>58</v>
      </c>
      <c r="Y104" s="17"/>
      <c r="Z104" s="17"/>
      <c r="AA104" s="17" t="s">
        <v>95</v>
      </c>
      <c r="AB104" s="14"/>
      <c r="AC104" s="14"/>
      <c r="AD104" s="14"/>
      <c r="AE104" s="14"/>
      <c r="AF104" s="14"/>
      <c r="AG104" s="14"/>
      <c r="AH104" s="14"/>
      <c r="AI104" s="14"/>
      <c r="AJ104" s="14"/>
    </row>
    <row r="105" spans="19:36" x14ac:dyDescent="0.25">
      <c r="S105" s="17">
        <v>181585</v>
      </c>
      <c r="T105" s="17" t="s">
        <v>14</v>
      </c>
      <c r="U105" s="17" t="s">
        <v>121</v>
      </c>
      <c r="V105" s="17">
        <v>290062</v>
      </c>
      <c r="W105" s="17" t="s">
        <v>13</v>
      </c>
      <c r="X105" s="17">
        <v>58</v>
      </c>
      <c r="Y105" s="17"/>
      <c r="Z105" s="17"/>
      <c r="AA105" s="17" t="s">
        <v>95</v>
      </c>
      <c r="AB105" s="14"/>
      <c r="AC105" s="14"/>
      <c r="AD105" s="14"/>
      <c r="AE105" s="14"/>
      <c r="AF105" s="14"/>
      <c r="AG105" s="14"/>
      <c r="AH105" s="14"/>
      <c r="AI105" s="14"/>
      <c r="AJ105" s="14"/>
    </row>
    <row r="106" spans="19:36" x14ac:dyDescent="0.25">
      <c r="S106" s="17">
        <v>181585</v>
      </c>
      <c r="T106" s="17" t="s">
        <v>14</v>
      </c>
      <c r="U106" s="17" t="s">
        <v>121</v>
      </c>
      <c r="V106" s="17">
        <v>290061</v>
      </c>
      <c r="W106" s="17" t="s">
        <v>13</v>
      </c>
      <c r="X106" s="17">
        <v>58</v>
      </c>
      <c r="Y106" s="17"/>
      <c r="Z106" s="17"/>
      <c r="AA106" s="17" t="s">
        <v>95</v>
      </c>
      <c r="AB106" s="14"/>
      <c r="AC106" s="14"/>
      <c r="AD106" s="14"/>
      <c r="AE106" s="14"/>
      <c r="AF106" s="14"/>
      <c r="AG106" s="14"/>
      <c r="AH106" s="14"/>
      <c r="AI106" s="14"/>
      <c r="AJ106" s="14"/>
    </row>
    <row r="107" spans="19:36" x14ac:dyDescent="0.25">
      <c r="S107" s="17">
        <v>181585</v>
      </c>
      <c r="T107" s="17" t="s">
        <v>14</v>
      </c>
      <c r="U107" s="17" t="s">
        <v>121</v>
      </c>
      <c r="V107" s="17">
        <v>290063</v>
      </c>
      <c r="W107" s="17" t="s">
        <v>13</v>
      </c>
      <c r="X107" s="17">
        <v>58</v>
      </c>
      <c r="Y107" s="17"/>
      <c r="Z107" s="17"/>
      <c r="AA107" s="17" t="s">
        <v>95</v>
      </c>
      <c r="AB107" s="14"/>
      <c r="AC107" s="14"/>
      <c r="AD107" s="14"/>
      <c r="AE107" s="14"/>
      <c r="AF107" s="14"/>
      <c r="AG107" s="14"/>
      <c r="AH107" s="14"/>
      <c r="AI107" s="14"/>
      <c r="AJ107" s="14"/>
    </row>
    <row r="108" spans="19:36" x14ac:dyDescent="0.25">
      <c r="S108" s="17">
        <v>181570</v>
      </c>
      <c r="T108" s="17" t="s">
        <v>66</v>
      </c>
      <c r="U108" s="17" t="s">
        <v>9</v>
      </c>
      <c r="V108" s="17">
        <v>295580</v>
      </c>
      <c r="W108" s="17"/>
      <c r="X108" s="17">
        <v>0</v>
      </c>
      <c r="Y108" s="17"/>
      <c r="Z108" s="17"/>
      <c r="AA108" s="17" t="s">
        <v>97</v>
      </c>
      <c r="AB108" s="14"/>
      <c r="AC108" s="14"/>
      <c r="AD108" s="14"/>
      <c r="AE108" s="14"/>
      <c r="AF108" s="14"/>
      <c r="AG108" s="14"/>
      <c r="AH108" s="14"/>
      <c r="AI108" s="14"/>
      <c r="AJ108" s="14"/>
    </row>
    <row r="109" spans="19:36" x14ac:dyDescent="0.25">
      <c r="S109" s="17">
        <v>181570</v>
      </c>
      <c r="T109" s="17" t="s">
        <v>66</v>
      </c>
      <c r="U109" s="17" t="s">
        <v>9</v>
      </c>
      <c r="V109" s="17">
        <v>295581</v>
      </c>
      <c r="W109" s="17"/>
      <c r="X109" s="17">
        <v>0</v>
      </c>
      <c r="Y109" s="17"/>
      <c r="Z109" s="17"/>
      <c r="AA109" s="17" t="s">
        <v>97</v>
      </c>
      <c r="AB109" s="14"/>
      <c r="AC109" s="14"/>
      <c r="AD109" s="14"/>
      <c r="AE109" s="14"/>
      <c r="AF109" s="14"/>
      <c r="AG109" s="14"/>
      <c r="AH109" s="14"/>
      <c r="AI109" s="14"/>
      <c r="AJ109" s="14"/>
    </row>
    <row r="110" spans="19:36" x14ac:dyDescent="0.25">
      <c r="S110" s="17">
        <v>181569</v>
      </c>
      <c r="T110" s="17" t="s">
        <v>66</v>
      </c>
      <c r="U110" s="17" t="s">
        <v>9</v>
      </c>
      <c r="V110" s="17">
        <v>295580</v>
      </c>
      <c r="W110" s="17" t="s">
        <v>15</v>
      </c>
      <c r="X110" s="17">
        <v>0</v>
      </c>
      <c r="Y110" s="17"/>
      <c r="Z110" s="17"/>
      <c r="AA110" s="17" t="s">
        <v>97</v>
      </c>
      <c r="AB110" s="14"/>
      <c r="AC110" s="14"/>
      <c r="AD110" s="14"/>
      <c r="AE110" s="14"/>
      <c r="AF110" s="14"/>
      <c r="AG110" s="14"/>
      <c r="AH110" s="14"/>
      <c r="AI110" s="14"/>
      <c r="AJ110" s="14"/>
    </row>
    <row r="111" spans="19:36" x14ac:dyDescent="0.25">
      <c r="S111" s="17">
        <v>181569</v>
      </c>
      <c r="T111" s="17" t="s">
        <v>66</v>
      </c>
      <c r="U111" s="17" t="s">
        <v>9</v>
      </c>
      <c r="V111" s="17">
        <v>295581</v>
      </c>
      <c r="W111" s="17" t="s">
        <v>15</v>
      </c>
      <c r="X111" s="17">
        <v>0</v>
      </c>
      <c r="Y111" s="17"/>
      <c r="Z111" s="17"/>
      <c r="AA111" s="17" t="s">
        <v>97</v>
      </c>
      <c r="AB111" s="14"/>
      <c r="AC111" s="14"/>
      <c r="AD111" s="14"/>
      <c r="AE111" s="14"/>
      <c r="AF111" s="14"/>
      <c r="AG111" s="14"/>
      <c r="AH111" s="14"/>
      <c r="AI111" s="14"/>
      <c r="AJ111" s="14"/>
    </row>
  </sheetData>
  <sortState xmlns:xlrd2="http://schemas.microsoft.com/office/spreadsheetml/2017/richdata2" ref="J3:Q123">
    <sortCondition ref="Q3:Q123"/>
  </sortState>
  <mergeCells count="6">
    <mergeCell ref="A1:H1"/>
    <mergeCell ref="J1:Q1"/>
    <mergeCell ref="S1:AA1"/>
    <mergeCell ref="AL1:AS1"/>
    <mergeCell ref="AU1:BA1"/>
    <mergeCell ref="BC1:B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TARIKAN GCC</vt:lpstr>
      <vt:lpstr>OLAH</vt:lpstr>
      <vt:lpstr>HASIL</vt:lpstr>
      <vt:lpstr>HASIL2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2024-01-03T07:21:11Z</cp:lastPrinted>
  <dcterms:created xsi:type="dcterms:W3CDTF">2023-11-23T03:37:41Z</dcterms:created>
  <dcterms:modified xsi:type="dcterms:W3CDTF">2024-01-03T10:09:12Z</dcterms:modified>
</cp:coreProperties>
</file>