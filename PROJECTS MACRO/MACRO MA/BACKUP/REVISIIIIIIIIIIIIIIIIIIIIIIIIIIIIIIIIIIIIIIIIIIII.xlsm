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SEPTIAN\PL\"/>
    </mc:Choice>
  </mc:AlternateContent>
  <xr:revisionPtr revIDLastSave="0" documentId="8_{4BF2952B-092A-426A-899E-9508B660A7EC}" xr6:coauthVersionLast="47" xr6:coauthVersionMax="47" xr10:uidLastSave="{00000000-0000-0000-0000-000000000000}"/>
  <bookViews>
    <workbookView xWindow="-120" yWindow="-120" windowWidth="20730" windowHeight="11160" firstSheet="1" activeTab="2" xr2:uid="{50D7AE4F-D911-4AB4-811B-56CE704B63E8}"/>
  </bookViews>
  <sheets>
    <sheet name="TEMPLATE" sheetId="1" state="hidden" r:id="rId1"/>
    <sheet name="BUTTON" sheetId="11" r:id="rId2"/>
    <sheet name="PROCESSED" sheetId="40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98" i="40" l="1"/>
  <c r="T100" i="40"/>
  <c r="P3" i="40" l="1"/>
  <c r="O3" i="40"/>
  <c r="N4" i="40"/>
  <c r="N5" i="40"/>
  <c r="N6" i="40"/>
  <c r="N7" i="40"/>
  <c r="N8" i="40"/>
  <c r="N9" i="40"/>
  <c r="N10" i="40"/>
  <c r="N11" i="40"/>
  <c r="N12" i="40"/>
  <c r="N13" i="40"/>
  <c r="N14" i="40"/>
  <c r="N15" i="40"/>
  <c r="N16" i="40"/>
  <c r="N17" i="40"/>
  <c r="N18" i="40"/>
  <c r="N19" i="40"/>
  <c r="N20" i="40"/>
  <c r="N21" i="40"/>
  <c r="N22" i="40"/>
  <c r="N23" i="40"/>
  <c r="N24" i="40"/>
  <c r="N25" i="40"/>
  <c r="N26" i="40"/>
  <c r="N27" i="40"/>
  <c r="N28" i="40"/>
  <c r="N29" i="40"/>
  <c r="N30" i="40"/>
  <c r="N31" i="40"/>
  <c r="N32" i="40"/>
  <c r="N33" i="40"/>
  <c r="N34" i="40"/>
  <c r="N35" i="40"/>
  <c r="N36" i="40"/>
  <c r="N37" i="40"/>
  <c r="N38" i="40"/>
  <c r="N39" i="40"/>
  <c r="N40" i="40"/>
  <c r="N41" i="40"/>
  <c r="N42" i="40"/>
  <c r="N43" i="40"/>
  <c r="N44" i="40"/>
  <c r="N45" i="40"/>
  <c r="N46" i="40"/>
  <c r="N47" i="40"/>
  <c r="N48" i="40"/>
  <c r="N49" i="40"/>
  <c r="N50" i="40"/>
  <c r="N51" i="40"/>
  <c r="N52" i="40"/>
  <c r="N53" i="40"/>
  <c r="N54" i="40"/>
  <c r="N55" i="40"/>
  <c r="N56" i="40"/>
  <c r="N57" i="40"/>
  <c r="N58" i="40"/>
  <c r="N59" i="40"/>
  <c r="N60" i="40"/>
  <c r="N61" i="40"/>
  <c r="N62" i="40"/>
  <c r="N63" i="40"/>
  <c r="N64" i="40"/>
  <c r="N65" i="40"/>
  <c r="N66" i="40"/>
  <c r="N67" i="40"/>
  <c r="N68" i="40"/>
  <c r="N69" i="40"/>
  <c r="N70" i="40"/>
  <c r="N71" i="40"/>
  <c r="N72" i="40"/>
  <c r="N73" i="40"/>
  <c r="N74" i="40"/>
  <c r="N75" i="40"/>
  <c r="N76" i="40"/>
  <c r="N77" i="40"/>
  <c r="N78" i="40"/>
  <c r="N79" i="40"/>
  <c r="N80" i="40"/>
  <c r="N81" i="40"/>
  <c r="N82" i="40"/>
  <c r="N83" i="40"/>
  <c r="N84" i="40"/>
  <c r="N85" i="40"/>
  <c r="N86" i="40"/>
  <c r="N87" i="40"/>
  <c r="N88" i="40"/>
  <c r="N89" i="40"/>
  <c r="N90" i="40"/>
  <c r="N91" i="40"/>
  <c r="N92" i="40"/>
  <c r="N93" i="40"/>
  <c r="N94" i="40"/>
  <c r="N95" i="40"/>
  <c r="N96" i="40"/>
  <c r="N97" i="40"/>
  <c r="N98" i="40"/>
  <c r="N3" i="40"/>
  <c r="T3" i="40" s="1"/>
  <c r="S99" i="40"/>
  <c r="T9" i="40"/>
  <c r="T12" i="40"/>
  <c r="T13" i="40"/>
  <c r="T15" i="40"/>
  <c r="T21" i="40"/>
  <c r="T24" i="40"/>
  <c r="T25" i="40"/>
  <c r="T27" i="40"/>
  <c r="T33" i="40"/>
  <c r="T36" i="40"/>
  <c r="T37" i="40"/>
  <c r="T39" i="40"/>
  <c r="T45" i="40"/>
  <c r="T48" i="40"/>
  <c r="T49" i="40"/>
  <c r="T51" i="40"/>
  <c r="T57" i="40"/>
  <c r="T60" i="40"/>
  <c r="T61" i="40"/>
  <c r="T63" i="40"/>
  <c r="T69" i="40"/>
  <c r="T72" i="40"/>
  <c r="T73" i="40"/>
  <c r="T75" i="40"/>
  <c r="T81" i="40"/>
  <c r="T84" i="40"/>
  <c r="T85" i="40"/>
  <c r="T87" i="40"/>
  <c r="T93" i="40"/>
  <c r="T96" i="40"/>
  <c r="T97" i="40"/>
  <c r="S3" i="40"/>
  <c r="S4" i="40"/>
  <c r="S5" i="40"/>
  <c r="S6" i="40"/>
  <c r="S7" i="40"/>
  <c r="S8" i="40"/>
  <c r="S9" i="40"/>
  <c r="S10" i="40"/>
  <c r="S11" i="40"/>
  <c r="S12" i="40"/>
  <c r="S13" i="40"/>
  <c r="S14" i="40"/>
  <c r="S15" i="40"/>
  <c r="S16" i="40"/>
  <c r="S17" i="40"/>
  <c r="S18" i="40"/>
  <c r="S19" i="40"/>
  <c r="S20" i="40"/>
  <c r="S21" i="40"/>
  <c r="S22" i="40"/>
  <c r="S23" i="40"/>
  <c r="S24" i="40"/>
  <c r="S25" i="40"/>
  <c r="S26" i="40"/>
  <c r="S27" i="40"/>
  <c r="S28" i="40"/>
  <c r="S29" i="40"/>
  <c r="S30" i="40"/>
  <c r="S31" i="40"/>
  <c r="S32" i="40"/>
  <c r="S33" i="40"/>
  <c r="S34" i="40"/>
  <c r="S35" i="40"/>
  <c r="S36" i="40"/>
  <c r="S37" i="40"/>
  <c r="S38" i="40"/>
  <c r="S39" i="40"/>
  <c r="S40" i="40"/>
  <c r="S41" i="40"/>
  <c r="S42" i="40"/>
  <c r="S43" i="40"/>
  <c r="S44" i="40"/>
  <c r="S45" i="40"/>
  <c r="S46" i="40"/>
  <c r="S47" i="40"/>
  <c r="S48" i="40"/>
  <c r="S49" i="40"/>
  <c r="S50" i="40"/>
  <c r="S51" i="40"/>
  <c r="S52" i="40"/>
  <c r="S53" i="40"/>
  <c r="S54" i="40"/>
  <c r="S55" i="40"/>
  <c r="S56" i="40"/>
  <c r="S57" i="40"/>
  <c r="S58" i="40"/>
  <c r="S59" i="40"/>
  <c r="S60" i="40"/>
  <c r="S61" i="40"/>
  <c r="S62" i="40"/>
  <c r="S63" i="40"/>
  <c r="S64" i="40"/>
  <c r="S65" i="40"/>
  <c r="S66" i="40"/>
  <c r="S67" i="40"/>
  <c r="S68" i="40"/>
  <c r="S69" i="40"/>
  <c r="S70" i="40"/>
  <c r="S71" i="40"/>
  <c r="S72" i="40"/>
  <c r="S73" i="40"/>
  <c r="S74" i="40"/>
  <c r="S75" i="40"/>
  <c r="S76" i="40"/>
  <c r="S77" i="40"/>
  <c r="S78" i="40"/>
  <c r="S79" i="40"/>
  <c r="S80" i="40"/>
  <c r="S81" i="40"/>
  <c r="S82" i="40"/>
  <c r="S83" i="40"/>
  <c r="S84" i="40"/>
  <c r="S85" i="40"/>
  <c r="S86" i="40"/>
  <c r="S87" i="40"/>
  <c r="S88" i="40"/>
  <c r="S89" i="40"/>
  <c r="S90" i="40"/>
  <c r="S91" i="40"/>
  <c r="S92" i="40"/>
  <c r="S93" i="40"/>
  <c r="S94" i="40"/>
  <c r="S95" i="40"/>
  <c r="S96" i="40"/>
  <c r="S97" i="40"/>
  <c r="P4" i="40"/>
  <c r="T4" i="40" s="1"/>
  <c r="P5" i="40"/>
  <c r="T5" i="40" s="1"/>
  <c r="P6" i="40"/>
  <c r="T6" i="40" s="1"/>
  <c r="P7" i="40"/>
  <c r="T7" i="40" s="1"/>
  <c r="P8" i="40"/>
  <c r="T8" i="40" s="1"/>
  <c r="P9" i="40"/>
  <c r="P10" i="40"/>
  <c r="T10" i="40" s="1"/>
  <c r="P11" i="40"/>
  <c r="T11" i="40" s="1"/>
  <c r="P12" i="40"/>
  <c r="P13" i="40"/>
  <c r="P14" i="40"/>
  <c r="T14" i="40" s="1"/>
  <c r="P15" i="40"/>
  <c r="P16" i="40"/>
  <c r="T16" i="40" s="1"/>
  <c r="P17" i="40"/>
  <c r="T17" i="40" s="1"/>
  <c r="P18" i="40"/>
  <c r="T18" i="40" s="1"/>
  <c r="P19" i="40"/>
  <c r="T19" i="40" s="1"/>
  <c r="P20" i="40"/>
  <c r="T20" i="40" s="1"/>
  <c r="P21" i="40"/>
  <c r="P22" i="40"/>
  <c r="T22" i="40" s="1"/>
  <c r="P23" i="40"/>
  <c r="T23" i="40" s="1"/>
  <c r="P24" i="40"/>
  <c r="P25" i="40"/>
  <c r="P26" i="40"/>
  <c r="T26" i="40" s="1"/>
  <c r="P27" i="40"/>
  <c r="P28" i="40"/>
  <c r="T28" i="40" s="1"/>
  <c r="P29" i="40"/>
  <c r="T29" i="40" s="1"/>
  <c r="P30" i="40"/>
  <c r="T30" i="40" s="1"/>
  <c r="P31" i="40"/>
  <c r="T31" i="40" s="1"/>
  <c r="P32" i="40"/>
  <c r="T32" i="40" s="1"/>
  <c r="P33" i="40"/>
  <c r="P34" i="40"/>
  <c r="T34" i="40" s="1"/>
  <c r="P35" i="40"/>
  <c r="T35" i="40" s="1"/>
  <c r="P36" i="40"/>
  <c r="P37" i="40"/>
  <c r="P38" i="40"/>
  <c r="T38" i="40" s="1"/>
  <c r="P39" i="40"/>
  <c r="P40" i="40"/>
  <c r="T40" i="40" s="1"/>
  <c r="P41" i="40"/>
  <c r="T41" i="40" s="1"/>
  <c r="P42" i="40"/>
  <c r="T42" i="40" s="1"/>
  <c r="P43" i="40"/>
  <c r="T43" i="40" s="1"/>
  <c r="P44" i="40"/>
  <c r="T44" i="40" s="1"/>
  <c r="P45" i="40"/>
  <c r="P46" i="40"/>
  <c r="T46" i="40" s="1"/>
  <c r="P47" i="40"/>
  <c r="T47" i="40" s="1"/>
  <c r="P48" i="40"/>
  <c r="P49" i="40"/>
  <c r="P50" i="40"/>
  <c r="T50" i="40" s="1"/>
  <c r="P51" i="40"/>
  <c r="P52" i="40"/>
  <c r="T52" i="40" s="1"/>
  <c r="P53" i="40"/>
  <c r="T53" i="40" s="1"/>
  <c r="P54" i="40"/>
  <c r="T54" i="40" s="1"/>
  <c r="P55" i="40"/>
  <c r="T55" i="40" s="1"/>
  <c r="P56" i="40"/>
  <c r="T56" i="40" s="1"/>
  <c r="P57" i="40"/>
  <c r="P58" i="40"/>
  <c r="T58" i="40" s="1"/>
  <c r="P59" i="40"/>
  <c r="T59" i="40" s="1"/>
  <c r="P60" i="40"/>
  <c r="P61" i="40"/>
  <c r="P62" i="40"/>
  <c r="T62" i="40" s="1"/>
  <c r="P63" i="40"/>
  <c r="P64" i="40"/>
  <c r="T64" i="40" s="1"/>
  <c r="P65" i="40"/>
  <c r="T65" i="40" s="1"/>
  <c r="P66" i="40"/>
  <c r="T66" i="40" s="1"/>
  <c r="P67" i="40"/>
  <c r="T67" i="40" s="1"/>
  <c r="P68" i="40"/>
  <c r="T68" i="40" s="1"/>
  <c r="P69" i="40"/>
  <c r="P70" i="40"/>
  <c r="T70" i="40" s="1"/>
  <c r="P71" i="40"/>
  <c r="T71" i="40" s="1"/>
  <c r="P72" i="40"/>
  <c r="P73" i="40"/>
  <c r="P74" i="40"/>
  <c r="T74" i="40" s="1"/>
  <c r="P75" i="40"/>
  <c r="P76" i="40"/>
  <c r="T76" i="40" s="1"/>
  <c r="P77" i="40"/>
  <c r="T77" i="40" s="1"/>
  <c r="P78" i="40"/>
  <c r="T78" i="40" s="1"/>
  <c r="P79" i="40"/>
  <c r="T79" i="40" s="1"/>
  <c r="P80" i="40"/>
  <c r="T80" i="40" s="1"/>
  <c r="P81" i="40"/>
  <c r="P82" i="40"/>
  <c r="T82" i="40" s="1"/>
  <c r="P83" i="40"/>
  <c r="T83" i="40" s="1"/>
  <c r="P84" i="40"/>
  <c r="P85" i="40"/>
  <c r="P86" i="40"/>
  <c r="T86" i="40" s="1"/>
  <c r="P87" i="40"/>
  <c r="P88" i="40"/>
  <c r="T88" i="40" s="1"/>
  <c r="P89" i="40"/>
  <c r="T89" i="40" s="1"/>
  <c r="P90" i="40"/>
  <c r="T90" i="40" s="1"/>
  <c r="P91" i="40"/>
  <c r="T91" i="40" s="1"/>
  <c r="P92" i="40"/>
  <c r="T92" i="40" s="1"/>
  <c r="P93" i="40"/>
  <c r="P94" i="40"/>
  <c r="T94" i="40" s="1"/>
  <c r="P95" i="40"/>
  <c r="T95" i="40" s="1"/>
  <c r="P96" i="40"/>
  <c r="P97" i="40"/>
  <c r="P98" i="40"/>
  <c r="T98" i="40" s="1"/>
  <c r="O4" i="40"/>
  <c r="O5" i="40"/>
  <c r="O6" i="40"/>
  <c r="O7" i="40"/>
  <c r="O8" i="40"/>
  <c r="O9" i="40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32" i="40"/>
  <c r="O33" i="40"/>
  <c r="O34" i="40"/>
  <c r="O35" i="40"/>
  <c r="O36" i="40"/>
  <c r="O37" i="40"/>
  <c r="O38" i="40"/>
  <c r="O39" i="40"/>
  <c r="O40" i="40"/>
  <c r="O41" i="40"/>
  <c r="O42" i="40"/>
  <c r="O43" i="40"/>
  <c r="O44" i="40"/>
  <c r="O45" i="40"/>
  <c r="O46" i="40"/>
  <c r="O47" i="40"/>
  <c r="O48" i="40"/>
  <c r="O49" i="40"/>
  <c r="O50" i="40"/>
  <c r="O51" i="40"/>
  <c r="O52" i="40"/>
  <c r="O53" i="40"/>
  <c r="O54" i="40"/>
  <c r="O55" i="40"/>
  <c r="O56" i="40"/>
  <c r="O57" i="40"/>
  <c r="O58" i="40"/>
  <c r="O59" i="40"/>
  <c r="O60" i="40"/>
  <c r="O61" i="40"/>
  <c r="O62" i="40"/>
  <c r="O63" i="40"/>
  <c r="O64" i="40"/>
  <c r="O65" i="40"/>
  <c r="O66" i="40"/>
  <c r="O67" i="40"/>
  <c r="O68" i="40"/>
  <c r="O69" i="40"/>
  <c r="O70" i="40"/>
  <c r="O71" i="40"/>
  <c r="O72" i="40"/>
  <c r="O73" i="40"/>
  <c r="O74" i="40"/>
  <c r="O75" i="40"/>
  <c r="O76" i="40"/>
  <c r="O77" i="40"/>
  <c r="O78" i="40"/>
  <c r="O79" i="40"/>
  <c r="O80" i="40"/>
  <c r="O81" i="40"/>
  <c r="O82" i="40"/>
  <c r="O83" i="40"/>
  <c r="O84" i="40"/>
  <c r="O85" i="40"/>
  <c r="O86" i="40"/>
  <c r="O87" i="40"/>
  <c r="O88" i="40"/>
  <c r="O89" i="40"/>
  <c r="O90" i="40"/>
  <c r="O91" i="40"/>
  <c r="O92" i="40"/>
  <c r="O93" i="40"/>
  <c r="O94" i="40"/>
  <c r="O95" i="40"/>
  <c r="O96" i="40"/>
  <c r="O97" i="40"/>
  <c r="O98" i="40"/>
  <c r="T99" i="40" l="1"/>
</calcChain>
</file>

<file path=xl/sharedStrings.xml><?xml version="1.0" encoding="utf-8"?>
<sst xmlns="http://schemas.openxmlformats.org/spreadsheetml/2006/main" count="628" uniqueCount="73">
  <si>
    <t>BUYER</t>
  </si>
  <si>
    <t>KATEGORI</t>
  </si>
  <si>
    <t>SUPLIER</t>
  </si>
  <si>
    <t>COLOUR</t>
  </si>
  <si>
    <t>WO#</t>
  </si>
  <si>
    <t>OR#</t>
  </si>
  <si>
    <t>ITEM</t>
  </si>
  <si>
    <t>FACTORY</t>
  </si>
  <si>
    <t>PO GARMENT</t>
  </si>
  <si>
    <t>QTY ORDER (PCS)</t>
  </si>
  <si>
    <t>MA LECTRA</t>
  </si>
  <si>
    <t>CONS ACT</t>
  </si>
  <si>
    <t>CONS WS</t>
  </si>
  <si>
    <t>CONS GCC</t>
  </si>
  <si>
    <t>UNIT PRICE</t>
  </si>
  <si>
    <t>NAMA FACTORY</t>
  </si>
  <si>
    <t>GM 1</t>
  </si>
  <si>
    <t>GM 2</t>
  </si>
  <si>
    <t>KALIBENDA</t>
  </si>
  <si>
    <t>\\10.8.0.35\Bersama\IT\SEPTIAN\PL</t>
  </si>
  <si>
    <t>Plan Share 11 Juni 2024</t>
  </si>
  <si>
    <t>.xlsx</t>
  </si>
  <si>
    <t>ADIDAS</t>
  </si>
  <si>
    <t>BODY</t>
  </si>
  <si>
    <t>STYLE</t>
  </si>
  <si>
    <t>% SAVE</t>
  </si>
  <si>
    <t>QTY RICEIVE</t>
  </si>
  <si>
    <t>SAVE (Y)</t>
  </si>
  <si>
    <t>SATUAN (UOM)</t>
  </si>
  <si>
    <t>AMOUNT SAVE  CONSP FLEX OFFER(USD)</t>
  </si>
  <si>
    <t>JIANGSU DINGXIN DYEING &amp; PRINTING CO.LTD</t>
  </si>
  <si>
    <t>OLIVE STRATA</t>
  </si>
  <si>
    <t>BLACK</t>
  </si>
  <si>
    <t>ONIX</t>
  </si>
  <si>
    <t>YARD</t>
  </si>
  <si>
    <t xml:space="preserve">    </t>
  </si>
  <si>
    <t>UNIK TEXTILE CO., LTD.</t>
  </si>
  <si>
    <t>BETTER SCARLET</t>
  </si>
  <si>
    <t>BLACK/TEAM ROYAL</t>
  </si>
  <si>
    <t>BLACK/MINT TONE</t>
  </si>
  <si>
    <t>BLACK/BETTER SCARLET</t>
  </si>
  <si>
    <t>COLLEGIATE NAVY</t>
  </si>
  <si>
    <t>GREY</t>
  </si>
  <si>
    <t>CREW BLUE</t>
  </si>
  <si>
    <t>WONDER BEIGE</t>
  </si>
  <si>
    <t>CARBON</t>
  </si>
  <si>
    <t>GOST BLACK ONIX</t>
  </si>
  <si>
    <t>SEMI LUCID BLUE</t>
  </si>
  <si>
    <t>GHOST LEGEND INK-TECH INDIGO</t>
  </si>
  <si>
    <t>COLLEGIATE GREEN</t>
  </si>
  <si>
    <t>HASTE GREY-CARBON-BLACK</t>
  </si>
  <si>
    <t>HASTE BLUE SPARK-BLUE FUSION-SEMI LUCID BLUE</t>
  </si>
  <si>
    <t>ACCELERATE ONIX-BLACK</t>
  </si>
  <si>
    <t>ACCELERATE SILVER PEBBLE-OLIVE STRATA</t>
  </si>
  <si>
    <t>BLUE BRUSH</t>
  </si>
  <si>
    <t>SPRINT CARBON-BLACK</t>
  </si>
  <si>
    <t>SPRINT SEMI LUCID BLUE-LEGEND INK</t>
  </si>
  <si>
    <t>LEGEND INK</t>
  </si>
  <si>
    <t>SPRINT BETTER SCARLET-ACTIVE MAROON</t>
  </si>
  <si>
    <t>SPRINT ONIX-BLACK</t>
  </si>
  <si>
    <t>BLUE SPARK</t>
  </si>
  <si>
    <t>TEAM ROYAL BLUE</t>
  </si>
  <si>
    <t>BLACK/ONIX</t>
  </si>
  <si>
    <t xml:space="preserve">OLIVE STRATA </t>
  </si>
  <si>
    <t>BLACK/ TEAM ROYAL BLUE</t>
  </si>
  <si>
    <t>BLACK/  MINT TONE</t>
  </si>
  <si>
    <t>BLACK/ BETTER SCARLET</t>
  </si>
  <si>
    <t>BLACK 1</t>
  </si>
  <si>
    <t>BLACK 2</t>
  </si>
  <si>
    <t>BLACK 3</t>
  </si>
  <si>
    <t>BLACK 4</t>
  </si>
  <si>
    <t/>
  </si>
  <si>
    <t>MA Lectra VS Aktual Produksi Flex Offer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</si>
</sst>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;[Red]0.0%"/>
    <numFmt numFmtId="165" formatCode="_(&quot;$&quot;* #,##0.0000_);[Red]_(&quot;$&quot;* \(#,##0.0000\);_(&quot;$&quot;* &quot;-&quot;??_);_(@_)"/>
    <numFmt numFmtId="166" formatCode="_(&quot;$&quot;* #,##0.00_);[Red]_(&quot;$&quot;* \(#,##0.00\);_(&quot;$&quot;* &quot;-&quot;??_);_(@_)"/>
    <numFmt numFmtId="170" formatCode="0.0%"/>
  </numFmts>
  <fonts count="5" x14ac:knownFonts="1">
    <font>
      <sz val="11"/>
      <color theme="1"/>
      <name val="Calibri"/>
      <family val="2"/>
      <scheme val="minor"/>
    </font>
    <font>
      <b/>
      <sz val="14"/>
      <color theme="1"/>
      <name val="Trebuchet MS"/>
      <family val="2"/>
    </font>
    <font>
      <sz val="11"/>
      <color theme="1"/>
      <name val="Century Gothic"/>
      <family val="2"/>
    </font>
    <font>
      <u/>
      <sz val="11"/>
      <color theme="10"/>
      <name val="Calibri"/>
      <family val="2"/>
      <scheme val="minor"/>
    </font>
    <font>
      <b/>
      <sz val="18"/>
      <color rgb="FFFFFFFF"/>
      <name val="Trebuchet MS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7EFFF"/>
      </patternFill>
    </fill>
    <fill>
      <patternFill patternType="solid">
        <fgColor rgb="FFD5EDEF"/>
        <bgColor rgb="FFF7EFFF"/>
      </patternFill>
    </fill>
    <fill>
      <patternFill patternType="solid">
        <fgColor rgb="FF46ADB8"/>
        <bgColor rgb="FFF7EFFF"/>
      </patternFill>
    </fill>
    <fill>
      <patternFill patternType="solid">
        <fgColor rgb="FF204F54"/>
        <bgColor rgb="FFF7EFFF"/>
      </patternFill>
    </fill>
    <fill>
      <patternFill patternType="solid">
        <fgColor rgb="FFE1F2F3"/>
        <bgColor rgb="FFF7EFFF"/>
      </patternFill>
    </fill>
    <fill>
      <patternFill patternType="solid">
        <fgColor rgb="FFE7F8F9"/>
        <bgColor rgb="FFF7EFFF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 vertical="center"/>
    </xf>
    <xf numFmtId="0" fontId="3" fillId="0" borderId="0" xfId="1"/>
    <xf numFmtId="164" fontId="2" fillId="0" borderId="0" xfId="0" applyNumberFormat="1" applyFont="1"/>
    <xf numFmtId="166" fontId="2" fillId="0" borderId="0" xfId="0" applyNumberFormat="1" applyFont="1"/>
    <xf numFmtId="170" fontId="2" fillId="0" borderId="0" xfId="0" applyNumberFormat="1" applyFont="1"/>
    <xf numFmtId="0" fontId="2" fillId="2" borderId="0" xfId="0" applyFont="1" applyFill="1"/>
    <xf numFmtId="0" fontId="0" fillId="2" borderId="0" xfId="0" applyFill="1" applyAlignment="1">
      <alignment horizontal="center" vertical="center"/>
    </xf>
    <xf numFmtId="164" fontId="2" fillId="2" borderId="0" xfId="0" applyNumberFormat="1" applyFont="1" applyFill="1"/>
    <xf numFmtId="165" fontId="2" fillId="2" borderId="0" xfId="0" applyNumberFormat="1" applyFont="1" applyFill="1"/>
    <xf numFmtId="166" fontId="2" fillId="2" borderId="0" xfId="0" applyNumberFormat="1" applyFont="1" applyFill="1"/>
    <xf numFmtId="0" fontId="2" fillId="3" borderId="0" xfId="0" applyFont="1" applyFill="1"/>
    <xf numFmtId="0" fontId="0" fillId="3" borderId="0" xfId="0" applyFill="1" applyAlignment="1">
      <alignment horizontal="center" vertical="center"/>
    </xf>
    <xf numFmtId="165" fontId="2" fillId="3" borderId="0" xfId="0" applyNumberFormat="1" applyFont="1" applyFill="1"/>
    <xf numFmtId="166" fontId="2" fillId="3" borderId="0" xfId="0" applyNumberFormat="1" applyFont="1" applyFill="1"/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 wrapText="1"/>
    </xf>
    <xf numFmtId="164" fontId="1" fillId="4" borderId="0" xfId="0" applyNumberFormat="1" applyFont="1" applyFill="1" applyAlignment="1">
      <alignment horizontal="center" vertical="center" wrapText="1"/>
    </xf>
    <xf numFmtId="166" fontId="1" fillId="4" borderId="0" xfId="0" applyNumberFormat="1" applyFont="1" applyFill="1" applyAlignment="1">
      <alignment horizontal="center" vertical="center" wrapText="1"/>
    </xf>
    <xf numFmtId="0" fontId="2" fillId="6" borderId="0" xfId="0" applyFont="1" applyFill="1"/>
    <xf numFmtId="0" fontId="0" fillId="6" borderId="0" xfId="0" applyFill="1" applyAlignment="1">
      <alignment horizontal="center" vertical="center"/>
    </xf>
    <xf numFmtId="0" fontId="2" fillId="7" borderId="0" xfId="0" applyFont="1" applyFill="1"/>
    <xf numFmtId="0" fontId="4" fillId="5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7F8F9"/>
      <color rgb="FFDEF5F6"/>
      <color rgb="FFD6F2ED"/>
      <color rgb="FFE1F2F3"/>
      <color rgb="FF204F54"/>
      <color rgb="FF29676D"/>
      <color rgb="FF46ADB8"/>
      <color rgb="FF1F4C51"/>
      <color rgb="FF34848C"/>
      <color rgb="FF66BD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../P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0E2D2-218D-475E-BC33-8D357D3D73CE}">
  <sheetPr codeName="Sheet1"/>
  <dimension ref="A1:T2"/>
  <sheetViews>
    <sheetView topLeftCell="H1" workbookViewId="0">
      <selection activeCell="S2" sqref="S2"/>
    </sheetView>
  </sheetViews>
  <sheetFormatPr defaultRowHeight="16.5" x14ac:dyDescent="0.3"/>
  <cols>
    <col min="1" max="1" width="15.42578125" style="4" customWidth="1"/>
    <col min="2" max="2" width="14.7109375" style="4" customWidth="1"/>
    <col min="3" max="3" width="17.85546875" style="4" customWidth="1"/>
    <col min="4" max="4" width="18.140625" style="4" customWidth="1"/>
    <col min="5" max="5" width="11.85546875" style="4" bestFit="1" customWidth="1"/>
    <col min="6" max="8" width="16.5703125" style="4" customWidth="1"/>
    <col min="9" max="10" width="9.140625" style="4"/>
    <col min="11" max="11" width="17.85546875" style="4" customWidth="1"/>
    <col min="12" max="12" width="16" style="4" bestFit="1" customWidth="1"/>
    <col min="13" max="16" width="16.28515625" style="4" customWidth="1"/>
    <col min="17" max="17" width="15.7109375" style="4" bestFit="1" customWidth="1"/>
    <col min="18" max="18" width="11.5703125" style="4" bestFit="1" customWidth="1"/>
    <col min="19" max="19" width="16" style="4" bestFit="1" customWidth="1"/>
    <col min="20" max="20" width="22.28515625" style="4" customWidth="1"/>
    <col min="21" max="16384" width="9.140625" style="4"/>
  </cols>
  <sheetData>
    <row r="1" spans="1:20" s="1" customFormat="1" ht="15" x14ac:dyDescent="0.25">
      <c r="L1" s="1" t="s">
        <v>12</v>
      </c>
      <c r="M1" s="1" t="s">
        <v>13</v>
      </c>
    </row>
    <row r="2" spans="1:20" s="2" customFormat="1" ht="60.75" customHeight="1" x14ac:dyDescent="0.25">
      <c r="A2" s="3" t="s">
        <v>7</v>
      </c>
      <c r="B2" s="3" t="s">
        <v>0</v>
      </c>
      <c r="C2" s="3" t="s">
        <v>1</v>
      </c>
      <c r="D2" s="3" t="s">
        <v>2</v>
      </c>
      <c r="E2" s="3" t="s">
        <v>3</v>
      </c>
      <c r="F2" s="3" t="s">
        <v>4</v>
      </c>
      <c r="G2" s="3" t="s">
        <v>24</v>
      </c>
      <c r="H2" s="2" t="s">
        <v>8</v>
      </c>
      <c r="I2" s="3" t="s">
        <v>5</v>
      </c>
      <c r="J2" s="3" t="s">
        <v>6</v>
      </c>
      <c r="K2" s="2" t="s">
        <v>9</v>
      </c>
      <c r="L2" s="3" t="s">
        <v>10</v>
      </c>
      <c r="M2" s="2" t="s">
        <v>11</v>
      </c>
      <c r="N2" s="2" t="s">
        <v>25</v>
      </c>
      <c r="O2" s="2" t="s">
        <v>26</v>
      </c>
      <c r="P2" s="2" t="s">
        <v>27</v>
      </c>
      <c r="Q2" s="3" t="s">
        <v>14</v>
      </c>
      <c r="R2" s="2" t="s">
        <v>28</v>
      </c>
      <c r="S2" s="3" t="s">
        <v>10</v>
      </c>
      <c r="T2" s="2" t="s">
        <v>29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A7437-D841-4351-9F29-055F7EC59FB3}">
  <sheetPr codeName="Sheet3"/>
  <dimension ref="B3:G6"/>
  <sheetViews>
    <sheetView workbookViewId="0">
      <selection activeCell="D14" sqref="D14"/>
    </sheetView>
  </sheetViews>
  <sheetFormatPr defaultRowHeight="15" x14ac:dyDescent="0.25"/>
  <cols>
    <col min="2" max="2" width="15.28515625" bestFit="1" customWidth="1"/>
    <col min="5" max="5" width="33.140625" bestFit="1" customWidth="1"/>
    <col min="6" max="6" width="21.5703125" bestFit="1" customWidth="1"/>
    <col min="7" max="7" width="5" bestFit="1" customWidth="1"/>
  </cols>
  <sheetData>
    <row r="3" spans="2:7" x14ac:dyDescent="0.25">
      <c r="B3" s="5" t="s">
        <v>15</v>
      </c>
    </row>
    <row r="4" spans="2:7" x14ac:dyDescent="0.25">
      <c r="B4" s="5" t="s">
        <v>16</v>
      </c>
      <c r="E4" s="6" t="s">
        <v>19</v>
      </c>
      <c r="F4" t="s">
        <v>20</v>
      </c>
      <c r="G4" t="s">
        <v>21</v>
      </c>
    </row>
    <row r="5" spans="2:7" x14ac:dyDescent="0.25">
      <c r="B5" s="5" t="s">
        <v>17</v>
      </c>
    </row>
    <row r="6" spans="2:7" x14ac:dyDescent="0.25">
      <c r="B6" s="5" t="s">
        <v>18</v>
      </c>
      <c r="E6" t="s">
        <v>35</v>
      </c>
    </row>
  </sheetData>
  <hyperlinks>
    <hyperlink ref="E4" r:id="rId1" xr:uid="{DAA0151A-295C-4F91-B50D-71FE7F2B6B3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8F1C8-6391-4D42-B524-1D355D5154A4}">
  <sheetPr codeName="Sheet2"/>
  <dimension ref="A1:T106"/>
  <sheetViews>
    <sheetView tabSelected="1" topLeftCell="F79" zoomScale="85" zoomScaleNormal="85" workbookViewId="0">
      <selection activeCell="T100" sqref="T100"/>
    </sheetView>
  </sheetViews>
  <sheetFormatPr defaultRowHeight="16.5" x14ac:dyDescent="0.3"/>
  <cols>
    <col min="1" max="1" width="14.5703125" style="4" customWidth="1"/>
    <col min="2" max="2" width="10.85546875" style="4" customWidth="1"/>
    <col min="3" max="3" width="15.28515625" style="4" customWidth="1"/>
    <col min="4" max="4" width="51.42578125" style="4" customWidth="1"/>
    <col min="5" max="5" width="54.28515625" style="4" customWidth="1"/>
    <col min="6" max="6" width="8.85546875" style="4" customWidth="1"/>
    <col min="7" max="7" width="10.42578125" style="4" customWidth="1"/>
    <col min="8" max="8" width="14.85546875" style="4" customWidth="1"/>
    <col min="9" max="9" width="11.140625" style="4" customWidth="1"/>
    <col min="10" max="10" width="8.85546875" style="4" customWidth="1"/>
    <col min="11" max="11" width="17.28515625" style="4" customWidth="1"/>
    <col min="12" max="12" width="17" style="4" customWidth="1"/>
    <col min="13" max="13" width="15.28515625" style="4" customWidth="1"/>
    <col min="14" max="14" width="11.42578125" style="7" customWidth="1"/>
    <col min="15" max="15" width="12.28515625" style="4" customWidth="1"/>
    <col min="16" max="16" width="14.7109375" style="4" customWidth="1"/>
    <col min="17" max="17" width="16.7109375" style="4" customWidth="1"/>
    <col min="18" max="18" width="12.5703125" style="4" customWidth="1"/>
    <col min="19" max="19" width="17.28515625" style="4" customWidth="1"/>
    <col min="20" max="20" width="21.7109375" style="8" customWidth="1"/>
    <col min="21" max="16384" width="9.140625" style="4"/>
  </cols>
  <sheetData>
    <row r="1" spans="1:20" s="5" customFormat="1" ht="42" customHeight="1" x14ac:dyDescent="0.25">
      <c r="A1" s="26" t="s">
        <v>72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</row>
    <row r="2" spans="1:20" s="2" customFormat="1" ht="60.75" customHeight="1" x14ac:dyDescent="0.25">
      <c r="A2" s="19" t="s">
        <v>7</v>
      </c>
      <c r="B2" s="19" t="s">
        <v>0</v>
      </c>
      <c r="C2" s="19" t="s">
        <v>1</v>
      </c>
      <c r="D2" s="19" t="s">
        <v>2</v>
      </c>
      <c r="E2" s="19" t="s">
        <v>3</v>
      </c>
      <c r="F2" s="19" t="s">
        <v>4</v>
      </c>
      <c r="G2" s="19" t="s">
        <v>24</v>
      </c>
      <c r="H2" s="20" t="s">
        <v>8</v>
      </c>
      <c r="I2" s="19" t="s">
        <v>5</v>
      </c>
      <c r="J2" s="19" t="s">
        <v>6</v>
      </c>
      <c r="K2" s="20" t="s">
        <v>9</v>
      </c>
      <c r="L2" s="19" t="s">
        <v>10</v>
      </c>
      <c r="M2" s="20" t="s">
        <v>11</v>
      </c>
      <c r="N2" s="21" t="s">
        <v>25</v>
      </c>
      <c r="O2" s="20" t="s">
        <v>26</v>
      </c>
      <c r="P2" s="20" t="s">
        <v>27</v>
      </c>
      <c r="Q2" s="19" t="s">
        <v>14</v>
      </c>
      <c r="R2" s="20" t="s">
        <v>28</v>
      </c>
      <c r="S2" s="19" t="s">
        <v>10</v>
      </c>
      <c r="T2" s="22" t="s">
        <v>29</v>
      </c>
    </row>
    <row r="3" spans="1:20" ht="18.600000000000001" customHeight="1" x14ac:dyDescent="0.3">
      <c r="A3" s="10" t="s">
        <v>16</v>
      </c>
      <c r="B3" s="10" t="s">
        <v>22</v>
      </c>
      <c r="C3" s="10" t="s">
        <v>23</v>
      </c>
      <c r="D3" s="10" t="s">
        <v>30</v>
      </c>
      <c r="E3" s="10" t="s">
        <v>31</v>
      </c>
      <c r="F3" s="10">
        <v>182423</v>
      </c>
      <c r="G3" s="10">
        <v>5158590</v>
      </c>
      <c r="H3" s="11"/>
      <c r="I3" s="10">
        <v>24001158</v>
      </c>
      <c r="J3" s="10">
        <v>292102</v>
      </c>
      <c r="K3" s="10">
        <v>9828</v>
      </c>
      <c r="L3" s="10">
        <v>0.33800000000000002</v>
      </c>
      <c r="M3" s="10">
        <v>0.33200000000000002</v>
      </c>
      <c r="N3" s="12">
        <f>(L3-M3)/L3</f>
        <v>1.7751479289940843E-2</v>
      </c>
      <c r="O3" s="10">
        <f>K3*L3</f>
        <v>3321.864</v>
      </c>
      <c r="P3" s="10">
        <f>N3*O3</f>
        <v>58.968000000000046</v>
      </c>
      <c r="Q3" s="10">
        <v>1.39</v>
      </c>
      <c r="R3" s="10" t="s">
        <v>34</v>
      </c>
      <c r="S3" s="13">
        <f t="shared" ref="S3:S34" si="0">O3*Q3</f>
        <v>4617.3909599999997</v>
      </c>
      <c r="T3" s="14">
        <f t="shared" ref="T3:T34" si="1">Q3*P3</f>
        <v>81.965520000000055</v>
      </c>
    </row>
    <row r="4" spans="1:20" ht="18.600000000000001" customHeight="1" x14ac:dyDescent="0.3">
      <c r="A4" s="25" t="s">
        <v>16</v>
      </c>
      <c r="B4" s="25" t="s">
        <v>22</v>
      </c>
      <c r="C4" s="25" t="s">
        <v>23</v>
      </c>
      <c r="D4" s="25" t="s">
        <v>30</v>
      </c>
      <c r="E4" s="25" t="s">
        <v>32</v>
      </c>
      <c r="F4" s="23">
        <v>182423</v>
      </c>
      <c r="G4" s="23">
        <v>5158590</v>
      </c>
      <c r="H4" s="24"/>
      <c r="I4" s="15">
        <v>24001158</v>
      </c>
      <c r="J4" s="15">
        <v>290059</v>
      </c>
      <c r="K4" s="15">
        <v>9828</v>
      </c>
      <c r="L4" s="15">
        <v>0.33800000000000002</v>
      </c>
      <c r="M4" s="15">
        <v>0.33200000000000002</v>
      </c>
      <c r="N4" s="12">
        <f t="shared" ref="N4:N67" si="2">(L4-M4)/L4</f>
        <v>1.7751479289940843E-2</v>
      </c>
      <c r="O4" s="15">
        <f t="shared" ref="O3:O34" si="3">K4*L4</f>
        <v>3321.864</v>
      </c>
      <c r="P4" s="15">
        <f t="shared" ref="P3:P34" si="4">N4*O4</f>
        <v>58.968000000000046</v>
      </c>
      <c r="Q4" s="15">
        <v>1.39</v>
      </c>
      <c r="R4" s="15" t="s">
        <v>34</v>
      </c>
      <c r="S4" s="17">
        <f t="shared" si="0"/>
        <v>4617.3909599999997</v>
      </c>
      <c r="T4" s="18">
        <f t="shared" si="1"/>
        <v>81.965520000000055</v>
      </c>
    </row>
    <row r="5" spans="1:20" ht="18.600000000000001" customHeight="1" x14ac:dyDescent="0.3">
      <c r="A5" s="10" t="s">
        <v>16</v>
      </c>
      <c r="B5" s="10" t="s">
        <v>22</v>
      </c>
      <c r="C5" s="10" t="s">
        <v>23</v>
      </c>
      <c r="D5" s="10" t="s">
        <v>30</v>
      </c>
      <c r="E5" s="10" t="s">
        <v>33</v>
      </c>
      <c r="F5" s="10">
        <v>182423</v>
      </c>
      <c r="G5" s="10">
        <v>5158590</v>
      </c>
      <c r="H5" s="11"/>
      <c r="I5" s="10">
        <v>24001158</v>
      </c>
      <c r="J5" s="10">
        <v>290060</v>
      </c>
      <c r="K5" s="10">
        <v>9828</v>
      </c>
      <c r="L5" s="10">
        <v>0.33800000000000002</v>
      </c>
      <c r="M5" s="10">
        <v>0.33200000000000002</v>
      </c>
      <c r="N5" s="12">
        <f t="shared" si="2"/>
        <v>1.7751479289940843E-2</v>
      </c>
      <c r="O5" s="10">
        <f t="shared" si="3"/>
        <v>3321.864</v>
      </c>
      <c r="P5" s="10">
        <f t="shared" si="4"/>
        <v>58.968000000000046</v>
      </c>
      <c r="Q5" s="10">
        <v>1.39</v>
      </c>
      <c r="R5" s="10" t="s">
        <v>34</v>
      </c>
      <c r="S5" s="13">
        <f t="shared" si="0"/>
        <v>4617.3909599999997</v>
      </c>
      <c r="T5" s="14">
        <f t="shared" si="1"/>
        <v>81.965520000000055</v>
      </c>
    </row>
    <row r="6" spans="1:20" ht="18.600000000000001" customHeight="1" x14ac:dyDescent="0.3">
      <c r="A6" s="15" t="s">
        <v>16</v>
      </c>
      <c r="B6" s="15" t="s">
        <v>22</v>
      </c>
      <c r="C6" s="15" t="s">
        <v>23</v>
      </c>
      <c r="D6" s="15" t="s">
        <v>30</v>
      </c>
      <c r="E6" s="15" t="s">
        <v>31</v>
      </c>
      <c r="F6" s="15">
        <v>182424</v>
      </c>
      <c r="G6" s="15">
        <v>5158590</v>
      </c>
      <c r="H6" s="16"/>
      <c r="I6" s="15">
        <v>24001159</v>
      </c>
      <c r="J6" s="15">
        <v>292102</v>
      </c>
      <c r="K6" s="15">
        <v>504</v>
      </c>
      <c r="L6" s="15">
        <v>0.41699999999999998</v>
      </c>
      <c r="M6" s="15">
        <v>0.41199999999999998</v>
      </c>
      <c r="N6" s="12">
        <f t="shared" si="2"/>
        <v>1.1990407673860922E-2</v>
      </c>
      <c r="O6" s="15">
        <f t="shared" si="3"/>
        <v>210.16799999999998</v>
      </c>
      <c r="P6" s="15">
        <f t="shared" si="4"/>
        <v>2.5200000000000018</v>
      </c>
      <c r="Q6" s="15">
        <v>1.39</v>
      </c>
      <c r="R6" s="15" t="s">
        <v>34</v>
      </c>
      <c r="S6" s="17">
        <f t="shared" si="0"/>
        <v>292.13351999999998</v>
      </c>
      <c r="T6" s="18">
        <f t="shared" si="1"/>
        <v>3.5028000000000024</v>
      </c>
    </row>
    <row r="7" spans="1:20" ht="18.600000000000001" customHeight="1" x14ac:dyDescent="0.3">
      <c r="A7" s="10" t="s">
        <v>16</v>
      </c>
      <c r="B7" s="10" t="s">
        <v>22</v>
      </c>
      <c r="C7" s="10" t="s">
        <v>23</v>
      </c>
      <c r="D7" s="10" t="s">
        <v>30</v>
      </c>
      <c r="E7" s="10" t="s">
        <v>32</v>
      </c>
      <c r="F7" s="10">
        <v>182424</v>
      </c>
      <c r="G7" s="10">
        <v>5158590</v>
      </c>
      <c r="H7" s="11"/>
      <c r="I7" s="10">
        <v>24001159</v>
      </c>
      <c r="J7" s="10">
        <v>290059</v>
      </c>
      <c r="K7" s="10">
        <v>504</v>
      </c>
      <c r="L7" s="10">
        <v>0.41699999999999998</v>
      </c>
      <c r="M7" s="10">
        <v>0.41199999999999998</v>
      </c>
      <c r="N7" s="12">
        <f t="shared" si="2"/>
        <v>1.1990407673860922E-2</v>
      </c>
      <c r="O7" s="10">
        <f t="shared" si="3"/>
        <v>210.16799999999998</v>
      </c>
      <c r="P7" s="10">
        <f t="shared" si="4"/>
        <v>2.5200000000000018</v>
      </c>
      <c r="Q7" s="10">
        <v>1.39</v>
      </c>
      <c r="R7" s="10" t="s">
        <v>34</v>
      </c>
      <c r="S7" s="13">
        <f t="shared" si="0"/>
        <v>292.13351999999998</v>
      </c>
      <c r="T7" s="14">
        <f t="shared" si="1"/>
        <v>3.5028000000000024</v>
      </c>
    </row>
    <row r="8" spans="1:20" ht="18.600000000000001" customHeight="1" x14ac:dyDescent="0.3">
      <c r="A8" s="15" t="s">
        <v>16</v>
      </c>
      <c r="B8" s="15" t="s">
        <v>22</v>
      </c>
      <c r="C8" s="15" t="s">
        <v>23</v>
      </c>
      <c r="D8" s="15" t="s">
        <v>30</v>
      </c>
      <c r="E8" s="15" t="s">
        <v>33</v>
      </c>
      <c r="F8" s="15">
        <v>182424</v>
      </c>
      <c r="G8" s="15">
        <v>5158590</v>
      </c>
      <c r="H8" s="16"/>
      <c r="I8" s="15">
        <v>24001159</v>
      </c>
      <c r="J8" s="15">
        <v>290060</v>
      </c>
      <c r="K8" s="15">
        <v>504</v>
      </c>
      <c r="L8" s="15">
        <v>0.41699999999999998</v>
      </c>
      <c r="M8" s="15">
        <v>0.41199999999999998</v>
      </c>
      <c r="N8" s="12">
        <f t="shared" si="2"/>
        <v>1.1990407673860922E-2</v>
      </c>
      <c r="O8" s="15">
        <f t="shared" si="3"/>
        <v>210.16799999999998</v>
      </c>
      <c r="P8" s="15">
        <f t="shared" si="4"/>
        <v>2.5200000000000018</v>
      </c>
      <c r="Q8" s="15">
        <v>1.39</v>
      </c>
      <c r="R8" s="15" t="s">
        <v>34</v>
      </c>
      <c r="S8" s="17">
        <f t="shared" si="0"/>
        <v>292.13351999999998</v>
      </c>
      <c r="T8" s="18">
        <f t="shared" si="1"/>
        <v>3.5028000000000024</v>
      </c>
    </row>
    <row r="9" spans="1:20" ht="18.600000000000001" customHeight="1" x14ac:dyDescent="0.3">
      <c r="A9" s="10" t="s">
        <v>17</v>
      </c>
      <c r="B9" s="10" t="s">
        <v>22</v>
      </c>
      <c r="C9" s="10" t="s">
        <v>23</v>
      </c>
      <c r="D9" s="10" t="s">
        <v>30</v>
      </c>
      <c r="E9" s="10" t="s">
        <v>37</v>
      </c>
      <c r="F9" s="10">
        <v>182419</v>
      </c>
      <c r="G9" s="10">
        <v>983462</v>
      </c>
      <c r="H9" s="11"/>
      <c r="I9" s="10">
        <v>24001154</v>
      </c>
      <c r="J9" s="10">
        <v>292099</v>
      </c>
      <c r="K9" s="10">
        <v>7776</v>
      </c>
      <c r="L9" s="10">
        <v>0.34200000000000003</v>
      </c>
      <c r="M9" s="10">
        <v>0.33200000000000002</v>
      </c>
      <c r="N9" s="12">
        <f t="shared" si="2"/>
        <v>2.9239766081871368E-2</v>
      </c>
      <c r="O9" s="10">
        <f t="shared" si="3"/>
        <v>2659.3920000000003</v>
      </c>
      <c r="P9" s="10">
        <f t="shared" si="4"/>
        <v>77.760000000000062</v>
      </c>
      <c r="Q9" s="10">
        <v>1.39</v>
      </c>
      <c r="R9" s="10" t="s">
        <v>34</v>
      </c>
      <c r="S9" s="13">
        <f t="shared" si="0"/>
        <v>3696.5548800000001</v>
      </c>
      <c r="T9" s="14">
        <f t="shared" si="1"/>
        <v>108.08640000000008</v>
      </c>
    </row>
    <row r="10" spans="1:20" ht="18.600000000000001" customHeight="1" x14ac:dyDescent="0.3">
      <c r="A10" s="15" t="s">
        <v>17</v>
      </c>
      <c r="B10" s="15" t="s">
        <v>22</v>
      </c>
      <c r="C10" s="15" t="s">
        <v>23</v>
      </c>
      <c r="D10" s="15" t="s">
        <v>30</v>
      </c>
      <c r="E10" s="15" t="s">
        <v>32</v>
      </c>
      <c r="F10" s="15">
        <v>182419</v>
      </c>
      <c r="G10" s="15">
        <v>983462</v>
      </c>
      <c r="H10" s="16"/>
      <c r="I10" s="15">
        <v>24001154</v>
      </c>
      <c r="J10" s="15">
        <v>290059</v>
      </c>
      <c r="K10" s="15">
        <v>7776</v>
      </c>
      <c r="L10" s="15">
        <v>0.34200000000000003</v>
      </c>
      <c r="M10" s="15">
        <v>0.33200000000000002</v>
      </c>
      <c r="N10" s="12">
        <f t="shared" si="2"/>
        <v>2.9239766081871368E-2</v>
      </c>
      <c r="O10" s="15">
        <f t="shared" si="3"/>
        <v>2659.3920000000003</v>
      </c>
      <c r="P10" s="15">
        <f t="shared" si="4"/>
        <v>77.760000000000062</v>
      </c>
      <c r="Q10" s="15">
        <v>1.39</v>
      </c>
      <c r="R10" s="15" t="s">
        <v>34</v>
      </c>
      <c r="S10" s="17">
        <f t="shared" si="0"/>
        <v>3696.5548800000001</v>
      </c>
      <c r="T10" s="18">
        <f t="shared" si="1"/>
        <v>108.08640000000008</v>
      </c>
    </row>
    <row r="11" spans="1:20" ht="18.600000000000001" customHeight="1" x14ac:dyDescent="0.3">
      <c r="A11" s="10" t="s">
        <v>17</v>
      </c>
      <c r="B11" s="10" t="s">
        <v>22</v>
      </c>
      <c r="C11" s="10" t="s">
        <v>23</v>
      </c>
      <c r="D11" s="10" t="s">
        <v>30</v>
      </c>
      <c r="E11" s="10" t="s">
        <v>33</v>
      </c>
      <c r="F11" s="10">
        <v>182419</v>
      </c>
      <c r="G11" s="10">
        <v>983462</v>
      </c>
      <c r="H11" s="11"/>
      <c r="I11" s="10">
        <v>24001154</v>
      </c>
      <c r="J11" s="10">
        <v>290060</v>
      </c>
      <c r="K11" s="10">
        <v>7776</v>
      </c>
      <c r="L11" s="10">
        <v>0.34200000000000003</v>
      </c>
      <c r="M11" s="10">
        <v>0.33200000000000002</v>
      </c>
      <c r="N11" s="12">
        <f t="shared" si="2"/>
        <v>2.9239766081871368E-2</v>
      </c>
      <c r="O11" s="10">
        <f t="shared" si="3"/>
        <v>2659.3920000000003</v>
      </c>
      <c r="P11" s="10">
        <f t="shared" si="4"/>
        <v>77.760000000000062</v>
      </c>
      <c r="Q11" s="10">
        <v>1.39</v>
      </c>
      <c r="R11" s="10" t="s">
        <v>34</v>
      </c>
      <c r="S11" s="13">
        <f t="shared" si="0"/>
        <v>3696.5548800000001</v>
      </c>
      <c r="T11" s="14">
        <f t="shared" si="1"/>
        <v>108.08640000000008</v>
      </c>
    </row>
    <row r="12" spans="1:20" ht="18.600000000000001" customHeight="1" x14ac:dyDescent="0.3">
      <c r="A12" s="15" t="s">
        <v>17</v>
      </c>
      <c r="B12" s="15" t="s">
        <v>22</v>
      </c>
      <c r="C12" s="15" t="s">
        <v>23</v>
      </c>
      <c r="D12" s="15" t="s">
        <v>30</v>
      </c>
      <c r="E12" s="15" t="s">
        <v>38</v>
      </c>
      <c r="F12" s="15">
        <v>182425</v>
      </c>
      <c r="G12" s="15">
        <v>983462</v>
      </c>
      <c r="H12" s="16"/>
      <c r="I12" s="15">
        <v>24001160</v>
      </c>
      <c r="J12" s="15">
        <v>290059</v>
      </c>
      <c r="K12" s="15">
        <v>4788</v>
      </c>
      <c r="L12" s="15">
        <v>0.34200000000000003</v>
      </c>
      <c r="M12" s="15">
        <v>0.33200000000000002</v>
      </c>
      <c r="N12" s="12">
        <f t="shared" si="2"/>
        <v>2.9239766081871368E-2</v>
      </c>
      <c r="O12" s="15">
        <f t="shared" si="3"/>
        <v>1637.4960000000001</v>
      </c>
      <c r="P12" s="15">
        <f t="shared" si="4"/>
        <v>47.880000000000038</v>
      </c>
      <c r="Q12" s="15">
        <v>1.39</v>
      </c>
      <c r="R12" s="15" t="s">
        <v>34</v>
      </c>
      <c r="S12" s="17">
        <f t="shared" si="0"/>
        <v>2276.1194399999999</v>
      </c>
      <c r="T12" s="18">
        <f t="shared" si="1"/>
        <v>66.553200000000047</v>
      </c>
    </row>
    <row r="13" spans="1:20" ht="18.600000000000001" customHeight="1" x14ac:dyDescent="0.3">
      <c r="A13" s="10" t="s">
        <v>17</v>
      </c>
      <c r="B13" s="10" t="s">
        <v>22</v>
      </c>
      <c r="C13" s="10" t="s">
        <v>23</v>
      </c>
      <c r="D13" s="10" t="s">
        <v>30</v>
      </c>
      <c r="E13" s="10" t="s">
        <v>39</v>
      </c>
      <c r="F13" s="10">
        <v>182425</v>
      </c>
      <c r="G13" s="10">
        <v>983462</v>
      </c>
      <c r="H13" s="11"/>
      <c r="I13" s="10">
        <v>24001160</v>
      </c>
      <c r="J13" s="10">
        <v>290059</v>
      </c>
      <c r="K13" s="10">
        <v>4788</v>
      </c>
      <c r="L13" s="10">
        <v>0.34200000000000003</v>
      </c>
      <c r="M13" s="10">
        <v>0.33200000000000002</v>
      </c>
      <c r="N13" s="12">
        <f t="shared" si="2"/>
        <v>2.9239766081871368E-2</v>
      </c>
      <c r="O13" s="10">
        <f t="shared" si="3"/>
        <v>1637.4960000000001</v>
      </c>
      <c r="P13" s="10">
        <f t="shared" si="4"/>
        <v>47.880000000000038</v>
      </c>
      <c r="Q13" s="10">
        <v>1.39</v>
      </c>
      <c r="R13" s="10" t="s">
        <v>34</v>
      </c>
      <c r="S13" s="13">
        <f t="shared" si="0"/>
        <v>2276.1194399999999</v>
      </c>
      <c r="T13" s="14">
        <f t="shared" si="1"/>
        <v>66.553200000000047</v>
      </c>
    </row>
    <row r="14" spans="1:20" ht="18.600000000000001" customHeight="1" x14ac:dyDescent="0.3">
      <c r="A14" s="15" t="s">
        <v>17</v>
      </c>
      <c r="B14" s="15" t="s">
        <v>22</v>
      </c>
      <c r="C14" s="15" t="s">
        <v>23</v>
      </c>
      <c r="D14" s="15" t="s">
        <v>30</v>
      </c>
      <c r="E14" s="15" t="s">
        <v>40</v>
      </c>
      <c r="F14" s="15">
        <v>182425</v>
      </c>
      <c r="G14" s="15">
        <v>983462</v>
      </c>
      <c r="H14" s="16"/>
      <c r="I14" s="15">
        <v>24001160</v>
      </c>
      <c r="J14" s="15">
        <v>290059</v>
      </c>
      <c r="K14" s="15">
        <v>4788</v>
      </c>
      <c r="L14" s="15">
        <v>0.34200000000000003</v>
      </c>
      <c r="M14" s="15">
        <v>0.33200000000000002</v>
      </c>
      <c r="N14" s="12">
        <f t="shared" si="2"/>
        <v>2.9239766081871368E-2</v>
      </c>
      <c r="O14" s="15">
        <f t="shared" si="3"/>
        <v>1637.4960000000001</v>
      </c>
      <c r="P14" s="15">
        <f t="shared" si="4"/>
        <v>47.880000000000038</v>
      </c>
      <c r="Q14" s="15">
        <v>1.39</v>
      </c>
      <c r="R14" s="15" t="s">
        <v>34</v>
      </c>
      <c r="S14" s="17">
        <f t="shared" si="0"/>
        <v>2276.1194399999999</v>
      </c>
      <c r="T14" s="18">
        <f t="shared" si="1"/>
        <v>66.553200000000047</v>
      </c>
    </row>
    <row r="15" spans="1:20" ht="18.600000000000001" customHeight="1" x14ac:dyDescent="0.3">
      <c r="A15" s="10" t="s">
        <v>17</v>
      </c>
      <c r="B15" s="10" t="s">
        <v>22</v>
      </c>
      <c r="C15" s="10" t="s">
        <v>23</v>
      </c>
      <c r="D15" s="10" t="s">
        <v>30</v>
      </c>
      <c r="E15" s="10" t="s">
        <v>41</v>
      </c>
      <c r="F15" s="10">
        <v>182427</v>
      </c>
      <c r="G15" s="10">
        <v>983462</v>
      </c>
      <c r="H15" s="11"/>
      <c r="I15" s="10">
        <v>24001162</v>
      </c>
      <c r="J15" s="10">
        <v>290063</v>
      </c>
      <c r="K15" s="10">
        <v>7164</v>
      </c>
      <c r="L15" s="10">
        <v>0.34200000000000003</v>
      </c>
      <c r="M15" s="10">
        <v>0.33200000000000002</v>
      </c>
      <c r="N15" s="12">
        <f t="shared" si="2"/>
        <v>2.9239766081871368E-2</v>
      </c>
      <c r="O15" s="10">
        <f t="shared" si="3"/>
        <v>2450.0880000000002</v>
      </c>
      <c r="P15" s="10">
        <f t="shared" si="4"/>
        <v>71.640000000000057</v>
      </c>
      <c r="Q15" s="10">
        <v>1.39</v>
      </c>
      <c r="R15" s="10" t="s">
        <v>34</v>
      </c>
      <c r="S15" s="13">
        <f t="shared" si="0"/>
        <v>3405.6223199999999</v>
      </c>
      <c r="T15" s="14">
        <f t="shared" si="1"/>
        <v>99.57960000000007</v>
      </c>
    </row>
    <row r="16" spans="1:20" ht="18.600000000000001" customHeight="1" x14ac:dyDescent="0.3">
      <c r="A16" s="15" t="s">
        <v>17</v>
      </c>
      <c r="B16" s="15" t="s">
        <v>22</v>
      </c>
      <c r="C16" s="15" t="s">
        <v>23</v>
      </c>
      <c r="D16" s="15" t="s">
        <v>30</v>
      </c>
      <c r="E16" s="15" t="s">
        <v>42</v>
      </c>
      <c r="F16" s="15">
        <v>182427</v>
      </c>
      <c r="G16" s="15">
        <v>983462</v>
      </c>
      <c r="H16" s="16"/>
      <c r="I16" s="15">
        <v>24001162</v>
      </c>
      <c r="J16" s="15">
        <v>290061</v>
      </c>
      <c r="K16" s="15">
        <v>7164</v>
      </c>
      <c r="L16" s="15">
        <v>0.34200000000000003</v>
      </c>
      <c r="M16" s="15">
        <v>0.33200000000000002</v>
      </c>
      <c r="N16" s="12">
        <f t="shared" si="2"/>
        <v>2.9239766081871368E-2</v>
      </c>
      <c r="O16" s="15">
        <f t="shared" si="3"/>
        <v>2450.0880000000002</v>
      </c>
      <c r="P16" s="15">
        <f t="shared" si="4"/>
        <v>71.640000000000057</v>
      </c>
      <c r="Q16" s="15">
        <v>1.39</v>
      </c>
      <c r="R16" s="15" t="s">
        <v>34</v>
      </c>
      <c r="S16" s="17">
        <f t="shared" si="0"/>
        <v>3405.6223199999999</v>
      </c>
      <c r="T16" s="18">
        <f t="shared" si="1"/>
        <v>99.57960000000007</v>
      </c>
    </row>
    <row r="17" spans="1:20" ht="18.600000000000001" customHeight="1" x14ac:dyDescent="0.3">
      <c r="A17" s="10" t="s">
        <v>17</v>
      </c>
      <c r="B17" s="10" t="s">
        <v>22</v>
      </c>
      <c r="C17" s="10" t="s">
        <v>23</v>
      </c>
      <c r="D17" s="10" t="s">
        <v>30</v>
      </c>
      <c r="E17" s="10" t="s">
        <v>43</v>
      </c>
      <c r="F17" s="10">
        <v>182427</v>
      </c>
      <c r="G17" s="10">
        <v>983462</v>
      </c>
      <c r="H17" s="11"/>
      <c r="I17" s="10">
        <v>24001162</v>
      </c>
      <c r="J17" s="10">
        <v>292103</v>
      </c>
      <c r="K17" s="10">
        <v>7164</v>
      </c>
      <c r="L17" s="10">
        <v>0.34200000000000003</v>
      </c>
      <c r="M17" s="10">
        <v>0.33200000000000002</v>
      </c>
      <c r="N17" s="12">
        <f t="shared" si="2"/>
        <v>2.9239766081871368E-2</v>
      </c>
      <c r="O17" s="10">
        <f t="shared" si="3"/>
        <v>2450.0880000000002</v>
      </c>
      <c r="P17" s="10">
        <f t="shared" si="4"/>
        <v>71.640000000000057</v>
      </c>
      <c r="Q17" s="10">
        <v>1.39</v>
      </c>
      <c r="R17" s="10" t="s">
        <v>34</v>
      </c>
      <c r="S17" s="13">
        <f t="shared" si="0"/>
        <v>3405.6223199999999</v>
      </c>
      <c r="T17" s="14">
        <f t="shared" si="1"/>
        <v>99.57960000000007</v>
      </c>
    </row>
    <row r="18" spans="1:20" ht="18.600000000000001" customHeight="1" x14ac:dyDescent="0.3">
      <c r="A18" s="15" t="s">
        <v>17</v>
      </c>
      <c r="B18" s="15" t="s">
        <v>22</v>
      </c>
      <c r="C18" s="15" t="s">
        <v>23</v>
      </c>
      <c r="D18" s="15" t="s">
        <v>30</v>
      </c>
      <c r="E18" s="15" t="s">
        <v>41</v>
      </c>
      <c r="F18" s="15">
        <v>182428</v>
      </c>
      <c r="G18" s="15">
        <v>983462</v>
      </c>
      <c r="H18" s="16"/>
      <c r="I18" s="15">
        <v>24001163</v>
      </c>
      <c r="J18" s="15">
        <v>290063</v>
      </c>
      <c r="K18" s="15">
        <v>648</v>
      </c>
      <c r="L18" s="15">
        <v>0.42</v>
      </c>
      <c r="M18" s="15">
        <v>0.41199999999999998</v>
      </c>
      <c r="N18" s="12">
        <f t="shared" si="2"/>
        <v>1.9047619047619067E-2</v>
      </c>
      <c r="O18" s="15">
        <f t="shared" si="3"/>
        <v>272.15999999999997</v>
      </c>
      <c r="P18" s="15">
        <f t="shared" si="4"/>
        <v>5.1840000000000046</v>
      </c>
      <c r="Q18" s="15">
        <v>1.39</v>
      </c>
      <c r="R18" s="15" t="s">
        <v>34</v>
      </c>
      <c r="S18" s="17">
        <f t="shared" si="0"/>
        <v>378.30239999999992</v>
      </c>
      <c r="T18" s="18">
        <f t="shared" si="1"/>
        <v>7.2057600000000059</v>
      </c>
    </row>
    <row r="19" spans="1:20" ht="18.600000000000001" customHeight="1" x14ac:dyDescent="0.3">
      <c r="A19" s="10" t="s">
        <v>17</v>
      </c>
      <c r="B19" s="10" t="s">
        <v>22</v>
      </c>
      <c r="C19" s="10" t="s">
        <v>23</v>
      </c>
      <c r="D19" s="10" t="s">
        <v>30</v>
      </c>
      <c r="E19" s="10" t="s">
        <v>42</v>
      </c>
      <c r="F19" s="10">
        <v>182428</v>
      </c>
      <c r="G19" s="10">
        <v>983462</v>
      </c>
      <c r="H19" s="11"/>
      <c r="I19" s="10">
        <v>24001163</v>
      </c>
      <c r="J19" s="10">
        <v>290061</v>
      </c>
      <c r="K19" s="10">
        <v>648</v>
      </c>
      <c r="L19" s="10">
        <v>0.42</v>
      </c>
      <c r="M19" s="10">
        <v>0.41199999999999998</v>
      </c>
      <c r="N19" s="12">
        <f t="shared" si="2"/>
        <v>1.9047619047619067E-2</v>
      </c>
      <c r="O19" s="10">
        <f t="shared" si="3"/>
        <v>272.15999999999997</v>
      </c>
      <c r="P19" s="10">
        <f t="shared" si="4"/>
        <v>5.1840000000000046</v>
      </c>
      <c r="Q19" s="10">
        <v>1.39</v>
      </c>
      <c r="R19" s="10" t="s">
        <v>34</v>
      </c>
      <c r="S19" s="13">
        <f t="shared" si="0"/>
        <v>378.30239999999992</v>
      </c>
      <c r="T19" s="14">
        <f t="shared" si="1"/>
        <v>7.2057600000000059</v>
      </c>
    </row>
    <row r="20" spans="1:20" ht="18.600000000000001" customHeight="1" x14ac:dyDescent="0.3">
      <c r="A20" s="15" t="s">
        <v>17</v>
      </c>
      <c r="B20" s="15" t="s">
        <v>22</v>
      </c>
      <c r="C20" s="15" t="s">
        <v>23</v>
      </c>
      <c r="D20" s="15" t="s">
        <v>30</v>
      </c>
      <c r="E20" s="15" t="s">
        <v>43</v>
      </c>
      <c r="F20" s="15">
        <v>182428</v>
      </c>
      <c r="G20" s="15">
        <v>983462</v>
      </c>
      <c r="H20" s="16"/>
      <c r="I20" s="15">
        <v>24001163</v>
      </c>
      <c r="J20" s="15">
        <v>292103</v>
      </c>
      <c r="K20" s="15">
        <v>648</v>
      </c>
      <c r="L20" s="15">
        <v>0.42</v>
      </c>
      <c r="M20" s="15">
        <v>0.41199999999999998</v>
      </c>
      <c r="N20" s="12">
        <f t="shared" si="2"/>
        <v>1.9047619047619067E-2</v>
      </c>
      <c r="O20" s="15">
        <f t="shared" si="3"/>
        <v>272.15999999999997</v>
      </c>
      <c r="P20" s="15">
        <f t="shared" si="4"/>
        <v>5.1840000000000046</v>
      </c>
      <c r="Q20" s="15">
        <v>1.39</v>
      </c>
      <c r="R20" s="15" t="s">
        <v>34</v>
      </c>
      <c r="S20" s="17">
        <f t="shared" si="0"/>
        <v>378.30239999999992</v>
      </c>
      <c r="T20" s="18">
        <f t="shared" si="1"/>
        <v>7.2057600000000059</v>
      </c>
    </row>
    <row r="21" spans="1:20" ht="18.600000000000001" customHeight="1" x14ac:dyDescent="0.3">
      <c r="A21" s="10" t="s">
        <v>17</v>
      </c>
      <c r="B21" s="10" t="s">
        <v>22</v>
      </c>
      <c r="C21" s="10" t="s">
        <v>23</v>
      </c>
      <c r="D21" s="10" t="s">
        <v>30</v>
      </c>
      <c r="E21" s="10" t="s">
        <v>44</v>
      </c>
      <c r="F21" s="10">
        <v>182429</v>
      </c>
      <c r="G21" s="10">
        <v>983462</v>
      </c>
      <c r="H21" s="11"/>
      <c r="I21" s="10">
        <v>24001164</v>
      </c>
      <c r="J21" s="10">
        <v>292104</v>
      </c>
      <c r="K21" s="10">
        <v>5652</v>
      </c>
      <c r="L21" s="10">
        <v>0.34200000000000003</v>
      </c>
      <c r="M21" s="10">
        <v>0.33</v>
      </c>
      <c r="N21" s="12">
        <f t="shared" si="2"/>
        <v>3.508771929824564E-2</v>
      </c>
      <c r="O21" s="10">
        <f t="shared" si="3"/>
        <v>1932.9840000000002</v>
      </c>
      <c r="P21" s="10">
        <f t="shared" si="4"/>
        <v>67.824000000000055</v>
      </c>
      <c r="Q21" s="10">
        <v>1.39</v>
      </c>
      <c r="R21" s="10" t="s">
        <v>34</v>
      </c>
      <c r="S21" s="13">
        <f t="shared" si="0"/>
        <v>2686.8477600000001</v>
      </c>
      <c r="T21" s="14">
        <f t="shared" si="1"/>
        <v>94.275360000000063</v>
      </c>
    </row>
    <row r="22" spans="1:20" ht="18.600000000000001" customHeight="1" x14ac:dyDescent="0.3">
      <c r="A22" s="15" t="s">
        <v>17</v>
      </c>
      <c r="B22" s="15" t="s">
        <v>22</v>
      </c>
      <c r="C22" s="15" t="s">
        <v>23</v>
      </c>
      <c r="D22" s="15" t="s">
        <v>30</v>
      </c>
      <c r="E22" s="15" t="s">
        <v>45</v>
      </c>
      <c r="F22" s="15">
        <v>182429</v>
      </c>
      <c r="G22" s="15">
        <v>983462</v>
      </c>
      <c r="H22" s="16"/>
      <c r="I22" s="15">
        <v>24001164</v>
      </c>
      <c r="J22" s="15">
        <v>292105</v>
      </c>
      <c r="K22" s="15">
        <v>5652</v>
      </c>
      <c r="L22" s="15">
        <v>0.34200000000000003</v>
      </c>
      <c r="M22" s="15">
        <v>0.33</v>
      </c>
      <c r="N22" s="12">
        <f t="shared" si="2"/>
        <v>3.508771929824564E-2</v>
      </c>
      <c r="O22" s="15">
        <f t="shared" si="3"/>
        <v>1932.9840000000002</v>
      </c>
      <c r="P22" s="15">
        <f t="shared" si="4"/>
        <v>67.824000000000055</v>
      </c>
      <c r="Q22" s="15">
        <v>1.39</v>
      </c>
      <c r="R22" s="15" t="s">
        <v>34</v>
      </c>
      <c r="S22" s="17">
        <f t="shared" si="0"/>
        <v>2686.8477600000001</v>
      </c>
      <c r="T22" s="18">
        <f t="shared" si="1"/>
        <v>94.275360000000063</v>
      </c>
    </row>
    <row r="23" spans="1:20" ht="18.600000000000001" customHeight="1" x14ac:dyDescent="0.3">
      <c r="A23" s="10" t="s">
        <v>17</v>
      </c>
      <c r="B23" s="10" t="s">
        <v>22</v>
      </c>
      <c r="C23" s="10" t="s">
        <v>23</v>
      </c>
      <c r="D23" s="10" t="s">
        <v>30</v>
      </c>
      <c r="E23" s="10" t="s">
        <v>33</v>
      </c>
      <c r="F23" s="10">
        <v>182429</v>
      </c>
      <c r="G23" s="10">
        <v>983462</v>
      </c>
      <c r="H23" s="11"/>
      <c r="I23" s="10">
        <v>24001164</v>
      </c>
      <c r="J23" s="10">
        <v>290060</v>
      </c>
      <c r="K23" s="10">
        <v>5652</v>
      </c>
      <c r="L23" s="10">
        <v>0.34200000000000003</v>
      </c>
      <c r="M23" s="10">
        <v>0.33</v>
      </c>
      <c r="N23" s="12">
        <f t="shared" si="2"/>
        <v>3.508771929824564E-2</v>
      </c>
      <c r="O23" s="10">
        <f t="shared" si="3"/>
        <v>1932.9840000000002</v>
      </c>
      <c r="P23" s="10">
        <f t="shared" si="4"/>
        <v>67.824000000000055</v>
      </c>
      <c r="Q23" s="10">
        <v>1.39</v>
      </c>
      <c r="R23" s="10" t="s">
        <v>34</v>
      </c>
      <c r="S23" s="13">
        <f t="shared" si="0"/>
        <v>2686.8477600000001</v>
      </c>
      <c r="T23" s="14">
        <f t="shared" si="1"/>
        <v>94.275360000000063</v>
      </c>
    </row>
    <row r="24" spans="1:20" ht="18.600000000000001" customHeight="1" x14ac:dyDescent="0.3">
      <c r="A24" s="15" t="s">
        <v>17</v>
      </c>
      <c r="B24" s="15" t="s">
        <v>22</v>
      </c>
      <c r="C24" s="15" t="s">
        <v>23</v>
      </c>
      <c r="D24" s="15" t="s">
        <v>30</v>
      </c>
      <c r="E24" s="15" t="s">
        <v>44</v>
      </c>
      <c r="F24" s="15">
        <v>182430</v>
      </c>
      <c r="G24" s="15">
        <v>983462</v>
      </c>
      <c r="H24" s="16"/>
      <c r="I24" s="15">
        <v>24001165</v>
      </c>
      <c r="J24" s="15">
        <v>292104</v>
      </c>
      <c r="K24" s="15">
        <v>360</v>
      </c>
      <c r="L24" s="15">
        <v>0.42</v>
      </c>
      <c r="M24" s="15">
        <v>0.41199999999999998</v>
      </c>
      <c r="N24" s="12">
        <f t="shared" si="2"/>
        <v>1.9047619047619067E-2</v>
      </c>
      <c r="O24" s="15">
        <f t="shared" si="3"/>
        <v>151.19999999999999</v>
      </c>
      <c r="P24" s="15">
        <f t="shared" si="4"/>
        <v>2.8800000000000026</v>
      </c>
      <c r="Q24" s="15">
        <v>1.39</v>
      </c>
      <c r="R24" s="15" t="s">
        <v>34</v>
      </c>
      <c r="S24" s="17">
        <f t="shared" si="0"/>
        <v>210.16799999999998</v>
      </c>
      <c r="T24" s="18">
        <f t="shared" si="1"/>
        <v>4.0032000000000032</v>
      </c>
    </row>
    <row r="25" spans="1:20" ht="18.600000000000001" customHeight="1" x14ac:dyDescent="0.3">
      <c r="A25" s="10" t="s">
        <v>17</v>
      </c>
      <c r="B25" s="10" t="s">
        <v>22</v>
      </c>
      <c r="C25" s="10" t="s">
        <v>23</v>
      </c>
      <c r="D25" s="10" t="s">
        <v>30</v>
      </c>
      <c r="E25" s="10" t="s">
        <v>45</v>
      </c>
      <c r="F25" s="10">
        <v>182430</v>
      </c>
      <c r="G25" s="10">
        <v>983462</v>
      </c>
      <c r="H25" s="11"/>
      <c r="I25" s="10">
        <v>24001165</v>
      </c>
      <c r="J25" s="10">
        <v>292105</v>
      </c>
      <c r="K25" s="10">
        <v>360</v>
      </c>
      <c r="L25" s="10">
        <v>0.42</v>
      </c>
      <c r="M25" s="10">
        <v>0.41199999999999998</v>
      </c>
      <c r="N25" s="12">
        <f t="shared" si="2"/>
        <v>1.9047619047619067E-2</v>
      </c>
      <c r="O25" s="10">
        <f t="shared" si="3"/>
        <v>151.19999999999999</v>
      </c>
      <c r="P25" s="10">
        <f t="shared" si="4"/>
        <v>2.8800000000000026</v>
      </c>
      <c r="Q25" s="10">
        <v>1.39</v>
      </c>
      <c r="R25" s="10" t="s">
        <v>34</v>
      </c>
      <c r="S25" s="13">
        <f t="shared" si="0"/>
        <v>210.16799999999998</v>
      </c>
      <c r="T25" s="14">
        <f t="shared" si="1"/>
        <v>4.0032000000000032</v>
      </c>
    </row>
    <row r="26" spans="1:20" ht="18.600000000000001" customHeight="1" x14ac:dyDescent="0.3">
      <c r="A26" s="15" t="s">
        <v>17</v>
      </c>
      <c r="B26" s="15" t="s">
        <v>22</v>
      </c>
      <c r="C26" s="15" t="s">
        <v>23</v>
      </c>
      <c r="D26" s="15" t="s">
        <v>30</v>
      </c>
      <c r="E26" s="15" t="s">
        <v>33</v>
      </c>
      <c r="F26" s="15">
        <v>182430</v>
      </c>
      <c r="G26" s="15">
        <v>983462</v>
      </c>
      <c r="H26" s="16"/>
      <c r="I26" s="15">
        <v>24001165</v>
      </c>
      <c r="J26" s="15">
        <v>290060</v>
      </c>
      <c r="K26" s="15">
        <v>360</v>
      </c>
      <c r="L26" s="15">
        <v>0.42</v>
      </c>
      <c r="M26" s="15">
        <v>0.41199999999999998</v>
      </c>
      <c r="N26" s="12">
        <f t="shared" si="2"/>
        <v>1.9047619047619067E-2</v>
      </c>
      <c r="O26" s="15">
        <f t="shared" si="3"/>
        <v>151.19999999999999</v>
      </c>
      <c r="P26" s="15">
        <f t="shared" si="4"/>
        <v>2.8800000000000026</v>
      </c>
      <c r="Q26" s="15">
        <v>1.39</v>
      </c>
      <c r="R26" s="15" t="s">
        <v>34</v>
      </c>
      <c r="S26" s="17">
        <f t="shared" si="0"/>
        <v>210.16799999999998</v>
      </c>
      <c r="T26" s="18">
        <f t="shared" si="1"/>
        <v>4.0032000000000032</v>
      </c>
    </row>
    <row r="27" spans="1:20" ht="18.600000000000001" customHeight="1" x14ac:dyDescent="0.3">
      <c r="A27" s="10" t="s">
        <v>17</v>
      </c>
      <c r="B27" s="10" t="s">
        <v>22</v>
      </c>
      <c r="C27" s="10" t="s">
        <v>23</v>
      </c>
      <c r="D27" s="10" t="s">
        <v>30</v>
      </c>
      <c r="E27" s="10" t="s">
        <v>46</v>
      </c>
      <c r="F27" s="10">
        <v>182431</v>
      </c>
      <c r="G27" s="10">
        <v>983462</v>
      </c>
      <c r="H27" s="11"/>
      <c r="I27" s="10">
        <v>24001166</v>
      </c>
      <c r="J27" s="10">
        <v>295059</v>
      </c>
      <c r="K27" s="10">
        <v>3168</v>
      </c>
      <c r="L27" s="10">
        <v>0.34200000000000003</v>
      </c>
      <c r="M27" s="10">
        <v>0.33300000000000002</v>
      </c>
      <c r="N27" s="12">
        <f t="shared" si="2"/>
        <v>2.6315789473684233E-2</v>
      </c>
      <c r="O27" s="10">
        <f t="shared" si="3"/>
        <v>1083.4560000000001</v>
      </c>
      <c r="P27" s="10">
        <f t="shared" si="4"/>
        <v>28.512000000000029</v>
      </c>
      <c r="Q27" s="10">
        <v>1.94</v>
      </c>
      <c r="R27" s="10" t="s">
        <v>34</v>
      </c>
      <c r="S27" s="13">
        <f t="shared" si="0"/>
        <v>2101.9046400000002</v>
      </c>
      <c r="T27" s="14">
        <f t="shared" si="1"/>
        <v>55.313280000000056</v>
      </c>
    </row>
    <row r="28" spans="1:20" ht="18.600000000000001" customHeight="1" x14ac:dyDescent="0.3">
      <c r="A28" s="15" t="s">
        <v>17</v>
      </c>
      <c r="B28" s="15" t="s">
        <v>22</v>
      </c>
      <c r="C28" s="15" t="s">
        <v>23</v>
      </c>
      <c r="D28" s="15" t="s">
        <v>30</v>
      </c>
      <c r="E28" s="15" t="s">
        <v>33</v>
      </c>
      <c r="F28" s="15">
        <v>182431</v>
      </c>
      <c r="G28" s="15">
        <v>983462</v>
      </c>
      <c r="H28" s="16"/>
      <c r="I28" s="15">
        <v>24001166</v>
      </c>
      <c r="J28" s="15">
        <v>290060</v>
      </c>
      <c r="K28" s="15">
        <v>3168</v>
      </c>
      <c r="L28" s="15">
        <v>0.34200000000000003</v>
      </c>
      <c r="M28" s="15">
        <v>0.33300000000000002</v>
      </c>
      <c r="N28" s="12">
        <f t="shared" si="2"/>
        <v>2.6315789473684233E-2</v>
      </c>
      <c r="O28" s="15">
        <f t="shared" si="3"/>
        <v>1083.4560000000001</v>
      </c>
      <c r="P28" s="15">
        <f t="shared" si="4"/>
        <v>28.512000000000029</v>
      </c>
      <c r="Q28" s="15">
        <v>1.39</v>
      </c>
      <c r="R28" s="15" t="s">
        <v>34</v>
      </c>
      <c r="S28" s="17">
        <f t="shared" si="0"/>
        <v>1506.0038400000001</v>
      </c>
      <c r="T28" s="18">
        <f t="shared" si="1"/>
        <v>39.631680000000038</v>
      </c>
    </row>
    <row r="29" spans="1:20" ht="18.600000000000001" customHeight="1" x14ac:dyDescent="0.3">
      <c r="A29" s="10" t="s">
        <v>17</v>
      </c>
      <c r="B29" s="10" t="s">
        <v>22</v>
      </c>
      <c r="C29" s="10" t="s">
        <v>23</v>
      </c>
      <c r="D29" s="10" t="s">
        <v>30</v>
      </c>
      <c r="E29" s="10" t="s">
        <v>47</v>
      </c>
      <c r="F29" s="10">
        <v>182431</v>
      </c>
      <c r="G29" s="10">
        <v>983462</v>
      </c>
      <c r="H29" s="11"/>
      <c r="I29" s="10">
        <v>24001166</v>
      </c>
      <c r="J29" s="10">
        <v>295060</v>
      </c>
      <c r="K29" s="10">
        <v>3168</v>
      </c>
      <c r="L29" s="10">
        <v>0.34200000000000003</v>
      </c>
      <c r="M29" s="10">
        <v>0.33300000000000002</v>
      </c>
      <c r="N29" s="12">
        <f t="shared" si="2"/>
        <v>2.6315789473684233E-2</v>
      </c>
      <c r="O29" s="10">
        <f t="shared" si="3"/>
        <v>1083.4560000000001</v>
      </c>
      <c r="P29" s="10">
        <f t="shared" si="4"/>
        <v>28.512000000000029</v>
      </c>
      <c r="Q29" s="10">
        <v>1.39</v>
      </c>
      <c r="R29" s="10" t="s">
        <v>34</v>
      </c>
      <c r="S29" s="13">
        <f t="shared" si="0"/>
        <v>1506.0038400000001</v>
      </c>
      <c r="T29" s="14">
        <f t="shared" si="1"/>
        <v>39.631680000000038</v>
      </c>
    </row>
    <row r="30" spans="1:20" ht="18.600000000000001" customHeight="1" x14ac:dyDescent="0.3">
      <c r="A30" s="15" t="s">
        <v>17</v>
      </c>
      <c r="B30" s="15" t="s">
        <v>22</v>
      </c>
      <c r="C30" s="15" t="s">
        <v>23</v>
      </c>
      <c r="D30" s="15" t="s">
        <v>30</v>
      </c>
      <c r="E30" s="15" t="s">
        <v>46</v>
      </c>
      <c r="F30" s="15">
        <v>182432</v>
      </c>
      <c r="G30" s="15">
        <v>983462</v>
      </c>
      <c r="H30" s="16"/>
      <c r="I30" s="15">
        <v>24001167</v>
      </c>
      <c r="J30" s="15">
        <v>295059</v>
      </c>
      <c r="K30" s="15">
        <v>540</v>
      </c>
      <c r="L30" s="15">
        <v>0.41199999999999998</v>
      </c>
      <c r="M30" s="15">
        <v>0.41199999999999998</v>
      </c>
      <c r="N30" s="12">
        <f t="shared" si="2"/>
        <v>0</v>
      </c>
      <c r="O30" s="15">
        <f t="shared" si="3"/>
        <v>222.48</v>
      </c>
      <c r="P30" s="15">
        <f t="shared" si="4"/>
        <v>0</v>
      </c>
      <c r="Q30" s="15">
        <v>1.94</v>
      </c>
      <c r="R30" s="15" t="s">
        <v>34</v>
      </c>
      <c r="S30" s="17">
        <f t="shared" si="0"/>
        <v>431.6112</v>
      </c>
      <c r="T30" s="18">
        <f t="shared" si="1"/>
        <v>0</v>
      </c>
    </row>
    <row r="31" spans="1:20" ht="18.600000000000001" customHeight="1" x14ac:dyDescent="0.3">
      <c r="A31" s="10" t="s">
        <v>17</v>
      </c>
      <c r="B31" s="10" t="s">
        <v>22</v>
      </c>
      <c r="C31" s="10" t="s">
        <v>23</v>
      </c>
      <c r="D31" s="10" t="s">
        <v>30</v>
      </c>
      <c r="E31" s="10" t="s">
        <v>33</v>
      </c>
      <c r="F31" s="10">
        <v>182432</v>
      </c>
      <c r="G31" s="10">
        <v>983462</v>
      </c>
      <c r="H31" s="11"/>
      <c r="I31" s="10">
        <v>24001167</v>
      </c>
      <c r="J31" s="10">
        <v>290060</v>
      </c>
      <c r="K31" s="10">
        <v>540</v>
      </c>
      <c r="L31" s="10">
        <v>0.41199999999999998</v>
      </c>
      <c r="M31" s="10">
        <v>0.41199999999999998</v>
      </c>
      <c r="N31" s="12">
        <f t="shared" si="2"/>
        <v>0</v>
      </c>
      <c r="O31" s="10">
        <f t="shared" si="3"/>
        <v>222.48</v>
      </c>
      <c r="P31" s="10">
        <f t="shared" si="4"/>
        <v>0</v>
      </c>
      <c r="Q31" s="10">
        <v>1.39</v>
      </c>
      <c r="R31" s="10" t="s">
        <v>34</v>
      </c>
      <c r="S31" s="13">
        <f t="shared" si="0"/>
        <v>309.24719999999996</v>
      </c>
      <c r="T31" s="14">
        <f t="shared" si="1"/>
        <v>0</v>
      </c>
    </row>
    <row r="32" spans="1:20" ht="18.600000000000001" customHeight="1" x14ac:dyDescent="0.3">
      <c r="A32" s="15" t="s">
        <v>17</v>
      </c>
      <c r="B32" s="15" t="s">
        <v>22</v>
      </c>
      <c r="C32" s="15" t="s">
        <v>23</v>
      </c>
      <c r="D32" s="15" t="s">
        <v>30</v>
      </c>
      <c r="E32" s="15" t="s">
        <v>47</v>
      </c>
      <c r="F32" s="15">
        <v>182432</v>
      </c>
      <c r="G32" s="15">
        <v>983462</v>
      </c>
      <c r="H32" s="16"/>
      <c r="I32" s="15">
        <v>24001167</v>
      </c>
      <c r="J32" s="15">
        <v>295060</v>
      </c>
      <c r="K32" s="15">
        <v>540</v>
      </c>
      <c r="L32" s="15">
        <v>0.41199999999999998</v>
      </c>
      <c r="M32" s="15">
        <v>0.41199999999999998</v>
      </c>
      <c r="N32" s="12">
        <f t="shared" si="2"/>
        <v>0</v>
      </c>
      <c r="O32" s="15">
        <f t="shared" si="3"/>
        <v>222.48</v>
      </c>
      <c r="P32" s="15">
        <f t="shared" si="4"/>
        <v>0</v>
      </c>
      <c r="Q32" s="15">
        <v>1.39</v>
      </c>
      <c r="R32" s="15" t="s">
        <v>34</v>
      </c>
      <c r="S32" s="17">
        <f t="shared" si="0"/>
        <v>309.24719999999996</v>
      </c>
      <c r="T32" s="18">
        <f t="shared" si="1"/>
        <v>0</v>
      </c>
    </row>
    <row r="33" spans="1:20" ht="18.600000000000001" customHeight="1" x14ac:dyDescent="0.3">
      <c r="A33" s="10" t="s">
        <v>17</v>
      </c>
      <c r="B33" s="10" t="s">
        <v>22</v>
      </c>
      <c r="C33" s="10" t="s">
        <v>23</v>
      </c>
      <c r="D33" s="10" t="s">
        <v>30</v>
      </c>
      <c r="E33" s="10" t="s">
        <v>48</v>
      </c>
      <c r="F33" s="10">
        <v>182433</v>
      </c>
      <c r="G33" s="10">
        <v>983462</v>
      </c>
      <c r="H33" s="11"/>
      <c r="I33" s="10">
        <v>24001168</v>
      </c>
      <c r="J33" s="10">
        <v>295061</v>
      </c>
      <c r="K33" s="10">
        <v>3456</v>
      </c>
      <c r="L33" s="10">
        <v>0.34200000000000003</v>
      </c>
      <c r="M33" s="10">
        <v>0.33300000000000002</v>
      </c>
      <c r="N33" s="12">
        <f t="shared" si="2"/>
        <v>2.6315789473684233E-2</v>
      </c>
      <c r="O33" s="10">
        <f t="shared" si="3"/>
        <v>1181.952</v>
      </c>
      <c r="P33" s="10">
        <f t="shared" si="4"/>
        <v>31.104000000000028</v>
      </c>
      <c r="Q33" s="10">
        <v>1.94</v>
      </c>
      <c r="R33" s="10" t="s">
        <v>34</v>
      </c>
      <c r="S33" s="13">
        <f t="shared" si="0"/>
        <v>2292.9868799999999</v>
      </c>
      <c r="T33" s="14">
        <f t="shared" si="1"/>
        <v>60.34176000000005</v>
      </c>
    </row>
    <row r="34" spans="1:20" ht="18.600000000000001" customHeight="1" x14ac:dyDescent="0.3">
      <c r="A34" s="15" t="s">
        <v>17</v>
      </c>
      <c r="B34" s="15" t="s">
        <v>22</v>
      </c>
      <c r="C34" s="15" t="s">
        <v>23</v>
      </c>
      <c r="D34" s="15" t="s">
        <v>30</v>
      </c>
      <c r="E34" s="15" t="s">
        <v>49</v>
      </c>
      <c r="F34" s="15">
        <v>182433</v>
      </c>
      <c r="G34" s="15">
        <v>983462</v>
      </c>
      <c r="H34" s="16"/>
      <c r="I34" s="15">
        <v>24001168</v>
      </c>
      <c r="J34" s="15">
        <v>292109</v>
      </c>
      <c r="K34" s="15">
        <v>3456</v>
      </c>
      <c r="L34" s="15">
        <v>0.34200000000000003</v>
      </c>
      <c r="M34" s="15">
        <v>0.33300000000000002</v>
      </c>
      <c r="N34" s="12">
        <f t="shared" si="2"/>
        <v>2.6315789473684233E-2</v>
      </c>
      <c r="O34" s="15">
        <f t="shared" si="3"/>
        <v>1181.952</v>
      </c>
      <c r="P34" s="15">
        <f t="shared" si="4"/>
        <v>31.104000000000028</v>
      </c>
      <c r="Q34" s="15">
        <v>1.39</v>
      </c>
      <c r="R34" s="15" t="s">
        <v>34</v>
      </c>
      <c r="S34" s="17">
        <f t="shared" si="0"/>
        <v>1642.91328</v>
      </c>
      <c r="T34" s="18">
        <f t="shared" si="1"/>
        <v>43.234560000000037</v>
      </c>
    </row>
    <row r="35" spans="1:20" ht="18.600000000000001" customHeight="1" x14ac:dyDescent="0.3">
      <c r="A35" s="10" t="s">
        <v>17</v>
      </c>
      <c r="B35" s="10" t="s">
        <v>22</v>
      </c>
      <c r="C35" s="10" t="s">
        <v>23</v>
      </c>
      <c r="D35" s="10" t="s">
        <v>30</v>
      </c>
      <c r="E35" s="10" t="s">
        <v>42</v>
      </c>
      <c r="F35" s="10">
        <v>182433</v>
      </c>
      <c r="G35" s="10">
        <v>983462</v>
      </c>
      <c r="H35" s="11"/>
      <c r="I35" s="10">
        <v>24001168</v>
      </c>
      <c r="J35" s="10">
        <v>290061</v>
      </c>
      <c r="K35" s="10">
        <v>3456</v>
      </c>
      <c r="L35" s="10">
        <v>0.34200000000000003</v>
      </c>
      <c r="M35" s="10">
        <v>0.33300000000000002</v>
      </c>
      <c r="N35" s="12">
        <f t="shared" si="2"/>
        <v>2.6315789473684233E-2</v>
      </c>
      <c r="O35" s="10">
        <f t="shared" ref="O35:O66" si="5">K35*L35</f>
        <v>1181.952</v>
      </c>
      <c r="P35" s="10">
        <f t="shared" ref="P35:P66" si="6">N35*O35</f>
        <v>31.104000000000028</v>
      </c>
      <c r="Q35" s="10">
        <v>1.39</v>
      </c>
      <c r="R35" s="10" t="s">
        <v>34</v>
      </c>
      <c r="S35" s="13">
        <f t="shared" ref="S35:S66" si="7">O35*Q35</f>
        <v>1642.91328</v>
      </c>
      <c r="T35" s="14">
        <f t="shared" ref="T35:T66" si="8">Q35*P35</f>
        <v>43.234560000000037</v>
      </c>
    </row>
    <row r="36" spans="1:20" ht="18.600000000000001" customHeight="1" x14ac:dyDescent="0.3">
      <c r="A36" s="15" t="s">
        <v>17</v>
      </c>
      <c r="B36" s="15" t="s">
        <v>22</v>
      </c>
      <c r="C36" s="15" t="s">
        <v>23</v>
      </c>
      <c r="D36" s="15" t="s">
        <v>30</v>
      </c>
      <c r="E36" s="15" t="s">
        <v>48</v>
      </c>
      <c r="F36" s="15">
        <v>182434</v>
      </c>
      <c r="G36" s="15">
        <v>983462</v>
      </c>
      <c r="H36" s="16"/>
      <c r="I36" s="15">
        <v>24001169</v>
      </c>
      <c r="J36" s="15">
        <v>295061</v>
      </c>
      <c r="K36" s="15">
        <v>576</v>
      </c>
      <c r="L36" s="15">
        <v>0.42</v>
      </c>
      <c r="M36" s="15">
        <v>0.41199999999999998</v>
      </c>
      <c r="N36" s="12">
        <f t="shared" si="2"/>
        <v>1.9047619047619067E-2</v>
      </c>
      <c r="O36" s="15">
        <f t="shared" si="5"/>
        <v>241.92</v>
      </c>
      <c r="P36" s="15">
        <f t="shared" si="6"/>
        <v>4.6080000000000041</v>
      </c>
      <c r="Q36" s="15">
        <v>1.94</v>
      </c>
      <c r="R36" s="15" t="s">
        <v>34</v>
      </c>
      <c r="S36" s="17">
        <f t="shared" si="7"/>
        <v>469.32479999999998</v>
      </c>
      <c r="T36" s="18">
        <f t="shared" si="8"/>
        <v>8.939520000000007</v>
      </c>
    </row>
    <row r="37" spans="1:20" ht="18.600000000000001" customHeight="1" x14ac:dyDescent="0.3">
      <c r="A37" s="10" t="s">
        <v>17</v>
      </c>
      <c r="B37" s="10" t="s">
        <v>22</v>
      </c>
      <c r="C37" s="10" t="s">
        <v>23</v>
      </c>
      <c r="D37" s="10" t="s">
        <v>30</v>
      </c>
      <c r="E37" s="10" t="s">
        <v>49</v>
      </c>
      <c r="F37" s="10">
        <v>182434</v>
      </c>
      <c r="G37" s="10">
        <v>983462</v>
      </c>
      <c r="H37" s="11"/>
      <c r="I37" s="10">
        <v>24001169</v>
      </c>
      <c r="J37" s="10">
        <v>292109</v>
      </c>
      <c r="K37" s="10">
        <v>576</v>
      </c>
      <c r="L37" s="10">
        <v>0.42</v>
      </c>
      <c r="M37" s="10">
        <v>0.41199999999999998</v>
      </c>
      <c r="N37" s="12">
        <f t="shared" si="2"/>
        <v>1.9047619047619067E-2</v>
      </c>
      <c r="O37" s="10">
        <f t="shared" si="5"/>
        <v>241.92</v>
      </c>
      <c r="P37" s="10">
        <f t="shared" si="6"/>
        <v>4.6080000000000041</v>
      </c>
      <c r="Q37" s="10">
        <v>1.39</v>
      </c>
      <c r="R37" s="10" t="s">
        <v>34</v>
      </c>
      <c r="S37" s="13">
        <f t="shared" si="7"/>
        <v>336.26879999999994</v>
      </c>
      <c r="T37" s="14">
        <f t="shared" si="8"/>
        <v>6.4051200000000055</v>
      </c>
    </row>
    <row r="38" spans="1:20" ht="18.600000000000001" customHeight="1" x14ac:dyDescent="0.3">
      <c r="A38" s="15" t="s">
        <v>17</v>
      </c>
      <c r="B38" s="15" t="s">
        <v>22</v>
      </c>
      <c r="C38" s="15" t="s">
        <v>23</v>
      </c>
      <c r="D38" s="15" t="s">
        <v>30</v>
      </c>
      <c r="E38" s="15" t="s">
        <v>42</v>
      </c>
      <c r="F38" s="15">
        <v>182434</v>
      </c>
      <c r="G38" s="15">
        <v>983462</v>
      </c>
      <c r="H38" s="16"/>
      <c r="I38" s="15">
        <v>24001169</v>
      </c>
      <c r="J38" s="15">
        <v>290061</v>
      </c>
      <c r="K38" s="15">
        <v>576</v>
      </c>
      <c r="L38" s="15">
        <v>0.42</v>
      </c>
      <c r="M38" s="15">
        <v>0.41199999999999998</v>
      </c>
      <c r="N38" s="12">
        <f t="shared" si="2"/>
        <v>1.9047619047619067E-2</v>
      </c>
      <c r="O38" s="15">
        <f t="shared" si="5"/>
        <v>241.92</v>
      </c>
      <c r="P38" s="15">
        <f t="shared" si="6"/>
        <v>4.6080000000000041</v>
      </c>
      <c r="Q38" s="15">
        <v>1.39</v>
      </c>
      <c r="R38" s="15" t="s">
        <v>34</v>
      </c>
      <c r="S38" s="17">
        <f t="shared" si="7"/>
        <v>336.26879999999994</v>
      </c>
      <c r="T38" s="18">
        <f t="shared" si="8"/>
        <v>6.4051200000000055</v>
      </c>
    </row>
    <row r="39" spans="1:20" ht="18.600000000000001" customHeight="1" x14ac:dyDescent="0.3">
      <c r="A39" s="10" t="s">
        <v>17</v>
      </c>
      <c r="B39" s="10" t="s">
        <v>22</v>
      </c>
      <c r="C39" s="10" t="s">
        <v>23</v>
      </c>
      <c r="D39" s="10" t="s">
        <v>30</v>
      </c>
      <c r="E39" s="10" t="s">
        <v>50</v>
      </c>
      <c r="F39" s="10">
        <v>182435</v>
      </c>
      <c r="G39" s="10">
        <v>983459</v>
      </c>
      <c r="H39" s="11"/>
      <c r="I39" s="10">
        <v>24001183</v>
      </c>
      <c r="J39" s="10">
        <v>296280</v>
      </c>
      <c r="K39" s="10">
        <v>2772</v>
      </c>
      <c r="L39" s="10">
        <v>0.35899999999999999</v>
      </c>
      <c r="M39" s="10">
        <v>0.34399999999999997</v>
      </c>
      <c r="N39" s="12">
        <f t="shared" si="2"/>
        <v>4.178272980501397E-2</v>
      </c>
      <c r="O39" s="10">
        <f t="shared" si="5"/>
        <v>995.14799999999991</v>
      </c>
      <c r="P39" s="10">
        <f t="shared" si="6"/>
        <v>41.580000000000041</v>
      </c>
      <c r="Q39" s="10">
        <v>1.94</v>
      </c>
      <c r="R39" s="10" t="s">
        <v>34</v>
      </c>
      <c r="S39" s="13">
        <f t="shared" si="7"/>
        <v>1930.5871199999997</v>
      </c>
      <c r="T39" s="14">
        <f t="shared" si="8"/>
        <v>80.665200000000084</v>
      </c>
    </row>
    <row r="40" spans="1:20" ht="18.600000000000001" customHeight="1" x14ac:dyDescent="0.3">
      <c r="A40" s="15" t="s">
        <v>17</v>
      </c>
      <c r="B40" s="15" t="s">
        <v>22</v>
      </c>
      <c r="C40" s="15" t="s">
        <v>23</v>
      </c>
      <c r="D40" s="15" t="s">
        <v>30</v>
      </c>
      <c r="E40" s="15" t="s">
        <v>51</v>
      </c>
      <c r="F40" s="15">
        <v>182436</v>
      </c>
      <c r="G40" s="15">
        <v>983459</v>
      </c>
      <c r="H40" s="16"/>
      <c r="I40" s="15">
        <v>24001184</v>
      </c>
      <c r="J40" s="15">
        <v>296281</v>
      </c>
      <c r="K40" s="15">
        <v>2088</v>
      </c>
      <c r="L40" s="15">
        <v>0.35899999999999999</v>
      </c>
      <c r="M40" s="15">
        <v>0.33600000000000002</v>
      </c>
      <c r="N40" s="12">
        <f t="shared" si="2"/>
        <v>6.4066852367687929E-2</v>
      </c>
      <c r="O40" s="15">
        <f t="shared" si="5"/>
        <v>749.59199999999998</v>
      </c>
      <c r="P40" s="15">
        <f t="shared" si="6"/>
        <v>48.02399999999993</v>
      </c>
      <c r="Q40" s="15">
        <v>1.94</v>
      </c>
      <c r="R40" s="15" t="s">
        <v>34</v>
      </c>
      <c r="S40" s="17">
        <f t="shared" si="7"/>
        <v>1454.20848</v>
      </c>
      <c r="T40" s="18">
        <f t="shared" si="8"/>
        <v>93.166559999999862</v>
      </c>
    </row>
    <row r="41" spans="1:20" ht="18.600000000000001" customHeight="1" x14ac:dyDescent="0.3">
      <c r="A41" s="10" t="s">
        <v>17</v>
      </c>
      <c r="B41" s="10" t="s">
        <v>22</v>
      </c>
      <c r="C41" s="10" t="s">
        <v>23</v>
      </c>
      <c r="D41" s="10" t="s">
        <v>30</v>
      </c>
      <c r="E41" s="10" t="s">
        <v>52</v>
      </c>
      <c r="F41" s="10">
        <v>182437</v>
      </c>
      <c r="G41" s="10">
        <v>983459</v>
      </c>
      <c r="H41" s="11"/>
      <c r="I41" s="10">
        <v>24001185</v>
      </c>
      <c r="J41" s="10">
        <v>296283</v>
      </c>
      <c r="K41" s="10">
        <v>1404</v>
      </c>
      <c r="L41" s="10">
        <v>0.35899999999999999</v>
      </c>
      <c r="M41" s="10">
        <v>0.33</v>
      </c>
      <c r="N41" s="12">
        <f t="shared" si="2"/>
        <v>8.0779944289693512E-2</v>
      </c>
      <c r="O41" s="10">
        <f t="shared" si="5"/>
        <v>504.036</v>
      </c>
      <c r="P41" s="10">
        <f t="shared" si="6"/>
        <v>40.715999999999958</v>
      </c>
      <c r="Q41" s="10">
        <v>1.94</v>
      </c>
      <c r="R41" s="10" t="s">
        <v>34</v>
      </c>
      <c r="S41" s="13">
        <f t="shared" si="7"/>
        <v>977.82983999999999</v>
      </c>
      <c r="T41" s="14">
        <f t="shared" si="8"/>
        <v>78.989039999999918</v>
      </c>
    </row>
    <row r="42" spans="1:20" ht="18.600000000000001" customHeight="1" x14ac:dyDescent="0.3">
      <c r="A42" s="15" t="s">
        <v>17</v>
      </c>
      <c r="B42" s="15" t="s">
        <v>22</v>
      </c>
      <c r="C42" s="15" t="s">
        <v>23</v>
      </c>
      <c r="D42" s="15" t="s">
        <v>30</v>
      </c>
      <c r="E42" s="15" t="s">
        <v>53</v>
      </c>
      <c r="F42" s="15">
        <v>182438</v>
      </c>
      <c r="G42" s="15">
        <v>983459</v>
      </c>
      <c r="H42" s="16"/>
      <c r="I42" s="15">
        <v>24001186</v>
      </c>
      <c r="J42" s="15">
        <v>296284</v>
      </c>
      <c r="K42" s="15">
        <v>1260</v>
      </c>
      <c r="L42" s="15">
        <v>0.35899999999999999</v>
      </c>
      <c r="M42" s="15">
        <v>0.33100000000000002</v>
      </c>
      <c r="N42" s="12">
        <f t="shared" si="2"/>
        <v>7.799442896935925E-2</v>
      </c>
      <c r="O42" s="15">
        <f t="shared" si="5"/>
        <v>452.34</v>
      </c>
      <c r="P42" s="15">
        <f t="shared" si="6"/>
        <v>35.279999999999959</v>
      </c>
      <c r="Q42" s="15">
        <v>1.94</v>
      </c>
      <c r="R42" s="15" t="s">
        <v>34</v>
      </c>
      <c r="S42" s="17">
        <f t="shared" si="7"/>
        <v>877.53959999999995</v>
      </c>
      <c r="T42" s="18">
        <f t="shared" si="8"/>
        <v>68.443199999999919</v>
      </c>
    </row>
    <row r="43" spans="1:20" ht="18.600000000000001" customHeight="1" x14ac:dyDescent="0.3">
      <c r="A43" s="10" t="s">
        <v>17</v>
      </c>
      <c r="B43" s="10" t="s">
        <v>22</v>
      </c>
      <c r="C43" s="10" t="s">
        <v>23</v>
      </c>
      <c r="D43" s="10" t="s">
        <v>30</v>
      </c>
      <c r="E43" s="10" t="s">
        <v>54</v>
      </c>
      <c r="F43" s="10">
        <v>182441</v>
      </c>
      <c r="G43" s="10">
        <v>983464</v>
      </c>
      <c r="H43" s="11"/>
      <c r="I43" s="10">
        <v>24001189</v>
      </c>
      <c r="J43" s="10">
        <v>292116</v>
      </c>
      <c r="K43" s="10">
        <v>5436</v>
      </c>
      <c r="L43" s="10">
        <v>0.2</v>
      </c>
      <c r="M43" s="10">
        <v>0.19700000000000001</v>
      </c>
      <c r="N43" s="12">
        <f t="shared" si="2"/>
        <v>1.5000000000000013E-2</v>
      </c>
      <c r="O43" s="10">
        <f t="shared" si="5"/>
        <v>1087.2</v>
      </c>
      <c r="P43" s="10">
        <f t="shared" si="6"/>
        <v>16.308000000000014</v>
      </c>
      <c r="Q43" s="10">
        <v>1.39</v>
      </c>
      <c r="R43" s="10" t="s">
        <v>34</v>
      </c>
      <c r="S43" s="13">
        <f t="shared" si="7"/>
        <v>1511.2079999999999</v>
      </c>
      <c r="T43" s="14">
        <f t="shared" si="8"/>
        <v>22.66812000000002</v>
      </c>
    </row>
    <row r="44" spans="1:20" ht="18.600000000000001" customHeight="1" x14ac:dyDescent="0.3">
      <c r="A44" s="15" t="s">
        <v>17</v>
      </c>
      <c r="B44" s="15" t="s">
        <v>22</v>
      </c>
      <c r="C44" s="15" t="s">
        <v>23</v>
      </c>
      <c r="D44" s="15" t="s">
        <v>30</v>
      </c>
      <c r="E44" s="15" t="s">
        <v>32</v>
      </c>
      <c r="F44" s="15">
        <v>182441</v>
      </c>
      <c r="G44" s="15">
        <v>983464</v>
      </c>
      <c r="H44" s="16"/>
      <c r="I44" s="15">
        <v>24001189</v>
      </c>
      <c r="J44" s="15">
        <v>290059</v>
      </c>
      <c r="K44" s="15">
        <v>5436</v>
      </c>
      <c r="L44" s="15">
        <v>0.2</v>
      </c>
      <c r="M44" s="15">
        <v>0.19700000000000001</v>
      </c>
      <c r="N44" s="12">
        <f t="shared" si="2"/>
        <v>1.5000000000000013E-2</v>
      </c>
      <c r="O44" s="15">
        <f t="shared" si="5"/>
        <v>1087.2</v>
      </c>
      <c r="P44" s="15">
        <f t="shared" si="6"/>
        <v>16.308000000000014</v>
      </c>
      <c r="Q44" s="15">
        <v>1.39</v>
      </c>
      <c r="R44" s="15" t="s">
        <v>34</v>
      </c>
      <c r="S44" s="17">
        <f t="shared" si="7"/>
        <v>1511.2079999999999</v>
      </c>
      <c r="T44" s="18">
        <f t="shared" si="8"/>
        <v>22.66812000000002</v>
      </c>
    </row>
    <row r="45" spans="1:20" ht="18.600000000000001" customHeight="1" x14ac:dyDescent="0.3">
      <c r="A45" s="10" t="s">
        <v>17</v>
      </c>
      <c r="B45" s="10" t="s">
        <v>22</v>
      </c>
      <c r="C45" s="10" t="s">
        <v>23</v>
      </c>
      <c r="D45" s="10" t="s">
        <v>30</v>
      </c>
      <c r="E45" s="10" t="s">
        <v>42</v>
      </c>
      <c r="F45" s="10">
        <v>182441</v>
      </c>
      <c r="G45" s="10">
        <v>983464</v>
      </c>
      <c r="H45" s="11"/>
      <c r="I45" s="10">
        <v>24001189</v>
      </c>
      <c r="J45" s="10">
        <v>290061</v>
      </c>
      <c r="K45" s="10">
        <v>5436</v>
      </c>
      <c r="L45" s="10">
        <v>0.2</v>
      </c>
      <c r="M45" s="10">
        <v>0.19700000000000001</v>
      </c>
      <c r="N45" s="12">
        <f t="shared" si="2"/>
        <v>1.5000000000000013E-2</v>
      </c>
      <c r="O45" s="10">
        <f t="shared" si="5"/>
        <v>1087.2</v>
      </c>
      <c r="P45" s="10">
        <f t="shared" si="6"/>
        <v>16.308000000000014</v>
      </c>
      <c r="Q45" s="10">
        <v>1.39</v>
      </c>
      <c r="R45" s="10" t="s">
        <v>34</v>
      </c>
      <c r="S45" s="13">
        <f t="shared" si="7"/>
        <v>1511.2079999999999</v>
      </c>
      <c r="T45" s="14">
        <f t="shared" si="8"/>
        <v>22.66812000000002</v>
      </c>
    </row>
    <row r="46" spans="1:20" ht="18.600000000000001" customHeight="1" x14ac:dyDescent="0.3">
      <c r="A46" s="15" t="s">
        <v>17</v>
      </c>
      <c r="B46" s="15" t="s">
        <v>22</v>
      </c>
      <c r="C46" s="15" t="s">
        <v>23</v>
      </c>
      <c r="D46" s="15" t="s">
        <v>30</v>
      </c>
      <c r="E46" s="15" t="s">
        <v>33</v>
      </c>
      <c r="F46" s="15">
        <v>182441</v>
      </c>
      <c r="G46" s="15">
        <v>983464</v>
      </c>
      <c r="H46" s="16"/>
      <c r="I46" s="15">
        <v>24001189</v>
      </c>
      <c r="J46" s="15">
        <v>290060</v>
      </c>
      <c r="K46" s="15">
        <v>5436</v>
      </c>
      <c r="L46" s="15">
        <v>0.2</v>
      </c>
      <c r="M46" s="15">
        <v>0.19700000000000001</v>
      </c>
      <c r="N46" s="12">
        <f t="shared" si="2"/>
        <v>1.5000000000000013E-2</v>
      </c>
      <c r="O46" s="15">
        <f t="shared" si="5"/>
        <v>1087.2</v>
      </c>
      <c r="P46" s="15">
        <f t="shared" si="6"/>
        <v>16.308000000000014</v>
      </c>
      <c r="Q46" s="15">
        <v>1.39</v>
      </c>
      <c r="R46" s="15" t="s">
        <v>34</v>
      </c>
      <c r="S46" s="17">
        <f t="shared" si="7"/>
        <v>1511.2079999999999</v>
      </c>
      <c r="T46" s="18">
        <f t="shared" si="8"/>
        <v>22.66812000000002</v>
      </c>
    </row>
    <row r="47" spans="1:20" ht="18.600000000000001" customHeight="1" x14ac:dyDescent="0.3">
      <c r="A47" s="10" t="s">
        <v>17</v>
      </c>
      <c r="B47" s="10" t="s">
        <v>22</v>
      </c>
      <c r="C47" s="10" t="s">
        <v>23</v>
      </c>
      <c r="D47" s="10" t="s">
        <v>30</v>
      </c>
      <c r="E47" s="10" t="s">
        <v>55</v>
      </c>
      <c r="F47" s="10">
        <v>182442</v>
      </c>
      <c r="G47" s="10">
        <v>983466</v>
      </c>
      <c r="H47" s="11"/>
      <c r="I47" s="10">
        <v>24001191</v>
      </c>
      <c r="J47" s="10">
        <v>292117</v>
      </c>
      <c r="K47" s="10">
        <v>4896</v>
      </c>
      <c r="L47" s="10">
        <v>0.2</v>
      </c>
      <c r="M47" s="10">
        <v>0.19700000000000001</v>
      </c>
      <c r="N47" s="12">
        <f t="shared" si="2"/>
        <v>1.5000000000000013E-2</v>
      </c>
      <c r="O47" s="10">
        <f t="shared" si="5"/>
        <v>979.2</v>
      </c>
      <c r="P47" s="10">
        <f t="shared" si="6"/>
        <v>14.688000000000013</v>
      </c>
      <c r="Q47" s="10">
        <v>1.94</v>
      </c>
      <c r="R47" s="10" t="s">
        <v>34</v>
      </c>
      <c r="S47" s="13">
        <f t="shared" si="7"/>
        <v>1899.6480000000001</v>
      </c>
      <c r="T47" s="14">
        <f t="shared" si="8"/>
        <v>28.494720000000026</v>
      </c>
    </row>
    <row r="48" spans="1:20" ht="18.600000000000001" customHeight="1" x14ac:dyDescent="0.3">
      <c r="A48" s="15" t="s">
        <v>17</v>
      </c>
      <c r="B48" s="15" t="s">
        <v>22</v>
      </c>
      <c r="C48" s="15" t="s">
        <v>23</v>
      </c>
      <c r="D48" s="15" t="s">
        <v>30</v>
      </c>
      <c r="E48" s="15" t="s">
        <v>33</v>
      </c>
      <c r="F48" s="15">
        <v>182442</v>
      </c>
      <c r="G48" s="15">
        <v>983466</v>
      </c>
      <c r="H48" s="16"/>
      <c r="I48" s="15">
        <v>24001191</v>
      </c>
      <c r="J48" s="15">
        <v>290060</v>
      </c>
      <c r="K48" s="15">
        <v>4896</v>
      </c>
      <c r="L48" s="15">
        <v>0.2</v>
      </c>
      <c r="M48" s="15">
        <v>0.19700000000000001</v>
      </c>
      <c r="N48" s="12">
        <f t="shared" si="2"/>
        <v>1.5000000000000013E-2</v>
      </c>
      <c r="O48" s="15">
        <f t="shared" si="5"/>
        <v>979.2</v>
      </c>
      <c r="P48" s="15">
        <f t="shared" si="6"/>
        <v>14.688000000000013</v>
      </c>
      <c r="Q48" s="15">
        <v>1.39</v>
      </c>
      <c r="R48" s="15" t="s">
        <v>34</v>
      </c>
      <c r="S48" s="17">
        <f t="shared" si="7"/>
        <v>1361.088</v>
      </c>
      <c r="T48" s="18">
        <f t="shared" si="8"/>
        <v>20.416320000000017</v>
      </c>
    </row>
    <row r="49" spans="1:20" ht="18.600000000000001" customHeight="1" x14ac:dyDescent="0.3">
      <c r="A49" s="10" t="s">
        <v>17</v>
      </c>
      <c r="B49" s="10" t="s">
        <v>22</v>
      </c>
      <c r="C49" s="10" t="s">
        <v>23</v>
      </c>
      <c r="D49" s="10" t="s">
        <v>30</v>
      </c>
      <c r="E49" s="10" t="s">
        <v>32</v>
      </c>
      <c r="F49" s="10">
        <v>182442</v>
      </c>
      <c r="G49" s="10">
        <v>983466</v>
      </c>
      <c r="H49" s="11"/>
      <c r="I49" s="10">
        <v>24001191</v>
      </c>
      <c r="J49" s="10">
        <v>290059</v>
      </c>
      <c r="K49" s="10">
        <v>4896</v>
      </c>
      <c r="L49" s="10">
        <v>0.2</v>
      </c>
      <c r="M49" s="10">
        <v>0.19700000000000001</v>
      </c>
      <c r="N49" s="12">
        <f t="shared" si="2"/>
        <v>1.5000000000000013E-2</v>
      </c>
      <c r="O49" s="10">
        <f t="shared" si="5"/>
        <v>979.2</v>
      </c>
      <c r="P49" s="10">
        <f t="shared" si="6"/>
        <v>14.688000000000013</v>
      </c>
      <c r="Q49" s="10">
        <v>1.39</v>
      </c>
      <c r="R49" s="10" t="s">
        <v>34</v>
      </c>
      <c r="S49" s="13">
        <f t="shared" si="7"/>
        <v>1361.088</v>
      </c>
      <c r="T49" s="14">
        <f t="shared" si="8"/>
        <v>20.416320000000017</v>
      </c>
    </row>
    <row r="50" spans="1:20" ht="18.600000000000001" customHeight="1" x14ac:dyDescent="0.3">
      <c r="A50" s="15" t="s">
        <v>17</v>
      </c>
      <c r="B50" s="15" t="s">
        <v>22</v>
      </c>
      <c r="C50" s="15" t="s">
        <v>23</v>
      </c>
      <c r="D50" s="15" t="s">
        <v>30</v>
      </c>
      <c r="E50" s="15" t="s">
        <v>42</v>
      </c>
      <c r="F50" s="15">
        <v>182442</v>
      </c>
      <c r="G50" s="15">
        <v>983466</v>
      </c>
      <c r="H50" s="16"/>
      <c r="I50" s="15">
        <v>24001191</v>
      </c>
      <c r="J50" s="15">
        <v>290061</v>
      </c>
      <c r="K50" s="15">
        <v>4896</v>
      </c>
      <c r="L50" s="15">
        <v>0.2</v>
      </c>
      <c r="M50" s="15">
        <v>0.19700000000000001</v>
      </c>
      <c r="N50" s="12">
        <f t="shared" si="2"/>
        <v>1.5000000000000013E-2</v>
      </c>
      <c r="O50" s="15">
        <f t="shared" si="5"/>
        <v>979.2</v>
      </c>
      <c r="P50" s="15">
        <f t="shared" si="6"/>
        <v>14.688000000000013</v>
      </c>
      <c r="Q50" s="15">
        <v>1.39</v>
      </c>
      <c r="R50" s="15" t="s">
        <v>34</v>
      </c>
      <c r="S50" s="17">
        <f t="shared" si="7"/>
        <v>1361.088</v>
      </c>
      <c r="T50" s="18">
        <f t="shared" si="8"/>
        <v>20.416320000000017</v>
      </c>
    </row>
    <row r="51" spans="1:20" ht="18.600000000000001" customHeight="1" x14ac:dyDescent="0.3">
      <c r="A51" s="10" t="s">
        <v>17</v>
      </c>
      <c r="B51" s="10" t="s">
        <v>22</v>
      </c>
      <c r="C51" s="10" t="s">
        <v>23</v>
      </c>
      <c r="D51" s="10" t="s">
        <v>30</v>
      </c>
      <c r="E51" s="10" t="s">
        <v>56</v>
      </c>
      <c r="F51" s="10">
        <v>182443</v>
      </c>
      <c r="G51" s="10">
        <v>983466</v>
      </c>
      <c r="H51" s="11"/>
      <c r="I51" s="10">
        <v>24001192</v>
      </c>
      <c r="J51" s="10">
        <v>292118</v>
      </c>
      <c r="K51" s="10">
        <v>2232</v>
      </c>
      <c r="L51" s="10">
        <v>0.2</v>
      </c>
      <c r="M51" s="10">
        <v>0.19800000000000001</v>
      </c>
      <c r="N51" s="12">
        <f t="shared" si="2"/>
        <v>1.0000000000000009E-2</v>
      </c>
      <c r="O51" s="10">
        <f t="shared" si="5"/>
        <v>446.40000000000003</v>
      </c>
      <c r="P51" s="10">
        <f t="shared" si="6"/>
        <v>4.464000000000004</v>
      </c>
      <c r="Q51" s="10">
        <v>1.94</v>
      </c>
      <c r="R51" s="10" t="s">
        <v>34</v>
      </c>
      <c r="S51" s="13">
        <f t="shared" si="7"/>
        <v>866.01600000000008</v>
      </c>
      <c r="T51" s="14">
        <f t="shared" si="8"/>
        <v>8.6601600000000083</v>
      </c>
    </row>
    <row r="52" spans="1:20" ht="18.600000000000001" customHeight="1" x14ac:dyDescent="0.3">
      <c r="A52" s="15" t="s">
        <v>17</v>
      </c>
      <c r="B52" s="15" t="s">
        <v>22</v>
      </c>
      <c r="C52" s="15" t="s">
        <v>23</v>
      </c>
      <c r="D52" s="15" t="s">
        <v>30</v>
      </c>
      <c r="E52" s="15" t="s">
        <v>42</v>
      </c>
      <c r="F52" s="15">
        <v>182443</v>
      </c>
      <c r="G52" s="15">
        <v>983466</v>
      </c>
      <c r="H52" s="16"/>
      <c r="I52" s="15">
        <v>24001192</v>
      </c>
      <c r="J52" s="15">
        <v>290061</v>
      </c>
      <c r="K52" s="15">
        <v>2232</v>
      </c>
      <c r="L52" s="15">
        <v>0.2</v>
      </c>
      <c r="M52" s="15">
        <v>0.19800000000000001</v>
      </c>
      <c r="N52" s="12">
        <f t="shared" si="2"/>
        <v>1.0000000000000009E-2</v>
      </c>
      <c r="O52" s="15">
        <f t="shared" si="5"/>
        <v>446.40000000000003</v>
      </c>
      <c r="P52" s="15">
        <f t="shared" si="6"/>
        <v>4.464000000000004</v>
      </c>
      <c r="Q52" s="15">
        <v>1.39</v>
      </c>
      <c r="R52" s="15" t="s">
        <v>34</v>
      </c>
      <c r="S52" s="17">
        <f t="shared" si="7"/>
        <v>620.49599999999998</v>
      </c>
      <c r="T52" s="18">
        <f t="shared" si="8"/>
        <v>6.2049600000000051</v>
      </c>
    </row>
    <row r="53" spans="1:20" ht="18.600000000000001" customHeight="1" x14ac:dyDescent="0.3">
      <c r="A53" s="10" t="s">
        <v>17</v>
      </c>
      <c r="B53" s="10" t="s">
        <v>22</v>
      </c>
      <c r="C53" s="10" t="s">
        <v>23</v>
      </c>
      <c r="D53" s="10" t="s">
        <v>30</v>
      </c>
      <c r="E53" s="10" t="s">
        <v>57</v>
      </c>
      <c r="F53" s="10">
        <v>182443</v>
      </c>
      <c r="G53" s="10">
        <v>983466</v>
      </c>
      <c r="H53" s="11"/>
      <c r="I53" s="10">
        <v>24001192</v>
      </c>
      <c r="J53" s="10">
        <v>292101</v>
      </c>
      <c r="K53" s="10">
        <v>2232</v>
      </c>
      <c r="L53" s="10">
        <v>0.2</v>
      </c>
      <c r="M53" s="10">
        <v>0.19800000000000001</v>
      </c>
      <c r="N53" s="12">
        <f t="shared" si="2"/>
        <v>1.0000000000000009E-2</v>
      </c>
      <c r="O53" s="10">
        <f t="shared" si="5"/>
        <v>446.40000000000003</v>
      </c>
      <c r="P53" s="10">
        <f t="shared" si="6"/>
        <v>4.464000000000004</v>
      </c>
      <c r="Q53" s="10">
        <v>1.39</v>
      </c>
      <c r="R53" s="10" t="s">
        <v>34</v>
      </c>
      <c r="S53" s="13">
        <f t="shared" si="7"/>
        <v>620.49599999999998</v>
      </c>
      <c r="T53" s="14">
        <f t="shared" si="8"/>
        <v>6.2049600000000051</v>
      </c>
    </row>
    <row r="54" spans="1:20" ht="18.600000000000001" customHeight="1" x14ac:dyDescent="0.3">
      <c r="A54" s="15" t="s">
        <v>17</v>
      </c>
      <c r="B54" s="15" t="s">
        <v>22</v>
      </c>
      <c r="C54" s="15" t="s">
        <v>23</v>
      </c>
      <c r="D54" s="15" t="s">
        <v>30</v>
      </c>
      <c r="E54" s="15" t="s">
        <v>47</v>
      </c>
      <c r="F54" s="15">
        <v>182443</v>
      </c>
      <c r="G54" s="15">
        <v>983466</v>
      </c>
      <c r="H54" s="16"/>
      <c r="I54" s="15">
        <v>24001192</v>
      </c>
      <c r="J54" s="15">
        <v>295060</v>
      </c>
      <c r="K54" s="15">
        <v>2232</v>
      </c>
      <c r="L54" s="15">
        <v>0.2</v>
      </c>
      <c r="M54" s="15">
        <v>0.19800000000000001</v>
      </c>
      <c r="N54" s="12">
        <f t="shared" si="2"/>
        <v>1.0000000000000009E-2</v>
      </c>
      <c r="O54" s="15">
        <f t="shared" si="5"/>
        <v>446.40000000000003</v>
      </c>
      <c r="P54" s="15">
        <f t="shared" si="6"/>
        <v>4.464000000000004</v>
      </c>
      <c r="Q54" s="15">
        <v>1.39</v>
      </c>
      <c r="R54" s="15" t="s">
        <v>34</v>
      </c>
      <c r="S54" s="17">
        <f t="shared" si="7"/>
        <v>620.49599999999998</v>
      </c>
      <c r="T54" s="18">
        <f t="shared" si="8"/>
        <v>6.2049600000000051</v>
      </c>
    </row>
    <row r="55" spans="1:20" ht="18.600000000000001" customHeight="1" x14ac:dyDescent="0.3">
      <c r="A55" s="10" t="s">
        <v>17</v>
      </c>
      <c r="B55" s="10" t="s">
        <v>22</v>
      </c>
      <c r="C55" s="10" t="s">
        <v>23</v>
      </c>
      <c r="D55" s="10" t="s">
        <v>30</v>
      </c>
      <c r="E55" s="10" t="s">
        <v>58</v>
      </c>
      <c r="F55" s="10">
        <v>182444</v>
      </c>
      <c r="G55" s="10">
        <v>983466</v>
      </c>
      <c r="H55" s="11"/>
      <c r="I55" s="10">
        <v>24001193</v>
      </c>
      <c r="J55" s="10">
        <v>292119</v>
      </c>
      <c r="K55" s="10">
        <v>3600</v>
      </c>
      <c r="L55" s="10">
        <v>0.2</v>
      </c>
      <c r="M55" s="10">
        <v>0.19600000000000001</v>
      </c>
      <c r="N55" s="12">
        <f t="shared" si="2"/>
        <v>2.0000000000000018E-2</v>
      </c>
      <c r="O55" s="10">
        <f t="shared" si="5"/>
        <v>720</v>
      </c>
      <c r="P55" s="10">
        <f t="shared" si="6"/>
        <v>14.400000000000013</v>
      </c>
      <c r="Q55" s="10">
        <v>1.94</v>
      </c>
      <c r="R55" s="10" t="s">
        <v>34</v>
      </c>
      <c r="S55" s="13">
        <f t="shared" si="7"/>
        <v>1396.8</v>
      </c>
      <c r="T55" s="14">
        <f t="shared" si="8"/>
        <v>27.936000000000025</v>
      </c>
    </row>
    <row r="56" spans="1:20" ht="18.600000000000001" customHeight="1" x14ac:dyDescent="0.3">
      <c r="A56" s="15" t="s">
        <v>17</v>
      </c>
      <c r="B56" s="15" t="s">
        <v>22</v>
      </c>
      <c r="C56" s="15" t="s">
        <v>23</v>
      </c>
      <c r="D56" s="15" t="s">
        <v>30</v>
      </c>
      <c r="E56" s="15" t="s">
        <v>32</v>
      </c>
      <c r="F56" s="15">
        <v>182444</v>
      </c>
      <c r="G56" s="15">
        <v>983466</v>
      </c>
      <c r="H56" s="16"/>
      <c r="I56" s="15">
        <v>24001193</v>
      </c>
      <c r="J56" s="15">
        <v>290059</v>
      </c>
      <c r="K56" s="15">
        <v>3600</v>
      </c>
      <c r="L56" s="15">
        <v>0.2</v>
      </c>
      <c r="M56" s="15">
        <v>0.19600000000000001</v>
      </c>
      <c r="N56" s="12">
        <f t="shared" si="2"/>
        <v>2.0000000000000018E-2</v>
      </c>
      <c r="O56" s="15">
        <f t="shared" si="5"/>
        <v>720</v>
      </c>
      <c r="P56" s="15">
        <f t="shared" si="6"/>
        <v>14.400000000000013</v>
      </c>
      <c r="Q56" s="15">
        <v>1.39</v>
      </c>
      <c r="R56" s="15" t="s">
        <v>34</v>
      </c>
      <c r="S56" s="17">
        <f t="shared" si="7"/>
        <v>1000.8</v>
      </c>
      <c r="T56" s="18">
        <f t="shared" si="8"/>
        <v>20.016000000000016</v>
      </c>
    </row>
    <row r="57" spans="1:20" ht="18.600000000000001" customHeight="1" x14ac:dyDescent="0.3">
      <c r="A57" s="10" t="s">
        <v>17</v>
      </c>
      <c r="B57" s="10" t="s">
        <v>22</v>
      </c>
      <c r="C57" s="10" t="s">
        <v>23</v>
      </c>
      <c r="D57" s="10" t="s">
        <v>30</v>
      </c>
      <c r="E57" s="10" t="s">
        <v>45</v>
      </c>
      <c r="F57" s="10">
        <v>182444</v>
      </c>
      <c r="G57" s="10">
        <v>983466</v>
      </c>
      <c r="H57" s="11"/>
      <c r="I57" s="10">
        <v>24001193</v>
      </c>
      <c r="J57" s="10">
        <v>292105</v>
      </c>
      <c r="K57" s="10">
        <v>3600</v>
      </c>
      <c r="L57" s="10">
        <v>0.2</v>
      </c>
      <c r="M57" s="10">
        <v>0.19600000000000001</v>
      </c>
      <c r="N57" s="12">
        <f t="shared" si="2"/>
        <v>2.0000000000000018E-2</v>
      </c>
      <c r="O57" s="10">
        <f t="shared" si="5"/>
        <v>720</v>
      </c>
      <c r="P57" s="10">
        <f t="shared" si="6"/>
        <v>14.400000000000013</v>
      </c>
      <c r="Q57" s="10">
        <v>1.39</v>
      </c>
      <c r="R57" s="10" t="s">
        <v>34</v>
      </c>
      <c r="S57" s="13">
        <f t="shared" si="7"/>
        <v>1000.8</v>
      </c>
      <c r="T57" s="14">
        <f t="shared" si="8"/>
        <v>20.016000000000016</v>
      </c>
    </row>
    <row r="58" spans="1:20" ht="18.600000000000001" customHeight="1" x14ac:dyDescent="0.3">
      <c r="A58" s="15" t="s">
        <v>17</v>
      </c>
      <c r="B58" s="15" t="s">
        <v>22</v>
      </c>
      <c r="C58" s="15" t="s">
        <v>23</v>
      </c>
      <c r="D58" s="15" t="s">
        <v>30</v>
      </c>
      <c r="E58" s="15" t="s">
        <v>42</v>
      </c>
      <c r="F58" s="15">
        <v>182444</v>
      </c>
      <c r="G58" s="15">
        <v>983466</v>
      </c>
      <c r="H58" s="16"/>
      <c r="I58" s="15">
        <v>24001193</v>
      </c>
      <c r="J58" s="15">
        <v>290061</v>
      </c>
      <c r="K58" s="15">
        <v>3600</v>
      </c>
      <c r="L58" s="15">
        <v>0.2</v>
      </c>
      <c r="M58" s="15">
        <v>0.19600000000000001</v>
      </c>
      <c r="N58" s="12">
        <f t="shared" si="2"/>
        <v>2.0000000000000018E-2</v>
      </c>
      <c r="O58" s="15">
        <f t="shared" si="5"/>
        <v>720</v>
      </c>
      <c r="P58" s="15">
        <f t="shared" si="6"/>
        <v>14.400000000000013</v>
      </c>
      <c r="Q58" s="15">
        <v>1.39</v>
      </c>
      <c r="R58" s="15" t="s">
        <v>34</v>
      </c>
      <c r="S58" s="17">
        <f t="shared" si="7"/>
        <v>1000.8</v>
      </c>
      <c r="T58" s="18">
        <f t="shared" si="8"/>
        <v>20.016000000000016</v>
      </c>
    </row>
    <row r="59" spans="1:20" ht="18.600000000000001" customHeight="1" x14ac:dyDescent="0.3">
      <c r="A59" s="10" t="s">
        <v>17</v>
      </c>
      <c r="B59" s="10" t="s">
        <v>22</v>
      </c>
      <c r="C59" s="10" t="s">
        <v>23</v>
      </c>
      <c r="D59" s="10" t="s">
        <v>30</v>
      </c>
      <c r="E59" s="10" t="s">
        <v>59</v>
      </c>
      <c r="F59" s="10">
        <v>182445</v>
      </c>
      <c r="G59" s="10">
        <v>983466</v>
      </c>
      <c r="H59" s="11"/>
      <c r="I59" s="10">
        <v>24001194</v>
      </c>
      <c r="J59" s="10">
        <v>292113</v>
      </c>
      <c r="K59" s="10">
        <v>2340</v>
      </c>
      <c r="L59" s="10">
        <v>0.2</v>
      </c>
      <c r="M59" s="10">
        <v>0.19800000000000001</v>
      </c>
      <c r="N59" s="12">
        <f t="shared" si="2"/>
        <v>1.0000000000000009E-2</v>
      </c>
      <c r="O59" s="10">
        <f t="shared" si="5"/>
        <v>468</v>
      </c>
      <c r="P59" s="10">
        <f t="shared" si="6"/>
        <v>4.6800000000000042</v>
      </c>
      <c r="Q59" s="10">
        <v>1.94</v>
      </c>
      <c r="R59" s="10" t="s">
        <v>34</v>
      </c>
      <c r="S59" s="13">
        <f t="shared" si="7"/>
        <v>907.92</v>
      </c>
      <c r="T59" s="14">
        <f t="shared" si="8"/>
        <v>9.0792000000000073</v>
      </c>
    </row>
    <row r="60" spans="1:20" ht="18.600000000000001" customHeight="1" x14ac:dyDescent="0.3">
      <c r="A60" s="15" t="s">
        <v>17</v>
      </c>
      <c r="B60" s="15" t="s">
        <v>22</v>
      </c>
      <c r="C60" s="15" t="s">
        <v>23</v>
      </c>
      <c r="D60" s="15" t="s">
        <v>30</v>
      </c>
      <c r="E60" s="15" t="s">
        <v>60</v>
      </c>
      <c r="F60" s="15">
        <v>182445</v>
      </c>
      <c r="G60" s="15">
        <v>983466</v>
      </c>
      <c r="H60" s="16"/>
      <c r="I60" s="15">
        <v>24001194</v>
      </c>
      <c r="J60" s="15">
        <v>292121</v>
      </c>
      <c r="K60" s="15">
        <v>2340</v>
      </c>
      <c r="L60" s="15">
        <v>0.2</v>
      </c>
      <c r="M60" s="15">
        <v>0.19800000000000001</v>
      </c>
      <c r="N60" s="12">
        <f t="shared" si="2"/>
        <v>1.0000000000000009E-2</v>
      </c>
      <c r="O60" s="15">
        <f t="shared" si="5"/>
        <v>468</v>
      </c>
      <c r="P60" s="15">
        <f t="shared" si="6"/>
        <v>4.6800000000000042</v>
      </c>
      <c r="Q60" s="15">
        <v>1.39</v>
      </c>
      <c r="R60" s="15" t="s">
        <v>34</v>
      </c>
      <c r="S60" s="17">
        <f t="shared" si="7"/>
        <v>650.52</v>
      </c>
      <c r="T60" s="18">
        <f t="shared" si="8"/>
        <v>6.5052000000000056</v>
      </c>
    </row>
    <row r="61" spans="1:20" ht="18.600000000000001" customHeight="1" x14ac:dyDescent="0.3">
      <c r="A61" s="10" t="s">
        <v>17</v>
      </c>
      <c r="B61" s="10" t="s">
        <v>22</v>
      </c>
      <c r="C61" s="10" t="s">
        <v>23</v>
      </c>
      <c r="D61" s="10" t="s">
        <v>30</v>
      </c>
      <c r="E61" s="10" t="s">
        <v>32</v>
      </c>
      <c r="F61" s="10">
        <v>182445</v>
      </c>
      <c r="G61" s="10">
        <v>983466</v>
      </c>
      <c r="H61" s="11"/>
      <c r="I61" s="10">
        <v>24001194</v>
      </c>
      <c r="J61" s="10">
        <v>290059</v>
      </c>
      <c r="K61" s="10">
        <v>2340</v>
      </c>
      <c r="L61" s="10">
        <v>0.2</v>
      </c>
      <c r="M61" s="10">
        <v>0.19800000000000001</v>
      </c>
      <c r="N61" s="12">
        <f t="shared" si="2"/>
        <v>1.0000000000000009E-2</v>
      </c>
      <c r="O61" s="10">
        <f t="shared" si="5"/>
        <v>468</v>
      </c>
      <c r="P61" s="10">
        <f t="shared" si="6"/>
        <v>4.6800000000000042</v>
      </c>
      <c r="Q61" s="10">
        <v>1.39</v>
      </c>
      <c r="R61" s="10" t="s">
        <v>34</v>
      </c>
      <c r="S61" s="13">
        <f t="shared" si="7"/>
        <v>650.52</v>
      </c>
      <c r="T61" s="14">
        <f t="shared" si="8"/>
        <v>6.5052000000000056</v>
      </c>
    </row>
    <row r="62" spans="1:20" ht="18.600000000000001" customHeight="1" x14ac:dyDescent="0.3">
      <c r="A62" s="15" t="s">
        <v>17</v>
      </c>
      <c r="B62" s="15" t="s">
        <v>22</v>
      </c>
      <c r="C62" s="15" t="s">
        <v>23</v>
      </c>
      <c r="D62" s="15" t="s">
        <v>30</v>
      </c>
      <c r="E62" s="15" t="s">
        <v>33</v>
      </c>
      <c r="F62" s="15">
        <v>182445</v>
      </c>
      <c r="G62" s="15">
        <v>983466</v>
      </c>
      <c r="H62" s="16"/>
      <c r="I62" s="15">
        <v>24001194</v>
      </c>
      <c r="J62" s="15">
        <v>290060</v>
      </c>
      <c r="K62" s="15">
        <v>2340</v>
      </c>
      <c r="L62" s="15">
        <v>0.2</v>
      </c>
      <c r="M62" s="15">
        <v>0.19800000000000001</v>
      </c>
      <c r="N62" s="12">
        <f t="shared" si="2"/>
        <v>1.0000000000000009E-2</v>
      </c>
      <c r="O62" s="15">
        <f t="shared" si="5"/>
        <v>468</v>
      </c>
      <c r="P62" s="15">
        <f t="shared" si="6"/>
        <v>4.6800000000000042</v>
      </c>
      <c r="Q62" s="15">
        <v>1.39</v>
      </c>
      <c r="R62" s="15" t="s">
        <v>34</v>
      </c>
      <c r="S62" s="17">
        <f t="shared" si="7"/>
        <v>650.52</v>
      </c>
      <c r="T62" s="18">
        <f t="shared" si="8"/>
        <v>6.5052000000000056</v>
      </c>
    </row>
    <row r="63" spans="1:20" ht="18.600000000000001" customHeight="1" x14ac:dyDescent="0.3">
      <c r="A63" s="10" t="s">
        <v>17</v>
      </c>
      <c r="B63" s="10" t="s">
        <v>22</v>
      </c>
      <c r="C63" s="10" t="s">
        <v>23</v>
      </c>
      <c r="D63" s="10" t="s">
        <v>36</v>
      </c>
      <c r="E63" s="10" t="s">
        <v>61</v>
      </c>
      <c r="F63" s="10">
        <v>182448</v>
      </c>
      <c r="G63" s="10">
        <v>982980</v>
      </c>
      <c r="H63" s="11"/>
      <c r="I63" s="10">
        <v>24001128</v>
      </c>
      <c r="J63" s="10">
        <v>292583</v>
      </c>
      <c r="K63" s="10">
        <v>1152</v>
      </c>
      <c r="L63" s="10">
        <v>0.43</v>
      </c>
      <c r="M63" s="10">
        <v>0.40799999999999997</v>
      </c>
      <c r="N63" s="12">
        <f t="shared" si="2"/>
        <v>5.1162790697674466E-2</v>
      </c>
      <c r="O63" s="10">
        <f t="shared" si="5"/>
        <v>495.36</v>
      </c>
      <c r="P63" s="10">
        <f t="shared" si="6"/>
        <v>25.344000000000026</v>
      </c>
      <c r="Q63" s="10">
        <v>1.67</v>
      </c>
      <c r="R63" s="10" t="s">
        <v>34</v>
      </c>
      <c r="S63" s="13">
        <f t="shared" si="7"/>
        <v>827.25120000000004</v>
      </c>
      <c r="T63" s="14">
        <f t="shared" si="8"/>
        <v>42.324480000000044</v>
      </c>
    </row>
    <row r="64" spans="1:20" ht="18.600000000000001" customHeight="1" x14ac:dyDescent="0.3">
      <c r="A64" s="15" t="s">
        <v>17</v>
      </c>
      <c r="B64" s="15" t="s">
        <v>22</v>
      </c>
      <c r="C64" s="15" t="s">
        <v>23</v>
      </c>
      <c r="D64" s="15" t="s">
        <v>36</v>
      </c>
      <c r="E64" s="15" t="s">
        <v>57</v>
      </c>
      <c r="F64" s="15">
        <v>182448</v>
      </c>
      <c r="G64" s="15">
        <v>982980</v>
      </c>
      <c r="H64" s="16"/>
      <c r="I64" s="15">
        <v>24001128</v>
      </c>
      <c r="J64" s="15">
        <v>292584</v>
      </c>
      <c r="K64" s="15">
        <v>1152</v>
      </c>
      <c r="L64" s="15">
        <v>0.43</v>
      </c>
      <c r="M64" s="15">
        <v>0.40799999999999997</v>
      </c>
      <c r="N64" s="12">
        <f t="shared" si="2"/>
        <v>5.1162790697674466E-2</v>
      </c>
      <c r="O64" s="15">
        <f t="shared" si="5"/>
        <v>495.36</v>
      </c>
      <c r="P64" s="15">
        <f t="shared" si="6"/>
        <v>25.344000000000026</v>
      </c>
      <c r="Q64" s="15">
        <v>1.67</v>
      </c>
      <c r="R64" s="15" t="s">
        <v>34</v>
      </c>
      <c r="S64" s="17">
        <f t="shared" si="7"/>
        <v>827.25120000000004</v>
      </c>
      <c r="T64" s="18">
        <f t="shared" si="8"/>
        <v>42.324480000000044</v>
      </c>
    </row>
    <row r="65" spans="1:20" ht="18.600000000000001" customHeight="1" x14ac:dyDescent="0.3">
      <c r="A65" s="10" t="s">
        <v>17</v>
      </c>
      <c r="B65" s="10" t="s">
        <v>22</v>
      </c>
      <c r="C65" s="10" t="s">
        <v>23</v>
      </c>
      <c r="D65" s="10" t="s">
        <v>36</v>
      </c>
      <c r="E65" s="10" t="s">
        <v>33</v>
      </c>
      <c r="F65" s="10">
        <v>182448</v>
      </c>
      <c r="G65" s="10">
        <v>982980</v>
      </c>
      <c r="H65" s="11"/>
      <c r="I65" s="10">
        <v>24001128</v>
      </c>
      <c r="J65" s="10">
        <v>292582</v>
      </c>
      <c r="K65" s="10">
        <v>1152</v>
      </c>
      <c r="L65" s="10">
        <v>0.43</v>
      </c>
      <c r="M65" s="10">
        <v>0.40799999999999997</v>
      </c>
      <c r="N65" s="12">
        <f t="shared" si="2"/>
        <v>5.1162790697674466E-2</v>
      </c>
      <c r="O65" s="10">
        <f t="shared" si="5"/>
        <v>495.36</v>
      </c>
      <c r="P65" s="10">
        <f t="shared" si="6"/>
        <v>25.344000000000026</v>
      </c>
      <c r="Q65" s="10">
        <v>1.67</v>
      </c>
      <c r="R65" s="10" t="s">
        <v>34</v>
      </c>
      <c r="S65" s="13">
        <f t="shared" si="7"/>
        <v>827.25120000000004</v>
      </c>
      <c r="T65" s="14">
        <f t="shared" si="8"/>
        <v>42.324480000000044</v>
      </c>
    </row>
    <row r="66" spans="1:20" ht="18.600000000000001" customHeight="1" x14ac:dyDescent="0.3">
      <c r="A66" s="15" t="s">
        <v>17</v>
      </c>
      <c r="B66" s="15" t="s">
        <v>22</v>
      </c>
      <c r="C66" s="15" t="s">
        <v>23</v>
      </c>
      <c r="D66" s="15" t="s">
        <v>36</v>
      </c>
      <c r="E66" s="15" t="s">
        <v>37</v>
      </c>
      <c r="F66" s="15">
        <v>182450</v>
      </c>
      <c r="G66" s="15">
        <v>982980</v>
      </c>
      <c r="H66" s="16"/>
      <c r="I66" s="15">
        <v>24001130</v>
      </c>
      <c r="J66" s="15">
        <v>292585</v>
      </c>
      <c r="K66" s="15">
        <v>3852</v>
      </c>
      <c r="L66" s="15">
        <v>0.43</v>
      </c>
      <c r="M66" s="15">
        <v>0.40899999999999997</v>
      </c>
      <c r="N66" s="12">
        <f t="shared" si="2"/>
        <v>4.8837209302325622E-2</v>
      </c>
      <c r="O66" s="15">
        <f t="shared" si="5"/>
        <v>1656.36</v>
      </c>
      <c r="P66" s="15">
        <f t="shared" si="6"/>
        <v>80.892000000000067</v>
      </c>
      <c r="Q66" s="15">
        <v>1.67</v>
      </c>
      <c r="R66" s="15" t="s">
        <v>34</v>
      </c>
      <c r="S66" s="17">
        <f t="shared" si="7"/>
        <v>2766.1211999999996</v>
      </c>
      <c r="T66" s="18">
        <f t="shared" si="8"/>
        <v>135.08964000000012</v>
      </c>
    </row>
    <row r="67" spans="1:20" ht="18.600000000000001" customHeight="1" x14ac:dyDescent="0.3">
      <c r="A67" s="10" t="s">
        <v>17</v>
      </c>
      <c r="B67" s="10" t="s">
        <v>22</v>
      </c>
      <c r="C67" s="10" t="s">
        <v>23</v>
      </c>
      <c r="D67" s="10" t="s">
        <v>36</v>
      </c>
      <c r="E67" s="10" t="s">
        <v>32</v>
      </c>
      <c r="F67" s="10">
        <v>182450</v>
      </c>
      <c r="G67" s="10">
        <v>982980</v>
      </c>
      <c r="H67" s="11"/>
      <c r="I67" s="10">
        <v>24001130</v>
      </c>
      <c r="J67" s="10">
        <v>292578</v>
      </c>
      <c r="K67" s="10">
        <v>3852</v>
      </c>
      <c r="L67" s="10">
        <v>0.43</v>
      </c>
      <c r="M67" s="10">
        <v>0.40899999999999997</v>
      </c>
      <c r="N67" s="12">
        <f t="shared" si="2"/>
        <v>4.8837209302325622E-2</v>
      </c>
      <c r="O67" s="10">
        <f t="shared" ref="O67:O98" si="9">K67*L67</f>
        <v>1656.36</v>
      </c>
      <c r="P67" s="10">
        <f t="shared" ref="P67:P98" si="10">N67*O67</f>
        <v>80.892000000000067</v>
      </c>
      <c r="Q67" s="10">
        <v>1.67</v>
      </c>
      <c r="R67" s="10" t="s">
        <v>34</v>
      </c>
      <c r="S67" s="13">
        <f t="shared" ref="S67:S98" si="11">O67*Q67</f>
        <v>2766.1211999999996</v>
      </c>
      <c r="T67" s="14">
        <f t="shared" ref="T67:T98" si="12">Q67*P67</f>
        <v>135.08964000000012</v>
      </c>
    </row>
    <row r="68" spans="1:20" ht="18.600000000000001" customHeight="1" x14ac:dyDescent="0.3">
      <c r="A68" s="15" t="s">
        <v>17</v>
      </c>
      <c r="B68" s="15" t="s">
        <v>22</v>
      </c>
      <c r="C68" s="15" t="s">
        <v>23</v>
      </c>
      <c r="D68" s="15" t="s">
        <v>36</v>
      </c>
      <c r="E68" s="15" t="s">
        <v>33</v>
      </c>
      <c r="F68" s="15">
        <v>182450</v>
      </c>
      <c r="G68" s="15">
        <v>982980</v>
      </c>
      <c r="H68" s="16"/>
      <c r="I68" s="15">
        <v>24001130</v>
      </c>
      <c r="J68" s="15">
        <v>292582</v>
      </c>
      <c r="K68" s="15">
        <v>3852</v>
      </c>
      <c r="L68" s="15">
        <v>0.43</v>
      </c>
      <c r="M68" s="15">
        <v>0.40899999999999997</v>
      </c>
      <c r="N68" s="12">
        <f t="shared" ref="N68:N98" si="13">(L68-M68)/L68</f>
        <v>4.8837209302325622E-2</v>
      </c>
      <c r="O68" s="15">
        <f t="shared" si="9"/>
        <v>1656.36</v>
      </c>
      <c r="P68" s="15">
        <f t="shared" si="10"/>
        <v>80.892000000000067</v>
      </c>
      <c r="Q68" s="15">
        <v>1.67</v>
      </c>
      <c r="R68" s="15" t="s">
        <v>34</v>
      </c>
      <c r="S68" s="17">
        <f t="shared" si="11"/>
        <v>2766.1211999999996</v>
      </c>
      <c r="T68" s="18">
        <f t="shared" si="12"/>
        <v>135.08964000000012</v>
      </c>
    </row>
    <row r="69" spans="1:20" ht="18.600000000000001" customHeight="1" x14ac:dyDescent="0.3">
      <c r="A69" s="10" t="s">
        <v>17</v>
      </c>
      <c r="B69" s="10" t="s">
        <v>22</v>
      </c>
      <c r="C69" s="10" t="s">
        <v>23</v>
      </c>
      <c r="D69" s="10" t="s">
        <v>36</v>
      </c>
      <c r="E69" s="10" t="s">
        <v>37</v>
      </c>
      <c r="F69" s="10">
        <v>182451</v>
      </c>
      <c r="G69" s="10">
        <v>982980</v>
      </c>
      <c r="H69" s="11"/>
      <c r="I69" s="10">
        <v>24001131</v>
      </c>
      <c r="J69" s="10">
        <v>292585</v>
      </c>
      <c r="K69" s="10">
        <v>360</v>
      </c>
      <c r="L69" s="10">
        <v>0.52100000000000002</v>
      </c>
      <c r="M69" s="10">
        <v>0.50800000000000001</v>
      </c>
      <c r="N69" s="12">
        <f t="shared" si="13"/>
        <v>2.4952015355086395E-2</v>
      </c>
      <c r="O69" s="10">
        <f t="shared" si="9"/>
        <v>187.56</v>
      </c>
      <c r="P69" s="10">
        <f t="shared" si="10"/>
        <v>4.6800000000000042</v>
      </c>
      <c r="Q69" s="10">
        <v>2.11</v>
      </c>
      <c r="R69" s="10" t="s">
        <v>34</v>
      </c>
      <c r="S69" s="13">
        <f t="shared" si="11"/>
        <v>395.7516</v>
      </c>
      <c r="T69" s="14">
        <f t="shared" si="12"/>
        <v>9.8748000000000076</v>
      </c>
    </row>
    <row r="70" spans="1:20" ht="18.600000000000001" customHeight="1" x14ac:dyDescent="0.3">
      <c r="A70" s="15" t="s">
        <v>17</v>
      </c>
      <c r="B70" s="15" t="s">
        <v>22</v>
      </c>
      <c r="C70" s="15" t="s">
        <v>23</v>
      </c>
      <c r="D70" s="15" t="s">
        <v>36</v>
      </c>
      <c r="E70" s="15" t="s">
        <v>32</v>
      </c>
      <c r="F70" s="15">
        <v>182451</v>
      </c>
      <c r="G70" s="15">
        <v>982980</v>
      </c>
      <c r="H70" s="16"/>
      <c r="I70" s="15">
        <v>24001131</v>
      </c>
      <c r="J70" s="15">
        <v>292578</v>
      </c>
      <c r="K70" s="15">
        <v>360</v>
      </c>
      <c r="L70" s="15">
        <v>0.52100000000000002</v>
      </c>
      <c r="M70" s="15">
        <v>0.50800000000000001</v>
      </c>
      <c r="N70" s="12">
        <f t="shared" si="13"/>
        <v>2.4952015355086395E-2</v>
      </c>
      <c r="O70" s="15">
        <f t="shared" si="9"/>
        <v>187.56</v>
      </c>
      <c r="P70" s="15">
        <f t="shared" si="10"/>
        <v>4.6800000000000042</v>
      </c>
      <c r="Q70" s="15">
        <v>1.67</v>
      </c>
      <c r="R70" s="15" t="s">
        <v>34</v>
      </c>
      <c r="S70" s="17">
        <f t="shared" si="11"/>
        <v>313.22519999999997</v>
      </c>
      <c r="T70" s="18">
        <f t="shared" si="12"/>
        <v>7.815600000000007</v>
      </c>
    </row>
    <row r="71" spans="1:20" ht="18.600000000000001" customHeight="1" x14ac:dyDescent="0.3">
      <c r="A71" s="10" t="s">
        <v>17</v>
      </c>
      <c r="B71" s="10" t="s">
        <v>22</v>
      </c>
      <c r="C71" s="10" t="s">
        <v>23</v>
      </c>
      <c r="D71" s="10" t="s">
        <v>36</v>
      </c>
      <c r="E71" s="10" t="s">
        <v>33</v>
      </c>
      <c r="F71" s="10">
        <v>182451</v>
      </c>
      <c r="G71" s="10">
        <v>982980</v>
      </c>
      <c r="H71" s="11"/>
      <c r="I71" s="10">
        <v>24001131</v>
      </c>
      <c r="J71" s="10">
        <v>292578</v>
      </c>
      <c r="K71" s="10">
        <v>360</v>
      </c>
      <c r="L71" s="10">
        <v>0.52100000000000002</v>
      </c>
      <c r="M71" s="10">
        <v>0.50800000000000001</v>
      </c>
      <c r="N71" s="12">
        <f t="shared" si="13"/>
        <v>2.4952015355086395E-2</v>
      </c>
      <c r="O71" s="10">
        <f t="shared" si="9"/>
        <v>187.56</v>
      </c>
      <c r="P71" s="10">
        <f t="shared" si="10"/>
        <v>4.6800000000000042</v>
      </c>
      <c r="Q71" s="10">
        <v>1.67</v>
      </c>
      <c r="R71" s="10" t="s">
        <v>34</v>
      </c>
      <c r="S71" s="13">
        <f t="shared" si="11"/>
        <v>313.22519999999997</v>
      </c>
      <c r="T71" s="14">
        <f t="shared" si="12"/>
        <v>7.815600000000007</v>
      </c>
    </row>
    <row r="72" spans="1:20" ht="18.600000000000001" customHeight="1" x14ac:dyDescent="0.3">
      <c r="A72" s="15" t="s">
        <v>17</v>
      </c>
      <c r="B72" s="15" t="s">
        <v>22</v>
      </c>
      <c r="C72" s="15" t="s">
        <v>23</v>
      </c>
      <c r="D72" s="15" t="s">
        <v>36</v>
      </c>
      <c r="E72" s="15" t="s">
        <v>32</v>
      </c>
      <c r="F72" s="15">
        <v>182700</v>
      </c>
      <c r="G72" s="15">
        <v>982981</v>
      </c>
      <c r="H72" s="16"/>
      <c r="I72" s="15">
        <v>24001278</v>
      </c>
      <c r="J72" s="15">
        <v>292578</v>
      </c>
      <c r="K72" s="15">
        <v>8388</v>
      </c>
      <c r="L72" s="15">
        <v>0.36</v>
      </c>
      <c r="M72" s="15">
        <v>0.36299999999999999</v>
      </c>
      <c r="N72" s="12">
        <f t="shared" si="13"/>
        <v>-8.3333333333333419E-3</v>
      </c>
      <c r="O72" s="15">
        <f t="shared" si="9"/>
        <v>3019.68</v>
      </c>
      <c r="P72" s="15">
        <f t="shared" si="10"/>
        <v>-25.164000000000023</v>
      </c>
      <c r="Q72" s="15">
        <v>1.67</v>
      </c>
      <c r="R72" s="15" t="s">
        <v>34</v>
      </c>
      <c r="S72" s="17">
        <f t="shared" si="11"/>
        <v>5042.8655999999992</v>
      </c>
      <c r="T72" s="18">
        <f t="shared" si="12"/>
        <v>-42.023880000000034</v>
      </c>
    </row>
    <row r="73" spans="1:20" ht="18.600000000000001" customHeight="1" x14ac:dyDescent="0.3">
      <c r="A73" s="10" t="s">
        <v>17</v>
      </c>
      <c r="B73" s="10" t="s">
        <v>22</v>
      </c>
      <c r="C73" s="10" t="s">
        <v>23</v>
      </c>
      <c r="D73" s="10" t="s">
        <v>36</v>
      </c>
      <c r="E73" s="10" t="s">
        <v>33</v>
      </c>
      <c r="F73" s="10">
        <v>182700</v>
      </c>
      <c r="G73" s="10">
        <v>982981</v>
      </c>
      <c r="H73" s="11"/>
      <c r="I73" s="10">
        <v>24001278</v>
      </c>
      <c r="J73" s="10">
        <v>292582</v>
      </c>
      <c r="K73" s="10">
        <v>8388</v>
      </c>
      <c r="L73" s="10">
        <v>0.36</v>
      </c>
      <c r="M73" s="10">
        <v>0.36299999999999999</v>
      </c>
      <c r="N73" s="12">
        <f t="shared" si="13"/>
        <v>-8.3333333333333419E-3</v>
      </c>
      <c r="O73" s="10">
        <f t="shared" si="9"/>
        <v>3019.68</v>
      </c>
      <c r="P73" s="10">
        <f t="shared" si="10"/>
        <v>-25.164000000000023</v>
      </c>
      <c r="Q73" s="10">
        <v>1.67</v>
      </c>
      <c r="R73" s="10" t="s">
        <v>34</v>
      </c>
      <c r="S73" s="13">
        <f t="shared" si="11"/>
        <v>5042.8655999999992</v>
      </c>
      <c r="T73" s="14">
        <f t="shared" si="12"/>
        <v>-42.023880000000034</v>
      </c>
    </row>
    <row r="74" spans="1:20" ht="18.600000000000001" customHeight="1" x14ac:dyDescent="0.3">
      <c r="A74" s="15" t="s">
        <v>17</v>
      </c>
      <c r="B74" s="15" t="s">
        <v>22</v>
      </c>
      <c r="C74" s="15" t="s">
        <v>23</v>
      </c>
      <c r="D74" s="15" t="s">
        <v>30</v>
      </c>
      <c r="E74" s="15" t="s">
        <v>62</v>
      </c>
      <c r="F74" s="15">
        <v>182700</v>
      </c>
      <c r="G74" s="15">
        <v>982981</v>
      </c>
      <c r="H74" s="16"/>
      <c r="I74" s="15">
        <v>24001278</v>
      </c>
      <c r="J74" s="15">
        <v>292578</v>
      </c>
      <c r="K74" s="15">
        <v>8388</v>
      </c>
      <c r="L74" s="15">
        <v>0.36</v>
      </c>
      <c r="M74" s="15">
        <v>0.36299999999999999</v>
      </c>
      <c r="N74" s="12">
        <f t="shared" si="13"/>
        <v>-8.3333333333333419E-3</v>
      </c>
      <c r="O74" s="15">
        <f t="shared" si="9"/>
        <v>3019.68</v>
      </c>
      <c r="P74" s="15">
        <f t="shared" si="10"/>
        <v>-25.164000000000023</v>
      </c>
      <c r="Q74" s="15">
        <v>1.67</v>
      </c>
      <c r="R74" s="15" t="s">
        <v>34</v>
      </c>
      <c r="S74" s="17">
        <f t="shared" si="11"/>
        <v>5042.8655999999992</v>
      </c>
      <c r="T74" s="18">
        <f t="shared" si="12"/>
        <v>-42.023880000000034</v>
      </c>
    </row>
    <row r="75" spans="1:20" ht="18.600000000000001" customHeight="1" x14ac:dyDescent="0.3">
      <c r="A75" s="10" t="s">
        <v>17</v>
      </c>
      <c r="B75" s="10" t="s">
        <v>22</v>
      </c>
      <c r="C75" s="10" t="s">
        <v>23</v>
      </c>
      <c r="D75" s="10" t="s">
        <v>30</v>
      </c>
      <c r="E75" s="10" t="s">
        <v>37</v>
      </c>
      <c r="F75" s="10">
        <v>182713</v>
      </c>
      <c r="G75" s="10">
        <v>983462</v>
      </c>
      <c r="H75" s="11"/>
      <c r="I75" s="10">
        <v>24001291</v>
      </c>
      <c r="J75" s="10">
        <v>292099</v>
      </c>
      <c r="K75" s="10">
        <v>7092</v>
      </c>
      <c r="L75" s="10">
        <v>0.33800000000000002</v>
      </c>
      <c r="M75" s="10">
        <v>0.33200000000000002</v>
      </c>
      <c r="N75" s="12">
        <f t="shared" si="13"/>
        <v>1.7751479289940843E-2</v>
      </c>
      <c r="O75" s="10">
        <f t="shared" si="9"/>
        <v>2397.096</v>
      </c>
      <c r="P75" s="10">
        <f t="shared" si="10"/>
        <v>42.552000000000035</v>
      </c>
      <c r="Q75" s="10">
        <v>1.39</v>
      </c>
      <c r="R75" s="10" t="s">
        <v>34</v>
      </c>
      <c r="S75" s="13">
        <f t="shared" si="11"/>
        <v>3331.96344</v>
      </c>
      <c r="T75" s="14">
        <f t="shared" si="12"/>
        <v>59.147280000000045</v>
      </c>
    </row>
    <row r="76" spans="1:20" ht="18.600000000000001" customHeight="1" x14ac:dyDescent="0.3">
      <c r="A76" s="15" t="s">
        <v>17</v>
      </c>
      <c r="B76" s="15" t="s">
        <v>22</v>
      </c>
      <c r="C76" s="15" t="s">
        <v>23</v>
      </c>
      <c r="D76" s="15" t="s">
        <v>30</v>
      </c>
      <c r="E76" s="15" t="s">
        <v>32</v>
      </c>
      <c r="F76" s="15">
        <v>182713</v>
      </c>
      <c r="G76" s="15">
        <v>983462</v>
      </c>
      <c r="H76" s="16"/>
      <c r="I76" s="15">
        <v>24001291</v>
      </c>
      <c r="J76" s="15">
        <v>290059</v>
      </c>
      <c r="K76" s="15">
        <v>7092</v>
      </c>
      <c r="L76" s="15">
        <v>0.33800000000000002</v>
      </c>
      <c r="M76" s="15">
        <v>0.33200000000000002</v>
      </c>
      <c r="N76" s="12">
        <f t="shared" si="13"/>
        <v>1.7751479289940843E-2</v>
      </c>
      <c r="O76" s="15">
        <f t="shared" si="9"/>
        <v>2397.096</v>
      </c>
      <c r="P76" s="15">
        <f t="shared" si="10"/>
        <v>42.552000000000035</v>
      </c>
      <c r="Q76" s="15">
        <v>1.39</v>
      </c>
      <c r="R76" s="15" t="s">
        <v>34</v>
      </c>
      <c r="S76" s="17">
        <f t="shared" si="11"/>
        <v>3331.96344</v>
      </c>
      <c r="T76" s="18">
        <f t="shared" si="12"/>
        <v>59.147280000000045</v>
      </c>
    </row>
    <row r="77" spans="1:20" ht="18.600000000000001" customHeight="1" x14ac:dyDescent="0.3">
      <c r="A77" s="10" t="s">
        <v>17</v>
      </c>
      <c r="B77" s="10" t="s">
        <v>22</v>
      </c>
      <c r="C77" s="10" t="s">
        <v>23</v>
      </c>
      <c r="D77" s="10" t="s">
        <v>30</v>
      </c>
      <c r="E77" s="10" t="s">
        <v>33</v>
      </c>
      <c r="F77" s="10">
        <v>182713</v>
      </c>
      <c r="G77" s="10">
        <v>983462</v>
      </c>
      <c r="H77" s="11"/>
      <c r="I77" s="10">
        <v>24001291</v>
      </c>
      <c r="J77" s="10">
        <v>290060</v>
      </c>
      <c r="K77" s="10">
        <v>7092</v>
      </c>
      <c r="L77" s="10">
        <v>0.33800000000000002</v>
      </c>
      <c r="M77" s="10">
        <v>0.33200000000000002</v>
      </c>
      <c r="N77" s="12">
        <f t="shared" si="13"/>
        <v>1.7751479289940843E-2</v>
      </c>
      <c r="O77" s="10">
        <f t="shared" si="9"/>
        <v>2397.096</v>
      </c>
      <c r="P77" s="10">
        <f t="shared" si="10"/>
        <v>42.552000000000035</v>
      </c>
      <c r="Q77" s="10">
        <v>1.39</v>
      </c>
      <c r="R77" s="10" t="s">
        <v>34</v>
      </c>
      <c r="S77" s="13">
        <f t="shared" si="11"/>
        <v>3331.96344</v>
      </c>
      <c r="T77" s="14">
        <f t="shared" si="12"/>
        <v>59.147280000000045</v>
      </c>
    </row>
    <row r="78" spans="1:20" ht="18.600000000000001" customHeight="1" x14ac:dyDescent="0.3">
      <c r="A78" s="15" t="s">
        <v>17</v>
      </c>
      <c r="B78" s="15" t="s">
        <v>22</v>
      </c>
      <c r="C78" s="15" t="s">
        <v>23</v>
      </c>
      <c r="D78" s="15" t="s">
        <v>30</v>
      </c>
      <c r="E78" s="15" t="s">
        <v>63</v>
      </c>
      <c r="F78" s="15">
        <v>182717</v>
      </c>
      <c r="G78" s="15">
        <v>983462</v>
      </c>
      <c r="H78" s="16"/>
      <c r="I78" s="15">
        <v>24001295</v>
      </c>
      <c r="J78" s="15">
        <v>292102</v>
      </c>
      <c r="K78" s="15">
        <v>8532</v>
      </c>
      <c r="L78" s="15">
        <v>0.33800000000000002</v>
      </c>
      <c r="M78" s="15">
        <v>0.33200000000000002</v>
      </c>
      <c r="N78" s="12">
        <f t="shared" si="13"/>
        <v>1.7751479289940843E-2</v>
      </c>
      <c r="O78" s="15">
        <f t="shared" si="9"/>
        <v>2883.8160000000003</v>
      </c>
      <c r="P78" s="15">
        <f t="shared" si="10"/>
        <v>51.192000000000043</v>
      </c>
      <c r="Q78" s="15">
        <v>1.39</v>
      </c>
      <c r="R78" s="15" t="s">
        <v>34</v>
      </c>
      <c r="S78" s="17">
        <f t="shared" si="11"/>
        <v>4008.5042400000002</v>
      </c>
      <c r="T78" s="18">
        <f t="shared" si="12"/>
        <v>71.156880000000058</v>
      </c>
    </row>
    <row r="79" spans="1:20" ht="18.600000000000001" customHeight="1" x14ac:dyDescent="0.3">
      <c r="A79" s="10" t="s">
        <v>17</v>
      </c>
      <c r="B79" s="10" t="s">
        <v>22</v>
      </c>
      <c r="C79" s="10" t="s">
        <v>23</v>
      </c>
      <c r="D79" s="10" t="s">
        <v>30</v>
      </c>
      <c r="E79" s="10" t="s">
        <v>32</v>
      </c>
      <c r="F79" s="10">
        <v>182717</v>
      </c>
      <c r="G79" s="10">
        <v>983462</v>
      </c>
      <c r="H79" s="11"/>
      <c r="I79" s="10">
        <v>24001295</v>
      </c>
      <c r="J79" s="10">
        <v>290059</v>
      </c>
      <c r="K79" s="10">
        <v>8532</v>
      </c>
      <c r="L79" s="10">
        <v>0.33800000000000002</v>
      </c>
      <c r="M79" s="10">
        <v>0.33200000000000002</v>
      </c>
      <c r="N79" s="12">
        <f t="shared" si="13"/>
        <v>1.7751479289940843E-2</v>
      </c>
      <c r="O79" s="10">
        <f t="shared" si="9"/>
        <v>2883.8160000000003</v>
      </c>
      <c r="P79" s="10">
        <f t="shared" si="10"/>
        <v>51.192000000000043</v>
      </c>
      <c r="Q79" s="10">
        <v>1.39</v>
      </c>
      <c r="R79" s="10" t="s">
        <v>34</v>
      </c>
      <c r="S79" s="13">
        <f t="shared" si="11"/>
        <v>4008.5042400000002</v>
      </c>
      <c r="T79" s="14">
        <f t="shared" si="12"/>
        <v>71.156880000000058</v>
      </c>
    </row>
    <row r="80" spans="1:20" ht="18.600000000000001" customHeight="1" x14ac:dyDescent="0.3">
      <c r="A80" s="15" t="s">
        <v>17</v>
      </c>
      <c r="B80" s="15" t="s">
        <v>22</v>
      </c>
      <c r="C80" s="15" t="s">
        <v>23</v>
      </c>
      <c r="D80" s="15" t="s">
        <v>30</v>
      </c>
      <c r="E80" s="15" t="s">
        <v>33</v>
      </c>
      <c r="F80" s="15">
        <v>182717</v>
      </c>
      <c r="G80" s="15">
        <v>983462</v>
      </c>
      <c r="H80" s="16"/>
      <c r="I80" s="15">
        <v>24001295</v>
      </c>
      <c r="J80" s="15">
        <v>290060</v>
      </c>
      <c r="K80" s="15">
        <v>8532</v>
      </c>
      <c r="L80" s="15">
        <v>0.33800000000000002</v>
      </c>
      <c r="M80" s="15">
        <v>0.33200000000000002</v>
      </c>
      <c r="N80" s="12">
        <f t="shared" si="13"/>
        <v>1.7751479289940843E-2</v>
      </c>
      <c r="O80" s="15">
        <f t="shared" si="9"/>
        <v>2883.8160000000003</v>
      </c>
      <c r="P80" s="15">
        <f t="shared" si="10"/>
        <v>51.192000000000043</v>
      </c>
      <c r="Q80" s="15">
        <v>1.39</v>
      </c>
      <c r="R80" s="15" t="s">
        <v>34</v>
      </c>
      <c r="S80" s="17">
        <f t="shared" si="11"/>
        <v>4008.5042400000002</v>
      </c>
      <c r="T80" s="18">
        <f t="shared" si="12"/>
        <v>71.156880000000058</v>
      </c>
    </row>
    <row r="81" spans="1:20" ht="18.600000000000001" customHeight="1" x14ac:dyDescent="0.3">
      <c r="A81" s="10" t="s">
        <v>17</v>
      </c>
      <c r="B81" s="10" t="s">
        <v>22</v>
      </c>
      <c r="C81" s="10" t="s">
        <v>23</v>
      </c>
      <c r="D81" s="10" t="s">
        <v>30</v>
      </c>
      <c r="E81" s="10" t="s">
        <v>63</v>
      </c>
      <c r="F81" s="10">
        <v>182718</v>
      </c>
      <c r="G81" s="10">
        <v>983462</v>
      </c>
      <c r="H81" s="11"/>
      <c r="I81" s="10">
        <v>24001296</v>
      </c>
      <c r="J81" s="10">
        <v>292102</v>
      </c>
      <c r="K81" s="10">
        <v>396</v>
      </c>
      <c r="L81" s="10">
        <v>0.41699999999999998</v>
      </c>
      <c r="M81" s="10">
        <v>0.41199999999999998</v>
      </c>
      <c r="N81" s="12">
        <f t="shared" si="13"/>
        <v>1.1990407673860922E-2</v>
      </c>
      <c r="O81" s="10">
        <f t="shared" si="9"/>
        <v>165.13200000000001</v>
      </c>
      <c r="P81" s="10">
        <f t="shared" si="10"/>
        <v>1.9800000000000018</v>
      </c>
      <c r="Q81" s="10">
        <v>1.39</v>
      </c>
      <c r="R81" s="10" t="s">
        <v>34</v>
      </c>
      <c r="S81" s="13">
        <f t="shared" si="11"/>
        <v>229.53348</v>
      </c>
      <c r="T81" s="14">
        <f t="shared" si="12"/>
        <v>2.7522000000000024</v>
      </c>
    </row>
    <row r="82" spans="1:20" ht="18.600000000000001" customHeight="1" x14ac:dyDescent="0.3">
      <c r="A82" s="15" t="s">
        <v>17</v>
      </c>
      <c r="B82" s="15" t="s">
        <v>22</v>
      </c>
      <c r="C82" s="15" t="s">
        <v>23</v>
      </c>
      <c r="D82" s="15" t="s">
        <v>30</v>
      </c>
      <c r="E82" s="15" t="s">
        <v>32</v>
      </c>
      <c r="F82" s="15">
        <v>182718</v>
      </c>
      <c r="G82" s="15">
        <v>983462</v>
      </c>
      <c r="H82" s="16"/>
      <c r="I82" s="15">
        <v>24001296</v>
      </c>
      <c r="J82" s="15">
        <v>290059</v>
      </c>
      <c r="K82" s="15">
        <v>396</v>
      </c>
      <c r="L82" s="15">
        <v>0.41699999999999998</v>
      </c>
      <c r="M82" s="15">
        <v>0.41199999999999998</v>
      </c>
      <c r="N82" s="12">
        <f t="shared" si="13"/>
        <v>1.1990407673860922E-2</v>
      </c>
      <c r="O82" s="15">
        <f t="shared" si="9"/>
        <v>165.13200000000001</v>
      </c>
      <c r="P82" s="15">
        <f t="shared" si="10"/>
        <v>1.9800000000000018</v>
      </c>
      <c r="Q82" s="15">
        <v>1.39</v>
      </c>
      <c r="R82" s="15" t="s">
        <v>34</v>
      </c>
      <c r="S82" s="17">
        <f t="shared" si="11"/>
        <v>229.53348</v>
      </c>
      <c r="T82" s="18">
        <f t="shared" si="12"/>
        <v>2.7522000000000024</v>
      </c>
    </row>
    <row r="83" spans="1:20" ht="18.600000000000001" customHeight="1" x14ac:dyDescent="0.3">
      <c r="A83" s="10" t="s">
        <v>17</v>
      </c>
      <c r="B83" s="10" t="s">
        <v>22</v>
      </c>
      <c r="C83" s="10" t="s">
        <v>23</v>
      </c>
      <c r="D83" s="10" t="s">
        <v>30</v>
      </c>
      <c r="E83" s="10" t="s">
        <v>33</v>
      </c>
      <c r="F83" s="10">
        <v>182718</v>
      </c>
      <c r="G83" s="10">
        <v>983462</v>
      </c>
      <c r="H83" s="11"/>
      <c r="I83" s="10">
        <v>24001296</v>
      </c>
      <c r="J83" s="10">
        <v>290060</v>
      </c>
      <c r="K83" s="10">
        <v>396</v>
      </c>
      <c r="L83" s="10">
        <v>0.41699999999999998</v>
      </c>
      <c r="M83" s="10">
        <v>0.41199999999999998</v>
      </c>
      <c r="N83" s="12">
        <f t="shared" si="13"/>
        <v>1.1990407673860922E-2</v>
      </c>
      <c r="O83" s="10">
        <f t="shared" si="9"/>
        <v>165.13200000000001</v>
      </c>
      <c r="P83" s="10">
        <f t="shared" si="10"/>
        <v>1.9800000000000018</v>
      </c>
      <c r="Q83" s="10">
        <v>1.39</v>
      </c>
      <c r="R83" s="10" t="s">
        <v>34</v>
      </c>
      <c r="S83" s="13">
        <f t="shared" si="11"/>
        <v>229.53348</v>
      </c>
      <c r="T83" s="14">
        <f t="shared" si="12"/>
        <v>2.7522000000000024</v>
      </c>
    </row>
    <row r="84" spans="1:20" ht="18.600000000000001" customHeight="1" x14ac:dyDescent="0.3">
      <c r="A84" s="15" t="s">
        <v>17</v>
      </c>
      <c r="B84" s="15" t="s">
        <v>22</v>
      </c>
      <c r="C84" s="15" t="s">
        <v>23</v>
      </c>
      <c r="D84" s="15" t="s">
        <v>30</v>
      </c>
      <c r="E84" s="15" t="s">
        <v>64</v>
      </c>
      <c r="F84" s="15">
        <v>182721</v>
      </c>
      <c r="G84" s="15">
        <v>983462</v>
      </c>
      <c r="H84" s="16"/>
      <c r="I84" s="15">
        <v>24001298</v>
      </c>
      <c r="J84" s="15">
        <v>290059</v>
      </c>
      <c r="K84" s="15">
        <v>360</v>
      </c>
      <c r="L84" s="15">
        <v>0.41699999999999998</v>
      </c>
      <c r="M84" s="15">
        <v>0.41199999999999998</v>
      </c>
      <c r="N84" s="12">
        <f t="shared" si="13"/>
        <v>1.1990407673860922E-2</v>
      </c>
      <c r="O84" s="15">
        <f t="shared" si="9"/>
        <v>150.12</v>
      </c>
      <c r="P84" s="15">
        <f t="shared" si="10"/>
        <v>1.8000000000000016</v>
      </c>
      <c r="Q84" s="15">
        <v>1.39</v>
      </c>
      <c r="R84" s="15" t="s">
        <v>34</v>
      </c>
      <c r="S84" s="17">
        <f t="shared" si="11"/>
        <v>208.66679999999999</v>
      </c>
      <c r="T84" s="18">
        <f t="shared" si="12"/>
        <v>2.502000000000002</v>
      </c>
    </row>
    <row r="85" spans="1:20" ht="18.600000000000001" customHeight="1" x14ac:dyDescent="0.3">
      <c r="A85" s="10" t="s">
        <v>17</v>
      </c>
      <c r="B85" s="10" t="s">
        <v>22</v>
      </c>
      <c r="C85" s="10" t="s">
        <v>23</v>
      </c>
      <c r="D85" s="10" t="s">
        <v>30</v>
      </c>
      <c r="E85" s="10" t="s">
        <v>65</v>
      </c>
      <c r="F85" s="10">
        <v>182721</v>
      </c>
      <c r="G85" s="10">
        <v>983462</v>
      </c>
      <c r="H85" s="11"/>
      <c r="I85" s="10">
        <v>24001298</v>
      </c>
      <c r="J85" s="10">
        <v>290059</v>
      </c>
      <c r="K85" s="10">
        <v>360</v>
      </c>
      <c r="L85" s="10">
        <v>0.41699999999999998</v>
      </c>
      <c r="M85" s="10">
        <v>0.41199999999999998</v>
      </c>
      <c r="N85" s="12">
        <f t="shared" si="13"/>
        <v>1.1990407673860922E-2</v>
      </c>
      <c r="O85" s="10">
        <f t="shared" si="9"/>
        <v>150.12</v>
      </c>
      <c r="P85" s="10">
        <f t="shared" si="10"/>
        <v>1.8000000000000016</v>
      </c>
      <c r="Q85" s="10">
        <v>1.39</v>
      </c>
      <c r="R85" s="10" t="s">
        <v>34</v>
      </c>
      <c r="S85" s="13">
        <f t="shared" si="11"/>
        <v>208.66679999999999</v>
      </c>
      <c r="T85" s="14">
        <f t="shared" si="12"/>
        <v>2.502000000000002</v>
      </c>
    </row>
    <row r="86" spans="1:20" ht="18.600000000000001" customHeight="1" x14ac:dyDescent="0.3">
      <c r="A86" s="15" t="s">
        <v>17</v>
      </c>
      <c r="B86" s="15" t="s">
        <v>22</v>
      </c>
      <c r="C86" s="15" t="s">
        <v>23</v>
      </c>
      <c r="D86" s="15" t="s">
        <v>30</v>
      </c>
      <c r="E86" s="15" t="s">
        <v>66</v>
      </c>
      <c r="F86" s="15">
        <v>182721</v>
      </c>
      <c r="G86" s="15">
        <v>983462</v>
      </c>
      <c r="H86" s="16"/>
      <c r="I86" s="15">
        <v>24001298</v>
      </c>
      <c r="J86" s="15">
        <v>290059</v>
      </c>
      <c r="K86" s="15">
        <v>360</v>
      </c>
      <c r="L86" s="15">
        <v>0.41699999999999998</v>
      </c>
      <c r="M86" s="15">
        <v>0.41199999999999998</v>
      </c>
      <c r="N86" s="12">
        <f t="shared" si="13"/>
        <v>1.1990407673860922E-2</v>
      </c>
      <c r="O86" s="15">
        <f t="shared" si="9"/>
        <v>150.12</v>
      </c>
      <c r="P86" s="15">
        <f t="shared" si="10"/>
        <v>1.8000000000000016</v>
      </c>
      <c r="Q86" s="15">
        <v>1.39</v>
      </c>
      <c r="R86" s="15" t="s">
        <v>34</v>
      </c>
      <c r="S86" s="17">
        <f t="shared" si="11"/>
        <v>208.66679999999999</v>
      </c>
      <c r="T86" s="18">
        <f t="shared" si="12"/>
        <v>2.502000000000002</v>
      </c>
    </row>
    <row r="87" spans="1:20" ht="18.600000000000001" customHeight="1" x14ac:dyDescent="0.3">
      <c r="A87" s="10" t="s">
        <v>17</v>
      </c>
      <c r="B87" s="10" t="s">
        <v>22</v>
      </c>
      <c r="C87" s="10" t="s">
        <v>23</v>
      </c>
      <c r="D87" s="10" t="s">
        <v>30</v>
      </c>
      <c r="E87" s="10" t="s">
        <v>44</v>
      </c>
      <c r="F87" s="10">
        <v>182723</v>
      </c>
      <c r="G87" s="10">
        <v>983462</v>
      </c>
      <c r="H87" s="11"/>
      <c r="I87" s="10">
        <v>24001300</v>
      </c>
      <c r="J87" s="10">
        <v>292104</v>
      </c>
      <c r="K87" s="10">
        <v>6984</v>
      </c>
      <c r="L87" s="10">
        <v>0.33800000000000002</v>
      </c>
      <c r="M87" s="10">
        <v>0.33100000000000002</v>
      </c>
      <c r="N87" s="12">
        <f t="shared" si="13"/>
        <v>2.0710059171597649E-2</v>
      </c>
      <c r="O87" s="10">
        <f t="shared" si="9"/>
        <v>2360.5920000000001</v>
      </c>
      <c r="P87" s="10">
        <f t="shared" si="10"/>
        <v>48.888000000000041</v>
      </c>
      <c r="Q87" s="10">
        <v>1.39</v>
      </c>
      <c r="R87" s="10" t="s">
        <v>34</v>
      </c>
      <c r="S87" s="13">
        <f t="shared" si="11"/>
        <v>3281.2228799999998</v>
      </c>
      <c r="T87" s="14">
        <f t="shared" si="12"/>
        <v>67.954320000000052</v>
      </c>
    </row>
    <row r="88" spans="1:20" ht="18.600000000000001" customHeight="1" x14ac:dyDescent="0.3">
      <c r="A88" s="15" t="s">
        <v>17</v>
      </c>
      <c r="B88" s="15" t="s">
        <v>22</v>
      </c>
      <c r="C88" s="15" t="s">
        <v>23</v>
      </c>
      <c r="D88" s="15" t="s">
        <v>30</v>
      </c>
      <c r="E88" s="15" t="s">
        <v>45</v>
      </c>
      <c r="F88" s="15">
        <v>182723</v>
      </c>
      <c r="G88" s="15">
        <v>983462</v>
      </c>
      <c r="H88" s="16"/>
      <c r="I88" s="15">
        <v>24001300</v>
      </c>
      <c r="J88" s="15">
        <v>292105</v>
      </c>
      <c r="K88" s="15">
        <v>6984</v>
      </c>
      <c r="L88" s="15">
        <v>0.33800000000000002</v>
      </c>
      <c r="M88" s="15">
        <v>0.33100000000000002</v>
      </c>
      <c r="N88" s="12">
        <f t="shared" si="13"/>
        <v>2.0710059171597649E-2</v>
      </c>
      <c r="O88" s="15">
        <f t="shared" si="9"/>
        <v>2360.5920000000001</v>
      </c>
      <c r="P88" s="15">
        <f t="shared" si="10"/>
        <v>48.888000000000041</v>
      </c>
      <c r="Q88" s="15">
        <v>1.39</v>
      </c>
      <c r="R88" s="15" t="s">
        <v>34</v>
      </c>
      <c r="S88" s="17">
        <f t="shared" si="11"/>
        <v>3281.2228799999998</v>
      </c>
      <c r="T88" s="18">
        <f t="shared" si="12"/>
        <v>67.954320000000052</v>
      </c>
    </row>
    <row r="89" spans="1:20" ht="18.600000000000001" customHeight="1" x14ac:dyDescent="0.3">
      <c r="A89" s="10" t="s">
        <v>17</v>
      </c>
      <c r="B89" s="10" t="s">
        <v>22</v>
      </c>
      <c r="C89" s="10" t="s">
        <v>23</v>
      </c>
      <c r="D89" s="10" t="s">
        <v>30</v>
      </c>
      <c r="E89" s="10" t="s">
        <v>33</v>
      </c>
      <c r="F89" s="10">
        <v>182723</v>
      </c>
      <c r="G89" s="10">
        <v>983462</v>
      </c>
      <c r="H89" s="11"/>
      <c r="I89" s="10">
        <v>24001300</v>
      </c>
      <c r="J89" s="10">
        <v>290060</v>
      </c>
      <c r="K89" s="10">
        <v>6984</v>
      </c>
      <c r="L89" s="10">
        <v>0.33800000000000002</v>
      </c>
      <c r="M89" s="10">
        <v>0.33100000000000002</v>
      </c>
      <c r="N89" s="12">
        <f t="shared" si="13"/>
        <v>2.0710059171597649E-2</v>
      </c>
      <c r="O89" s="10">
        <f t="shared" si="9"/>
        <v>2360.5920000000001</v>
      </c>
      <c r="P89" s="10">
        <f t="shared" si="10"/>
        <v>48.888000000000041</v>
      </c>
      <c r="Q89" s="10">
        <v>1.39</v>
      </c>
      <c r="R89" s="10" t="s">
        <v>34</v>
      </c>
      <c r="S89" s="13">
        <f t="shared" si="11"/>
        <v>3281.2228799999998</v>
      </c>
      <c r="T89" s="14">
        <f t="shared" si="12"/>
        <v>67.954320000000052</v>
      </c>
    </row>
    <row r="90" spans="1:20" ht="18.600000000000001" customHeight="1" x14ac:dyDescent="0.3">
      <c r="A90" s="15" t="s">
        <v>17</v>
      </c>
      <c r="B90" s="15" t="s">
        <v>22</v>
      </c>
      <c r="C90" s="15" t="s">
        <v>23</v>
      </c>
      <c r="D90" s="15" t="s">
        <v>30</v>
      </c>
      <c r="E90" s="15" t="s">
        <v>37</v>
      </c>
      <c r="F90" s="15">
        <v>182738</v>
      </c>
      <c r="G90" s="15">
        <v>983461</v>
      </c>
      <c r="H90" s="16"/>
      <c r="I90" s="15">
        <v>24001314</v>
      </c>
      <c r="J90" s="15">
        <v>292099</v>
      </c>
      <c r="K90" s="15">
        <v>360</v>
      </c>
      <c r="L90" s="15">
        <v>0.47</v>
      </c>
      <c r="M90" s="15">
        <v>0.47099999999999997</v>
      </c>
      <c r="N90" s="12">
        <f t="shared" si="13"/>
        <v>-2.1276595744680873E-3</v>
      </c>
      <c r="O90" s="15">
        <f t="shared" si="9"/>
        <v>169.2</v>
      </c>
      <c r="P90" s="15">
        <f t="shared" si="10"/>
        <v>-0.36000000000000038</v>
      </c>
      <c r="Q90" s="15">
        <v>1.39</v>
      </c>
      <c r="R90" s="15" t="s">
        <v>34</v>
      </c>
      <c r="S90" s="17">
        <f t="shared" si="11"/>
        <v>235.18799999999996</v>
      </c>
      <c r="T90" s="18">
        <f t="shared" si="12"/>
        <v>-0.50040000000000051</v>
      </c>
    </row>
    <row r="91" spans="1:20" ht="18.600000000000001" customHeight="1" x14ac:dyDescent="0.3">
      <c r="A91" s="10" t="s">
        <v>17</v>
      </c>
      <c r="B91" s="10" t="s">
        <v>22</v>
      </c>
      <c r="C91" s="10" t="s">
        <v>23</v>
      </c>
      <c r="D91" s="10" t="s">
        <v>30</v>
      </c>
      <c r="E91" s="10" t="s">
        <v>32</v>
      </c>
      <c r="F91" s="10">
        <v>182738</v>
      </c>
      <c r="G91" s="10">
        <v>983461</v>
      </c>
      <c r="H91" s="11"/>
      <c r="I91" s="10">
        <v>24001314</v>
      </c>
      <c r="J91" s="10">
        <v>290059</v>
      </c>
      <c r="K91" s="10">
        <v>360</v>
      </c>
      <c r="L91" s="10">
        <v>0.47</v>
      </c>
      <c r="M91" s="10">
        <v>0.47099999999999997</v>
      </c>
      <c r="N91" s="12">
        <f t="shared" si="13"/>
        <v>-2.1276595744680873E-3</v>
      </c>
      <c r="O91" s="10">
        <f t="shared" si="9"/>
        <v>169.2</v>
      </c>
      <c r="P91" s="10">
        <f t="shared" si="10"/>
        <v>-0.36000000000000038</v>
      </c>
      <c r="Q91" s="10">
        <v>1.39</v>
      </c>
      <c r="R91" s="10" t="s">
        <v>34</v>
      </c>
      <c r="S91" s="13">
        <f t="shared" si="11"/>
        <v>235.18799999999996</v>
      </c>
      <c r="T91" s="14">
        <f t="shared" si="12"/>
        <v>-0.50040000000000051</v>
      </c>
    </row>
    <row r="92" spans="1:20" ht="18.600000000000001" customHeight="1" x14ac:dyDescent="0.3">
      <c r="A92" s="15" t="s">
        <v>17</v>
      </c>
      <c r="B92" s="15" t="s">
        <v>22</v>
      </c>
      <c r="C92" s="15" t="s">
        <v>23</v>
      </c>
      <c r="D92" s="15" t="s">
        <v>30</v>
      </c>
      <c r="E92" s="15" t="s">
        <v>33</v>
      </c>
      <c r="F92" s="15">
        <v>182738</v>
      </c>
      <c r="G92" s="15">
        <v>983461</v>
      </c>
      <c r="H92" s="16"/>
      <c r="I92" s="15">
        <v>24001314</v>
      </c>
      <c r="J92" s="15">
        <v>290060</v>
      </c>
      <c r="K92" s="15">
        <v>360</v>
      </c>
      <c r="L92" s="15">
        <v>0.47</v>
      </c>
      <c r="M92" s="15">
        <v>0.47099999999999997</v>
      </c>
      <c r="N92" s="12">
        <f t="shared" si="13"/>
        <v>-2.1276595744680873E-3</v>
      </c>
      <c r="O92" s="15">
        <f t="shared" si="9"/>
        <v>169.2</v>
      </c>
      <c r="P92" s="15">
        <f t="shared" si="10"/>
        <v>-0.36000000000000038</v>
      </c>
      <c r="Q92" s="15">
        <v>1.39</v>
      </c>
      <c r="R92" s="15" t="s">
        <v>34</v>
      </c>
      <c r="S92" s="17">
        <f t="shared" si="11"/>
        <v>235.18799999999996</v>
      </c>
      <c r="T92" s="18">
        <f t="shared" si="12"/>
        <v>-0.50040000000000051</v>
      </c>
    </row>
    <row r="93" spans="1:20" ht="18.600000000000001" customHeight="1" x14ac:dyDescent="0.3">
      <c r="A93" s="10" t="s">
        <v>17</v>
      </c>
      <c r="B93" s="10" t="s">
        <v>22</v>
      </c>
      <c r="C93" s="10" t="s">
        <v>23</v>
      </c>
      <c r="D93" s="10" t="s">
        <v>30</v>
      </c>
      <c r="E93" s="10" t="s">
        <v>67</v>
      </c>
      <c r="F93" s="10">
        <v>182753</v>
      </c>
      <c r="G93" s="10">
        <v>983464</v>
      </c>
      <c r="H93" s="11"/>
      <c r="I93" s="10">
        <v>24001329</v>
      </c>
      <c r="J93" s="10">
        <v>290059</v>
      </c>
      <c r="K93" s="10">
        <v>1152</v>
      </c>
      <c r="L93" s="10">
        <v>0.19600000000000001</v>
      </c>
      <c r="M93" s="10">
        <v>0.20300000000000001</v>
      </c>
      <c r="N93" s="12">
        <f t="shared" si="13"/>
        <v>-3.5714285714285747E-2</v>
      </c>
      <c r="O93" s="10">
        <f t="shared" si="9"/>
        <v>225.792</v>
      </c>
      <c r="P93" s="10">
        <f t="shared" si="10"/>
        <v>-8.0640000000000072</v>
      </c>
      <c r="Q93" s="10">
        <v>1.39</v>
      </c>
      <c r="R93" s="10" t="s">
        <v>34</v>
      </c>
      <c r="S93" s="13">
        <f t="shared" si="11"/>
        <v>313.85087999999996</v>
      </c>
      <c r="T93" s="14">
        <f t="shared" si="12"/>
        <v>-11.20896000000001</v>
      </c>
    </row>
    <row r="94" spans="1:20" ht="18.600000000000001" customHeight="1" x14ac:dyDescent="0.3">
      <c r="A94" s="15" t="s">
        <v>17</v>
      </c>
      <c r="B94" s="15" t="s">
        <v>22</v>
      </c>
      <c r="C94" s="15" t="s">
        <v>23</v>
      </c>
      <c r="D94" s="15" t="s">
        <v>30</v>
      </c>
      <c r="E94" s="15" t="s">
        <v>68</v>
      </c>
      <c r="F94" s="15">
        <v>182753</v>
      </c>
      <c r="G94" s="15">
        <v>983464</v>
      </c>
      <c r="H94" s="16"/>
      <c r="I94" s="15">
        <v>24001329</v>
      </c>
      <c r="J94" s="15">
        <v>290059</v>
      </c>
      <c r="K94" s="15">
        <v>1152</v>
      </c>
      <c r="L94" s="15">
        <v>0.19600000000000001</v>
      </c>
      <c r="M94" s="15">
        <v>0.20300000000000001</v>
      </c>
      <c r="N94" s="12">
        <f t="shared" si="13"/>
        <v>-3.5714285714285747E-2</v>
      </c>
      <c r="O94" s="15">
        <f t="shared" si="9"/>
        <v>225.792</v>
      </c>
      <c r="P94" s="15">
        <f t="shared" si="10"/>
        <v>-8.0640000000000072</v>
      </c>
      <c r="Q94" s="15">
        <v>1.39</v>
      </c>
      <c r="R94" s="15" t="s">
        <v>34</v>
      </c>
      <c r="S94" s="17">
        <f t="shared" si="11"/>
        <v>313.85087999999996</v>
      </c>
      <c r="T94" s="18">
        <f t="shared" si="12"/>
        <v>-11.20896000000001</v>
      </c>
    </row>
    <row r="95" spans="1:20" ht="18.600000000000001" customHeight="1" x14ac:dyDescent="0.3">
      <c r="A95" s="10" t="s">
        <v>17</v>
      </c>
      <c r="B95" s="10" t="s">
        <v>22</v>
      </c>
      <c r="C95" s="10" t="s">
        <v>23</v>
      </c>
      <c r="D95" s="10" t="s">
        <v>30</v>
      </c>
      <c r="E95" s="10" t="s">
        <v>69</v>
      </c>
      <c r="F95" s="10">
        <v>182753</v>
      </c>
      <c r="G95" s="10">
        <v>983464</v>
      </c>
      <c r="H95" s="11"/>
      <c r="I95" s="10">
        <v>24001329</v>
      </c>
      <c r="J95" s="10">
        <v>290059</v>
      </c>
      <c r="K95" s="10">
        <v>1152</v>
      </c>
      <c r="L95" s="10">
        <v>0.19600000000000001</v>
      </c>
      <c r="M95" s="10">
        <v>0.20300000000000001</v>
      </c>
      <c r="N95" s="12">
        <f t="shared" si="13"/>
        <v>-3.5714285714285747E-2</v>
      </c>
      <c r="O95" s="10">
        <f t="shared" si="9"/>
        <v>225.792</v>
      </c>
      <c r="P95" s="10">
        <f t="shared" si="10"/>
        <v>-8.0640000000000072</v>
      </c>
      <c r="Q95" s="10">
        <v>1.39</v>
      </c>
      <c r="R95" s="10" t="s">
        <v>34</v>
      </c>
      <c r="S95" s="13">
        <f t="shared" si="11"/>
        <v>313.85087999999996</v>
      </c>
      <c r="T95" s="14">
        <f t="shared" si="12"/>
        <v>-11.20896000000001</v>
      </c>
    </row>
    <row r="96" spans="1:20" ht="18.600000000000001" customHeight="1" x14ac:dyDescent="0.3">
      <c r="A96" s="15" t="s">
        <v>17</v>
      </c>
      <c r="B96" s="15" t="s">
        <v>22</v>
      </c>
      <c r="C96" s="15" t="s">
        <v>23</v>
      </c>
      <c r="D96" s="15" t="s">
        <v>30</v>
      </c>
      <c r="E96" s="15" t="s">
        <v>70</v>
      </c>
      <c r="F96" s="15">
        <v>182753</v>
      </c>
      <c r="G96" s="15">
        <v>983464</v>
      </c>
      <c r="H96" s="16"/>
      <c r="I96" s="15">
        <v>24001329</v>
      </c>
      <c r="J96" s="15">
        <v>290059</v>
      </c>
      <c r="K96" s="15">
        <v>1152</v>
      </c>
      <c r="L96" s="15">
        <v>0.19600000000000001</v>
      </c>
      <c r="M96" s="15">
        <v>0.20300000000000001</v>
      </c>
      <c r="N96" s="12">
        <f t="shared" si="13"/>
        <v>-3.5714285714285747E-2</v>
      </c>
      <c r="O96" s="15">
        <f t="shared" si="9"/>
        <v>225.792</v>
      </c>
      <c r="P96" s="15">
        <f t="shared" si="10"/>
        <v>-8.0640000000000072</v>
      </c>
      <c r="Q96" s="15">
        <v>1.39</v>
      </c>
      <c r="R96" s="15" t="s">
        <v>34</v>
      </c>
      <c r="S96" s="17">
        <f t="shared" si="11"/>
        <v>313.85087999999996</v>
      </c>
      <c r="T96" s="18">
        <f t="shared" si="12"/>
        <v>-11.20896000000001</v>
      </c>
    </row>
    <row r="97" spans="1:20" ht="18.600000000000001" customHeight="1" x14ac:dyDescent="0.3">
      <c r="A97" s="10" t="s">
        <v>18</v>
      </c>
      <c r="B97" s="10" t="s">
        <v>22</v>
      </c>
      <c r="C97" s="10" t="s">
        <v>23</v>
      </c>
      <c r="D97" s="10" t="s">
        <v>30</v>
      </c>
      <c r="E97" s="10" t="s">
        <v>32</v>
      </c>
      <c r="F97" s="10">
        <v>182415</v>
      </c>
      <c r="G97" s="10">
        <v>983462</v>
      </c>
      <c r="H97" s="11"/>
      <c r="I97" s="10">
        <v>24001150</v>
      </c>
      <c r="J97" s="10">
        <v>290059</v>
      </c>
      <c r="K97" s="10">
        <v>67932</v>
      </c>
      <c r="L97" s="10">
        <v>0.34200000000000003</v>
      </c>
      <c r="M97" s="10">
        <v>0.33100000000000002</v>
      </c>
      <c r="N97" s="12">
        <f t="shared" si="13"/>
        <v>3.2163742690058506E-2</v>
      </c>
      <c r="O97" s="10">
        <f t="shared" si="9"/>
        <v>23232.744000000002</v>
      </c>
      <c r="P97" s="10">
        <f t="shared" si="10"/>
        <v>747.25200000000063</v>
      </c>
      <c r="Q97" s="10">
        <v>1.39</v>
      </c>
      <c r="R97" s="10" t="s">
        <v>34</v>
      </c>
      <c r="S97" s="13">
        <f t="shared" si="11"/>
        <v>32293.514160000002</v>
      </c>
      <c r="T97" s="14">
        <f t="shared" si="12"/>
        <v>1038.6802800000007</v>
      </c>
    </row>
    <row r="98" spans="1:20" ht="18.600000000000001" customHeight="1" x14ac:dyDescent="0.3">
      <c r="A98" s="15" t="s">
        <v>18</v>
      </c>
      <c r="B98" s="15" t="s">
        <v>22</v>
      </c>
      <c r="C98" s="15" t="s">
        <v>23</v>
      </c>
      <c r="D98" s="15" t="s">
        <v>30</v>
      </c>
      <c r="E98" s="15" t="s">
        <v>32</v>
      </c>
      <c r="F98" s="15">
        <v>182416</v>
      </c>
      <c r="G98" s="15">
        <v>983462</v>
      </c>
      <c r="H98" s="16"/>
      <c r="I98" s="15">
        <v>24001151</v>
      </c>
      <c r="J98" s="15">
        <v>290059</v>
      </c>
      <c r="K98" s="15">
        <v>2376</v>
      </c>
      <c r="L98" s="15">
        <v>0.42</v>
      </c>
      <c r="M98" s="15">
        <v>0.41199999999999998</v>
      </c>
      <c r="N98" s="12">
        <f t="shared" si="13"/>
        <v>1.9047619047619067E-2</v>
      </c>
      <c r="O98" s="15">
        <f t="shared" si="9"/>
        <v>997.92</v>
      </c>
      <c r="P98" s="15">
        <f t="shared" si="10"/>
        <v>19.008000000000017</v>
      </c>
      <c r="Q98" s="15">
        <v>1.39</v>
      </c>
      <c r="R98" s="15" t="s">
        <v>34</v>
      </c>
      <c r="S98" s="17">
        <f>O98*Q98</f>
        <v>1387.1087999999997</v>
      </c>
      <c r="T98" s="18">
        <f t="shared" si="12"/>
        <v>26.421120000000023</v>
      </c>
    </row>
    <row r="99" spans="1:20" ht="18.600000000000001" customHeight="1" x14ac:dyDescent="0.3">
      <c r="A99" s="10"/>
      <c r="B99" s="10"/>
      <c r="C99" s="10"/>
      <c r="D99" s="10"/>
      <c r="E99" s="10"/>
      <c r="F99" s="10"/>
      <c r="G99" s="10"/>
      <c r="H99" s="11"/>
      <c r="I99" s="10"/>
      <c r="J99" s="10"/>
      <c r="K99" s="10"/>
      <c r="L99" s="10"/>
      <c r="M99" s="10"/>
      <c r="N99" s="12"/>
      <c r="O99" s="10"/>
      <c r="P99" s="10"/>
      <c r="Q99" s="10"/>
      <c r="R99" s="10"/>
      <c r="S99" s="13">
        <f>SUM(S3:S98)</f>
        <v>188580.38364000007</v>
      </c>
      <c r="T99" s="14">
        <f>SUM(T3:T98)</f>
        <v>4405.1659200000022</v>
      </c>
    </row>
    <row r="100" spans="1:20" x14ac:dyDescent="0.3">
      <c r="H100" s="5"/>
      <c r="T100" s="9">
        <f>T99/S99</f>
        <v>2.3359619038687839E-2</v>
      </c>
    </row>
    <row r="106" spans="1:20" x14ac:dyDescent="0.3">
      <c r="E106" s="4" t="s">
        <v>71</v>
      </c>
    </row>
  </sheetData>
  <mergeCells count="1">
    <mergeCell ref="A1:T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BUTTON</vt:lpstr>
      <vt:lpstr>PROCESSED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2024-06-24T09:53:47Z</dcterms:created>
  <dcterms:modified xsi:type="dcterms:W3CDTF">2024-06-25T07:45:53Z</dcterms:modified>
</cp:coreProperties>
</file>