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ACRO MA\"/>
    </mc:Choice>
  </mc:AlternateContent>
  <xr:revisionPtr revIDLastSave="0" documentId="13_ncr:1_{10C7769D-1456-4BBF-9E02-EF19378B3A29}" xr6:coauthVersionLast="47" xr6:coauthVersionMax="47" xr10:uidLastSave="{00000000-0000-0000-0000-000000000000}"/>
  <bookViews>
    <workbookView xWindow="0" yWindow="435" windowWidth="10800" windowHeight="10485" firstSheet="1" activeTab="1" xr2:uid="{50D7AE4F-D911-4AB4-811B-56CE704B63E8}"/>
  </bookViews>
  <sheets>
    <sheet name="TEMPLATE" sheetId="1" state="hidden" r:id="rId1"/>
    <sheet name="BUTTON" sheetId="11" r:id="rId2"/>
    <sheet name="PROCESSED" sheetId="127" r:id="rId3"/>
  </sheets>
  <functionGroups builtInGroupCount="19"/>
  <definedNames>
    <definedName name="_xlnm._FilterDatabase" localSheetId="2" hidden="1">PROCESSED!$A$2:$T$37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37" i="127" l="1"/>
  <c r="S36" i="127"/>
  <c r="T36" i="127"/>
  <c r="T3" i="127"/>
  <c r="T4" i="127"/>
  <c r="T5" i="127"/>
  <c r="T6" i="127"/>
  <c r="T7" i="127"/>
  <c r="T8" i="127"/>
  <c r="T9" i="127"/>
  <c r="T10" i="127"/>
  <c r="T11" i="127"/>
  <c r="T12" i="127"/>
  <c r="T13" i="127"/>
  <c r="T14" i="127"/>
  <c r="T15" i="127"/>
  <c r="T16" i="127"/>
  <c r="T17" i="127"/>
  <c r="T18" i="127"/>
  <c r="T19" i="127"/>
  <c r="T20" i="127"/>
  <c r="T21" i="127"/>
  <c r="T22" i="127"/>
  <c r="T23" i="127"/>
  <c r="T24" i="127"/>
  <c r="T25" i="127"/>
  <c r="T26" i="127"/>
  <c r="T27" i="127"/>
  <c r="T28" i="127"/>
  <c r="T29" i="127"/>
  <c r="T30" i="127"/>
  <c r="T31" i="127"/>
  <c r="T32" i="127"/>
  <c r="T33" i="127"/>
  <c r="T34" i="127"/>
  <c r="T35" i="127"/>
  <c r="S3" i="127"/>
  <c r="S4" i="127"/>
  <c r="S5" i="127"/>
  <c r="S6" i="127"/>
  <c r="S7" i="127"/>
  <c r="S8" i="127"/>
  <c r="S9" i="127"/>
  <c r="S10" i="127"/>
  <c r="S11" i="127"/>
  <c r="S12" i="127"/>
  <c r="S13" i="127"/>
  <c r="S14" i="127"/>
  <c r="S15" i="127"/>
  <c r="S16" i="127"/>
  <c r="S17" i="127"/>
  <c r="S18" i="127"/>
  <c r="S19" i="127"/>
  <c r="S20" i="127"/>
  <c r="S21" i="127"/>
  <c r="S22" i="127"/>
  <c r="S23" i="127"/>
  <c r="S24" i="127"/>
  <c r="S25" i="127"/>
  <c r="S26" i="127"/>
  <c r="S27" i="127"/>
  <c r="S28" i="127"/>
  <c r="S29" i="127"/>
  <c r="S30" i="127"/>
  <c r="S31" i="127"/>
  <c r="S32" i="127"/>
  <c r="S33" i="127"/>
  <c r="S34" i="127"/>
  <c r="S35" i="127"/>
  <c r="P3" i="127"/>
  <c r="P4" i="127"/>
  <c r="P5" i="127"/>
  <c r="P6" i="127"/>
  <c r="P7" i="127"/>
  <c r="P8" i="127"/>
  <c r="P9" i="127"/>
  <c r="P10" i="127"/>
  <c r="P11" i="127"/>
  <c r="P12" i="127"/>
  <c r="P13" i="127"/>
  <c r="P14" i="127"/>
  <c r="P15" i="127"/>
  <c r="P16" i="127"/>
  <c r="P17" i="127"/>
  <c r="P18" i="127"/>
  <c r="P19" i="127"/>
  <c r="P20" i="127"/>
  <c r="P21" i="127"/>
  <c r="P22" i="127"/>
  <c r="P23" i="127"/>
  <c r="P24" i="127"/>
  <c r="P25" i="127"/>
  <c r="P26" i="127"/>
  <c r="P27" i="127"/>
  <c r="P28" i="127"/>
  <c r="P29" i="127"/>
  <c r="P30" i="127"/>
  <c r="P31" i="127"/>
  <c r="P32" i="127"/>
  <c r="P33" i="127"/>
  <c r="P34" i="127"/>
  <c r="P35" i="127"/>
  <c r="O3" i="127"/>
  <c r="O4" i="127"/>
  <c r="O5" i="127"/>
  <c r="O6" i="127"/>
  <c r="O7" i="127"/>
  <c r="O8" i="127"/>
  <c r="O9" i="127"/>
  <c r="O10" i="127"/>
  <c r="O11" i="127"/>
  <c r="O12" i="127"/>
  <c r="O13" i="127"/>
  <c r="O14" i="127"/>
  <c r="O15" i="127"/>
  <c r="O16" i="127"/>
  <c r="O17" i="127"/>
  <c r="O18" i="127"/>
  <c r="O19" i="127"/>
  <c r="O20" i="127"/>
  <c r="O21" i="127"/>
  <c r="O22" i="127"/>
  <c r="O23" i="127"/>
  <c r="O24" i="127"/>
  <c r="O25" i="127"/>
  <c r="O26" i="127"/>
  <c r="O27" i="127"/>
  <c r="O28" i="127"/>
  <c r="O29" i="127"/>
  <c r="O30" i="127"/>
  <c r="O31" i="127"/>
  <c r="O32" i="127"/>
  <c r="O33" i="127"/>
  <c r="O34" i="127"/>
  <c r="O35" i="127"/>
  <c r="N3" i="127"/>
  <c r="N4" i="127"/>
  <c r="N5" i="127"/>
  <c r="N6" i="127"/>
  <c r="N7" i="127"/>
  <c r="N8" i="127"/>
  <c r="N9" i="127"/>
  <c r="N10" i="127"/>
  <c r="N11" i="127"/>
  <c r="N12" i="127"/>
  <c r="N13" i="127"/>
  <c r="N14" i="127"/>
  <c r="N15" i="127"/>
  <c r="N16" i="127"/>
  <c r="N17" i="127"/>
  <c r="N18" i="127"/>
  <c r="N19" i="127"/>
  <c r="N20" i="127"/>
  <c r="N21" i="127"/>
  <c r="N22" i="127"/>
  <c r="N23" i="127"/>
  <c r="N24" i="127"/>
  <c r="N25" i="127"/>
  <c r="N26" i="127"/>
  <c r="N27" i="127"/>
  <c r="N28" i="127"/>
  <c r="N29" i="127"/>
  <c r="N30" i="127"/>
  <c r="N31" i="127"/>
  <c r="N32" i="127"/>
  <c r="N33" i="127"/>
  <c r="N34" i="127"/>
  <c r="N35" i="127"/>
</calcChain>
</file>

<file path=xl/sharedStrings.xml><?xml version="1.0" encoding="utf-8"?>
<sst xmlns="http://schemas.openxmlformats.org/spreadsheetml/2006/main" count="260" uniqueCount="55">
  <si>
    <t>BUYER</t>
  </si>
  <si>
    <t>KATEGORI</t>
  </si>
  <si>
    <t>SUPLIER</t>
  </si>
  <si>
    <t>COLOUR</t>
  </si>
  <si>
    <t>WO#</t>
  </si>
  <si>
    <t>OR#</t>
  </si>
  <si>
    <t>ITEM</t>
  </si>
  <si>
    <t>FACTORY</t>
  </si>
  <si>
    <t>PO GARMENT</t>
  </si>
  <si>
    <t>QTY ORDER (PCS)</t>
  </si>
  <si>
    <t>MA LECTRA</t>
  </si>
  <si>
    <t>CONS ACT</t>
  </si>
  <si>
    <t>CONS WS</t>
  </si>
  <si>
    <t>CONS GCC</t>
  </si>
  <si>
    <t>UNIT PRICE</t>
  </si>
  <si>
    <t>NAMA FACTORY</t>
  </si>
  <si>
    <t>KALIBENDA</t>
  </si>
  <si>
    <t>.xlsx</t>
  </si>
  <si>
    <t>ADIDAS</t>
  </si>
  <si>
    <t>BODY</t>
  </si>
  <si>
    <t>STYLE</t>
  </si>
  <si>
    <t>% SAVE</t>
  </si>
  <si>
    <t>QTY RICEIVE</t>
  </si>
  <si>
    <t>SAVE (Y)</t>
  </si>
  <si>
    <t>SATUAN (UOM)</t>
  </si>
  <si>
    <t>AMOUNT SAVE  CONSP FLEX OFFER(USD)</t>
  </si>
  <si>
    <t>BLACK</t>
  </si>
  <si>
    <t xml:space="preserve">    </t>
  </si>
  <si>
    <t>GREY</t>
  </si>
  <si>
    <t>MA Lectra VS Aktual Produksi Flex Offer</t>
  </si>
  <si>
    <t>PATH FILE SUMBER</t>
  </si>
  <si>
    <t>NAMA FILE</t>
  </si>
  <si>
    <t>EXT. FILE</t>
  </si>
  <si>
    <t>PATH FILE HASIL</t>
  </si>
  <si>
    <t>YD</t>
  </si>
  <si>
    <t>Monitoring Pemakaian Fabric Dari Hasil Cutting PERMINGGU</t>
  </si>
  <si>
    <t>\\10.8.0.35\bersama\IT\RPA 00\MACRO MA\HASIL MAKRO</t>
  </si>
  <si>
    <t>GM1</t>
  </si>
  <si>
    <t>GM2</t>
  </si>
  <si>
    <t>\\10.8.0.35\Bersama\IT\RPA 00\INPUT USER\KONFIRMASI</t>
  </si>
  <si>
    <t>BARIS AWAL</t>
  </si>
  <si>
    <r>
      <t xml:space="preserve">¤ SETTING </t>
    </r>
    <r>
      <rPr>
        <b/>
        <sz val="11"/>
        <color theme="1"/>
        <rFont val="Anonymous Pro"/>
        <family val="3"/>
      </rPr>
      <t>¤</t>
    </r>
  </si>
  <si>
    <t>TEAM ROYAL BLUE</t>
  </si>
  <si>
    <t>ONIX</t>
  </si>
  <si>
    <t>-</t>
  </si>
  <si>
    <t>KG</t>
  </si>
  <si>
    <t>YARD</t>
  </si>
  <si>
    <t>DARK BLUE</t>
  </si>
  <si>
    <t>DRIFT WONDER ALUMINA-PUTTY BEIGE</t>
  </si>
  <si>
    <t>CARBON</t>
  </si>
  <si>
    <t>AURORA RUBY</t>
  </si>
  <si>
    <t>HEATHER BLACK</t>
  </si>
  <si>
    <t>HEATHER TEAM ROYAL BLUE</t>
  </si>
  <si>
    <t>HEATHER DARK GREY</t>
  </si>
  <si>
    <t>SPRINT BETTER SCARLET-ACTIVE MAROON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</si>
</sst>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;[Red]0.0%"/>
    <numFmt numFmtId="165" formatCode="_(&quot;$&quot;* #,##0.00_);[Red]_(&quot;$&quot;* \(#,##0.00\);_(&quot;$&quot;* &quot;-&quot;??_);_(@_)"/>
    <numFmt numFmtId="166" formatCode="0.0%"/>
  </numFmts>
  <fonts count="8">
    <font>
      <sz val="11"/>
      <color theme="1"/>
      <name val="Calibri"/>
      <family val="2"/>
      <scheme val="minor"/>
    </font>
    <font>
      <b/>
      <sz val="14"/>
      <color theme="1"/>
      <name val="Trebuchet MS"/>
      <family val="2"/>
    </font>
    <font>
      <sz val="11"/>
      <color theme="1"/>
      <name val="Century Gothic"/>
      <family val="2"/>
    </font>
    <font>
      <u/>
      <sz val="11"/>
      <color theme="10"/>
      <name val="Calibri"/>
      <family val="2"/>
      <scheme val="minor"/>
    </font>
    <font>
      <b/>
      <sz val="14"/>
      <color rgb="FFFFFFFF"/>
      <name val="Trebuchet MS"/>
      <family val="2"/>
    </font>
    <font>
      <b/>
      <sz val="11"/>
      <color theme="1"/>
      <name val="Century Gothic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nonymous Pro"/>
      <family val="3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7EFFF"/>
      </patternFill>
    </fill>
    <fill>
      <patternFill patternType="solid">
        <fgColor rgb="FF204F54"/>
        <bgColor rgb="FFF7EFFF"/>
      </patternFill>
    </fill>
    <fill>
      <patternFill patternType="solid">
        <fgColor rgb="FFE7F8F9"/>
        <bgColor rgb="FFF7EFFF"/>
      </patternFill>
    </fill>
    <fill>
      <patternFill patternType="solid">
        <fgColor rgb="FF34828C"/>
        <bgColor rgb="FFF7EFFF"/>
      </patternFill>
    </fill>
    <fill>
      <patternFill patternType="solid">
        <fgColor rgb="FF46ADB8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 vertical="center"/>
    </xf>
    <xf numFmtId="164" fontId="2" fillId="0" borderId="0" xfId="0" applyNumberFormat="1" applyFont="1"/>
    <xf numFmtId="165" fontId="2" fillId="0" borderId="0" xfId="0" applyNumberFormat="1" applyFont="1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64" fontId="4" fillId="3" borderId="1" xfId="0" applyNumberFormat="1" applyFont="1" applyFill="1" applyBorder="1" applyAlignment="1">
      <alignment horizontal="center" vertical="center" wrapText="1"/>
    </xf>
    <xf numFmtId="165" fontId="4" fillId="3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/>
    <xf numFmtId="0" fontId="0" fillId="2" borderId="1" xfId="0" applyFill="1" applyBorder="1" applyAlignment="1">
      <alignment horizontal="center" vertical="center"/>
    </xf>
    <xf numFmtId="164" fontId="2" fillId="2" borderId="1" xfId="0" applyNumberFormat="1" applyFont="1" applyFill="1" applyBorder="1"/>
    <xf numFmtId="165" fontId="2" fillId="2" borderId="1" xfId="0" applyNumberFormat="1" applyFont="1" applyFill="1" applyBorder="1"/>
    <xf numFmtId="0" fontId="2" fillId="4" borderId="1" xfId="0" applyFont="1" applyFill="1" applyBorder="1"/>
    <xf numFmtId="0" fontId="0" fillId="4" borderId="1" xfId="0" applyFill="1" applyBorder="1" applyAlignment="1">
      <alignment horizontal="center" vertical="center"/>
    </xf>
    <xf numFmtId="164" fontId="2" fillId="4" borderId="1" xfId="0" applyNumberFormat="1" applyFont="1" applyFill="1" applyBorder="1"/>
    <xf numFmtId="165" fontId="2" fillId="4" borderId="1" xfId="0" applyNumberFormat="1" applyFont="1" applyFill="1" applyBorder="1"/>
    <xf numFmtId="0" fontId="5" fillId="0" borderId="0" xfId="0" applyFont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3" fillId="0" borderId="8" xfId="1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left"/>
    </xf>
    <xf numFmtId="0" fontId="5" fillId="0" borderId="1" xfId="0" applyFont="1" applyBorder="1"/>
    <xf numFmtId="0" fontId="6" fillId="0" borderId="1" xfId="0" applyFont="1" applyBorder="1" applyAlignment="1">
      <alignment horizontal="center" vertical="center"/>
    </xf>
    <xf numFmtId="164" fontId="5" fillId="0" borderId="1" xfId="0" applyNumberFormat="1" applyFont="1" applyBorder="1"/>
    <xf numFmtId="166" fontId="5" fillId="0" borderId="1" xfId="0" applyNumberFormat="1" applyFont="1" applyBorder="1"/>
    <xf numFmtId="0" fontId="5" fillId="0" borderId="0" xfId="0" applyFont="1"/>
    <xf numFmtId="0" fontId="5" fillId="7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46ADB8"/>
      <color rgb="FF66BDC6"/>
      <color rgb="FF1F4C51"/>
      <color rgb="FFE7F8F9"/>
      <color rgb="FFDEF5F6"/>
      <color rgb="FFD6F2ED"/>
      <color rgb="FFE1F2F3"/>
      <color rgb="FF204F54"/>
      <color rgb="FF29676D"/>
      <color rgb="FF3484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9</xdr:row>
      <xdr:rowOff>180975</xdr:rowOff>
    </xdr:from>
    <xdr:to>
      <xdr:col>2</xdr:col>
      <xdr:colOff>361950</xdr:colOff>
      <xdr:row>12</xdr:row>
      <xdr:rowOff>123825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2EC7CC5-1B09-53C7-2C48-8BE671DB6F65}"/>
            </a:ext>
          </a:extLst>
        </xdr:cNvPr>
        <xdr:cNvSpPr/>
      </xdr:nvSpPr>
      <xdr:spPr>
        <a:xfrm>
          <a:off x="714375" y="2000250"/>
          <a:ext cx="1466850" cy="514350"/>
        </a:xfrm>
        <a:prstGeom prst="roundRect">
          <a:avLst/>
        </a:prstGeom>
        <a:solidFill>
          <a:srgbClr val="66BDC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harsh" dir="t"/>
        </a:scene3d>
        <a:sp3d contourW="25400" prstMaterial="matte">
          <a:bevelT w="717550" h="114300" prst="coolSlant"/>
          <a:bevelB w="158750" prst="relaxedInset"/>
          <a:contourClr>
            <a:srgbClr val="46ADB8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Century Gothic" panose="020B0502020202020204" pitchFamily="34" charset="0"/>
            </a:rPr>
            <a:t>PROSES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\INPUT%20USER\KONFIRMASI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0E2D2-218D-475E-BC33-8D357D3D73CE}">
  <sheetPr codeName="Sheet1">
    <tabColor rgb="FFAE0737"/>
  </sheetPr>
  <dimension ref="A1:T2"/>
  <sheetViews>
    <sheetView topLeftCell="H1" workbookViewId="0">
      <selection activeCell="S2" sqref="S2"/>
    </sheetView>
  </sheetViews>
  <sheetFormatPr defaultRowHeight="16.5"/>
  <cols>
    <col min="1" max="1" width="15.42578125" style="3" customWidth="1"/>
    <col min="2" max="2" width="14.7109375" style="3" customWidth="1"/>
    <col min="3" max="3" width="17.85546875" style="3" customWidth="1"/>
    <col min="4" max="4" width="18.140625" style="3" customWidth="1"/>
    <col min="5" max="5" width="11.85546875" style="3" bestFit="1" customWidth="1"/>
    <col min="6" max="8" width="16.5703125" style="3" customWidth="1"/>
    <col min="9" max="10" width="9.140625" style="3"/>
    <col min="11" max="11" width="17.85546875" style="3" customWidth="1"/>
    <col min="12" max="12" width="16" style="3" bestFit="1" customWidth="1"/>
    <col min="13" max="16" width="16.28515625" style="3" customWidth="1"/>
    <col min="17" max="17" width="15.7109375" style="3" bestFit="1" customWidth="1"/>
    <col min="18" max="18" width="11.5703125" style="3" bestFit="1" customWidth="1"/>
    <col min="19" max="19" width="16" style="3" bestFit="1" customWidth="1"/>
    <col min="20" max="20" width="22.28515625" style="3" customWidth="1"/>
    <col min="21" max="16384" width="9.140625" style="3"/>
  </cols>
  <sheetData>
    <row r="1" spans="1:20" customFormat="1" ht="15">
      <c r="L1" t="s">
        <v>12</v>
      </c>
      <c r="M1" t="s">
        <v>13</v>
      </c>
    </row>
    <row r="2" spans="1:20" s="1" customFormat="1" ht="60.75" customHeight="1">
      <c r="A2" s="2" t="s">
        <v>7</v>
      </c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20</v>
      </c>
      <c r="H2" s="1" t="s">
        <v>8</v>
      </c>
      <c r="I2" s="2" t="s">
        <v>5</v>
      </c>
      <c r="J2" s="2" t="s">
        <v>6</v>
      </c>
      <c r="K2" s="1" t="s">
        <v>9</v>
      </c>
      <c r="L2" s="2" t="s">
        <v>10</v>
      </c>
      <c r="M2" s="1" t="s">
        <v>11</v>
      </c>
      <c r="N2" s="1" t="s">
        <v>21</v>
      </c>
      <c r="O2" s="1" t="s">
        <v>22</v>
      </c>
      <c r="P2" s="1" t="s">
        <v>23</v>
      </c>
      <c r="Q2" s="2" t="s">
        <v>14</v>
      </c>
      <c r="R2" s="1" t="s">
        <v>24</v>
      </c>
      <c r="S2" s="2" t="s">
        <v>10</v>
      </c>
      <c r="T2" s="1" t="s">
        <v>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A7437-D841-4351-9F29-055F7EC59FB3}">
  <sheetPr codeName="Sheet3">
    <tabColor rgb="FF72DB04"/>
  </sheetPr>
  <dimension ref="B2:J8"/>
  <sheetViews>
    <sheetView showGridLines="0" tabSelected="1" workbookViewId="0"/>
  </sheetViews>
  <sheetFormatPr defaultRowHeight="15"/>
  <cols>
    <col min="2" max="2" width="18.140625" bestFit="1" customWidth="1"/>
    <col min="5" max="5" width="40.28515625" bestFit="1" customWidth="1"/>
    <col min="6" max="6" width="55.140625" bestFit="1" customWidth="1"/>
    <col min="7" max="7" width="9.28515625" bestFit="1" customWidth="1"/>
    <col min="9" max="9" width="11.85546875" bestFit="1" customWidth="1"/>
  </cols>
  <sheetData>
    <row r="2" spans="2:10" ht="15.75" thickBot="1"/>
    <row r="3" spans="2:10" ht="20.25" customHeight="1">
      <c r="B3" s="20" t="s">
        <v>15</v>
      </c>
      <c r="C3" s="19"/>
      <c r="D3" s="19"/>
      <c r="E3" s="23" t="s">
        <v>30</v>
      </c>
      <c r="F3" s="24" t="s">
        <v>31</v>
      </c>
      <c r="G3" s="25" t="s">
        <v>32</v>
      </c>
      <c r="I3" s="35" t="s">
        <v>41</v>
      </c>
      <c r="J3" s="35"/>
    </row>
    <row r="4" spans="2:10" ht="15.75" thickBot="1">
      <c r="B4" s="21" t="s">
        <v>37</v>
      </c>
      <c r="E4" s="26" t="s">
        <v>39</v>
      </c>
      <c r="F4" s="27" t="s">
        <v>35</v>
      </c>
      <c r="G4" s="28" t="s">
        <v>17</v>
      </c>
      <c r="I4" s="29" t="s">
        <v>40</v>
      </c>
      <c r="J4" s="29">
        <v>11</v>
      </c>
    </row>
    <row r="5" spans="2:10">
      <c r="B5" s="21" t="s">
        <v>38</v>
      </c>
    </row>
    <row r="6" spans="2:10" ht="15.75" thickBot="1">
      <c r="B6" s="22" t="s">
        <v>16</v>
      </c>
      <c r="E6" t="s">
        <v>27</v>
      </c>
    </row>
    <row r="7" spans="2:10">
      <c r="E7" s="23" t="s">
        <v>33</v>
      </c>
      <c r="F7" s="24" t="s">
        <v>31</v>
      </c>
      <c r="G7" s="25" t="s">
        <v>32</v>
      </c>
    </row>
    <row r="8" spans="2:10" ht="15.75" thickBot="1">
      <c r="E8" s="26" t="s">
        <v>36</v>
      </c>
      <c r="F8" s="27" t="s">
        <v>29</v>
      </c>
      <c r="G8" s="28" t="s">
        <v>17</v>
      </c>
    </row>
  </sheetData>
  <mergeCells count="1">
    <mergeCell ref="I3:J3"/>
  </mergeCells>
  <hyperlinks>
    <hyperlink ref="E4" r:id="rId1" xr:uid="{DAA0151A-295C-4F91-B50D-71FE7F2B6B3F}"/>
  </hyperlink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53627-CE6A-410D-880B-F309A93CDC91}">
  <sheetPr codeName="Sheet2">
    <tabColor rgb="FF5B1857"/>
  </sheetPr>
  <dimension ref="A1:T37"/>
  <sheetViews>
    <sheetView workbookViewId="0">
      <pane ySplit="2" topLeftCell="A3" activePane="bottomLeft" state="frozen"/>
      <selection pane="bottomLeft" sqref="A1:T1"/>
    </sheetView>
  </sheetViews>
  <sheetFormatPr defaultRowHeight="16.5"/>
  <cols>
    <col min="1" max="1" width="14.5703125" style="3" customWidth="1"/>
    <col min="2" max="2" width="10.85546875" style="3" customWidth="1"/>
    <col min="3" max="3" width="15.28515625" style="3" customWidth="1"/>
    <col min="4" max="4" width="12.7109375" style="3" customWidth="1"/>
    <col min="5" max="5" width="44.5703125" style="3" customWidth="1"/>
    <col min="6" max="6" width="8.85546875" style="3" customWidth="1"/>
    <col min="7" max="7" width="10.42578125" style="3" customWidth="1"/>
    <col min="8" max="8" width="14.85546875" style="3" customWidth="1"/>
    <col min="9" max="9" width="11.140625" style="3" customWidth="1"/>
    <col min="10" max="10" width="8.85546875" style="3" customWidth="1"/>
    <col min="11" max="11" width="17.28515625" style="3" customWidth="1"/>
    <col min="12" max="12" width="17" style="3" customWidth="1"/>
    <col min="13" max="13" width="15.28515625" style="3" customWidth="1"/>
    <col min="14" max="14" width="11.42578125" style="5" customWidth="1"/>
    <col min="15" max="15" width="12.28515625" style="3" customWidth="1"/>
    <col min="16" max="16" width="13.42578125" style="3" customWidth="1"/>
    <col min="17" max="17" width="16.7109375" style="3" customWidth="1"/>
    <col min="18" max="18" width="12.5703125" style="3" customWidth="1"/>
    <col min="19" max="19" width="17" style="3" customWidth="1"/>
    <col min="20" max="20" width="21.7109375" style="6" customWidth="1"/>
    <col min="21" max="16384" width="9.140625" style="3"/>
  </cols>
  <sheetData>
    <row r="1" spans="1:20" s="4" customFormat="1" ht="24.95" customHeight="1">
      <c r="A1" s="36" t="s">
        <v>29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0" s="1" customFormat="1" ht="60.75" customHeight="1">
      <c r="A2" s="7" t="s">
        <v>7</v>
      </c>
      <c r="B2" s="7" t="s">
        <v>0</v>
      </c>
      <c r="C2" s="7" t="s">
        <v>1</v>
      </c>
      <c r="D2" s="7" t="s">
        <v>2</v>
      </c>
      <c r="E2" s="7" t="s">
        <v>3</v>
      </c>
      <c r="F2" s="7" t="s">
        <v>4</v>
      </c>
      <c r="G2" s="7" t="s">
        <v>20</v>
      </c>
      <c r="H2" s="8" t="s">
        <v>8</v>
      </c>
      <c r="I2" s="7" t="s">
        <v>5</v>
      </c>
      <c r="J2" s="7" t="s">
        <v>6</v>
      </c>
      <c r="K2" s="8" t="s">
        <v>9</v>
      </c>
      <c r="L2" s="7" t="s">
        <v>10</v>
      </c>
      <c r="M2" s="8" t="s">
        <v>11</v>
      </c>
      <c r="N2" s="9" t="s">
        <v>21</v>
      </c>
      <c r="O2" s="8" t="s">
        <v>22</v>
      </c>
      <c r="P2" s="8" t="s">
        <v>23</v>
      </c>
      <c r="Q2" s="7" t="s">
        <v>14</v>
      </c>
      <c r="R2" s="8" t="s">
        <v>24</v>
      </c>
      <c r="S2" s="7" t="s">
        <v>10</v>
      </c>
      <c r="T2" s="10" t="s">
        <v>25</v>
      </c>
    </row>
    <row r="3" spans="1:20" ht="18.600000000000001" customHeight="1">
      <c r="A3" s="11" t="s">
        <v>38</v>
      </c>
      <c r="B3" s="11" t="s">
        <v>18</v>
      </c>
      <c r="C3" s="11" t="s">
        <v>19</v>
      </c>
      <c r="D3" s="11" t="s">
        <v>44</v>
      </c>
      <c r="E3" s="11" t="s">
        <v>48</v>
      </c>
      <c r="F3" s="11">
        <v>184309</v>
      </c>
      <c r="G3" s="11">
        <v>982979</v>
      </c>
      <c r="H3" s="12"/>
      <c r="I3" s="11">
        <v>24001983</v>
      </c>
      <c r="J3" s="11">
        <v>295294</v>
      </c>
      <c r="K3" s="11">
        <v>1476</v>
      </c>
      <c r="L3" s="11">
        <v>0.36</v>
      </c>
      <c r="M3" s="11">
        <v>0.36</v>
      </c>
      <c r="N3" s="13">
        <f t="shared" ref="N3:N35" si="0">(L3-M3)/L3</f>
        <v>0</v>
      </c>
      <c r="O3" s="11">
        <f t="shared" ref="O3:O35" si="1">K3*L3</f>
        <v>531.36</v>
      </c>
      <c r="P3" s="11">
        <f t="shared" ref="P3:P35" si="2">N3*O3</f>
        <v>0</v>
      </c>
      <c r="Q3" s="11">
        <v>2.11</v>
      </c>
      <c r="R3" s="11" t="s">
        <v>46</v>
      </c>
      <c r="S3" s="14">
        <f t="shared" ref="S3:S35" si="3">IFERROR(ROUND(O3*Q3,0),0)</f>
        <v>1121</v>
      </c>
      <c r="T3" s="14">
        <f t="shared" ref="T3:T35" si="4">IFERROR(ROUND(Q3*P3,0),0)</f>
        <v>0</v>
      </c>
    </row>
    <row r="4" spans="1:20" ht="18.600000000000001" customHeight="1">
      <c r="A4" s="15" t="s">
        <v>38</v>
      </c>
      <c r="B4" s="15" t="s">
        <v>18</v>
      </c>
      <c r="C4" s="15" t="s">
        <v>19</v>
      </c>
      <c r="D4" s="15" t="s">
        <v>44</v>
      </c>
      <c r="E4" s="15" t="s">
        <v>49</v>
      </c>
      <c r="F4" s="15">
        <v>184309</v>
      </c>
      <c r="G4" s="15">
        <v>982979</v>
      </c>
      <c r="H4" s="16"/>
      <c r="I4" s="15">
        <v>24001983</v>
      </c>
      <c r="J4" s="15">
        <v>295288</v>
      </c>
      <c r="K4" s="15">
        <v>1476</v>
      </c>
      <c r="L4" s="15">
        <v>0.36</v>
      </c>
      <c r="M4" s="15">
        <v>0.36</v>
      </c>
      <c r="N4" s="17">
        <f t="shared" si="0"/>
        <v>0</v>
      </c>
      <c r="O4" s="15">
        <f t="shared" si="1"/>
        <v>531.36</v>
      </c>
      <c r="P4" s="15">
        <f t="shared" si="2"/>
        <v>0</v>
      </c>
      <c r="Q4" s="15">
        <v>1.67</v>
      </c>
      <c r="R4" s="15" t="s">
        <v>46</v>
      </c>
      <c r="S4" s="18">
        <f t="shared" si="3"/>
        <v>887</v>
      </c>
      <c r="T4" s="18">
        <f t="shared" si="4"/>
        <v>0</v>
      </c>
    </row>
    <row r="5" spans="1:20" ht="18.600000000000001" customHeight="1">
      <c r="A5" s="11" t="s">
        <v>38</v>
      </c>
      <c r="B5" s="11" t="s">
        <v>18</v>
      </c>
      <c r="C5" s="11" t="s">
        <v>19</v>
      </c>
      <c r="D5" s="11" t="s">
        <v>44</v>
      </c>
      <c r="E5" s="11" t="s">
        <v>43</v>
      </c>
      <c r="F5" s="11">
        <v>184309</v>
      </c>
      <c r="G5" s="11">
        <v>982979</v>
      </c>
      <c r="H5" s="12"/>
      <c r="I5" s="11">
        <v>24001983</v>
      </c>
      <c r="J5" s="11">
        <v>292582</v>
      </c>
      <c r="K5" s="11">
        <v>1476</v>
      </c>
      <c r="L5" s="11">
        <v>0.36</v>
      </c>
      <c r="M5" s="11">
        <v>0.36</v>
      </c>
      <c r="N5" s="13">
        <f t="shared" si="0"/>
        <v>0</v>
      </c>
      <c r="O5" s="11">
        <f t="shared" si="1"/>
        <v>531.36</v>
      </c>
      <c r="P5" s="11">
        <f t="shared" si="2"/>
        <v>0</v>
      </c>
      <c r="Q5" s="11">
        <v>1.67</v>
      </c>
      <c r="R5" s="11" t="s">
        <v>46</v>
      </c>
      <c r="S5" s="14">
        <f t="shared" si="3"/>
        <v>887</v>
      </c>
      <c r="T5" s="14">
        <f t="shared" si="4"/>
        <v>0</v>
      </c>
    </row>
    <row r="6" spans="1:20" ht="18.600000000000001" customHeight="1">
      <c r="A6" s="15" t="s">
        <v>38</v>
      </c>
      <c r="B6" s="15" t="s">
        <v>18</v>
      </c>
      <c r="C6" s="15" t="s">
        <v>19</v>
      </c>
      <c r="D6" s="15" t="s">
        <v>44</v>
      </c>
      <c r="E6" s="15" t="s">
        <v>50</v>
      </c>
      <c r="F6" s="15">
        <v>184296</v>
      </c>
      <c r="G6" s="15">
        <v>984120</v>
      </c>
      <c r="H6" s="16"/>
      <c r="I6" s="15">
        <v>24001970</v>
      </c>
      <c r="J6" s="15">
        <v>295258</v>
      </c>
      <c r="K6" s="15">
        <v>2232</v>
      </c>
      <c r="L6" s="15">
        <v>0.35299999999999998</v>
      </c>
      <c r="M6" s="15">
        <v>0.34399999999999997</v>
      </c>
      <c r="N6" s="17">
        <f t="shared" si="0"/>
        <v>2.5495750708215321E-2</v>
      </c>
      <c r="O6" s="15">
        <f t="shared" si="1"/>
        <v>787.89599999999996</v>
      </c>
      <c r="P6" s="15">
        <f t="shared" si="2"/>
        <v>20.088000000000019</v>
      </c>
      <c r="Q6" s="15">
        <v>2.14</v>
      </c>
      <c r="R6" s="15" t="s">
        <v>46</v>
      </c>
      <c r="S6" s="18">
        <f t="shared" si="3"/>
        <v>1686</v>
      </c>
      <c r="T6" s="18">
        <f t="shared" si="4"/>
        <v>43</v>
      </c>
    </row>
    <row r="7" spans="1:20" ht="18.600000000000001" customHeight="1">
      <c r="A7" s="11" t="s">
        <v>38</v>
      </c>
      <c r="B7" s="11" t="s">
        <v>18</v>
      </c>
      <c r="C7" s="11" t="s">
        <v>19</v>
      </c>
      <c r="D7" s="11" t="s">
        <v>44</v>
      </c>
      <c r="E7" s="11" t="s">
        <v>51</v>
      </c>
      <c r="F7" s="11">
        <v>184296</v>
      </c>
      <c r="G7" s="11">
        <v>984120</v>
      </c>
      <c r="H7" s="12"/>
      <c r="I7" s="11">
        <v>24001970</v>
      </c>
      <c r="J7" s="11">
        <v>295257</v>
      </c>
      <c r="K7" s="11">
        <v>2232</v>
      </c>
      <c r="L7" s="11">
        <v>0.35299999999999998</v>
      </c>
      <c r="M7" s="11">
        <v>0.34399999999999997</v>
      </c>
      <c r="N7" s="13">
        <f t="shared" si="0"/>
        <v>2.5495750708215321E-2</v>
      </c>
      <c r="O7" s="11">
        <f t="shared" si="1"/>
        <v>787.89599999999996</v>
      </c>
      <c r="P7" s="11">
        <f t="shared" si="2"/>
        <v>20.088000000000019</v>
      </c>
      <c r="Q7" s="11">
        <v>2.14</v>
      </c>
      <c r="R7" s="11" t="s">
        <v>46</v>
      </c>
      <c r="S7" s="14">
        <f t="shared" si="3"/>
        <v>1686</v>
      </c>
      <c r="T7" s="14">
        <f t="shared" si="4"/>
        <v>43</v>
      </c>
    </row>
    <row r="8" spans="1:20" ht="18.600000000000001" customHeight="1">
      <c r="A8" s="15" t="s">
        <v>38</v>
      </c>
      <c r="B8" s="15" t="s">
        <v>18</v>
      </c>
      <c r="C8" s="15" t="s">
        <v>19</v>
      </c>
      <c r="D8" s="15" t="s">
        <v>44</v>
      </c>
      <c r="E8" s="15" t="s">
        <v>26</v>
      </c>
      <c r="F8" s="15">
        <v>184296</v>
      </c>
      <c r="G8" s="15">
        <v>984120</v>
      </c>
      <c r="H8" s="16"/>
      <c r="I8" s="15">
        <v>24001970</v>
      </c>
      <c r="J8" s="15">
        <v>295256</v>
      </c>
      <c r="K8" s="15">
        <v>2232</v>
      </c>
      <c r="L8" s="15">
        <v>0.35299999999999998</v>
      </c>
      <c r="M8" s="15">
        <v>0.34399999999999997</v>
      </c>
      <c r="N8" s="17">
        <f t="shared" si="0"/>
        <v>2.5495750708215321E-2</v>
      </c>
      <c r="O8" s="15">
        <f t="shared" si="1"/>
        <v>787.89599999999996</v>
      </c>
      <c r="P8" s="15">
        <f t="shared" si="2"/>
        <v>20.088000000000019</v>
      </c>
      <c r="Q8" s="15">
        <v>2.1800000000000002</v>
      </c>
      <c r="R8" s="15" t="s">
        <v>46</v>
      </c>
      <c r="S8" s="18">
        <f t="shared" si="3"/>
        <v>1718</v>
      </c>
      <c r="T8" s="18">
        <f t="shared" si="4"/>
        <v>44</v>
      </c>
    </row>
    <row r="9" spans="1:20" ht="18.600000000000001" customHeight="1">
      <c r="A9" s="11" t="s">
        <v>38</v>
      </c>
      <c r="B9" s="11" t="s">
        <v>18</v>
      </c>
      <c r="C9" s="11" t="s">
        <v>19</v>
      </c>
      <c r="D9" s="11" t="s">
        <v>44</v>
      </c>
      <c r="E9" s="11" t="s">
        <v>50</v>
      </c>
      <c r="F9" s="11">
        <v>184297</v>
      </c>
      <c r="G9" s="11">
        <v>984120</v>
      </c>
      <c r="H9" s="12"/>
      <c r="I9" s="11">
        <v>24001971</v>
      </c>
      <c r="J9" s="11">
        <v>295258</v>
      </c>
      <c r="K9" s="11">
        <v>180</v>
      </c>
      <c r="L9" s="11">
        <v>0.42899999999999999</v>
      </c>
      <c r="M9" s="11">
        <v>0.42899999999999999</v>
      </c>
      <c r="N9" s="13">
        <f t="shared" si="0"/>
        <v>0</v>
      </c>
      <c r="O9" s="11">
        <f t="shared" si="1"/>
        <v>77.22</v>
      </c>
      <c r="P9" s="11">
        <f t="shared" si="2"/>
        <v>0</v>
      </c>
      <c r="Q9" s="11">
        <v>2.1800000000000002</v>
      </c>
      <c r="R9" s="11" t="s">
        <v>46</v>
      </c>
      <c r="S9" s="14">
        <f t="shared" si="3"/>
        <v>168</v>
      </c>
      <c r="T9" s="14">
        <f t="shared" si="4"/>
        <v>0</v>
      </c>
    </row>
    <row r="10" spans="1:20" ht="18.600000000000001" customHeight="1">
      <c r="A10" s="15" t="s">
        <v>38</v>
      </c>
      <c r="B10" s="15" t="s">
        <v>18</v>
      </c>
      <c r="C10" s="15" t="s">
        <v>19</v>
      </c>
      <c r="D10" s="15" t="s">
        <v>44</v>
      </c>
      <c r="E10" s="15" t="s">
        <v>51</v>
      </c>
      <c r="F10" s="15">
        <v>184297</v>
      </c>
      <c r="G10" s="15">
        <v>984120</v>
      </c>
      <c r="H10" s="16"/>
      <c r="I10" s="15">
        <v>24001971</v>
      </c>
      <c r="J10" s="15">
        <v>295257</v>
      </c>
      <c r="K10" s="15">
        <v>180</v>
      </c>
      <c r="L10" s="15">
        <v>0.42899999999999999</v>
      </c>
      <c r="M10" s="15">
        <v>0.42899999999999999</v>
      </c>
      <c r="N10" s="17">
        <f t="shared" si="0"/>
        <v>0</v>
      </c>
      <c r="O10" s="15">
        <f t="shared" si="1"/>
        <v>77.22</v>
      </c>
      <c r="P10" s="15">
        <f t="shared" si="2"/>
        <v>0</v>
      </c>
      <c r="Q10" s="15">
        <v>2.14</v>
      </c>
      <c r="R10" s="15" t="s">
        <v>46</v>
      </c>
      <c r="S10" s="18">
        <f t="shared" si="3"/>
        <v>165</v>
      </c>
      <c r="T10" s="18">
        <f t="shared" si="4"/>
        <v>0</v>
      </c>
    </row>
    <row r="11" spans="1:20" ht="18.600000000000001" customHeight="1">
      <c r="A11" s="11" t="s">
        <v>38</v>
      </c>
      <c r="B11" s="11" t="s">
        <v>18</v>
      </c>
      <c r="C11" s="11" t="s">
        <v>19</v>
      </c>
      <c r="D11" s="11" t="s">
        <v>44</v>
      </c>
      <c r="E11" s="11" t="s">
        <v>26</v>
      </c>
      <c r="F11" s="11">
        <v>184297</v>
      </c>
      <c r="G11" s="11">
        <v>984120</v>
      </c>
      <c r="H11" s="12"/>
      <c r="I11" s="11">
        <v>24001971</v>
      </c>
      <c r="J11" s="11">
        <v>295256</v>
      </c>
      <c r="K11" s="11">
        <v>180</v>
      </c>
      <c r="L11" s="11">
        <v>0.42899999999999999</v>
      </c>
      <c r="M11" s="11">
        <v>0.42899999999999999</v>
      </c>
      <c r="N11" s="13">
        <f t="shared" si="0"/>
        <v>0</v>
      </c>
      <c r="O11" s="11">
        <f t="shared" si="1"/>
        <v>77.22</v>
      </c>
      <c r="P11" s="11">
        <f t="shared" si="2"/>
        <v>0</v>
      </c>
      <c r="Q11" s="11">
        <v>2.1800000000000002</v>
      </c>
      <c r="R11" s="11" t="s">
        <v>46</v>
      </c>
      <c r="S11" s="14">
        <f t="shared" si="3"/>
        <v>168</v>
      </c>
      <c r="T11" s="14">
        <f t="shared" si="4"/>
        <v>0</v>
      </c>
    </row>
    <row r="12" spans="1:20" ht="18.600000000000001" customHeight="1">
      <c r="A12" s="15" t="s">
        <v>38</v>
      </c>
      <c r="B12" s="15" t="s">
        <v>18</v>
      </c>
      <c r="C12" s="15" t="s">
        <v>19</v>
      </c>
      <c r="D12" s="15" t="s">
        <v>44</v>
      </c>
      <c r="E12" s="15" t="s">
        <v>47</v>
      </c>
      <c r="F12" s="15">
        <v>184298</v>
      </c>
      <c r="G12" s="15">
        <v>984120</v>
      </c>
      <c r="H12" s="16"/>
      <c r="I12" s="15">
        <v>24001972</v>
      </c>
      <c r="J12" s="15">
        <v>295259</v>
      </c>
      <c r="K12" s="15">
        <v>2448</v>
      </c>
      <c r="L12" s="15">
        <v>0.35299999999999998</v>
      </c>
      <c r="M12" s="15">
        <v>0.34</v>
      </c>
      <c r="N12" s="17">
        <f t="shared" si="0"/>
        <v>3.6827195467421976E-2</v>
      </c>
      <c r="O12" s="15">
        <f t="shared" si="1"/>
        <v>864.14400000000001</v>
      </c>
      <c r="P12" s="15">
        <f t="shared" si="2"/>
        <v>31.823999999999895</v>
      </c>
      <c r="Q12" s="15">
        <v>2.1800000000000002</v>
      </c>
      <c r="R12" s="15" t="s">
        <v>46</v>
      </c>
      <c r="S12" s="18">
        <f t="shared" si="3"/>
        <v>1884</v>
      </c>
      <c r="T12" s="18">
        <f t="shared" si="4"/>
        <v>69</v>
      </c>
    </row>
    <row r="13" spans="1:20" ht="18.600000000000001" customHeight="1">
      <c r="A13" s="11" t="s">
        <v>38</v>
      </c>
      <c r="B13" s="11" t="s">
        <v>18</v>
      </c>
      <c r="C13" s="11" t="s">
        <v>19</v>
      </c>
      <c r="D13" s="11" t="s">
        <v>44</v>
      </c>
      <c r="E13" s="11" t="s">
        <v>52</v>
      </c>
      <c r="F13" s="11">
        <v>184298</v>
      </c>
      <c r="G13" s="11">
        <v>984120</v>
      </c>
      <c r="H13" s="12"/>
      <c r="I13" s="11">
        <v>24001972</v>
      </c>
      <c r="J13" s="11">
        <v>295260</v>
      </c>
      <c r="K13" s="11">
        <v>2448</v>
      </c>
      <c r="L13" s="11">
        <v>0.35299999999999998</v>
      </c>
      <c r="M13" s="11">
        <v>0.34</v>
      </c>
      <c r="N13" s="13">
        <f t="shared" si="0"/>
        <v>3.6827195467421976E-2</v>
      </c>
      <c r="O13" s="11">
        <f t="shared" si="1"/>
        <v>864.14400000000001</v>
      </c>
      <c r="P13" s="11">
        <f t="shared" si="2"/>
        <v>31.823999999999895</v>
      </c>
      <c r="Q13" s="11">
        <v>2.1800000000000002</v>
      </c>
      <c r="R13" s="11" t="s">
        <v>46</v>
      </c>
      <c r="S13" s="14">
        <f t="shared" si="3"/>
        <v>1884</v>
      </c>
      <c r="T13" s="14">
        <f t="shared" si="4"/>
        <v>69</v>
      </c>
    </row>
    <row r="14" spans="1:20" ht="18.600000000000001" customHeight="1">
      <c r="A14" s="15" t="s">
        <v>38</v>
      </c>
      <c r="B14" s="15" t="s">
        <v>18</v>
      </c>
      <c r="C14" s="15" t="s">
        <v>19</v>
      </c>
      <c r="D14" s="15" t="s">
        <v>44</v>
      </c>
      <c r="E14" s="15" t="s">
        <v>28</v>
      </c>
      <c r="F14" s="15">
        <v>184298</v>
      </c>
      <c r="G14" s="15">
        <v>984120</v>
      </c>
      <c r="H14" s="16"/>
      <c r="I14" s="15">
        <v>24001972</v>
      </c>
      <c r="J14" s="15">
        <v>295265</v>
      </c>
      <c r="K14" s="15">
        <v>2448</v>
      </c>
      <c r="L14" s="15">
        <v>0.35299999999999998</v>
      </c>
      <c r="M14" s="15">
        <v>0.34</v>
      </c>
      <c r="N14" s="17">
        <f t="shared" si="0"/>
        <v>3.6827195467421976E-2</v>
      </c>
      <c r="O14" s="15">
        <f t="shared" si="1"/>
        <v>864.14400000000001</v>
      </c>
      <c r="P14" s="15">
        <f t="shared" si="2"/>
        <v>31.823999999999895</v>
      </c>
      <c r="Q14" s="15">
        <v>0</v>
      </c>
      <c r="R14" s="15" t="s">
        <v>46</v>
      </c>
      <c r="S14" s="18">
        <f t="shared" si="3"/>
        <v>0</v>
      </c>
      <c r="T14" s="18">
        <f t="shared" si="4"/>
        <v>0</v>
      </c>
    </row>
    <row r="15" spans="1:20" ht="18.600000000000001" customHeight="1">
      <c r="A15" s="11" t="s">
        <v>38</v>
      </c>
      <c r="B15" s="11" t="s">
        <v>18</v>
      </c>
      <c r="C15" s="11" t="s">
        <v>19</v>
      </c>
      <c r="D15" s="11" t="s">
        <v>44</v>
      </c>
      <c r="E15" s="11" t="s">
        <v>49</v>
      </c>
      <c r="F15" s="11">
        <v>184299</v>
      </c>
      <c r="G15" s="11">
        <v>984120</v>
      </c>
      <c r="H15" s="12"/>
      <c r="I15" s="11">
        <v>24001973</v>
      </c>
      <c r="J15" s="11">
        <v>295272</v>
      </c>
      <c r="K15" s="11">
        <v>1584</v>
      </c>
      <c r="L15" s="11">
        <v>0.35299999999999998</v>
      </c>
      <c r="M15" s="11">
        <v>0.34899999999999998</v>
      </c>
      <c r="N15" s="13">
        <f t="shared" si="0"/>
        <v>1.133144475920681E-2</v>
      </c>
      <c r="O15" s="11">
        <f t="shared" si="1"/>
        <v>559.15199999999993</v>
      </c>
      <c r="P15" s="11">
        <f t="shared" si="2"/>
        <v>6.3360000000000056</v>
      </c>
      <c r="Q15" s="11">
        <v>2.14</v>
      </c>
      <c r="R15" s="11" t="s">
        <v>46</v>
      </c>
      <c r="S15" s="14">
        <f t="shared" si="3"/>
        <v>1197</v>
      </c>
      <c r="T15" s="14">
        <f t="shared" si="4"/>
        <v>14</v>
      </c>
    </row>
    <row r="16" spans="1:20" ht="18.600000000000001" customHeight="1">
      <c r="A16" s="15" t="s">
        <v>38</v>
      </c>
      <c r="B16" s="15" t="s">
        <v>18</v>
      </c>
      <c r="C16" s="15" t="s">
        <v>19</v>
      </c>
      <c r="D16" s="15" t="s">
        <v>44</v>
      </c>
      <c r="E16" s="15" t="s">
        <v>53</v>
      </c>
      <c r="F16" s="15">
        <v>184299</v>
      </c>
      <c r="G16" s="15">
        <v>984120</v>
      </c>
      <c r="H16" s="16"/>
      <c r="I16" s="15">
        <v>24001973</v>
      </c>
      <c r="J16" s="15">
        <v>295274</v>
      </c>
      <c r="K16" s="15">
        <v>1584</v>
      </c>
      <c r="L16" s="15">
        <v>0.35299999999999998</v>
      </c>
      <c r="M16" s="15">
        <v>0.34899999999999998</v>
      </c>
      <c r="N16" s="17">
        <f t="shared" si="0"/>
        <v>1.133144475920681E-2</v>
      </c>
      <c r="O16" s="15">
        <f t="shared" si="1"/>
        <v>559.15199999999993</v>
      </c>
      <c r="P16" s="15">
        <f t="shared" si="2"/>
        <v>6.3360000000000056</v>
      </c>
      <c r="Q16" s="15">
        <v>0</v>
      </c>
      <c r="R16" s="15" t="s">
        <v>46</v>
      </c>
      <c r="S16" s="18">
        <f t="shared" si="3"/>
        <v>0</v>
      </c>
      <c r="T16" s="18">
        <f t="shared" si="4"/>
        <v>0</v>
      </c>
    </row>
    <row r="17" spans="1:20" ht="18.600000000000001" customHeight="1">
      <c r="A17" s="11" t="s">
        <v>38</v>
      </c>
      <c r="B17" s="11" t="s">
        <v>18</v>
      </c>
      <c r="C17" s="11" t="s">
        <v>19</v>
      </c>
      <c r="D17" s="11" t="s">
        <v>44</v>
      </c>
      <c r="E17" s="11" t="s">
        <v>26</v>
      </c>
      <c r="F17" s="11">
        <v>184299</v>
      </c>
      <c r="G17" s="11">
        <v>984120</v>
      </c>
      <c r="H17" s="12"/>
      <c r="I17" s="11">
        <v>24001973</v>
      </c>
      <c r="J17" s="11">
        <v>295256</v>
      </c>
      <c r="K17" s="11">
        <v>1584</v>
      </c>
      <c r="L17" s="11">
        <v>0.35299999999999998</v>
      </c>
      <c r="M17" s="11">
        <v>0.34899999999999998</v>
      </c>
      <c r="N17" s="13">
        <f t="shared" si="0"/>
        <v>1.133144475920681E-2</v>
      </c>
      <c r="O17" s="11">
        <f t="shared" si="1"/>
        <v>559.15199999999993</v>
      </c>
      <c r="P17" s="11">
        <f t="shared" si="2"/>
        <v>6.3360000000000056</v>
      </c>
      <c r="Q17" s="11">
        <v>2.1800000000000002</v>
      </c>
      <c r="R17" s="11" t="s">
        <v>46</v>
      </c>
      <c r="S17" s="14">
        <f t="shared" si="3"/>
        <v>1219</v>
      </c>
      <c r="T17" s="14">
        <f t="shared" si="4"/>
        <v>14</v>
      </c>
    </row>
    <row r="18" spans="1:20" ht="18.600000000000001" customHeight="1">
      <c r="A18" s="15" t="s">
        <v>38</v>
      </c>
      <c r="B18" s="15" t="s">
        <v>18</v>
      </c>
      <c r="C18" s="15" t="s">
        <v>19</v>
      </c>
      <c r="D18" s="15" t="s">
        <v>44</v>
      </c>
      <c r="E18" s="15" t="s">
        <v>47</v>
      </c>
      <c r="F18" s="15">
        <v>184301</v>
      </c>
      <c r="G18" s="15">
        <v>984121</v>
      </c>
      <c r="H18" s="16"/>
      <c r="I18" s="15">
        <v>24001975</v>
      </c>
      <c r="J18" s="15">
        <v>295259</v>
      </c>
      <c r="K18" s="15">
        <v>2088</v>
      </c>
      <c r="L18" s="15">
        <v>0.30499999999999999</v>
      </c>
      <c r="M18" s="15">
        <v>0.29299999999999998</v>
      </c>
      <c r="N18" s="17">
        <f t="shared" si="0"/>
        <v>3.9344262295082005E-2</v>
      </c>
      <c r="O18" s="15">
        <f t="shared" si="1"/>
        <v>636.84</v>
      </c>
      <c r="P18" s="15">
        <f t="shared" si="2"/>
        <v>25.056000000000026</v>
      </c>
      <c r="Q18" s="15">
        <v>2.1800000000000002</v>
      </c>
      <c r="R18" s="15" t="s">
        <v>46</v>
      </c>
      <c r="S18" s="18">
        <f t="shared" si="3"/>
        <v>1388</v>
      </c>
      <c r="T18" s="18">
        <f t="shared" si="4"/>
        <v>55</v>
      </c>
    </row>
    <row r="19" spans="1:20" ht="18.600000000000001" customHeight="1">
      <c r="A19" s="11" t="s">
        <v>38</v>
      </c>
      <c r="B19" s="11" t="s">
        <v>18</v>
      </c>
      <c r="C19" s="11" t="s">
        <v>19</v>
      </c>
      <c r="D19" s="11" t="s">
        <v>44</v>
      </c>
      <c r="E19" s="11" t="s">
        <v>52</v>
      </c>
      <c r="F19" s="11">
        <v>184301</v>
      </c>
      <c r="G19" s="11">
        <v>984121</v>
      </c>
      <c r="H19" s="12"/>
      <c r="I19" s="11">
        <v>24001975</v>
      </c>
      <c r="J19" s="11">
        <v>295260</v>
      </c>
      <c r="K19" s="11">
        <v>2088</v>
      </c>
      <c r="L19" s="11">
        <v>0.30499999999999999</v>
      </c>
      <c r="M19" s="11">
        <v>0.29299999999999998</v>
      </c>
      <c r="N19" s="13">
        <f t="shared" si="0"/>
        <v>3.9344262295082005E-2</v>
      </c>
      <c r="O19" s="11">
        <f t="shared" si="1"/>
        <v>636.84</v>
      </c>
      <c r="P19" s="11">
        <f t="shared" si="2"/>
        <v>25.056000000000026</v>
      </c>
      <c r="Q19" s="11">
        <v>2.14</v>
      </c>
      <c r="R19" s="11" t="s">
        <v>46</v>
      </c>
      <c r="S19" s="14">
        <f t="shared" si="3"/>
        <v>1363</v>
      </c>
      <c r="T19" s="14">
        <f t="shared" si="4"/>
        <v>54</v>
      </c>
    </row>
    <row r="20" spans="1:20" ht="18.600000000000001" customHeight="1">
      <c r="A20" s="15" t="s">
        <v>38</v>
      </c>
      <c r="B20" s="15" t="s">
        <v>18</v>
      </c>
      <c r="C20" s="15" t="s">
        <v>19</v>
      </c>
      <c r="D20" s="15" t="s">
        <v>44</v>
      </c>
      <c r="E20" s="15" t="s">
        <v>28</v>
      </c>
      <c r="F20" s="15">
        <v>184301</v>
      </c>
      <c r="G20" s="15">
        <v>984121</v>
      </c>
      <c r="H20" s="16"/>
      <c r="I20" s="15">
        <v>24001975</v>
      </c>
      <c r="J20" s="15">
        <v>295265</v>
      </c>
      <c r="K20" s="15">
        <v>2088</v>
      </c>
      <c r="L20" s="15">
        <v>0.30499999999999999</v>
      </c>
      <c r="M20" s="15">
        <v>0.29299999999999998</v>
      </c>
      <c r="N20" s="17">
        <f t="shared" si="0"/>
        <v>3.9344262295082005E-2</v>
      </c>
      <c r="O20" s="15">
        <f t="shared" si="1"/>
        <v>636.84</v>
      </c>
      <c r="P20" s="15">
        <f t="shared" si="2"/>
        <v>25.056000000000026</v>
      </c>
      <c r="Q20" s="15">
        <v>2.1800000000000002</v>
      </c>
      <c r="R20" s="15" t="s">
        <v>46</v>
      </c>
      <c r="S20" s="18">
        <f t="shared" si="3"/>
        <v>1388</v>
      </c>
      <c r="T20" s="18">
        <f t="shared" si="4"/>
        <v>55</v>
      </c>
    </row>
    <row r="21" spans="1:20" ht="18.600000000000001" customHeight="1">
      <c r="A21" s="11" t="s">
        <v>38</v>
      </c>
      <c r="B21" s="11" t="s">
        <v>18</v>
      </c>
      <c r="C21" s="11" t="s">
        <v>19</v>
      </c>
      <c r="D21" s="11" t="s">
        <v>44</v>
      </c>
      <c r="E21" s="11" t="s">
        <v>47</v>
      </c>
      <c r="F21" s="11">
        <v>184302</v>
      </c>
      <c r="G21" s="11">
        <v>984121</v>
      </c>
      <c r="H21" s="12"/>
      <c r="I21" s="11">
        <v>24001976</v>
      </c>
      <c r="J21" s="11">
        <v>295259</v>
      </c>
      <c r="K21" s="11">
        <v>180</v>
      </c>
      <c r="L21" s="11">
        <v>0.374</v>
      </c>
      <c r="M21" s="11">
        <v>0.36399999999999999</v>
      </c>
      <c r="N21" s="13">
        <f t="shared" si="0"/>
        <v>2.6737967914438526E-2</v>
      </c>
      <c r="O21" s="11">
        <f t="shared" si="1"/>
        <v>67.319999999999993</v>
      </c>
      <c r="P21" s="11">
        <f t="shared" si="2"/>
        <v>1.8000000000000014</v>
      </c>
      <c r="Q21" s="11">
        <v>2.1800000000000002</v>
      </c>
      <c r="R21" s="11" t="s">
        <v>46</v>
      </c>
      <c r="S21" s="14">
        <f t="shared" si="3"/>
        <v>147</v>
      </c>
      <c r="T21" s="14">
        <f t="shared" si="4"/>
        <v>4</v>
      </c>
    </row>
    <row r="22" spans="1:20" ht="18.600000000000001" customHeight="1">
      <c r="A22" s="15" t="s">
        <v>38</v>
      </c>
      <c r="B22" s="15" t="s">
        <v>18</v>
      </c>
      <c r="C22" s="15" t="s">
        <v>19</v>
      </c>
      <c r="D22" s="15" t="s">
        <v>44</v>
      </c>
      <c r="E22" s="15" t="s">
        <v>52</v>
      </c>
      <c r="F22" s="15">
        <v>184302</v>
      </c>
      <c r="G22" s="15">
        <v>984121</v>
      </c>
      <c r="H22" s="16"/>
      <c r="I22" s="15">
        <v>24001976</v>
      </c>
      <c r="J22" s="15">
        <v>295260</v>
      </c>
      <c r="K22" s="15">
        <v>180</v>
      </c>
      <c r="L22" s="15">
        <v>0.374</v>
      </c>
      <c r="M22" s="15">
        <v>0.36399999999999999</v>
      </c>
      <c r="N22" s="17">
        <f t="shared" si="0"/>
        <v>2.6737967914438526E-2</v>
      </c>
      <c r="O22" s="15">
        <f t="shared" si="1"/>
        <v>67.319999999999993</v>
      </c>
      <c r="P22" s="15">
        <f t="shared" si="2"/>
        <v>1.8000000000000014</v>
      </c>
      <c r="Q22" s="15">
        <v>2.14</v>
      </c>
      <c r="R22" s="15" t="s">
        <v>46</v>
      </c>
      <c r="S22" s="18">
        <f t="shared" si="3"/>
        <v>144</v>
      </c>
      <c r="T22" s="18">
        <f t="shared" si="4"/>
        <v>4</v>
      </c>
    </row>
    <row r="23" spans="1:20" ht="18.600000000000001" customHeight="1">
      <c r="A23" s="11" t="s">
        <v>38</v>
      </c>
      <c r="B23" s="11" t="s">
        <v>18</v>
      </c>
      <c r="C23" s="11" t="s">
        <v>19</v>
      </c>
      <c r="D23" s="11" t="s">
        <v>44</v>
      </c>
      <c r="E23" s="11" t="s">
        <v>28</v>
      </c>
      <c r="F23" s="11">
        <v>184302</v>
      </c>
      <c r="G23" s="11">
        <v>984121</v>
      </c>
      <c r="H23" s="12"/>
      <c r="I23" s="11">
        <v>24001976</v>
      </c>
      <c r="J23" s="11">
        <v>295265</v>
      </c>
      <c r="K23" s="11">
        <v>180</v>
      </c>
      <c r="L23" s="11">
        <v>0.374</v>
      </c>
      <c r="M23" s="11">
        <v>0.36399999999999999</v>
      </c>
      <c r="N23" s="13">
        <f t="shared" si="0"/>
        <v>2.6737967914438526E-2</v>
      </c>
      <c r="O23" s="11">
        <f t="shared" si="1"/>
        <v>67.319999999999993</v>
      </c>
      <c r="P23" s="11">
        <f t="shared" si="2"/>
        <v>1.8000000000000014</v>
      </c>
      <c r="Q23" s="11">
        <v>2.1800000000000002</v>
      </c>
      <c r="R23" s="11" t="s">
        <v>46</v>
      </c>
      <c r="S23" s="14">
        <f t="shared" si="3"/>
        <v>147</v>
      </c>
      <c r="T23" s="14">
        <f t="shared" si="4"/>
        <v>4</v>
      </c>
    </row>
    <row r="24" spans="1:20" ht="18.600000000000001" customHeight="1">
      <c r="A24" s="15" t="s">
        <v>38</v>
      </c>
      <c r="B24" s="15" t="s">
        <v>18</v>
      </c>
      <c r="C24" s="15" t="s">
        <v>19</v>
      </c>
      <c r="D24" s="15" t="s">
        <v>44</v>
      </c>
      <c r="E24" s="15" t="s">
        <v>54</v>
      </c>
      <c r="F24" s="15">
        <v>184316</v>
      </c>
      <c r="G24" s="15">
        <v>983466</v>
      </c>
      <c r="H24" s="16"/>
      <c r="I24" s="15">
        <v>24001990</v>
      </c>
      <c r="J24" s="15">
        <v>292119</v>
      </c>
      <c r="K24" s="15">
        <v>2196</v>
      </c>
      <c r="L24" s="15">
        <v>0.19600000000000001</v>
      </c>
      <c r="M24" s="15">
        <v>0.19700000000000001</v>
      </c>
      <c r="N24" s="17">
        <f t="shared" si="0"/>
        <v>-5.1020408163265345E-3</v>
      </c>
      <c r="O24" s="15">
        <f t="shared" si="1"/>
        <v>430.416</v>
      </c>
      <c r="P24" s="15">
        <f t="shared" si="2"/>
        <v>-2.1960000000000015</v>
      </c>
      <c r="Q24" s="15">
        <v>0</v>
      </c>
      <c r="R24" s="15" t="s">
        <v>46</v>
      </c>
      <c r="S24" s="18">
        <f t="shared" si="3"/>
        <v>0</v>
      </c>
      <c r="T24" s="18">
        <f t="shared" si="4"/>
        <v>0</v>
      </c>
    </row>
    <row r="25" spans="1:20" ht="18.600000000000001" customHeight="1">
      <c r="A25" s="11" t="s">
        <v>38</v>
      </c>
      <c r="B25" s="11" t="s">
        <v>18</v>
      </c>
      <c r="C25" s="11" t="s">
        <v>19</v>
      </c>
      <c r="D25" s="11" t="s">
        <v>44</v>
      </c>
      <c r="E25" s="11" t="s">
        <v>26</v>
      </c>
      <c r="F25" s="11">
        <v>184316</v>
      </c>
      <c r="G25" s="11">
        <v>983466</v>
      </c>
      <c r="H25" s="12"/>
      <c r="I25" s="11">
        <v>24001990</v>
      </c>
      <c r="J25" s="11">
        <v>290059</v>
      </c>
      <c r="K25" s="11">
        <v>2196</v>
      </c>
      <c r="L25" s="11">
        <v>0.19600000000000001</v>
      </c>
      <c r="M25" s="11">
        <v>0.19700000000000001</v>
      </c>
      <c r="N25" s="13">
        <f t="shared" si="0"/>
        <v>-5.1020408163265345E-3</v>
      </c>
      <c r="O25" s="11">
        <f t="shared" si="1"/>
        <v>430.416</v>
      </c>
      <c r="P25" s="11">
        <f t="shared" si="2"/>
        <v>-2.1960000000000015</v>
      </c>
      <c r="Q25" s="11">
        <v>1.39</v>
      </c>
      <c r="R25" s="11" t="s">
        <v>46</v>
      </c>
      <c r="S25" s="14">
        <f t="shared" si="3"/>
        <v>598</v>
      </c>
      <c r="T25" s="14">
        <f t="shared" si="4"/>
        <v>-3</v>
      </c>
    </row>
    <row r="26" spans="1:20" ht="18.600000000000001" customHeight="1">
      <c r="A26" s="15" t="s">
        <v>38</v>
      </c>
      <c r="B26" s="15" t="s">
        <v>18</v>
      </c>
      <c r="C26" s="15" t="s">
        <v>19</v>
      </c>
      <c r="D26" s="15" t="s">
        <v>44</v>
      </c>
      <c r="E26" s="15" t="s">
        <v>49</v>
      </c>
      <c r="F26" s="15">
        <v>184316</v>
      </c>
      <c r="G26" s="15">
        <v>983466</v>
      </c>
      <c r="H26" s="16"/>
      <c r="I26" s="15">
        <v>24001990</v>
      </c>
      <c r="J26" s="15">
        <v>292105</v>
      </c>
      <c r="K26" s="15">
        <v>2196</v>
      </c>
      <c r="L26" s="15">
        <v>0.19600000000000001</v>
      </c>
      <c r="M26" s="15">
        <v>0.19700000000000001</v>
      </c>
      <c r="N26" s="17">
        <f t="shared" si="0"/>
        <v>-5.1020408163265345E-3</v>
      </c>
      <c r="O26" s="15">
        <f t="shared" si="1"/>
        <v>430.416</v>
      </c>
      <c r="P26" s="15">
        <f t="shared" si="2"/>
        <v>-2.1960000000000015</v>
      </c>
      <c r="Q26" s="15">
        <v>1.39</v>
      </c>
      <c r="R26" s="15" t="s">
        <v>46</v>
      </c>
      <c r="S26" s="18">
        <f t="shared" si="3"/>
        <v>598</v>
      </c>
      <c r="T26" s="18">
        <f t="shared" si="4"/>
        <v>-3</v>
      </c>
    </row>
    <row r="27" spans="1:20" ht="18.600000000000001" customHeight="1">
      <c r="A27" s="11" t="s">
        <v>38</v>
      </c>
      <c r="B27" s="11" t="s">
        <v>18</v>
      </c>
      <c r="C27" s="11" t="s">
        <v>19</v>
      </c>
      <c r="D27" s="11" t="s">
        <v>44</v>
      </c>
      <c r="E27" s="11" t="s">
        <v>28</v>
      </c>
      <c r="F27" s="11">
        <v>184316</v>
      </c>
      <c r="G27" s="11">
        <v>983466</v>
      </c>
      <c r="H27" s="12"/>
      <c r="I27" s="11">
        <v>24001990</v>
      </c>
      <c r="J27" s="11">
        <v>290061</v>
      </c>
      <c r="K27" s="11">
        <v>2196</v>
      </c>
      <c r="L27" s="11">
        <v>0.19600000000000001</v>
      </c>
      <c r="M27" s="11">
        <v>0.19700000000000001</v>
      </c>
      <c r="N27" s="13">
        <f t="shared" si="0"/>
        <v>-5.1020408163265345E-3</v>
      </c>
      <c r="O27" s="11">
        <f t="shared" si="1"/>
        <v>430.416</v>
      </c>
      <c r="P27" s="11">
        <f t="shared" si="2"/>
        <v>-2.1960000000000015</v>
      </c>
      <c r="Q27" s="11">
        <v>1.39</v>
      </c>
      <c r="R27" s="11" t="s">
        <v>46</v>
      </c>
      <c r="S27" s="14">
        <f t="shared" si="3"/>
        <v>598</v>
      </c>
      <c r="T27" s="14">
        <f t="shared" si="4"/>
        <v>-3</v>
      </c>
    </row>
    <row r="28" spans="1:20" ht="18.600000000000001" customHeight="1">
      <c r="A28" s="15" t="s">
        <v>16</v>
      </c>
      <c r="B28" s="15" t="s">
        <v>18</v>
      </c>
      <c r="C28" s="15" t="s">
        <v>19</v>
      </c>
      <c r="D28" s="15" t="s">
        <v>44</v>
      </c>
      <c r="E28" s="15" t="s">
        <v>26</v>
      </c>
      <c r="F28" s="15">
        <v>183753</v>
      </c>
      <c r="G28" s="15">
        <v>982983</v>
      </c>
      <c r="H28" s="16"/>
      <c r="I28" s="15">
        <v>24001845</v>
      </c>
      <c r="J28" s="15">
        <v>292586</v>
      </c>
      <c r="K28" s="15">
        <v>35748</v>
      </c>
      <c r="L28" s="15">
        <v>7.5999999999999998E-2</v>
      </c>
      <c r="M28" s="15">
        <v>7.2999999999999995E-2</v>
      </c>
      <c r="N28" s="17">
        <f t="shared" si="0"/>
        <v>3.9473684210526355E-2</v>
      </c>
      <c r="O28" s="15">
        <f t="shared" si="1"/>
        <v>2716.848</v>
      </c>
      <c r="P28" s="15">
        <f t="shared" si="2"/>
        <v>107.2440000000001</v>
      </c>
      <c r="Q28" s="15">
        <v>9.93</v>
      </c>
      <c r="R28" s="15" t="s">
        <v>45</v>
      </c>
      <c r="S28" s="18">
        <f t="shared" si="3"/>
        <v>26978</v>
      </c>
      <c r="T28" s="18">
        <f t="shared" si="4"/>
        <v>1065</v>
      </c>
    </row>
    <row r="29" spans="1:20" ht="18.600000000000001" customHeight="1">
      <c r="A29" s="11" t="s">
        <v>16</v>
      </c>
      <c r="B29" s="11" t="s">
        <v>18</v>
      </c>
      <c r="C29" s="11" t="s">
        <v>19</v>
      </c>
      <c r="D29" s="11" t="s">
        <v>44</v>
      </c>
      <c r="E29" s="11" t="s">
        <v>26</v>
      </c>
      <c r="F29" s="11">
        <v>183901</v>
      </c>
      <c r="G29" s="11">
        <v>984799</v>
      </c>
      <c r="H29" s="12"/>
      <c r="I29" s="11">
        <v>24001869</v>
      </c>
      <c r="J29" s="11">
        <v>290059</v>
      </c>
      <c r="K29" s="11">
        <v>61992</v>
      </c>
      <c r="L29" s="11">
        <v>0.32600000000000001</v>
      </c>
      <c r="M29" s="11">
        <v>0.32700000000000001</v>
      </c>
      <c r="N29" s="13">
        <f t="shared" si="0"/>
        <v>-3.0674846625766898E-3</v>
      </c>
      <c r="O29" s="11">
        <f t="shared" si="1"/>
        <v>20209.392</v>
      </c>
      <c r="P29" s="11">
        <f t="shared" si="2"/>
        <v>-61.992000000000054</v>
      </c>
      <c r="Q29" s="11">
        <v>1.39</v>
      </c>
      <c r="R29" s="11" t="s">
        <v>34</v>
      </c>
      <c r="S29" s="14">
        <f t="shared" si="3"/>
        <v>28091</v>
      </c>
      <c r="T29" s="14">
        <f t="shared" si="4"/>
        <v>-86</v>
      </c>
    </row>
    <row r="30" spans="1:20" ht="18.600000000000001" customHeight="1">
      <c r="A30" s="15" t="s">
        <v>16</v>
      </c>
      <c r="B30" s="15" t="s">
        <v>18</v>
      </c>
      <c r="C30" s="15" t="s">
        <v>19</v>
      </c>
      <c r="D30" s="15" t="s">
        <v>44</v>
      </c>
      <c r="E30" s="15" t="s">
        <v>26</v>
      </c>
      <c r="F30" s="15">
        <v>183902</v>
      </c>
      <c r="G30" s="15">
        <v>984799</v>
      </c>
      <c r="H30" s="16"/>
      <c r="I30" s="15">
        <v>24001870</v>
      </c>
      <c r="J30" s="15">
        <v>290059</v>
      </c>
      <c r="K30" s="15">
        <v>12096</v>
      </c>
      <c r="L30" s="15">
        <v>0.32600000000000001</v>
      </c>
      <c r="M30" s="15">
        <v>0.32700000000000001</v>
      </c>
      <c r="N30" s="17">
        <f t="shared" si="0"/>
        <v>-3.0674846625766898E-3</v>
      </c>
      <c r="O30" s="15">
        <f t="shared" si="1"/>
        <v>3943.2960000000003</v>
      </c>
      <c r="P30" s="15">
        <f t="shared" si="2"/>
        <v>-12.096000000000011</v>
      </c>
      <c r="Q30" s="15">
        <v>1.39</v>
      </c>
      <c r="R30" s="15" t="s">
        <v>34</v>
      </c>
      <c r="S30" s="18">
        <f t="shared" si="3"/>
        <v>5481</v>
      </c>
      <c r="T30" s="18">
        <f t="shared" si="4"/>
        <v>-17</v>
      </c>
    </row>
    <row r="31" spans="1:20" ht="18.600000000000001" customHeight="1">
      <c r="A31" s="11" t="s">
        <v>16</v>
      </c>
      <c r="B31" s="11" t="s">
        <v>18</v>
      </c>
      <c r="C31" s="11" t="s">
        <v>19</v>
      </c>
      <c r="D31" s="11" t="s">
        <v>44</v>
      </c>
      <c r="E31" s="11" t="s">
        <v>43</v>
      </c>
      <c r="F31" s="11">
        <v>183902</v>
      </c>
      <c r="G31" s="11">
        <v>984799</v>
      </c>
      <c r="H31" s="12"/>
      <c r="I31" s="11">
        <v>24001870</v>
      </c>
      <c r="J31" s="11">
        <v>290060</v>
      </c>
      <c r="K31" s="11">
        <v>12096</v>
      </c>
      <c r="L31" s="11">
        <v>0.32600000000000001</v>
      </c>
      <c r="M31" s="11">
        <v>0.32700000000000001</v>
      </c>
      <c r="N31" s="13">
        <f t="shared" si="0"/>
        <v>-3.0674846625766898E-3</v>
      </c>
      <c r="O31" s="11">
        <f t="shared" si="1"/>
        <v>3943.2960000000003</v>
      </c>
      <c r="P31" s="11">
        <f t="shared" si="2"/>
        <v>-12.096000000000011</v>
      </c>
      <c r="Q31" s="11">
        <v>1.39</v>
      </c>
      <c r="R31" s="11" t="s">
        <v>34</v>
      </c>
      <c r="S31" s="14">
        <f t="shared" si="3"/>
        <v>5481</v>
      </c>
      <c r="T31" s="14">
        <f t="shared" si="4"/>
        <v>-17</v>
      </c>
    </row>
    <row r="32" spans="1:20" ht="18.600000000000001" customHeight="1">
      <c r="A32" s="15" t="s">
        <v>16</v>
      </c>
      <c r="B32" s="15" t="s">
        <v>18</v>
      </c>
      <c r="C32" s="15" t="s">
        <v>19</v>
      </c>
      <c r="D32" s="15" t="s">
        <v>44</v>
      </c>
      <c r="E32" s="15" t="s">
        <v>26</v>
      </c>
      <c r="F32" s="15">
        <v>183902</v>
      </c>
      <c r="G32" s="15">
        <v>984799</v>
      </c>
      <c r="H32" s="16"/>
      <c r="I32" s="15">
        <v>24001870</v>
      </c>
      <c r="J32" s="15">
        <v>290059</v>
      </c>
      <c r="K32" s="15">
        <v>12096</v>
      </c>
      <c r="L32" s="15">
        <v>0.32600000000000001</v>
      </c>
      <c r="M32" s="15">
        <v>0.32700000000000001</v>
      </c>
      <c r="N32" s="17">
        <f t="shared" si="0"/>
        <v>-3.0674846625766898E-3</v>
      </c>
      <c r="O32" s="15">
        <f t="shared" si="1"/>
        <v>3943.2960000000003</v>
      </c>
      <c r="P32" s="15">
        <f t="shared" si="2"/>
        <v>-12.096000000000011</v>
      </c>
      <c r="Q32" s="15">
        <v>1.39</v>
      </c>
      <c r="R32" s="15" t="s">
        <v>34</v>
      </c>
      <c r="S32" s="18">
        <f t="shared" si="3"/>
        <v>5481</v>
      </c>
      <c r="T32" s="18">
        <f t="shared" si="4"/>
        <v>-17</v>
      </c>
    </row>
    <row r="33" spans="1:20" ht="18.600000000000001" customHeight="1">
      <c r="A33" s="11" t="s">
        <v>16</v>
      </c>
      <c r="B33" s="11" t="s">
        <v>18</v>
      </c>
      <c r="C33" s="11" t="s">
        <v>19</v>
      </c>
      <c r="D33" s="11" t="s">
        <v>44</v>
      </c>
      <c r="E33" s="11" t="s">
        <v>26</v>
      </c>
      <c r="F33" s="11">
        <v>183903</v>
      </c>
      <c r="G33" s="11">
        <v>984799</v>
      </c>
      <c r="H33" s="12"/>
      <c r="I33" s="11">
        <v>24001871</v>
      </c>
      <c r="J33" s="11">
        <v>290059</v>
      </c>
      <c r="K33" s="11">
        <v>3672</v>
      </c>
      <c r="L33" s="11">
        <v>0.32600000000000001</v>
      </c>
      <c r="M33" s="11">
        <v>0.32700000000000001</v>
      </c>
      <c r="N33" s="13">
        <f t="shared" si="0"/>
        <v>-3.0674846625766898E-3</v>
      </c>
      <c r="O33" s="11">
        <f t="shared" si="1"/>
        <v>1197.0720000000001</v>
      </c>
      <c r="P33" s="11">
        <f t="shared" si="2"/>
        <v>-3.6720000000000037</v>
      </c>
      <c r="Q33" s="11">
        <v>1.39</v>
      </c>
      <c r="R33" s="11" t="s">
        <v>34</v>
      </c>
      <c r="S33" s="14">
        <f t="shared" si="3"/>
        <v>1664</v>
      </c>
      <c r="T33" s="14">
        <f t="shared" si="4"/>
        <v>-5</v>
      </c>
    </row>
    <row r="34" spans="1:20" ht="18.600000000000001" customHeight="1">
      <c r="A34" s="15" t="s">
        <v>16</v>
      </c>
      <c r="B34" s="15" t="s">
        <v>18</v>
      </c>
      <c r="C34" s="15" t="s">
        <v>19</v>
      </c>
      <c r="D34" s="15" t="s">
        <v>44</v>
      </c>
      <c r="E34" s="15" t="s">
        <v>42</v>
      </c>
      <c r="F34" s="15">
        <v>183903</v>
      </c>
      <c r="G34" s="15">
        <v>984799</v>
      </c>
      <c r="H34" s="16"/>
      <c r="I34" s="15">
        <v>24001871</v>
      </c>
      <c r="J34" s="15">
        <v>292100</v>
      </c>
      <c r="K34" s="15">
        <v>3672</v>
      </c>
      <c r="L34" s="15">
        <v>0.32600000000000001</v>
      </c>
      <c r="M34" s="15">
        <v>0.32700000000000001</v>
      </c>
      <c r="N34" s="17">
        <f t="shared" si="0"/>
        <v>-3.0674846625766898E-3</v>
      </c>
      <c r="O34" s="15">
        <f t="shared" si="1"/>
        <v>1197.0720000000001</v>
      </c>
      <c r="P34" s="15">
        <f t="shared" si="2"/>
        <v>-3.6720000000000037</v>
      </c>
      <c r="Q34" s="15">
        <v>1.39</v>
      </c>
      <c r="R34" s="15" t="s">
        <v>34</v>
      </c>
      <c r="S34" s="18">
        <f t="shared" si="3"/>
        <v>1664</v>
      </c>
      <c r="T34" s="18">
        <f t="shared" si="4"/>
        <v>-5</v>
      </c>
    </row>
    <row r="35" spans="1:20" ht="18.600000000000001" customHeight="1">
      <c r="A35" s="11" t="s">
        <v>16</v>
      </c>
      <c r="B35" s="11" t="s">
        <v>18</v>
      </c>
      <c r="C35" s="11" t="s">
        <v>19</v>
      </c>
      <c r="D35" s="11" t="s">
        <v>44</v>
      </c>
      <c r="E35" s="11" t="s">
        <v>28</v>
      </c>
      <c r="F35" s="11">
        <v>183903</v>
      </c>
      <c r="G35" s="11">
        <v>984799</v>
      </c>
      <c r="H35" s="12"/>
      <c r="I35" s="11">
        <v>24001871</v>
      </c>
      <c r="J35" s="11">
        <v>290061</v>
      </c>
      <c r="K35" s="11">
        <v>3672</v>
      </c>
      <c r="L35" s="11">
        <v>0.32600000000000001</v>
      </c>
      <c r="M35" s="11">
        <v>0.32700000000000001</v>
      </c>
      <c r="N35" s="13">
        <f t="shared" si="0"/>
        <v>-3.0674846625766898E-3</v>
      </c>
      <c r="O35" s="11">
        <f t="shared" si="1"/>
        <v>1197.0720000000001</v>
      </c>
      <c r="P35" s="11">
        <f t="shared" si="2"/>
        <v>-3.6720000000000037</v>
      </c>
      <c r="Q35" s="11">
        <v>1.39</v>
      </c>
      <c r="R35" s="11" t="s">
        <v>34</v>
      </c>
      <c r="S35" s="14">
        <f t="shared" si="3"/>
        <v>1664</v>
      </c>
      <c r="T35" s="14">
        <f t="shared" si="4"/>
        <v>-5</v>
      </c>
    </row>
    <row r="36" spans="1:20" ht="18.600000000000001" customHeight="1">
      <c r="A36" s="15"/>
      <c r="B36" s="15"/>
      <c r="C36" s="15"/>
      <c r="D36" s="15"/>
      <c r="E36" s="15"/>
      <c r="F36" s="15"/>
      <c r="G36" s="15"/>
      <c r="H36" s="16"/>
      <c r="I36" s="15"/>
      <c r="J36" s="15"/>
      <c r="K36" s="15"/>
      <c r="L36" s="15"/>
      <c r="M36" s="15"/>
      <c r="N36" s="17"/>
      <c r="O36" s="15"/>
      <c r="P36" s="15"/>
      <c r="Q36" s="15"/>
      <c r="R36" s="15"/>
      <c r="S36" s="18">
        <f>SUM(S3:S35)</f>
        <v>97545</v>
      </c>
      <c r="T36" s="18">
        <f>SUM(T3:T35)</f>
        <v>1376</v>
      </c>
    </row>
    <row r="37" spans="1:20" s="34" customFormat="1" ht="15">
      <c r="A37" s="30"/>
      <c r="B37" s="30"/>
      <c r="C37" s="30"/>
      <c r="D37" s="30"/>
      <c r="E37" s="30"/>
      <c r="F37" s="30"/>
      <c r="G37" s="30"/>
      <c r="H37" s="31"/>
      <c r="I37" s="30"/>
      <c r="J37" s="30"/>
      <c r="K37" s="30"/>
      <c r="L37" s="30"/>
      <c r="M37" s="30"/>
      <c r="N37" s="32"/>
      <c r="O37" s="30"/>
      <c r="P37" s="30"/>
      <c r="Q37" s="30"/>
      <c r="R37" s="30"/>
      <c r="S37" s="30"/>
      <c r="T37" s="33">
        <f>T36/S36</f>
        <v>1.4106309908247475E-2</v>
      </c>
    </row>
  </sheetData>
  <autoFilter ref="A2:T37" xr:uid="{D0F53627-CE6A-410D-880B-F309A93CDC91}"/>
  <mergeCells count="1">
    <mergeCell ref="A1:T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BUTTON</vt:lpstr>
      <vt:lpstr>PROCESSED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2024-06-24T09:53:47Z</dcterms:created>
  <dcterms:modified xsi:type="dcterms:W3CDTF">2025-01-21T06:49:10Z</dcterms:modified>
</cp:coreProperties>
</file>