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"/>
    </mc:Choice>
  </mc:AlternateContent>
  <xr:revisionPtr revIDLastSave="0" documentId="13_ncr:1_{B8689CAF-6EE0-4AAE-BEEC-29B367407F73}" xr6:coauthVersionLast="46" xr6:coauthVersionMax="47" xr10:uidLastSave="{00000000-0000-0000-0000-000000000000}"/>
  <bookViews>
    <workbookView xWindow="9945" yWindow="435" windowWidth="7575" windowHeight="10485" firstSheet="1" activeTab="1" xr2:uid="{50D7AE4F-D911-4AB4-811B-56CE704B63E8}"/>
  </bookViews>
  <sheets>
    <sheet name="TEMPLATE" sheetId="1" state="hidden" r:id="rId1"/>
    <sheet name="BUTTON" sheetId="11" r:id="rId2"/>
    <sheet name="PROCESSED" sheetId="95" r:id="rId3"/>
  </sheets>
  <functionGroups builtInGroupCount="19"/>
  <definedNames>
    <definedName name="_xlnm._FilterDatabase" localSheetId="2" hidden="1">PROCESSED!$A$2:$T$90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0" i="95" l="1"/>
  <c r="S89" i="95"/>
  <c r="T89" i="95"/>
  <c r="T3" i="95"/>
  <c r="T4" i="95"/>
  <c r="T5" i="95"/>
  <c r="T6" i="95"/>
  <c r="T7" i="95"/>
  <c r="T8" i="95"/>
  <c r="T9" i="95"/>
  <c r="T10" i="95"/>
  <c r="T11" i="95"/>
  <c r="T12" i="95"/>
  <c r="T13" i="95"/>
  <c r="T14" i="95"/>
  <c r="T15" i="95"/>
  <c r="T16" i="95"/>
  <c r="T17" i="95"/>
  <c r="T18" i="95"/>
  <c r="T19" i="95"/>
  <c r="T20" i="95"/>
  <c r="T21" i="95"/>
  <c r="T22" i="95"/>
  <c r="T23" i="95"/>
  <c r="T24" i="95"/>
  <c r="T25" i="95"/>
  <c r="T26" i="95"/>
  <c r="T27" i="95"/>
  <c r="T28" i="95"/>
  <c r="T29" i="95"/>
  <c r="T30" i="95"/>
  <c r="T31" i="95"/>
  <c r="T32" i="95"/>
  <c r="T33" i="95"/>
  <c r="T34" i="95"/>
  <c r="T35" i="95"/>
  <c r="T36" i="95"/>
  <c r="T37" i="95"/>
  <c r="T38" i="95"/>
  <c r="T39" i="95"/>
  <c r="T40" i="95"/>
  <c r="T41" i="95"/>
  <c r="T42" i="95"/>
  <c r="T43" i="95"/>
  <c r="T44" i="95"/>
  <c r="T45" i="95"/>
  <c r="T46" i="95"/>
  <c r="T47" i="95"/>
  <c r="T48" i="95"/>
  <c r="T49" i="95"/>
  <c r="T50" i="95"/>
  <c r="T51" i="95"/>
  <c r="T52" i="95"/>
  <c r="T53" i="95"/>
  <c r="T54" i="95"/>
  <c r="T55" i="95"/>
  <c r="T56" i="95"/>
  <c r="T57" i="95"/>
  <c r="T58" i="95"/>
  <c r="T59" i="95"/>
  <c r="T60" i="95"/>
  <c r="T61" i="95"/>
  <c r="T62" i="95"/>
  <c r="T63" i="95"/>
  <c r="T64" i="95"/>
  <c r="T65" i="95"/>
  <c r="T66" i="95"/>
  <c r="T67" i="95"/>
  <c r="T68" i="95"/>
  <c r="T69" i="95"/>
  <c r="T70" i="95"/>
  <c r="T71" i="95"/>
  <c r="T72" i="95"/>
  <c r="T73" i="95"/>
  <c r="T74" i="95"/>
  <c r="T75" i="95"/>
  <c r="T76" i="95"/>
  <c r="T77" i="95"/>
  <c r="T78" i="95"/>
  <c r="T79" i="95"/>
  <c r="T80" i="95"/>
  <c r="T81" i="95"/>
  <c r="T82" i="95"/>
  <c r="T83" i="95"/>
  <c r="T84" i="95"/>
  <c r="T85" i="95"/>
  <c r="T86" i="95"/>
  <c r="T87" i="95"/>
  <c r="T88" i="95"/>
  <c r="S3" i="95"/>
  <c r="S4" i="95"/>
  <c r="S5" i="95"/>
  <c r="S6" i="95"/>
  <c r="S7" i="95"/>
  <c r="S8" i="95"/>
  <c r="S9" i="95"/>
  <c r="S10" i="95"/>
  <c r="S11" i="95"/>
  <c r="S12" i="95"/>
  <c r="S13" i="95"/>
  <c r="S14" i="95"/>
  <c r="S15" i="95"/>
  <c r="S16" i="95"/>
  <c r="S17" i="95"/>
  <c r="S18" i="95"/>
  <c r="S19" i="95"/>
  <c r="S20" i="95"/>
  <c r="S21" i="95"/>
  <c r="S22" i="95"/>
  <c r="S23" i="95"/>
  <c r="S24" i="95"/>
  <c r="S25" i="95"/>
  <c r="S26" i="95"/>
  <c r="S27" i="95"/>
  <c r="S28" i="95"/>
  <c r="S29" i="95"/>
  <c r="S30" i="95"/>
  <c r="S31" i="95"/>
  <c r="S32" i="95"/>
  <c r="S33" i="95"/>
  <c r="S34" i="95"/>
  <c r="S35" i="95"/>
  <c r="S36" i="95"/>
  <c r="S37" i="95"/>
  <c r="S38" i="95"/>
  <c r="S39" i="95"/>
  <c r="S40" i="95"/>
  <c r="S41" i="95"/>
  <c r="S42" i="95"/>
  <c r="S43" i="95"/>
  <c r="S44" i="95"/>
  <c r="S45" i="95"/>
  <c r="S46" i="95"/>
  <c r="S47" i="95"/>
  <c r="S48" i="95"/>
  <c r="S49" i="95"/>
  <c r="S50" i="95"/>
  <c r="S51" i="95"/>
  <c r="S52" i="95"/>
  <c r="S53" i="95"/>
  <c r="S54" i="95"/>
  <c r="S55" i="95"/>
  <c r="S56" i="95"/>
  <c r="S57" i="95"/>
  <c r="S58" i="95"/>
  <c r="S59" i="95"/>
  <c r="S60" i="95"/>
  <c r="S61" i="95"/>
  <c r="S62" i="95"/>
  <c r="S63" i="95"/>
  <c r="S64" i="95"/>
  <c r="S65" i="95"/>
  <c r="S66" i="95"/>
  <c r="S67" i="95"/>
  <c r="S68" i="95"/>
  <c r="S69" i="95"/>
  <c r="S70" i="95"/>
  <c r="S71" i="95"/>
  <c r="S72" i="95"/>
  <c r="S73" i="95"/>
  <c r="S74" i="95"/>
  <c r="S75" i="95"/>
  <c r="S76" i="95"/>
  <c r="S77" i="95"/>
  <c r="S78" i="95"/>
  <c r="S79" i="95"/>
  <c r="S80" i="95"/>
  <c r="S81" i="95"/>
  <c r="S82" i="95"/>
  <c r="S83" i="95"/>
  <c r="S84" i="95"/>
  <c r="S85" i="95"/>
  <c r="S86" i="95"/>
  <c r="S87" i="95"/>
  <c r="S88" i="95"/>
  <c r="P3" i="95"/>
  <c r="P4" i="95"/>
  <c r="P5" i="95"/>
  <c r="P6" i="95"/>
  <c r="P7" i="95"/>
  <c r="P8" i="95"/>
  <c r="P9" i="95"/>
  <c r="P10" i="95"/>
  <c r="P11" i="95"/>
  <c r="P12" i="95"/>
  <c r="P13" i="95"/>
  <c r="P14" i="95"/>
  <c r="P15" i="95"/>
  <c r="P16" i="95"/>
  <c r="P17" i="95"/>
  <c r="P18" i="95"/>
  <c r="P19" i="95"/>
  <c r="P20" i="95"/>
  <c r="P21" i="95"/>
  <c r="P22" i="95"/>
  <c r="P23" i="95"/>
  <c r="P24" i="95"/>
  <c r="P25" i="95"/>
  <c r="P26" i="95"/>
  <c r="P27" i="95"/>
  <c r="P28" i="95"/>
  <c r="P29" i="95"/>
  <c r="P30" i="95"/>
  <c r="P31" i="95"/>
  <c r="P32" i="95"/>
  <c r="P33" i="95"/>
  <c r="P34" i="95"/>
  <c r="P35" i="95"/>
  <c r="P36" i="95"/>
  <c r="P37" i="95"/>
  <c r="P38" i="95"/>
  <c r="P39" i="95"/>
  <c r="P40" i="95"/>
  <c r="P41" i="95"/>
  <c r="P42" i="95"/>
  <c r="P43" i="95"/>
  <c r="P44" i="95"/>
  <c r="P45" i="95"/>
  <c r="P46" i="95"/>
  <c r="P47" i="95"/>
  <c r="P48" i="95"/>
  <c r="P49" i="95"/>
  <c r="P50" i="95"/>
  <c r="P51" i="95"/>
  <c r="P52" i="95"/>
  <c r="P53" i="95"/>
  <c r="P54" i="95"/>
  <c r="P55" i="95"/>
  <c r="P56" i="95"/>
  <c r="P57" i="95"/>
  <c r="P58" i="95"/>
  <c r="P59" i="95"/>
  <c r="P60" i="95"/>
  <c r="P61" i="95"/>
  <c r="P62" i="95"/>
  <c r="P63" i="95"/>
  <c r="P64" i="95"/>
  <c r="P65" i="95"/>
  <c r="P66" i="95"/>
  <c r="P67" i="95"/>
  <c r="P68" i="95"/>
  <c r="P69" i="95"/>
  <c r="P70" i="95"/>
  <c r="P71" i="95"/>
  <c r="P72" i="95"/>
  <c r="P73" i="95"/>
  <c r="P74" i="95"/>
  <c r="P75" i="95"/>
  <c r="P76" i="95"/>
  <c r="P77" i="95"/>
  <c r="P78" i="95"/>
  <c r="P79" i="95"/>
  <c r="P80" i="95"/>
  <c r="P81" i="95"/>
  <c r="P82" i="95"/>
  <c r="P83" i="95"/>
  <c r="P84" i="95"/>
  <c r="P85" i="95"/>
  <c r="P86" i="95"/>
  <c r="P87" i="95"/>
  <c r="P88" i="95"/>
  <c r="O3" i="95"/>
  <c r="O4" i="95"/>
  <c r="O5" i="95"/>
  <c r="O6" i="95"/>
  <c r="O7" i="95"/>
  <c r="O8" i="95"/>
  <c r="O9" i="95"/>
  <c r="O10" i="95"/>
  <c r="O11" i="95"/>
  <c r="O12" i="95"/>
  <c r="O13" i="95"/>
  <c r="O14" i="95"/>
  <c r="O15" i="95"/>
  <c r="O16" i="95"/>
  <c r="O17" i="95"/>
  <c r="O18" i="95"/>
  <c r="O19" i="95"/>
  <c r="O20" i="95"/>
  <c r="O21" i="95"/>
  <c r="O22" i="95"/>
  <c r="O23" i="95"/>
  <c r="O24" i="95"/>
  <c r="O25" i="95"/>
  <c r="O26" i="95"/>
  <c r="O27" i="95"/>
  <c r="O28" i="95"/>
  <c r="O29" i="95"/>
  <c r="O30" i="95"/>
  <c r="O31" i="95"/>
  <c r="O32" i="95"/>
  <c r="O33" i="95"/>
  <c r="O34" i="95"/>
  <c r="O35" i="95"/>
  <c r="O36" i="95"/>
  <c r="O37" i="95"/>
  <c r="O38" i="95"/>
  <c r="O39" i="95"/>
  <c r="O40" i="95"/>
  <c r="O41" i="95"/>
  <c r="O42" i="95"/>
  <c r="O43" i="95"/>
  <c r="O44" i="95"/>
  <c r="O45" i="95"/>
  <c r="O46" i="95"/>
  <c r="O47" i="95"/>
  <c r="O48" i="95"/>
  <c r="O49" i="95"/>
  <c r="O50" i="95"/>
  <c r="O51" i="95"/>
  <c r="O52" i="95"/>
  <c r="O53" i="95"/>
  <c r="O54" i="95"/>
  <c r="O55" i="95"/>
  <c r="O56" i="95"/>
  <c r="O57" i="95"/>
  <c r="O58" i="95"/>
  <c r="O59" i="95"/>
  <c r="O60" i="95"/>
  <c r="O61" i="95"/>
  <c r="O62" i="95"/>
  <c r="O63" i="95"/>
  <c r="O64" i="95"/>
  <c r="O65" i="95"/>
  <c r="O66" i="95"/>
  <c r="O67" i="95"/>
  <c r="O68" i="95"/>
  <c r="O69" i="95"/>
  <c r="O70" i="95"/>
  <c r="O71" i="95"/>
  <c r="O72" i="95"/>
  <c r="O73" i="95"/>
  <c r="O74" i="95"/>
  <c r="O75" i="95"/>
  <c r="O76" i="95"/>
  <c r="O77" i="95"/>
  <c r="O78" i="95"/>
  <c r="O79" i="95"/>
  <c r="O80" i="95"/>
  <c r="O81" i="95"/>
  <c r="O82" i="95"/>
  <c r="O83" i="95"/>
  <c r="O84" i="95"/>
  <c r="O85" i="95"/>
  <c r="O86" i="95"/>
  <c r="O87" i="95"/>
  <c r="O88" i="95"/>
  <c r="N3" i="95"/>
  <c r="N4" i="95"/>
  <c r="N5" i="95"/>
  <c r="N6" i="95"/>
  <c r="N7" i="95"/>
  <c r="N8" i="95"/>
  <c r="N9" i="95"/>
  <c r="N10" i="95"/>
  <c r="N11" i="95"/>
  <c r="N12" i="95"/>
  <c r="N13" i="95"/>
  <c r="N14" i="95"/>
  <c r="N15" i="95"/>
  <c r="N16" i="95"/>
  <c r="N17" i="95"/>
  <c r="N18" i="95"/>
  <c r="N19" i="95"/>
  <c r="N20" i="95"/>
  <c r="N21" i="95"/>
  <c r="N22" i="95"/>
  <c r="N23" i="95"/>
  <c r="N24" i="95"/>
  <c r="N25" i="95"/>
  <c r="N26" i="95"/>
  <c r="N27" i="95"/>
  <c r="N28" i="95"/>
  <c r="N29" i="95"/>
  <c r="N30" i="95"/>
  <c r="N31" i="95"/>
  <c r="N32" i="95"/>
  <c r="N33" i="95"/>
  <c r="N34" i="95"/>
  <c r="N35" i="95"/>
  <c r="N36" i="95"/>
  <c r="N37" i="95"/>
  <c r="N38" i="95"/>
  <c r="N39" i="95"/>
  <c r="N40" i="95"/>
  <c r="N41" i="95"/>
  <c r="N42" i="95"/>
  <c r="N43" i="95"/>
  <c r="N44" i="95"/>
  <c r="N45" i="95"/>
  <c r="N46" i="95"/>
  <c r="N47" i="95"/>
  <c r="N48" i="95"/>
  <c r="N49" i="95"/>
  <c r="N50" i="95"/>
  <c r="N51" i="95"/>
  <c r="N52" i="95"/>
  <c r="N53" i="95"/>
  <c r="N54" i="95"/>
  <c r="N55" i="95"/>
  <c r="N56" i="95"/>
  <c r="N57" i="95"/>
  <c r="N58" i="95"/>
  <c r="N59" i="95"/>
  <c r="N60" i="95"/>
  <c r="N61" i="95"/>
  <c r="N62" i="95"/>
  <c r="N63" i="95"/>
  <c r="N64" i="95"/>
  <c r="N65" i="95"/>
  <c r="N66" i="95"/>
  <c r="N67" i="95"/>
  <c r="N68" i="95"/>
  <c r="N69" i="95"/>
  <c r="N70" i="95"/>
  <c r="N71" i="95"/>
  <c r="N72" i="95"/>
  <c r="N73" i="95"/>
  <c r="N74" i="95"/>
  <c r="N75" i="95"/>
  <c r="N76" i="95"/>
  <c r="N77" i="95"/>
  <c r="N78" i="95"/>
  <c r="N79" i="95"/>
  <c r="N80" i="95"/>
  <c r="N81" i="95"/>
  <c r="N82" i="95"/>
  <c r="N83" i="95"/>
  <c r="N84" i="95"/>
  <c r="N85" i="95"/>
  <c r="N86" i="95"/>
  <c r="N87" i="95"/>
  <c r="N88" i="95"/>
</calcChain>
</file>

<file path=xl/sharedStrings.xml><?xml version="1.0" encoding="utf-8"?>
<sst xmlns="http://schemas.openxmlformats.org/spreadsheetml/2006/main" count="685" uniqueCount="109">
  <si>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</si>
  <si>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</si>
  <si>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</si>
  <si>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</si>
  <si>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</si>
  <si>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</si>
  <si>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</si>
  <si>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</si>
  <si>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</si>
  <si>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</si>
  <si>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</si>
  <si>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</si>
  <si>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</si>
  <si>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</si>
  <si>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</si>
  <si>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</si>
  <si>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</si>
  <si>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</si>
  <si>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</si>
  <si>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</si>
  <si>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</si>
  <si>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</si>
  <si>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</si>
  <si>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</si>
  <si>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</si>
  <si>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</si>
  <si>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</si>
  <si>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>ONIX</t>
  </si>
  <si>
    <t xml:space="preserve">    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</si>
  <si>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</si>
  <si>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</si>
  <si>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</si>
  <si>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</si>
  <si>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</si>
  <si>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</si>
  <si>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YD</t>
  </si>
  <si>
    <t>Monitoring Pemakaian Fabric Dari Hasil Cutting PERMINGGU</t>
  </si>
  <si>
    <t>\\10.8.0.35\bersama\IT\RPA 00\MACRO MA\HASIL MAKRO</t>
  </si>
  <si>
    <t>GM1</t>
  </si>
  <si>
    <t>GM2</t>
  </si>
  <si>
    <t>CARBON</t>
  </si>
  <si>
    <t>YARD</t>
  </si>
  <si>
    <t>OLIVE STRATA</t>
  </si>
  <si>
    <t>GHOST LEGEND INK-TECH INDIGO</t>
  </si>
  <si>
    <t>COLLEGIATE GREEN</t>
  </si>
  <si>
    <t>\\10.8.0.35\Bersama\IT\RPA 00\INPUT USER\KONFIRMASI</t>
  </si>
  <si>
    <t>BARIS AWAL</t>
  </si>
  <si>
    <r>
      <t xml:space="preserve">¤ SETTING </t>
    </r>
    <r>
      <rPr>
        <b/>
        <sz val="11"/>
        <color theme="1"/>
        <rFont val="Anonymous Pro"/>
        <family val="3"/>
      </rPr>
      <t>¤</t>
    </r>
  </si>
  <si>
    <t>HEATHER OLIVE STRATA</t>
  </si>
  <si>
    <t>WONDER ALUMINA</t>
  </si>
  <si>
    <t>984120 – F</t>
  </si>
  <si>
    <t>KG</t>
  </si>
  <si>
    <t>REDWING</t>
  </si>
  <si>
    <t>LINING</t>
  </si>
  <si>
    <t>POUCH</t>
  </si>
  <si>
    <t>UNIK TEXTILE CO., LTD.</t>
  </si>
  <si>
    <t>CHANGZHOU NEW WIDE KNITTING &amp;</t>
  </si>
  <si>
    <t>CHANGSHU BAOFENG SPECIAL FIBER</t>
  </si>
  <si>
    <t>KAHATEX RANCAEKEK, PT. (USD)</t>
  </si>
  <si>
    <t>SAPPHIRE FINISHING MILLS LIMIT</t>
  </si>
  <si>
    <t>Changshu Baofeng Special Fiber</t>
  </si>
  <si>
    <t>BLACK1</t>
  </si>
  <si>
    <t>BLACK2</t>
  </si>
  <si>
    <t>BLACK3</t>
  </si>
  <si>
    <t>CHALKY BROWN</t>
  </si>
  <si>
    <t>PRELOVED INK</t>
  </si>
  <si>
    <t>HEATHER BLACK</t>
  </si>
  <si>
    <t>AURORA RUBY</t>
  </si>
  <si>
    <t>DARK BLUE</t>
  </si>
  <si>
    <t>HEATHER TEAM ROYAL BLUE</t>
  </si>
  <si>
    <t>HEATHER MGH SOLID GREY</t>
  </si>
  <si>
    <t>HEATHER DARK GREY</t>
  </si>
  <si>
    <t>ORANGE/RED</t>
  </si>
  <si>
    <t>RED</t>
  </si>
  <si>
    <t>ROYAL BLUE1</t>
  </si>
  <si>
    <t>ROYAL BLUE2</t>
  </si>
  <si>
    <t>DARK GREEN</t>
  </si>
  <si>
    <t>982983 – D</t>
  </si>
  <si>
    <t>982983 – E</t>
  </si>
  <si>
    <t>984120 – A</t>
  </si>
  <si>
    <t>984120 – B</t>
  </si>
  <si>
    <t>984120 – C</t>
  </si>
  <si>
    <t>984120 – D</t>
  </si>
  <si>
    <t>984120 – E</t>
  </si>
  <si>
    <t>61105-57</t>
  </si>
  <si>
    <t>61105-55</t>
  </si>
  <si>
    <t>61105-54</t>
  </si>
  <si>
    <t>61105-81</t>
  </si>
  <si>
    <t>0.076</t>
  </si>
  <si>
    <t>0.094</t>
  </si>
  <si>
    <t>0.357</t>
  </si>
  <si>
    <t>0.442</t>
  </si>
  <si>
    <t>2.58</t>
  </si>
  <si>
    <t>0.343</t>
  </si>
  <si>
    <t>0.006</t>
  </si>
  <si>
    <t>2.92</t>
  </si>
  <si>
    <t>0.349</t>
  </si>
  <si>
    <t>2.488</t>
  </si>
  <si>
    <t>0.342</t>
  </si>
  <si>
    <t>2.971</t>
  </si>
  <si>
    <t>0.399</t>
  </si>
  <si>
    <t>2.673</t>
  </si>
  <si>
    <t>2.75</t>
  </si>
  <si>
    <t>0.34</t>
  </si>
  <si>
    <t>2.670</t>
  </si>
  <si>
    <t>0.338</t>
  </si>
  <si>
    <t>MT</t>
  </si>
  <si>
    <t>JIANGSU DINGXIN DYEING &amp; PRINT</t>
  </si>
  <si>
    <t>SCARLET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</si>
</sst>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;[Red]0.0%"/>
    <numFmt numFmtId="165" formatCode="_(&quot;$&quot;* #,##0.00_);[Red]_(&quot;$&quot;* \(#,##0.00\);_(&quot;$&quot;* &quot;-&quot;??_);_(@_)"/>
    <numFmt numFmtId="166" formatCode="0.0%"/>
  </numFmts>
  <fonts count="8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nonymous Pro"/>
      <family val="3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5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left"/>
    </xf>
    <xf numFmtId="0" fontId="5" fillId="0" borderId="1" xfId="0" applyFont="1" applyBorder="1"/>
    <xf numFmtId="0" fontId="6" fillId="0" borderId="1" xfId="0" applyFont="1" applyBorder="1" applyAlignment="1">
      <alignment horizontal="center" vertical="center"/>
    </xf>
    <xf numFmtId="164" fontId="5" fillId="0" borderId="1" xfId="0" applyNumberFormat="1" applyFont="1" applyBorder="1"/>
    <xf numFmtId="166" fontId="5" fillId="0" borderId="1" xfId="0" applyNumberFormat="1" applyFont="1" applyBorder="1"/>
    <xf numFmtId="0" fontId="5" fillId="0" borderId="0" xfId="0" applyFont="1"/>
    <xf numFmtId="0" fontId="5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INPUT%20USER/KONFIRMAS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86ADB3"/>
  </sheetPr>
  <dimension ref="A1:T2"/>
  <sheetViews>
    <sheetView topLeftCell="H1" workbookViewId="0">
      <selection activeCell="S2" sqref="S2"/>
    </sheetView>
  </sheetViews>
  <sheetFormatPr defaultRowHeight="16.5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>
      <c r="L1" t="s">
        <v>12</v>
      </c>
      <c r="M1" t="s">
        <v>13</v>
      </c>
    </row>
    <row r="2" spans="1:20" s="1" customFormat="1" ht="60.75" customHeight="1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5B2130"/>
  </sheetPr>
  <dimension ref="B2:J8"/>
  <sheetViews>
    <sheetView showGridLines="0" tabSelected="1" workbookViewId="0"/>
  </sheetViews>
  <sheetFormatPr defaultRowHeight="1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  <col min="9" max="9" width="11.85546875" bestFit="1" customWidth="1"/>
  </cols>
  <sheetData>
    <row r="2" spans="2:10" ht="15.75" thickBot="1"/>
    <row r="3" spans="2:10" ht="20.25" customHeight="1">
      <c r="B3" s="20" t="s">
        <v>15</v>
      </c>
      <c r="C3" s="19"/>
      <c r="D3" s="19"/>
      <c r="E3" s="23" t="s">
        <v>31</v>
      </c>
      <c r="F3" s="24" t="s">
        <v>32</v>
      </c>
      <c r="G3" s="25" t="s">
        <v>33</v>
      </c>
      <c r="I3" s="35" t="s">
        <v>47</v>
      </c>
      <c r="J3" s="35"/>
    </row>
    <row r="4" spans="2:10" ht="15.75" thickBot="1">
      <c r="B4" s="21" t="s">
        <v>38</v>
      </c>
      <c r="E4" s="26" t="s">
        <v>45</v>
      </c>
      <c r="F4" s="27" t="s">
        <v>36</v>
      </c>
      <c r="G4" s="28" t="s">
        <v>17</v>
      </c>
      <c r="I4" s="29" t="s">
        <v>46</v>
      </c>
      <c r="J4" s="29">
        <v>10</v>
      </c>
    </row>
    <row r="5" spans="2:10">
      <c r="B5" s="21" t="s">
        <v>39</v>
      </c>
    </row>
    <row r="6" spans="2:10" ht="15.75" thickBot="1">
      <c r="B6" s="22" t="s">
        <v>16</v>
      </c>
      <c r="E6" t="s">
        <v>28</v>
      </c>
    </row>
    <row r="7" spans="2:10">
      <c r="E7" s="23" t="s">
        <v>34</v>
      </c>
      <c r="F7" s="24" t="s">
        <v>32</v>
      </c>
      <c r="G7" s="25" t="s">
        <v>33</v>
      </c>
    </row>
    <row r="8" spans="2:10" ht="15.75" thickBot="1">
      <c r="E8" s="26" t="s">
        <v>37</v>
      </c>
      <c r="F8" s="27" t="s">
        <v>30</v>
      </c>
      <c r="G8" s="28" t="s">
        <v>17</v>
      </c>
    </row>
  </sheetData>
  <mergeCells count="1">
    <mergeCell ref="I3:J3"/>
  </mergeCells>
  <hyperlinks>
    <hyperlink ref="E4" r:id="rId1" xr:uid="{DAA0151A-295C-4F91-B50D-71FE7F2B6B3F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F7317-C072-4490-A695-2684B5F34570}">
  <sheetPr codeName="Sheet2">
    <tabColor rgb="FF435F83"/>
  </sheetPr>
  <dimension ref="A1:T90"/>
  <sheetViews>
    <sheetView workbookViewId="0">
      <pane ySplit="2" topLeftCell="A3" activePane="bottomLeft" state="frozen"/>
      <selection pane="bottomLeft" sqref="A1:T1"/>
    </sheetView>
  </sheetViews>
  <sheetFormatPr defaultRowHeight="16.5"/>
  <cols>
    <col min="1" max="1" width="14.5703125" style="3" customWidth="1"/>
    <col min="2" max="2" width="12.28515625" style="3" customWidth="1"/>
    <col min="3" max="3" width="15.28515625" style="3" customWidth="1"/>
    <col min="4" max="4" width="41" style="3" customWidth="1"/>
    <col min="5" max="5" width="37.28515625" style="3" customWidth="1"/>
    <col min="6" max="6" width="8.85546875" style="3" customWidth="1"/>
    <col min="7" max="7" width="12.85546875" style="3" customWidth="1"/>
    <col min="8" max="8" width="14.85546875" style="3" customWidth="1"/>
    <col min="9" max="9" width="11.14062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.28515625" style="3" customWidth="1"/>
    <col min="16" max="16" width="13.42578125" style="3" customWidth="1"/>
    <col min="17" max="17" width="16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>
      <c r="A1" s="36" t="s">
        <v>30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0" s="1" customFormat="1" ht="60.75" customHeight="1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>
      <c r="A3" s="11" t="s">
        <v>38</v>
      </c>
      <c r="B3" s="11"/>
      <c r="C3" s="11"/>
      <c r="D3" s="11"/>
      <c r="E3" s="11"/>
      <c r="F3" s="11"/>
      <c r="G3" s="11"/>
      <c r="H3" s="12"/>
      <c r="I3" s="11"/>
      <c r="J3" s="11"/>
      <c r="K3" s="11"/>
      <c r="L3" s="11"/>
      <c r="M3" s="11"/>
      <c r="N3" s="13" t="e">
        <f t="shared" ref="N3:N34" si="0">(L3-M3)/L3</f>
        <v>#DIV/0!</v>
      </c>
      <c r="O3" s="11">
        <f t="shared" ref="O3:O34" si="1">K3*L3</f>
        <v>0</v>
      </c>
      <c r="P3" s="11" t="e">
        <f t="shared" ref="P3:P34" si="2">N3*O3</f>
        <v>#DIV/0!</v>
      </c>
      <c r="Q3" s="11"/>
      <c r="R3" s="11"/>
      <c r="S3" s="14">
        <f t="shared" ref="S3:S34" si="3">IFERROR(ROUND(O3*Q3,0),0)</f>
        <v>0</v>
      </c>
      <c r="T3" s="14">
        <f t="shared" ref="T3:T34" si="4">IFERROR(ROUND(Q3*P3,0),0)</f>
        <v>0</v>
      </c>
    </row>
    <row r="4" spans="1:20" ht="18.600000000000001" customHeight="1">
      <c r="A4" s="15" t="s">
        <v>38</v>
      </c>
      <c r="B4" s="15" t="s">
        <v>18</v>
      </c>
      <c r="C4" s="15" t="s">
        <v>19</v>
      </c>
      <c r="D4" s="15" t="s">
        <v>55</v>
      </c>
      <c r="E4" s="15" t="s">
        <v>61</v>
      </c>
      <c r="F4" s="15">
        <v>183003</v>
      </c>
      <c r="G4" s="15" t="s">
        <v>77</v>
      </c>
      <c r="H4" s="16"/>
      <c r="I4" s="15">
        <v>24001476</v>
      </c>
      <c r="J4" s="15">
        <v>292586</v>
      </c>
      <c r="K4" s="15">
        <v>1944</v>
      </c>
      <c r="L4" s="15" t="s">
        <v>88</v>
      </c>
      <c r="M4" s="15">
        <v>7.1999999999999995E-2</v>
      </c>
      <c r="N4" s="17">
        <f t="shared" si="0"/>
        <v>5.2631578947368467E-2</v>
      </c>
      <c r="O4" s="15">
        <f t="shared" si="1"/>
        <v>147.744</v>
      </c>
      <c r="P4" s="15">
        <f t="shared" si="2"/>
        <v>7.7760000000000069</v>
      </c>
      <c r="Q4" s="15">
        <v>9.93</v>
      </c>
      <c r="R4" s="15" t="s">
        <v>51</v>
      </c>
      <c r="S4" s="18">
        <f t="shared" si="3"/>
        <v>1467</v>
      </c>
      <c r="T4" s="18">
        <f t="shared" si="4"/>
        <v>77</v>
      </c>
    </row>
    <row r="5" spans="1:20" ht="18.600000000000001" customHeight="1">
      <c r="A5" s="11" t="s">
        <v>38</v>
      </c>
      <c r="B5" s="11" t="s">
        <v>18</v>
      </c>
      <c r="C5" s="11" t="s">
        <v>19</v>
      </c>
      <c r="D5" s="11" t="s">
        <v>55</v>
      </c>
      <c r="E5" s="11" t="s">
        <v>62</v>
      </c>
      <c r="F5" s="11">
        <v>183003</v>
      </c>
      <c r="G5" s="11" t="s">
        <v>77</v>
      </c>
      <c r="H5" s="12"/>
      <c r="I5" s="11">
        <v>24001476</v>
      </c>
      <c r="J5" s="11">
        <v>292586</v>
      </c>
      <c r="K5" s="11">
        <v>1944</v>
      </c>
      <c r="L5" s="11" t="s">
        <v>88</v>
      </c>
      <c r="M5" s="11">
        <v>7.1999999999999995E-2</v>
      </c>
      <c r="N5" s="13">
        <f t="shared" si="0"/>
        <v>5.2631578947368467E-2</v>
      </c>
      <c r="O5" s="11">
        <f t="shared" si="1"/>
        <v>147.744</v>
      </c>
      <c r="P5" s="11">
        <f t="shared" si="2"/>
        <v>7.7760000000000069</v>
      </c>
      <c r="Q5" s="11">
        <v>9.93</v>
      </c>
      <c r="R5" s="11" t="s">
        <v>51</v>
      </c>
      <c r="S5" s="14">
        <f t="shared" si="3"/>
        <v>1467</v>
      </c>
      <c r="T5" s="14">
        <f t="shared" si="4"/>
        <v>77</v>
      </c>
    </row>
    <row r="6" spans="1:20" ht="18.600000000000001" customHeight="1">
      <c r="A6" s="15" t="s">
        <v>38</v>
      </c>
      <c r="B6" s="15" t="s">
        <v>18</v>
      </c>
      <c r="C6" s="15" t="s">
        <v>19</v>
      </c>
      <c r="D6" s="15" t="s">
        <v>55</v>
      </c>
      <c r="E6" s="15" t="s">
        <v>63</v>
      </c>
      <c r="F6" s="15">
        <v>183003</v>
      </c>
      <c r="G6" s="15" t="s">
        <v>77</v>
      </c>
      <c r="H6" s="16"/>
      <c r="I6" s="15">
        <v>24001476</v>
      </c>
      <c r="J6" s="15">
        <v>292586</v>
      </c>
      <c r="K6" s="15">
        <v>1944</v>
      </c>
      <c r="L6" s="15" t="s">
        <v>88</v>
      </c>
      <c r="M6" s="15">
        <v>7.1999999999999995E-2</v>
      </c>
      <c r="N6" s="17">
        <f t="shared" si="0"/>
        <v>5.2631578947368467E-2</v>
      </c>
      <c r="O6" s="15">
        <f t="shared" si="1"/>
        <v>147.744</v>
      </c>
      <c r="P6" s="15">
        <f t="shared" si="2"/>
        <v>7.7760000000000069</v>
      </c>
      <c r="Q6" s="15">
        <v>9.93</v>
      </c>
      <c r="R6" s="15" t="s">
        <v>51</v>
      </c>
      <c r="S6" s="18">
        <f t="shared" si="3"/>
        <v>1467</v>
      </c>
      <c r="T6" s="18">
        <f t="shared" si="4"/>
        <v>77</v>
      </c>
    </row>
    <row r="7" spans="1:20" ht="18.600000000000001" customHeight="1">
      <c r="A7" s="11" t="s">
        <v>38</v>
      </c>
      <c r="B7" s="11" t="s">
        <v>18</v>
      </c>
      <c r="C7" s="11" t="s">
        <v>19</v>
      </c>
      <c r="D7" s="11" t="s">
        <v>55</v>
      </c>
      <c r="E7" s="11" t="s">
        <v>42</v>
      </c>
      <c r="F7" s="11">
        <v>183004</v>
      </c>
      <c r="G7" s="11" t="s">
        <v>78</v>
      </c>
      <c r="H7" s="12"/>
      <c r="I7" s="11">
        <v>24001477</v>
      </c>
      <c r="J7" s="11">
        <v>293263</v>
      </c>
      <c r="K7" s="11">
        <v>2664</v>
      </c>
      <c r="L7" s="11" t="s">
        <v>88</v>
      </c>
      <c r="M7" s="11">
        <v>7.5999999999999998E-2</v>
      </c>
      <c r="N7" s="13">
        <f t="shared" si="0"/>
        <v>0</v>
      </c>
      <c r="O7" s="11">
        <f t="shared" si="1"/>
        <v>202.464</v>
      </c>
      <c r="P7" s="11">
        <f t="shared" si="2"/>
        <v>0</v>
      </c>
      <c r="Q7" s="11">
        <v>9.93</v>
      </c>
      <c r="R7" s="11" t="s">
        <v>51</v>
      </c>
      <c r="S7" s="14">
        <f t="shared" si="3"/>
        <v>2010</v>
      </c>
      <c r="T7" s="14">
        <f t="shared" si="4"/>
        <v>0</v>
      </c>
    </row>
    <row r="8" spans="1:20" ht="18.600000000000001" customHeight="1">
      <c r="A8" s="15" t="s">
        <v>38</v>
      </c>
      <c r="B8" s="15" t="s">
        <v>18</v>
      </c>
      <c r="C8" s="15" t="s">
        <v>19</v>
      </c>
      <c r="D8" s="15" t="s">
        <v>55</v>
      </c>
      <c r="E8" s="15" t="s">
        <v>64</v>
      </c>
      <c r="F8" s="15">
        <v>183004</v>
      </c>
      <c r="G8" s="15" t="s">
        <v>78</v>
      </c>
      <c r="H8" s="16"/>
      <c r="I8" s="15">
        <v>24001477</v>
      </c>
      <c r="J8" s="15">
        <v>293264</v>
      </c>
      <c r="K8" s="15">
        <v>2664</v>
      </c>
      <c r="L8" s="15" t="s">
        <v>88</v>
      </c>
      <c r="M8" s="15">
        <v>7.5999999999999998E-2</v>
      </c>
      <c r="N8" s="17">
        <f t="shared" si="0"/>
        <v>0</v>
      </c>
      <c r="O8" s="15">
        <f t="shared" si="1"/>
        <v>202.464</v>
      </c>
      <c r="P8" s="15">
        <f t="shared" si="2"/>
        <v>0</v>
      </c>
      <c r="Q8" s="15">
        <v>9.93</v>
      </c>
      <c r="R8" s="15" t="s">
        <v>51</v>
      </c>
      <c r="S8" s="18">
        <f t="shared" si="3"/>
        <v>2010</v>
      </c>
      <c r="T8" s="18">
        <f t="shared" si="4"/>
        <v>0</v>
      </c>
    </row>
    <row r="9" spans="1:20" ht="18.600000000000001" customHeight="1">
      <c r="A9" s="11" t="s">
        <v>38</v>
      </c>
      <c r="B9" s="11" t="s">
        <v>18</v>
      </c>
      <c r="C9" s="11" t="s">
        <v>19</v>
      </c>
      <c r="D9" s="11" t="s">
        <v>55</v>
      </c>
      <c r="E9" s="11" t="s">
        <v>65</v>
      </c>
      <c r="F9" s="11">
        <v>183004</v>
      </c>
      <c r="G9" s="11" t="s">
        <v>78</v>
      </c>
      <c r="H9" s="12"/>
      <c r="I9" s="11">
        <v>24001477</v>
      </c>
      <c r="J9" s="11">
        <v>293265</v>
      </c>
      <c r="K9" s="11">
        <v>2664</v>
      </c>
      <c r="L9" s="11" t="s">
        <v>88</v>
      </c>
      <c r="M9" s="11">
        <v>7.5999999999999998E-2</v>
      </c>
      <c r="N9" s="13">
        <f t="shared" si="0"/>
        <v>0</v>
      </c>
      <c r="O9" s="11">
        <f t="shared" si="1"/>
        <v>202.464</v>
      </c>
      <c r="P9" s="11">
        <f t="shared" si="2"/>
        <v>0</v>
      </c>
      <c r="Q9" s="11">
        <v>9.93</v>
      </c>
      <c r="R9" s="11" t="s">
        <v>51</v>
      </c>
      <c r="S9" s="14">
        <f t="shared" si="3"/>
        <v>2010</v>
      </c>
      <c r="T9" s="14">
        <f t="shared" si="4"/>
        <v>0</v>
      </c>
    </row>
    <row r="10" spans="1:20" ht="18.600000000000001" customHeight="1">
      <c r="A10" s="15" t="s">
        <v>38</v>
      </c>
      <c r="B10" s="15" t="s">
        <v>18</v>
      </c>
      <c r="C10" s="15" t="s">
        <v>19</v>
      </c>
      <c r="D10" s="15" t="s">
        <v>55</v>
      </c>
      <c r="E10" s="15" t="s">
        <v>42</v>
      </c>
      <c r="F10" s="15">
        <v>183005</v>
      </c>
      <c r="G10" s="15" t="s">
        <v>78</v>
      </c>
      <c r="H10" s="16"/>
      <c r="I10" s="15">
        <v>24001478</v>
      </c>
      <c r="J10" s="15">
        <v>293263</v>
      </c>
      <c r="K10" s="15">
        <v>180</v>
      </c>
      <c r="L10" s="15" t="s">
        <v>89</v>
      </c>
      <c r="M10" s="15">
        <v>8.7999999999999995E-2</v>
      </c>
      <c r="N10" s="17">
        <f t="shared" si="0"/>
        <v>6.3829787234042604E-2</v>
      </c>
      <c r="O10" s="15">
        <f t="shared" si="1"/>
        <v>16.920000000000002</v>
      </c>
      <c r="P10" s="15">
        <f t="shared" si="2"/>
        <v>1.080000000000001</v>
      </c>
      <c r="Q10" s="15">
        <v>9.93</v>
      </c>
      <c r="R10" s="15" t="s">
        <v>51</v>
      </c>
      <c r="S10" s="18">
        <f t="shared" si="3"/>
        <v>168</v>
      </c>
      <c r="T10" s="18">
        <f t="shared" si="4"/>
        <v>11</v>
      </c>
    </row>
    <row r="11" spans="1:20" ht="18.600000000000001" customHeight="1">
      <c r="A11" s="11" t="s">
        <v>38</v>
      </c>
      <c r="B11" s="11" t="s">
        <v>18</v>
      </c>
      <c r="C11" s="11" t="s">
        <v>19</v>
      </c>
      <c r="D11" s="11" t="s">
        <v>55</v>
      </c>
      <c r="E11" s="11" t="s">
        <v>64</v>
      </c>
      <c r="F11" s="11">
        <v>183005</v>
      </c>
      <c r="G11" s="11" t="s">
        <v>78</v>
      </c>
      <c r="H11" s="12"/>
      <c r="I11" s="11">
        <v>24001478</v>
      </c>
      <c r="J11" s="11">
        <v>293264</v>
      </c>
      <c r="K11" s="11">
        <v>180</v>
      </c>
      <c r="L11" s="11" t="s">
        <v>89</v>
      </c>
      <c r="M11" s="11">
        <v>8.7999999999999995E-2</v>
      </c>
      <c r="N11" s="13">
        <f t="shared" si="0"/>
        <v>6.3829787234042604E-2</v>
      </c>
      <c r="O11" s="11">
        <f t="shared" si="1"/>
        <v>16.920000000000002</v>
      </c>
      <c r="P11" s="11">
        <f t="shared" si="2"/>
        <v>1.080000000000001</v>
      </c>
      <c r="Q11" s="11">
        <v>9.93</v>
      </c>
      <c r="R11" s="11" t="s">
        <v>51</v>
      </c>
      <c r="S11" s="14">
        <f t="shared" si="3"/>
        <v>168</v>
      </c>
      <c r="T11" s="14">
        <f t="shared" si="4"/>
        <v>11</v>
      </c>
    </row>
    <row r="12" spans="1:20" ht="18.600000000000001" customHeight="1">
      <c r="A12" s="15" t="s">
        <v>38</v>
      </c>
      <c r="B12" s="15" t="s">
        <v>18</v>
      </c>
      <c r="C12" s="15" t="s">
        <v>19</v>
      </c>
      <c r="D12" s="15" t="s">
        <v>55</v>
      </c>
      <c r="E12" s="15" t="s">
        <v>65</v>
      </c>
      <c r="F12" s="15">
        <v>183005</v>
      </c>
      <c r="G12" s="15" t="s">
        <v>78</v>
      </c>
      <c r="H12" s="16"/>
      <c r="I12" s="15">
        <v>24001478</v>
      </c>
      <c r="J12" s="15">
        <v>293265</v>
      </c>
      <c r="K12" s="15">
        <v>180</v>
      </c>
      <c r="L12" s="15" t="s">
        <v>89</v>
      </c>
      <c r="M12" s="15">
        <v>8.7999999999999995E-2</v>
      </c>
      <c r="N12" s="17">
        <f t="shared" si="0"/>
        <v>6.3829787234042604E-2</v>
      </c>
      <c r="O12" s="15">
        <f t="shared" si="1"/>
        <v>16.920000000000002</v>
      </c>
      <c r="P12" s="15">
        <f t="shared" si="2"/>
        <v>1.080000000000001</v>
      </c>
      <c r="Q12" s="15">
        <v>9.93</v>
      </c>
      <c r="R12" s="15" t="s">
        <v>51</v>
      </c>
      <c r="S12" s="18">
        <f t="shared" si="3"/>
        <v>168</v>
      </c>
      <c r="T12" s="18">
        <f t="shared" si="4"/>
        <v>11</v>
      </c>
    </row>
    <row r="13" spans="1:20" ht="18.600000000000001" customHeight="1">
      <c r="A13" s="11" t="s">
        <v>38</v>
      </c>
      <c r="B13" s="11" t="s">
        <v>18</v>
      </c>
      <c r="C13" s="11" t="s">
        <v>19</v>
      </c>
      <c r="D13" s="11" t="s">
        <v>56</v>
      </c>
      <c r="E13" s="11" t="s">
        <v>61</v>
      </c>
      <c r="F13" s="11">
        <v>183026</v>
      </c>
      <c r="G13" s="11" t="s">
        <v>79</v>
      </c>
      <c r="H13" s="12"/>
      <c r="I13" s="11">
        <v>24001489</v>
      </c>
      <c r="J13" s="11">
        <v>295256</v>
      </c>
      <c r="K13" s="11">
        <v>1476</v>
      </c>
      <c r="L13" s="11" t="s">
        <v>90</v>
      </c>
      <c r="M13" s="11">
        <v>0.35699999999999998</v>
      </c>
      <c r="N13" s="13">
        <f t="shared" si="0"/>
        <v>0</v>
      </c>
      <c r="O13" s="11">
        <f t="shared" si="1"/>
        <v>526.93200000000002</v>
      </c>
      <c r="P13" s="11">
        <f t="shared" si="2"/>
        <v>0</v>
      </c>
      <c r="Q13" s="11">
        <v>2.1800000000000002</v>
      </c>
      <c r="R13" s="11" t="s">
        <v>35</v>
      </c>
      <c r="S13" s="14">
        <f t="shared" si="3"/>
        <v>1149</v>
      </c>
      <c r="T13" s="14">
        <f t="shared" si="4"/>
        <v>0</v>
      </c>
    </row>
    <row r="14" spans="1:20" ht="18.600000000000001" customHeight="1">
      <c r="A14" s="15" t="s">
        <v>38</v>
      </c>
      <c r="B14" s="15" t="s">
        <v>18</v>
      </c>
      <c r="C14" s="15" t="s">
        <v>19</v>
      </c>
      <c r="D14" s="15" t="s">
        <v>56</v>
      </c>
      <c r="E14" s="15" t="s">
        <v>66</v>
      </c>
      <c r="F14" s="15">
        <v>183026</v>
      </c>
      <c r="G14" s="15" t="s">
        <v>79</v>
      </c>
      <c r="H14" s="16"/>
      <c r="I14" s="15">
        <v>24001489</v>
      </c>
      <c r="J14" s="15">
        <v>295257</v>
      </c>
      <c r="K14" s="15">
        <v>1476</v>
      </c>
      <c r="L14" s="15" t="s">
        <v>90</v>
      </c>
      <c r="M14" s="15">
        <v>0.35699999999999998</v>
      </c>
      <c r="N14" s="17">
        <f t="shared" si="0"/>
        <v>0</v>
      </c>
      <c r="O14" s="15">
        <f t="shared" si="1"/>
        <v>526.93200000000002</v>
      </c>
      <c r="P14" s="15">
        <f t="shared" si="2"/>
        <v>0</v>
      </c>
      <c r="Q14" s="15">
        <v>2.14</v>
      </c>
      <c r="R14" s="15" t="s">
        <v>35</v>
      </c>
      <c r="S14" s="18">
        <f t="shared" si="3"/>
        <v>1128</v>
      </c>
      <c r="T14" s="18">
        <f t="shared" si="4"/>
        <v>0</v>
      </c>
    </row>
    <row r="15" spans="1:20" ht="18.600000000000001" customHeight="1">
      <c r="A15" s="11" t="s">
        <v>38</v>
      </c>
      <c r="B15" s="11" t="s">
        <v>18</v>
      </c>
      <c r="C15" s="11" t="s">
        <v>19</v>
      </c>
      <c r="D15" s="11" t="s">
        <v>56</v>
      </c>
      <c r="E15" s="11" t="s">
        <v>62</v>
      </c>
      <c r="F15" s="11">
        <v>183026</v>
      </c>
      <c r="G15" s="11" t="s">
        <v>79</v>
      </c>
      <c r="H15" s="12"/>
      <c r="I15" s="11">
        <v>24001489</v>
      </c>
      <c r="J15" s="11">
        <v>295256</v>
      </c>
      <c r="K15" s="11">
        <v>1476</v>
      </c>
      <c r="L15" s="11" t="s">
        <v>90</v>
      </c>
      <c r="M15" s="11">
        <v>0.35699999999999998</v>
      </c>
      <c r="N15" s="13">
        <f t="shared" si="0"/>
        <v>0</v>
      </c>
      <c r="O15" s="11">
        <f t="shared" si="1"/>
        <v>526.93200000000002</v>
      </c>
      <c r="P15" s="11">
        <f t="shared" si="2"/>
        <v>0</v>
      </c>
      <c r="Q15" s="11">
        <v>2.1800000000000002</v>
      </c>
      <c r="R15" s="11" t="s">
        <v>35</v>
      </c>
      <c r="S15" s="14">
        <f t="shared" si="3"/>
        <v>1149</v>
      </c>
      <c r="T15" s="14">
        <f t="shared" si="4"/>
        <v>0</v>
      </c>
    </row>
    <row r="16" spans="1:20" ht="18.600000000000001" customHeight="1">
      <c r="A16" s="15" t="s">
        <v>38</v>
      </c>
      <c r="B16" s="15" t="s">
        <v>18</v>
      </c>
      <c r="C16" s="15" t="s">
        <v>19</v>
      </c>
      <c r="D16" s="15" t="s">
        <v>56</v>
      </c>
      <c r="E16" s="15" t="s">
        <v>61</v>
      </c>
      <c r="F16" s="15">
        <v>183027</v>
      </c>
      <c r="G16" s="15" t="s">
        <v>79</v>
      </c>
      <c r="H16" s="16"/>
      <c r="I16" s="15">
        <v>24001490</v>
      </c>
      <c r="J16" s="15">
        <v>295256</v>
      </c>
      <c r="K16" s="15">
        <v>360</v>
      </c>
      <c r="L16" s="15" t="s">
        <v>91</v>
      </c>
      <c r="M16" s="15">
        <v>0.442</v>
      </c>
      <c r="N16" s="17">
        <f t="shared" si="0"/>
        <v>0</v>
      </c>
      <c r="O16" s="15">
        <f t="shared" si="1"/>
        <v>159.12</v>
      </c>
      <c r="P16" s="15">
        <f t="shared" si="2"/>
        <v>0</v>
      </c>
      <c r="Q16" s="15">
        <v>2.1800000000000002</v>
      </c>
      <c r="R16" s="15" t="s">
        <v>35</v>
      </c>
      <c r="S16" s="18">
        <f t="shared" si="3"/>
        <v>347</v>
      </c>
      <c r="T16" s="18">
        <f t="shared" si="4"/>
        <v>0</v>
      </c>
    </row>
    <row r="17" spans="1:20" ht="18.600000000000001" customHeight="1">
      <c r="A17" s="11" t="s">
        <v>38</v>
      </c>
      <c r="B17" s="11" t="s">
        <v>18</v>
      </c>
      <c r="C17" s="11" t="s">
        <v>19</v>
      </c>
      <c r="D17" s="11" t="s">
        <v>56</v>
      </c>
      <c r="E17" s="11" t="s">
        <v>66</v>
      </c>
      <c r="F17" s="11">
        <v>183027</v>
      </c>
      <c r="G17" s="11" t="s">
        <v>79</v>
      </c>
      <c r="H17" s="12"/>
      <c r="I17" s="11">
        <v>24001490</v>
      </c>
      <c r="J17" s="11">
        <v>295257</v>
      </c>
      <c r="K17" s="11">
        <v>360</v>
      </c>
      <c r="L17" s="11" t="s">
        <v>91</v>
      </c>
      <c r="M17" s="11">
        <v>0.442</v>
      </c>
      <c r="N17" s="13">
        <f t="shared" si="0"/>
        <v>0</v>
      </c>
      <c r="O17" s="11">
        <f t="shared" si="1"/>
        <v>159.12</v>
      </c>
      <c r="P17" s="11">
        <f t="shared" si="2"/>
        <v>0</v>
      </c>
      <c r="Q17" s="11">
        <v>2.14</v>
      </c>
      <c r="R17" s="11" t="s">
        <v>35</v>
      </c>
      <c r="S17" s="14">
        <f t="shared" si="3"/>
        <v>341</v>
      </c>
      <c r="T17" s="14">
        <f t="shared" si="4"/>
        <v>0</v>
      </c>
    </row>
    <row r="18" spans="1:20" ht="18.600000000000001" customHeight="1">
      <c r="A18" s="15" t="s">
        <v>38</v>
      </c>
      <c r="B18" s="15" t="s">
        <v>18</v>
      </c>
      <c r="C18" s="15" t="s">
        <v>19</v>
      </c>
      <c r="D18" s="15" t="s">
        <v>56</v>
      </c>
      <c r="E18" s="15" t="s">
        <v>62</v>
      </c>
      <c r="F18" s="15">
        <v>183027</v>
      </c>
      <c r="G18" s="15" t="s">
        <v>79</v>
      </c>
      <c r="H18" s="16"/>
      <c r="I18" s="15">
        <v>24001490</v>
      </c>
      <c r="J18" s="15">
        <v>295256</v>
      </c>
      <c r="K18" s="15">
        <v>360</v>
      </c>
      <c r="L18" s="15" t="s">
        <v>91</v>
      </c>
      <c r="M18" s="15">
        <v>0.442</v>
      </c>
      <c r="N18" s="17">
        <f t="shared" si="0"/>
        <v>0</v>
      </c>
      <c r="O18" s="15">
        <f t="shared" si="1"/>
        <v>159.12</v>
      </c>
      <c r="P18" s="15">
        <f t="shared" si="2"/>
        <v>0</v>
      </c>
      <c r="Q18" s="15">
        <v>2.1800000000000002</v>
      </c>
      <c r="R18" s="15" t="s">
        <v>35</v>
      </c>
      <c r="S18" s="18">
        <f t="shared" si="3"/>
        <v>347</v>
      </c>
      <c r="T18" s="18">
        <f t="shared" si="4"/>
        <v>0</v>
      </c>
    </row>
    <row r="19" spans="1:20" ht="18.600000000000001" customHeight="1">
      <c r="A19" s="11" t="s">
        <v>38</v>
      </c>
      <c r="B19" s="11" t="s">
        <v>18</v>
      </c>
      <c r="C19" s="11" t="s">
        <v>19</v>
      </c>
      <c r="D19" s="11" t="s">
        <v>56</v>
      </c>
      <c r="E19" s="11" t="s">
        <v>67</v>
      </c>
      <c r="F19" s="11">
        <v>183028</v>
      </c>
      <c r="G19" s="11" t="s">
        <v>80</v>
      </c>
      <c r="H19" s="12"/>
      <c r="I19" s="11">
        <v>24001491</v>
      </c>
      <c r="J19" s="11">
        <v>295258</v>
      </c>
      <c r="K19" s="11">
        <v>1440</v>
      </c>
      <c r="L19" s="11" t="s">
        <v>90</v>
      </c>
      <c r="M19" s="11">
        <v>0.35699999999999998</v>
      </c>
      <c r="N19" s="13">
        <f t="shared" si="0"/>
        <v>0</v>
      </c>
      <c r="O19" s="11">
        <f t="shared" si="1"/>
        <v>514.07999999999993</v>
      </c>
      <c r="P19" s="11">
        <f t="shared" si="2"/>
        <v>0</v>
      </c>
      <c r="Q19" s="11">
        <v>2.1800000000000002</v>
      </c>
      <c r="R19" s="11" t="s">
        <v>35</v>
      </c>
      <c r="S19" s="14">
        <f t="shared" si="3"/>
        <v>1121</v>
      </c>
      <c r="T19" s="14">
        <f t="shared" si="4"/>
        <v>0</v>
      </c>
    </row>
    <row r="20" spans="1:20" ht="18.600000000000001" customHeight="1">
      <c r="A20" s="15" t="s">
        <v>38</v>
      </c>
      <c r="B20" s="15" t="s">
        <v>18</v>
      </c>
      <c r="C20" s="15" t="s">
        <v>19</v>
      </c>
      <c r="D20" s="15" t="s">
        <v>56</v>
      </c>
      <c r="E20" s="15" t="s">
        <v>66</v>
      </c>
      <c r="F20" s="15">
        <v>183028</v>
      </c>
      <c r="G20" s="15" t="s">
        <v>80</v>
      </c>
      <c r="H20" s="16"/>
      <c r="I20" s="15">
        <v>24001491</v>
      </c>
      <c r="J20" s="15">
        <v>295257</v>
      </c>
      <c r="K20" s="15">
        <v>1440</v>
      </c>
      <c r="L20" s="15" t="s">
        <v>90</v>
      </c>
      <c r="M20" s="15">
        <v>0.35699999999999998</v>
      </c>
      <c r="N20" s="17">
        <f t="shared" si="0"/>
        <v>0</v>
      </c>
      <c r="O20" s="15">
        <f t="shared" si="1"/>
        <v>514.07999999999993</v>
      </c>
      <c r="P20" s="15">
        <f t="shared" si="2"/>
        <v>0</v>
      </c>
      <c r="Q20" s="15">
        <v>2.14</v>
      </c>
      <c r="R20" s="15" t="s">
        <v>35</v>
      </c>
      <c r="S20" s="18">
        <f t="shared" si="3"/>
        <v>1100</v>
      </c>
      <c r="T20" s="18">
        <f t="shared" si="4"/>
        <v>0</v>
      </c>
    </row>
    <row r="21" spans="1:20" ht="18.600000000000001" customHeight="1">
      <c r="A21" s="11" t="s">
        <v>38</v>
      </c>
      <c r="B21" s="11" t="s">
        <v>18</v>
      </c>
      <c r="C21" s="11" t="s">
        <v>19</v>
      </c>
      <c r="D21" s="11" t="s">
        <v>56</v>
      </c>
      <c r="E21" s="11" t="s">
        <v>26</v>
      </c>
      <c r="F21" s="11">
        <v>183028</v>
      </c>
      <c r="G21" s="11" t="s">
        <v>80</v>
      </c>
      <c r="H21" s="12"/>
      <c r="I21" s="11">
        <v>24001491</v>
      </c>
      <c r="J21" s="11">
        <v>295256</v>
      </c>
      <c r="K21" s="11">
        <v>1440</v>
      </c>
      <c r="L21" s="11" t="s">
        <v>90</v>
      </c>
      <c r="M21" s="11">
        <v>0.35699999999999998</v>
      </c>
      <c r="N21" s="13">
        <f t="shared" si="0"/>
        <v>0</v>
      </c>
      <c r="O21" s="11">
        <f t="shared" si="1"/>
        <v>514.07999999999993</v>
      </c>
      <c r="P21" s="11">
        <f t="shared" si="2"/>
        <v>0</v>
      </c>
      <c r="Q21" s="11">
        <v>2.1800000000000002</v>
      </c>
      <c r="R21" s="11" t="s">
        <v>35</v>
      </c>
      <c r="S21" s="14">
        <f t="shared" si="3"/>
        <v>1121</v>
      </c>
      <c r="T21" s="14">
        <f t="shared" si="4"/>
        <v>0</v>
      </c>
    </row>
    <row r="22" spans="1:20" ht="18.600000000000001" customHeight="1">
      <c r="A22" s="15" t="s">
        <v>38</v>
      </c>
      <c r="B22" s="15" t="s">
        <v>18</v>
      </c>
      <c r="C22" s="15" t="s">
        <v>19</v>
      </c>
      <c r="D22" s="15" t="s">
        <v>56</v>
      </c>
      <c r="E22" s="15" t="s">
        <v>67</v>
      </c>
      <c r="F22" s="15">
        <v>183029</v>
      </c>
      <c r="G22" s="15" t="s">
        <v>80</v>
      </c>
      <c r="H22" s="16"/>
      <c r="I22" s="15">
        <v>24001492</v>
      </c>
      <c r="J22" s="15">
        <v>295258</v>
      </c>
      <c r="K22" s="15">
        <v>360</v>
      </c>
      <c r="L22" s="15" t="s">
        <v>91</v>
      </c>
      <c r="M22" s="15">
        <v>0.442</v>
      </c>
      <c r="N22" s="17">
        <f t="shared" si="0"/>
        <v>0</v>
      </c>
      <c r="O22" s="15">
        <f t="shared" si="1"/>
        <v>159.12</v>
      </c>
      <c r="P22" s="15">
        <f t="shared" si="2"/>
        <v>0</v>
      </c>
      <c r="Q22" s="15">
        <v>2.1800000000000002</v>
      </c>
      <c r="R22" s="15" t="s">
        <v>35</v>
      </c>
      <c r="S22" s="18">
        <f t="shared" si="3"/>
        <v>347</v>
      </c>
      <c r="T22" s="18">
        <f t="shared" si="4"/>
        <v>0</v>
      </c>
    </row>
    <row r="23" spans="1:20" ht="18.600000000000001" customHeight="1">
      <c r="A23" s="11" t="s">
        <v>38</v>
      </c>
      <c r="B23" s="11" t="s">
        <v>18</v>
      </c>
      <c r="C23" s="11" t="s">
        <v>19</v>
      </c>
      <c r="D23" s="11" t="s">
        <v>56</v>
      </c>
      <c r="E23" s="11" t="s">
        <v>66</v>
      </c>
      <c r="F23" s="11">
        <v>183029</v>
      </c>
      <c r="G23" s="11" t="s">
        <v>80</v>
      </c>
      <c r="H23" s="12"/>
      <c r="I23" s="11">
        <v>24001492</v>
      </c>
      <c r="J23" s="11">
        <v>295257</v>
      </c>
      <c r="K23" s="11">
        <v>360</v>
      </c>
      <c r="L23" s="11" t="s">
        <v>91</v>
      </c>
      <c r="M23" s="11">
        <v>0.442</v>
      </c>
      <c r="N23" s="13">
        <f t="shared" si="0"/>
        <v>0</v>
      </c>
      <c r="O23" s="11">
        <f t="shared" si="1"/>
        <v>159.12</v>
      </c>
      <c r="P23" s="11">
        <f t="shared" si="2"/>
        <v>0</v>
      </c>
      <c r="Q23" s="11">
        <v>2.14</v>
      </c>
      <c r="R23" s="11" t="s">
        <v>35</v>
      </c>
      <c r="S23" s="14">
        <f t="shared" si="3"/>
        <v>341</v>
      </c>
      <c r="T23" s="14">
        <f t="shared" si="4"/>
        <v>0</v>
      </c>
    </row>
    <row r="24" spans="1:20" ht="18.600000000000001" customHeight="1">
      <c r="A24" s="15" t="s">
        <v>38</v>
      </c>
      <c r="B24" s="15" t="s">
        <v>18</v>
      </c>
      <c r="C24" s="15" t="s">
        <v>19</v>
      </c>
      <c r="D24" s="15" t="s">
        <v>56</v>
      </c>
      <c r="E24" s="15" t="s">
        <v>26</v>
      </c>
      <c r="F24" s="15">
        <v>183029</v>
      </c>
      <c r="G24" s="15" t="s">
        <v>80</v>
      </c>
      <c r="H24" s="16"/>
      <c r="I24" s="15">
        <v>24001492</v>
      </c>
      <c r="J24" s="15">
        <v>295256</v>
      </c>
      <c r="K24" s="15">
        <v>360</v>
      </c>
      <c r="L24" s="15" t="s">
        <v>91</v>
      </c>
      <c r="M24" s="15">
        <v>0.442</v>
      </c>
      <c r="N24" s="17">
        <f t="shared" si="0"/>
        <v>0</v>
      </c>
      <c r="O24" s="15">
        <f t="shared" si="1"/>
        <v>159.12</v>
      </c>
      <c r="P24" s="15">
        <f t="shared" si="2"/>
        <v>0</v>
      </c>
      <c r="Q24" s="15">
        <v>2.1800000000000002</v>
      </c>
      <c r="R24" s="15" t="s">
        <v>35</v>
      </c>
      <c r="S24" s="18">
        <f t="shared" si="3"/>
        <v>347</v>
      </c>
      <c r="T24" s="18">
        <f t="shared" si="4"/>
        <v>0</v>
      </c>
    </row>
    <row r="25" spans="1:20" ht="18.600000000000001" customHeight="1">
      <c r="A25" s="11" t="s">
        <v>38</v>
      </c>
      <c r="B25" s="11" t="s">
        <v>18</v>
      </c>
      <c r="C25" s="11" t="s">
        <v>19</v>
      </c>
      <c r="D25" s="11" t="s">
        <v>56</v>
      </c>
      <c r="E25" s="11" t="s">
        <v>68</v>
      </c>
      <c r="F25" s="11">
        <v>183030</v>
      </c>
      <c r="G25" s="11" t="s">
        <v>81</v>
      </c>
      <c r="H25" s="12"/>
      <c r="I25" s="11">
        <v>24001493</v>
      </c>
      <c r="J25" s="11">
        <v>295259</v>
      </c>
      <c r="K25" s="11">
        <v>1440</v>
      </c>
      <c r="L25" s="11" t="s">
        <v>90</v>
      </c>
      <c r="M25" s="11">
        <v>0.35699999999999998</v>
      </c>
      <c r="N25" s="13">
        <f t="shared" si="0"/>
        <v>0</v>
      </c>
      <c r="O25" s="11">
        <f t="shared" si="1"/>
        <v>514.07999999999993</v>
      </c>
      <c r="P25" s="11">
        <f t="shared" si="2"/>
        <v>0</v>
      </c>
      <c r="Q25" s="11">
        <v>2.1800000000000002</v>
      </c>
      <c r="R25" s="11" t="s">
        <v>35</v>
      </c>
      <c r="S25" s="14">
        <f t="shared" si="3"/>
        <v>1121</v>
      </c>
      <c r="T25" s="14">
        <f t="shared" si="4"/>
        <v>0</v>
      </c>
    </row>
    <row r="26" spans="1:20" ht="18.600000000000001" customHeight="1">
      <c r="A26" s="15" t="s">
        <v>38</v>
      </c>
      <c r="B26" s="15" t="s">
        <v>18</v>
      </c>
      <c r="C26" s="15" t="s">
        <v>19</v>
      </c>
      <c r="D26" s="15" t="s">
        <v>56</v>
      </c>
      <c r="E26" s="15" t="s">
        <v>69</v>
      </c>
      <c r="F26" s="15">
        <v>183030</v>
      </c>
      <c r="G26" s="15" t="s">
        <v>81</v>
      </c>
      <c r="H26" s="16"/>
      <c r="I26" s="15">
        <v>24001493</v>
      </c>
      <c r="J26" s="15">
        <v>295260</v>
      </c>
      <c r="K26" s="15">
        <v>1440</v>
      </c>
      <c r="L26" s="15" t="s">
        <v>90</v>
      </c>
      <c r="M26" s="15">
        <v>0.35699999999999998</v>
      </c>
      <c r="N26" s="17">
        <f t="shared" si="0"/>
        <v>0</v>
      </c>
      <c r="O26" s="15">
        <f t="shared" si="1"/>
        <v>514.07999999999993</v>
      </c>
      <c r="P26" s="15">
        <f t="shared" si="2"/>
        <v>0</v>
      </c>
      <c r="Q26" s="15">
        <v>2.14</v>
      </c>
      <c r="R26" s="15" t="s">
        <v>35</v>
      </c>
      <c r="S26" s="18">
        <f t="shared" si="3"/>
        <v>1100</v>
      </c>
      <c r="T26" s="18">
        <f t="shared" si="4"/>
        <v>0</v>
      </c>
    </row>
    <row r="27" spans="1:20" ht="18.600000000000001" customHeight="1">
      <c r="A27" s="11" t="s">
        <v>38</v>
      </c>
      <c r="B27" s="11" t="s">
        <v>18</v>
      </c>
      <c r="C27" s="11" t="s">
        <v>19</v>
      </c>
      <c r="D27" s="11" t="s">
        <v>56</v>
      </c>
      <c r="E27" s="11" t="s">
        <v>29</v>
      </c>
      <c r="F27" s="11">
        <v>183030</v>
      </c>
      <c r="G27" s="11" t="s">
        <v>81</v>
      </c>
      <c r="H27" s="12"/>
      <c r="I27" s="11">
        <v>24001493</v>
      </c>
      <c r="J27" s="11">
        <v>295265</v>
      </c>
      <c r="K27" s="11">
        <v>1440</v>
      </c>
      <c r="L27" s="11" t="s">
        <v>90</v>
      </c>
      <c r="M27" s="11">
        <v>0.35699999999999998</v>
      </c>
      <c r="N27" s="13">
        <f t="shared" si="0"/>
        <v>0</v>
      </c>
      <c r="O27" s="11">
        <f t="shared" si="1"/>
        <v>514.07999999999993</v>
      </c>
      <c r="P27" s="11">
        <f t="shared" si="2"/>
        <v>0</v>
      </c>
      <c r="Q27" s="11">
        <v>2.1800000000000002</v>
      </c>
      <c r="R27" s="11" t="s">
        <v>35</v>
      </c>
      <c r="S27" s="14">
        <f t="shared" si="3"/>
        <v>1121</v>
      </c>
      <c r="T27" s="14">
        <f t="shared" si="4"/>
        <v>0</v>
      </c>
    </row>
    <row r="28" spans="1:20" ht="18.600000000000001" customHeight="1">
      <c r="A28" s="15" t="s">
        <v>38</v>
      </c>
      <c r="B28" s="15" t="s">
        <v>18</v>
      </c>
      <c r="C28" s="15" t="s">
        <v>19</v>
      </c>
      <c r="D28" s="15" t="s">
        <v>56</v>
      </c>
      <c r="E28" s="15" t="s">
        <v>44</v>
      </c>
      <c r="F28" s="15">
        <v>183031</v>
      </c>
      <c r="G28" s="15" t="s">
        <v>82</v>
      </c>
      <c r="H28" s="16"/>
      <c r="I28" s="15">
        <v>24001494</v>
      </c>
      <c r="J28" s="15">
        <v>295267</v>
      </c>
      <c r="K28" s="15">
        <v>1440</v>
      </c>
      <c r="L28" s="15" t="s">
        <v>90</v>
      </c>
      <c r="M28" s="15">
        <v>0.35699999999999998</v>
      </c>
      <c r="N28" s="17">
        <f t="shared" si="0"/>
        <v>0</v>
      </c>
      <c r="O28" s="15">
        <f t="shared" si="1"/>
        <v>514.07999999999993</v>
      </c>
      <c r="P28" s="15">
        <f t="shared" si="2"/>
        <v>0</v>
      </c>
      <c r="Q28" s="15">
        <v>2.1800000000000002</v>
      </c>
      <c r="R28" s="15" t="s">
        <v>35</v>
      </c>
      <c r="S28" s="18">
        <f t="shared" si="3"/>
        <v>1121</v>
      </c>
      <c r="T28" s="18">
        <f t="shared" si="4"/>
        <v>0</v>
      </c>
    </row>
    <row r="29" spans="1:20" ht="18.600000000000001" customHeight="1">
      <c r="A29" s="11" t="s">
        <v>38</v>
      </c>
      <c r="B29" s="11" t="s">
        <v>18</v>
      </c>
      <c r="C29" s="11" t="s">
        <v>19</v>
      </c>
      <c r="D29" s="11" t="s">
        <v>56</v>
      </c>
      <c r="E29" s="11" t="s">
        <v>70</v>
      </c>
      <c r="F29" s="11">
        <v>183031</v>
      </c>
      <c r="G29" s="11" t="s">
        <v>82</v>
      </c>
      <c r="H29" s="12"/>
      <c r="I29" s="11">
        <v>24001494</v>
      </c>
      <c r="J29" s="11">
        <v>295269</v>
      </c>
      <c r="K29" s="11">
        <v>1440</v>
      </c>
      <c r="L29" s="11" t="s">
        <v>90</v>
      </c>
      <c r="M29" s="11">
        <v>0.35699999999999998</v>
      </c>
      <c r="N29" s="13">
        <f t="shared" si="0"/>
        <v>0</v>
      </c>
      <c r="O29" s="11">
        <f t="shared" si="1"/>
        <v>514.07999999999993</v>
      </c>
      <c r="P29" s="11">
        <f t="shared" si="2"/>
        <v>0</v>
      </c>
      <c r="Q29" s="11">
        <v>2.14</v>
      </c>
      <c r="R29" s="11" t="s">
        <v>35</v>
      </c>
      <c r="S29" s="14">
        <f t="shared" si="3"/>
        <v>1100</v>
      </c>
      <c r="T29" s="14">
        <f t="shared" si="4"/>
        <v>0</v>
      </c>
    </row>
    <row r="30" spans="1:20" ht="18.600000000000001" customHeight="1">
      <c r="A30" s="15" t="s">
        <v>38</v>
      </c>
      <c r="B30" s="15" t="s">
        <v>18</v>
      </c>
      <c r="C30" s="15" t="s">
        <v>19</v>
      </c>
      <c r="D30" s="15" t="s">
        <v>56</v>
      </c>
      <c r="E30" s="15" t="s">
        <v>26</v>
      </c>
      <c r="F30" s="15">
        <v>183031</v>
      </c>
      <c r="G30" s="15" t="s">
        <v>82</v>
      </c>
      <c r="H30" s="16"/>
      <c r="I30" s="15">
        <v>24001494</v>
      </c>
      <c r="J30" s="15">
        <v>295256</v>
      </c>
      <c r="K30" s="15">
        <v>1440</v>
      </c>
      <c r="L30" s="15" t="s">
        <v>90</v>
      </c>
      <c r="M30" s="15">
        <v>0.35699999999999998</v>
      </c>
      <c r="N30" s="17">
        <f t="shared" si="0"/>
        <v>0</v>
      </c>
      <c r="O30" s="15">
        <f t="shared" si="1"/>
        <v>514.07999999999993</v>
      </c>
      <c r="P30" s="15">
        <f t="shared" si="2"/>
        <v>0</v>
      </c>
      <c r="Q30" s="15">
        <v>2.1800000000000002</v>
      </c>
      <c r="R30" s="15" t="s">
        <v>35</v>
      </c>
      <c r="S30" s="18">
        <f t="shared" si="3"/>
        <v>1121</v>
      </c>
      <c r="T30" s="18">
        <f t="shared" si="4"/>
        <v>0</v>
      </c>
    </row>
    <row r="31" spans="1:20" ht="18.600000000000001" customHeight="1">
      <c r="A31" s="11" t="s">
        <v>38</v>
      </c>
      <c r="B31" s="11" t="s">
        <v>18</v>
      </c>
      <c r="C31" s="11" t="s">
        <v>19</v>
      </c>
      <c r="D31" s="11" t="s">
        <v>56</v>
      </c>
      <c r="E31" s="11" t="s">
        <v>44</v>
      </c>
      <c r="F31" s="11">
        <v>183032</v>
      </c>
      <c r="G31" s="11" t="s">
        <v>82</v>
      </c>
      <c r="H31" s="12"/>
      <c r="I31" s="11">
        <v>24001495</v>
      </c>
      <c r="J31" s="11">
        <v>295267</v>
      </c>
      <c r="K31" s="11">
        <v>360</v>
      </c>
      <c r="L31" s="11" t="s">
        <v>91</v>
      </c>
      <c r="M31" s="11">
        <v>0.442</v>
      </c>
      <c r="N31" s="13">
        <f t="shared" si="0"/>
        <v>0</v>
      </c>
      <c r="O31" s="11">
        <f t="shared" si="1"/>
        <v>159.12</v>
      </c>
      <c r="P31" s="11">
        <f t="shared" si="2"/>
        <v>0</v>
      </c>
      <c r="Q31" s="11">
        <v>2.1800000000000002</v>
      </c>
      <c r="R31" s="11" t="s">
        <v>35</v>
      </c>
      <c r="S31" s="14">
        <f t="shared" si="3"/>
        <v>347</v>
      </c>
      <c r="T31" s="14">
        <f t="shared" si="4"/>
        <v>0</v>
      </c>
    </row>
    <row r="32" spans="1:20" ht="18.600000000000001" customHeight="1">
      <c r="A32" s="15" t="s">
        <v>38</v>
      </c>
      <c r="B32" s="15" t="s">
        <v>18</v>
      </c>
      <c r="C32" s="15" t="s">
        <v>19</v>
      </c>
      <c r="D32" s="15" t="s">
        <v>56</v>
      </c>
      <c r="E32" s="15" t="s">
        <v>70</v>
      </c>
      <c r="F32" s="15">
        <v>183032</v>
      </c>
      <c r="G32" s="15" t="s">
        <v>82</v>
      </c>
      <c r="H32" s="16"/>
      <c r="I32" s="15">
        <v>24001495</v>
      </c>
      <c r="J32" s="15">
        <v>295269</v>
      </c>
      <c r="K32" s="15">
        <v>360</v>
      </c>
      <c r="L32" s="15" t="s">
        <v>91</v>
      </c>
      <c r="M32" s="15">
        <v>0.442</v>
      </c>
      <c r="N32" s="17">
        <f t="shared" si="0"/>
        <v>0</v>
      </c>
      <c r="O32" s="15">
        <f t="shared" si="1"/>
        <v>159.12</v>
      </c>
      <c r="P32" s="15">
        <f t="shared" si="2"/>
        <v>0</v>
      </c>
      <c r="Q32" s="15">
        <v>2.14</v>
      </c>
      <c r="R32" s="15" t="s">
        <v>35</v>
      </c>
      <c r="S32" s="18">
        <f t="shared" si="3"/>
        <v>341</v>
      </c>
      <c r="T32" s="18">
        <f t="shared" si="4"/>
        <v>0</v>
      </c>
    </row>
    <row r="33" spans="1:20" ht="18.600000000000001" customHeight="1">
      <c r="A33" s="11" t="s">
        <v>38</v>
      </c>
      <c r="B33" s="11" t="s">
        <v>18</v>
      </c>
      <c r="C33" s="11" t="s">
        <v>19</v>
      </c>
      <c r="D33" s="11" t="s">
        <v>56</v>
      </c>
      <c r="E33" s="11" t="s">
        <v>26</v>
      </c>
      <c r="F33" s="11">
        <v>183032</v>
      </c>
      <c r="G33" s="11" t="s">
        <v>82</v>
      </c>
      <c r="H33" s="12"/>
      <c r="I33" s="11">
        <v>24001495</v>
      </c>
      <c r="J33" s="11">
        <v>295256</v>
      </c>
      <c r="K33" s="11">
        <v>360</v>
      </c>
      <c r="L33" s="11" t="s">
        <v>91</v>
      </c>
      <c r="M33" s="11">
        <v>0.442</v>
      </c>
      <c r="N33" s="13">
        <f t="shared" si="0"/>
        <v>0</v>
      </c>
      <c r="O33" s="11">
        <f t="shared" si="1"/>
        <v>159.12</v>
      </c>
      <c r="P33" s="11">
        <f t="shared" si="2"/>
        <v>0</v>
      </c>
      <c r="Q33" s="11">
        <v>2.1800000000000002</v>
      </c>
      <c r="R33" s="11" t="s">
        <v>35</v>
      </c>
      <c r="S33" s="14">
        <f t="shared" si="3"/>
        <v>347</v>
      </c>
      <c r="T33" s="14">
        <f t="shared" si="4"/>
        <v>0</v>
      </c>
    </row>
    <row r="34" spans="1:20" ht="18.600000000000001" customHeight="1">
      <c r="A34" s="15" t="s">
        <v>38</v>
      </c>
      <c r="B34" s="15" t="s">
        <v>18</v>
      </c>
      <c r="C34" s="15" t="s">
        <v>19</v>
      </c>
      <c r="D34" s="15" t="s">
        <v>56</v>
      </c>
      <c r="E34" s="15" t="s">
        <v>40</v>
      </c>
      <c r="F34" s="15">
        <v>183033</v>
      </c>
      <c r="G34" s="15" t="s">
        <v>83</v>
      </c>
      <c r="H34" s="16"/>
      <c r="I34" s="15">
        <v>24001496</v>
      </c>
      <c r="J34" s="15">
        <v>295272</v>
      </c>
      <c r="K34" s="15">
        <v>1440</v>
      </c>
      <c r="L34" s="15" t="s">
        <v>90</v>
      </c>
      <c r="M34" s="15">
        <v>0.35699999999999998</v>
      </c>
      <c r="N34" s="17">
        <f t="shared" si="0"/>
        <v>0</v>
      </c>
      <c r="O34" s="15">
        <f t="shared" si="1"/>
        <v>514.07999999999993</v>
      </c>
      <c r="P34" s="15">
        <f t="shared" si="2"/>
        <v>0</v>
      </c>
      <c r="Q34" s="15">
        <v>2.1800000000000002</v>
      </c>
      <c r="R34" s="15" t="s">
        <v>35</v>
      </c>
      <c r="S34" s="18">
        <f t="shared" si="3"/>
        <v>1121</v>
      </c>
      <c r="T34" s="18">
        <f t="shared" si="4"/>
        <v>0</v>
      </c>
    </row>
    <row r="35" spans="1:20" ht="18.600000000000001" customHeight="1">
      <c r="A35" s="11" t="s">
        <v>38</v>
      </c>
      <c r="B35" s="11" t="s">
        <v>18</v>
      </c>
      <c r="C35" s="11" t="s">
        <v>19</v>
      </c>
      <c r="D35" s="11" t="s">
        <v>56</v>
      </c>
      <c r="E35" s="11" t="s">
        <v>71</v>
      </c>
      <c r="F35" s="11">
        <v>183033</v>
      </c>
      <c r="G35" s="11" t="s">
        <v>83</v>
      </c>
      <c r="H35" s="12"/>
      <c r="I35" s="11">
        <v>24001496</v>
      </c>
      <c r="J35" s="11">
        <v>295274</v>
      </c>
      <c r="K35" s="11">
        <v>1440</v>
      </c>
      <c r="L35" s="11" t="s">
        <v>90</v>
      </c>
      <c r="M35" s="11">
        <v>0.35699999999999998</v>
      </c>
      <c r="N35" s="13">
        <f t="shared" ref="N35:N66" si="5">(L35-M35)/L35</f>
        <v>0</v>
      </c>
      <c r="O35" s="11">
        <f t="shared" ref="O35:O66" si="6">K35*L35</f>
        <v>514.07999999999993</v>
      </c>
      <c r="P35" s="11">
        <f t="shared" ref="P35:P66" si="7">N35*O35</f>
        <v>0</v>
      </c>
      <c r="Q35" s="11">
        <v>2.14</v>
      </c>
      <c r="R35" s="11" t="s">
        <v>35</v>
      </c>
      <c r="S35" s="14">
        <f t="shared" ref="S35:S66" si="8">IFERROR(ROUND(O35*Q35,0),0)</f>
        <v>1100</v>
      </c>
      <c r="T35" s="14">
        <f t="shared" ref="T35:T66" si="9">IFERROR(ROUND(Q35*P35,0),0)</f>
        <v>0</v>
      </c>
    </row>
    <row r="36" spans="1:20" ht="18.600000000000001" customHeight="1">
      <c r="A36" s="15" t="s">
        <v>38</v>
      </c>
      <c r="B36" s="15" t="s">
        <v>18</v>
      </c>
      <c r="C36" s="15" t="s">
        <v>19</v>
      </c>
      <c r="D36" s="15" t="s">
        <v>56</v>
      </c>
      <c r="E36" s="15" t="s">
        <v>26</v>
      </c>
      <c r="F36" s="15">
        <v>183033</v>
      </c>
      <c r="G36" s="15" t="s">
        <v>83</v>
      </c>
      <c r="H36" s="16"/>
      <c r="I36" s="15">
        <v>24001496</v>
      </c>
      <c r="J36" s="15">
        <v>295256</v>
      </c>
      <c r="K36" s="15">
        <v>1440</v>
      </c>
      <c r="L36" s="15" t="s">
        <v>90</v>
      </c>
      <c r="M36" s="15">
        <v>0.35699999999999998</v>
      </c>
      <c r="N36" s="17">
        <f t="shared" si="5"/>
        <v>0</v>
      </c>
      <c r="O36" s="15">
        <f t="shared" si="6"/>
        <v>514.07999999999993</v>
      </c>
      <c r="P36" s="15">
        <f t="shared" si="7"/>
        <v>0</v>
      </c>
      <c r="Q36" s="15">
        <v>2.1800000000000002</v>
      </c>
      <c r="R36" s="15" t="s">
        <v>35</v>
      </c>
      <c r="S36" s="18">
        <f t="shared" si="8"/>
        <v>1121</v>
      </c>
      <c r="T36" s="18">
        <f t="shared" si="9"/>
        <v>0</v>
      </c>
    </row>
    <row r="37" spans="1:20" ht="18.600000000000001" customHeight="1">
      <c r="A37" s="11" t="s">
        <v>38</v>
      </c>
      <c r="B37" s="11" t="s">
        <v>18</v>
      </c>
      <c r="C37" s="11" t="s">
        <v>19</v>
      </c>
      <c r="D37" s="11" t="s">
        <v>56</v>
      </c>
      <c r="E37" s="11" t="s">
        <v>40</v>
      </c>
      <c r="F37" s="11">
        <v>183034</v>
      </c>
      <c r="G37" s="11" t="s">
        <v>83</v>
      </c>
      <c r="H37" s="12"/>
      <c r="I37" s="11">
        <v>24001497</v>
      </c>
      <c r="J37" s="11">
        <v>295272</v>
      </c>
      <c r="K37" s="11">
        <v>360</v>
      </c>
      <c r="L37" s="11" t="s">
        <v>91</v>
      </c>
      <c r="M37" s="11">
        <v>0.442</v>
      </c>
      <c r="N37" s="13">
        <f t="shared" si="5"/>
        <v>0</v>
      </c>
      <c r="O37" s="11">
        <f t="shared" si="6"/>
        <v>159.12</v>
      </c>
      <c r="P37" s="11">
        <f t="shared" si="7"/>
        <v>0</v>
      </c>
      <c r="Q37" s="11">
        <v>0</v>
      </c>
      <c r="R37" s="11" t="s">
        <v>35</v>
      </c>
      <c r="S37" s="14">
        <f t="shared" si="8"/>
        <v>0</v>
      </c>
      <c r="T37" s="14">
        <f t="shared" si="9"/>
        <v>0</v>
      </c>
    </row>
    <row r="38" spans="1:20" ht="18.600000000000001" customHeight="1">
      <c r="A38" s="15" t="s">
        <v>38</v>
      </c>
      <c r="B38" s="15" t="s">
        <v>18</v>
      </c>
      <c r="C38" s="15" t="s">
        <v>19</v>
      </c>
      <c r="D38" s="15" t="s">
        <v>56</v>
      </c>
      <c r="E38" s="15" t="s">
        <v>71</v>
      </c>
      <c r="F38" s="15">
        <v>183034</v>
      </c>
      <c r="G38" s="15" t="s">
        <v>83</v>
      </c>
      <c r="H38" s="16"/>
      <c r="I38" s="15">
        <v>24001497</v>
      </c>
      <c r="J38" s="15">
        <v>295274</v>
      </c>
      <c r="K38" s="15">
        <v>360</v>
      </c>
      <c r="L38" s="15" t="s">
        <v>91</v>
      </c>
      <c r="M38" s="15">
        <v>0.442</v>
      </c>
      <c r="N38" s="17">
        <f t="shared" si="5"/>
        <v>0</v>
      </c>
      <c r="O38" s="15">
        <f t="shared" si="6"/>
        <v>159.12</v>
      </c>
      <c r="P38" s="15">
        <f t="shared" si="7"/>
        <v>0</v>
      </c>
      <c r="Q38" s="15">
        <v>0</v>
      </c>
      <c r="R38" s="15" t="s">
        <v>35</v>
      </c>
      <c r="S38" s="18">
        <f t="shared" si="8"/>
        <v>0</v>
      </c>
      <c r="T38" s="18">
        <f t="shared" si="9"/>
        <v>0</v>
      </c>
    </row>
    <row r="39" spans="1:20" ht="18.600000000000001" customHeight="1">
      <c r="A39" s="11" t="s">
        <v>38</v>
      </c>
      <c r="B39" s="11" t="s">
        <v>18</v>
      </c>
      <c r="C39" s="11" t="s">
        <v>19</v>
      </c>
      <c r="D39" s="11" t="s">
        <v>56</v>
      </c>
      <c r="E39" s="11" t="s">
        <v>26</v>
      </c>
      <c r="F39" s="11">
        <v>183034</v>
      </c>
      <c r="G39" s="11" t="s">
        <v>83</v>
      </c>
      <c r="H39" s="12"/>
      <c r="I39" s="11">
        <v>24001497</v>
      </c>
      <c r="J39" s="11">
        <v>295256</v>
      </c>
      <c r="K39" s="11">
        <v>360</v>
      </c>
      <c r="L39" s="11" t="s">
        <v>91</v>
      </c>
      <c r="M39" s="11">
        <v>0.442</v>
      </c>
      <c r="N39" s="13">
        <f t="shared" si="5"/>
        <v>0</v>
      </c>
      <c r="O39" s="11">
        <f t="shared" si="6"/>
        <v>159.12</v>
      </c>
      <c r="P39" s="11">
        <f t="shared" si="7"/>
        <v>0</v>
      </c>
      <c r="Q39" s="11">
        <v>2.1800000000000002</v>
      </c>
      <c r="R39" s="11" t="s">
        <v>35</v>
      </c>
      <c r="S39" s="14">
        <f t="shared" si="8"/>
        <v>347</v>
      </c>
      <c r="T39" s="14">
        <f t="shared" si="9"/>
        <v>0</v>
      </c>
    </row>
    <row r="40" spans="1:20" ht="18.600000000000001" customHeight="1">
      <c r="A40" s="15" t="s">
        <v>38</v>
      </c>
      <c r="B40" s="15" t="s">
        <v>18</v>
      </c>
      <c r="C40" s="15" t="s">
        <v>19</v>
      </c>
      <c r="D40" s="15" t="s">
        <v>56</v>
      </c>
      <c r="E40" s="15" t="s">
        <v>26</v>
      </c>
      <c r="F40" s="15">
        <v>183035</v>
      </c>
      <c r="G40" s="15" t="s">
        <v>50</v>
      </c>
      <c r="H40" s="16"/>
      <c r="I40" s="15">
        <v>24001498</v>
      </c>
      <c r="J40" s="15">
        <v>295256</v>
      </c>
      <c r="K40" s="15">
        <v>1440</v>
      </c>
      <c r="L40" s="15" t="s">
        <v>90</v>
      </c>
      <c r="M40" s="15">
        <v>0.35699999999999998</v>
      </c>
      <c r="N40" s="17">
        <f t="shared" si="5"/>
        <v>0</v>
      </c>
      <c r="O40" s="15">
        <f t="shared" si="6"/>
        <v>514.07999999999993</v>
      </c>
      <c r="P40" s="15">
        <f t="shared" si="7"/>
        <v>0</v>
      </c>
      <c r="Q40" s="15">
        <v>2.1800000000000002</v>
      </c>
      <c r="R40" s="15" t="s">
        <v>35</v>
      </c>
      <c r="S40" s="18">
        <f t="shared" si="8"/>
        <v>1121</v>
      </c>
      <c r="T40" s="18">
        <f t="shared" si="9"/>
        <v>0</v>
      </c>
    </row>
    <row r="41" spans="1:20" ht="18.600000000000001" customHeight="1">
      <c r="A41" s="11" t="s">
        <v>38</v>
      </c>
      <c r="B41" s="11" t="s">
        <v>18</v>
      </c>
      <c r="C41" s="11" t="s">
        <v>19</v>
      </c>
      <c r="D41" s="11" t="s">
        <v>56</v>
      </c>
      <c r="E41" s="11" t="s">
        <v>48</v>
      </c>
      <c r="F41" s="11">
        <v>183035</v>
      </c>
      <c r="G41" s="11" t="s">
        <v>50</v>
      </c>
      <c r="H41" s="12"/>
      <c r="I41" s="11">
        <v>24001498</v>
      </c>
      <c r="J41" s="11">
        <v>295277</v>
      </c>
      <c r="K41" s="11">
        <v>1440</v>
      </c>
      <c r="L41" s="11" t="s">
        <v>90</v>
      </c>
      <c r="M41" s="11">
        <v>0.35699999999999998</v>
      </c>
      <c r="N41" s="13">
        <f t="shared" si="5"/>
        <v>0</v>
      </c>
      <c r="O41" s="11">
        <f t="shared" si="6"/>
        <v>514.07999999999993</v>
      </c>
      <c r="P41" s="11">
        <f t="shared" si="7"/>
        <v>0</v>
      </c>
      <c r="Q41" s="11">
        <v>2.14</v>
      </c>
      <c r="R41" s="11" t="s">
        <v>35</v>
      </c>
      <c r="S41" s="14">
        <f t="shared" si="8"/>
        <v>1100</v>
      </c>
      <c r="T41" s="14">
        <f t="shared" si="9"/>
        <v>0</v>
      </c>
    </row>
    <row r="42" spans="1:20" ht="18.600000000000001" customHeight="1">
      <c r="A42" s="15" t="s">
        <v>38</v>
      </c>
      <c r="B42" s="15" t="s">
        <v>18</v>
      </c>
      <c r="C42" s="15" t="s">
        <v>19</v>
      </c>
      <c r="D42" s="15" t="s">
        <v>56</v>
      </c>
      <c r="E42" s="15" t="s">
        <v>49</v>
      </c>
      <c r="F42" s="15">
        <v>183035</v>
      </c>
      <c r="G42" s="15" t="s">
        <v>50</v>
      </c>
      <c r="H42" s="16"/>
      <c r="I42" s="15">
        <v>24001498</v>
      </c>
      <c r="J42" s="15">
        <v>295279</v>
      </c>
      <c r="K42" s="15">
        <v>1440</v>
      </c>
      <c r="L42" s="15" t="s">
        <v>90</v>
      </c>
      <c r="M42" s="15">
        <v>0.35699999999999998</v>
      </c>
      <c r="N42" s="17">
        <f t="shared" si="5"/>
        <v>0</v>
      </c>
      <c r="O42" s="15">
        <f t="shared" si="6"/>
        <v>514.07999999999993</v>
      </c>
      <c r="P42" s="15">
        <f t="shared" si="7"/>
        <v>0</v>
      </c>
      <c r="Q42" s="15">
        <v>2.1800000000000002</v>
      </c>
      <c r="R42" s="15" t="s">
        <v>35</v>
      </c>
      <c r="S42" s="18">
        <f t="shared" si="8"/>
        <v>1121</v>
      </c>
      <c r="T42" s="18">
        <f t="shared" si="9"/>
        <v>0</v>
      </c>
    </row>
    <row r="43" spans="1:20" ht="18.600000000000001" customHeight="1">
      <c r="A43" s="11" t="s">
        <v>38</v>
      </c>
      <c r="B43" s="11" t="s">
        <v>52</v>
      </c>
      <c r="C43" s="11" t="s">
        <v>19</v>
      </c>
      <c r="D43" s="11" t="s">
        <v>57</v>
      </c>
      <c r="E43" s="11" t="s">
        <v>72</v>
      </c>
      <c r="F43" s="11">
        <v>182899</v>
      </c>
      <c r="G43" s="11" t="s">
        <v>84</v>
      </c>
      <c r="H43" s="12"/>
      <c r="I43" s="11">
        <v>24001177</v>
      </c>
      <c r="J43" s="11">
        <v>297887</v>
      </c>
      <c r="K43" s="11">
        <v>460</v>
      </c>
      <c r="L43" s="11" t="s">
        <v>92</v>
      </c>
      <c r="M43" s="11">
        <v>2.5739999999999998</v>
      </c>
      <c r="N43" s="13">
        <f t="shared" si="5"/>
        <v>2.3255813953489252E-3</v>
      </c>
      <c r="O43" s="11">
        <f t="shared" si="6"/>
        <v>1186.8</v>
      </c>
      <c r="P43" s="11">
        <f t="shared" si="7"/>
        <v>2.7600000000001041</v>
      </c>
      <c r="Q43" s="11">
        <v>0</v>
      </c>
      <c r="R43" s="11" t="s">
        <v>106</v>
      </c>
      <c r="S43" s="14">
        <f t="shared" si="8"/>
        <v>0</v>
      </c>
      <c r="T43" s="14">
        <f t="shared" si="9"/>
        <v>0</v>
      </c>
    </row>
    <row r="44" spans="1:20" ht="18.600000000000001" customHeight="1">
      <c r="A44" s="15" t="s">
        <v>38</v>
      </c>
      <c r="B44" s="15" t="s">
        <v>52</v>
      </c>
      <c r="C44" s="15" t="s">
        <v>53</v>
      </c>
      <c r="D44" s="15" t="s">
        <v>58</v>
      </c>
      <c r="E44" s="15" t="s">
        <v>26</v>
      </c>
      <c r="F44" s="15">
        <v>182899</v>
      </c>
      <c r="G44" s="15" t="s">
        <v>84</v>
      </c>
      <c r="H44" s="16"/>
      <c r="I44" s="15">
        <v>24001177</v>
      </c>
      <c r="J44" s="15">
        <v>279392</v>
      </c>
      <c r="K44" s="15">
        <v>460</v>
      </c>
      <c r="L44" s="15" t="s">
        <v>93</v>
      </c>
      <c r="M44" s="15">
        <v>0.42899999999999999</v>
      </c>
      <c r="N44" s="17">
        <f t="shared" si="5"/>
        <v>-0.25072886297376079</v>
      </c>
      <c r="O44" s="15">
        <f t="shared" si="6"/>
        <v>157.78</v>
      </c>
      <c r="P44" s="15">
        <f t="shared" si="7"/>
        <v>-39.559999999999981</v>
      </c>
      <c r="Q44" s="15">
        <v>1.5</v>
      </c>
      <c r="R44" s="15" t="s">
        <v>35</v>
      </c>
      <c r="S44" s="18">
        <f t="shared" si="8"/>
        <v>237</v>
      </c>
      <c r="T44" s="18">
        <f t="shared" si="9"/>
        <v>-59</v>
      </c>
    </row>
    <row r="45" spans="1:20" ht="18.600000000000001" customHeight="1">
      <c r="A45" s="11" t="s">
        <v>38</v>
      </c>
      <c r="B45" s="11" t="s">
        <v>52</v>
      </c>
      <c r="C45" s="11" t="s">
        <v>54</v>
      </c>
      <c r="D45" s="11" t="s">
        <v>59</v>
      </c>
      <c r="E45" s="11" t="s">
        <v>26</v>
      </c>
      <c r="F45" s="11">
        <v>182899</v>
      </c>
      <c r="G45" s="11" t="s">
        <v>84</v>
      </c>
      <c r="H45" s="12"/>
      <c r="I45" s="11">
        <v>24001177</v>
      </c>
      <c r="J45" s="11">
        <v>290835</v>
      </c>
      <c r="K45" s="11">
        <v>460</v>
      </c>
      <c r="L45" s="11" t="s">
        <v>94</v>
      </c>
      <c r="M45" s="11">
        <v>6.0000000000000001E-3</v>
      </c>
      <c r="N45" s="13">
        <f t="shared" si="5"/>
        <v>0</v>
      </c>
      <c r="O45" s="11">
        <f t="shared" si="6"/>
        <v>2.7600000000000002</v>
      </c>
      <c r="P45" s="11">
        <f t="shared" si="7"/>
        <v>0</v>
      </c>
      <c r="Q45" s="11">
        <v>3.4845000000000002</v>
      </c>
      <c r="R45" s="11" t="s">
        <v>106</v>
      </c>
      <c r="S45" s="14">
        <f t="shared" si="8"/>
        <v>10</v>
      </c>
      <c r="T45" s="14">
        <f t="shared" si="9"/>
        <v>0</v>
      </c>
    </row>
    <row r="46" spans="1:20" ht="18.600000000000001" customHeight="1">
      <c r="A46" s="15" t="s">
        <v>38</v>
      </c>
      <c r="B46" s="15" t="s">
        <v>52</v>
      </c>
      <c r="C46" s="15" t="s">
        <v>19</v>
      </c>
      <c r="D46" s="15" t="s">
        <v>57</v>
      </c>
      <c r="E46" s="15" t="s">
        <v>72</v>
      </c>
      <c r="F46" s="15">
        <v>182900</v>
      </c>
      <c r="G46" s="15" t="s">
        <v>84</v>
      </c>
      <c r="H46" s="16"/>
      <c r="I46" s="15">
        <v>24001178</v>
      </c>
      <c r="J46" s="15">
        <v>297887</v>
      </c>
      <c r="K46" s="15">
        <v>190</v>
      </c>
      <c r="L46" s="15" t="s">
        <v>95</v>
      </c>
      <c r="M46" s="15">
        <v>2.847</v>
      </c>
      <c r="N46" s="17">
        <f t="shared" si="5"/>
        <v>2.4999999999999984E-2</v>
      </c>
      <c r="O46" s="15">
        <f t="shared" si="6"/>
        <v>554.79999999999995</v>
      </c>
      <c r="P46" s="15">
        <f t="shared" si="7"/>
        <v>13.86999999999999</v>
      </c>
      <c r="Q46" s="15">
        <v>0</v>
      </c>
      <c r="R46" s="15" t="s">
        <v>106</v>
      </c>
      <c r="S46" s="18">
        <f t="shared" si="8"/>
        <v>0</v>
      </c>
      <c r="T46" s="18">
        <f t="shared" si="9"/>
        <v>0</v>
      </c>
    </row>
    <row r="47" spans="1:20" ht="18.600000000000001" customHeight="1">
      <c r="A47" s="11" t="s">
        <v>38</v>
      </c>
      <c r="B47" s="11" t="s">
        <v>52</v>
      </c>
      <c r="C47" s="11" t="s">
        <v>53</v>
      </c>
      <c r="D47" s="11" t="s">
        <v>58</v>
      </c>
      <c r="E47" s="11" t="s">
        <v>26</v>
      </c>
      <c r="F47" s="11">
        <v>182900</v>
      </c>
      <c r="G47" s="11" t="s">
        <v>84</v>
      </c>
      <c r="H47" s="12"/>
      <c r="I47" s="11">
        <v>24001178</v>
      </c>
      <c r="J47" s="11">
        <v>279392</v>
      </c>
      <c r="K47" s="11">
        <v>190</v>
      </c>
      <c r="L47" s="11" t="s">
        <v>96</v>
      </c>
      <c r="M47" s="11">
        <v>0.35199999999999998</v>
      </c>
      <c r="N47" s="13">
        <f t="shared" si="5"/>
        <v>-8.5959885386819573E-3</v>
      </c>
      <c r="O47" s="11">
        <f t="shared" si="6"/>
        <v>66.31</v>
      </c>
      <c r="P47" s="11">
        <f t="shared" si="7"/>
        <v>-0.57000000000000062</v>
      </c>
      <c r="Q47" s="11">
        <v>1.5</v>
      </c>
      <c r="R47" s="11" t="s">
        <v>35</v>
      </c>
      <c r="S47" s="14">
        <f t="shared" si="8"/>
        <v>99</v>
      </c>
      <c r="T47" s="14">
        <f t="shared" si="9"/>
        <v>-1</v>
      </c>
    </row>
    <row r="48" spans="1:20" ht="18.600000000000001" customHeight="1">
      <c r="A48" s="15" t="s">
        <v>38</v>
      </c>
      <c r="B48" s="15" t="s">
        <v>52</v>
      </c>
      <c r="C48" s="15" t="s">
        <v>54</v>
      </c>
      <c r="D48" s="15" t="s">
        <v>59</v>
      </c>
      <c r="E48" s="15" t="s">
        <v>26</v>
      </c>
      <c r="F48" s="15">
        <v>182900</v>
      </c>
      <c r="G48" s="15" t="s">
        <v>84</v>
      </c>
      <c r="H48" s="16"/>
      <c r="I48" s="15">
        <v>24001178</v>
      </c>
      <c r="J48" s="15">
        <v>290835</v>
      </c>
      <c r="K48" s="15">
        <v>190</v>
      </c>
      <c r="L48" s="15" t="s">
        <v>94</v>
      </c>
      <c r="M48" s="15">
        <v>6.0000000000000001E-3</v>
      </c>
      <c r="N48" s="17">
        <f t="shared" si="5"/>
        <v>0</v>
      </c>
      <c r="O48" s="15">
        <f t="shared" si="6"/>
        <v>1.1400000000000001</v>
      </c>
      <c r="P48" s="15">
        <f t="shared" si="7"/>
        <v>0</v>
      </c>
      <c r="Q48" s="15">
        <v>3.4839000000000002</v>
      </c>
      <c r="R48" s="15" t="s">
        <v>106</v>
      </c>
      <c r="S48" s="18">
        <f t="shared" si="8"/>
        <v>4</v>
      </c>
      <c r="T48" s="18">
        <f t="shared" si="9"/>
        <v>0</v>
      </c>
    </row>
    <row r="49" spans="1:20" ht="18.600000000000001" customHeight="1">
      <c r="A49" s="11" t="s">
        <v>38</v>
      </c>
      <c r="B49" s="11" t="s">
        <v>52</v>
      </c>
      <c r="C49" s="11" t="s">
        <v>19</v>
      </c>
      <c r="D49" s="11" t="s">
        <v>60</v>
      </c>
      <c r="E49" s="11" t="s">
        <v>73</v>
      </c>
      <c r="F49" s="11">
        <v>182897</v>
      </c>
      <c r="G49" s="11" t="s">
        <v>85</v>
      </c>
      <c r="H49" s="12"/>
      <c r="I49" s="11">
        <v>24001171</v>
      </c>
      <c r="J49" s="11">
        <v>292571</v>
      </c>
      <c r="K49" s="11">
        <v>610</v>
      </c>
      <c r="L49" s="11" t="s">
        <v>97</v>
      </c>
      <c r="M49" s="11">
        <v>2.5230000000000001</v>
      </c>
      <c r="N49" s="13">
        <f t="shared" si="5"/>
        <v>-1.4067524115755684E-2</v>
      </c>
      <c r="O49" s="11">
        <f t="shared" si="6"/>
        <v>1517.68</v>
      </c>
      <c r="P49" s="11">
        <f t="shared" si="7"/>
        <v>-21.350000000000087</v>
      </c>
      <c r="Q49" s="11">
        <v>0</v>
      </c>
      <c r="R49" s="11" t="s">
        <v>106</v>
      </c>
      <c r="S49" s="14">
        <f t="shared" si="8"/>
        <v>0</v>
      </c>
      <c r="T49" s="14">
        <f t="shared" si="9"/>
        <v>0</v>
      </c>
    </row>
    <row r="50" spans="1:20" ht="18.600000000000001" customHeight="1">
      <c r="A50" s="15" t="s">
        <v>38</v>
      </c>
      <c r="B50" s="15" t="s">
        <v>52</v>
      </c>
      <c r="C50" s="15" t="s">
        <v>53</v>
      </c>
      <c r="D50" s="15" t="s">
        <v>58</v>
      </c>
      <c r="E50" s="15" t="s">
        <v>26</v>
      </c>
      <c r="F50" s="15">
        <v>182897</v>
      </c>
      <c r="G50" s="15" t="s">
        <v>85</v>
      </c>
      <c r="H50" s="16"/>
      <c r="I50" s="15">
        <v>24001171</v>
      </c>
      <c r="J50" s="15">
        <v>279392</v>
      </c>
      <c r="K50" s="15">
        <v>610</v>
      </c>
      <c r="L50" s="15" t="s">
        <v>98</v>
      </c>
      <c r="M50" s="15">
        <v>0.33</v>
      </c>
      <c r="N50" s="17">
        <f t="shared" si="5"/>
        <v>3.508771929824564E-2</v>
      </c>
      <c r="O50" s="15">
        <f t="shared" si="6"/>
        <v>208.62</v>
      </c>
      <c r="P50" s="15">
        <f t="shared" si="7"/>
        <v>7.3200000000000056</v>
      </c>
      <c r="Q50" s="15">
        <v>1.5</v>
      </c>
      <c r="R50" s="15" t="s">
        <v>35</v>
      </c>
      <c r="S50" s="18">
        <f t="shared" si="8"/>
        <v>313</v>
      </c>
      <c r="T50" s="18">
        <f t="shared" si="9"/>
        <v>11</v>
      </c>
    </row>
    <row r="51" spans="1:20" ht="18.600000000000001" customHeight="1">
      <c r="A51" s="11" t="s">
        <v>38</v>
      </c>
      <c r="B51" s="11" t="s">
        <v>52</v>
      </c>
      <c r="C51" s="11" t="s">
        <v>54</v>
      </c>
      <c r="D51" s="11" t="s">
        <v>59</v>
      </c>
      <c r="E51" s="11" t="s">
        <v>26</v>
      </c>
      <c r="F51" s="11">
        <v>182897</v>
      </c>
      <c r="G51" s="11" t="s">
        <v>85</v>
      </c>
      <c r="H51" s="12"/>
      <c r="I51" s="11">
        <v>24001171</v>
      </c>
      <c r="J51" s="11">
        <v>290835</v>
      </c>
      <c r="K51" s="11">
        <v>610</v>
      </c>
      <c r="L51" s="11" t="s">
        <v>94</v>
      </c>
      <c r="M51" s="11">
        <v>6.0000000000000001E-3</v>
      </c>
      <c r="N51" s="13">
        <f t="shared" si="5"/>
        <v>0</v>
      </c>
      <c r="O51" s="11">
        <f t="shared" si="6"/>
        <v>3.66</v>
      </c>
      <c r="P51" s="11">
        <f t="shared" si="7"/>
        <v>0</v>
      </c>
      <c r="Q51" s="11">
        <v>3.4839000000000002</v>
      </c>
      <c r="R51" s="11" t="s">
        <v>106</v>
      </c>
      <c r="S51" s="14">
        <f t="shared" si="8"/>
        <v>13</v>
      </c>
      <c r="T51" s="14">
        <f t="shared" si="9"/>
        <v>0</v>
      </c>
    </row>
    <row r="52" spans="1:20" ht="18.600000000000001" customHeight="1">
      <c r="A52" s="15" t="s">
        <v>38</v>
      </c>
      <c r="B52" s="15" t="s">
        <v>52</v>
      </c>
      <c r="C52" s="15" t="s">
        <v>19</v>
      </c>
      <c r="D52" s="15" t="s">
        <v>60</v>
      </c>
      <c r="E52" s="15" t="s">
        <v>73</v>
      </c>
      <c r="F52" s="15">
        <v>182898</v>
      </c>
      <c r="G52" s="15" t="s">
        <v>85</v>
      </c>
      <c r="H52" s="16"/>
      <c r="I52" s="15">
        <v>24001172</v>
      </c>
      <c r="J52" s="15">
        <v>292571</v>
      </c>
      <c r="K52" s="15">
        <v>140</v>
      </c>
      <c r="L52" s="15" t="s">
        <v>99</v>
      </c>
      <c r="M52" s="15">
        <v>2.9</v>
      </c>
      <c r="N52" s="17">
        <f t="shared" si="5"/>
        <v>2.389767754964664E-2</v>
      </c>
      <c r="O52" s="15">
        <f t="shared" si="6"/>
        <v>415.94</v>
      </c>
      <c r="P52" s="15">
        <f t="shared" si="7"/>
        <v>9.9400000000000226</v>
      </c>
      <c r="Q52" s="15">
        <v>0</v>
      </c>
      <c r="R52" s="15" t="s">
        <v>106</v>
      </c>
      <c r="S52" s="18">
        <f t="shared" si="8"/>
        <v>0</v>
      </c>
      <c r="T52" s="18">
        <f t="shared" si="9"/>
        <v>0</v>
      </c>
    </row>
    <row r="53" spans="1:20" ht="18.600000000000001" customHeight="1">
      <c r="A53" s="11" t="s">
        <v>38</v>
      </c>
      <c r="B53" s="11" t="s">
        <v>52</v>
      </c>
      <c r="C53" s="11" t="s">
        <v>53</v>
      </c>
      <c r="D53" s="11" t="s">
        <v>58</v>
      </c>
      <c r="E53" s="11" t="s">
        <v>26</v>
      </c>
      <c r="F53" s="11">
        <v>182898</v>
      </c>
      <c r="G53" s="11" t="s">
        <v>85</v>
      </c>
      <c r="H53" s="12"/>
      <c r="I53" s="11">
        <v>24001172</v>
      </c>
      <c r="J53" s="11">
        <v>279392</v>
      </c>
      <c r="K53" s="11">
        <v>140</v>
      </c>
      <c r="L53" s="11" t="s">
        <v>100</v>
      </c>
      <c r="M53" s="11">
        <v>0.36</v>
      </c>
      <c r="N53" s="13">
        <f t="shared" si="5"/>
        <v>9.7744360902255717E-2</v>
      </c>
      <c r="O53" s="11">
        <f t="shared" si="6"/>
        <v>55.86</v>
      </c>
      <c r="P53" s="11">
        <f t="shared" si="7"/>
        <v>5.4600000000000044</v>
      </c>
      <c r="Q53" s="11">
        <v>1.5</v>
      </c>
      <c r="R53" s="11" t="s">
        <v>35</v>
      </c>
      <c r="S53" s="14">
        <f t="shared" si="8"/>
        <v>84</v>
      </c>
      <c r="T53" s="14">
        <f t="shared" si="9"/>
        <v>8</v>
      </c>
    </row>
    <row r="54" spans="1:20" ht="18.600000000000001" customHeight="1">
      <c r="A54" s="15" t="s">
        <v>38</v>
      </c>
      <c r="B54" s="15" t="s">
        <v>52</v>
      </c>
      <c r="C54" s="15" t="s">
        <v>54</v>
      </c>
      <c r="D54" s="15" t="s">
        <v>59</v>
      </c>
      <c r="E54" s="15" t="s">
        <v>26</v>
      </c>
      <c r="F54" s="15">
        <v>182898</v>
      </c>
      <c r="G54" s="15" t="s">
        <v>85</v>
      </c>
      <c r="H54" s="16"/>
      <c r="I54" s="15">
        <v>24001172</v>
      </c>
      <c r="J54" s="15">
        <v>290835</v>
      </c>
      <c r="K54" s="15">
        <v>140</v>
      </c>
      <c r="L54" s="15" t="s">
        <v>94</v>
      </c>
      <c r="M54" s="15">
        <v>6.0000000000000001E-3</v>
      </c>
      <c r="N54" s="17">
        <f t="shared" si="5"/>
        <v>0</v>
      </c>
      <c r="O54" s="15">
        <f t="shared" si="6"/>
        <v>0.84</v>
      </c>
      <c r="P54" s="15">
        <f t="shared" si="7"/>
        <v>0</v>
      </c>
      <c r="Q54" s="15">
        <v>3.4839000000000002</v>
      </c>
      <c r="R54" s="15" t="s">
        <v>106</v>
      </c>
      <c r="S54" s="18">
        <f t="shared" si="8"/>
        <v>3</v>
      </c>
      <c r="T54" s="18">
        <f t="shared" si="9"/>
        <v>0</v>
      </c>
    </row>
    <row r="55" spans="1:20" ht="18.600000000000001" customHeight="1">
      <c r="A55" s="11" t="s">
        <v>38</v>
      </c>
      <c r="B55" s="11" t="s">
        <v>52</v>
      </c>
      <c r="C55" s="11" t="s">
        <v>19</v>
      </c>
      <c r="D55" s="11" t="s">
        <v>60</v>
      </c>
      <c r="E55" s="11" t="s">
        <v>73</v>
      </c>
      <c r="F55" s="11">
        <v>183110</v>
      </c>
      <c r="G55" s="11" t="s">
        <v>85</v>
      </c>
      <c r="H55" s="12"/>
      <c r="I55" s="11">
        <v>24001192</v>
      </c>
      <c r="J55" s="11">
        <v>292571</v>
      </c>
      <c r="K55" s="11">
        <v>300</v>
      </c>
      <c r="L55" s="11" t="s">
        <v>101</v>
      </c>
      <c r="M55" s="11">
        <v>2.92</v>
      </c>
      <c r="N55" s="13">
        <f t="shared" si="5"/>
        <v>-9.2405536849981249E-2</v>
      </c>
      <c r="O55" s="11">
        <f t="shared" si="6"/>
        <v>801.9</v>
      </c>
      <c r="P55" s="11">
        <f t="shared" si="7"/>
        <v>-74.099999999999966</v>
      </c>
      <c r="Q55" s="11">
        <v>0</v>
      </c>
      <c r="R55" s="11" t="s">
        <v>106</v>
      </c>
      <c r="S55" s="14">
        <f t="shared" si="8"/>
        <v>0</v>
      </c>
      <c r="T55" s="14">
        <f t="shared" si="9"/>
        <v>0</v>
      </c>
    </row>
    <row r="56" spans="1:20" ht="18.600000000000001" customHeight="1">
      <c r="A56" s="15" t="s">
        <v>38</v>
      </c>
      <c r="B56" s="15" t="s">
        <v>52</v>
      </c>
      <c r="C56" s="15" t="s">
        <v>53</v>
      </c>
      <c r="D56" s="15" t="s">
        <v>58</v>
      </c>
      <c r="E56" s="15" t="s">
        <v>26</v>
      </c>
      <c r="F56" s="15">
        <v>183110</v>
      </c>
      <c r="G56" s="15" t="s">
        <v>85</v>
      </c>
      <c r="H56" s="16"/>
      <c r="I56" s="15">
        <v>24001192</v>
      </c>
      <c r="J56" s="15">
        <v>279392</v>
      </c>
      <c r="K56" s="15">
        <v>300</v>
      </c>
      <c r="L56" s="15" t="s">
        <v>96</v>
      </c>
      <c r="M56" s="15">
        <v>0.35299999999999998</v>
      </c>
      <c r="N56" s="17">
        <f t="shared" si="5"/>
        <v>-1.1461318051575943E-2</v>
      </c>
      <c r="O56" s="15">
        <f t="shared" si="6"/>
        <v>104.69999999999999</v>
      </c>
      <c r="P56" s="15">
        <f t="shared" si="7"/>
        <v>-1.2000000000000011</v>
      </c>
      <c r="Q56" s="15">
        <v>1.5</v>
      </c>
      <c r="R56" s="15" t="s">
        <v>35</v>
      </c>
      <c r="S56" s="18">
        <f t="shared" si="8"/>
        <v>157</v>
      </c>
      <c r="T56" s="18">
        <f t="shared" si="9"/>
        <v>-2</v>
      </c>
    </row>
    <row r="57" spans="1:20" ht="18.600000000000001" customHeight="1">
      <c r="A57" s="11" t="s">
        <v>38</v>
      </c>
      <c r="B57" s="11" t="s">
        <v>52</v>
      </c>
      <c r="C57" s="11" t="s">
        <v>54</v>
      </c>
      <c r="D57" s="11" t="s">
        <v>59</v>
      </c>
      <c r="E57" s="11" t="s">
        <v>26</v>
      </c>
      <c r="F57" s="11">
        <v>183110</v>
      </c>
      <c r="G57" s="11" t="s">
        <v>85</v>
      </c>
      <c r="H57" s="12"/>
      <c r="I57" s="11">
        <v>24001192</v>
      </c>
      <c r="J57" s="11">
        <v>290835</v>
      </c>
      <c r="K57" s="11">
        <v>300</v>
      </c>
      <c r="L57" s="11" t="s">
        <v>94</v>
      </c>
      <c r="M57" s="11">
        <v>6.0000000000000001E-3</v>
      </c>
      <c r="N57" s="13">
        <f t="shared" si="5"/>
        <v>0</v>
      </c>
      <c r="O57" s="11">
        <f t="shared" si="6"/>
        <v>1.8</v>
      </c>
      <c r="P57" s="11">
        <f t="shared" si="7"/>
        <v>0</v>
      </c>
      <c r="Q57" s="11">
        <v>3.4839000000000002</v>
      </c>
      <c r="R57" s="11" t="s">
        <v>106</v>
      </c>
      <c r="S57" s="14">
        <f t="shared" si="8"/>
        <v>6</v>
      </c>
      <c r="T57" s="14">
        <f t="shared" si="9"/>
        <v>0</v>
      </c>
    </row>
    <row r="58" spans="1:20" ht="18.600000000000001" customHeight="1">
      <c r="A58" s="15" t="s">
        <v>38</v>
      </c>
      <c r="B58" s="15" t="s">
        <v>52</v>
      </c>
      <c r="C58" s="15" t="s">
        <v>19</v>
      </c>
      <c r="D58" s="15" t="s">
        <v>60</v>
      </c>
      <c r="E58" s="15" t="s">
        <v>74</v>
      </c>
      <c r="F58" s="15">
        <v>182945</v>
      </c>
      <c r="G58" s="15" t="s">
        <v>86</v>
      </c>
      <c r="H58" s="16"/>
      <c r="I58" s="15">
        <v>24001191</v>
      </c>
      <c r="J58" s="15">
        <v>294727</v>
      </c>
      <c r="K58" s="15">
        <v>280</v>
      </c>
      <c r="L58" s="15" t="s">
        <v>102</v>
      </c>
      <c r="M58" s="15">
        <v>2.694</v>
      </c>
      <c r="N58" s="17">
        <f t="shared" si="5"/>
        <v>2.0363636363636382E-2</v>
      </c>
      <c r="O58" s="15">
        <f t="shared" si="6"/>
        <v>770</v>
      </c>
      <c r="P58" s="15">
        <f t="shared" si="7"/>
        <v>15.680000000000014</v>
      </c>
      <c r="Q58" s="15">
        <v>0</v>
      </c>
      <c r="R58" s="15" t="s">
        <v>106</v>
      </c>
      <c r="S58" s="18">
        <f t="shared" si="8"/>
        <v>0</v>
      </c>
      <c r="T58" s="18">
        <f t="shared" si="9"/>
        <v>0</v>
      </c>
    </row>
    <row r="59" spans="1:20" ht="18.600000000000001" customHeight="1">
      <c r="A59" s="11" t="s">
        <v>38</v>
      </c>
      <c r="B59" s="11" t="s">
        <v>52</v>
      </c>
      <c r="C59" s="11" t="s">
        <v>19</v>
      </c>
      <c r="D59" s="11" t="s">
        <v>57</v>
      </c>
      <c r="E59" s="11" t="s">
        <v>75</v>
      </c>
      <c r="F59" s="11">
        <v>182945</v>
      </c>
      <c r="G59" s="11" t="s">
        <v>86</v>
      </c>
      <c r="H59" s="12"/>
      <c r="I59" s="11">
        <v>24001191</v>
      </c>
      <c r="J59" s="11">
        <v>297888</v>
      </c>
      <c r="K59" s="11">
        <v>320</v>
      </c>
      <c r="L59" s="11" t="s">
        <v>102</v>
      </c>
      <c r="M59" s="11">
        <v>2.7250000000000001</v>
      </c>
      <c r="N59" s="13">
        <f t="shared" si="5"/>
        <v>9.0909090909090592E-3</v>
      </c>
      <c r="O59" s="11">
        <f t="shared" si="6"/>
        <v>880</v>
      </c>
      <c r="P59" s="11">
        <f t="shared" si="7"/>
        <v>7.9999999999999725</v>
      </c>
      <c r="Q59" s="11">
        <v>0</v>
      </c>
      <c r="R59" s="11" t="s">
        <v>106</v>
      </c>
      <c r="S59" s="14">
        <f t="shared" si="8"/>
        <v>0</v>
      </c>
      <c r="T59" s="14">
        <f t="shared" si="9"/>
        <v>0</v>
      </c>
    </row>
    <row r="60" spans="1:20" ht="18.600000000000001" customHeight="1">
      <c r="A60" s="15" t="s">
        <v>38</v>
      </c>
      <c r="B60" s="15" t="s">
        <v>52</v>
      </c>
      <c r="C60" s="15" t="s">
        <v>53</v>
      </c>
      <c r="D60" s="15" t="s">
        <v>58</v>
      </c>
      <c r="E60" s="15" t="s">
        <v>26</v>
      </c>
      <c r="F60" s="15">
        <v>182945</v>
      </c>
      <c r="G60" s="15" t="s">
        <v>86</v>
      </c>
      <c r="H60" s="16"/>
      <c r="I60" s="15">
        <v>24001191</v>
      </c>
      <c r="J60" s="15">
        <v>279392</v>
      </c>
      <c r="K60" s="15">
        <v>600</v>
      </c>
      <c r="L60" s="15" t="s">
        <v>103</v>
      </c>
      <c r="M60" s="15">
        <v>0.35399999999999998</v>
      </c>
      <c r="N60" s="17">
        <f t="shared" si="5"/>
        <v>-4.1176470588235162E-2</v>
      </c>
      <c r="O60" s="15">
        <f t="shared" si="6"/>
        <v>204.00000000000003</v>
      </c>
      <c r="P60" s="15">
        <f t="shared" si="7"/>
        <v>-8.3999999999999737</v>
      </c>
      <c r="Q60" s="15">
        <v>1.5</v>
      </c>
      <c r="R60" s="15" t="s">
        <v>35</v>
      </c>
      <c r="S60" s="18">
        <f t="shared" si="8"/>
        <v>306</v>
      </c>
      <c r="T60" s="18">
        <f t="shared" si="9"/>
        <v>-13</v>
      </c>
    </row>
    <row r="61" spans="1:20" ht="18.600000000000001" customHeight="1">
      <c r="A61" s="11" t="s">
        <v>38</v>
      </c>
      <c r="B61" s="11" t="s">
        <v>52</v>
      </c>
      <c r="C61" s="11" t="s">
        <v>54</v>
      </c>
      <c r="D61" s="11" t="s">
        <v>59</v>
      </c>
      <c r="E61" s="11" t="s">
        <v>26</v>
      </c>
      <c r="F61" s="11">
        <v>182945</v>
      </c>
      <c r="G61" s="11" t="s">
        <v>86</v>
      </c>
      <c r="H61" s="12"/>
      <c r="I61" s="11">
        <v>24001191</v>
      </c>
      <c r="J61" s="11">
        <v>290835</v>
      </c>
      <c r="K61" s="11">
        <v>600</v>
      </c>
      <c r="L61" s="11" t="s">
        <v>94</v>
      </c>
      <c r="M61" s="11">
        <v>6.0000000000000001E-3</v>
      </c>
      <c r="N61" s="13">
        <f t="shared" si="5"/>
        <v>0</v>
      </c>
      <c r="O61" s="11">
        <f t="shared" si="6"/>
        <v>3.6</v>
      </c>
      <c r="P61" s="11">
        <f t="shared" si="7"/>
        <v>0</v>
      </c>
      <c r="Q61" s="11">
        <v>3.4845000000000002</v>
      </c>
      <c r="R61" s="11" t="s">
        <v>106</v>
      </c>
      <c r="S61" s="14">
        <f t="shared" si="8"/>
        <v>13</v>
      </c>
      <c r="T61" s="14">
        <f t="shared" si="9"/>
        <v>0</v>
      </c>
    </row>
    <row r="62" spans="1:20" ht="18.600000000000001" customHeight="1">
      <c r="A62" s="15" t="s">
        <v>38</v>
      </c>
      <c r="B62" s="15" t="s">
        <v>52</v>
      </c>
      <c r="C62" s="15" t="s">
        <v>19</v>
      </c>
      <c r="D62" s="15" t="s">
        <v>57</v>
      </c>
      <c r="E62" s="15" t="s">
        <v>76</v>
      </c>
      <c r="F62" s="15">
        <v>183264</v>
      </c>
      <c r="G62" s="15" t="s">
        <v>87</v>
      </c>
      <c r="H62" s="16"/>
      <c r="I62" s="15">
        <v>24001235</v>
      </c>
      <c r="J62" s="15">
        <v>296443</v>
      </c>
      <c r="K62" s="15">
        <v>335</v>
      </c>
      <c r="L62" s="15" t="s">
        <v>104</v>
      </c>
      <c r="M62" s="15">
        <v>2.67</v>
      </c>
      <c r="N62" s="17">
        <f t="shared" si="5"/>
        <v>0</v>
      </c>
      <c r="O62" s="15">
        <f t="shared" si="6"/>
        <v>894.44999999999993</v>
      </c>
      <c r="P62" s="15">
        <f t="shared" si="7"/>
        <v>0</v>
      </c>
      <c r="Q62" s="15">
        <v>0</v>
      </c>
      <c r="R62" s="15" t="s">
        <v>106</v>
      </c>
      <c r="S62" s="18">
        <f t="shared" si="8"/>
        <v>0</v>
      </c>
      <c r="T62" s="18">
        <f t="shared" si="9"/>
        <v>0</v>
      </c>
    </row>
    <row r="63" spans="1:20" ht="18.600000000000001" customHeight="1">
      <c r="A63" s="11" t="s">
        <v>38</v>
      </c>
      <c r="B63" s="11" t="s">
        <v>52</v>
      </c>
      <c r="C63" s="11" t="s">
        <v>53</v>
      </c>
      <c r="D63" s="11" t="s">
        <v>58</v>
      </c>
      <c r="E63" s="11" t="s">
        <v>26</v>
      </c>
      <c r="F63" s="11">
        <v>183264</v>
      </c>
      <c r="G63" s="11" t="s">
        <v>87</v>
      </c>
      <c r="H63" s="12"/>
      <c r="I63" s="11">
        <v>24001235</v>
      </c>
      <c r="J63" s="11">
        <v>279392</v>
      </c>
      <c r="K63" s="11">
        <v>335</v>
      </c>
      <c r="L63" s="11" t="s">
        <v>105</v>
      </c>
      <c r="M63" s="11">
        <v>0.33800000000000002</v>
      </c>
      <c r="N63" s="13">
        <f t="shared" si="5"/>
        <v>0</v>
      </c>
      <c r="O63" s="11">
        <f t="shared" si="6"/>
        <v>113.23</v>
      </c>
      <c r="P63" s="11">
        <f t="shared" si="7"/>
        <v>0</v>
      </c>
      <c r="Q63" s="11">
        <v>1.5</v>
      </c>
      <c r="R63" s="11" t="s">
        <v>35</v>
      </c>
      <c r="S63" s="14">
        <f t="shared" si="8"/>
        <v>170</v>
      </c>
      <c r="T63" s="14">
        <f t="shared" si="9"/>
        <v>0</v>
      </c>
    </row>
    <row r="64" spans="1:20" ht="18.600000000000001" customHeight="1">
      <c r="A64" s="15" t="s">
        <v>38</v>
      </c>
      <c r="B64" s="15" t="s">
        <v>52</v>
      </c>
      <c r="C64" s="15" t="s">
        <v>54</v>
      </c>
      <c r="D64" s="15" t="s">
        <v>59</v>
      </c>
      <c r="E64" s="15" t="s">
        <v>26</v>
      </c>
      <c r="F64" s="15">
        <v>183264</v>
      </c>
      <c r="G64" s="15" t="s">
        <v>87</v>
      </c>
      <c r="H64" s="16"/>
      <c r="I64" s="15">
        <v>24001235</v>
      </c>
      <c r="J64" s="15">
        <v>290835</v>
      </c>
      <c r="K64" s="15">
        <v>335</v>
      </c>
      <c r="L64" s="15" t="s">
        <v>94</v>
      </c>
      <c r="M64" s="15">
        <v>6.0000000000000001E-3</v>
      </c>
      <c r="N64" s="17">
        <f t="shared" si="5"/>
        <v>0</v>
      </c>
      <c r="O64" s="15">
        <f t="shared" si="6"/>
        <v>2.0100000000000002</v>
      </c>
      <c r="P64" s="15">
        <f t="shared" si="7"/>
        <v>0</v>
      </c>
      <c r="Q64" s="15">
        <v>3.4839000000000002</v>
      </c>
      <c r="R64" s="15" t="s">
        <v>106</v>
      </c>
      <c r="S64" s="18">
        <f t="shared" si="8"/>
        <v>7</v>
      </c>
      <c r="T64" s="18">
        <f t="shared" si="9"/>
        <v>0</v>
      </c>
    </row>
    <row r="65" spans="1:20" ht="18.600000000000001" customHeight="1">
      <c r="A65" s="11" t="s">
        <v>39</v>
      </c>
      <c r="B65" s="11"/>
      <c r="C65" s="11"/>
      <c r="D65" s="11"/>
      <c r="E65" s="11"/>
      <c r="F65" s="11"/>
      <c r="G65" s="11"/>
      <c r="H65" s="12"/>
      <c r="I65" s="11"/>
      <c r="J65" s="11"/>
      <c r="K65" s="11"/>
      <c r="L65" s="11"/>
      <c r="M65" s="11"/>
      <c r="N65" s="13" t="e">
        <f t="shared" si="5"/>
        <v>#DIV/0!</v>
      </c>
      <c r="O65" s="11">
        <f t="shared" si="6"/>
        <v>0</v>
      </c>
      <c r="P65" s="11" t="e">
        <f t="shared" si="7"/>
        <v>#DIV/0!</v>
      </c>
      <c r="Q65" s="11"/>
      <c r="R65" s="11"/>
      <c r="S65" s="14">
        <f t="shared" si="8"/>
        <v>0</v>
      </c>
      <c r="T65" s="14">
        <f t="shared" si="9"/>
        <v>0</v>
      </c>
    </row>
    <row r="66" spans="1:20" ht="18.600000000000001" customHeight="1">
      <c r="A66" s="15" t="s">
        <v>39</v>
      </c>
      <c r="B66" s="15" t="s">
        <v>18</v>
      </c>
      <c r="C66" s="15" t="s">
        <v>19</v>
      </c>
      <c r="D66" s="15" t="s">
        <v>107</v>
      </c>
      <c r="E66" s="15" t="s">
        <v>26</v>
      </c>
      <c r="F66" s="15">
        <v>182972</v>
      </c>
      <c r="G66" s="15">
        <v>983462</v>
      </c>
      <c r="H66" s="16"/>
      <c r="I66" s="15">
        <v>24001435</v>
      </c>
      <c r="J66" s="15">
        <v>290059</v>
      </c>
      <c r="K66" s="15">
        <v>7812</v>
      </c>
      <c r="L66" s="15">
        <v>0.33800000000000002</v>
      </c>
      <c r="M66" s="15">
        <v>0.33200000000000002</v>
      </c>
      <c r="N66" s="17">
        <f t="shared" si="5"/>
        <v>1.7751479289940843E-2</v>
      </c>
      <c r="O66" s="15">
        <f t="shared" si="6"/>
        <v>2640.4560000000001</v>
      </c>
      <c r="P66" s="15">
        <f t="shared" si="7"/>
        <v>46.872000000000043</v>
      </c>
      <c r="Q66" s="15">
        <v>1.39</v>
      </c>
      <c r="R66" s="15" t="s">
        <v>41</v>
      </c>
      <c r="S66" s="18">
        <f t="shared" si="8"/>
        <v>3670</v>
      </c>
      <c r="T66" s="18">
        <f t="shared" si="9"/>
        <v>65</v>
      </c>
    </row>
    <row r="67" spans="1:20" ht="18.600000000000001" customHeight="1">
      <c r="A67" s="11" t="s">
        <v>39</v>
      </c>
      <c r="B67" s="11" t="s">
        <v>18</v>
      </c>
      <c r="C67" s="11" t="s">
        <v>19</v>
      </c>
      <c r="D67" s="11" t="s">
        <v>107</v>
      </c>
      <c r="E67" s="11" t="s">
        <v>27</v>
      </c>
      <c r="F67" s="11">
        <v>182972</v>
      </c>
      <c r="G67" s="11">
        <v>983462</v>
      </c>
      <c r="H67" s="12"/>
      <c r="I67" s="11">
        <v>24001435</v>
      </c>
      <c r="J67" s="11">
        <v>290060</v>
      </c>
      <c r="K67" s="11">
        <v>7812</v>
      </c>
      <c r="L67" s="11">
        <v>0.33800000000000002</v>
      </c>
      <c r="M67" s="11">
        <v>0.33200000000000002</v>
      </c>
      <c r="N67" s="13">
        <f t="shared" ref="N67:N98" si="10">(L67-M67)/L67</f>
        <v>1.7751479289940843E-2</v>
      </c>
      <c r="O67" s="11">
        <f t="shared" ref="O67:O88" si="11">K67*L67</f>
        <v>2640.4560000000001</v>
      </c>
      <c r="P67" s="11">
        <f t="shared" ref="P67:P98" si="12">N67*O67</f>
        <v>46.872000000000043</v>
      </c>
      <c r="Q67" s="11">
        <v>1.39</v>
      </c>
      <c r="R67" s="11" t="s">
        <v>41</v>
      </c>
      <c r="S67" s="14">
        <f t="shared" ref="S67:S88" si="13">IFERROR(ROUND(O67*Q67,0),0)</f>
        <v>3670</v>
      </c>
      <c r="T67" s="14">
        <f t="shared" ref="T67:T88" si="14">IFERROR(ROUND(Q67*P67,0),0)</f>
        <v>65</v>
      </c>
    </row>
    <row r="68" spans="1:20" ht="18.600000000000001" customHeight="1">
      <c r="A68" s="15" t="s">
        <v>39</v>
      </c>
      <c r="B68" s="15" t="s">
        <v>18</v>
      </c>
      <c r="C68" s="15" t="s">
        <v>19</v>
      </c>
      <c r="D68" s="15" t="s">
        <v>107</v>
      </c>
      <c r="E68" s="15" t="s">
        <v>29</v>
      </c>
      <c r="F68" s="15">
        <v>182972</v>
      </c>
      <c r="G68" s="15">
        <v>983462</v>
      </c>
      <c r="H68" s="16"/>
      <c r="I68" s="15">
        <v>24001435</v>
      </c>
      <c r="J68" s="15">
        <v>290061</v>
      </c>
      <c r="K68" s="15">
        <v>7812</v>
      </c>
      <c r="L68" s="15">
        <v>0.33800000000000002</v>
      </c>
      <c r="M68" s="15">
        <v>0.33200000000000002</v>
      </c>
      <c r="N68" s="17">
        <f t="shared" si="10"/>
        <v>1.7751479289940843E-2</v>
      </c>
      <c r="O68" s="15">
        <f t="shared" si="11"/>
        <v>2640.4560000000001</v>
      </c>
      <c r="P68" s="15">
        <f t="shared" si="12"/>
        <v>46.872000000000043</v>
      </c>
      <c r="Q68" s="15">
        <v>1.39</v>
      </c>
      <c r="R68" s="15" t="s">
        <v>41</v>
      </c>
      <c r="S68" s="18">
        <f t="shared" si="13"/>
        <v>3670</v>
      </c>
      <c r="T68" s="18">
        <f t="shared" si="14"/>
        <v>65</v>
      </c>
    </row>
    <row r="69" spans="1:20" ht="18.600000000000001" customHeight="1">
      <c r="A69" s="11" t="s">
        <v>39</v>
      </c>
      <c r="B69" s="11" t="s">
        <v>18</v>
      </c>
      <c r="C69" s="11" t="s">
        <v>19</v>
      </c>
      <c r="D69" s="11" t="s">
        <v>107</v>
      </c>
      <c r="E69" s="11" t="s">
        <v>42</v>
      </c>
      <c r="F69" s="11">
        <v>182976</v>
      </c>
      <c r="G69" s="11">
        <v>983462</v>
      </c>
      <c r="H69" s="12"/>
      <c r="I69" s="11">
        <v>24001439</v>
      </c>
      <c r="J69" s="11">
        <v>292102</v>
      </c>
      <c r="K69" s="11">
        <v>6156</v>
      </c>
      <c r="L69" s="11">
        <v>0.33800000000000002</v>
      </c>
      <c r="M69" s="11">
        <v>0.33200000000000002</v>
      </c>
      <c r="N69" s="13">
        <f t="shared" si="10"/>
        <v>1.7751479289940843E-2</v>
      </c>
      <c r="O69" s="11">
        <f t="shared" si="11"/>
        <v>2080.7280000000001</v>
      </c>
      <c r="P69" s="11">
        <f t="shared" si="12"/>
        <v>36.936000000000028</v>
      </c>
      <c r="Q69" s="11">
        <v>1.39</v>
      </c>
      <c r="R69" s="11" t="s">
        <v>41</v>
      </c>
      <c r="S69" s="14">
        <f t="shared" si="13"/>
        <v>2892</v>
      </c>
      <c r="T69" s="14">
        <f t="shared" si="14"/>
        <v>51</v>
      </c>
    </row>
    <row r="70" spans="1:20" ht="18.600000000000001" customHeight="1">
      <c r="A70" s="15" t="s">
        <v>39</v>
      </c>
      <c r="B70" s="15" t="s">
        <v>18</v>
      </c>
      <c r="C70" s="15" t="s">
        <v>19</v>
      </c>
      <c r="D70" s="15" t="s">
        <v>107</v>
      </c>
      <c r="E70" s="15" t="s">
        <v>26</v>
      </c>
      <c r="F70" s="15">
        <v>182976</v>
      </c>
      <c r="G70" s="15">
        <v>983462</v>
      </c>
      <c r="H70" s="16"/>
      <c r="I70" s="15">
        <v>24001439</v>
      </c>
      <c r="J70" s="15">
        <v>290059</v>
      </c>
      <c r="K70" s="15">
        <v>6156</v>
      </c>
      <c r="L70" s="15">
        <v>0.33800000000000002</v>
      </c>
      <c r="M70" s="15">
        <v>0.33200000000000002</v>
      </c>
      <c r="N70" s="17">
        <f t="shared" si="10"/>
        <v>1.7751479289940843E-2</v>
      </c>
      <c r="O70" s="15">
        <f t="shared" si="11"/>
        <v>2080.7280000000001</v>
      </c>
      <c r="P70" s="15">
        <f t="shared" si="12"/>
        <v>36.936000000000028</v>
      </c>
      <c r="Q70" s="15">
        <v>1.39</v>
      </c>
      <c r="R70" s="15" t="s">
        <v>41</v>
      </c>
      <c r="S70" s="18">
        <f t="shared" si="13"/>
        <v>2892</v>
      </c>
      <c r="T70" s="18">
        <f t="shared" si="14"/>
        <v>51</v>
      </c>
    </row>
    <row r="71" spans="1:20" ht="18.600000000000001" customHeight="1">
      <c r="A71" s="11" t="s">
        <v>39</v>
      </c>
      <c r="B71" s="11" t="s">
        <v>18</v>
      </c>
      <c r="C71" s="11" t="s">
        <v>19</v>
      </c>
      <c r="D71" s="11" t="s">
        <v>107</v>
      </c>
      <c r="E71" s="11" t="s">
        <v>27</v>
      </c>
      <c r="F71" s="11">
        <v>182976</v>
      </c>
      <c r="G71" s="11">
        <v>983462</v>
      </c>
      <c r="H71" s="12"/>
      <c r="I71" s="11">
        <v>24001439</v>
      </c>
      <c r="J71" s="11">
        <v>290060</v>
      </c>
      <c r="K71" s="11">
        <v>6156</v>
      </c>
      <c r="L71" s="11">
        <v>0.33800000000000002</v>
      </c>
      <c r="M71" s="11">
        <v>0.33200000000000002</v>
      </c>
      <c r="N71" s="13">
        <f t="shared" si="10"/>
        <v>1.7751479289940843E-2</v>
      </c>
      <c r="O71" s="11">
        <f t="shared" si="11"/>
        <v>2080.7280000000001</v>
      </c>
      <c r="P71" s="11">
        <f t="shared" si="12"/>
        <v>36.936000000000028</v>
      </c>
      <c r="Q71" s="11">
        <v>1.39</v>
      </c>
      <c r="R71" s="11" t="s">
        <v>41</v>
      </c>
      <c r="S71" s="14">
        <f t="shared" si="13"/>
        <v>2892</v>
      </c>
      <c r="T71" s="14">
        <f t="shared" si="14"/>
        <v>51</v>
      </c>
    </row>
    <row r="72" spans="1:20" ht="18.600000000000001" customHeight="1">
      <c r="A72" s="15" t="s">
        <v>39</v>
      </c>
      <c r="B72" s="15" t="s">
        <v>18</v>
      </c>
      <c r="C72" s="15" t="s">
        <v>19</v>
      </c>
      <c r="D72" s="15" t="s">
        <v>107</v>
      </c>
      <c r="E72" s="15" t="s">
        <v>42</v>
      </c>
      <c r="F72" s="15">
        <v>182977</v>
      </c>
      <c r="G72" s="15">
        <v>983462</v>
      </c>
      <c r="H72" s="16"/>
      <c r="I72" s="15">
        <v>24001440</v>
      </c>
      <c r="J72" s="15">
        <v>292102</v>
      </c>
      <c r="K72" s="15">
        <v>648</v>
      </c>
      <c r="L72" s="15">
        <v>0.41699999999999998</v>
      </c>
      <c r="M72" s="15">
        <v>0.41199999999999998</v>
      </c>
      <c r="N72" s="17">
        <f t="shared" si="10"/>
        <v>1.1990407673860922E-2</v>
      </c>
      <c r="O72" s="15">
        <f t="shared" si="11"/>
        <v>270.21600000000001</v>
      </c>
      <c r="P72" s="15">
        <f t="shared" si="12"/>
        <v>3.2400000000000029</v>
      </c>
      <c r="Q72" s="15">
        <v>1.39</v>
      </c>
      <c r="R72" s="15" t="s">
        <v>41</v>
      </c>
      <c r="S72" s="18">
        <f t="shared" si="13"/>
        <v>376</v>
      </c>
      <c r="T72" s="18">
        <f t="shared" si="14"/>
        <v>5</v>
      </c>
    </row>
    <row r="73" spans="1:20" ht="18.600000000000001" customHeight="1">
      <c r="A73" s="11" t="s">
        <v>39</v>
      </c>
      <c r="B73" s="11" t="s">
        <v>18</v>
      </c>
      <c r="C73" s="11" t="s">
        <v>19</v>
      </c>
      <c r="D73" s="11" t="s">
        <v>107</v>
      </c>
      <c r="E73" s="11" t="s">
        <v>26</v>
      </c>
      <c r="F73" s="11">
        <v>182977</v>
      </c>
      <c r="G73" s="11">
        <v>983462</v>
      </c>
      <c r="H73" s="12"/>
      <c r="I73" s="11">
        <v>24001440</v>
      </c>
      <c r="J73" s="11">
        <v>290059</v>
      </c>
      <c r="K73" s="11">
        <v>648</v>
      </c>
      <c r="L73" s="11">
        <v>0.41699999999999998</v>
      </c>
      <c r="M73" s="11">
        <v>0.41199999999999998</v>
      </c>
      <c r="N73" s="13">
        <f t="shared" si="10"/>
        <v>1.1990407673860922E-2</v>
      </c>
      <c r="O73" s="11">
        <f t="shared" si="11"/>
        <v>270.21600000000001</v>
      </c>
      <c r="P73" s="11">
        <f t="shared" si="12"/>
        <v>3.2400000000000029</v>
      </c>
      <c r="Q73" s="11">
        <v>1.39</v>
      </c>
      <c r="R73" s="11" t="s">
        <v>41</v>
      </c>
      <c r="S73" s="14">
        <f t="shared" si="13"/>
        <v>376</v>
      </c>
      <c r="T73" s="14">
        <f t="shared" si="14"/>
        <v>5</v>
      </c>
    </row>
    <row r="74" spans="1:20" ht="18.600000000000001" customHeight="1">
      <c r="A74" s="15" t="s">
        <v>39</v>
      </c>
      <c r="B74" s="15" t="s">
        <v>18</v>
      </c>
      <c r="C74" s="15" t="s">
        <v>19</v>
      </c>
      <c r="D74" s="15" t="s">
        <v>107</v>
      </c>
      <c r="E74" s="15" t="s">
        <v>27</v>
      </c>
      <c r="F74" s="15">
        <v>182977</v>
      </c>
      <c r="G74" s="15">
        <v>983462</v>
      </c>
      <c r="H74" s="16"/>
      <c r="I74" s="15">
        <v>24001440</v>
      </c>
      <c r="J74" s="15">
        <v>290060</v>
      </c>
      <c r="K74" s="15">
        <v>648</v>
      </c>
      <c r="L74" s="15">
        <v>0.41699999999999998</v>
      </c>
      <c r="M74" s="15">
        <v>0.41199999999999998</v>
      </c>
      <c r="N74" s="17">
        <f t="shared" si="10"/>
        <v>1.1990407673860922E-2</v>
      </c>
      <c r="O74" s="15">
        <f t="shared" si="11"/>
        <v>270.21600000000001</v>
      </c>
      <c r="P74" s="15">
        <f t="shared" si="12"/>
        <v>3.2400000000000029</v>
      </c>
      <c r="Q74" s="15">
        <v>1.39</v>
      </c>
      <c r="R74" s="15" t="s">
        <v>41</v>
      </c>
      <c r="S74" s="18">
        <f t="shared" si="13"/>
        <v>376</v>
      </c>
      <c r="T74" s="18">
        <f t="shared" si="14"/>
        <v>5</v>
      </c>
    </row>
    <row r="75" spans="1:20" ht="18.600000000000001" customHeight="1">
      <c r="A75" s="11" t="s">
        <v>39</v>
      </c>
      <c r="B75" s="11" t="s">
        <v>18</v>
      </c>
      <c r="C75" s="11" t="s">
        <v>19</v>
      </c>
      <c r="D75" s="11" t="s">
        <v>107</v>
      </c>
      <c r="E75" s="11" t="s">
        <v>43</v>
      </c>
      <c r="F75" s="11">
        <v>182984</v>
      </c>
      <c r="G75" s="11">
        <v>983462</v>
      </c>
      <c r="H75" s="12"/>
      <c r="I75" s="11">
        <v>24001447</v>
      </c>
      <c r="J75" s="11">
        <v>295061</v>
      </c>
      <c r="K75" s="11">
        <v>1836</v>
      </c>
      <c r="L75" s="11">
        <v>0.33800000000000002</v>
      </c>
      <c r="M75" s="11">
        <v>0.33100000000000002</v>
      </c>
      <c r="N75" s="13">
        <f t="shared" si="10"/>
        <v>2.0710059171597649E-2</v>
      </c>
      <c r="O75" s="11">
        <f t="shared" si="11"/>
        <v>620.5680000000001</v>
      </c>
      <c r="P75" s="11">
        <f t="shared" si="12"/>
        <v>12.852000000000011</v>
      </c>
      <c r="Q75" s="11">
        <v>1.94</v>
      </c>
      <c r="R75" s="11" t="s">
        <v>41</v>
      </c>
      <c r="S75" s="14">
        <f t="shared" si="13"/>
        <v>1204</v>
      </c>
      <c r="T75" s="14">
        <f t="shared" si="14"/>
        <v>25</v>
      </c>
    </row>
    <row r="76" spans="1:20" ht="18.600000000000001" customHeight="1">
      <c r="A76" s="15" t="s">
        <v>39</v>
      </c>
      <c r="B76" s="15" t="s">
        <v>18</v>
      </c>
      <c r="C76" s="15" t="s">
        <v>19</v>
      </c>
      <c r="D76" s="15" t="s">
        <v>107</v>
      </c>
      <c r="E76" s="15" t="s">
        <v>44</v>
      </c>
      <c r="F76" s="15">
        <v>182984</v>
      </c>
      <c r="G76" s="15">
        <v>983462</v>
      </c>
      <c r="H76" s="16"/>
      <c r="I76" s="15">
        <v>24001447</v>
      </c>
      <c r="J76" s="15">
        <v>292109</v>
      </c>
      <c r="K76" s="15">
        <v>1836</v>
      </c>
      <c r="L76" s="15">
        <v>0.33800000000000002</v>
      </c>
      <c r="M76" s="15">
        <v>0.33100000000000002</v>
      </c>
      <c r="N76" s="17">
        <f t="shared" si="10"/>
        <v>2.0710059171597649E-2</v>
      </c>
      <c r="O76" s="15">
        <f t="shared" si="11"/>
        <v>620.5680000000001</v>
      </c>
      <c r="P76" s="15">
        <f t="shared" si="12"/>
        <v>12.852000000000011</v>
      </c>
      <c r="Q76" s="15">
        <v>0</v>
      </c>
      <c r="R76" s="15" t="s">
        <v>41</v>
      </c>
      <c r="S76" s="18">
        <f t="shared" si="13"/>
        <v>0</v>
      </c>
      <c r="T76" s="18">
        <f t="shared" si="14"/>
        <v>0</v>
      </c>
    </row>
    <row r="77" spans="1:20" ht="18.600000000000001" customHeight="1">
      <c r="A77" s="11" t="s">
        <v>39</v>
      </c>
      <c r="B77" s="11" t="s">
        <v>18</v>
      </c>
      <c r="C77" s="11" t="s">
        <v>19</v>
      </c>
      <c r="D77" s="11" t="s">
        <v>107</v>
      </c>
      <c r="E77" s="11" t="s">
        <v>29</v>
      </c>
      <c r="F77" s="11">
        <v>182984</v>
      </c>
      <c r="G77" s="11">
        <v>983462</v>
      </c>
      <c r="H77" s="12"/>
      <c r="I77" s="11">
        <v>24001447</v>
      </c>
      <c r="J77" s="11">
        <v>290061</v>
      </c>
      <c r="K77" s="11">
        <v>1836</v>
      </c>
      <c r="L77" s="11">
        <v>0.33800000000000002</v>
      </c>
      <c r="M77" s="11">
        <v>0.33100000000000002</v>
      </c>
      <c r="N77" s="13">
        <f t="shared" si="10"/>
        <v>2.0710059171597649E-2</v>
      </c>
      <c r="O77" s="11">
        <f t="shared" si="11"/>
        <v>620.5680000000001</v>
      </c>
      <c r="P77" s="11">
        <f t="shared" si="12"/>
        <v>12.852000000000011</v>
      </c>
      <c r="Q77" s="11">
        <v>1.39</v>
      </c>
      <c r="R77" s="11" t="s">
        <v>41</v>
      </c>
      <c r="S77" s="14">
        <f t="shared" si="13"/>
        <v>863</v>
      </c>
      <c r="T77" s="14">
        <f t="shared" si="14"/>
        <v>18</v>
      </c>
    </row>
    <row r="78" spans="1:20" ht="18.600000000000001" customHeight="1">
      <c r="A78" s="15" t="s">
        <v>39</v>
      </c>
      <c r="B78" s="15" t="s">
        <v>18</v>
      </c>
      <c r="C78" s="15" t="s">
        <v>19</v>
      </c>
      <c r="D78" s="15" t="s">
        <v>107</v>
      </c>
      <c r="E78" s="15" t="s">
        <v>43</v>
      </c>
      <c r="F78" s="15">
        <v>182985</v>
      </c>
      <c r="G78" s="15">
        <v>983462</v>
      </c>
      <c r="H78" s="16"/>
      <c r="I78" s="15">
        <v>24001448</v>
      </c>
      <c r="J78" s="15">
        <v>295061</v>
      </c>
      <c r="K78" s="15">
        <v>360</v>
      </c>
      <c r="L78" s="15">
        <v>0.41699999999999998</v>
      </c>
      <c r="M78" s="15">
        <v>0.41199999999999998</v>
      </c>
      <c r="N78" s="17">
        <f t="shared" si="10"/>
        <v>1.1990407673860922E-2</v>
      </c>
      <c r="O78" s="15">
        <f t="shared" si="11"/>
        <v>150.12</v>
      </c>
      <c r="P78" s="15">
        <f t="shared" si="12"/>
        <v>1.8000000000000016</v>
      </c>
      <c r="Q78" s="15">
        <v>1.94</v>
      </c>
      <c r="R78" s="15" t="s">
        <v>41</v>
      </c>
      <c r="S78" s="18">
        <f t="shared" si="13"/>
        <v>291</v>
      </c>
      <c r="T78" s="18">
        <f t="shared" si="14"/>
        <v>3</v>
      </c>
    </row>
    <row r="79" spans="1:20" ht="18.600000000000001" customHeight="1">
      <c r="A79" s="11" t="s">
        <v>39</v>
      </c>
      <c r="B79" s="11" t="s">
        <v>18</v>
      </c>
      <c r="C79" s="11" t="s">
        <v>19</v>
      </c>
      <c r="D79" s="11" t="s">
        <v>107</v>
      </c>
      <c r="E79" s="11" t="s">
        <v>44</v>
      </c>
      <c r="F79" s="11">
        <v>182985</v>
      </c>
      <c r="G79" s="11">
        <v>983462</v>
      </c>
      <c r="H79" s="12"/>
      <c r="I79" s="11">
        <v>24001448</v>
      </c>
      <c r="J79" s="11">
        <v>292109</v>
      </c>
      <c r="K79" s="11">
        <v>360</v>
      </c>
      <c r="L79" s="11">
        <v>0.41699999999999998</v>
      </c>
      <c r="M79" s="11">
        <v>0.41199999999999998</v>
      </c>
      <c r="N79" s="13">
        <f t="shared" si="10"/>
        <v>1.1990407673860922E-2</v>
      </c>
      <c r="O79" s="11">
        <f t="shared" si="11"/>
        <v>150.12</v>
      </c>
      <c r="P79" s="11">
        <f t="shared" si="12"/>
        <v>1.8000000000000016</v>
      </c>
      <c r="Q79" s="11">
        <v>1.39</v>
      </c>
      <c r="R79" s="11" t="s">
        <v>41</v>
      </c>
      <c r="S79" s="14">
        <f t="shared" si="13"/>
        <v>209</v>
      </c>
      <c r="T79" s="14">
        <f t="shared" si="14"/>
        <v>3</v>
      </c>
    </row>
    <row r="80" spans="1:20" ht="18.600000000000001" customHeight="1">
      <c r="A80" s="15" t="s">
        <v>39</v>
      </c>
      <c r="B80" s="15" t="s">
        <v>18</v>
      </c>
      <c r="C80" s="15" t="s">
        <v>19</v>
      </c>
      <c r="D80" s="15" t="s">
        <v>107</v>
      </c>
      <c r="E80" s="15" t="s">
        <v>29</v>
      </c>
      <c r="F80" s="15">
        <v>182985</v>
      </c>
      <c r="G80" s="15">
        <v>983462</v>
      </c>
      <c r="H80" s="16"/>
      <c r="I80" s="15">
        <v>24001448</v>
      </c>
      <c r="J80" s="15">
        <v>290061</v>
      </c>
      <c r="K80" s="15">
        <v>360</v>
      </c>
      <c r="L80" s="15">
        <v>0.41699999999999998</v>
      </c>
      <c r="M80" s="15">
        <v>0.41199999999999998</v>
      </c>
      <c r="N80" s="17">
        <f t="shared" si="10"/>
        <v>1.1990407673860922E-2</v>
      </c>
      <c r="O80" s="15">
        <f t="shared" si="11"/>
        <v>150.12</v>
      </c>
      <c r="P80" s="15">
        <f t="shared" si="12"/>
        <v>1.8000000000000016</v>
      </c>
      <c r="Q80" s="15">
        <v>1.39</v>
      </c>
      <c r="R80" s="15" t="s">
        <v>41</v>
      </c>
      <c r="S80" s="18">
        <f t="shared" si="13"/>
        <v>209</v>
      </c>
      <c r="T80" s="18">
        <f t="shared" si="14"/>
        <v>3</v>
      </c>
    </row>
    <row r="81" spans="1:20" ht="18.600000000000001" customHeight="1">
      <c r="A81" s="11" t="s">
        <v>39</v>
      </c>
      <c r="B81" s="11" t="s">
        <v>18</v>
      </c>
      <c r="C81" s="11" t="s">
        <v>19</v>
      </c>
      <c r="D81" s="11" t="s">
        <v>107</v>
      </c>
      <c r="E81" s="11" t="s">
        <v>26</v>
      </c>
      <c r="F81" s="11">
        <v>183048</v>
      </c>
      <c r="G81" s="11">
        <v>983375</v>
      </c>
      <c r="H81" s="12"/>
      <c r="I81" s="11">
        <v>24001511</v>
      </c>
      <c r="J81" s="11">
        <v>290059</v>
      </c>
      <c r="K81" s="11">
        <v>38448</v>
      </c>
      <c r="L81" s="11">
        <v>0.34100000000000003</v>
      </c>
      <c r="M81" s="11">
        <v>0.34699999999999998</v>
      </c>
      <c r="N81" s="13">
        <f t="shared" si="10"/>
        <v>-1.7595307917888416E-2</v>
      </c>
      <c r="O81" s="11">
        <f t="shared" si="11"/>
        <v>13110.768000000002</v>
      </c>
      <c r="P81" s="11">
        <f t="shared" si="12"/>
        <v>-230.68799999999811</v>
      </c>
      <c r="Q81" s="11">
        <v>1.39</v>
      </c>
      <c r="R81" s="11" t="s">
        <v>41</v>
      </c>
      <c r="S81" s="14">
        <f t="shared" si="13"/>
        <v>18224</v>
      </c>
      <c r="T81" s="14">
        <f t="shared" si="14"/>
        <v>-321</v>
      </c>
    </row>
    <row r="82" spans="1:20" ht="18.600000000000001" customHeight="1">
      <c r="A82" s="15" t="s">
        <v>16</v>
      </c>
      <c r="B82" s="15"/>
      <c r="C82" s="15"/>
      <c r="D82" s="15"/>
      <c r="E82" s="15"/>
      <c r="F82" s="15"/>
      <c r="G82" s="15"/>
      <c r="H82" s="16"/>
      <c r="I82" s="15"/>
      <c r="J82" s="15"/>
      <c r="K82" s="15"/>
      <c r="L82" s="15"/>
      <c r="M82" s="15"/>
      <c r="N82" s="17" t="e">
        <f t="shared" si="10"/>
        <v>#DIV/0!</v>
      </c>
      <c r="O82" s="15">
        <f t="shared" si="11"/>
        <v>0</v>
      </c>
      <c r="P82" s="15" t="e">
        <f t="shared" si="12"/>
        <v>#DIV/0!</v>
      </c>
      <c r="Q82" s="15"/>
      <c r="R82" s="15"/>
      <c r="S82" s="18">
        <f t="shared" si="13"/>
        <v>0</v>
      </c>
      <c r="T82" s="18">
        <f t="shared" si="14"/>
        <v>0</v>
      </c>
    </row>
    <row r="83" spans="1:20" ht="18.600000000000001" customHeight="1">
      <c r="A83" s="11" t="s">
        <v>16</v>
      </c>
      <c r="B83" s="11" t="s">
        <v>18</v>
      </c>
      <c r="C83" s="11" t="s">
        <v>19</v>
      </c>
      <c r="D83" s="11" t="s">
        <v>107</v>
      </c>
      <c r="E83" s="11" t="s">
        <v>26</v>
      </c>
      <c r="F83" s="11">
        <v>182763</v>
      </c>
      <c r="G83" s="11">
        <v>983418</v>
      </c>
      <c r="H83" s="12"/>
      <c r="I83" s="11">
        <v>24001335</v>
      </c>
      <c r="J83" s="11">
        <v>290059</v>
      </c>
      <c r="K83" s="11">
        <v>16740</v>
      </c>
      <c r="L83" s="11">
        <v>0.34100000000000003</v>
      </c>
      <c r="M83" s="11">
        <v>0.33400000000000002</v>
      </c>
      <c r="N83" s="13">
        <f t="shared" si="10"/>
        <v>2.0527859237536673E-2</v>
      </c>
      <c r="O83" s="11">
        <f t="shared" si="11"/>
        <v>5708.34</v>
      </c>
      <c r="P83" s="11">
        <f t="shared" si="12"/>
        <v>117.18000000000009</v>
      </c>
      <c r="Q83" s="11">
        <v>1.39</v>
      </c>
      <c r="R83" s="11" t="s">
        <v>35</v>
      </c>
      <c r="S83" s="14">
        <f t="shared" si="13"/>
        <v>7935</v>
      </c>
      <c r="T83" s="14">
        <f t="shared" si="14"/>
        <v>163</v>
      </c>
    </row>
    <row r="84" spans="1:20" ht="18.600000000000001" customHeight="1">
      <c r="A84" s="15" t="s">
        <v>16</v>
      </c>
      <c r="B84" s="15" t="s">
        <v>18</v>
      </c>
      <c r="C84" s="15" t="s">
        <v>19</v>
      </c>
      <c r="D84" s="15" t="s">
        <v>107</v>
      </c>
      <c r="E84" s="15" t="s">
        <v>27</v>
      </c>
      <c r="F84" s="15">
        <v>182763</v>
      </c>
      <c r="G84" s="15">
        <v>983418</v>
      </c>
      <c r="H84" s="16"/>
      <c r="I84" s="15">
        <v>24001335</v>
      </c>
      <c r="J84" s="15">
        <v>290060</v>
      </c>
      <c r="K84" s="15">
        <v>16740</v>
      </c>
      <c r="L84" s="15">
        <v>0.34100000000000003</v>
      </c>
      <c r="M84" s="15">
        <v>0.33400000000000002</v>
      </c>
      <c r="N84" s="17">
        <f t="shared" si="10"/>
        <v>2.0527859237536673E-2</v>
      </c>
      <c r="O84" s="15">
        <f t="shared" si="11"/>
        <v>5708.34</v>
      </c>
      <c r="P84" s="15">
        <f t="shared" si="12"/>
        <v>117.18000000000009</v>
      </c>
      <c r="Q84" s="15">
        <v>1.39</v>
      </c>
      <c r="R84" s="15" t="s">
        <v>35</v>
      </c>
      <c r="S84" s="18">
        <f t="shared" si="13"/>
        <v>7935</v>
      </c>
      <c r="T84" s="18">
        <f t="shared" si="14"/>
        <v>163</v>
      </c>
    </row>
    <row r="85" spans="1:20" ht="18.600000000000001" customHeight="1">
      <c r="A85" s="11" t="s">
        <v>16</v>
      </c>
      <c r="B85" s="11" t="s">
        <v>18</v>
      </c>
      <c r="C85" s="11" t="s">
        <v>19</v>
      </c>
      <c r="D85" s="11" t="s">
        <v>107</v>
      </c>
      <c r="E85" s="11" t="s">
        <v>26</v>
      </c>
      <c r="F85" s="11">
        <v>182763</v>
      </c>
      <c r="G85" s="11">
        <v>983418</v>
      </c>
      <c r="H85" s="12"/>
      <c r="I85" s="11">
        <v>24001335</v>
      </c>
      <c r="J85" s="11">
        <v>290059</v>
      </c>
      <c r="K85" s="11">
        <v>16740</v>
      </c>
      <c r="L85" s="11">
        <v>0.34100000000000003</v>
      </c>
      <c r="M85" s="11">
        <v>0.33400000000000002</v>
      </c>
      <c r="N85" s="13">
        <f t="shared" si="10"/>
        <v>2.0527859237536673E-2</v>
      </c>
      <c r="O85" s="11">
        <f t="shared" si="11"/>
        <v>5708.34</v>
      </c>
      <c r="P85" s="11">
        <f t="shared" si="12"/>
        <v>117.18000000000009</v>
      </c>
      <c r="Q85" s="11">
        <v>1.39</v>
      </c>
      <c r="R85" s="11" t="s">
        <v>35</v>
      </c>
      <c r="S85" s="14">
        <f t="shared" si="13"/>
        <v>7935</v>
      </c>
      <c r="T85" s="14">
        <f t="shared" si="14"/>
        <v>163</v>
      </c>
    </row>
    <row r="86" spans="1:20" ht="18.600000000000001" customHeight="1">
      <c r="A86" s="15" t="s">
        <v>16</v>
      </c>
      <c r="B86" s="15" t="s">
        <v>18</v>
      </c>
      <c r="C86" s="15" t="s">
        <v>19</v>
      </c>
      <c r="D86" s="15" t="s">
        <v>107</v>
      </c>
      <c r="E86" s="15" t="s">
        <v>108</v>
      </c>
      <c r="F86" s="15">
        <v>182764</v>
      </c>
      <c r="G86" s="15">
        <v>983418</v>
      </c>
      <c r="H86" s="16"/>
      <c r="I86" s="15">
        <v>24001336</v>
      </c>
      <c r="J86" s="15">
        <v>290064</v>
      </c>
      <c r="K86" s="15">
        <v>11952</v>
      </c>
      <c r="L86" s="15">
        <v>0.34100000000000003</v>
      </c>
      <c r="M86" s="15">
        <v>0.33400000000000002</v>
      </c>
      <c r="N86" s="17">
        <f t="shared" si="10"/>
        <v>2.0527859237536673E-2</v>
      </c>
      <c r="O86" s="15">
        <f t="shared" si="11"/>
        <v>4075.6320000000005</v>
      </c>
      <c r="P86" s="15">
        <f t="shared" si="12"/>
        <v>83.664000000000073</v>
      </c>
      <c r="Q86" s="15">
        <v>1.39</v>
      </c>
      <c r="R86" s="15" t="s">
        <v>35</v>
      </c>
      <c r="S86" s="18">
        <f t="shared" si="13"/>
        <v>5665</v>
      </c>
      <c r="T86" s="18">
        <f t="shared" si="14"/>
        <v>116</v>
      </c>
    </row>
    <row r="87" spans="1:20" ht="18.600000000000001" customHeight="1">
      <c r="A87" s="11" t="s">
        <v>16</v>
      </c>
      <c r="B87" s="11" t="s">
        <v>18</v>
      </c>
      <c r="C87" s="11" t="s">
        <v>19</v>
      </c>
      <c r="D87" s="11" t="s">
        <v>107</v>
      </c>
      <c r="E87" s="11" t="s">
        <v>27</v>
      </c>
      <c r="F87" s="11">
        <v>182764</v>
      </c>
      <c r="G87" s="11">
        <v>983418</v>
      </c>
      <c r="H87" s="12"/>
      <c r="I87" s="11">
        <v>24001336</v>
      </c>
      <c r="J87" s="11">
        <v>290060</v>
      </c>
      <c r="K87" s="11">
        <v>11952</v>
      </c>
      <c r="L87" s="11">
        <v>0.34100000000000003</v>
      </c>
      <c r="M87" s="11">
        <v>0.33400000000000002</v>
      </c>
      <c r="N87" s="13">
        <f t="shared" si="10"/>
        <v>2.0527859237536673E-2</v>
      </c>
      <c r="O87" s="11">
        <f t="shared" si="11"/>
        <v>4075.6320000000005</v>
      </c>
      <c r="P87" s="11">
        <f t="shared" si="12"/>
        <v>83.664000000000073</v>
      </c>
      <c r="Q87" s="11">
        <v>1.39</v>
      </c>
      <c r="R87" s="11" t="s">
        <v>35</v>
      </c>
      <c r="S87" s="14">
        <f t="shared" si="13"/>
        <v>5665</v>
      </c>
      <c r="T87" s="14">
        <f t="shared" si="14"/>
        <v>116</v>
      </c>
    </row>
    <row r="88" spans="1:20" ht="18.600000000000001" customHeight="1">
      <c r="A88" s="15" t="s">
        <v>16</v>
      </c>
      <c r="B88" s="15" t="s">
        <v>18</v>
      </c>
      <c r="C88" s="15" t="s">
        <v>19</v>
      </c>
      <c r="D88" s="15" t="s">
        <v>107</v>
      </c>
      <c r="E88" s="15" t="s">
        <v>26</v>
      </c>
      <c r="F88" s="15">
        <v>182764</v>
      </c>
      <c r="G88" s="15">
        <v>983418</v>
      </c>
      <c r="H88" s="16"/>
      <c r="I88" s="15">
        <v>24001336</v>
      </c>
      <c r="J88" s="15">
        <v>290059</v>
      </c>
      <c r="K88" s="15">
        <v>11952</v>
      </c>
      <c r="L88" s="15">
        <v>0.34100000000000003</v>
      </c>
      <c r="M88" s="15">
        <v>0.33400000000000002</v>
      </c>
      <c r="N88" s="17">
        <f t="shared" si="10"/>
        <v>2.0527859237536673E-2</v>
      </c>
      <c r="O88" s="15">
        <f t="shared" si="11"/>
        <v>4075.6320000000005</v>
      </c>
      <c r="P88" s="15">
        <f t="shared" si="12"/>
        <v>83.664000000000073</v>
      </c>
      <c r="Q88" s="15">
        <v>1.39</v>
      </c>
      <c r="R88" s="15" t="s">
        <v>35</v>
      </c>
      <c r="S88" s="18">
        <f t="shared" si="13"/>
        <v>5665</v>
      </c>
      <c r="T88" s="18">
        <f t="shared" si="14"/>
        <v>116</v>
      </c>
    </row>
    <row r="89" spans="1:20" ht="18.600000000000001" customHeight="1">
      <c r="A89" s="11"/>
      <c r="B89" s="11"/>
      <c r="C89" s="11"/>
      <c r="D89" s="11"/>
      <c r="E89" s="11"/>
      <c r="F89" s="11"/>
      <c r="G89" s="11"/>
      <c r="H89" s="12"/>
      <c r="I89" s="11"/>
      <c r="J89" s="11"/>
      <c r="K89" s="11"/>
      <c r="L89" s="11"/>
      <c r="M89" s="11"/>
      <c r="N89" s="13"/>
      <c r="O89" s="11"/>
      <c r="P89" s="11"/>
      <c r="Q89" s="11"/>
      <c r="R89" s="11"/>
      <c r="S89" s="14">
        <f>SUM(S3:S88)</f>
        <v>118559</v>
      </c>
      <c r="T89" s="14">
        <f>SUM(T3:T88)</f>
        <v>1139</v>
      </c>
    </row>
    <row r="90" spans="1:20" s="34" customFormat="1" ht="15">
      <c r="A90" s="30"/>
      <c r="B90" s="30"/>
      <c r="C90" s="30"/>
      <c r="D90" s="30"/>
      <c r="E90" s="30"/>
      <c r="F90" s="30"/>
      <c r="G90" s="30"/>
      <c r="H90" s="31"/>
      <c r="I90" s="30"/>
      <c r="J90" s="30"/>
      <c r="K90" s="30"/>
      <c r="L90" s="30"/>
      <c r="M90" s="30"/>
      <c r="N90" s="32"/>
      <c r="O90" s="30"/>
      <c r="P90" s="30"/>
      <c r="Q90" s="30"/>
      <c r="R90" s="30"/>
      <c r="S90" s="30"/>
      <c r="T90" s="33">
        <f>T89/S89</f>
        <v>9.6070310984404383E-3</v>
      </c>
    </row>
  </sheetData>
  <autoFilter ref="A2:T90" xr:uid="{808098B4-8E19-4599-BCD3-0C90D8540A44}"/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2024-07-30T09:49:08Z</dcterms:modified>
</cp:coreProperties>
</file>