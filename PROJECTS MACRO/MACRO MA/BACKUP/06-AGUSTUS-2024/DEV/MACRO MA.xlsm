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BACKUP\06-AGUSTUS-2024\DEV\"/>
    </mc:Choice>
  </mc:AlternateContent>
  <xr:revisionPtr revIDLastSave="0" documentId="13_ncr:1_{10C2AF4D-C361-4245-BDA4-AAD3C0582845}" xr6:coauthVersionLast="47" xr6:coauthVersionMax="47" xr10:uidLastSave="{00000000-0000-0000-0000-000000000000}"/>
  <bookViews>
    <workbookView xWindow="-120" yWindow="-120" windowWidth="20730" windowHeight="11160" firstSheet="1" activeTab="1" xr2:uid="{50D7AE4F-D911-4AB4-811B-56CE704B63E8}"/>
  </bookViews>
  <sheets>
    <sheet name="TEMPLATE" sheetId="1" state="hidden" r:id="rId1"/>
    <sheet name="BUTTON" sheetId="11" r:id="rId2"/>
    <sheet name="PROCESSED" sheetId="97" r:id="rId3"/>
  </sheets>
  <functionGroups builtInGroupCount="19"/>
  <definedNames>
    <definedName name="_xlnm._FilterDatabase" localSheetId="2" hidden="1">PROCESSED!$A$2:$T$54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97" l="1"/>
  <c r="S3" i="97" s="1"/>
  <c r="O4" i="97"/>
  <c r="S4" i="97" s="1"/>
  <c r="O5" i="97"/>
  <c r="S5" i="97" s="1"/>
  <c r="O6" i="97"/>
  <c r="S6" i="97" s="1"/>
  <c r="O7" i="97"/>
  <c r="S7" i="97" s="1"/>
  <c r="O8" i="97"/>
  <c r="S8" i="97" s="1"/>
  <c r="O9" i="97"/>
  <c r="S9" i="97" s="1"/>
  <c r="O10" i="97"/>
  <c r="S10" i="97" s="1"/>
  <c r="O11" i="97"/>
  <c r="S11" i="97" s="1"/>
  <c r="O12" i="97"/>
  <c r="S12" i="97" s="1"/>
  <c r="O13" i="97"/>
  <c r="S13" i="97" s="1"/>
  <c r="O14" i="97"/>
  <c r="S14" i="97" s="1"/>
  <c r="O15" i="97"/>
  <c r="S15" i="97" s="1"/>
  <c r="O16" i="97"/>
  <c r="S16" i="97" s="1"/>
  <c r="O17" i="97"/>
  <c r="S17" i="97" s="1"/>
  <c r="O18" i="97"/>
  <c r="S18" i="97" s="1"/>
  <c r="O19" i="97"/>
  <c r="S19" i="97" s="1"/>
  <c r="O20" i="97"/>
  <c r="S20" i="97" s="1"/>
  <c r="O21" i="97"/>
  <c r="S21" i="97" s="1"/>
  <c r="O22" i="97"/>
  <c r="S22" i="97" s="1"/>
  <c r="O23" i="97"/>
  <c r="S23" i="97" s="1"/>
  <c r="O24" i="97"/>
  <c r="S24" i="97" s="1"/>
  <c r="O25" i="97"/>
  <c r="S25" i="97" s="1"/>
  <c r="O26" i="97"/>
  <c r="S26" i="97" s="1"/>
  <c r="O27" i="97"/>
  <c r="S27" i="97" s="1"/>
  <c r="O28" i="97"/>
  <c r="O29" i="97"/>
  <c r="S29" i="97" s="1"/>
  <c r="O30" i="97"/>
  <c r="S30" i="97" s="1"/>
  <c r="O31" i="97"/>
  <c r="S31" i="97" s="1"/>
  <c r="O32" i="97"/>
  <c r="S32" i="97" s="1"/>
  <c r="O33" i="97"/>
  <c r="S33" i="97" s="1"/>
  <c r="O34" i="97"/>
  <c r="S34" i="97" s="1"/>
  <c r="O35" i="97"/>
  <c r="S35" i="97" s="1"/>
  <c r="O36" i="97"/>
  <c r="S36" i="97" s="1"/>
  <c r="O37" i="97"/>
  <c r="S37" i="97" s="1"/>
  <c r="O38" i="97"/>
  <c r="S38" i="97" s="1"/>
  <c r="O39" i="97"/>
  <c r="S39" i="97" s="1"/>
  <c r="O40" i="97"/>
  <c r="O41" i="97"/>
  <c r="S41" i="97" s="1"/>
  <c r="O42" i="97"/>
  <c r="S42" i="97" s="1"/>
  <c r="O43" i="97"/>
  <c r="S43" i="97" s="1"/>
  <c r="O44" i="97"/>
  <c r="S44" i="97" s="1"/>
  <c r="O45" i="97"/>
  <c r="S45" i="97" s="1"/>
  <c r="O46" i="97"/>
  <c r="S46" i="97" s="1"/>
  <c r="O47" i="97"/>
  <c r="S47" i="97" s="1"/>
  <c r="O48" i="97"/>
  <c r="S48" i="97" s="1"/>
  <c r="O49" i="97"/>
  <c r="S49" i="97" s="1"/>
  <c r="O50" i="97"/>
  <c r="S50" i="97" s="1"/>
  <c r="O51" i="97"/>
  <c r="S51" i="97" s="1"/>
  <c r="O52" i="97"/>
  <c r="N3" i="97"/>
  <c r="P3" i="97" s="1"/>
  <c r="T3" i="97" s="1"/>
  <c r="N4" i="97"/>
  <c r="N5" i="97"/>
  <c r="P5" i="97" s="1"/>
  <c r="T5" i="97" s="1"/>
  <c r="N6" i="97"/>
  <c r="P6" i="97" s="1"/>
  <c r="T6" i="97" s="1"/>
  <c r="N7" i="97"/>
  <c r="P7" i="97" s="1"/>
  <c r="T7" i="97" s="1"/>
  <c r="N8" i="97"/>
  <c r="N9" i="97"/>
  <c r="N10" i="97"/>
  <c r="P10" i="97" s="1"/>
  <c r="T10" i="97" s="1"/>
  <c r="N11" i="97"/>
  <c r="P11" i="97" s="1"/>
  <c r="T11" i="97" s="1"/>
  <c r="N12" i="97"/>
  <c r="N13" i="97"/>
  <c r="N14" i="97"/>
  <c r="N15" i="97"/>
  <c r="P15" i="97" s="1"/>
  <c r="T15" i="97" s="1"/>
  <c r="N16" i="97"/>
  <c r="N17" i="97"/>
  <c r="N18" i="97"/>
  <c r="P18" i="97" s="1"/>
  <c r="T18" i="97" s="1"/>
  <c r="N19" i="97"/>
  <c r="P19" i="97" s="1"/>
  <c r="T19" i="97" s="1"/>
  <c r="N20" i="97"/>
  <c r="N21" i="97"/>
  <c r="N22" i="97"/>
  <c r="P22" i="97" s="1"/>
  <c r="T22" i="97" s="1"/>
  <c r="N23" i="97"/>
  <c r="P23" i="97" s="1"/>
  <c r="T23" i="97" s="1"/>
  <c r="N24" i="97"/>
  <c r="P24" i="97" s="1"/>
  <c r="T24" i="97" s="1"/>
  <c r="N25" i="97"/>
  <c r="N26" i="97"/>
  <c r="N27" i="97"/>
  <c r="P27" i="97" s="1"/>
  <c r="T27" i="97" s="1"/>
  <c r="N28" i="97"/>
  <c r="N29" i="97"/>
  <c r="N30" i="97"/>
  <c r="P30" i="97" s="1"/>
  <c r="T30" i="97" s="1"/>
  <c r="N31" i="97"/>
  <c r="P31" i="97" s="1"/>
  <c r="T31" i="97" s="1"/>
  <c r="N32" i="97"/>
  <c r="N33" i="97"/>
  <c r="N34" i="97"/>
  <c r="P34" i="97" s="1"/>
  <c r="T34" i="97" s="1"/>
  <c r="N35" i="97"/>
  <c r="P35" i="97" s="1"/>
  <c r="T35" i="97" s="1"/>
  <c r="N36" i="97"/>
  <c r="P36" i="97" s="1"/>
  <c r="T36" i="97" s="1"/>
  <c r="N37" i="97"/>
  <c r="N38" i="97"/>
  <c r="N39" i="97"/>
  <c r="P39" i="97" s="1"/>
  <c r="T39" i="97" s="1"/>
  <c r="N40" i="97"/>
  <c r="N41" i="97"/>
  <c r="N42" i="97"/>
  <c r="P42" i="97" s="1"/>
  <c r="T42" i="97" s="1"/>
  <c r="N43" i="97"/>
  <c r="P43" i="97" s="1"/>
  <c r="T43" i="97" s="1"/>
  <c r="N44" i="97"/>
  <c r="N45" i="97"/>
  <c r="N46" i="97"/>
  <c r="P46" i="97" s="1"/>
  <c r="T46" i="97" s="1"/>
  <c r="N47" i="97"/>
  <c r="P47" i="97" s="1"/>
  <c r="T47" i="97" s="1"/>
  <c r="N48" i="97"/>
  <c r="P48" i="97" s="1"/>
  <c r="T48" i="97" s="1"/>
  <c r="N49" i="97"/>
  <c r="N50" i="97"/>
  <c r="N51" i="97"/>
  <c r="P51" i="97" s="1"/>
  <c r="T51" i="97" s="1"/>
  <c r="N52" i="97"/>
  <c r="P12" i="97" l="1"/>
  <c r="T12" i="97" s="1"/>
  <c r="P41" i="97"/>
  <c r="T41" i="97" s="1"/>
  <c r="P17" i="97"/>
  <c r="T17" i="97" s="1"/>
  <c r="P29" i="97"/>
  <c r="T29" i="97" s="1"/>
  <c r="P50" i="97"/>
  <c r="T50" i="97" s="1"/>
  <c r="P38" i="97"/>
  <c r="T38" i="97" s="1"/>
  <c r="P26" i="97"/>
  <c r="T26" i="97" s="1"/>
  <c r="P14" i="97"/>
  <c r="T14" i="97" s="1"/>
  <c r="P49" i="97"/>
  <c r="T49" i="97" s="1"/>
  <c r="P37" i="97"/>
  <c r="T37" i="97" s="1"/>
  <c r="P25" i="97"/>
  <c r="T25" i="97" s="1"/>
  <c r="P13" i="97"/>
  <c r="T13" i="97" s="1"/>
  <c r="P44" i="97"/>
  <c r="T44" i="97" s="1"/>
  <c r="P32" i="97"/>
  <c r="T32" i="97" s="1"/>
  <c r="P20" i="97"/>
  <c r="T20" i="97" s="1"/>
  <c r="P8" i="97"/>
  <c r="T8" i="97" s="1"/>
  <c r="P52" i="97"/>
  <c r="T52" i="97" s="1"/>
  <c r="P40" i="97"/>
  <c r="T40" i="97" s="1"/>
  <c r="P28" i="97"/>
  <c r="T28" i="97" s="1"/>
  <c r="P45" i="97"/>
  <c r="T45" i="97" s="1"/>
  <c r="P33" i="97"/>
  <c r="T33" i="97" s="1"/>
  <c r="P21" i="97"/>
  <c r="T21" i="97" s="1"/>
  <c r="P9" i="97"/>
  <c r="T9" i="97" s="1"/>
  <c r="P16" i="97"/>
  <c r="T16" i="97" s="1"/>
  <c r="P4" i="97"/>
  <c r="T4" i="97" s="1"/>
  <c r="S52" i="97"/>
  <c r="S40" i="97"/>
  <c r="S28" i="97"/>
  <c r="S53" i="97" s="1"/>
  <c r="T53" i="97" l="1"/>
  <c r="T54" i="97" s="1"/>
</calcChain>
</file>

<file path=xl/sharedStrings.xml><?xml version="1.0" encoding="utf-8"?>
<sst xmlns="http://schemas.openxmlformats.org/spreadsheetml/2006/main" count="362" uniqueCount="58">
  <si>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</si>
  <si>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</si>
  <si>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</si>
  <si>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</si>
  <si>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</si>
  <si>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</si>
  <si>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</si>
  <si>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</si>
  <si>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</si>
  <si>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</si>
  <si>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</si>
  <si>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</si>
  <si>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</si>
  <si>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</si>
  <si>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</si>
  <si>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</si>
  <si>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</si>
  <si>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</si>
  <si>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</si>
  <si>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</si>
  <si>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</si>
  <si>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</si>
  <si>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</si>
  <si>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</si>
  <si>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</si>
  <si>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</si>
  <si>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</si>
  <si>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>ONIX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</si>
  <si>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</si>
  <si>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</si>
  <si>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</si>
  <si>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</si>
  <si>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</si>
  <si>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</si>
  <si>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</si>
  <si>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YD</t>
  </si>
  <si>
    <t>Monitoring Pemakaian Fabric Dari Hasil Cutting PERMINGGU</t>
  </si>
  <si>
    <t>\\10.8.0.35\bersama\IT\RPA 00\MACRO MA\HASIL MAKRO</t>
  </si>
  <si>
    <t>GM1</t>
  </si>
  <si>
    <t>GM2</t>
  </si>
  <si>
    <t>YARD</t>
  </si>
  <si>
    <t>\\10.8.0.35\Bersama\IT\RPA 00\INPUT USER\KONFIRMASI</t>
  </si>
  <si>
    <t>BARIS AWAL</t>
  </si>
  <si>
    <r>
      <t xml:space="preserve">¤ SETTING </t>
    </r>
    <r>
      <rPr>
        <b/>
        <sz val="11"/>
        <color theme="1"/>
        <rFont val="Anonymous Pro"/>
        <family val="3"/>
      </rPr>
      <t>¤</t>
    </r>
  </si>
  <si>
    <t>HEATHER BLACK</t>
  </si>
  <si>
    <t>AURORA RUBY</t>
  </si>
  <si>
    <t>DARK BLUE</t>
  </si>
  <si>
    <t>SCARLET</t>
  </si>
  <si>
    <t>-</t>
  </si>
  <si>
    <t>DINGXIN</t>
  </si>
  <si>
    <t>BLACK/ONIX</t>
  </si>
  <si>
    <t>COLLEGIATE NAVY</t>
  </si>
  <si>
    <t>CREW BLUE</t>
  </si>
  <si>
    <t>NEW WIDE</t>
  </si>
  <si>
    <t>BETTER SCARLET</t>
  </si>
  <si>
    <t>TEAM ROYAL BLUE</t>
  </si>
  <si>
    <t>LEGEND INK</t>
  </si>
  <si>
    <t>HEATHER TEAM ROYAL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</si>
</sst>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;[Red]0.0%"/>
    <numFmt numFmtId="165" formatCode="_(&quot;$&quot;* #,##0.00_);[Red]_(&quot;$&quot;* \(#,##0.00\);_(&quot;$&quot;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nonymous Pro"/>
      <family val="3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5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0" borderId="1" xfId="0" applyFont="1" applyBorder="1" applyAlignment="1">
      <alignment horizontal="center" vertical="center"/>
    </xf>
    <xf numFmtId="164" fontId="5" fillId="0" borderId="1" xfId="0" applyNumberFormat="1" applyFont="1" applyBorder="1"/>
    <xf numFmtId="166" fontId="5" fillId="0" borderId="1" xfId="0" applyNumberFormat="1" applyFont="1" applyBorder="1"/>
    <xf numFmtId="0" fontId="5" fillId="0" borderId="0" xfId="0" applyFont="1"/>
    <xf numFmtId="0" fontId="5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INPUT%20USER/KONFIRMASI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AC45D4"/>
  </sheetPr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 x14ac:dyDescent="0.25">
      <c r="L1" t="s">
        <v>12</v>
      </c>
      <c r="M1" t="s">
        <v>13</v>
      </c>
    </row>
    <row r="2" spans="1:20" s="1" customFormat="1" ht="60.75" customHeight="1" x14ac:dyDescent="0.25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C4217C"/>
  </sheetPr>
  <dimension ref="B2:J8"/>
  <sheetViews>
    <sheetView showGridLines="0" tabSelected="1" workbookViewId="0"/>
  </sheetViews>
  <sheetFormatPr defaultRowHeight="15" x14ac:dyDescent="0.2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  <col min="9" max="9" width="11.85546875" bestFit="1" customWidth="1"/>
  </cols>
  <sheetData>
    <row r="2" spans="2:10" ht="15.75" thickBot="1" x14ac:dyDescent="0.3"/>
    <row r="3" spans="2:10" ht="20.25" customHeight="1" x14ac:dyDescent="0.25">
      <c r="B3" s="20" t="s">
        <v>15</v>
      </c>
      <c r="C3" s="19"/>
      <c r="D3" s="19"/>
      <c r="E3" s="23" t="s">
        <v>31</v>
      </c>
      <c r="F3" s="24" t="s">
        <v>32</v>
      </c>
      <c r="G3" s="25" t="s">
        <v>33</v>
      </c>
      <c r="I3" s="35" t="s">
        <v>43</v>
      </c>
      <c r="J3" s="35"/>
    </row>
    <row r="4" spans="2:10" ht="15.75" thickBot="1" x14ac:dyDescent="0.3">
      <c r="B4" s="21" t="s">
        <v>38</v>
      </c>
      <c r="E4" s="26" t="s">
        <v>41</v>
      </c>
      <c r="F4" s="27" t="s">
        <v>36</v>
      </c>
      <c r="G4" s="28" t="s">
        <v>17</v>
      </c>
      <c r="I4" s="29" t="s">
        <v>42</v>
      </c>
      <c r="J4" s="29">
        <v>11</v>
      </c>
    </row>
    <row r="5" spans="2:10" x14ac:dyDescent="0.25">
      <c r="B5" s="21" t="s">
        <v>39</v>
      </c>
    </row>
    <row r="6" spans="2:10" ht="15.75" thickBot="1" x14ac:dyDescent="0.3">
      <c r="B6" s="22" t="s">
        <v>16</v>
      </c>
      <c r="E6" t="s">
        <v>28</v>
      </c>
    </row>
    <row r="7" spans="2:10" x14ac:dyDescent="0.25">
      <c r="E7" s="23" t="s">
        <v>34</v>
      </c>
      <c r="F7" s="24" t="s">
        <v>32</v>
      </c>
      <c r="G7" s="25" t="s">
        <v>33</v>
      </c>
    </row>
    <row r="8" spans="2:10" ht="15.75" thickBot="1" x14ac:dyDescent="0.3">
      <c r="E8" s="26" t="s">
        <v>37</v>
      </c>
      <c r="F8" s="27" t="s">
        <v>30</v>
      </c>
      <c r="G8" s="28" t="s">
        <v>17</v>
      </c>
    </row>
  </sheetData>
  <mergeCells count="1">
    <mergeCell ref="I3:J3"/>
  </mergeCells>
  <hyperlinks>
    <hyperlink ref="E4" r:id="rId1" xr:uid="{DAA0151A-295C-4F91-B50D-71FE7F2B6B3F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CA15-9907-4B27-BC0F-C7C83E520B2C}">
  <sheetPr codeName="Sheet2">
    <tabColor rgb="FFA87762"/>
  </sheetPr>
  <dimension ref="A1:T54"/>
  <sheetViews>
    <sheetView workbookViewId="0">
      <pane ySplit="2" topLeftCell="A3" activePane="bottomLeft" state="frozen"/>
      <selection pane="bottomLeft" activeCell="Q50" sqref="Q50"/>
    </sheetView>
  </sheetViews>
  <sheetFormatPr defaultRowHeight="16.5" x14ac:dyDescent="0.3"/>
  <cols>
    <col min="1" max="1" width="14.5703125" style="3" customWidth="1"/>
    <col min="2" max="2" width="10.85546875" style="3" customWidth="1"/>
    <col min="3" max="3" width="15.28515625" style="3" customWidth="1"/>
    <col min="4" max="4" width="13" style="3" customWidth="1"/>
    <col min="5" max="5" width="24.5703125" style="3" customWidth="1"/>
    <col min="6" max="6" width="8.85546875" style="3" customWidth="1"/>
    <col min="7" max="7" width="10.42578125" style="3" customWidth="1"/>
    <col min="8" max="8" width="14.85546875" style="3" customWidth="1"/>
    <col min="9" max="9" width="11.14062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" style="3" customWidth="1"/>
    <col min="16" max="16" width="13.42578125" style="3" customWidth="1"/>
    <col min="17" max="17" width="16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 x14ac:dyDescent="0.25">
      <c r="A1" s="36" t="s">
        <v>30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0" s="1" customFormat="1" ht="60.75" customHeight="1" x14ac:dyDescent="0.25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 x14ac:dyDescent="0.3">
      <c r="A3" s="11" t="s">
        <v>39</v>
      </c>
      <c r="B3" s="11" t="s">
        <v>18</v>
      </c>
      <c r="C3" s="11" t="s">
        <v>19</v>
      </c>
      <c r="D3" s="11" t="s">
        <v>49</v>
      </c>
      <c r="E3" s="11" t="s">
        <v>26</v>
      </c>
      <c r="F3" s="11">
        <v>183049</v>
      </c>
      <c r="G3" s="11">
        <v>983375</v>
      </c>
      <c r="H3" s="12"/>
      <c r="I3" s="11">
        <v>24001512</v>
      </c>
      <c r="J3" s="11">
        <v>290059</v>
      </c>
      <c r="K3" s="11">
        <v>10512</v>
      </c>
      <c r="L3" s="11">
        <v>0.34100000000000003</v>
      </c>
      <c r="M3" s="11">
        <v>0.35199999999999998</v>
      </c>
      <c r="N3" s="13">
        <f t="shared" ref="N3:N34" si="0">(L3-M3)/L3</f>
        <v>-3.2258064516128893E-2</v>
      </c>
      <c r="O3" s="11">
        <f t="shared" ref="O3:O34" si="1">K3*L3</f>
        <v>3584.5920000000001</v>
      </c>
      <c r="P3" s="11">
        <f t="shared" ref="P3:P34" si="2">N3*O3</f>
        <v>-115.63199999999951</v>
      </c>
      <c r="Q3" s="11">
        <v>1.39</v>
      </c>
      <c r="R3" s="11" t="s">
        <v>40</v>
      </c>
      <c r="S3" s="14">
        <f t="shared" ref="S3:S34" si="3">IFERROR(ROUND(O3*Q3,0),0)</f>
        <v>4983</v>
      </c>
      <c r="T3" s="14">
        <f t="shared" ref="T3:T34" si="4">IFERROR(ROUND(Q3*P3,0),0)</f>
        <v>-161</v>
      </c>
    </row>
    <row r="4" spans="1:20" ht="18.600000000000001" customHeight="1" x14ac:dyDescent="0.3">
      <c r="A4" s="15" t="s">
        <v>39</v>
      </c>
      <c r="B4" s="15" t="s">
        <v>18</v>
      </c>
      <c r="C4" s="15" t="s">
        <v>19</v>
      </c>
      <c r="D4" s="15" t="s">
        <v>48</v>
      </c>
      <c r="E4" s="15" t="s">
        <v>27</v>
      </c>
      <c r="F4" s="15">
        <v>183049</v>
      </c>
      <c r="G4" s="15">
        <v>983375</v>
      </c>
      <c r="H4" s="16"/>
      <c r="I4" s="15">
        <v>24001512</v>
      </c>
      <c r="J4" s="15">
        <v>290060</v>
      </c>
      <c r="K4" s="15">
        <v>10512</v>
      </c>
      <c r="L4" s="15">
        <v>0.34100000000000003</v>
      </c>
      <c r="M4" s="15">
        <v>0.35199999999999998</v>
      </c>
      <c r="N4" s="17">
        <f t="shared" si="0"/>
        <v>-3.2258064516128893E-2</v>
      </c>
      <c r="O4" s="15">
        <f t="shared" si="1"/>
        <v>3584.5920000000001</v>
      </c>
      <c r="P4" s="15">
        <f t="shared" si="2"/>
        <v>-115.63199999999951</v>
      </c>
      <c r="Q4" s="15">
        <v>1.39</v>
      </c>
      <c r="R4" s="15" t="s">
        <v>40</v>
      </c>
      <c r="S4" s="18">
        <f t="shared" si="3"/>
        <v>4983</v>
      </c>
      <c r="T4" s="18">
        <f t="shared" si="4"/>
        <v>-161</v>
      </c>
    </row>
    <row r="5" spans="1:20" ht="18.600000000000001" customHeight="1" x14ac:dyDescent="0.3">
      <c r="A5" s="11" t="s">
        <v>39</v>
      </c>
      <c r="B5" s="11" t="s">
        <v>18</v>
      </c>
      <c r="C5" s="11" t="s">
        <v>19</v>
      </c>
      <c r="D5" s="11" t="s">
        <v>49</v>
      </c>
      <c r="E5" s="11" t="s">
        <v>50</v>
      </c>
      <c r="F5" s="11">
        <v>183049</v>
      </c>
      <c r="G5" s="11">
        <v>983375</v>
      </c>
      <c r="H5" s="12"/>
      <c r="I5" s="11">
        <v>24001512</v>
      </c>
      <c r="J5" s="11">
        <v>290059</v>
      </c>
      <c r="K5" s="11">
        <v>10512</v>
      </c>
      <c r="L5" s="11">
        <v>0.34100000000000003</v>
      </c>
      <c r="M5" s="11">
        <v>0.35199999999999998</v>
      </c>
      <c r="N5" s="13">
        <f t="shared" si="0"/>
        <v>-3.2258064516128893E-2</v>
      </c>
      <c r="O5" s="11">
        <f t="shared" si="1"/>
        <v>3584.5920000000001</v>
      </c>
      <c r="P5" s="11">
        <f t="shared" si="2"/>
        <v>-115.63199999999951</v>
      </c>
      <c r="Q5" s="11">
        <v>1.39</v>
      </c>
      <c r="R5" s="11" t="s">
        <v>40</v>
      </c>
      <c r="S5" s="14">
        <f t="shared" si="3"/>
        <v>4983</v>
      </c>
      <c r="T5" s="14">
        <f t="shared" si="4"/>
        <v>-161</v>
      </c>
    </row>
    <row r="6" spans="1:20" ht="18.600000000000001" customHeight="1" x14ac:dyDescent="0.3">
      <c r="A6" s="15" t="s">
        <v>39</v>
      </c>
      <c r="B6" s="15" t="s">
        <v>18</v>
      </c>
      <c r="C6" s="15" t="s">
        <v>19</v>
      </c>
      <c r="D6" s="15" t="s">
        <v>49</v>
      </c>
      <c r="E6" s="15" t="s">
        <v>29</v>
      </c>
      <c r="F6" s="15">
        <v>183049</v>
      </c>
      <c r="G6" s="15">
        <v>983375</v>
      </c>
      <c r="H6" s="16"/>
      <c r="I6" s="15">
        <v>24001512</v>
      </c>
      <c r="J6" s="15">
        <v>290061</v>
      </c>
      <c r="K6" s="15">
        <v>10512</v>
      </c>
      <c r="L6" s="15">
        <v>0.34100000000000003</v>
      </c>
      <c r="M6" s="15">
        <v>0.35199999999999998</v>
      </c>
      <c r="N6" s="17">
        <f t="shared" si="0"/>
        <v>-3.2258064516128893E-2</v>
      </c>
      <c r="O6" s="15">
        <f t="shared" si="1"/>
        <v>3584.5920000000001</v>
      </c>
      <c r="P6" s="15">
        <f t="shared" si="2"/>
        <v>-115.63199999999951</v>
      </c>
      <c r="Q6" s="15">
        <v>1.39</v>
      </c>
      <c r="R6" s="15" t="s">
        <v>40</v>
      </c>
      <c r="S6" s="18">
        <f t="shared" si="3"/>
        <v>4983</v>
      </c>
      <c r="T6" s="18">
        <f t="shared" si="4"/>
        <v>-161</v>
      </c>
    </row>
    <row r="7" spans="1:20" ht="18.600000000000001" customHeight="1" x14ac:dyDescent="0.3">
      <c r="A7" s="11" t="s">
        <v>39</v>
      </c>
      <c r="B7" s="11" t="s">
        <v>18</v>
      </c>
      <c r="C7" s="11" t="s">
        <v>19</v>
      </c>
      <c r="D7" s="11" t="s">
        <v>49</v>
      </c>
      <c r="E7" s="11" t="s">
        <v>26</v>
      </c>
      <c r="F7" s="11">
        <v>183050</v>
      </c>
      <c r="G7" s="11">
        <v>983375</v>
      </c>
      <c r="H7" s="12"/>
      <c r="I7" s="11">
        <v>24001513</v>
      </c>
      <c r="J7" s="11">
        <v>290059</v>
      </c>
      <c r="K7" s="11">
        <v>612</v>
      </c>
      <c r="L7" s="11">
        <v>0.34399999999999997</v>
      </c>
      <c r="M7" s="11">
        <v>0.35199999999999998</v>
      </c>
      <c r="N7" s="13">
        <f t="shared" si="0"/>
        <v>-2.3255813953488396E-2</v>
      </c>
      <c r="O7" s="11">
        <f t="shared" si="1"/>
        <v>210.52799999999999</v>
      </c>
      <c r="P7" s="11">
        <f t="shared" si="2"/>
        <v>-4.8960000000000052</v>
      </c>
      <c r="Q7" s="11">
        <v>1.39</v>
      </c>
      <c r="R7" s="11" t="s">
        <v>40</v>
      </c>
      <c r="S7" s="14">
        <f t="shared" si="3"/>
        <v>293</v>
      </c>
      <c r="T7" s="14">
        <f t="shared" si="4"/>
        <v>-7</v>
      </c>
    </row>
    <row r="8" spans="1:20" ht="18.600000000000001" customHeight="1" x14ac:dyDescent="0.3">
      <c r="A8" s="15" t="s">
        <v>39</v>
      </c>
      <c r="B8" s="15" t="s">
        <v>18</v>
      </c>
      <c r="C8" s="15" t="s">
        <v>19</v>
      </c>
      <c r="D8" s="15" t="s">
        <v>49</v>
      </c>
      <c r="E8" s="15" t="s">
        <v>27</v>
      </c>
      <c r="F8" s="15">
        <v>183050</v>
      </c>
      <c r="G8" s="15">
        <v>983375</v>
      </c>
      <c r="H8" s="16"/>
      <c r="I8" s="15">
        <v>24001513</v>
      </c>
      <c r="J8" s="15">
        <v>290060</v>
      </c>
      <c r="K8" s="15">
        <v>612</v>
      </c>
      <c r="L8" s="15">
        <v>0.34399999999999997</v>
      </c>
      <c r="M8" s="15">
        <v>0.35199999999999998</v>
      </c>
      <c r="N8" s="17">
        <f t="shared" si="0"/>
        <v>-2.3255813953488396E-2</v>
      </c>
      <c r="O8" s="15">
        <f t="shared" si="1"/>
        <v>210.52799999999999</v>
      </c>
      <c r="P8" s="15">
        <f t="shared" si="2"/>
        <v>-4.8960000000000052</v>
      </c>
      <c r="Q8" s="15">
        <v>1.39</v>
      </c>
      <c r="R8" s="15" t="s">
        <v>40</v>
      </c>
      <c r="S8" s="18">
        <f t="shared" si="3"/>
        <v>293</v>
      </c>
      <c r="T8" s="18">
        <f t="shared" si="4"/>
        <v>-7</v>
      </c>
    </row>
    <row r="9" spans="1:20" ht="18.600000000000001" customHeight="1" x14ac:dyDescent="0.3">
      <c r="A9" s="11" t="s">
        <v>39</v>
      </c>
      <c r="B9" s="11" t="s">
        <v>18</v>
      </c>
      <c r="C9" s="11" t="s">
        <v>19</v>
      </c>
      <c r="D9" s="11" t="s">
        <v>49</v>
      </c>
      <c r="E9" s="11" t="s">
        <v>50</v>
      </c>
      <c r="F9" s="11">
        <v>183050</v>
      </c>
      <c r="G9" s="11">
        <v>983375</v>
      </c>
      <c r="H9" s="12"/>
      <c r="I9" s="11">
        <v>24001513</v>
      </c>
      <c r="J9" s="11">
        <v>290059</v>
      </c>
      <c r="K9" s="11">
        <v>612</v>
      </c>
      <c r="L9" s="11">
        <v>0.34399999999999997</v>
      </c>
      <c r="M9" s="11">
        <v>0.35199999999999998</v>
      </c>
      <c r="N9" s="13">
        <f t="shared" si="0"/>
        <v>-2.3255813953488396E-2</v>
      </c>
      <c r="O9" s="11">
        <f t="shared" si="1"/>
        <v>210.52799999999999</v>
      </c>
      <c r="P9" s="11">
        <f t="shared" si="2"/>
        <v>-4.8960000000000052</v>
      </c>
      <c r="Q9" s="11">
        <v>1.39</v>
      </c>
      <c r="R9" s="11" t="s">
        <v>40</v>
      </c>
      <c r="S9" s="14">
        <f t="shared" si="3"/>
        <v>293</v>
      </c>
      <c r="T9" s="14">
        <f t="shared" si="4"/>
        <v>-7</v>
      </c>
    </row>
    <row r="10" spans="1:20" ht="18.600000000000001" customHeight="1" x14ac:dyDescent="0.3">
      <c r="A10" s="15" t="s">
        <v>39</v>
      </c>
      <c r="B10" s="15" t="s">
        <v>18</v>
      </c>
      <c r="C10" s="15" t="s">
        <v>19</v>
      </c>
      <c r="D10" s="15" t="s">
        <v>49</v>
      </c>
      <c r="E10" s="15" t="s">
        <v>29</v>
      </c>
      <c r="F10" s="15">
        <v>183050</v>
      </c>
      <c r="G10" s="15">
        <v>983375</v>
      </c>
      <c r="H10" s="16"/>
      <c r="I10" s="15">
        <v>24001513</v>
      </c>
      <c r="J10" s="15">
        <v>290061</v>
      </c>
      <c r="K10" s="15">
        <v>612</v>
      </c>
      <c r="L10" s="15">
        <v>0.34399999999999997</v>
      </c>
      <c r="M10" s="15">
        <v>0.35199999999999998</v>
      </c>
      <c r="N10" s="17">
        <f t="shared" si="0"/>
        <v>-2.3255813953488396E-2</v>
      </c>
      <c r="O10" s="15">
        <f t="shared" si="1"/>
        <v>210.52799999999999</v>
      </c>
      <c r="P10" s="15">
        <f t="shared" si="2"/>
        <v>-4.8960000000000052</v>
      </c>
      <c r="Q10" s="15">
        <v>1.39</v>
      </c>
      <c r="R10" s="15" t="s">
        <v>40</v>
      </c>
      <c r="S10" s="18">
        <f t="shared" si="3"/>
        <v>293</v>
      </c>
      <c r="T10" s="18">
        <f t="shared" si="4"/>
        <v>-7</v>
      </c>
    </row>
    <row r="11" spans="1:20" ht="18.600000000000001" customHeight="1" x14ac:dyDescent="0.3">
      <c r="A11" s="11" t="s">
        <v>39</v>
      </c>
      <c r="B11" s="11" t="s">
        <v>18</v>
      </c>
      <c r="C11" s="11" t="s">
        <v>19</v>
      </c>
      <c r="D11" s="11" t="s">
        <v>49</v>
      </c>
      <c r="E11" s="11" t="s">
        <v>47</v>
      </c>
      <c r="F11" s="11">
        <v>183051</v>
      </c>
      <c r="G11" s="11">
        <v>983375</v>
      </c>
      <c r="H11" s="12"/>
      <c r="I11" s="11">
        <v>24001514</v>
      </c>
      <c r="J11" s="11">
        <v>290064</v>
      </c>
      <c r="K11" s="11">
        <v>3564</v>
      </c>
      <c r="L11" s="11">
        <v>0.34100000000000003</v>
      </c>
      <c r="M11" s="11">
        <v>0.34899999999999998</v>
      </c>
      <c r="N11" s="13">
        <f t="shared" si="0"/>
        <v>-2.3460410557184608E-2</v>
      </c>
      <c r="O11" s="11">
        <f t="shared" si="1"/>
        <v>1215.3240000000001</v>
      </c>
      <c r="P11" s="11">
        <f t="shared" si="2"/>
        <v>-28.51199999999983</v>
      </c>
      <c r="Q11" s="11">
        <v>1.39</v>
      </c>
      <c r="R11" s="11" t="s">
        <v>40</v>
      </c>
      <c r="S11" s="14">
        <f t="shared" si="3"/>
        <v>1689</v>
      </c>
      <c r="T11" s="14">
        <f t="shared" si="4"/>
        <v>-40</v>
      </c>
    </row>
    <row r="12" spans="1:20" ht="18.600000000000001" customHeight="1" x14ac:dyDescent="0.3">
      <c r="A12" s="15" t="s">
        <v>39</v>
      </c>
      <c r="B12" s="15" t="s">
        <v>18</v>
      </c>
      <c r="C12" s="15" t="s">
        <v>19</v>
      </c>
      <c r="D12" s="15" t="s">
        <v>49</v>
      </c>
      <c r="E12" s="15" t="s">
        <v>27</v>
      </c>
      <c r="F12" s="15">
        <v>183051</v>
      </c>
      <c r="G12" s="15">
        <v>983375</v>
      </c>
      <c r="H12" s="16"/>
      <c r="I12" s="15">
        <v>24001514</v>
      </c>
      <c r="J12" s="15">
        <v>290060</v>
      </c>
      <c r="K12" s="15">
        <v>3564</v>
      </c>
      <c r="L12" s="15">
        <v>0.34100000000000003</v>
      </c>
      <c r="M12" s="15">
        <v>0.34899999999999998</v>
      </c>
      <c r="N12" s="17">
        <f t="shared" si="0"/>
        <v>-2.3460410557184608E-2</v>
      </c>
      <c r="O12" s="15">
        <f t="shared" si="1"/>
        <v>1215.3240000000001</v>
      </c>
      <c r="P12" s="15">
        <f t="shared" si="2"/>
        <v>-28.51199999999983</v>
      </c>
      <c r="Q12" s="15">
        <v>1.39</v>
      </c>
      <c r="R12" s="15" t="s">
        <v>40</v>
      </c>
      <c r="S12" s="18">
        <f t="shared" si="3"/>
        <v>1689</v>
      </c>
      <c r="T12" s="18">
        <f t="shared" si="4"/>
        <v>-40</v>
      </c>
    </row>
    <row r="13" spans="1:20" ht="18.600000000000001" customHeight="1" x14ac:dyDescent="0.3">
      <c r="A13" s="11" t="s">
        <v>39</v>
      </c>
      <c r="B13" s="11" t="s">
        <v>18</v>
      </c>
      <c r="C13" s="11" t="s">
        <v>19</v>
      </c>
      <c r="D13" s="11" t="s">
        <v>49</v>
      </c>
      <c r="E13" s="11" t="s">
        <v>26</v>
      </c>
      <c r="F13" s="11">
        <v>183051</v>
      </c>
      <c r="G13" s="11">
        <v>983375</v>
      </c>
      <c r="H13" s="12"/>
      <c r="I13" s="11">
        <v>24001514</v>
      </c>
      <c r="J13" s="11">
        <v>290059</v>
      </c>
      <c r="K13" s="11">
        <v>3564</v>
      </c>
      <c r="L13" s="11">
        <v>0.34100000000000003</v>
      </c>
      <c r="M13" s="11">
        <v>0.34899999999999998</v>
      </c>
      <c r="N13" s="13">
        <f t="shared" si="0"/>
        <v>-2.3460410557184608E-2</v>
      </c>
      <c r="O13" s="11">
        <f t="shared" si="1"/>
        <v>1215.3240000000001</v>
      </c>
      <c r="P13" s="11">
        <f t="shared" si="2"/>
        <v>-28.51199999999983</v>
      </c>
      <c r="Q13" s="11">
        <v>1.39</v>
      </c>
      <c r="R13" s="11" t="s">
        <v>40</v>
      </c>
      <c r="S13" s="14">
        <f t="shared" si="3"/>
        <v>1689</v>
      </c>
      <c r="T13" s="14">
        <f t="shared" si="4"/>
        <v>-40</v>
      </c>
    </row>
    <row r="14" spans="1:20" ht="18.600000000000001" customHeight="1" x14ac:dyDescent="0.3">
      <c r="A14" s="15" t="s">
        <v>39</v>
      </c>
      <c r="B14" s="15" t="s">
        <v>18</v>
      </c>
      <c r="C14" s="15" t="s">
        <v>19</v>
      </c>
      <c r="D14" s="15" t="s">
        <v>49</v>
      </c>
      <c r="E14" s="15" t="s">
        <v>29</v>
      </c>
      <c r="F14" s="15">
        <v>183051</v>
      </c>
      <c r="G14" s="15">
        <v>983375</v>
      </c>
      <c r="H14" s="16"/>
      <c r="I14" s="15">
        <v>24001514</v>
      </c>
      <c r="J14" s="15">
        <v>290061</v>
      </c>
      <c r="K14" s="15">
        <v>3564</v>
      </c>
      <c r="L14" s="15">
        <v>0.34100000000000003</v>
      </c>
      <c r="M14" s="15">
        <v>0.34899999999999998</v>
      </c>
      <c r="N14" s="17">
        <f t="shared" si="0"/>
        <v>-2.3460410557184608E-2</v>
      </c>
      <c r="O14" s="15">
        <f t="shared" si="1"/>
        <v>1215.3240000000001</v>
      </c>
      <c r="P14" s="15">
        <f t="shared" si="2"/>
        <v>-28.51199999999983</v>
      </c>
      <c r="Q14" s="15">
        <v>1.39</v>
      </c>
      <c r="R14" s="15" t="s">
        <v>40</v>
      </c>
      <c r="S14" s="18">
        <f t="shared" si="3"/>
        <v>1689</v>
      </c>
      <c r="T14" s="18">
        <f t="shared" si="4"/>
        <v>-40</v>
      </c>
    </row>
    <row r="15" spans="1:20" ht="18.600000000000001" customHeight="1" x14ac:dyDescent="0.3">
      <c r="A15" s="11" t="s">
        <v>39</v>
      </c>
      <c r="B15" s="11" t="s">
        <v>18</v>
      </c>
      <c r="C15" s="11" t="s">
        <v>19</v>
      </c>
      <c r="D15" s="11" t="s">
        <v>49</v>
      </c>
      <c r="E15" s="11" t="s">
        <v>47</v>
      </c>
      <c r="F15" s="11">
        <v>183052</v>
      </c>
      <c r="G15" s="11">
        <v>983375</v>
      </c>
      <c r="H15" s="12"/>
      <c r="I15" s="11">
        <v>24001515</v>
      </c>
      <c r="J15" s="11">
        <v>290064</v>
      </c>
      <c r="K15" s="11">
        <v>612</v>
      </c>
      <c r="L15" s="11">
        <v>0.34399999999999997</v>
      </c>
      <c r="M15" s="11">
        <v>0.34899999999999998</v>
      </c>
      <c r="N15" s="13">
        <f t="shared" si="0"/>
        <v>-1.4534883720930246E-2</v>
      </c>
      <c r="O15" s="11">
        <f t="shared" si="1"/>
        <v>210.52799999999999</v>
      </c>
      <c r="P15" s="11">
        <f t="shared" si="2"/>
        <v>-3.0600000000000027</v>
      </c>
      <c r="Q15" s="11">
        <v>1.39</v>
      </c>
      <c r="R15" s="11" t="s">
        <v>40</v>
      </c>
      <c r="S15" s="14">
        <f t="shared" si="3"/>
        <v>293</v>
      </c>
      <c r="T15" s="14">
        <f t="shared" si="4"/>
        <v>-4</v>
      </c>
    </row>
    <row r="16" spans="1:20" ht="18.600000000000001" customHeight="1" x14ac:dyDescent="0.3">
      <c r="A16" s="15" t="s">
        <v>39</v>
      </c>
      <c r="B16" s="15" t="s">
        <v>18</v>
      </c>
      <c r="C16" s="15" t="s">
        <v>19</v>
      </c>
      <c r="D16" s="15" t="s">
        <v>48</v>
      </c>
      <c r="E16" s="15" t="s">
        <v>27</v>
      </c>
      <c r="F16" s="15">
        <v>183052</v>
      </c>
      <c r="G16" s="15">
        <v>983375</v>
      </c>
      <c r="H16" s="16"/>
      <c r="I16" s="15">
        <v>24001515</v>
      </c>
      <c r="J16" s="15">
        <v>290060</v>
      </c>
      <c r="K16" s="15">
        <v>612</v>
      </c>
      <c r="L16" s="15">
        <v>0.34399999999999997</v>
      </c>
      <c r="M16" s="15">
        <v>0.34899999999999998</v>
      </c>
      <c r="N16" s="17">
        <f t="shared" si="0"/>
        <v>-1.4534883720930246E-2</v>
      </c>
      <c r="O16" s="15">
        <f t="shared" si="1"/>
        <v>210.52799999999999</v>
      </c>
      <c r="P16" s="15">
        <f t="shared" si="2"/>
        <v>-3.0600000000000027</v>
      </c>
      <c r="Q16" s="15">
        <v>1.39</v>
      </c>
      <c r="R16" s="15" t="s">
        <v>40</v>
      </c>
      <c r="S16" s="18">
        <f t="shared" si="3"/>
        <v>293</v>
      </c>
      <c r="T16" s="18">
        <f t="shared" si="4"/>
        <v>-4</v>
      </c>
    </row>
    <row r="17" spans="1:20" ht="18.600000000000001" customHeight="1" x14ac:dyDescent="0.3">
      <c r="A17" s="11" t="s">
        <v>39</v>
      </c>
      <c r="B17" s="11" t="s">
        <v>18</v>
      </c>
      <c r="C17" s="11" t="s">
        <v>19</v>
      </c>
      <c r="D17" s="11" t="s">
        <v>49</v>
      </c>
      <c r="E17" s="11" t="s">
        <v>26</v>
      </c>
      <c r="F17" s="11">
        <v>183052</v>
      </c>
      <c r="G17" s="11">
        <v>983375</v>
      </c>
      <c r="H17" s="12"/>
      <c r="I17" s="11">
        <v>24001515</v>
      </c>
      <c r="J17" s="11">
        <v>290059</v>
      </c>
      <c r="K17" s="11">
        <v>612</v>
      </c>
      <c r="L17" s="11">
        <v>0.34399999999999997</v>
      </c>
      <c r="M17" s="11">
        <v>0.34899999999999998</v>
      </c>
      <c r="N17" s="13">
        <f t="shared" si="0"/>
        <v>-1.4534883720930246E-2</v>
      </c>
      <c r="O17" s="11">
        <f t="shared" si="1"/>
        <v>210.52799999999999</v>
      </c>
      <c r="P17" s="11">
        <f t="shared" si="2"/>
        <v>-3.0600000000000027</v>
      </c>
      <c r="Q17" s="11">
        <v>1.39</v>
      </c>
      <c r="R17" s="11" t="s">
        <v>40</v>
      </c>
      <c r="S17" s="14">
        <f t="shared" si="3"/>
        <v>293</v>
      </c>
      <c r="T17" s="14">
        <f t="shared" si="4"/>
        <v>-4</v>
      </c>
    </row>
    <row r="18" spans="1:20" ht="18.600000000000001" customHeight="1" x14ac:dyDescent="0.3">
      <c r="A18" s="15" t="s">
        <v>39</v>
      </c>
      <c r="B18" s="15" t="s">
        <v>18</v>
      </c>
      <c r="C18" s="15" t="s">
        <v>19</v>
      </c>
      <c r="D18" s="15" t="s">
        <v>49</v>
      </c>
      <c r="E18" s="15" t="s">
        <v>29</v>
      </c>
      <c r="F18" s="15">
        <v>183052</v>
      </c>
      <c r="G18" s="15">
        <v>983375</v>
      </c>
      <c r="H18" s="16"/>
      <c r="I18" s="15">
        <v>24001515</v>
      </c>
      <c r="J18" s="15">
        <v>290061</v>
      </c>
      <c r="K18" s="15">
        <v>612</v>
      </c>
      <c r="L18" s="15">
        <v>0.34399999999999997</v>
      </c>
      <c r="M18" s="15">
        <v>0.34899999999999998</v>
      </c>
      <c r="N18" s="17">
        <f t="shared" si="0"/>
        <v>-1.4534883720930246E-2</v>
      </c>
      <c r="O18" s="15">
        <f t="shared" si="1"/>
        <v>210.52799999999999</v>
      </c>
      <c r="P18" s="15">
        <f t="shared" si="2"/>
        <v>-3.0600000000000027</v>
      </c>
      <c r="Q18" s="15">
        <v>1.39</v>
      </c>
      <c r="R18" s="15" t="s">
        <v>40</v>
      </c>
      <c r="S18" s="18">
        <f t="shared" si="3"/>
        <v>293</v>
      </c>
      <c r="T18" s="18">
        <f t="shared" si="4"/>
        <v>-4</v>
      </c>
    </row>
    <row r="19" spans="1:20" ht="18.600000000000001" customHeight="1" x14ac:dyDescent="0.3">
      <c r="A19" s="11" t="s">
        <v>39</v>
      </c>
      <c r="B19" s="11" t="s">
        <v>18</v>
      </c>
      <c r="C19" s="11" t="s">
        <v>19</v>
      </c>
      <c r="D19" s="11" t="s">
        <v>49</v>
      </c>
      <c r="E19" s="11" t="s">
        <v>51</v>
      </c>
      <c r="F19" s="11">
        <v>183054</v>
      </c>
      <c r="G19" s="11">
        <v>983375</v>
      </c>
      <c r="H19" s="12"/>
      <c r="I19" s="11">
        <v>24001517</v>
      </c>
      <c r="J19" s="11">
        <v>290063</v>
      </c>
      <c r="K19" s="11">
        <v>4824</v>
      </c>
      <c r="L19" s="11">
        <v>0.34100000000000003</v>
      </c>
      <c r="M19" s="11">
        <v>0.34499999999999997</v>
      </c>
      <c r="N19" s="13">
        <f t="shared" si="0"/>
        <v>-1.1730205278592223E-2</v>
      </c>
      <c r="O19" s="11">
        <f t="shared" si="1"/>
        <v>1644.9840000000002</v>
      </c>
      <c r="P19" s="11">
        <f t="shared" si="2"/>
        <v>-19.295999999999751</v>
      </c>
      <c r="Q19" s="11">
        <v>1.39</v>
      </c>
      <c r="R19" s="11" t="s">
        <v>40</v>
      </c>
      <c r="S19" s="14">
        <f t="shared" si="3"/>
        <v>2287</v>
      </c>
      <c r="T19" s="14">
        <f t="shared" si="4"/>
        <v>-27</v>
      </c>
    </row>
    <row r="20" spans="1:20" ht="18.600000000000001" customHeight="1" x14ac:dyDescent="0.3">
      <c r="A20" s="15" t="s">
        <v>39</v>
      </c>
      <c r="B20" s="15" t="s">
        <v>18</v>
      </c>
      <c r="C20" s="15" t="s">
        <v>19</v>
      </c>
      <c r="D20" s="15" t="s">
        <v>48</v>
      </c>
      <c r="E20" s="15" t="s">
        <v>29</v>
      </c>
      <c r="F20" s="15">
        <v>183054</v>
      </c>
      <c r="G20" s="15">
        <v>983375</v>
      </c>
      <c r="H20" s="16"/>
      <c r="I20" s="15">
        <v>24001517</v>
      </c>
      <c r="J20" s="15">
        <v>290061</v>
      </c>
      <c r="K20" s="15">
        <v>4824</v>
      </c>
      <c r="L20" s="15">
        <v>0.34100000000000003</v>
      </c>
      <c r="M20" s="15">
        <v>0.34499999999999997</v>
      </c>
      <c r="N20" s="17">
        <f t="shared" si="0"/>
        <v>-1.1730205278592223E-2</v>
      </c>
      <c r="O20" s="15">
        <f t="shared" si="1"/>
        <v>1644.9840000000002</v>
      </c>
      <c r="P20" s="15">
        <f t="shared" si="2"/>
        <v>-19.295999999999751</v>
      </c>
      <c r="Q20" s="15">
        <v>1.39</v>
      </c>
      <c r="R20" s="15" t="s">
        <v>40</v>
      </c>
      <c r="S20" s="18">
        <f t="shared" si="3"/>
        <v>2287</v>
      </c>
      <c r="T20" s="18">
        <f t="shared" si="4"/>
        <v>-27</v>
      </c>
    </row>
    <row r="21" spans="1:20" ht="18.600000000000001" customHeight="1" x14ac:dyDescent="0.3">
      <c r="A21" s="11" t="s">
        <v>39</v>
      </c>
      <c r="B21" s="11" t="s">
        <v>18</v>
      </c>
      <c r="C21" s="11" t="s">
        <v>19</v>
      </c>
      <c r="D21" s="11" t="s">
        <v>48</v>
      </c>
      <c r="E21" s="11" t="s">
        <v>52</v>
      </c>
      <c r="F21" s="11">
        <v>183054</v>
      </c>
      <c r="G21" s="11">
        <v>983375</v>
      </c>
      <c r="H21" s="12"/>
      <c r="I21" s="11">
        <v>24001517</v>
      </c>
      <c r="J21" s="11">
        <v>292103</v>
      </c>
      <c r="K21" s="11">
        <v>4824</v>
      </c>
      <c r="L21" s="11">
        <v>0.34100000000000003</v>
      </c>
      <c r="M21" s="11">
        <v>0.34499999999999997</v>
      </c>
      <c r="N21" s="13">
        <f t="shared" si="0"/>
        <v>-1.1730205278592223E-2</v>
      </c>
      <c r="O21" s="11">
        <f t="shared" si="1"/>
        <v>1644.9840000000002</v>
      </c>
      <c r="P21" s="11">
        <f t="shared" si="2"/>
        <v>-19.295999999999751</v>
      </c>
      <c r="Q21" s="11">
        <v>1.39</v>
      </c>
      <c r="R21" s="11" t="s">
        <v>40</v>
      </c>
      <c r="S21" s="14">
        <f t="shared" si="3"/>
        <v>2287</v>
      </c>
      <c r="T21" s="14">
        <f t="shared" si="4"/>
        <v>-27</v>
      </c>
    </row>
    <row r="22" spans="1:20" ht="18.600000000000001" customHeight="1" x14ac:dyDescent="0.3">
      <c r="A22" s="15" t="s">
        <v>39</v>
      </c>
      <c r="B22" s="15" t="s">
        <v>18</v>
      </c>
      <c r="C22" s="15" t="s">
        <v>19</v>
      </c>
      <c r="D22" s="15" t="s">
        <v>49</v>
      </c>
      <c r="E22" s="15" t="s">
        <v>27</v>
      </c>
      <c r="F22" s="15">
        <v>183054</v>
      </c>
      <c r="G22" s="15">
        <v>983375</v>
      </c>
      <c r="H22" s="16"/>
      <c r="I22" s="15">
        <v>24001517</v>
      </c>
      <c r="J22" s="15">
        <v>290060</v>
      </c>
      <c r="K22" s="15">
        <v>4824</v>
      </c>
      <c r="L22" s="15">
        <v>0.34100000000000003</v>
      </c>
      <c r="M22" s="15">
        <v>0.34499999999999997</v>
      </c>
      <c r="N22" s="17">
        <f t="shared" si="0"/>
        <v>-1.1730205278592223E-2</v>
      </c>
      <c r="O22" s="15">
        <f t="shared" si="1"/>
        <v>1644.9840000000002</v>
      </c>
      <c r="P22" s="15">
        <f t="shared" si="2"/>
        <v>-19.295999999999751</v>
      </c>
      <c r="Q22" s="15">
        <v>1.39</v>
      </c>
      <c r="R22" s="15" t="s">
        <v>40</v>
      </c>
      <c r="S22" s="18">
        <f t="shared" si="3"/>
        <v>2287</v>
      </c>
      <c r="T22" s="18">
        <f t="shared" si="4"/>
        <v>-27</v>
      </c>
    </row>
    <row r="23" spans="1:20" ht="18.600000000000001" customHeight="1" x14ac:dyDescent="0.3">
      <c r="A23" s="11" t="s">
        <v>39</v>
      </c>
      <c r="B23" s="11" t="s">
        <v>18</v>
      </c>
      <c r="C23" s="11" t="s">
        <v>19</v>
      </c>
      <c r="D23" s="11" t="s">
        <v>49</v>
      </c>
      <c r="E23" s="11" t="s">
        <v>26</v>
      </c>
      <c r="F23" s="11">
        <v>183040</v>
      </c>
      <c r="G23" s="11">
        <v>983418</v>
      </c>
      <c r="H23" s="12"/>
      <c r="I23" s="11">
        <v>24001503</v>
      </c>
      <c r="J23" s="11">
        <v>290059</v>
      </c>
      <c r="K23" s="11">
        <v>8424</v>
      </c>
      <c r="L23" s="11">
        <v>0.34499999999999997</v>
      </c>
      <c r="M23" s="11">
        <v>0.35</v>
      </c>
      <c r="N23" s="13">
        <f t="shared" si="0"/>
        <v>-1.449275362318842E-2</v>
      </c>
      <c r="O23" s="11">
        <f t="shared" si="1"/>
        <v>2906.2799999999997</v>
      </c>
      <c r="P23" s="11">
        <f t="shared" si="2"/>
        <v>-42.12000000000004</v>
      </c>
      <c r="Q23" s="11">
        <v>1.39</v>
      </c>
      <c r="R23" s="11" t="s">
        <v>40</v>
      </c>
      <c r="S23" s="14">
        <f t="shared" si="3"/>
        <v>4040</v>
      </c>
      <c r="T23" s="14">
        <f t="shared" si="4"/>
        <v>-59</v>
      </c>
    </row>
    <row r="24" spans="1:20" ht="18.600000000000001" customHeight="1" x14ac:dyDescent="0.3">
      <c r="A24" s="15" t="s">
        <v>39</v>
      </c>
      <c r="B24" s="15" t="s">
        <v>18</v>
      </c>
      <c r="C24" s="15" t="s">
        <v>19</v>
      </c>
      <c r="D24" s="15" t="s">
        <v>49</v>
      </c>
      <c r="E24" s="15" t="s">
        <v>27</v>
      </c>
      <c r="F24" s="15">
        <v>183040</v>
      </c>
      <c r="G24" s="15">
        <v>983418</v>
      </c>
      <c r="H24" s="16"/>
      <c r="I24" s="15">
        <v>24001503</v>
      </c>
      <c r="J24" s="15">
        <v>290060</v>
      </c>
      <c r="K24" s="15">
        <v>8424</v>
      </c>
      <c r="L24" s="15">
        <v>0.34499999999999997</v>
      </c>
      <c r="M24" s="15">
        <v>0.35</v>
      </c>
      <c r="N24" s="17">
        <f t="shared" si="0"/>
        <v>-1.449275362318842E-2</v>
      </c>
      <c r="O24" s="15">
        <f t="shared" si="1"/>
        <v>2906.2799999999997</v>
      </c>
      <c r="P24" s="15">
        <f t="shared" si="2"/>
        <v>-42.12000000000004</v>
      </c>
      <c r="Q24" s="15">
        <v>1.39</v>
      </c>
      <c r="R24" s="15" t="s">
        <v>40</v>
      </c>
      <c r="S24" s="18">
        <f t="shared" si="3"/>
        <v>4040</v>
      </c>
      <c r="T24" s="18">
        <f t="shared" si="4"/>
        <v>-59</v>
      </c>
    </row>
    <row r="25" spans="1:20" ht="18.600000000000001" customHeight="1" x14ac:dyDescent="0.3">
      <c r="A25" s="11" t="s">
        <v>39</v>
      </c>
      <c r="B25" s="11" t="s">
        <v>18</v>
      </c>
      <c r="C25" s="11" t="s">
        <v>19</v>
      </c>
      <c r="D25" s="11" t="s">
        <v>49</v>
      </c>
      <c r="E25" s="11" t="s">
        <v>50</v>
      </c>
      <c r="F25" s="11">
        <v>183040</v>
      </c>
      <c r="G25" s="11">
        <v>983418</v>
      </c>
      <c r="H25" s="12"/>
      <c r="I25" s="11">
        <v>24001503</v>
      </c>
      <c r="J25" s="11">
        <v>290059</v>
      </c>
      <c r="K25" s="11">
        <v>8424</v>
      </c>
      <c r="L25" s="11">
        <v>0.34499999999999997</v>
      </c>
      <c r="M25" s="11">
        <v>0.35</v>
      </c>
      <c r="N25" s="13">
        <f t="shared" si="0"/>
        <v>-1.449275362318842E-2</v>
      </c>
      <c r="O25" s="11">
        <f t="shared" si="1"/>
        <v>2906.2799999999997</v>
      </c>
      <c r="P25" s="11">
        <f t="shared" si="2"/>
        <v>-42.12000000000004</v>
      </c>
      <c r="Q25" s="11">
        <v>1.39</v>
      </c>
      <c r="R25" s="11" t="s">
        <v>40</v>
      </c>
      <c r="S25" s="14">
        <f t="shared" si="3"/>
        <v>4040</v>
      </c>
      <c r="T25" s="14">
        <f t="shared" si="4"/>
        <v>-59</v>
      </c>
    </row>
    <row r="26" spans="1:20" ht="18.600000000000001" customHeight="1" x14ac:dyDescent="0.3">
      <c r="A26" s="15" t="s">
        <v>39</v>
      </c>
      <c r="B26" s="15" t="s">
        <v>18</v>
      </c>
      <c r="C26" s="15" t="s">
        <v>19</v>
      </c>
      <c r="D26" s="15" t="s">
        <v>49</v>
      </c>
      <c r="E26" s="15" t="s">
        <v>26</v>
      </c>
      <c r="F26" s="15">
        <v>183041</v>
      </c>
      <c r="G26" s="15">
        <v>983418</v>
      </c>
      <c r="H26" s="16"/>
      <c r="I26" s="15">
        <v>24001504</v>
      </c>
      <c r="J26" s="15">
        <v>290059</v>
      </c>
      <c r="K26" s="15">
        <v>1440</v>
      </c>
      <c r="L26" s="15">
        <v>0.34499999999999997</v>
      </c>
      <c r="M26" s="15">
        <v>0.35</v>
      </c>
      <c r="N26" s="17">
        <f t="shared" si="0"/>
        <v>-1.449275362318842E-2</v>
      </c>
      <c r="O26" s="15">
        <f t="shared" si="1"/>
        <v>496.79999999999995</v>
      </c>
      <c r="P26" s="15">
        <f t="shared" si="2"/>
        <v>-7.2000000000000064</v>
      </c>
      <c r="Q26" s="15">
        <v>1.39</v>
      </c>
      <c r="R26" s="15" t="s">
        <v>40</v>
      </c>
      <c r="S26" s="18">
        <f t="shared" si="3"/>
        <v>691</v>
      </c>
      <c r="T26" s="18">
        <f t="shared" si="4"/>
        <v>-10</v>
      </c>
    </row>
    <row r="27" spans="1:20" ht="18.600000000000001" customHeight="1" x14ac:dyDescent="0.3">
      <c r="A27" s="11" t="s">
        <v>39</v>
      </c>
      <c r="B27" s="11" t="s">
        <v>18</v>
      </c>
      <c r="C27" s="11" t="s">
        <v>19</v>
      </c>
      <c r="D27" s="11" t="s">
        <v>49</v>
      </c>
      <c r="E27" s="11" t="s">
        <v>27</v>
      </c>
      <c r="F27" s="11">
        <v>183041</v>
      </c>
      <c r="G27" s="11">
        <v>983418</v>
      </c>
      <c r="H27" s="12"/>
      <c r="I27" s="11">
        <v>24001504</v>
      </c>
      <c r="J27" s="11">
        <v>290060</v>
      </c>
      <c r="K27" s="11">
        <v>1440</v>
      </c>
      <c r="L27" s="11">
        <v>0.34499999999999997</v>
      </c>
      <c r="M27" s="11">
        <v>0.35</v>
      </c>
      <c r="N27" s="13">
        <f t="shared" si="0"/>
        <v>-1.449275362318842E-2</v>
      </c>
      <c r="O27" s="11">
        <f t="shared" si="1"/>
        <v>496.79999999999995</v>
      </c>
      <c r="P27" s="11">
        <f t="shared" si="2"/>
        <v>-7.2000000000000064</v>
      </c>
      <c r="Q27" s="11">
        <v>1.39</v>
      </c>
      <c r="R27" s="11" t="s">
        <v>40</v>
      </c>
      <c r="S27" s="14">
        <f t="shared" si="3"/>
        <v>691</v>
      </c>
      <c r="T27" s="14">
        <f t="shared" si="4"/>
        <v>-10</v>
      </c>
    </row>
    <row r="28" spans="1:20" ht="18.600000000000001" customHeight="1" x14ac:dyDescent="0.3">
      <c r="A28" s="15" t="s">
        <v>39</v>
      </c>
      <c r="B28" s="15" t="s">
        <v>18</v>
      </c>
      <c r="C28" s="15" t="s">
        <v>19</v>
      </c>
      <c r="D28" s="15" t="s">
        <v>49</v>
      </c>
      <c r="E28" s="15" t="s">
        <v>50</v>
      </c>
      <c r="F28" s="15">
        <v>183041</v>
      </c>
      <c r="G28" s="15">
        <v>983418</v>
      </c>
      <c r="H28" s="16"/>
      <c r="I28" s="15">
        <v>24001504</v>
      </c>
      <c r="J28" s="15">
        <v>290059</v>
      </c>
      <c r="K28" s="15">
        <v>1440</v>
      </c>
      <c r="L28" s="15">
        <v>0.34499999999999997</v>
      </c>
      <c r="M28" s="15">
        <v>0.35</v>
      </c>
      <c r="N28" s="17">
        <f t="shared" si="0"/>
        <v>-1.449275362318842E-2</v>
      </c>
      <c r="O28" s="15">
        <f t="shared" si="1"/>
        <v>496.79999999999995</v>
      </c>
      <c r="P28" s="15">
        <f t="shared" si="2"/>
        <v>-7.2000000000000064</v>
      </c>
      <c r="Q28" s="15">
        <v>1.39</v>
      </c>
      <c r="R28" s="15" t="s">
        <v>40</v>
      </c>
      <c r="S28" s="18">
        <f t="shared" si="3"/>
        <v>691</v>
      </c>
      <c r="T28" s="18">
        <f t="shared" si="4"/>
        <v>-10</v>
      </c>
    </row>
    <row r="29" spans="1:20" ht="18.600000000000001" customHeight="1" x14ac:dyDescent="0.3">
      <c r="A29" s="11" t="s">
        <v>16</v>
      </c>
      <c r="B29" s="11" t="s">
        <v>18</v>
      </c>
      <c r="C29" s="11" t="s">
        <v>19</v>
      </c>
      <c r="D29" s="11" t="s">
        <v>49</v>
      </c>
      <c r="E29" s="11" t="s">
        <v>54</v>
      </c>
      <c r="F29" s="11">
        <v>182780</v>
      </c>
      <c r="G29" s="11">
        <v>983462</v>
      </c>
      <c r="H29" s="12"/>
      <c r="I29" s="11">
        <v>24001352</v>
      </c>
      <c r="J29" s="11">
        <v>292099</v>
      </c>
      <c r="K29" s="11">
        <v>1872</v>
      </c>
      <c r="L29" s="11">
        <v>0.33800000000000002</v>
      </c>
      <c r="M29" s="11">
        <v>0.33100000000000002</v>
      </c>
      <c r="N29" s="13">
        <f t="shared" si="0"/>
        <v>2.0710059171597649E-2</v>
      </c>
      <c r="O29" s="11">
        <f t="shared" si="1"/>
        <v>632.73599999999999</v>
      </c>
      <c r="P29" s="11">
        <f t="shared" si="2"/>
        <v>13.10400000000001</v>
      </c>
      <c r="Q29" s="11">
        <v>1.39</v>
      </c>
      <c r="R29" s="11" t="s">
        <v>35</v>
      </c>
      <c r="S29" s="14">
        <f t="shared" si="3"/>
        <v>880</v>
      </c>
      <c r="T29" s="14">
        <f t="shared" si="4"/>
        <v>18</v>
      </c>
    </row>
    <row r="30" spans="1:20" ht="18.600000000000001" customHeight="1" x14ac:dyDescent="0.3">
      <c r="A30" s="15" t="s">
        <v>16</v>
      </c>
      <c r="B30" s="15" t="s">
        <v>18</v>
      </c>
      <c r="C30" s="15" t="s">
        <v>19</v>
      </c>
      <c r="D30" s="15" t="s">
        <v>49</v>
      </c>
      <c r="E30" s="15" t="s">
        <v>26</v>
      </c>
      <c r="F30" s="15">
        <v>182780</v>
      </c>
      <c r="G30" s="15">
        <v>983462</v>
      </c>
      <c r="H30" s="16"/>
      <c r="I30" s="15">
        <v>24001352</v>
      </c>
      <c r="J30" s="15">
        <v>290059</v>
      </c>
      <c r="K30" s="15">
        <v>1872</v>
      </c>
      <c r="L30" s="15">
        <v>0.33800000000000002</v>
      </c>
      <c r="M30" s="15">
        <v>0.33100000000000002</v>
      </c>
      <c r="N30" s="17">
        <f t="shared" si="0"/>
        <v>2.0710059171597649E-2</v>
      </c>
      <c r="O30" s="15">
        <f t="shared" si="1"/>
        <v>632.73599999999999</v>
      </c>
      <c r="P30" s="15">
        <f t="shared" si="2"/>
        <v>13.10400000000001</v>
      </c>
      <c r="Q30" s="15">
        <v>1.39</v>
      </c>
      <c r="R30" s="15" t="s">
        <v>35</v>
      </c>
      <c r="S30" s="18">
        <f t="shared" si="3"/>
        <v>880</v>
      </c>
      <c r="T30" s="18">
        <f t="shared" si="4"/>
        <v>18</v>
      </c>
    </row>
    <row r="31" spans="1:20" ht="18.600000000000001" customHeight="1" x14ac:dyDescent="0.3">
      <c r="A31" s="11" t="s">
        <v>16</v>
      </c>
      <c r="B31" s="11" t="s">
        <v>18</v>
      </c>
      <c r="C31" s="11" t="s">
        <v>19</v>
      </c>
      <c r="D31" s="11" t="s">
        <v>49</v>
      </c>
      <c r="E31" s="11" t="s">
        <v>27</v>
      </c>
      <c r="F31" s="11">
        <v>182780</v>
      </c>
      <c r="G31" s="11">
        <v>983462</v>
      </c>
      <c r="H31" s="12"/>
      <c r="I31" s="11">
        <v>24001352</v>
      </c>
      <c r="J31" s="11">
        <v>290060</v>
      </c>
      <c r="K31" s="11">
        <v>1872</v>
      </c>
      <c r="L31" s="11">
        <v>0.33800000000000002</v>
      </c>
      <c r="M31" s="11">
        <v>0.33100000000000002</v>
      </c>
      <c r="N31" s="13">
        <f t="shared" si="0"/>
        <v>2.0710059171597649E-2</v>
      </c>
      <c r="O31" s="11">
        <f t="shared" si="1"/>
        <v>632.73599999999999</v>
      </c>
      <c r="P31" s="11">
        <f t="shared" si="2"/>
        <v>13.10400000000001</v>
      </c>
      <c r="Q31" s="11">
        <v>1.39</v>
      </c>
      <c r="R31" s="11" t="s">
        <v>35</v>
      </c>
      <c r="S31" s="14">
        <f t="shared" si="3"/>
        <v>880</v>
      </c>
      <c r="T31" s="14">
        <f t="shared" si="4"/>
        <v>18</v>
      </c>
    </row>
    <row r="32" spans="1:20" ht="18.600000000000001" customHeight="1" x14ac:dyDescent="0.3">
      <c r="A32" s="15" t="s">
        <v>16</v>
      </c>
      <c r="B32" s="15" t="s">
        <v>18</v>
      </c>
      <c r="C32" s="15" t="s">
        <v>19</v>
      </c>
      <c r="D32" s="15" t="s">
        <v>48</v>
      </c>
      <c r="E32" s="15" t="s">
        <v>55</v>
      </c>
      <c r="F32" s="15">
        <v>182781</v>
      </c>
      <c r="G32" s="15">
        <v>983462</v>
      </c>
      <c r="H32" s="16"/>
      <c r="I32" s="15">
        <v>24001353</v>
      </c>
      <c r="J32" s="15">
        <v>292100</v>
      </c>
      <c r="K32" s="15">
        <v>1332</v>
      </c>
      <c r="L32" s="15">
        <v>0.33800000000000002</v>
      </c>
      <c r="M32" s="15">
        <v>0.33500000000000002</v>
      </c>
      <c r="N32" s="17">
        <f t="shared" si="0"/>
        <v>8.8757396449704214E-3</v>
      </c>
      <c r="O32" s="15">
        <f t="shared" si="1"/>
        <v>450.21600000000001</v>
      </c>
      <c r="P32" s="15">
        <f t="shared" si="2"/>
        <v>3.9960000000000031</v>
      </c>
      <c r="Q32" s="15">
        <v>1.39</v>
      </c>
      <c r="R32" s="15" t="s">
        <v>35</v>
      </c>
      <c r="S32" s="18">
        <f t="shared" si="3"/>
        <v>626</v>
      </c>
      <c r="T32" s="18">
        <f t="shared" si="4"/>
        <v>6</v>
      </c>
    </row>
    <row r="33" spans="1:20" ht="18.600000000000001" customHeight="1" x14ac:dyDescent="0.3">
      <c r="A33" s="11" t="s">
        <v>16</v>
      </c>
      <c r="B33" s="11" t="s">
        <v>18</v>
      </c>
      <c r="C33" s="11" t="s">
        <v>19</v>
      </c>
      <c r="D33" s="11" t="s">
        <v>48</v>
      </c>
      <c r="E33" s="11" t="s">
        <v>29</v>
      </c>
      <c r="F33" s="11">
        <v>182781</v>
      </c>
      <c r="G33" s="11">
        <v>983462</v>
      </c>
      <c r="H33" s="12"/>
      <c r="I33" s="11">
        <v>24001353</v>
      </c>
      <c r="J33" s="11">
        <v>290061</v>
      </c>
      <c r="K33" s="11">
        <v>1332</v>
      </c>
      <c r="L33" s="11">
        <v>0.33800000000000002</v>
      </c>
      <c r="M33" s="11">
        <v>0.33500000000000002</v>
      </c>
      <c r="N33" s="13">
        <f t="shared" si="0"/>
        <v>8.8757396449704214E-3</v>
      </c>
      <c r="O33" s="11">
        <f t="shared" si="1"/>
        <v>450.21600000000001</v>
      </c>
      <c r="P33" s="11">
        <f t="shared" si="2"/>
        <v>3.9960000000000031</v>
      </c>
      <c r="Q33" s="11">
        <v>1.39</v>
      </c>
      <c r="R33" s="11" t="s">
        <v>35</v>
      </c>
      <c r="S33" s="14">
        <f t="shared" si="3"/>
        <v>626</v>
      </c>
      <c r="T33" s="14">
        <f t="shared" si="4"/>
        <v>6</v>
      </c>
    </row>
    <row r="34" spans="1:20" ht="18.600000000000001" customHeight="1" x14ac:dyDescent="0.3">
      <c r="A34" s="15" t="s">
        <v>16</v>
      </c>
      <c r="B34" s="15" t="s">
        <v>18</v>
      </c>
      <c r="C34" s="15" t="s">
        <v>19</v>
      </c>
      <c r="D34" s="15" t="s">
        <v>49</v>
      </c>
      <c r="E34" s="15" t="s">
        <v>56</v>
      </c>
      <c r="F34" s="15">
        <v>182781</v>
      </c>
      <c r="G34" s="15">
        <v>983462</v>
      </c>
      <c r="H34" s="16"/>
      <c r="I34" s="15">
        <v>24001353</v>
      </c>
      <c r="J34" s="15">
        <v>292101</v>
      </c>
      <c r="K34" s="15">
        <v>1332</v>
      </c>
      <c r="L34" s="15">
        <v>0.33800000000000002</v>
      </c>
      <c r="M34" s="15">
        <v>0.33500000000000002</v>
      </c>
      <c r="N34" s="17">
        <f t="shared" si="0"/>
        <v>8.8757396449704214E-3</v>
      </c>
      <c r="O34" s="15">
        <f t="shared" si="1"/>
        <v>450.21600000000001</v>
      </c>
      <c r="P34" s="15">
        <f t="shared" si="2"/>
        <v>3.9960000000000031</v>
      </c>
      <c r="Q34" s="15">
        <v>1.39</v>
      </c>
      <c r="R34" s="15" t="s">
        <v>35</v>
      </c>
      <c r="S34" s="18">
        <f t="shared" si="3"/>
        <v>626</v>
      </c>
      <c r="T34" s="18">
        <f t="shared" si="4"/>
        <v>6</v>
      </c>
    </row>
    <row r="35" spans="1:20" ht="18.600000000000001" customHeight="1" x14ac:dyDescent="0.3">
      <c r="A35" s="11" t="s">
        <v>16</v>
      </c>
      <c r="B35" s="11" t="s">
        <v>18</v>
      </c>
      <c r="C35" s="11" t="s">
        <v>19</v>
      </c>
      <c r="D35" s="11" t="s">
        <v>48</v>
      </c>
      <c r="E35" s="11" t="s">
        <v>26</v>
      </c>
      <c r="F35" s="11">
        <v>182947</v>
      </c>
      <c r="G35" s="11">
        <v>984120</v>
      </c>
      <c r="H35" s="12"/>
      <c r="I35" s="11">
        <v>24001383</v>
      </c>
      <c r="J35" s="11">
        <v>295256</v>
      </c>
      <c r="K35" s="11">
        <v>6696</v>
      </c>
      <c r="L35" s="11">
        <v>0.35699999999999998</v>
      </c>
      <c r="M35" s="11">
        <v>0.35099999999999998</v>
      </c>
      <c r="N35" s="13">
        <f t="shared" ref="N35:N66" si="5">(L35-M35)/L35</f>
        <v>1.6806722689075647E-2</v>
      </c>
      <c r="O35" s="11">
        <f t="shared" ref="O35:O52" si="6">K35*L35</f>
        <v>2390.4719999999998</v>
      </c>
      <c r="P35" s="11">
        <f t="shared" ref="P35:P66" si="7">N35*O35</f>
        <v>40.176000000000037</v>
      </c>
      <c r="Q35" s="11">
        <v>2.1800000000000002</v>
      </c>
      <c r="R35" s="11" t="s">
        <v>35</v>
      </c>
      <c r="S35" s="14">
        <f t="shared" ref="S35:S52" si="8">IFERROR(ROUND(O35*Q35,0),0)</f>
        <v>5211</v>
      </c>
      <c r="T35" s="14">
        <f t="shared" ref="T35:T52" si="9">IFERROR(ROUND(Q35*P35,0),0)</f>
        <v>88</v>
      </c>
    </row>
    <row r="36" spans="1:20" ht="18.600000000000001" customHeight="1" x14ac:dyDescent="0.3">
      <c r="A36" s="15" t="s">
        <v>16</v>
      </c>
      <c r="B36" s="15" t="s">
        <v>18</v>
      </c>
      <c r="C36" s="15" t="s">
        <v>19</v>
      </c>
      <c r="D36" s="15" t="s">
        <v>53</v>
      </c>
      <c r="E36" s="15" t="s">
        <v>44</v>
      </c>
      <c r="F36" s="15">
        <v>182947</v>
      </c>
      <c r="G36" s="15">
        <v>984120</v>
      </c>
      <c r="H36" s="16"/>
      <c r="I36" s="15">
        <v>24001383</v>
      </c>
      <c r="J36" s="15">
        <v>295257</v>
      </c>
      <c r="K36" s="15">
        <v>6696</v>
      </c>
      <c r="L36" s="15">
        <v>0.35699999999999998</v>
      </c>
      <c r="M36" s="15">
        <v>0.35099999999999998</v>
      </c>
      <c r="N36" s="17">
        <f t="shared" si="5"/>
        <v>1.6806722689075647E-2</v>
      </c>
      <c r="O36" s="15">
        <f t="shared" si="6"/>
        <v>2390.4719999999998</v>
      </c>
      <c r="P36" s="15">
        <f t="shared" si="7"/>
        <v>40.176000000000037</v>
      </c>
      <c r="Q36" s="15">
        <v>2.14</v>
      </c>
      <c r="R36" s="15" t="s">
        <v>35</v>
      </c>
      <c r="S36" s="18">
        <f t="shared" si="8"/>
        <v>5116</v>
      </c>
      <c r="T36" s="18">
        <f t="shared" si="9"/>
        <v>86</v>
      </c>
    </row>
    <row r="37" spans="1:20" ht="18.600000000000001" customHeight="1" x14ac:dyDescent="0.3">
      <c r="A37" s="11" t="s">
        <v>16</v>
      </c>
      <c r="B37" s="11" t="s">
        <v>18</v>
      </c>
      <c r="C37" s="11" t="s">
        <v>19</v>
      </c>
      <c r="D37" s="11" t="s">
        <v>48</v>
      </c>
      <c r="E37" s="11" t="s">
        <v>26</v>
      </c>
      <c r="F37" s="11">
        <v>182947</v>
      </c>
      <c r="G37" s="11">
        <v>984120</v>
      </c>
      <c r="H37" s="12"/>
      <c r="I37" s="11">
        <v>24001383</v>
      </c>
      <c r="J37" s="11">
        <v>295256</v>
      </c>
      <c r="K37" s="11">
        <v>6696</v>
      </c>
      <c r="L37" s="11">
        <v>0.35699999999999998</v>
      </c>
      <c r="M37" s="11">
        <v>0.35099999999999998</v>
      </c>
      <c r="N37" s="13">
        <f t="shared" si="5"/>
        <v>1.6806722689075647E-2</v>
      </c>
      <c r="O37" s="11">
        <f t="shared" si="6"/>
        <v>2390.4719999999998</v>
      </c>
      <c r="P37" s="11">
        <f t="shared" si="7"/>
        <v>40.176000000000037</v>
      </c>
      <c r="Q37" s="11">
        <v>2.1800000000000002</v>
      </c>
      <c r="R37" s="11" t="s">
        <v>35</v>
      </c>
      <c r="S37" s="14">
        <f t="shared" si="8"/>
        <v>5211</v>
      </c>
      <c r="T37" s="14">
        <f t="shared" si="9"/>
        <v>88</v>
      </c>
    </row>
    <row r="38" spans="1:20" ht="18.600000000000001" customHeight="1" x14ac:dyDescent="0.3">
      <c r="A38" s="15" t="s">
        <v>16</v>
      </c>
      <c r="B38" s="15" t="s">
        <v>18</v>
      </c>
      <c r="C38" s="15" t="s">
        <v>19</v>
      </c>
      <c r="D38" s="15" t="s">
        <v>48</v>
      </c>
      <c r="E38" s="15" t="s">
        <v>26</v>
      </c>
      <c r="F38" s="15">
        <v>182948</v>
      </c>
      <c r="G38" s="15">
        <v>984120</v>
      </c>
      <c r="H38" s="16"/>
      <c r="I38" s="15">
        <v>24001384</v>
      </c>
      <c r="J38" s="15">
        <v>295256</v>
      </c>
      <c r="K38" s="15">
        <v>720</v>
      </c>
      <c r="L38" s="15">
        <v>0.442</v>
      </c>
      <c r="M38" s="15">
        <v>0.42899999999999999</v>
      </c>
      <c r="N38" s="17">
        <f t="shared" si="5"/>
        <v>2.941176470588238E-2</v>
      </c>
      <c r="O38" s="15">
        <f t="shared" si="6"/>
        <v>318.24</v>
      </c>
      <c r="P38" s="15">
        <f t="shared" si="7"/>
        <v>9.3600000000000083</v>
      </c>
      <c r="Q38" s="15">
        <v>2.1800000000000002</v>
      </c>
      <c r="R38" s="15" t="s">
        <v>35</v>
      </c>
      <c r="S38" s="18">
        <f t="shared" si="8"/>
        <v>694</v>
      </c>
      <c r="T38" s="18">
        <f t="shared" si="9"/>
        <v>20</v>
      </c>
    </row>
    <row r="39" spans="1:20" ht="18.600000000000001" customHeight="1" x14ac:dyDescent="0.3">
      <c r="A39" s="11" t="s">
        <v>16</v>
      </c>
      <c r="B39" s="11" t="s">
        <v>18</v>
      </c>
      <c r="C39" s="11" t="s">
        <v>19</v>
      </c>
      <c r="D39" s="11" t="s">
        <v>48</v>
      </c>
      <c r="E39" s="11" t="s">
        <v>44</v>
      </c>
      <c r="F39" s="11">
        <v>182948</v>
      </c>
      <c r="G39" s="11">
        <v>984120</v>
      </c>
      <c r="H39" s="12"/>
      <c r="I39" s="11">
        <v>24001384</v>
      </c>
      <c r="J39" s="11">
        <v>295257</v>
      </c>
      <c r="K39" s="11">
        <v>720</v>
      </c>
      <c r="L39" s="11">
        <v>0.442</v>
      </c>
      <c r="M39" s="11">
        <v>0.42899999999999999</v>
      </c>
      <c r="N39" s="13">
        <f t="shared" si="5"/>
        <v>2.941176470588238E-2</v>
      </c>
      <c r="O39" s="11">
        <f t="shared" si="6"/>
        <v>318.24</v>
      </c>
      <c r="P39" s="11">
        <f t="shared" si="7"/>
        <v>9.3600000000000083</v>
      </c>
      <c r="Q39" s="11">
        <v>2.14</v>
      </c>
      <c r="R39" s="11" t="s">
        <v>35</v>
      </c>
      <c r="S39" s="14">
        <f t="shared" si="8"/>
        <v>681</v>
      </c>
      <c r="T39" s="14">
        <f t="shared" si="9"/>
        <v>20</v>
      </c>
    </row>
    <row r="40" spans="1:20" ht="18.600000000000001" customHeight="1" x14ac:dyDescent="0.3">
      <c r="A40" s="15" t="s">
        <v>16</v>
      </c>
      <c r="B40" s="15" t="s">
        <v>18</v>
      </c>
      <c r="C40" s="15" t="s">
        <v>19</v>
      </c>
      <c r="D40" s="15" t="s">
        <v>48</v>
      </c>
      <c r="E40" s="15" t="s">
        <v>26</v>
      </c>
      <c r="F40" s="15">
        <v>182948</v>
      </c>
      <c r="G40" s="15">
        <v>984120</v>
      </c>
      <c r="H40" s="16"/>
      <c r="I40" s="15">
        <v>24001384</v>
      </c>
      <c r="J40" s="15">
        <v>295256</v>
      </c>
      <c r="K40" s="15">
        <v>720</v>
      </c>
      <c r="L40" s="15">
        <v>0.442</v>
      </c>
      <c r="M40" s="15">
        <v>0.42899999999999999</v>
      </c>
      <c r="N40" s="17">
        <f t="shared" si="5"/>
        <v>2.941176470588238E-2</v>
      </c>
      <c r="O40" s="15">
        <f t="shared" si="6"/>
        <v>318.24</v>
      </c>
      <c r="P40" s="15">
        <f t="shared" si="7"/>
        <v>9.3600000000000083</v>
      </c>
      <c r="Q40" s="15">
        <v>2.1800000000000002</v>
      </c>
      <c r="R40" s="15" t="s">
        <v>35</v>
      </c>
      <c r="S40" s="18">
        <f t="shared" si="8"/>
        <v>694</v>
      </c>
      <c r="T40" s="18">
        <f t="shared" si="9"/>
        <v>20</v>
      </c>
    </row>
    <row r="41" spans="1:20" ht="18.600000000000001" customHeight="1" x14ac:dyDescent="0.3">
      <c r="A41" s="11" t="s">
        <v>16</v>
      </c>
      <c r="B41" s="11" t="s">
        <v>18</v>
      </c>
      <c r="C41" s="11" t="s">
        <v>19</v>
      </c>
      <c r="D41" s="11" t="s">
        <v>53</v>
      </c>
      <c r="E41" s="11" t="s">
        <v>45</v>
      </c>
      <c r="F41" s="11">
        <v>182949</v>
      </c>
      <c r="G41" s="11">
        <v>984120</v>
      </c>
      <c r="H41" s="12"/>
      <c r="I41" s="11">
        <v>24001385</v>
      </c>
      <c r="J41" s="11">
        <v>295258</v>
      </c>
      <c r="K41" s="11">
        <v>5724</v>
      </c>
      <c r="L41" s="11">
        <v>0.35699999999999998</v>
      </c>
      <c r="M41" s="11">
        <v>0.35099999999999998</v>
      </c>
      <c r="N41" s="13">
        <f t="shared" si="5"/>
        <v>1.6806722689075647E-2</v>
      </c>
      <c r="O41" s="11">
        <f t="shared" si="6"/>
        <v>2043.4679999999998</v>
      </c>
      <c r="P41" s="11">
        <f t="shared" si="7"/>
        <v>34.34400000000003</v>
      </c>
      <c r="Q41" s="11">
        <v>2.1800000000000002</v>
      </c>
      <c r="R41" s="11" t="s">
        <v>35</v>
      </c>
      <c r="S41" s="14">
        <f t="shared" si="8"/>
        <v>4455</v>
      </c>
      <c r="T41" s="14">
        <f t="shared" si="9"/>
        <v>75</v>
      </c>
    </row>
    <row r="42" spans="1:20" ht="18.600000000000001" customHeight="1" x14ac:dyDescent="0.3">
      <c r="A42" s="15" t="s">
        <v>16</v>
      </c>
      <c r="B42" s="15" t="s">
        <v>18</v>
      </c>
      <c r="C42" s="15" t="s">
        <v>19</v>
      </c>
      <c r="D42" s="15" t="s">
        <v>53</v>
      </c>
      <c r="E42" s="15" t="s">
        <v>44</v>
      </c>
      <c r="F42" s="15">
        <v>182949</v>
      </c>
      <c r="G42" s="15">
        <v>984120</v>
      </c>
      <c r="H42" s="16"/>
      <c r="I42" s="15">
        <v>24001385</v>
      </c>
      <c r="J42" s="15">
        <v>295257</v>
      </c>
      <c r="K42" s="15">
        <v>5724</v>
      </c>
      <c r="L42" s="15">
        <v>0.35699999999999998</v>
      </c>
      <c r="M42" s="15">
        <v>0.35099999999999998</v>
      </c>
      <c r="N42" s="17">
        <f t="shared" si="5"/>
        <v>1.6806722689075647E-2</v>
      </c>
      <c r="O42" s="15">
        <f t="shared" si="6"/>
        <v>2043.4679999999998</v>
      </c>
      <c r="P42" s="15">
        <f t="shared" si="7"/>
        <v>34.34400000000003</v>
      </c>
      <c r="Q42" s="15">
        <v>2.14</v>
      </c>
      <c r="R42" s="15" t="s">
        <v>35</v>
      </c>
      <c r="S42" s="18">
        <f t="shared" si="8"/>
        <v>4373</v>
      </c>
      <c r="T42" s="18">
        <f t="shared" si="9"/>
        <v>73</v>
      </c>
    </row>
    <row r="43" spans="1:20" ht="18.600000000000001" customHeight="1" x14ac:dyDescent="0.3">
      <c r="A43" s="11" t="s">
        <v>16</v>
      </c>
      <c r="B43" s="11" t="s">
        <v>18</v>
      </c>
      <c r="C43" s="11" t="s">
        <v>19</v>
      </c>
      <c r="D43" s="11" t="s">
        <v>48</v>
      </c>
      <c r="E43" s="11" t="s">
        <v>26</v>
      </c>
      <c r="F43" s="11">
        <v>182949</v>
      </c>
      <c r="G43" s="11">
        <v>984120</v>
      </c>
      <c r="H43" s="12"/>
      <c r="I43" s="11">
        <v>24001385</v>
      </c>
      <c r="J43" s="11">
        <v>295256</v>
      </c>
      <c r="K43" s="11">
        <v>5724</v>
      </c>
      <c r="L43" s="11">
        <v>0.35699999999999998</v>
      </c>
      <c r="M43" s="11">
        <v>0.35099999999999998</v>
      </c>
      <c r="N43" s="13">
        <f t="shared" si="5"/>
        <v>1.6806722689075647E-2</v>
      </c>
      <c r="O43" s="11">
        <f t="shared" si="6"/>
        <v>2043.4679999999998</v>
      </c>
      <c r="P43" s="11">
        <f t="shared" si="7"/>
        <v>34.34400000000003</v>
      </c>
      <c r="Q43" s="11">
        <v>2.1800000000000002</v>
      </c>
      <c r="R43" s="11" t="s">
        <v>35</v>
      </c>
      <c r="S43" s="14">
        <f t="shared" si="8"/>
        <v>4455</v>
      </c>
      <c r="T43" s="14">
        <f t="shared" si="9"/>
        <v>75</v>
      </c>
    </row>
    <row r="44" spans="1:20" ht="18.600000000000001" customHeight="1" x14ac:dyDescent="0.3">
      <c r="A44" s="15" t="s">
        <v>16</v>
      </c>
      <c r="B44" s="15" t="s">
        <v>18</v>
      </c>
      <c r="C44" s="15" t="s">
        <v>19</v>
      </c>
      <c r="D44" s="15" t="s">
        <v>48</v>
      </c>
      <c r="E44" s="15" t="s">
        <v>45</v>
      </c>
      <c r="F44" s="15">
        <v>182950</v>
      </c>
      <c r="G44" s="15">
        <v>984120</v>
      </c>
      <c r="H44" s="16"/>
      <c r="I44" s="15">
        <v>24001386</v>
      </c>
      <c r="J44" s="15">
        <v>295258</v>
      </c>
      <c r="K44" s="15">
        <v>720</v>
      </c>
      <c r="L44" s="15">
        <v>0.442</v>
      </c>
      <c r="M44" s="15">
        <v>0.42899999999999999</v>
      </c>
      <c r="N44" s="17">
        <f t="shared" si="5"/>
        <v>2.941176470588238E-2</v>
      </c>
      <c r="O44" s="15">
        <f t="shared" si="6"/>
        <v>318.24</v>
      </c>
      <c r="P44" s="15">
        <f t="shared" si="7"/>
        <v>9.3600000000000083</v>
      </c>
      <c r="Q44" s="15">
        <v>2.1800000000000002</v>
      </c>
      <c r="R44" s="15" t="s">
        <v>35</v>
      </c>
      <c r="S44" s="18">
        <f t="shared" si="8"/>
        <v>694</v>
      </c>
      <c r="T44" s="18">
        <f t="shared" si="9"/>
        <v>20</v>
      </c>
    </row>
    <row r="45" spans="1:20" ht="18.600000000000001" customHeight="1" x14ac:dyDescent="0.3">
      <c r="A45" s="11" t="s">
        <v>16</v>
      </c>
      <c r="B45" s="11" t="s">
        <v>18</v>
      </c>
      <c r="C45" s="11" t="s">
        <v>19</v>
      </c>
      <c r="D45" s="11" t="s">
        <v>53</v>
      </c>
      <c r="E45" s="11" t="s">
        <v>44</v>
      </c>
      <c r="F45" s="11">
        <v>182950</v>
      </c>
      <c r="G45" s="11">
        <v>984120</v>
      </c>
      <c r="H45" s="12"/>
      <c r="I45" s="11">
        <v>24001386</v>
      </c>
      <c r="J45" s="11">
        <v>295257</v>
      </c>
      <c r="K45" s="11">
        <v>720</v>
      </c>
      <c r="L45" s="11">
        <v>0.442</v>
      </c>
      <c r="M45" s="11">
        <v>0.42899999999999999</v>
      </c>
      <c r="N45" s="13">
        <f t="shared" si="5"/>
        <v>2.941176470588238E-2</v>
      </c>
      <c r="O45" s="11">
        <f t="shared" si="6"/>
        <v>318.24</v>
      </c>
      <c r="P45" s="11">
        <f t="shared" si="7"/>
        <v>9.3600000000000083</v>
      </c>
      <c r="Q45" s="11">
        <v>2.14</v>
      </c>
      <c r="R45" s="11" t="s">
        <v>35</v>
      </c>
      <c r="S45" s="14">
        <f t="shared" si="8"/>
        <v>681</v>
      </c>
      <c r="T45" s="14">
        <f t="shared" si="9"/>
        <v>20</v>
      </c>
    </row>
    <row r="46" spans="1:20" ht="18.600000000000001" customHeight="1" x14ac:dyDescent="0.3">
      <c r="A46" s="15" t="s">
        <v>16</v>
      </c>
      <c r="B46" s="15" t="s">
        <v>18</v>
      </c>
      <c r="C46" s="15" t="s">
        <v>19</v>
      </c>
      <c r="D46" s="15" t="s">
        <v>48</v>
      </c>
      <c r="E46" s="15" t="s">
        <v>26</v>
      </c>
      <c r="F46" s="15">
        <v>182950</v>
      </c>
      <c r="G46" s="15">
        <v>984120</v>
      </c>
      <c r="H46" s="16"/>
      <c r="I46" s="15">
        <v>24001386</v>
      </c>
      <c r="J46" s="15">
        <v>295256</v>
      </c>
      <c r="K46" s="15">
        <v>720</v>
      </c>
      <c r="L46" s="15">
        <v>0.442</v>
      </c>
      <c r="M46" s="15">
        <v>0.42899999999999999</v>
      </c>
      <c r="N46" s="17">
        <f t="shared" si="5"/>
        <v>2.941176470588238E-2</v>
      </c>
      <c r="O46" s="15">
        <f t="shared" si="6"/>
        <v>318.24</v>
      </c>
      <c r="P46" s="15">
        <f t="shared" si="7"/>
        <v>9.3600000000000083</v>
      </c>
      <c r="Q46" s="15">
        <v>2.1800000000000002</v>
      </c>
      <c r="R46" s="15" t="s">
        <v>35</v>
      </c>
      <c r="S46" s="18">
        <f t="shared" si="8"/>
        <v>694</v>
      </c>
      <c r="T46" s="18">
        <f t="shared" si="9"/>
        <v>20</v>
      </c>
    </row>
    <row r="47" spans="1:20" ht="18.600000000000001" customHeight="1" x14ac:dyDescent="0.3">
      <c r="A47" s="11" t="s">
        <v>16</v>
      </c>
      <c r="B47" s="11" t="s">
        <v>18</v>
      </c>
      <c r="C47" s="11" t="s">
        <v>19</v>
      </c>
      <c r="D47" s="11" t="s">
        <v>53</v>
      </c>
      <c r="E47" s="11" t="s">
        <v>46</v>
      </c>
      <c r="F47" s="11">
        <v>182951</v>
      </c>
      <c r="G47" s="11">
        <v>984120</v>
      </c>
      <c r="H47" s="12"/>
      <c r="I47" s="11">
        <v>24001387</v>
      </c>
      <c r="J47" s="11">
        <v>295259</v>
      </c>
      <c r="K47" s="11">
        <v>6696</v>
      </c>
      <c r="L47" s="11">
        <v>0.35699999999999998</v>
      </c>
      <c r="M47" s="11">
        <v>0.35099999999999998</v>
      </c>
      <c r="N47" s="13">
        <f t="shared" si="5"/>
        <v>1.6806722689075647E-2</v>
      </c>
      <c r="O47" s="11">
        <f t="shared" si="6"/>
        <v>2390.4719999999998</v>
      </c>
      <c r="P47" s="11">
        <f t="shared" si="7"/>
        <v>40.176000000000037</v>
      </c>
      <c r="Q47" s="11">
        <v>2.1800000000000002</v>
      </c>
      <c r="R47" s="11" t="s">
        <v>35</v>
      </c>
      <c r="S47" s="14">
        <f t="shared" si="8"/>
        <v>5211</v>
      </c>
      <c r="T47" s="14">
        <f t="shared" si="9"/>
        <v>88</v>
      </c>
    </row>
    <row r="48" spans="1:20" ht="18.600000000000001" customHeight="1" x14ac:dyDescent="0.3">
      <c r="A48" s="15" t="s">
        <v>16</v>
      </c>
      <c r="B48" s="15" t="s">
        <v>18</v>
      </c>
      <c r="C48" s="15" t="s">
        <v>19</v>
      </c>
      <c r="D48" s="15" t="s">
        <v>53</v>
      </c>
      <c r="E48" s="15" t="s">
        <v>57</v>
      </c>
      <c r="F48" s="15">
        <v>182951</v>
      </c>
      <c r="G48" s="15">
        <v>984120</v>
      </c>
      <c r="H48" s="16"/>
      <c r="I48" s="15">
        <v>24001387</v>
      </c>
      <c r="J48" s="15">
        <v>295260</v>
      </c>
      <c r="K48" s="15">
        <v>6696</v>
      </c>
      <c r="L48" s="15">
        <v>0.35699999999999998</v>
      </c>
      <c r="M48" s="15">
        <v>0.35099999999999998</v>
      </c>
      <c r="N48" s="17">
        <f t="shared" si="5"/>
        <v>1.6806722689075647E-2</v>
      </c>
      <c r="O48" s="15">
        <f t="shared" si="6"/>
        <v>2390.4719999999998</v>
      </c>
      <c r="P48" s="15">
        <f t="shared" si="7"/>
        <v>40.176000000000037</v>
      </c>
      <c r="Q48" s="15">
        <v>2.14</v>
      </c>
      <c r="R48" s="15" t="s">
        <v>35</v>
      </c>
      <c r="S48" s="18">
        <f t="shared" si="8"/>
        <v>5116</v>
      </c>
      <c r="T48" s="18">
        <f t="shared" si="9"/>
        <v>86</v>
      </c>
    </row>
    <row r="49" spans="1:20" ht="18.600000000000001" customHeight="1" x14ac:dyDescent="0.3">
      <c r="A49" s="11" t="s">
        <v>16</v>
      </c>
      <c r="B49" s="11" t="s">
        <v>18</v>
      </c>
      <c r="C49" s="11" t="s">
        <v>19</v>
      </c>
      <c r="D49" s="11" t="s">
        <v>53</v>
      </c>
      <c r="E49" s="11" t="s">
        <v>29</v>
      </c>
      <c r="F49" s="11">
        <v>182951</v>
      </c>
      <c r="G49" s="11">
        <v>984120</v>
      </c>
      <c r="H49" s="12"/>
      <c r="I49" s="11">
        <v>24001387</v>
      </c>
      <c r="J49" s="11">
        <v>295265</v>
      </c>
      <c r="K49" s="11">
        <v>6696</v>
      </c>
      <c r="L49" s="11">
        <v>0.35699999999999998</v>
      </c>
      <c r="M49" s="11">
        <v>0.35099999999999998</v>
      </c>
      <c r="N49" s="13">
        <f t="shared" si="5"/>
        <v>1.6806722689075647E-2</v>
      </c>
      <c r="O49" s="11">
        <f t="shared" si="6"/>
        <v>2390.4719999999998</v>
      </c>
      <c r="P49" s="11">
        <f t="shared" si="7"/>
        <v>40.176000000000037</v>
      </c>
      <c r="Q49" s="11">
        <v>2.1800000000000002</v>
      </c>
      <c r="R49" s="11" t="s">
        <v>35</v>
      </c>
      <c r="S49" s="14">
        <f t="shared" si="8"/>
        <v>5211</v>
      </c>
      <c r="T49" s="14">
        <f t="shared" si="9"/>
        <v>88</v>
      </c>
    </row>
    <row r="50" spans="1:20" ht="18.600000000000001" customHeight="1" x14ac:dyDescent="0.3">
      <c r="A50" s="15" t="s">
        <v>16</v>
      </c>
      <c r="B50" s="15" t="s">
        <v>18</v>
      </c>
      <c r="C50" s="15" t="s">
        <v>19</v>
      </c>
      <c r="D50" s="15" t="s">
        <v>53</v>
      </c>
      <c r="E50" s="15" t="s">
        <v>46</v>
      </c>
      <c r="F50" s="15">
        <v>182952</v>
      </c>
      <c r="G50" s="15">
        <v>984120</v>
      </c>
      <c r="H50" s="16"/>
      <c r="I50" s="15">
        <v>24001388</v>
      </c>
      <c r="J50" s="15">
        <v>295259</v>
      </c>
      <c r="K50" s="15">
        <v>720</v>
      </c>
      <c r="L50" s="15">
        <v>0.442</v>
      </c>
      <c r="M50" s="15">
        <v>0.42899999999999999</v>
      </c>
      <c r="N50" s="17">
        <f t="shared" si="5"/>
        <v>2.941176470588238E-2</v>
      </c>
      <c r="O50" s="15">
        <f t="shared" si="6"/>
        <v>318.24</v>
      </c>
      <c r="P50" s="15">
        <f t="shared" si="7"/>
        <v>9.3600000000000083</v>
      </c>
      <c r="Q50" s="15">
        <v>2.14</v>
      </c>
      <c r="R50" s="15" t="s">
        <v>35</v>
      </c>
      <c r="S50" s="18">
        <f t="shared" si="8"/>
        <v>681</v>
      </c>
      <c r="T50" s="18">
        <f t="shared" si="9"/>
        <v>20</v>
      </c>
    </row>
    <row r="51" spans="1:20" ht="18.600000000000001" customHeight="1" x14ac:dyDescent="0.3">
      <c r="A51" s="11" t="s">
        <v>16</v>
      </c>
      <c r="B51" s="11" t="s">
        <v>18</v>
      </c>
      <c r="C51" s="11" t="s">
        <v>19</v>
      </c>
      <c r="D51" s="11" t="s">
        <v>53</v>
      </c>
      <c r="E51" s="11" t="s">
        <v>57</v>
      </c>
      <c r="F51" s="11">
        <v>182952</v>
      </c>
      <c r="G51" s="11">
        <v>984120</v>
      </c>
      <c r="H51" s="12"/>
      <c r="I51" s="11">
        <v>24001388</v>
      </c>
      <c r="J51" s="11">
        <v>295260</v>
      </c>
      <c r="K51" s="11">
        <v>720</v>
      </c>
      <c r="L51" s="11">
        <v>0.442</v>
      </c>
      <c r="M51" s="11">
        <v>0.42899999999999999</v>
      </c>
      <c r="N51" s="13">
        <f t="shared" si="5"/>
        <v>2.941176470588238E-2</v>
      </c>
      <c r="O51" s="11">
        <f t="shared" si="6"/>
        <v>318.24</v>
      </c>
      <c r="P51" s="11">
        <f t="shared" si="7"/>
        <v>9.3600000000000083</v>
      </c>
      <c r="Q51" s="11">
        <v>2.14</v>
      </c>
      <c r="R51" s="11" t="s">
        <v>35</v>
      </c>
      <c r="S51" s="14">
        <f t="shared" si="8"/>
        <v>681</v>
      </c>
      <c r="T51" s="14">
        <f t="shared" si="9"/>
        <v>20</v>
      </c>
    </row>
    <row r="52" spans="1:20" ht="18.600000000000001" customHeight="1" x14ac:dyDescent="0.3">
      <c r="A52" s="15" t="s">
        <v>16</v>
      </c>
      <c r="B52" s="15" t="s">
        <v>18</v>
      </c>
      <c r="C52" s="15" t="s">
        <v>19</v>
      </c>
      <c r="D52" s="15" t="s">
        <v>53</v>
      </c>
      <c r="E52" s="15" t="s">
        <v>29</v>
      </c>
      <c r="F52" s="15">
        <v>182952</v>
      </c>
      <c r="G52" s="15">
        <v>984120</v>
      </c>
      <c r="H52" s="16"/>
      <c r="I52" s="15">
        <v>24001388</v>
      </c>
      <c r="J52" s="15">
        <v>295265</v>
      </c>
      <c r="K52" s="15">
        <v>720</v>
      </c>
      <c r="L52" s="15">
        <v>0.442</v>
      </c>
      <c r="M52" s="15">
        <v>0.42899999999999999</v>
      </c>
      <c r="N52" s="17">
        <f t="shared" si="5"/>
        <v>2.941176470588238E-2</v>
      </c>
      <c r="O52" s="15">
        <f t="shared" si="6"/>
        <v>318.24</v>
      </c>
      <c r="P52" s="15">
        <f t="shared" si="7"/>
        <v>9.3600000000000083</v>
      </c>
      <c r="Q52" s="15">
        <v>2.1800000000000002</v>
      </c>
      <c r="R52" s="15" t="s">
        <v>35</v>
      </c>
      <c r="S52" s="18">
        <f t="shared" si="8"/>
        <v>694</v>
      </c>
      <c r="T52" s="18">
        <f t="shared" si="9"/>
        <v>20</v>
      </c>
    </row>
    <row r="53" spans="1:20" ht="18.600000000000001" customHeight="1" x14ac:dyDescent="0.3">
      <c r="A53" s="11"/>
      <c r="B53" s="11"/>
      <c r="C53" s="11"/>
      <c r="D53" s="11"/>
      <c r="E53" s="11"/>
      <c r="F53" s="11"/>
      <c r="G53" s="11"/>
      <c r="H53" s="12"/>
      <c r="I53" s="11"/>
      <c r="J53" s="11"/>
      <c r="K53" s="11"/>
      <c r="L53" s="11"/>
      <c r="M53" s="11"/>
      <c r="N53" s="13"/>
      <c r="O53" s="11"/>
      <c r="P53" s="11"/>
      <c r="Q53" s="11"/>
      <c r="R53" s="11"/>
      <c r="S53" s="14">
        <f>SUM(S3:S52)</f>
        <v>107444</v>
      </c>
      <c r="T53" s="14">
        <f>SUM(T3:T52)</f>
        <v>-164</v>
      </c>
    </row>
    <row r="54" spans="1:20" s="34" customFormat="1" ht="15" x14ac:dyDescent="0.2">
      <c r="A54" s="30"/>
      <c r="B54" s="30"/>
      <c r="C54" s="30"/>
      <c r="D54" s="30"/>
      <c r="E54" s="30"/>
      <c r="F54" s="30"/>
      <c r="G54" s="30"/>
      <c r="H54" s="31"/>
      <c r="I54" s="30"/>
      <c r="J54" s="30"/>
      <c r="K54" s="30"/>
      <c r="L54" s="30"/>
      <c r="M54" s="30"/>
      <c r="N54" s="32"/>
      <c r="O54" s="30"/>
      <c r="P54" s="30"/>
      <c r="Q54" s="30"/>
      <c r="R54" s="30"/>
      <c r="S54" s="30"/>
      <c r="T54" s="33">
        <f>T53/S53</f>
        <v>-1.526376531030118E-3</v>
      </c>
    </row>
  </sheetData>
  <autoFilter ref="A2:T54" xr:uid="{E5B7CA15-9907-4B27-BC0F-C7C83E520B2C}"/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2024-08-06T02:57:40Z</dcterms:modified>
</cp:coreProperties>
</file>