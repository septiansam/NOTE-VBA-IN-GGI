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ACRO MA\BACKUP\12-JULI-2024\DEV\"/>
    </mc:Choice>
  </mc:AlternateContent>
  <xr:revisionPtr revIDLastSave="0" documentId="13_ncr:1_{0901B179-E361-46FE-A727-60BA23431E78}" xr6:coauthVersionLast="47" xr6:coauthVersionMax="47" xr10:uidLastSave="{00000000-0000-0000-0000-000000000000}"/>
  <bookViews>
    <workbookView xWindow="-120" yWindow="-120" windowWidth="20730" windowHeight="11160" firstSheet="1" activeTab="1" xr2:uid="{50D7AE4F-D911-4AB4-811B-56CE704B63E8}"/>
  </bookViews>
  <sheets>
    <sheet name="TEMPLATE" sheetId="1" state="hidden" r:id="rId1"/>
    <sheet name="BUTTON" sheetId="11" r:id="rId2"/>
    <sheet name="PROCESSED" sheetId="8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" i="83" l="1"/>
  <c r="S86" i="83"/>
  <c r="T87" i="83" s="1"/>
  <c r="T86" i="83"/>
  <c r="T3" i="83"/>
  <c r="T4" i="83"/>
  <c r="T5" i="83"/>
  <c r="T6" i="83"/>
  <c r="T7" i="83"/>
  <c r="T8" i="83"/>
  <c r="T9" i="83"/>
  <c r="T10" i="83"/>
  <c r="T11" i="83"/>
  <c r="T12" i="83"/>
  <c r="T13" i="83"/>
  <c r="T14" i="83"/>
  <c r="T15" i="83"/>
  <c r="T16" i="83"/>
  <c r="T17" i="83"/>
  <c r="T18" i="83"/>
  <c r="T19" i="83"/>
  <c r="T20" i="83"/>
  <c r="T21" i="83"/>
  <c r="T22" i="83"/>
  <c r="T23" i="83"/>
  <c r="T24" i="83"/>
  <c r="T25" i="83"/>
  <c r="T26" i="83"/>
  <c r="T27" i="83"/>
  <c r="T28" i="83"/>
  <c r="T29" i="83"/>
  <c r="T30" i="83"/>
  <c r="T31" i="83"/>
  <c r="T32" i="83"/>
  <c r="T33" i="83"/>
  <c r="T34" i="83"/>
  <c r="T35" i="83"/>
  <c r="T36" i="83"/>
  <c r="T37" i="83"/>
  <c r="T38" i="83"/>
  <c r="T39" i="83"/>
  <c r="T40" i="83"/>
  <c r="T41" i="83"/>
  <c r="T42" i="83"/>
  <c r="T43" i="83"/>
  <c r="T44" i="83"/>
  <c r="T45" i="83"/>
  <c r="T46" i="83"/>
  <c r="T47" i="83"/>
  <c r="T48" i="83"/>
  <c r="T49" i="83"/>
  <c r="T50" i="83"/>
  <c r="T51" i="83"/>
  <c r="T52" i="83"/>
  <c r="T53" i="83"/>
  <c r="T54" i="83"/>
  <c r="T55" i="83"/>
  <c r="T56" i="83"/>
  <c r="T57" i="83"/>
  <c r="T58" i="83"/>
  <c r="T59" i="83"/>
  <c r="T60" i="83"/>
  <c r="T61" i="83"/>
  <c r="T62" i="83"/>
  <c r="T63" i="83"/>
  <c r="T64" i="83"/>
  <c r="T65" i="83"/>
  <c r="T66" i="83"/>
  <c r="T67" i="83"/>
  <c r="T68" i="83"/>
  <c r="T69" i="83"/>
  <c r="T70" i="83"/>
  <c r="T71" i="83"/>
  <c r="T72" i="83"/>
  <c r="T73" i="83"/>
  <c r="T74" i="83"/>
  <c r="T75" i="83"/>
  <c r="T76" i="83"/>
  <c r="T77" i="83"/>
  <c r="T78" i="83"/>
  <c r="T79" i="83"/>
  <c r="T80" i="83"/>
  <c r="T81" i="83"/>
  <c r="T82" i="83"/>
  <c r="T83" i="83"/>
  <c r="T84" i="83"/>
  <c r="T85" i="83"/>
  <c r="S4" i="83"/>
  <c r="S5" i="83"/>
  <c r="S6" i="83"/>
  <c r="S7" i="83"/>
  <c r="S8" i="83"/>
  <c r="S9" i="83"/>
  <c r="S10" i="83"/>
  <c r="S11" i="83"/>
  <c r="S12" i="83"/>
  <c r="S13" i="83"/>
  <c r="S14" i="83"/>
  <c r="S15" i="83"/>
  <c r="S16" i="83"/>
  <c r="S17" i="83"/>
  <c r="S18" i="83"/>
  <c r="S19" i="83"/>
  <c r="S20" i="83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40" i="83"/>
  <c r="S41" i="83"/>
  <c r="S42" i="83"/>
  <c r="S43" i="83"/>
  <c r="S44" i="83"/>
  <c r="S45" i="83"/>
  <c r="S46" i="83"/>
  <c r="S47" i="83"/>
  <c r="S48" i="83"/>
  <c r="S49" i="83"/>
  <c r="S50" i="83"/>
  <c r="S51" i="83"/>
  <c r="S52" i="83"/>
  <c r="S53" i="83"/>
  <c r="S54" i="83"/>
  <c r="S55" i="83"/>
  <c r="S56" i="83"/>
  <c r="S57" i="83"/>
  <c r="S58" i="83"/>
  <c r="S59" i="83"/>
  <c r="S60" i="83"/>
  <c r="S61" i="83"/>
  <c r="S62" i="83"/>
  <c r="S63" i="83"/>
  <c r="S64" i="83"/>
  <c r="S65" i="83"/>
  <c r="S66" i="83"/>
  <c r="S67" i="83"/>
  <c r="S68" i="83"/>
  <c r="S69" i="83"/>
  <c r="S70" i="83"/>
  <c r="S71" i="83"/>
  <c r="S72" i="83"/>
  <c r="S73" i="83"/>
  <c r="S74" i="83"/>
  <c r="S75" i="83"/>
  <c r="S76" i="83"/>
  <c r="S77" i="83"/>
  <c r="S78" i="83"/>
  <c r="S79" i="83"/>
  <c r="S80" i="83"/>
  <c r="S81" i="83"/>
  <c r="S82" i="83"/>
  <c r="S83" i="83"/>
  <c r="S84" i="83"/>
  <c r="S85" i="83"/>
  <c r="P3" i="83"/>
  <c r="P4" i="83"/>
  <c r="P5" i="83"/>
  <c r="P6" i="83"/>
  <c r="P7" i="83"/>
  <c r="P8" i="83"/>
  <c r="P9" i="83"/>
  <c r="P10" i="83"/>
  <c r="P11" i="83"/>
  <c r="P12" i="83"/>
  <c r="P13" i="83"/>
  <c r="P14" i="83"/>
  <c r="P15" i="83"/>
  <c r="P16" i="83"/>
  <c r="P17" i="83"/>
  <c r="P18" i="83"/>
  <c r="P19" i="83"/>
  <c r="P20" i="83"/>
  <c r="P21" i="83"/>
  <c r="P22" i="83"/>
  <c r="P23" i="83"/>
  <c r="P24" i="83"/>
  <c r="P25" i="83"/>
  <c r="P26" i="83"/>
  <c r="P27" i="83"/>
  <c r="P28" i="83"/>
  <c r="P29" i="83"/>
  <c r="P30" i="83"/>
  <c r="P31" i="83"/>
  <c r="P32" i="83"/>
  <c r="P33" i="83"/>
  <c r="P34" i="83"/>
  <c r="P35" i="83"/>
  <c r="P36" i="83"/>
  <c r="P37" i="83"/>
  <c r="P38" i="83"/>
  <c r="P39" i="83"/>
  <c r="P40" i="83"/>
  <c r="P41" i="83"/>
  <c r="P42" i="83"/>
  <c r="P43" i="83"/>
  <c r="P44" i="83"/>
  <c r="P45" i="83"/>
  <c r="P46" i="83"/>
  <c r="P47" i="83"/>
  <c r="P48" i="83"/>
  <c r="P49" i="83"/>
  <c r="P50" i="83"/>
  <c r="P51" i="83"/>
  <c r="P52" i="83"/>
  <c r="P53" i="83"/>
  <c r="P54" i="83"/>
  <c r="P55" i="83"/>
  <c r="P56" i="83"/>
  <c r="P57" i="83"/>
  <c r="P58" i="83"/>
  <c r="P59" i="83"/>
  <c r="P60" i="83"/>
  <c r="P61" i="83"/>
  <c r="P62" i="83"/>
  <c r="P63" i="83"/>
  <c r="P64" i="83"/>
  <c r="P65" i="83"/>
  <c r="P66" i="83"/>
  <c r="P67" i="83"/>
  <c r="P68" i="83"/>
  <c r="P69" i="83"/>
  <c r="P70" i="83"/>
  <c r="P71" i="83"/>
  <c r="P72" i="83"/>
  <c r="P73" i="83"/>
  <c r="P74" i="83"/>
  <c r="P75" i="83"/>
  <c r="P76" i="83"/>
  <c r="P77" i="83"/>
  <c r="P78" i="83"/>
  <c r="P79" i="83"/>
  <c r="P80" i="83"/>
  <c r="P81" i="83"/>
  <c r="P82" i="83"/>
  <c r="P83" i="83"/>
  <c r="P84" i="83"/>
  <c r="P85" i="83"/>
  <c r="O3" i="83"/>
  <c r="O4" i="83"/>
  <c r="O5" i="83"/>
  <c r="O6" i="83"/>
  <c r="O7" i="83"/>
  <c r="O8" i="83"/>
  <c r="O9" i="83"/>
  <c r="O10" i="83"/>
  <c r="O11" i="83"/>
  <c r="O12" i="83"/>
  <c r="O13" i="83"/>
  <c r="O14" i="83"/>
  <c r="O15" i="83"/>
  <c r="O16" i="83"/>
  <c r="O17" i="83"/>
  <c r="O18" i="83"/>
  <c r="O19" i="83"/>
  <c r="O20" i="83"/>
  <c r="O21" i="83"/>
  <c r="O22" i="83"/>
  <c r="O23" i="83"/>
  <c r="O24" i="83"/>
  <c r="O25" i="83"/>
  <c r="O26" i="83"/>
  <c r="O27" i="83"/>
  <c r="O28" i="83"/>
  <c r="O29" i="83"/>
  <c r="O30" i="83"/>
  <c r="O31" i="83"/>
  <c r="O32" i="83"/>
  <c r="O33" i="83"/>
  <c r="O34" i="83"/>
  <c r="O35" i="83"/>
  <c r="O36" i="83"/>
  <c r="O37" i="83"/>
  <c r="O38" i="83"/>
  <c r="O39" i="83"/>
  <c r="O40" i="83"/>
  <c r="O41" i="83"/>
  <c r="O42" i="83"/>
  <c r="O43" i="83"/>
  <c r="O44" i="83"/>
  <c r="O45" i="83"/>
  <c r="O46" i="83"/>
  <c r="O47" i="83"/>
  <c r="O48" i="83"/>
  <c r="O49" i="83"/>
  <c r="O50" i="83"/>
  <c r="O51" i="83"/>
  <c r="O52" i="83"/>
  <c r="O53" i="83"/>
  <c r="O54" i="83"/>
  <c r="O55" i="83"/>
  <c r="O56" i="83"/>
  <c r="O57" i="83"/>
  <c r="O58" i="83"/>
  <c r="O59" i="83"/>
  <c r="O60" i="83"/>
  <c r="O61" i="83"/>
  <c r="O62" i="83"/>
  <c r="O63" i="83"/>
  <c r="O64" i="83"/>
  <c r="O65" i="83"/>
  <c r="O66" i="83"/>
  <c r="O67" i="83"/>
  <c r="O68" i="83"/>
  <c r="O69" i="83"/>
  <c r="O70" i="83"/>
  <c r="O71" i="83"/>
  <c r="O72" i="83"/>
  <c r="O73" i="83"/>
  <c r="O74" i="83"/>
  <c r="O75" i="83"/>
  <c r="O76" i="83"/>
  <c r="O77" i="83"/>
  <c r="O78" i="83"/>
  <c r="O79" i="83"/>
  <c r="O80" i="83"/>
  <c r="O81" i="83"/>
  <c r="O82" i="83"/>
  <c r="O83" i="83"/>
  <c r="O84" i="83"/>
  <c r="O85" i="83"/>
  <c r="N3" i="83"/>
  <c r="N4" i="83"/>
  <c r="N5" i="83"/>
  <c r="N6" i="83"/>
  <c r="N7" i="83"/>
  <c r="N8" i="83"/>
  <c r="N9" i="83"/>
  <c r="N10" i="83"/>
  <c r="N11" i="83"/>
  <c r="N12" i="83"/>
  <c r="N13" i="83"/>
  <c r="N14" i="83"/>
  <c r="N15" i="83"/>
  <c r="N16" i="83"/>
  <c r="N17" i="83"/>
  <c r="N18" i="83"/>
  <c r="N19" i="83"/>
  <c r="N20" i="83"/>
  <c r="N21" i="83"/>
  <c r="N22" i="83"/>
  <c r="N23" i="83"/>
  <c r="N24" i="83"/>
  <c r="N25" i="83"/>
  <c r="N26" i="83"/>
  <c r="N27" i="83"/>
  <c r="N28" i="83"/>
  <c r="N29" i="83"/>
  <c r="N30" i="83"/>
  <c r="N31" i="83"/>
  <c r="N32" i="83"/>
  <c r="N33" i="83"/>
  <c r="N34" i="83"/>
  <c r="N35" i="83"/>
  <c r="N36" i="83"/>
  <c r="N37" i="83"/>
  <c r="N38" i="83"/>
  <c r="N39" i="83"/>
  <c r="N40" i="83"/>
  <c r="N41" i="83"/>
  <c r="N42" i="83"/>
  <c r="N43" i="83"/>
  <c r="N44" i="83"/>
  <c r="N45" i="83"/>
  <c r="N46" i="83"/>
  <c r="N47" i="83"/>
  <c r="N48" i="83"/>
  <c r="N49" i="83"/>
  <c r="N50" i="83"/>
  <c r="N51" i="83"/>
  <c r="N52" i="83"/>
  <c r="N53" i="83"/>
  <c r="N54" i="83"/>
  <c r="N55" i="83"/>
  <c r="N56" i="83"/>
  <c r="N57" i="83"/>
  <c r="N58" i="83"/>
  <c r="N59" i="83"/>
  <c r="N60" i="83"/>
  <c r="N61" i="83"/>
  <c r="N62" i="83"/>
  <c r="N63" i="83"/>
  <c r="N64" i="83"/>
  <c r="N65" i="83"/>
  <c r="N66" i="83"/>
  <c r="N67" i="83"/>
  <c r="N68" i="83"/>
  <c r="N69" i="83"/>
  <c r="N70" i="83"/>
  <c r="N71" i="83"/>
  <c r="N72" i="83"/>
  <c r="N73" i="83"/>
  <c r="N74" i="83"/>
  <c r="N75" i="83"/>
  <c r="N76" i="83"/>
  <c r="N77" i="83"/>
  <c r="N78" i="83"/>
  <c r="N79" i="83"/>
  <c r="N80" i="83"/>
  <c r="N81" i="83"/>
  <c r="N82" i="83"/>
  <c r="N83" i="83"/>
  <c r="N84" i="83"/>
  <c r="N85" i="83"/>
</calcChain>
</file>

<file path=xl/sharedStrings.xml><?xml version="1.0" encoding="utf-8"?>
<sst xmlns="http://schemas.openxmlformats.org/spreadsheetml/2006/main" count="564" uniqueCount="105">
  <si>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</si>
  <si>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</si>
  <si>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</si>
  <si>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</si>
  <si>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</si>
  <si>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</si>
  <si>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</si>
  <si>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</si>
  <si>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</si>
  <si>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</si>
  <si>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</si>
  <si>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</si>
  <si>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</si>
  <si>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</si>
  <si>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</si>
  <si>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</si>
  <si>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KALIBENDA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</si>
  <si>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</si>
  <si>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</si>
  <si>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</si>
  <si>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</si>
  <si>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</si>
  <si>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</si>
  <si>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</si>
  <si>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</si>
  <si>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</si>
  <si>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BLACK</t>
  </si>
  <si>
    <t>ONIX</t>
  </si>
  <si>
    <t xml:space="preserve">    </t>
  </si>
  <si>
    <t>GREY</t>
  </si>
  <si>
    <t>MA Lectra VS Aktual Produksi Flex Offer</t>
  </si>
  <si>
    <t>PATH FILE SUMBER</t>
  </si>
  <si>
    <t>NAMA FILE</t>
  </si>
  <si>
    <t>EXT. FILE</t>
  </si>
  <si>
    <t>PATH FILE HASIL</t>
  </si>
  <si>
    <t>\\10.8.0.35\Bersama\IT\RPA 00\INPUT USER</t>
  </si>
  <si>
    <t>YD</t>
  </si>
  <si>
    <t>Monitoring Pemakaian Fabric Dari Hasil Cutting PERMINGGU</t>
  </si>
  <si>
    <t>\\10.8.0.35\bersama\IT\RPA 00\MACRO MA\HASIL MAKRO</t>
  </si>
  <si>
    <t>REDWING</t>
  </si>
  <si>
    <t>LINING</t>
  </si>
  <si>
    <t>POUCH</t>
  </si>
  <si>
    <t>MT</t>
  </si>
  <si>
    <t>COLLEGIATE ROYAL</t>
  </si>
  <si>
    <t>COLLEGIATE NAVY</t>
  </si>
  <si>
    <t>CREW BLUE</t>
  </si>
  <si>
    <t>GM1</t>
  </si>
  <si>
    <t>HASTE GREY-CARBON-BLACK</t>
  </si>
  <si>
    <t>ACCELERATE ONIX-BLACK</t>
  </si>
  <si>
    <t>ACCELERATE SILVER PEBBLE-OLIVE STRATA</t>
  </si>
  <si>
    <t>983459 – A</t>
  </si>
  <si>
    <t>983459 – D</t>
  </si>
  <si>
    <t>983459 – E</t>
  </si>
  <si>
    <t>GM2</t>
  </si>
  <si>
    <t>SPRINT BETTER SCARLET-ACTIVE MAROON</t>
  </si>
  <si>
    <t>CARBON</t>
  </si>
  <si>
    <t>BLACK/ONIX</t>
  </si>
  <si>
    <t>SEMI LUCID BLUE</t>
  </si>
  <si>
    <t>BETTER SCARLET</t>
  </si>
  <si>
    <t>TEAM ROYAL BLUE</t>
  </si>
  <si>
    <t>LEGEND INK</t>
  </si>
  <si>
    <t>BLACK/DIAGONAL RIB BLACK ONIX P4</t>
  </si>
  <si>
    <t>YARD</t>
  </si>
  <si>
    <t>SUPPLIER [RPA]</t>
  </si>
  <si>
    <t>BLACK1</t>
  </si>
  <si>
    <t>BLACK2</t>
  </si>
  <si>
    <t>BLACK3</t>
  </si>
  <si>
    <t>DIGI CAMO BLACK-ONIX</t>
  </si>
  <si>
    <t>DIGI CAMO SILVER PEBBLE-SEMI GREEN SPARK</t>
  </si>
  <si>
    <t>SILVER PEBBLE</t>
  </si>
  <si>
    <t>DIGI CAMO BETTER SCARLET-BRIGHT RED</t>
  </si>
  <si>
    <t>OLIVE STRATA</t>
  </si>
  <si>
    <t>BLACK/TR BLUE</t>
  </si>
  <si>
    <t>BLACK/MINT TONE</t>
  </si>
  <si>
    <t>BLACK/BETTER SCARLET</t>
  </si>
  <si>
    <t>WONDER BEIGE</t>
  </si>
  <si>
    <t>GHOST LEGEND INK-TECH INDIGO</t>
  </si>
  <si>
    <t>COLLEGIATE GREEN</t>
  </si>
  <si>
    <t>ROYAL BLUE</t>
  </si>
  <si>
    <t>983375 – C</t>
  </si>
  <si>
    <t>982981 – C</t>
  </si>
  <si>
    <t>982981 – D</t>
  </si>
  <si>
    <t>982979 – A</t>
  </si>
  <si>
    <t>982979 – B</t>
  </si>
  <si>
    <t>982979 – C</t>
  </si>
  <si>
    <t>983462 – E</t>
  </si>
  <si>
    <t>983462 – F</t>
  </si>
  <si>
    <t>983462 – G</t>
  </si>
  <si>
    <t>983462 – H</t>
  </si>
  <si>
    <t>983462 – J</t>
  </si>
  <si>
    <t>61105-54</t>
  </si>
  <si>
    <t>OR# [RPA]</t>
  </si>
  <si>
    <t>UNIT PRICE [RPA]</t>
  </si>
  <si>
    <t>JIANGSU DINGXIN</t>
  </si>
  <si>
    <t>SPRINT SEMI LUCID BLUE-LEGEND INK</t>
  </si>
  <si>
    <t>BLACK / TEAM ROYAL BLUE P1</t>
  </si>
  <si>
    <t>BLACK / MINT TONE P2</t>
  </si>
  <si>
    <t>BLACK / BETTER SCARLET P3</t>
  </si>
  <si>
    <t>BLACK/SHADOW LOGO BLACK P1</t>
  </si>
  <si>
    <t>BLACK/DIAGONAL RIB BLACK P2</t>
  </si>
  <si>
    <t>BLACK/SHADOW LOGO BLACK ONIX P3</t>
  </si>
  <si>
    <t>EIGERINDO</t>
  </si>
  <si>
    <t>JALA/FURING</t>
  </si>
  <si>
    <t>OLIVE</t>
  </si>
  <si>
    <t>X-MOVETRACK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</si>
</sst>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[Red]0.0%"/>
    <numFmt numFmtId="165" formatCode="_(&quot;$&quot;* #,##0.0000_);[Red]_(&quot;$&quot;* \(#,##0.0000\);_(&quot;$&quot;* &quot;-&quot;??_);_(@_)"/>
    <numFmt numFmtId="166" formatCode="_(&quot;$&quot;* #,##0.00_);[Red]_(&quot;$&quot;* \(#,##0.00\);_(&quot;$&quot;* &quot;-&quot;??_);_(@_)"/>
    <numFmt numFmtId="167" formatCode="0.0%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rgb="FFFFFFFF"/>
      <name val="Trebuchet MS"/>
      <family val="2"/>
    </font>
    <font>
      <b/>
      <sz val="11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7F8F9"/>
        <bgColor rgb="FFF7EFFF"/>
      </patternFill>
    </fill>
    <fill>
      <patternFill patternType="solid">
        <fgColor rgb="FF34828C"/>
        <bgColor rgb="FFF7EFFF"/>
      </patternFill>
    </fill>
    <fill>
      <patternFill patternType="solid">
        <fgColor rgb="FF46ADB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164" fontId="2" fillId="0" borderId="0" xfId="0" applyNumberFormat="1" applyFont="1"/>
    <xf numFmtId="166" fontId="2" fillId="0" borderId="0" xfId="0" applyNumberFormat="1" applyFont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6" fontId="4" fillId="3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164" fontId="2" fillId="2" borderId="1" xfId="0" applyNumberFormat="1" applyFont="1" applyFill="1" applyBorder="1"/>
    <xf numFmtId="165" fontId="2" fillId="2" borderId="1" xfId="0" applyNumberFormat="1" applyFont="1" applyFill="1" applyBorder="1"/>
    <xf numFmtId="166" fontId="2" fillId="2" borderId="1" xfId="0" applyNumberFormat="1" applyFont="1" applyFill="1" applyBorder="1"/>
    <xf numFmtId="0" fontId="2" fillId="4" borderId="1" xfId="0" applyFont="1" applyFill="1" applyBorder="1"/>
    <xf numFmtId="0" fontId="0" fillId="4" borderId="1" xfId="0" applyFill="1" applyBorder="1" applyAlignment="1">
      <alignment horizontal="center" vertical="center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166" fontId="2" fillId="4" borderId="1" xfId="0" applyNumberFormat="1" applyFont="1" applyFill="1" applyBorder="1"/>
    <xf numFmtId="0" fontId="2" fillId="0" borderId="1" xfId="0" applyFont="1" applyBorder="1"/>
    <xf numFmtId="0" fontId="0" fillId="0" borderId="1" xfId="0" applyBorder="1" applyAlignment="1">
      <alignment horizontal="center" vertical="center"/>
    </xf>
    <xf numFmtId="164" fontId="2" fillId="0" borderId="1" xfId="0" applyNumberFormat="1" applyFont="1" applyBorder="1"/>
    <xf numFmtId="167" fontId="2" fillId="0" borderId="1" xfId="0" applyNumberFormat="1" applyFont="1" applyBorder="1"/>
    <xf numFmtId="0" fontId="5" fillId="0" borderId="0" xfId="0" applyFont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0" borderId="8" xfId="1" applyBorder="1"/>
    <xf numFmtId="0" fontId="0" fillId="0" borderId="9" xfId="0" applyBorder="1"/>
    <xf numFmtId="0" fontId="0" fillId="0" borderId="10" xfId="0" applyBorder="1"/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6ADB8"/>
      <color rgb="FF66BDC6"/>
      <color rgb="FF1F4C51"/>
      <color rgb="FFE7F8F9"/>
      <color rgb="FFDEF5F6"/>
      <color rgb="FFD6F2ED"/>
      <color rgb="FFE1F2F3"/>
      <color rgb="FF204F54"/>
      <color rgb="FF29676D"/>
      <color rgb="FF3484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9</xdr:row>
      <xdr:rowOff>180975</xdr:rowOff>
    </xdr:from>
    <xdr:to>
      <xdr:col>2</xdr:col>
      <xdr:colOff>361950</xdr:colOff>
      <xdr:row>12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2EC7CC5-1B09-53C7-2C48-8BE671DB6F65}"/>
            </a:ext>
          </a:extLst>
        </xdr:cNvPr>
        <xdr:cNvSpPr/>
      </xdr:nvSpPr>
      <xdr:spPr>
        <a:xfrm>
          <a:off x="714375" y="2000250"/>
          <a:ext cx="1466850" cy="514350"/>
        </a:xfrm>
        <a:prstGeom prst="roundRect">
          <a:avLst/>
        </a:prstGeom>
        <a:solidFill>
          <a:srgbClr val="66BDC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harsh" dir="t"/>
        </a:scene3d>
        <a:sp3d contourW="25400" prstMaterial="matte">
          <a:bevelT w="717550" h="114300" prst="coolSlant"/>
          <a:bevelB w="158750" prst="relaxedInset"/>
          <a:contourClr>
            <a:srgbClr val="46ADB8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Century Gothic" panose="020B0502020202020204" pitchFamily="34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../INPUT%20USE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>
    <tabColor rgb="FF22C0C3"/>
  </sheetPr>
  <dimension ref="A1:T2"/>
  <sheetViews>
    <sheetView topLeftCell="H1" workbookViewId="0">
      <selection activeCell="S2" sqref="S2"/>
    </sheetView>
  </sheetViews>
  <sheetFormatPr defaultRowHeight="16.5" x14ac:dyDescent="0.3"/>
  <cols>
    <col min="1" max="1" width="15.42578125" style="3" customWidth="1"/>
    <col min="2" max="2" width="14.7109375" style="3" customWidth="1"/>
    <col min="3" max="3" width="17.85546875" style="3" customWidth="1"/>
    <col min="4" max="4" width="18.140625" style="3" customWidth="1"/>
    <col min="5" max="5" width="11.85546875" style="3" bestFit="1" customWidth="1"/>
    <col min="6" max="8" width="16.5703125" style="3" customWidth="1"/>
    <col min="9" max="10" width="9.140625" style="3"/>
    <col min="11" max="11" width="17.85546875" style="3" customWidth="1"/>
    <col min="12" max="12" width="16" style="3" bestFit="1" customWidth="1"/>
    <col min="13" max="16" width="16.28515625" style="3" customWidth="1"/>
    <col min="17" max="17" width="15.7109375" style="3" bestFit="1" customWidth="1"/>
    <col min="18" max="18" width="11.5703125" style="3" bestFit="1" customWidth="1"/>
    <col min="19" max="19" width="16" style="3" bestFit="1" customWidth="1"/>
    <col min="20" max="20" width="22.28515625" style="3" customWidth="1"/>
    <col min="21" max="16384" width="9.140625" style="3"/>
  </cols>
  <sheetData>
    <row r="1" spans="1:20" customFormat="1" ht="15" x14ac:dyDescent="0.25">
      <c r="L1" t="s">
        <v>12</v>
      </c>
      <c r="M1" t="s">
        <v>13</v>
      </c>
    </row>
    <row r="2" spans="1:20" s="1" customFormat="1" ht="60.75" customHeight="1" x14ac:dyDescent="0.25">
      <c r="A2" s="2" t="s">
        <v>7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20</v>
      </c>
      <c r="H2" s="1" t="s">
        <v>8</v>
      </c>
      <c r="I2" s="2" t="s">
        <v>5</v>
      </c>
      <c r="J2" s="2" t="s">
        <v>6</v>
      </c>
      <c r="K2" s="1" t="s">
        <v>9</v>
      </c>
      <c r="L2" s="2" t="s">
        <v>10</v>
      </c>
      <c r="M2" s="1" t="s">
        <v>11</v>
      </c>
      <c r="N2" s="1" t="s">
        <v>21</v>
      </c>
      <c r="O2" s="1" t="s">
        <v>22</v>
      </c>
      <c r="P2" s="1" t="s">
        <v>23</v>
      </c>
      <c r="Q2" s="2" t="s">
        <v>14</v>
      </c>
      <c r="R2" s="1" t="s">
        <v>24</v>
      </c>
      <c r="S2" s="2" t="s">
        <v>10</v>
      </c>
      <c r="T2" s="1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>
    <tabColor rgb="FF7F0497"/>
  </sheetPr>
  <dimension ref="B2:G8"/>
  <sheetViews>
    <sheetView showGridLines="0" tabSelected="1" workbookViewId="0"/>
  </sheetViews>
  <sheetFormatPr defaultRowHeight="15" x14ac:dyDescent="0.25"/>
  <cols>
    <col min="2" max="2" width="18.140625" bestFit="1" customWidth="1"/>
    <col min="5" max="5" width="40.28515625" bestFit="1" customWidth="1"/>
    <col min="6" max="6" width="55.140625" bestFit="1" customWidth="1"/>
    <col min="7" max="7" width="9.28515625" bestFit="1" customWidth="1"/>
  </cols>
  <sheetData>
    <row r="2" spans="2:7" ht="15.75" thickBot="1" x14ac:dyDescent="0.3"/>
    <row r="3" spans="2:7" ht="20.25" customHeight="1" x14ac:dyDescent="0.25">
      <c r="B3" s="26" t="s">
        <v>15</v>
      </c>
      <c r="C3" s="25"/>
      <c r="D3" s="25"/>
      <c r="E3" s="29" t="s">
        <v>31</v>
      </c>
      <c r="F3" s="30" t="s">
        <v>32</v>
      </c>
      <c r="G3" s="31" t="s">
        <v>33</v>
      </c>
    </row>
    <row r="4" spans="2:7" ht="15.75" thickBot="1" x14ac:dyDescent="0.3">
      <c r="B4" s="27" t="s">
        <v>46</v>
      </c>
      <c r="E4" s="32" t="s">
        <v>35</v>
      </c>
      <c r="F4" s="33" t="s">
        <v>37</v>
      </c>
      <c r="G4" s="34" t="s">
        <v>17</v>
      </c>
    </row>
    <row r="5" spans="2:7" x14ac:dyDescent="0.25">
      <c r="B5" s="27" t="s">
        <v>53</v>
      </c>
    </row>
    <row r="6" spans="2:7" ht="15.75" thickBot="1" x14ac:dyDescent="0.3">
      <c r="B6" s="28" t="s">
        <v>16</v>
      </c>
      <c r="E6" t="s">
        <v>28</v>
      </c>
    </row>
    <row r="7" spans="2:7" x14ac:dyDescent="0.25">
      <c r="E7" s="29" t="s">
        <v>34</v>
      </c>
      <c r="F7" s="30" t="s">
        <v>32</v>
      </c>
      <c r="G7" s="31" t="s">
        <v>33</v>
      </c>
    </row>
    <row r="8" spans="2:7" ht="15.75" thickBot="1" x14ac:dyDescent="0.3">
      <c r="E8" s="32" t="s">
        <v>38</v>
      </c>
      <c r="F8" s="33" t="s">
        <v>30</v>
      </c>
      <c r="G8" s="34" t="s">
        <v>17</v>
      </c>
    </row>
  </sheetData>
  <hyperlinks>
    <hyperlink ref="E4" r:id="rId1" xr:uid="{DAA0151A-295C-4F91-B50D-71FE7F2B6B3F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C378C-3ED6-47D8-84D7-C90F519B5FE7}">
  <sheetPr codeName="Sheet2">
    <tabColor rgb="FF5B8BA2"/>
  </sheetPr>
  <dimension ref="A1:T87"/>
  <sheetViews>
    <sheetView topLeftCell="I1" workbookViewId="0">
      <pane ySplit="2" topLeftCell="A3" activePane="bottomLeft" state="frozen"/>
      <selection pane="bottomLeft" activeCell="Q6" sqref="Q6"/>
    </sheetView>
  </sheetViews>
  <sheetFormatPr defaultRowHeight="16.5" x14ac:dyDescent="0.3"/>
  <cols>
    <col min="1" max="1" width="14.5703125" style="3" customWidth="1"/>
    <col min="2" max="2" width="13.85546875" style="3" customWidth="1"/>
    <col min="3" max="3" width="16.28515625" style="3" customWidth="1"/>
    <col min="4" max="4" width="21.42578125" style="3" customWidth="1"/>
    <col min="5" max="5" width="51.42578125" style="3" customWidth="1"/>
    <col min="6" max="6" width="8.85546875" style="3" customWidth="1"/>
    <col min="7" max="7" width="17.42578125" style="3" customWidth="1"/>
    <col min="8" max="8" width="14.85546875" style="3" customWidth="1"/>
    <col min="9" max="9" width="12.85546875" style="3" customWidth="1"/>
    <col min="10" max="10" width="8.85546875" style="3" customWidth="1"/>
    <col min="11" max="11" width="17.28515625" style="3" customWidth="1"/>
    <col min="12" max="12" width="17" style="3" customWidth="1"/>
    <col min="13" max="13" width="15.28515625" style="3" customWidth="1"/>
    <col min="14" max="14" width="11.42578125" style="5" customWidth="1"/>
    <col min="15" max="15" width="12" style="3" customWidth="1"/>
    <col min="16" max="16" width="13.42578125" style="3" customWidth="1"/>
    <col min="17" max="17" width="19.7109375" style="3" customWidth="1"/>
    <col min="18" max="18" width="12.5703125" style="3" customWidth="1"/>
    <col min="19" max="19" width="17" style="3" customWidth="1"/>
    <col min="20" max="20" width="21.7109375" style="6" customWidth="1"/>
    <col min="21" max="16384" width="9.140625" style="3"/>
  </cols>
  <sheetData>
    <row r="1" spans="1:20" s="4" customFormat="1" ht="24.95" customHeight="1" x14ac:dyDescent="0.25">
      <c r="A1" s="35" t="s">
        <v>30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0" s="1" customFormat="1" ht="60.75" customHeight="1" x14ac:dyDescent="0.25">
      <c r="A2" s="7" t="s">
        <v>7</v>
      </c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20</v>
      </c>
      <c r="H2" s="8" t="s">
        <v>8</v>
      </c>
      <c r="I2" s="7" t="s">
        <v>5</v>
      </c>
      <c r="J2" s="7" t="s">
        <v>6</v>
      </c>
      <c r="K2" s="8" t="s">
        <v>9</v>
      </c>
      <c r="L2" s="7" t="s">
        <v>10</v>
      </c>
      <c r="M2" s="8" t="s">
        <v>11</v>
      </c>
      <c r="N2" s="9" t="s">
        <v>21</v>
      </c>
      <c r="O2" s="8" t="s">
        <v>22</v>
      </c>
      <c r="P2" s="8" t="s">
        <v>23</v>
      </c>
      <c r="Q2" s="7" t="s">
        <v>14</v>
      </c>
      <c r="R2" s="8" t="s">
        <v>24</v>
      </c>
      <c r="S2" s="7" t="s">
        <v>10</v>
      </c>
      <c r="T2" s="10" t="s">
        <v>25</v>
      </c>
    </row>
    <row r="3" spans="1:20" ht="18.600000000000001" customHeight="1" x14ac:dyDescent="0.3">
      <c r="A3" s="11" t="s">
        <v>46</v>
      </c>
      <c r="B3" s="11" t="s">
        <v>18</v>
      </c>
      <c r="C3" s="11" t="s">
        <v>19</v>
      </c>
      <c r="D3" s="11" t="s">
        <v>63</v>
      </c>
      <c r="E3" s="11" t="s">
        <v>43</v>
      </c>
      <c r="F3" s="11">
        <v>182696</v>
      </c>
      <c r="G3" s="11" t="s">
        <v>79</v>
      </c>
      <c r="H3" s="12"/>
      <c r="I3" s="11" t="s">
        <v>91</v>
      </c>
      <c r="J3" s="11">
        <v>290062</v>
      </c>
      <c r="K3" s="11">
        <v>2556</v>
      </c>
      <c r="L3" s="11">
        <v>0.34100000000000003</v>
      </c>
      <c r="M3" s="11">
        <v>0.34</v>
      </c>
      <c r="N3" s="13">
        <f t="shared" ref="N3:N34" si="0">(L3-M3)/L3</f>
        <v>2.9325513196480964E-3</v>
      </c>
      <c r="O3" s="11">
        <f t="shared" ref="O3:O34" si="1">K3*L3</f>
        <v>871.59600000000012</v>
      </c>
      <c r="P3" s="11">
        <f t="shared" ref="P3:P34" si="2">N3*O3</f>
        <v>2.5560000000000027</v>
      </c>
      <c r="Q3" s="11" t="s">
        <v>92</v>
      </c>
      <c r="R3" s="11" t="s">
        <v>36</v>
      </c>
      <c r="S3" s="14">
        <f>IFERROR(ROUND(O3*Q3,0),0)</f>
        <v>0</v>
      </c>
      <c r="T3" s="15">
        <f t="shared" ref="T3:T34" si="3">IFERROR(ROUND(Q3*P3,0),0)</f>
        <v>0</v>
      </c>
    </row>
    <row r="4" spans="1:20" ht="18.600000000000001" customHeight="1" x14ac:dyDescent="0.3">
      <c r="A4" s="16" t="s">
        <v>46</v>
      </c>
      <c r="B4" s="16" t="s">
        <v>18</v>
      </c>
      <c r="C4" s="16" t="s">
        <v>19</v>
      </c>
      <c r="D4" s="16"/>
      <c r="E4" s="16" t="s">
        <v>29</v>
      </c>
      <c r="F4" s="16">
        <v>182696</v>
      </c>
      <c r="G4" s="16" t="s">
        <v>79</v>
      </c>
      <c r="H4" s="17"/>
      <c r="I4" s="16"/>
      <c r="J4" s="16">
        <v>290061</v>
      </c>
      <c r="K4" s="16">
        <v>2556</v>
      </c>
      <c r="L4" s="16">
        <v>0.34100000000000003</v>
      </c>
      <c r="M4" s="16">
        <v>0.34</v>
      </c>
      <c r="N4" s="18">
        <f t="shared" si="0"/>
        <v>2.9325513196480964E-3</v>
      </c>
      <c r="O4" s="16">
        <f t="shared" si="1"/>
        <v>871.59600000000012</v>
      </c>
      <c r="P4" s="16">
        <f t="shared" si="2"/>
        <v>2.5560000000000027</v>
      </c>
      <c r="Q4" s="16"/>
      <c r="R4" s="16" t="s">
        <v>36</v>
      </c>
      <c r="S4" s="19">
        <f t="shared" ref="S3:S34" si="4">IFERROR(ROUND(O4*Q4,0),0)</f>
        <v>0</v>
      </c>
      <c r="T4" s="20">
        <f t="shared" si="3"/>
        <v>0</v>
      </c>
    </row>
    <row r="5" spans="1:20" ht="18.600000000000001" customHeight="1" x14ac:dyDescent="0.3">
      <c r="A5" s="11" t="s">
        <v>46</v>
      </c>
      <c r="B5" s="11" t="s">
        <v>18</v>
      </c>
      <c r="C5" s="11" t="s">
        <v>19</v>
      </c>
      <c r="D5" s="11"/>
      <c r="E5" s="11" t="s">
        <v>44</v>
      </c>
      <c r="F5" s="11">
        <v>182696</v>
      </c>
      <c r="G5" s="11" t="s">
        <v>79</v>
      </c>
      <c r="H5" s="12"/>
      <c r="I5" s="11"/>
      <c r="J5" s="11">
        <v>290063</v>
      </c>
      <c r="K5" s="11">
        <v>2556</v>
      </c>
      <c r="L5" s="11">
        <v>0.34100000000000003</v>
      </c>
      <c r="M5" s="11">
        <v>0.34</v>
      </c>
      <c r="N5" s="13">
        <f t="shared" si="0"/>
        <v>2.9325513196480964E-3</v>
      </c>
      <c r="O5" s="11">
        <f t="shared" si="1"/>
        <v>871.59600000000012</v>
      </c>
      <c r="P5" s="11">
        <f t="shared" si="2"/>
        <v>2.5560000000000027</v>
      </c>
      <c r="Q5" s="11"/>
      <c r="R5" s="11" t="s">
        <v>36</v>
      </c>
      <c r="S5" s="14">
        <f t="shared" si="4"/>
        <v>0</v>
      </c>
      <c r="T5" s="15">
        <f t="shared" si="3"/>
        <v>0</v>
      </c>
    </row>
    <row r="6" spans="1:20" ht="18.600000000000001" customHeight="1" x14ac:dyDescent="0.3">
      <c r="A6" s="16" t="s">
        <v>46</v>
      </c>
      <c r="B6" s="16" t="s">
        <v>18</v>
      </c>
      <c r="C6" s="16" t="s">
        <v>19</v>
      </c>
      <c r="D6" s="16"/>
      <c r="E6" s="16" t="s">
        <v>27</v>
      </c>
      <c r="F6" s="16">
        <v>182696</v>
      </c>
      <c r="G6" s="16" t="s">
        <v>79</v>
      </c>
      <c r="H6" s="17"/>
      <c r="I6" s="16"/>
      <c r="J6" s="16">
        <v>290060</v>
      </c>
      <c r="K6" s="16">
        <v>2556</v>
      </c>
      <c r="L6" s="16">
        <v>0.34100000000000003</v>
      </c>
      <c r="M6" s="16">
        <v>0.34</v>
      </c>
      <c r="N6" s="18">
        <f t="shared" si="0"/>
        <v>2.9325513196480964E-3</v>
      </c>
      <c r="O6" s="16">
        <f t="shared" si="1"/>
        <v>871.59600000000012</v>
      </c>
      <c r="P6" s="16">
        <f t="shared" si="2"/>
        <v>2.5560000000000027</v>
      </c>
      <c r="Q6" s="16"/>
      <c r="R6" s="16" t="s">
        <v>36</v>
      </c>
      <c r="S6" s="19">
        <f t="shared" si="4"/>
        <v>0</v>
      </c>
      <c r="T6" s="20">
        <f t="shared" si="3"/>
        <v>0</v>
      </c>
    </row>
    <row r="7" spans="1:20" ht="18.600000000000001" customHeight="1" x14ac:dyDescent="0.3">
      <c r="A7" s="11" t="s">
        <v>46</v>
      </c>
      <c r="B7" s="11" t="s">
        <v>18</v>
      </c>
      <c r="C7" s="11" t="s">
        <v>19</v>
      </c>
      <c r="D7" s="11"/>
      <c r="E7" s="11" t="s">
        <v>58</v>
      </c>
      <c r="F7" s="11">
        <v>182702</v>
      </c>
      <c r="G7" s="11" t="s">
        <v>80</v>
      </c>
      <c r="H7" s="12"/>
      <c r="I7" s="11"/>
      <c r="J7" s="11">
        <v>292585</v>
      </c>
      <c r="K7" s="11">
        <v>1404</v>
      </c>
      <c r="L7" s="11">
        <v>0.36</v>
      </c>
      <c r="M7" s="11">
        <v>0.36199999999999999</v>
      </c>
      <c r="N7" s="13">
        <f t="shared" si="0"/>
        <v>-5.555555555555561E-3</v>
      </c>
      <c r="O7" s="11">
        <f t="shared" si="1"/>
        <v>505.44</v>
      </c>
      <c r="P7" s="11">
        <f t="shared" si="2"/>
        <v>-2.8080000000000029</v>
      </c>
      <c r="Q7" s="11"/>
      <c r="R7" s="11" t="s">
        <v>36</v>
      </c>
      <c r="S7" s="14">
        <f t="shared" si="4"/>
        <v>0</v>
      </c>
      <c r="T7" s="15">
        <f t="shared" si="3"/>
        <v>0</v>
      </c>
    </row>
    <row r="8" spans="1:20" ht="18.600000000000001" customHeight="1" x14ac:dyDescent="0.3">
      <c r="A8" s="16" t="s">
        <v>46</v>
      </c>
      <c r="B8" s="16" t="s">
        <v>18</v>
      </c>
      <c r="C8" s="16" t="s">
        <v>19</v>
      </c>
      <c r="D8" s="16"/>
      <c r="E8" s="16" t="s">
        <v>26</v>
      </c>
      <c r="F8" s="16">
        <v>182702</v>
      </c>
      <c r="G8" s="16" t="s">
        <v>80</v>
      </c>
      <c r="H8" s="17"/>
      <c r="I8" s="16"/>
      <c r="J8" s="16">
        <v>292578</v>
      </c>
      <c r="K8" s="16">
        <v>1404</v>
      </c>
      <c r="L8" s="16">
        <v>0.36</v>
      </c>
      <c r="M8" s="16">
        <v>0.36199999999999999</v>
      </c>
      <c r="N8" s="18">
        <f t="shared" si="0"/>
        <v>-5.555555555555561E-3</v>
      </c>
      <c r="O8" s="16">
        <f t="shared" si="1"/>
        <v>505.44</v>
      </c>
      <c r="P8" s="16">
        <f t="shared" si="2"/>
        <v>-2.8080000000000029</v>
      </c>
      <c r="Q8" s="16"/>
      <c r="R8" s="16" t="s">
        <v>36</v>
      </c>
      <c r="S8" s="19">
        <f t="shared" si="4"/>
        <v>0</v>
      </c>
      <c r="T8" s="20">
        <f t="shared" si="3"/>
        <v>0</v>
      </c>
    </row>
    <row r="9" spans="1:20" ht="18.600000000000001" customHeight="1" x14ac:dyDescent="0.3">
      <c r="A9" s="11" t="s">
        <v>46</v>
      </c>
      <c r="B9" s="11" t="s">
        <v>18</v>
      </c>
      <c r="C9" s="11" t="s">
        <v>19</v>
      </c>
      <c r="D9" s="11"/>
      <c r="E9" s="11" t="s">
        <v>27</v>
      </c>
      <c r="F9" s="11">
        <v>182702</v>
      </c>
      <c r="G9" s="11" t="s">
        <v>80</v>
      </c>
      <c r="H9" s="12"/>
      <c r="I9" s="11"/>
      <c r="J9" s="11">
        <v>292582</v>
      </c>
      <c r="K9" s="11">
        <v>1404</v>
      </c>
      <c r="L9" s="11">
        <v>0.36</v>
      </c>
      <c r="M9" s="11">
        <v>0.36199999999999999</v>
      </c>
      <c r="N9" s="13">
        <f t="shared" si="0"/>
        <v>-5.555555555555561E-3</v>
      </c>
      <c r="O9" s="11">
        <f t="shared" si="1"/>
        <v>505.44</v>
      </c>
      <c r="P9" s="11">
        <f t="shared" si="2"/>
        <v>-2.8080000000000029</v>
      </c>
      <c r="Q9" s="11"/>
      <c r="R9" s="11" t="s">
        <v>36</v>
      </c>
      <c r="S9" s="14">
        <f t="shared" si="4"/>
        <v>0</v>
      </c>
      <c r="T9" s="15">
        <f t="shared" si="3"/>
        <v>0</v>
      </c>
    </row>
    <row r="10" spans="1:20" ht="18.600000000000001" customHeight="1" x14ac:dyDescent="0.3">
      <c r="A10" s="16" t="s">
        <v>46</v>
      </c>
      <c r="B10" s="16" t="s">
        <v>18</v>
      </c>
      <c r="C10" s="16" t="s">
        <v>19</v>
      </c>
      <c r="D10" s="16"/>
      <c r="E10" s="16" t="s">
        <v>64</v>
      </c>
      <c r="F10" s="16">
        <v>182703</v>
      </c>
      <c r="G10" s="16" t="s">
        <v>81</v>
      </c>
      <c r="H10" s="17"/>
      <c r="I10" s="16"/>
      <c r="J10" s="16">
        <v>292578</v>
      </c>
      <c r="K10" s="16">
        <v>1188</v>
      </c>
      <c r="L10" s="16">
        <v>0.36</v>
      </c>
      <c r="M10" s="16">
        <v>0.35799999999999998</v>
      </c>
      <c r="N10" s="18">
        <f t="shared" si="0"/>
        <v>5.555555555555561E-3</v>
      </c>
      <c r="O10" s="16">
        <f t="shared" si="1"/>
        <v>427.68</v>
      </c>
      <c r="P10" s="16">
        <f t="shared" si="2"/>
        <v>2.3760000000000026</v>
      </c>
      <c r="Q10" s="16"/>
      <c r="R10" s="16" t="s">
        <v>36</v>
      </c>
      <c r="S10" s="19">
        <f t="shared" si="4"/>
        <v>0</v>
      </c>
      <c r="T10" s="20">
        <f t="shared" si="3"/>
        <v>0</v>
      </c>
    </row>
    <row r="11" spans="1:20" ht="18.600000000000001" customHeight="1" x14ac:dyDescent="0.3">
      <c r="A11" s="11" t="s">
        <v>46</v>
      </c>
      <c r="B11" s="11" t="s">
        <v>18</v>
      </c>
      <c r="C11" s="11" t="s">
        <v>19</v>
      </c>
      <c r="D11" s="11"/>
      <c r="E11" s="11" t="s">
        <v>65</v>
      </c>
      <c r="F11" s="11">
        <v>182703</v>
      </c>
      <c r="G11" s="11" t="s">
        <v>81</v>
      </c>
      <c r="H11" s="12"/>
      <c r="I11" s="11"/>
      <c r="J11" s="11">
        <v>292578</v>
      </c>
      <c r="K11" s="11">
        <v>1188</v>
      </c>
      <c r="L11" s="11">
        <v>0.36</v>
      </c>
      <c r="M11" s="11">
        <v>0.35799999999999998</v>
      </c>
      <c r="N11" s="13">
        <f t="shared" si="0"/>
        <v>5.555555555555561E-3</v>
      </c>
      <c r="O11" s="11">
        <f t="shared" si="1"/>
        <v>427.68</v>
      </c>
      <c r="P11" s="11">
        <f t="shared" si="2"/>
        <v>2.3760000000000026</v>
      </c>
      <c r="Q11" s="11"/>
      <c r="R11" s="11" t="s">
        <v>36</v>
      </c>
      <c r="S11" s="14">
        <f t="shared" si="4"/>
        <v>0</v>
      </c>
      <c r="T11" s="15">
        <f t="shared" si="3"/>
        <v>0</v>
      </c>
    </row>
    <row r="12" spans="1:20" ht="18.600000000000001" customHeight="1" x14ac:dyDescent="0.3">
      <c r="A12" s="16" t="s">
        <v>46</v>
      </c>
      <c r="B12" s="16" t="s">
        <v>18</v>
      </c>
      <c r="C12" s="16" t="s">
        <v>19</v>
      </c>
      <c r="D12" s="16"/>
      <c r="E12" s="16" t="s">
        <v>66</v>
      </c>
      <c r="F12" s="16">
        <v>182703</v>
      </c>
      <c r="G12" s="16" t="s">
        <v>81</v>
      </c>
      <c r="H12" s="17"/>
      <c r="I12" s="16"/>
      <c r="J12" s="16">
        <v>292578</v>
      </c>
      <c r="K12" s="16">
        <v>1188</v>
      </c>
      <c r="L12" s="16">
        <v>0.36</v>
      </c>
      <c r="M12" s="16">
        <v>0.35799999999999998</v>
      </c>
      <c r="N12" s="18">
        <f t="shared" si="0"/>
        <v>5.555555555555561E-3</v>
      </c>
      <c r="O12" s="16">
        <f t="shared" si="1"/>
        <v>427.68</v>
      </c>
      <c r="P12" s="16">
        <f t="shared" si="2"/>
        <v>2.3760000000000026</v>
      </c>
      <c r="Q12" s="16"/>
      <c r="R12" s="16" t="s">
        <v>36</v>
      </c>
      <c r="S12" s="19">
        <f t="shared" si="4"/>
        <v>0</v>
      </c>
      <c r="T12" s="20">
        <f t="shared" si="3"/>
        <v>0</v>
      </c>
    </row>
    <row r="13" spans="1:20" ht="18.600000000000001" customHeight="1" x14ac:dyDescent="0.3">
      <c r="A13" s="11" t="s">
        <v>46</v>
      </c>
      <c r="B13" s="11" t="s">
        <v>18</v>
      </c>
      <c r="C13" s="11" t="s">
        <v>19</v>
      </c>
      <c r="D13" s="11"/>
      <c r="E13" s="11" t="s">
        <v>67</v>
      </c>
      <c r="F13" s="11">
        <v>182704</v>
      </c>
      <c r="G13" s="11" t="s">
        <v>82</v>
      </c>
      <c r="H13" s="12"/>
      <c r="I13" s="11"/>
      <c r="J13" s="11">
        <v>292573</v>
      </c>
      <c r="K13" s="11">
        <v>2268</v>
      </c>
      <c r="L13" s="11">
        <v>0.36</v>
      </c>
      <c r="M13" s="11">
        <v>0.35599999999999998</v>
      </c>
      <c r="N13" s="13">
        <f t="shared" si="0"/>
        <v>1.1111111111111122E-2</v>
      </c>
      <c r="O13" s="11">
        <f t="shared" si="1"/>
        <v>816.48</v>
      </c>
      <c r="P13" s="11">
        <f t="shared" si="2"/>
        <v>9.0720000000000098</v>
      </c>
      <c r="Q13" s="11"/>
      <c r="R13" s="11" t="s">
        <v>36</v>
      </c>
      <c r="S13" s="14">
        <f t="shared" si="4"/>
        <v>0</v>
      </c>
      <c r="T13" s="15">
        <f t="shared" si="3"/>
        <v>0</v>
      </c>
    </row>
    <row r="14" spans="1:20" ht="18.600000000000001" customHeight="1" x14ac:dyDescent="0.3">
      <c r="A14" s="16" t="s">
        <v>46</v>
      </c>
      <c r="B14" s="16" t="s">
        <v>18</v>
      </c>
      <c r="C14" s="16" t="s">
        <v>19</v>
      </c>
      <c r="D14" s="16"/>
      <c r="E14" s="16" t="s">
        <v>64</v>
      </c>
      <c r="F14" s="16">
        <v>182704</v>
      </c>
      <c r="G14" s="16" t="s">
        <v>82</v>
      </c>
      <c r="H14" s="17"/>
      <c r="I14" s="16"/>
      <c r="J14" s="16">
        <v>292578</v>
      </c>
      <c r="K14" s="16">
        <v>2268</v>
      </c>
      <c r="L14" s="16">
        <v>0.36</v>
      </c>
      <c r="M14" s="16">
        <v>0.35599999999999998</v>
      </c>
      <c r="N14" s="18">
        <f t="shared" si="0"/>
        <v>1.1111111111111122E-2</v>
      </c>
      <c r="O14" s="16">
        <f t="shared" si="1"/>
        <v>816.48</v>
      </c>
      <c r="P14" s="16">
        <f t="shared" si="2"/>
        <v>9.0720000000000098</v>
      </c>
      <c r="Q14" s="16"/>
      <c r="R14" s="16" t="s">
        <v>36</v>
      </c>
      <c r="S14" s="19">
        <f t="shared" si="4"/>
        <v>0</v>
      </c>
      <c r="T14" s="20">
        <f t="shared" si="3"/>
        <v>0</v>
      </c>
    </row>
    <row r="15" spans="1:20" ht="18.600000000000001" customHeight="1" x14ac:dyDescent="0.3">
      <c r="A15" s="11" t="s">
        <v>46</v>
      </c>
      <c r="B15" s="11" t="s">
        <v>18</v>
      </c>
      <c r="C15" s="11" t="s">
        <v>19</v>
      </c>
      <c r="D15" s="11"/>
      <c r="E15" s="11" t="s">
        <v>65</v>
      </c>
      <c r="F15" s="11">
        <v>182704</v>
      </c>
      <c r="G15" s="11" t="s">
        <v>82</v>
      </c>
      <c r="H15" s="12"/>
      <c r="I15" s="11"/>
      <c r="J15" s="11">
        <v>292578</v>
      </c>
      <c r="K15" s="11">
        <v>2268</v>
      </c>
      <c r="L15" s="11">
        <v>0.36</v>
      </c>
      <c r="M15" s="11">
        <v>0.35599999999999998</v>
      </c>
      <c r="N15" s="13">
        <f t="shared" si="0"/>
        <v>1.1111111111111122E-2</v>
      </c>
      <c r="O15" s="11">
        <f t="shared" si="1"/>
        <v>816.48</v>
      </c>
      <c r="P15" s="11">
        <f t="shared" si="2"/>
        <v>9.0720000000000098</v>
      </c>
      <c r="Q15" s="11"/>
      <c r="R15" s="11" t="s">
        <v>36</v>
      </c>
      <c r="S15" s="14">
        <f t="shared" si="4"/>
        <v>0</v>
      </c>
      <c r="T15" s="15">
        <f t="shared" si="3"/>
        <v>0</v>
      </c>
    </row>
    <row r="16" spans="1:20" ht="18.600000000000001" customHeight="1" x14ac:dyDescent="0.3">
      <c r="A16" s="16" t="s">
        <v>46</v>
      </c>
      <c r="B16" s="16" t="s">
        <v>18</v>
      </c>
      <c r="C16" s="16" t="s">
        <v>19</v>
      </c>
      <c r="D16" s="16"/>
      <c r="E16" s="16" t="s">
        <v>68</v>
      </c>
      <c r="F16" s="16">
        <v>182705</v>
      </c>
      <c r="G16" s="16" t="s">
        <v>83</v>
      </c>
      <c r="H16" s="17"/>
      <c r="I16" s="16"/>
      <c r="J16" s="16">
        <v>292579</v>
      </c>
      <c r="K16" s="16">
        <v>1224</v>
      </c>
      <c r="L16" s="16">
        <v>0.36</v>
      </c>
      <c r="M16" s="16">
        <v>0.36</v>
      </c>
      <c r="N16" s="18">
        <f t="shared" si="0"/>
        <v>0</v>
      </c>
      <c r="O16" s="16">
        <f t="shared" si="1"/>
        <v>440.64</v>
      </c>
      <c r="P16" s="16">
        <f t="shared" si="2"/>
        <v>0</v>
      </c>
      <c r="Q16" s="16"/>
      <c r="R16" s="16" t="s">
        <v>36</v>
      </c>
      <c r="S16" s="19">
        <f t="shared" si="4"/>
        <v>0</v>
      </c>
      <c r="T16" s="20">
        <f t="shared" si="3"/>
        <v>0</v>
      </c>
    </row>
    <row r="17" spans="1:20" ht="18.600000000000001" customHeight="1" x14ac:dyDescent="0.3">
      <c r="A17" s="11" t="s">
        <v>46</v>
      </c>
      <c r="B17" s="11" t="s">
        <v>18</v>
      </c>
      <c r="C17" s="11" t="s">
        <v>19</v>
      </c>
      <c r="D17" s="11"/>
      <c r="E17" s="11" t="s">
        <v>26</v>
      </c>
      <c r="F17" s="11">
        <v>182705</v>
      </c>
      <c r="G17" s="11" t="s">
        <v>83</v>
      </c>
      <c r="H17" s="12"/>
      <c r="I17" s="11"/>
      <c r="J17" s="11">
        <v>292578</v>
      </c>
      <c r="K17" s="11">
        <v>1224</v>
      </c>
      <c r="L17" s="11">
        <v>0.36</v>
      </c>
      <c r="M17" s="11">
        <v>0.36</v>
      </c>
      <c r="N17" s="13">
        <f t="shared" si="0"/>
        <v>0</v>
      </c>
      <c r="O17" s="11">
        <f t="shared" si="1"/>
        <v>440.64</v>
      </c>
      <c r="P17" s="11">
        <f t="shared" si="2"/>
        <v>0</v>
      </c>
      <c r="Q17" s="11"/>
      <c r="R17" s="11" t="s">
        <v>36</v>
      </c>
      <c r="S17" s="14">
        <f t="shared" si="4"/>
        <v>0</v>
      </c>
      <c r="T17" s="15">
        <f t="shared" si="3"/>
        <v>0</v>
      </c>
    </row>
    <row r="18" spans="1:20" ht="18.600000000000001" customHeight="1" x14ac:dyDescent="0.3">
      <c r="A18" s="16" t="s">
        <v>46</v>
      </c>
      <c r="B18" s="16" t="s">
        <v>18</v>
      </c>
      <c r="C18" s="16" t="s">
        <v>19</v>
      </c>
      <c r="D18" s="16"/>
      <c r="E18" s="16" t="s">
        <v>69</v>
      </c>
      <c r="F18" s="16">
        <v>182705</v>
      </c>
      <c r="G18" s="16" t="s">
        <v>83</v>
      </c>
      <c r="H18" s="17"/>
      <c r="I18" s="16"/>
      <c r="J18" s="16">
        <v>292580</v>
      </c>
      <c r="K18" s="16">
        <v>1224</v>
      </c>
      <c r="L18" s="16">
        <v>0.36</v>
      </c>
      <c r="M18" s="16">
        <v>0.36</v>
      </c>
      <c r="N18" s="18">
        <f t="shared" si="0"/>
        <v>0</v>
      </c>
      <c r="O18" s="16">
        <f t="shared" si="1"/>
        <v>440.64</v>
      </c>
      <c r="P18" s="16">
        <f t="shared" si="2"/>
        <v>0</v>
      </c>
      <c r="Q18" s="16"/>
      <c r="R18" s="16" t="s">
        <v>36</v>
      </c>
      <c r="S18" s="19">
        <f t="shared" si="4"/>
        <v>0</v>
      </c>
      <c r="T18" s="20">
        <f t="shared" si="3"/>
        <v>0</v>
      </c>
    </row>
    <row r="19" spans="1:20" ht="18.600000000000001" customHeight="1" x14ac:dyDescent="0.3">
      <c r="A19" s="11" t="s">
        <v>46</v>
      </c>
      <c r="B19" s="11" t="s">
        <v>18</v>
      </c>
      <c r="C19" s="11" t="s">
        <v>19</v>
      </c>
      <c r="D19" s="11"/>
      <c r="E19" s="11" t="s">
        <v>70</v>
      </c>
      <c r="F19" s="11">
        <v>182706</v>
      </c>
      <c r="G19" s="11" t="s">
        <v>84</v>
      </c>
      <c r="H19" s="12"/>
      <c r="I19" s="11"/>
      <c r="J19" s="11">
        <v>292581</v>
      </c>
      <c r="K19" s="11">
        <v>1008</v>
      </c>
      <c r="L19" s="11">
        <v>0.36</v>
      </c>
      <c r="M19" s="11">
        <v>0.35799999999999998</v>
      </c>
      <c r="N19" s="13">
        <f t="shared" si="0"/>
        <v>5.555555555555561E-3</v>
      </c>
      <c r="O19" s="11">
        <f t="shared" si="1"/>
        <v>362.88</v>
      </c>
      <c r="P19" s="11">
        <f t="shared" si="2"/>
        <v>2.0160000000000018</v>
      </c>
      <c r="Q19" s="11"/>
      <c r="R19" s="11" t="s">
        <v>36</v>
      </c>
      <c r="S19" s="14">
        <f t="shared" si="4"/>
        <v>0</v>
      </c>
      <c r="T19" s="15">
        <f t="shared" si="3"/>
        <v>0</v>
      </c>
    </row>
    <row r="20" spans="1:20" ht="18.600000000000001" customHeight="1" x14ac:dyDescent="0.3">
      <c r="A20" s="16" t="s">
        <v>46</v>
      </c>
      <c r="B20" s="16" t="s">
        <v>18</v>
      </c>
      <c r="C20" s="16" t="s">
        <v>19</v>
      </c>
      <c r="D20" s="16"/>
      <c r="E20" s="16" t="s">
        <v>27</v>
      </c>
      <c r="F20" s="16">
        <v>182706</v>
      </c>
      <c r="G20" s="16" t="s">
        <v>84</v>
      </c>
      <c r="H20" s="17"/>
      <c r="I20" s="16"/>
      <c r="J20" s="16">
        <v>292582</v>
      </c>
      <c r="K20" s="16">
        <v>1008</v>
      </c>
      <c r="L20" s="16">
        <v>0.36</v>
      </c>
      <c r="M20" s="16">
        <v>0.35799999999999998</v>
      </c>
      <c r="N20" s="18">
        <f t="shared" si="0"/>
        <v>5.555555555555561E-3</v>
      </c>
      <c r="O20" s="16">
        <f t="shared" si="1"/>
        <v>362.88</v>
      </c>
      <c r="P20" s="16">
        <f t="shared" si="2"/>
        <v>2.0160000000000018</v>
      </c>
      <c r="Q20" s="16"/>
      <c r="R20" s="16" t="s">
        <v>36</v>
      </c>
      <c r="S20" s="19">
        <f t="shared" si="4"/>
        <v>0</v>
      </c>
      <c r="T20" s="20">
        <f t="shared" si="3"/>
        <v>0</v>
      </c>
    </row>
    <row r="21" spans="1:20" ht="18.600000000000001" customHeight="1" x14ac:dyDescent="0.3">
      <c r="A21" s="11" t="s">
        <v>46</v>
      </c>
      <c r="B21" s="11" t="s">
        <v>18</v>
      </c>
      <c r="C21" s="11" t="s">
        <v>19</v>
      </c>
      <c r="D21" s="11"/>
      <c r="E21" s="11" t="s">
        <v>26</v>
      </c>
      <c r="F21" s="11">
        <v>182706</v>
      </c>
      <c r="G21" s="11" t="s">
        <v>84</v>
      </c>
      <c r="H21" s="12"/>
      <c r="I21" s="11"/>
      <c r="J21" s="11">
        <v>292578</v>
      </c>
      <c r="K21" s="11">
        <v>1008</v>
      </c>
      <c r="L21" s="11">
        <v>0.36</v>
      </c>
      <c r="M21" s="11">
        <v>0.35799999999999998</v>
      </c>
      <c r="N21" s="13">
        <f t="shared" si="0"/>
        <v>5.555555555555561E-3</v>
      </c>
      <c r="O21" s="11">
        <f t="shared" si="1"/>
        <v>362.88</v>
      </c>
      <c r="P21" s="11">
        <f t="shared" si="2"/>
        <v>2.0160000000000018</v>
      </c>
      <c r="Q21" s="11"/>
      <c r="R21" s="11" t="s">
        <v>36</v>
      </c>
      <c r="S21" s="14">
        <f t="shared" si="4"/>
        <v>0</v>
      </c>
      <c r="T21" s="15">
        <f t="shared" si="3"/>
        <v>0</v>
      </c>
    </row>
    <row r="22" spans="1:20" ht="18.600000000000001" customHeight="1" x14ac:dyDescent="0.3">
      <c r="A22" s="16" t="s">
        <v>46</v>
      </c>
      <c r="B22" s="16" t="s">
        <v>18</v>
      </c>
      <c r="C22" s="16" t="s">
        <v>19</v>
      </c>
      <c r="D22" s="16"/>
      <c r="E22" s="16" t="s">
        <v>71</v>
      </c>
      <c r="F22" s="16">
        <v>182782</v>
      </c>
      <c r="G22" s="16" t="s">
        <v>85</v>
      </c>
      <c r="H22" s="17"/>
      <c r="I22" s="16"/>
      <c r="J22" s="16">
        <v>292102</v>
      </c>
      <c r="K22" s="16">
        <v>1908</v>
      </c>
      <c r="L22" s="16">
        <v>0.33800000000000002</v>
      </c>
      <c r="M22" s="16">
        <v>0.33</v>
      </c>
      <c r="N22" s="18">
        <f t="shared" si="0"/>
        <v>2.3668639053254458E-2</v>
      </c>
      <c r="O22" s="16">
        <f t="shared" si="1"/>
        <v>644.904</v>
      </c>
      <c r="P22" s="16">
        <f t="shared" si="2"/>
        <v>15.264000000000014</v>
      </c>
      <c r="Q22" s="16"/>
      <c r="R22" s="16" t="s">
        <v>36</v>
      </c>
      <c r="S22" s="19">
        <f t="shared" si="4"/>
        <v>0</v>
      </c>
      <c r="T22" s="20">
        <f t="shared" si="3"/>
        <v>0</v>
      </c>
    </row>
    <row r="23" spans="1:20" ht="18.600000000000001" customHeight="1" x14ac:dyDescent="0.3">
      <c r="A23" s="11" t="s">
        <v>46</v>
      </c>
      <c r="B23" s="11" t="s">
        <v>18</v>
      </c>
      <c r="C23" s="11" t="s">
        <v>19</v>
      </c>
      <c r="D23" s="11"/>
      <c r="E23" s="11" t="s">
        <v>26</v>
      </c>
      <c r="F23" s="11">
        <v>182782</v>
      </c>
      <c r="G23" s="11" t="s">
        <v>85</v>
      </c>
      <c r="H23" s="12"/>
      <c r="I23" s="11"/>
      <c r="J23" s="11">
        <v>290059</v>
      </c>
      <c r="K23" s="11">
        <v>1908</v>
      </c>
      <c r="L23" s="11">
        <v>0.33800000000000002</v>
      </c>
      <c r="M23" s="11">
        <v>0.33</v>
      </c>
      <c r="N23" s="13">
        <f t="shared" si="0"/>
        <v>2.3668639053254458E-2</v>
      </c>
      <c r="O23" s="11">
        <f t="shared" si="1"/>
        <v>644.904</v>
      </c>
      <c r="P23" s="11">
        <f t="shared" si="2"/>
        <v>15.264000000000014</v>
      </c>
      <c r="Q23" s="11"/>
      <c r="R23" s="11" t="s">
        <v>36</v>
      </c>
      <c r="S23" s="14">
        <f t="shared" si="4"/>
        <v>0</v>
      </c>
      <c r="T23" s="15">
        <f t="shared" si="3"/>
        <v>0</v>
      </c>
    </row>
    <row r="24" spans="1:20" ht="18.600000000000001" customHeight="1" x14ac:dyDescent="0.3">
      <c r="A24" s="16" t="s">
        <v>46</v>
      </c>
      <c r="B24" s="16" t="s">
        <v>18</v>
      </c>
      <c r="C24" s="16" t="s">
        <v>19</v>
      </c>
      <c r="D24" s="16"/>
      <c r="E24" s="16" t="s">
        <v>27</v>
      </c>
      <c r="F24" s="16">
        <v>182782</v>
      </c>
      <c r="G24" s="16" t="s">
        <v>85</v>
      </c>
      <c r="H24" s="17"/>
      <c r="I24" s="16"/>
      <c r="J24" s="16">
        <v>290060</v>
      </c>
      <c r="K24" s="16">
        <v>1908</v>
      </c>
      <c r="L24" s="16">
        <v>0.33800000000000002</v>
      </c>
      <c r="M24" s="16">
        <v>0.33</v>
      </c>
      <c r="N24" s="18">
        <f t="shared" si="0"/>
        <v>2.3668639053254458E-2</v>
      </c>
      <c r="O24" s="16">
        <f t="shared" si="1"/>
        <v>644.904</v>
      </c>
      <c r="P24" s="16">
        <f t="shared" si="2"/>
        <v>15.264000000000014</v>
      </c>
      <c r="Q24" s="16"/>
      <c r="R24" s="16" t="s">
        <v>36</v>
      </c>
      <c r="S24" s="19">
        <f t="shared" si="4"/>
        <v>0</v>
      </c>
      <c r="T24" s="20">
        <f t="shared" si="3"/>
        <v>0</v>
      </c>
    </row>
    <row r="25" spans="1:20" ht="18.600000000000001" customHeight="1" x14ac:dyDescent="0.3">
      <c r="A25" s="11" t="s">
        <v>46</v>
      </c>
      <c r="B25" s="11" t="s">
        <v>18</v>
      </c>
      <c r="C25" s="11" t="s">
        <v>19</v>
      </c>
      <c r="D25" s="11"/>
      <c r="E25" s="11" t="s">
        <v>72</v>
      </c>
      <c r="F25" s="11">
        <v>182783</v>
      </c>
      <c r="G25" s="11" t="s">
        <v>86</v>
      </c>
      <c r="H25" s="12"/>
      <c r="I25" s="11"/>
      <c r="J25" s="11">
        <v>290059</v>
      </c>
      <c r="K25" s="11">
        <v>1080</v>
      </c>
      <c r="L25" s="11">
        <v>0.33800000000000002</v>
      </c>
      <c r="M25" s="11">
        <v>0.33200000000000002</v>
      </c>
      <c r="N25" s="13">
        <f t="shared" si="0"/>
        <v>1.7751479289940843E-2</v>
      </c>
      <c r="O25" s="11">
        <f t="shared" si="1"/>
        <v>365.04</v>
      </c>
      <c r="P25" s="11">
        <f t="shared" si="2"/>
        <v>6.4800000000000058</v>
      </c>
      <c r="Q25" s="11"/>
      <c r="R25" s="11" t="s">
        <v>36</v>
      </c>
      <c r="S25" s="14">
        <f t="shared" si="4"/>
        <v>0</v>
      </c>
      <c r="T25" s="15">
        <f t="shared" si="3"/>
        <v>0</v>
      </c>
    </row>
    <row r="26" spans="1:20" ht="18.600000000000001" customHeight="1" x14ac:dyDescent="0.3">
      <c r="A26" s="16" t="s">
        <v>46</v>
      </c>
      <c r="B26" s="16" t="s">
        <v>18</v>
      </c>
      <c r="C26" s="16" t="s">
        <v>19</v>
      </c>
      <c r="D26" s="16"/>
      <c r="E26" s="16" t="s">
        <v>73</v>
      </c>
      <c r="F26" s="16">
        <v>182783</v>
      </c>
      <c r="G26" s="16" t="s">
        <v>86</v>
      </c>
      <c r="H26" s="17"/>
      <c r="I26" s="16"/>
      <c r="J26" s="16">
        <v>290059</v>
      </c>
      <c r="K26" s="16">
        <v>1080</v>
      </c>
      <c r="L26" s="16">
        <v>0.33800000000000002</v>
      </c>
      <c r="M26" s="16">
        <v>0.33200000000000002</v>
      </c>
      <c r="N26" s="18">
        <f t="shared" si="0"/>
        <v>1.7751479289940843E-2</v>
      </c>
      <c r="O26" s="16">
        <f t="shared" si="1"/>
        <v>365.04</v>
      </c>
      <c r="P26" s="16">
        <f t="shared" si="2"/>
        <v>6.4800000000000058</v>
      </c>
      <c r="Q26" s="16"/>
      <c r="R26" s="16" t="s">
        <v>36</v>
      </c>
      <c r="S26" s="19">
        <f t="shared" si="4"/>
        <v>0</v>
      </c>
      <c r="T26" s="20">
        <f t="shared" si="3"/>
        <v>0</v>
      </c>
    </row>
    <row r="27" spans="1:20" ht="18.600000000000001" customHeight="1" x14ac:dyDescent="0.3">
      <c r="A27" s="11" t="s">
        <v>46</v>
      </c>
      <c r="B27" s="11" t="s">
        <v>18</v>
      </c>
      <c r="C27" s="11" t="s">
        <v>19</v>
      </c>
      <c r="D27" s="11"/>
      <c r="E27" s="11" t="s">
        <v>74</v>
      </c>
      <c r="F27" s="11">
        <v>182783</v>
      </c>
      <c r="G27" s="11" t="s">
        <v>86</v>
      </c>
      <c r="H27" s="12"/>
      <c r="I27" s="11"/>
      <c r="J27" s="11">
        <v>290059</v>
      </c>
      <c r="K27" s="11">
        <v>1080</v>
      </c>
      <c r="L27" s="11">
        <v>0.33800000000000002</v>
      </c>
      <c r="M27" s="11">
        <v>0.33200000000000002</v>
      </c>
      <c r="N27" s="13">
        <f t="shared" si="0"/>
        <v>1.7751479289940843E-2</v>
      </c>
      <c r="O27" s="11">
        <f t="shared" si="1"/>
        <v>365.04</v>
      </c>
      <c r="P27" s="11">
        <f t="shared" si="2"/>
        <v>6.4800000000000058</v>
      </c>
      <c r="Q27" s="11"/>
      <c r="R27" s="11" t="s">
        <v>36</v>
      </c>
      <c r="S27" s="14">
        <f t="shared" si="4"/>
        <v>0</v>
      </c>
      <c r="T27" s="15">
        <f t="shared" si="3"/>
        <v>0</v>
      </c>
    </row>
    <row r="28" spans="1:20" ht="18.600000000000001" customHeight="1" x14ac:dyDescent="0.3">
      <c r="A28" s="16" t="s">
        <v>46</v>
      </c>
      <c r="B28" s="16" t="s">
        <v>18</v>
      </c>
      <c r="C28" s="16" t="s">
        <v>19</v>
      </c>
      <c r="D28" s="16"/>
      <c r="E28" s="16" t="s">
        <v>44</v>
      </c>
      <c r="F28" s="16">
        <v>182784</v>
      </c>
      <c r="G28" s="16" t="s">
        <v>87</v>
      </c>
      <c r="H28" s="17"/>
      <c r="I28" s="16"/>
      <c r="J28" s="16">
        <v>290063</v>
      </c>
      <c r="K28" s="16">
        <v>2160</v>
      </c>
      <c r="L28" s="16">
        <v>0.33800000000000002</v>
      </c>
      <c r="M28" s="16">
        <v>0.33200000000000002</v>
      </c>
      <c r="N28" s="18">
        <f t="shared" si="0"/>
        <v>1.7751479289940843E-2</v>
      </c>
      <c r="O28" s="16">
        <f t="shared" si="1"/>
        <v>730.08</v>
      </c>
      <c r="P28" s="16">
        <f t="shared" si="2"/>
        <v>12.960000000000012</v>
      </c>
      <c r="Q28" s="16"/>
      <c r="R28" s="16" t="s">
        <v>36</v>
      </c>
      <c r="S28" s="19">
        <f t="shared" si="4"/>
        <v>0</v>
      </c>
      <c r="T28" s="20">
        <f t="shared" si="3"/>
        <v>0</v>
      </c>
    </row>
    <row r="29" spans="1:20" ht="18.600000000000001" customHeight="1" x14ac:dyDescent="0.3">
      <c r="A29" s="11" t="s">
        <v>46</v>
      </c>
      <c r="B29" s="11" t="s">
        <v>18</v>
      </c>
      <c r="C29" s="11" t="s">
        <v>19</v>
      </c>
      <c r="D29" s="11"/>
      <c r="E29" s="11" t="s">
        <v>29</v>
      </c>
      <c r="F29" s="11">
        <v>182784</v>
      </c>
      <c r="G29" s="11" t="s">
        <v>87</v>
      </c>
      <c r="H29" s="12"/>
      <c r="I29" s="11"/>
      <c r="J29" s="11">
        <v>290061</v>
      </c>
      <c r="K29" s="11">
        <v>2160</v>
      </c>
      <c r="L29" s="11">
        <v>0.33800000000000002</v>
      </c>
      <c r="M29" s="11">
        <v>0.33200000000000002</v>
      </c>
      <c r="N29" s="13">
        <f t="shared" si="0"/>
        <v>1.7751479289940843E-2</v>
      </c>
      <c r="O29" s="11">
        <f t="shared" si="1"/>
        <v>730.08</v>
      </c>
      <c r="P29" s="11">
        <f t="shared" si="2"/>
        <v>12.960000000000012</v>
      </c>
      <c r="Q29" s="11"/>
      <c r="R29" s="11" t="s">
        <v>36</v>
      </c>
      <c r="S29" s="14">
        <f t="shared" si="4"/>
        <v>0</v>
      </c>
      <c r="T29" s="15">
        <f t="shared" si="3"/>
        <v>0</v>
      </c>
    </row>
    <row r="30" spans="1:20" ht="18.600000000000001" customHeight="1" x14ac:dyDescent="0.3">
      <c r="A30" s="16" t="s">
        <v>46</v>
      </c>
      <c r="B30" s="16" t="s">
        <v>18</v>
      </c>
      <c r="C30" s="16" t="s">
        <v>19</v>
      </c>
      <c r="D30" s="16"/>
      <c r="E30" s="16" t="s">
        <v>45</v>
      </c>
      <c r="F30" s="16">
        <v>182784</v>
      </c>
      <c r="G30" s="16" t="s">
        <v>87</v>
      </c>
      <c r="H30" s="17"/>
      <c r="I30" s="16"/>
      <c r="J30" s="16">
        <v>292103</v>
      </c>
      <c r="K30" s="16">
        <v>2160</v>
      </c>
      <c r="L30" s="16">
        <v>0.33800000000000002</v>
      </c>
      <c r="M30" s="16">
        <v>0.32200000000000001</v>
      </c>
      <c r="N30" s="18">
        <f t="shared" si="0"/>
        <v>4.7337278106508916E-2</v>
      </c>
      <c r="O30" s="16">
        <f t="shared" si="1"/>
        <v>730.08</v>
      </c>
      <c r="P30" s="16">
        <f t="shared" si="2"/>
        <v>34.560000000000031</v>
      </c>
      <c r="Q30" s="16"/>
      <c r="R30" s="16" t="s">
        <v>36</v>
      </c>
      <c r="S30" s="19">
        <f t="shared" si="4"/>
        <v>0</v>
      </c>
      <c r="T30" s="20">
        <f t="shared" si="3"/>
        <v>0</v>
      </c>
    </row>
    <row r="31" spans="1:20" ht="18.600000000000001" customHeight="1" x14ac:dyDescent="0.3">
      <c r="A31" s="11" t="s">
        <v>46</v>
      </c>
      <c r="B31" s="11" t="s">
        <v>18</v>
      </c>
      <c r="C31" s="11" t="s">
        <v>19</v>
      </c>
      <c r="D31" s="11"/>
      <c r="E31" s="11" t="s">
        <v>75</v>
      </c>
      <c r="F31" s="11">
        <v>182785</v>
      </c>
      <c r="G31" s="11" t="s">
        <v>88</v>
      </c>
      <c r="H31" s="12"/>
      <c r="I31" s="11"/>
      <c r="J31" s="11">
        <v>292104</v>
      </c>
      <c r="K31" s="11">
        <v>576</v>
      </c>
      <c r="L31" s="11">
        <v>0.33800000000000002</v>
      </c>
      <c r="M31" s="11">
        <v>0.33</v>
      </c>
      <c r="N31" s="13">
        <f t="shared" si="0"/>
        <v>2.3668639053254458E-2</v>
      </c>
      <c r="O31" s="11">
        <f t="shared" si="1"/>
        <v>194.68800000000002</v>
      </c>
      <c r="P31" s="11">
        <f t="shared" si="2"/>
        <v>4.6080000000000041</v>
      </c>
      <c r="Q31" s="11"/>
      <c r="R31" s="11" t="s">
        <v>36</v>
      </c>
      <c r="S31" s="14">
        <f t="shared" si="4"/>
        <v>0</v>
      </c>
      <c r="T31" s="15">
        <f t="shared" si="3"/>
        <v>0</v>
      </c>
    </row>
    <row r="32" spans="1:20" ht="18.600000000000001" customHeight="1" x14ac:dyDescent="0.3">
      <c r="A32" s="16" t="s">
        <v>46</v>
      </c>
      <c r="B32" s="16" t="s">
        <v>18</v>
      </c>
      <c r="C32" s="16" t="s">
        <v>19</v>
      </c>
      <c r="D32" s="16"/>
      <c r="E32" s="16" t="s">
        <v>55</v>
      </c>
      <c r="F32" s="16">
        <v>182785</v>
      </c>
      <c r="G32" s="16" t="s">
        <v>88</v>
      </c>
      <c r="H32" s="17"/>
      <c r="I32" s="16"/>
      <c r="J32" s="16">
        <v>292105</v>
      </c>
      <c r="K32" s="16">
        <v>576</v>
      </c>
      <c r="L32" s="16">
        <v>0.33800000000000002</v>
      </c>
      <c r="M32" s="16">
        <v>0.33</v>
      </c>
      <c r="N32" s="18">
        <f t="shared" si="0"/>
        <v>2.3668639053254458E-2</v>
      </c>
      <c r="O32" s="16">
        <f t="shared" si="1"/>
        <v>194.68800000000002</v>
      </c>
      <c r="P32" s="16">
        <f t="shared" si="2"/>
        <v>4.6080000000000041</v>
      </c>
      <c r="Q32" s="16"/>
      <c r="R32" s="16" t="s">
        <v>36</v>
      </c>
      <c r="S32" s="19">
        <f t="shared" si="4"/>
        <v>0</v>
      </c>
      <c r="T32" s="20">
        <f t="shared" si="3"/>
        <v>0</v>
      </c>
    </row>
    <row r="33" spans="1:20" ht="18.600000000000001" customHeight="1" x14ac:dyDescent="0.3">
      <c r="A33" s="11" t="s">
        <v>46</v>
      </c>
      <c r="B33" s="11" t="s">
        <v>18</v>
      </c>
      <c r="C33" s="11" t="s">
        <v>19</v>
      </c>
      <c r="D33" s="11"/>
      <c r="E33" s="11" t="s">
        <v>27</v>
      </c>
      <c r="F33" s="11">
        <v>182785</v>
      </c>
      <c r="G33" s="11" t="s">
        <v>88</v>
      </c>
      <c r="H33" s="12"/>
      <c r="I33" s="11"/>
      <c r="J33" s="11">
        <v>290060</v>
      </c>
      <c r="K33" s="11">
        <v>576</v>
      </c>
      <c r="L33" s="11">
        <v>0.33800000000000002</v>
      </c>
      <c r="M33" s="11">
        <v>0.33</v>
      </c>
      <c r="N33" s="13">
        <f t="shared" si="0"/>
        <v>2.3668639053254458E-2</v>
      </c>
      <c r="O33" s="11">
        <f t="shared" si="1"/>
        <v>194.68800000000002</v>
      </c>
      <c r="P33" s="11">
        <f t="shared" si="2"/>
        <v>4.6080000000000041</v>
      </c>
      <c r="Q33" s="11"/>
      <c r="R33" s="11" t="s">
        <v>36</v>
      </c>
      <c r="S33" s="14">
        <f t="shared" si="4"/>
        <v>0</v>
      </c>
      <c r="T33" s="15">
        <f t="shared" si="3"/>
        <v>0</v>
      </c>
    </row>
    <row r="34" spans="1:20" ht="18.600000000000001" customHeight="1" x14ac:dyDescent="0.3">
      <c r="A34" s="16" t="s">
        <v>46</v>
      </c>
      <c r="B34" s="16" t="s">
        <v>18</v>
      </c>
      <c r="C34" s="16" t="s">
        <v>19</v>
      </c>
      <c r="D34" s="16"/>
      <c r="E34" s="16" t="s">
        <v>76</v>
      </c>
      <c r="F34" s="16">
        <v>182787</v>
      </c>
      <c r="G34" s="16" t="s">
        <v>89</v>
      </c>
      <c r="H34" s="17"/>
      <c r="I34" s="16"/>
      <c r="J34" s="16">
        <v>295061</v>
      </c>
      <c r="K34" s="16">
        <v>360</v>
      </c>
      <c r="L34" s="16">
        <v>0.33800000000000002</v>
      </c>
      <c r="M34" s="16">
        <v>0.33100000000000002</v>
      </c>
      <c r="N34" s="18">
        <f t="shared" si="0"/>
        <v>2.0710059171597649E-2</v>
      </c>
      <c r="O34" s="16">
        <f t="shared" si="1"/>
        <v>121.68</v>
      </c>
      <c r="P34" s="16">
        <f t="shared" si="2"/>
        <v>2.5200000000000022</v>
      </c>
      <c r="Q34" s="16"/>
      <c r="R34" s="16" t="s">
        <v>36</v>
      </c>
      <c r="S34" s="19">
        <f t="shared" si="4"/>
        <v>0</v>
      </c>
      <c r="T34" s="20">
        <f t="shared" si="3"/>
        <v>0</v>
      </c>
    </row>
    <row r="35" spans="1:20" ht="18.600000000000001" customHeight="1" x14ac:dyDescent="0.3">
      <c r="A35" s="11" t="s">
        <v>46</v>
      </c>
      <c r="B35" s="11" t="s">
        <v>18</v>
      </c>
      <c r="C35" s="11" t="s">
        <v>19</v>
      </c>
      <c r="D35" s="11"/>
      <c r="E35" s="11" t="s">
        <v>77</v>
      </c>
      <c r="F35" s="11">
        <v>182787</v>
      </c>
      <c r="G35" s="11" t="s">
        <v>89</v>
      </c>
      <c r="H35" s="12"/>
      <c r="I35" s="11"/>
      <c r="J35" s="11">
        <v>292109</v>
      </c>
      <c r="K35" s="11">
        <v>360</v>
      </c>
      <c r="L35" s="11">
        <v>0.33800000000000002</v>
      </c>
      <c r="M35" s="11">
        <v>0.33100000000000002</v>
      </c>
      <c r="N35" s="13">
        <f t="shared" ref="N35:N66" si="5">(L35-M35)/L35</f>
        <v>2.0710059171597649E-2</v>
      </c>
      <c r="O35" s="11">
        <f t="shared" ref="O35:O66" si="6">K35*L35</f>
        <v>121.68</v>
      </c>
      <c r="P35" s="11">
        <f t="shared" ref="P35:P66" si="7">N35*O35</f>
        <v>2.5200000000000022</v>
      </c>
      <c r="Q35" s="11"/>
      <c r="R35" s="11" t="s">
        <v>36</v>
      </c>
      <c r="S35" s="14">
        <f t="shared" ref="S35:S66" si="8">IFERROR(ROUND(O35*Q35,0),0)</f>
        <v>0</v>
      </c>
      <c r="T35" s="15">
        <f t="shared" ref="T35:T66" si="9">IFERROR(ROUND(Q35*P35,0),0)</f>
        <v>0</v>
      </c>
    </row>
    <row r="36" spans="1:20" ht="18.600000000000001" customHeight="1" x14ac:dyDescent="0.3">
      <c r="A36" s="16" t="s">
        <v>46</v>
      </c>
      <c r="B36" s="16" t="s">
        <v>18</v>
      </c>
      <c r="C36" s="16" t="s">
        <v>19</v>
      </c>
      <c r="D36" s="16"/>
      <c r="E36" s="16" t="s">
        <v>29</v>
      </c>
      <c r="F36" s="16">
        <v>182787</v>
      </c>
      <c r="G36" s="16" t="s">
        <v>89</v>
      </c>
      <c r="H36" s="17"/>
      <c r="I36" s="16"/>
      <c r="J36" s="16">
        <v>290061</v>
      </c>
      <c r="K36" s="16">
        <v>360</v>
      </c>
      <c r="L36" s="16">
        <v>0.33800000000000002</v>
      </c>
      <c r="M36" s="16">
        <v>0.33100000000000002</v>
      </c>
      <c r="N36" s="18">
        <f t="shared" si="5"/>
        <v>2.0710059171597649E-2</v>
      </c>
      <c r="O36" s="16">
        <f t="shared" si="6"/>
        <v>121.68</v>
      </c>
      <c r="P36" s="16">
        <f t="shared" si="7"/>
        <v>2.5200000000000022</v>
      </c>
      <c r="Q36" s="16"/>
      <c r="R36" s="16" t="s">
        <v>36</v>
      </c>
      <c r="S36" s="19">
        <f t="shared" si="8"/>
        <v>0</v>
      </c>
      <c r="T36" s="20">
        <f t="shared" si="9"/>
        <v>0</v>
      </c>
    </row>
    <row r="37" spans="1:20" ht="18.600000000000001" customHeight="1" x14ac:dyDescent="0.3">
      <c r="A37" s="11" t="s">
        <v>46</v>
      </c>
      <c r="B37" s="11" t="s">
        <v>18</v>
      </c>
      <c r="C37" s="11" t="s">
        <v>19</v>
      </c>
      <c r="D37" s="11"/>
      <c r="E37" s="11" t="s">
        <v>47</v>
      </c>
      <c r="F37" s="11">
        <v>182789</v>
      </c>
      <c r="G37" s="11" t="s">
        <v>50</v>
      </c>
      <c r="H37" s="12"/>
      <c r="I37" s="11"/>
      <c r="J37" s="11">
        <v>296280</v>
      </c>
      <c r="K37" s="11">
        <v>216</v>
      </c>
      <c r="L37" s="11">
        <v>0.35899999999999999</v>
      </c>
      <c r="M37" s="11">
        <v>0.33400000000000002</v>
      </c>
      <c r="N37" s="13">
        <f t="shared" si="5"/>
        <v>6.9637883008356452E-2</v>
      </c>
      <c r="O37" s="11">
        <f t="shared" si="6"/>
        <v>77.543999999999997</v>
      </c>
      <c r="P37" s="11">
        <f t="shared" si="7"/>
        <v>5.3999999999999924</v>
      </c>
      <c r="Q37" s="11"/>
      <c r="R37" s="11" t="s">
        <v>36</v>
      </c>
      <c r="S37" s="14">
        <f t="shared" si="8"/>
        <v>0</v>
      </c>
      <c r="T37" s="15">
        <f t="shared" si="9"/>
        <v>0</v>
      </c>
    </row>
    <row r="38" spans="1:20" ht="18.600000000000001" customHeight="1" x14ac:dyDescent="0.3">
      <c r="A38" s="16" t="s">
        <v>46</v>
      </c>
      <c r="B38" s="16" t="s">
        <v>18</v>
      </c>
      <c r="C38" s="16" t="s">
        <v>19</v>
      </c>
      <c r="D38" s="16"/>
      <c r="E38" s="16" t="s">
        <v>48</v>
      </c>
      <c r="F38" s="16">
        <v>182790</v>
      </c>
      <c r="G38" s="16" t="s">
        <v>51</v>
      </c>
      <c r="H38" s="17"/>
      <c r="I38" s="16"/>
      <c r="J38" s="16">
        <v>296283</v>
      </c>
      <c r="K38" s="16">
        <v>252</v>
      </c>
      <c r="L38" s="16">
        <v>0.35899999999999999</v>
      </c>
      <c r="M38" s="16">
        <v>0.33100000000000002</v>
      </c>
      <c r="N38" s="18">
        <f t="shared" si="5"/>
        <v>7.799442896935925E-2</v>
      </c>
      <c r="O38" s="16">
        <f t="shared" si="6"/>
        <v>90.467999999999989</v>
      </c>
      <c r="P38" s="16">
        <f t="shared" si="7"/>
        <v>7.0559999999999921</v>
      </c>
      <c r="Q38" s="16"/>
      <c r="R38" s="16" t="s">
        <v>36</v>
      </c>
      <c r="S38" s="19">
        <f t="shared" si="8"/>
        <v>0</v>
      </c>
      <c r="T38" s="20">
        <f t="shared" si="9"/>
        <v>0</v>
      </c>
    </row>
    <row r="39" spans="1:20" ht="18.600000000000001" customHeight="1" x14ac:dyDescent="0.3">
      <c r="A39" s="11" t="s">
        <v>46</v>
      </c>
      <c r="B39" s="11" t="s">
        <v>18</v>
      </c>
      <c r="C39" s="11" t="s">
        <v>19</v>
      </c>
      <c r="D39" s="11"/>
      <c r="E39" s="11" t="s">
        <v>49</v>
      </c>
      <c r="F39" s="11">
        <v>182791</v>
      </c>
      <c r="G39" s="11" t="s">
        <v>52</v>
      </c>
      <c r="H39" s="12"/>
      <c r="I39" s="11"/>
      <c r="J39" s="11">
        <v>296284</v>
      </c>
      <c r="K39" s="11">
        <v>216</v>
      </c>
      <c r="L39" s="11">
        <v>0.35899999999999999</v>
      </c>
      <c r="M39" s="11">
        <v>0.33400000000000002</v>
      </c>
      <c r="N39" s="13">
        <f t="shared" si="5"/>
        <v>6.9637883008356452E-2</v>
      </c>
      <c r="O39" s="11">
        <f t="shared" si="6"/>
        <v>77.543999999999997</v>
      </c>
      <c r="P39" s="11">
        <f t="shared" si="7"/>
        <v>5.3999999999999924</v>
      </c>
      <c r="Q39" s="11"/>
      <c r="R39" s="11" t="s">
        <v>36</v>
      </c>
      <c r="S39" s="14">
        <f t="shared" si="8"/>
        <v>0</v>
      </c>
      <c r="T39" s="15">
        <f t="shared" si="9"/>
        <v>0</v>
      </c>
    </row>
    <row r="40" spans="1:20" ht="18.600000000000001" customHeight="1" x14ac:dyDescent="0.3">
      <c r="A40" s="16" t="s">
        <v>46</v>
      </c>
      <c r="B40" s="16" t="s">
        <v>39</v>
      </c>
      <c r="C40" s="16" t="s">
        <v>19</v>
      </c>
      <c r="D40" s="16"/>
      <c r="E40" s="16" t="s">
        <v>78</v>
      </c>
      <c r="F40" s="16">
        <v>182524</v>
      </c>
      <c r="G40" s="16" t="s">
        <v>90</v>
      </c>
      <c r="H40" s="17"/>
      <c r="I40" s="16"/>
      <c r="J40" s="16">
        <v>294727</v>
      </c>
      <c r="K40" s="16">
        <v>900</v>
      </c>
      <c r="L40" s="16">
        <v>2.59</v>
      </c>
      <c r="M40" s="16">
        <v>2.52</v>
      </c>
      <c r="N40" s="18">
        <f t="shared" si="5"/>
        <v>2.7027027027026966E-2</v>
      </c>
      <c r="O40" s="16">
        <f t="shared" si="6"/>
        <v>2331</v>
      </c>
      <c r="P40" s="16">
        <f t="shared" si="7"/>
        <v>62.999999999999858</v>
      </c>
      <c r="Q40" s="16"/>
      <c r="R40" s="16" t="s">
        <v>42</v>
      </c>
      <c r="S40" s="19">
        <f t="shared" si="8"/>
        <v>0</v>
      </c>
      <c r="T40" s="20">
        <f t="shared" si="9"/>
        <v>0</v>
      </c>
    </row>
    <row r="41" spans="1:20" ht="18.600000000000001" customHeight="1" x14ac:dyDescent="0.3">
      <c r="A41" s="11" t="s">
        <v>46</v>
      </c>
      <c r="B41" s="11" t="s">
        <v>39</v>
      </c>
      <c r="C41" s="11" t="s">
        <v>40</v>
      </c>
      <c r="D41" s="11"/>
      <c r="E41" s="11" t="s">
        <v>26</v>
      </c>
      <c r="F41" s="11">
        <v>182524</v>
      </c>
      <c r="G41" s="11" t="s">
        <v>90</v>
      </c>
      <c r="H41" s="12"/>
      <c r="I41" s="11"/>
      <c r="J41" s="11">
        <v>279392</v>
      </c>
      <c r="K41" s="11">
        <v>900</v>
      </c>
      <c r="L41" s="11">
        <v>0.33</v>
      </c>
      <c r="M41" s="11">
        <v>0.31900000000000001</v>
      </c>
      <c r="N41" s="13">
        <f t="shared" si="5"/>
        <v>3.3333333333333361E-2</v>
      </c>
      <c r="O41" s="11">
        <f t="shared" si="6"/>
        <v>297</v>
      </c>
      <c r="P41" s="11">
        <f t="shared" si="7"/>
        <v>9.9000000000000075</v>
      </c>
      <c r="Q41" s="11"/>
      <c r="R41" s="11" t="s">
        <v>36</v>
      </c>
      <c r="S41" s="14">
        <f t="shared" si="8"/>
        <v>0</v>
      </c>
      <c r="T41" s="15">
        <f t="shared" si="9"/>
        <v>0</v>
      </c>
    </row>
    <row r="42" spans="1:20" ht="18.600000000000001" customHeight="1" x14ac:dyDescent="0.3">
      <c r="A42" s="16" t="s">
        <v>46</v>
      </c>
      <c r="B42" s="16" t="s">
        <v>39</v>
      </c>
      <c r="C42" s="16" t="s">
        <v>41</v>
      </c>
      <c r="D42" s="16"/>
      <c r="E42" s="16" t="s">
        <v>26</v>
      </c>
      <c r="F42" s="16">
        <v>182524</v>
      </c>
      <c r="G42" s="16" t="s">
        <v>90</v>
      </c>
      <c r="H42" s="17"/>
      <c r="I42" s="16"/>
      <c r="J42" s="16">
        <v>290835</v>
      </c>
      <c r="K42" s="16">
        <v>900</v>
      </c>
      <c r="L42" s="16">
        <v>6.0000000000000001E-3</v>
      </c>
      <c r="M42" s="16">
        <v>6.0000000000000001E-3</v>
      </c>
      <c r="N42" s="18">
        <f t="shared" si="5"/>
        <v>0</v>
      </c>
      <c r="O42" s="16">
        <f t="shared" si="6"/>
        <v>5.4</v>
      </c>
      <c r="P42" s="16">
        <f t="shared" si="7"/>
        <v>0</v>
      </c>
      <c r="Q42" s="16"/>
      <c r="R42" s="16" t="s">
        <v>42</v>
      </c>
      <c r="S42" s="19">
        <f t="shared" si="8"/>
        <v>0</v>
      </c>
      <c r="T42" s="20">
        <f t="shared" si="9"/>
        <v>0</v>
      </c>
    </row>
    <row r="43" spans="1:20" ht="18.600000000000001" customHeight="1" x14ac:dyDescent="0.3">
      <c r="A43" s="11" t="s">
        <v>46</v>
      </c>
      <c r="B43" s="11" t="s">
        <v>39</v>
      </c>
      <c r="C43" s="11" t="s">
        <v>19</v>
      </c>
      <c r="D43" s="11"/>
      <c r="E43" s="11" t="s">
        <v>78</v>
      </c>
      <c r="F43" s="11">
        <v>182525</v>
      </c>
      <c r="G43" s="11" t="s">
        <v>90</v>
      </c>
      <c r="H43" s="12"/>
      <c r="I43" s="11"/>
      <c r="J43" s="11">
        <v>294727</v>
      </c>
      <c r="K43" s="11">
        <v>80</v>
      </c>
      <c r="L43" s="11">
        <v>3</v>
      </c>
      <c r="M43" s="11">
        <v>2.8593999999999999</v>
      </c>
      <c r="N43" s="13">
        <f t="shared" si="5"/>
        <v>4.6866666666666688E-2</v>
      </c>
      <c r="O43" s="11">
        <f t="shared" si="6"/>
        <v>240</v>
      </c>
      <c r="P43" s="11">
        <f t="shared" si="7"/>
        <v>11.248000000000005</v>
      </c>
      <c r="Q43" s="11"/>
      <c r="R43" s="11" t="s">
        <v>42</v>
      </c>
      <c r="S43" s="14">
        <f t="shared" si="8"/>
        <v>0</v>
      </c>
      <c r="T43" s="15">
        <f t="shared" si="9"/>
        <v>0</v>
      </c>
    </row>
    <row r="44" spans="1:20" ht="18.600000000000001" customHeight="1" x14ac:dyDescent="0.3">
      <c r="A44" s="16" t="s">
        <v>46</v>
      </c>
      <c r="B44" s="16" t="s">
        <v>39</v>
      </c>
      <c r="C44" s="16" t="s">
        <v>40</v>
      </c>
      <c r="D44" s="16"/>
      <c r="E44" s="16" t="s">
        <v>26</v>
      </c>
      <c r="F44" s="16">
        <v>182525</v>
      </c>
      <c r="G44" s="16" t="s">
        <v>90</v>
      </c>
      <c r="H44" s="17"/>
      <c r="I44" s="16"/>
      <c r="J44" s="16">
        <v>279392</v>
      </c>
      <c r="K44" s="16">
        <v>80</v>
      </c>
      <c r="L44" s="16">
        <v>0.33</v>
      </c>
      <c r="M44" s="16">
        <v>0.35399999999999998</v>
      </c>
      <c r="N44" s="18">
        <f t="shared" si="5"/>
        <v>-7.2727272727272627E-2</v>
      </c>
      <c r="O44" s="16">
        <f t="shared" si="6"/>
        <v>26.400000000000002</v>
      </c>
      <c r="P44" s="16">
        <f t="shared" si="7"/>
        <v>-1.9199999999999975</v>
      </c>
      <c r="Q44" s="16"/>
      <c r="R44" s="16" t="s">
        <v>36</v>
      </c>
      <c r="S44" s="19">
        <f t="shared" si="8"/>
        <v>0</v>
      </c>
      <c r="T44" s="20">
        <f t="shared" si="9"/>
        <v>0</v>
      </c>
    </row>
    <row r="45" spans="1:20" ht="18.600000000000001" customHeight="1" x14ac:dyDescent="0.3">
      <c r="A45" s="11" t="s">
        <v>46</v>
      </c>
      <c r="B45" s="11" t="s">
        <v>39</v>
      </c>
      <c r="C45" s="11" t="s">
        <v>41</v>
      </c>
      <c r="D45" s="11"/>
      <c r="E45" s="11" t="s">
        <v>26</v>
      </c>
      <c r="F45" s="11">
        <v>182525</v>
      </c>
      <c r="G45" s="11" t="s">
        <v>90</v>
      </c>
      <c r="H45" s="12"/>
      <c r="I45" s="11"/>
      <c r="J45" s="11">
        <v>290835</v>
      </c>
      <c r="K45" s="11">
        <v>80</v>
      </c>
      <c r="L45" s="11">
        <v>6.0000000000000001E-3</v>
      </c>
      <c r="M45" s="11">
        <v>7.3000000000000001E-3</v>
      </c>
      <c r="N45" s="13">
        <f t="shared" si="5"/>
        <v>-0.21666666666666665</v>
      </c>
      <c r="O45" s="11">
        <f t="shared" si="6"/>
        <v>0.48</v>
      </c>
      <c r="P45" s="11">
        <f t="shared" si="7"/>
        <v>-0.10399999999999998</v>
      </c>
      <c r="Q45" s="11"/>
      <c r="R45" s="11" t="s">
        <v>42</v>
      </c>
      <c r="S45" s="14">
        <f t="shared" si="8"/>
        <v>0</v>
      </c>
      <c r="T45" s="15">
        <f t="shared" si="9"/>
        <v>0</v>
      </c>
    </row>
    <row r="46" spans="1:20" ht="18.600000000000001" customHeight="1" x14ac:dyDescent="0.3">
      <c r="A46" s="16" t="s">
        <v>46</v>
      </c>
      <c r="B46" s="16" t="s">
        <v>39</v>
      </c>
      <c r="C46" s="16" t="s">
        <v>19</v>
      </c>
      <c r="D46" s="16"/>
      <c r="E46" s="16" t="s">
        <v>78</v>
      </c>
      <c r="F46" s="16">
        <v>182526</v>
      </c>
      <c r="G46" s="16" t="s">
        <v>90</v>
      </c>
      <c r="H46" s="17"/>
      <c r="I46" s="16"/>
      <c r="J46" s="16">
        <v>294727</v>
      </c>
      <c r="K46" s="16">
        <v>320</v>
      </c>
      <c r="L46" s="16">
        <v>2.5905999999999998</v>
      </c>
      <c r="M46" s="16">
        <v>2.383</v>
      </c>
      <c r="N46" s="18">
        <f t="shared" si="5"/>
        <v>8.0135875858874314E-2</v>
      </c>
      <c r="O46" s="16">
        <f t="shared" si="6"/>
        <v>828.99199999999996</v>
      </c>
      <c r="P46" s="16">
        <f t="shared" si="7"/>
        <v>66.431999999999931</v>
      </c>
      <c r="Q46" s="16"/>
      <c r="R46" s="16" t="s">
        <v>42</v>
      </c>
      <c r="S46" s="19">
        <f t="shared" si="8"/>
        <v>0</v>
      </c>
      <c r="T46" s="20">
        <f t="shared" si="9"/>
        <v>0</v>
      </c>
    </row>
    <row r="47" spans="1:20" ht="18.600000000000001" customHeight="1" x14ac:dyDescent="0.3">
      <c r="A47" s="11" t="s">
        <v>46</v>
      </c>
      <c r="B47" s="11" t="s">
        <v>39</v>
      </c>
      <c r="C47" s="11" t="s">
        <v>40</v>
      </c>
      <c r="D47" s="11"/>
      <c r="E47" s="11" t="s">
        <v>26</v>
      </c>
      <c r="F47" s="11">
        <v>182526</v>
      </c>
      <c r="G47" s="11" t="s">
        <v>90</v>
      </c>
      <c r="H47" s="12"/>
      <c r="I47" s="11"/>
      <c r="J47" s="11">
        <v>279392</v>
      </c>
      <c r="K47" s="11">
        <v>320</v>
      </c>
      <c r="L47" s="11">
        <v>0.35399999999999998</v>
      </c>
      <c r="M47" s="11">
        <v>0.33900000000000002</v>
      </c>
      <c r="N47" s="13">
        <f t="shared" si="5"/>
        <v>4.2372881355932084E-2</v>
      </c>
      <c r="O47" s="11">
        <f t="shared" si="6"/>
        <v>113.28</v>
      </c>
      <c r="P47" s="11">
        <f t="shared" si="7"/>
        <v>4.7999999999999865</v>
      </c>
      <c r="Q47" s="11"/>
      <c r="R47" s="11" t="s">
        <v>36</v>
      </c>
      <c r="S47" s="14">
        <f t="shared" si="8"/>
        <v>0</v>
      </c>
      <c r="T47" s="15">
        <f t="shared" si="9"/>
        <v>0</v>
      </c>
    </row>
    <row r="48" spans="1:20" ht="18.600000000000001" customHeight="1" x14ac:dyDescent="0.3">
      <c r="A48" s="16" t="s">
        <v>46</v>
      </c>
      <c r="B48" s="16" t="s">
        <v>39</v>
      </c>
      <c r="C48" s="16" t="s">
        <v>41</v>
      </c>
      <c r="D48" s="16"/>
      <c r="E48" s="16" t="s">
        <v>26</v>
      </c>
      <c r="F48" s="16">
        <v>182526</v>
      </c>
      <c r="G48" s="16" t="s">
        <v>90</v>
      </c>
      <c r="H48" s="17"/>
      <c r="I48" s="16"/>
      <c r="J48" s="16">
        <v>290835</v>
      </c>
      <c r="K48" s="16">
        <v>320</v>
      </c>
      <c r="L48" s="16">
        <v>6.0000000000000001E-3</v>
      </c>
      <c r="M48" s="16">
        <v>6.4000000000000003E-3</v>
      </c>
      <c r="N48" s="18">
        <f t="shared" si="5"/>
        <v>-6.6666666666666693E-2</v>
      </c>
      <c r="O48" s="16">
        <f t="shared" si="6"/>
        <v>1.92</v>
      </c>
      <c r="P48" s="16">
        <f t="shared" si="7"/>
        <v>-0.12800000000000006</v>
      </c>
      <c r="Q48" s="16"/>
      <c r="R48" s="16" t="s">
        <v>42</v>
      </c>
      <c r="S48" s="19">
        <f t="shared" si="8"/>
        <v>0</v>
      </c>
      <c r="T48" s="20">
        <f t="shared" si="9"/>
        <v>0</v>
      </c>
    </row>
    <row r="49" spans="1:20" ht="18.600000000000001" customHeight="1" x14ac:dyDescent="0.3">
      <c r="A49" s="11" t="s">
        <v>46</v>
      </c>
      <c r="B49" s="11" t="s">
        <v>39</v>
      </c>
      <c r="C49" s="11" t="s">
        <v>19</v>
      </c>
      <c r="D49" s="11"/>
      <c r="E49" s="11" t="s">
        <v>78</v>
      </c>
      <c r="F49" s="11">
        <v>182674</v>
      </c>
      <c r="G49" s="11" t="s">
        <v>90</v>
      </c>
      <c r="H49" s="12"/>
      <c r="I49" s="11"/>
      <c r="J49" s="11">
        <v>294727</v>
      </c>
      <c r="K49" s="11">
        <v>1730</v>
      </c>
      <c r="L49" s="11">
        <v>2.5099999999999998</v>
      </c>
      <c r="M49" s="11">
        <v>2.5070000000000001</v>
      </c>
      <c r="N49" s="13">
        <f t="shared" si="5"/>
        <v>1.1952191235058446E-3</v>
      </c>
      <c r="O49" s="11">
        <f t="shared" si="6"/>
        <v>4342.2999999999993</v>
      </c>
      <c r="P49" s="11">
        <f t="shared" si="7"/>
        <v>5.1899999999994284</v>
      </c>
      <c r="Q49" s="11"/>
      <c r="R49" s="11" t="s">
        <v>42</v>
      </c>
      <c r="S49" s="14">
        <f t="shared" si="8"/>
        <v>0</v>
      </c>
      <c r="T49" s="15">
        <f t="shared" si="9"/>
        <v>0</v>
      </c>
    </row>
    <row r="50" spans="1:20" ht="18.600000000000001" customHeight="1" x14ac:dyDescent="0.3">
      <c r="A50" s="16" t="s">
        <v>46</v>
      </c>
      <c r="B50" s="16" t="s">
        <v>39</v>
      </c>
      <c r="C50" s="16" t="s">
        <v>40</v>
      </c>
      <c r="D50" s="16"/>
      <c r="E50" s="16" t="s">
        <v>26</v>
      </c>
      <c r="F50" s="16">
        <v>182674</v>
      </c>
      <c r="G50" s="16" t="s">
        <v>90</v>
      </c>
      <c r="H50" s="17"/>
      <c r="I50" s="16"/>
      <c r="J50" s="16">
        <v>279392</v>
      </c>
      <c r="K50" s="16">
        <v>1730</v>
      </c>
      <c r="L50" s="16">
        <v>0.34</v>
      </c>
      <c r="M50" s="16">
        <v>0.33100000000000002</v>
      </c>
      <c r="N50" s="18">
        <f t="shared" si="5"/>
        <v>2.6470588235294138E-2</v>
      </c>
      <c r="O50" s="16">
        <f t="shared" si="6"/>
        <v>588.20000000000005</v>
      </c>
      <c r="P50" s="16">
        <f t="shared" si="7"/>
        <v>15.570000000000013</v>
      </c>
      <c r="Q50" s="16"/>
      <c r="R50" s="16" t="s">
        <v>36</v>
      </c>
      <c r="S50" s="19">
        <f t="shared" si="8"/>
        <v>0</v>
      </c>
      <c r="T50" s="20">
        <f t="shared" si="9"/>
        <v>0</v>
      </c>
    </row>
    <row r="51" spans="1:20" ht="18.600000000000001" customHeight="1" x14ac:dyDescent="0.3">
      <c r="A51" s="11" t="s">
        <v>46</v>
      </c>
      <c r="B51" s="11" t="s">
        <v>39</v>
      </c>
      <c r="C51" s="11" t="s">
        <v>41</v>
      </c>
      <c r="D51" s="11"/>
      <c r="E51" s="11" t="s">
        <v>26</v>
      </c>
      <c r="F51" s="11">
        <v>182674</v>
      </c>
      <c r="G51" s="11" t="s">
        <v>90</v>
      </c>
      <c r="H51" s="12"/>
      <c r="I51" s="11"/>
      <c r="J51" s="11">
        <v>290835</v>
      </c>
      <c r="K51" s="11">
        <v>1730</v>
      </c>
      <c r="L51" s="11">
        <v>6.0000000000000001E-3</v>
      </c>
      <c r="M51" s="11">
        <v>5.4999999999999997E-3</v>
      </c>
      <c r="N51" s="13">
        <f t="shared" si="5"/>
        <v>8.3333333333333412E-2</v>
      </c>
      <c r="O51" s="11">
        <f t="shared" si="6"/>
        <v>10.38</v>
      </c>
      <c r="P51" s="11">
        <f t="shared" si="7"/>
        <v>0.86500000000000088</v>
      </c>
      <c r="Q51" s="11"/>
      <c r="R51" s="11" t="s">
        <v>42</v>
      </c>
      <c r="S51" s="14">
        <f t="shared" si="8"/>
        <v>0</v>
      </c>
      <c r="T51" s="15">
        <f t="shared" si="9"/>
        <v>0</v>
      </c>
    </row>
    <row r="52" spans="1:20" ht="18.600000000000001" customHeight="1" x14ac:dyDescent="0.3">
      <c r="A52" s="16" t="s">
        <v>46</v>
      </c>
      <c r="B52" s="16" t="s">
        <v>39</v>
      </c>
      <c r="C52" s="16" t="s">
        <v>19</v>
      </c>
      <c r="D52" s="16"/>
      <c r="E52" s="16" t="s">
        <v>78</v>
      </c>
      <c r="F52" s="16">
        <v>182675</v>
      </c>
      <c r="G52" s="16" t="s">
        <v>90</v>
      </c>
      <c r="H52" s="17"/>
      <c r="I52" s="16"/>
      <c r="J52" s="16">
        <v>294727</v>
      </c>
      <c r="K52" s="16">
        <v>270</v>
      </c>
      <c r="L52" s="16">
        <v>2.97</v>
      </c>
      <c r="M52" s="16">
        <v>2.8858999999999999</v>
      </c>
      <c r="N52" s="18">
        <f t="shared" si="5"/>
        <v>2.831649831649841E-2</v>
      </c>
      <c r="O52" s="16">
        <f t="shared" si="6"/>
        <v>801.90000000000009</v>
      </c>
      <c r="P52" s="16">
        <f t="shared" si="7"/>
        <v>22.707000000000079</v>
      </c>
      <c r="Q52" s="16"/>
      <c r="R52" s="16" t="s">
        <v>42</v>
      </c>
      <c r="S52" s="19">
        <f t="shared" si="8"/>
        <v>0</v>
      </c>
      <c r="T52" s="20">
        <f t="shared" si="9"/>
        <v>0</v>
      </c>
    </row>
    <row r="53" spans="1:20" ht="18.600000000000001" customHeight="1" x14ac:dyDescent="0.3">
      <c r="A53" s="11" t="s">
        <v>46</v>
      </c>
      <c r="B53" s="11" t="s">
        <v>39</v>
      </c>
      <c r="C53" s="11" t="s">
        <v>40</v>
      </c>
      <c r="D53" s="11"/>
      <c r="E53" s="11" t="s">
        <v>26</v>
      </c>
      <c r="F53" s="11">
        <v>182675</v>
      </c>
      <c r="G53" s="11" t="s">
        <v>90</v>
      </c>
      <c r="H53" s="12"/>
      <c r="I53" s="11"/>
      <c r="J53" s="11">
        <v>279392</v>
      </c>
      <c r="K53" s="11">
        <v>270</v>
      </c>
      <c r="L53" s="11">
        <v>0.34</v>
      </c>
      <c r="M53" s="11">
        <v>0.35499999999999998</v>
      </c>
      <c r="N53" s="13">
        <f t="shared" si="5"/>
        <v>-4.41176470588234E-2</v>
      </c>
      <c r="O53" s="11">
        <f t="shared" si="6"/>
        <v>91.800000000000011</v>
      </c>
      <c r="P53" s="11">
        <f t="shared" si="7"/>
        <v>-4.0499999999999883</v>
      </c>
      <c r="Q53" s="11"/>
      <c r="R53" s="11" t="s">
        <v>36</v>
      </c>
      <c r="S53" s="14">
        <f t="shared" si="8"/>
        <v>0</v>
      </c>
      <c r="T53" s="15">
        <f t="shared" si="9"/>
        <v>0</v>
      </c>
    </row>
    <row r="54" spans="1:20" ht="18.600000000000001" customHeight="1" x14ac:dyDescent="0.3">
      <c r="A54" s="16" t="s">
        <v>46</v>
      </c>
      <c r="B54" s="16" t="s">
        <v>39</v>
      </c>
      <c r="C54" s="16" t="s">
        <v>41</v>
      </c>
      <c r="D54" s="16"/>
      <c r="E54" s="16" t="s">
        <v>26</v>
      </c>
      <c r="F54" s="16">
        <v>182675</v>
      </c>
      <c r="G54" s="16" t="s">
        <v>90</v>
      </c>
      <c r="H54" s="17"/>
      <c r="I54" s="16"/>
      <c r="J54" s="16">
        <v>290835</v>
      </c>
      <c r="K54" s="16">
        <v>270</v>
      </c>
      <c r="L54" s="16">
        <v>6.0000000000000001E-3</v>
      </c>
      <c r="M54" s="16">
        <v>5.4999999999999997E-3</v>
      </c>
      <c r="N54" s="18">
        <f t="shared" si="5"/>
        <v>8.3333333333333412E-2</v>
      </c>
      <c r="O54" s="16">
        <f t="shared" si="6"/>
        <v>1.62</v>
      </c>
      <c r="P54" s="16">
        <f t="shared" si="7"/>
        <v>0.13500000000000015</v>
      </c>
      <c r="Q54" s="16"/>
      <c r="R54" s="16" t="s">
        <v>42</v>
      </c>
      <c r="S54" s="19">
        <f t="shared" si="8"/>
        <v>0</v>
      </c>
      <c r="T54" s="20">
        <f t="shared" si="9"/>
        <v>0</v>
      </c>
    </row>
    <row r="55" spans="1:20" ht="18.600000000000001" customHeight="1" x14ac:dyDescent="0.3">
      <c r="A55" s="11" t="s">
        <v>53</v>
      </c>
      <c r="B55" s="11" t="s">
        <v>18</v>
      </c>
      <c r="C55" s="11" t="s">
        <v>19</v>
      </c>
      <c r="D55" s="11" t="s">
        <v>93</v>
      </c>
      <c r="E55" s="11" t="s">
        <v>94</v>
      </c>
      <c r="F55" s="11">
        <v>182806</v>
      </c>
      <c r="G55" s="11">
        <v>983466</v>
      </c>
      <c r="H55" s="12"/>
      <c r="I55" s="11">
        <v>24001376</v>
      </c>
      <c r="J55" s="11">
        <v>292118</v>
      </c>
      <c r="K55" s="11">
        <v>756</v>
      </c>
      <c r="L55" s="11">
        <v>0.19600000000000001</v>
      </c>
      <c r="M55" s="11">
        <v>0.19700000000000001</v>
      </c>
      <c r="N55" s="13">
        <f t="shared" si="5"/>
        <v>-5.1020408163265345E-3</v>
      </c>
      <c r="O55" s="11">
        <f t="shared" si="6"/>
        <v>148.17600000000002</v>
      </c>
      <c r="P55" s="11">
        <f t="shared" si="7"/>
        <v>-0.75600000000000067</v>
      </c>
      <c r="Q55" s="11" t="s">
        <v>92</v>
      </c>
      <c r="R55" s="11" t="s">
        <v>62</v>
      </c>
      <c r="S55" s="14">
        <f t="shared" si="8"/>
        <v>0</v>
      </c>
      <c r="T55" s="15">
        <f t="shared" si="9"/>
        <v>0</v>
      </c>
    </row>
    <row r="56" spans="1:20" ht="18.600000000000001" customHeight="1" x14ac:dyDescent="0.3">
      <c r="A56" s="16" t="s">
        <v>53</v>
      </c>
      <c r="B56" s="16" t="s">
        <v>18</v>
      </c>
      <c r="C56" s="16" t="s">
        <v>19</v>
      </c>
      <c r="D56" s="16" t="s">
        <v>93</v>
      </c>
      <c r="E56" s="16" t="s">
        <v>29</v>
      </c>
      <c r="F56" s="16">
        <v>182806</v>
      </c>
      <c r="G56" s="16">
        <v>983466</v>
      </c>
      <c r="H56" s="17"/>
      <c r="I56" s="16">
        <v>24001376</v>
      </c>
      <c r="J56" s="16">
        <v>290061</v>
      </c>
      <c r="K56" s="16">
        <v>756</v>
      </c>
      <c r="L56" s="16">
        <v>0.19600000000000001</v>
      </c>
      <c r="M56" s="16">
        <v>0.19700000000000001</v>
      </c>
      <c r="N56" s="18">
        <f t="shared" si="5"/>
        <v>-5.1020408163265345E-3</v>
      </c>
      <c r="O56" s="16">
        <f t="shared" si="6"/>
        <v>148.17600000000002</v>
      </c>
      <c r="P56" s="16">
        <f t="shared" si="7"/>
        <v>-0.75600000000000067</v>
      </c>
      <c r="Q56" s="16"/>
      <c r="R56" s="16" t="s">
        <v>62</v>
      </c>
      <c r="S56" s="19">
        <f t="shared" si="8"/>
        <v>0</v>
      </c>
      <c r="T56" s="20">
        <f t="shared" si="9"/>
        <v>0</v>
      </c>
    </row>
    <row r="57" spans="1:20" ht="18.600000000000001" customHeight="1" x14ac:dyDescent="0.3">
      <c r="A57" s="11" t="s">
        <v>53</v>
      </c>
      <c r="B57" s="11" t="s">
        <v>18</v>
      </c>
      <c r="C57" s="11" t="s">
        <v>19</v>
      </c>
      <c r="D57" s="11" t="s">
        <v>93</v>
      </c>
      <c r="E57" s="11" t="s">
        <v>60</v>
      </c>
      <c r="F57" s="11">
        <v>182806</v>
      </c>
      <c r="G57" s="11">
        <v>983466</v>
      </c>
      <c r="H57" s="12"/>
      <c r="I57" s="11">
        <v>24001376</v>
      </c>
      <c r="J57" s="11">
        <v>292101</v>
      </c>
      <c r="K57" s="11">
        <v>756</v>
      </c>
      <c r="L57" s="11">
        <v>0.19600000000000001</v>
      </c>
      <c r="M57" s="11">
        <v>0.19700000000000001</v>
      </c>
      <c r="N57" s="13">
        <f t="shared" si="5"/>
        <v>-5.1020408163265345E-3</v>
      </c>
      <c r="O57" s="11">
        <f t="shared" si="6"/>
        <v>148.17600000000002</v>
      </c>
      <c r="P57" s="11">
        <f t="shared" si="7"/>
        <v>-0.75600000000000067</v>
      </c>
      <c r="Q57" s="11"/>
      <c r="R57" s="11" t="s">
        <v>62</v>
      </c>
      <c r="S57" s="14">
        <f t="shared" si="8"/>
        <v>0</v>
      </c>
      <c r="T57" s="15">
        <f t="shared" si="9"/>
        <v>0</v>
      </c>
    </row>
    <row r="58" spans="1:20" ht="18.600000000000001" customHeight="1" x14ac:dyDescent="0.3">
      <c r="A58" s="16" t="s">
        <v>53</v>
      </c>
      <c r="B58" s="16" t="s">
        <v>18</v>
      </c>
      <c r="C58" s="16" t="s">
        <v>19</v>
      </c>
      <c r="D58" s="16" t="s">
        <v>93</v>
      </c>
      <c r="E58" s="16" t="s">
        <v>57</v>
      </c>
      <c r="F58" s="16">
        <v>182806</v>
      </c>
      <c r="G58" s="16">
        <v>983466</v>
      </c>
      <c r="H58" s="17"/>
      <c r="I58" s="16">
        <v>24001376</v>
      </c>
      <c r="J58" s="16">
        <v>295060</v>
      </c>
      <c r="K58" s="16">
        <v>756</v>
      </c>
      <c r="L58" s="16">
        <v>0.19600000000000001</v>
      </c>
      <c r="M58" s="16">
        <v>0.19700000000000001</v>
      </c>
      <c r="N58" s="18">
        <f t="shared" si="5"/>
        <v>-5.1020408163265345E-3</v>
      </c>
      <c r="O58" s="16">
        <f t="shared" si="6"/>
        <v>148.17600000000002</v>
      </c>
      <c r="P58" s="16">
        <f t="shared" si="7"/>
        <v>-0.75600000000000067</v>
      </c>
      <c r="Q58" s="16"/>
      <c r="R58" s="16" t="s">
        <v>62</v>
      </c>
      <c r="S58" s="19">
        <f t="shared" si="8"/>
        <v>0</v>
      </c>
      <c r="T58" s="20">
        <f t="shared" si="9"/>
        <v>0</v>
      </c>
    </row>
    <row r="59" spans="1:20" ht="18.600000000000001" customHeight="1" x14ac:dyDescent="0.3">
      <c r="A59" s="11" t="s">
        <v>53</v>
      </c>
      <c r="B59" s="11" t="s">
        <v>18</v>
      </c>
      <c r="C59" s="11" t="s">
        <v>19</v>
      </c>
      <c r="D59" s="11" t="s">
        <v>93</v>
      </c>
      <c r="E59" s="11" t="s">
        <v>54</v>
      </c>
      <c r="F59" s="11">
        <v>182807</v>
      </c>
      <c r="G59" s="11">
        <v>983466</v>
      </c>
      <c r="H59" s="12"/>
      <c r="I59" s="11">
        <v>24001377</v>
      </c>
      <c r="J59" s="11">
        <v>292119</v>
      </c>
      <c r="K59" s="11">
        <v>324</v>
      </c>
      <c r="L59" s="11">
        <v>0.19600000000000001</v>
      </c>
      <c r="M59" s="11">
        <v>0.19800000000000001</v>
      </c>
      <c r="N59" s="13">
        <f t="shared" si="5"/>
        <v>-1.0204081632653069E-2</v>
      </c>
      <c r="O59" s="11">
        <f t="shared" si="6"/>
        <v>63.504000000000005</v>
      </c>
      <c r="P59" s="11">
        <f t="shared" si="7"/>
        <v>-0.64800000000000058</v>
      </c>
      <c r="Q59" s="11"/>
      <c r="R59" s="11" t="s">
        <v>62</v>
      </c>
      <c r="S59" s="14">
        <f t="shared" si="8"/>
        <v>0</v>
      </c>
      <c r="T59" s="15">
        <f t="shared" si="9"/>
        <v>0</v>
      </c>
    </row>
    <row r="60" spans="1:20" ht="18.600000000000001" customHeight="1" x14ac:dyDescent="0.3">
      <c r="A60" s="16" t="s">
        <v>53</v>
      </c>
      <c r="B60" s="16" t="s">
        <v>18</v>
      </c>
      <c r="C60" s="16" t="s">
        <v>19</v>
      </c>
      <c r="D60" s="16" t="s">
        <v>93</v>
      </c>
      <c r="E60" s="16" t="s">
        <v>26</v>
      </c>
      <c r="F60" s="16">
        <v>182807</v>
      </c>
      <c r="G60" s="16">
        <v>983466</v>
      </c>
      <c r="H60" s="17"/>
      <c r="I60" s="16">
        <v>24001377</v>
      </c>
      <c r="J60" s="16">
        <v>290059</v>
      </c>
      <c r="K60" s="16">
        <v>324</v>
      </c>
      <c r="L60" s="16">
        <v>0.19600000000000001</v>
      </c>
      <c r="M60" s="16">
        <v>0.19800000000000001</v>
      </c>
      <c r="N60" s="18">
        <f t="shared" si="5"/>
        <v>-1.0204081632653069E-2</v>
      </c>
      <c r="O60" s="16">
        <f t="shared" si="6"/>
        <v>63.504000000000005</v>
      </c>
      <c r="P60" s="16">
        <f t="shared" si="7"/>
        <v>-0.64800000000000058</v>
      </c>
      <c r="Q60" s="16"/>
      <c r="R60" s="16" t="s">
        <v>62</v>
      </c>
      <c r="S60" s="19">
        <f t="shared" si="8"/>
        <v>0</v>
      </c>
      <c r="T60" s="20">
        <f t="shared" si="9"/>
        <v>0</v>
      </c>
    </row>
    <row r="61" spans="1:20" ht="18.600000000000001" customHeight="1" x14ac:dyDescent="0.3">
      <c r="A61" s="11" t="s">
        <v>53</v>
      </c>
      <c r="B61" s="11" t="s">
        <v>18</v>
      </c>
      <c r="C61" s="11" t="s">
        <v>19</v>
      </c>
      <c r="D61" s="11" t="s">
        <v>93</v>
      </c>
      <c r="E61" s="11" t="s">
        <v>55</v>
      </c>
      <c r="F61" s="11">
        <v>182807</v>
      </c>
      <c r="G61" s="11">
        <v>983466</v>
      </c>
      <c r="H61" s="12"/>
      <c r="I61" s="11">
        <v>24001377</v>
      </c>
      <c r="J61" s="11">
        <v>292105</v>
      </c>
      <c r="K61" s="11">
        <v>324</v>
      </c>
      <c r="L61" s="11">
        <v>0.19600000000000001</v>
      </c>
      <c r="M61" s="11">
        <v>0.19800000000000001</v>
      </c>
      <c r="N61" s="13">
        <f t="shared" si="5"/>
        <v>-1.0204081632653069E-2</v>
      </c>
      <c r="O61" s="11">
        <f t="shared" si="6"/>
        <v>63.504000000000005</v>
      </c>
      <c r="P61" s="11">
        <f t="shared" si="7"/>
        <v>-0.64800000000000058</v>
      </c>
      <c r="Q61" s="11"/>
      <c r="R61" s="11" t="s">
        <v>62</v>
      </c>
      <c r="S61" s="14">
        <f t="shared" si="8"/>
        <v>0</v>
      </c>
      <c r="T61" s="15">
        <f t="shared" si="9"/>
        <v>0</v>
      </c>
    </row>
    <row r="62" spans="1:20" ht="18.600000000000001" customHeight="1" x14ac:dyDescent="0.3">
      <c r="A62" s="16" t="s">
        <v>53</v>
      </c>
      <c r="B62" s="16" t="s">
        <v>18</v>
      </c>
      <c r="C62" s="16" t="s">
        <v>19</v>
      </c>
      <c r="D62" s="16" t="s">
        <v>93</v>
      </c>
      <c r="E62" s="16" t="s">
        <v>29</v>
      </c>
      <c r="F62" s="16">
        <v>182807</v>
      </c>
      <c r="G62" s="16">
        <v>983466</v>
      </c>
      <c r="H62" s="17"/>
      <c r="I62" s="16">
        <v>24001377</v>
      </c>
      <c r="J62" s="16">
        <v>290061</v>
      </c>
      <c r="K62" s="16">
        <v>324</v>
      </c>
      <c r="L62" s="16">
        <v>0.19600000000000001</v>
      </c>
      <c r="M62" s="16">
        <v>0.19800000000000001</v>
      </c>
      <c r="N62" s="18">
        <f t="shared" si="5"/>
        <v>-1.0204081632653069E-2</v>
      </c>
      <c r="O62" s="16">
        <f t="shared" si="6"/>
        <v>63.504000000000005</v>
      </c>
      <c r="P62" s="16">
        <f t="shared" si="7"/>
        <v>-0.64800000000000058</v>
      </c>
      <c r="Q62" s="16"/>
      <c r="R62" s="16" t="s">
        <v>62</v>
      </c>
      <c r="S62" s="19">
        <f t="shared" si="8"/>
        <v>0</v>
      </c>
      <c r="T62" s="20">
        <f t="shared" si="9"/>
        <v>0</v>
      </c>
    </row>
    <row r="63" spans="1:20" ht="18.600000000000001" customHeight="1" x14ac:dyDescent="0.3">
      <c r="A63" s="11" t="s">
        <v>53</v>
      </c>
      <c r="B63" s="11" t="s">
        <v>18</v>
      </c>
      <c r="C63" s="11" t="s">
        <v>19</v>
      </c>
      <c r="D63" s="11" t="s">
        <v>93</v>
      </c>
      <c r="E63" s="11" t="s">
        <v>26</v>
      </c>
      <c r="F63" s="11">
        <v>182989</v>
      </c>
      <c r="G63" s="11">
        <v>983461</v>
      </c>
      <c r="H63" s="12"/>
      <c r="I63" s="11">
        <v>24001452</v>
      </c>
      <c r="J63" s="11">
        <v>290059</v>
      </c>
      <c r="K63" s="11">
        <v>2340</v>
      </c>
      <c r="L63" s="11">
        <v>0.38</v>
      </c>
      <c r="M63" s="11">
        <v>0.377</v>
      </c>
      <c r="N63" s="13">
        <f t="shared" si="5"/>
        <v>7.8947368421052704E-3</v>
      </c>
      <c r="O63" s="11">
        <f t="shared" si="6"/>
        <v>889.2</v>
      </c>
      <c r="P63" s="11">
        <f t="shared" si="7"/>
        <v>7.0200000000000067</v>
      </c>
      <c r="Q63" s="11"/>
      <c r="R63" s="11" t="s">
        <v>62</v>
      </c>
      <c r="S63" s="14">
        <f t="shared" si="8"/>
        <v>0</v>
      </c>
      <c r="T63" s="15">
        <f t="shared" si="9"/>
        <v>0</v>
      </c>
    </row>
    <row r="64" spans="1:20" ht="18.600000000000001" customHeight="1" x14ac:dyDescent="0.3">
      <c r="A64" s="16" t="s">
        <v>53</v>
      </c>
      <c r="B64" s="16" t="s">
        <v>18</v>
      </c>
      <c r="C64" s="16" t="s">
        <v>19</v>
      </c>
      <c r="D64" s="16" t="s">
        <v>93</v>
      </c>
      <c r="E64" s="16" t="s">
        <v>27</v>
      </c>
      <c r="F64" s="16">
        <v>182989</v>
      </c>
      <c r="G64" s="16">
        <v>983461</v>
      </c>
      <c r="H64" s="17"/>
      <c r="I64" s="16">
        <v>24001452</v>
      </c>
      <c r="J64" s="16">
        <v>290060</v>
      </c>
      <c r="K64" s="16">
        <v>2340</v>
      </c>
      <c r="L64" s="16">
        <v>0.38</v>
      </c>
      <c r="M64" s="16">
        <v>0.377</v>
      </c>
      <c r="N64" s="18">
        <f t="shared" si="5"/>
        <v>7.8947368421052704E-3</v>
      </c>
      <c r="O64" s="16">
        <f t="shared" si="6"/>
        <v>889.2</v>
      </c>
      <c r="P64" s="16">
        <f t="shared" si="7"/>
        <v>7.0200000000000067</v>
      </c>
      <c r="Q64" s="16"/>
      <c r="R64" s="16" t="s">
        <v>62</v>
      </c>
      <c r="S64" s="19">
        <f t="shared" si="8"/>
        <v>0</v>
      </c>
      <c r="T64" s="20">
        <f t="shared" si="9"/>
        <v>0</v>
      </c>
    </row>
    <row r="65" spans="1:20" ht="18.600000000000001" customHeight="1" x14ac:dyDescent="0.3">
      <c r="A65" s="11" t="s">
        <v>53</v>
      </c>
      <c r="B65" s="11" t="s">
        <v>18</v>
      </c>
      <c r="C65" s="11" t="s">
        <v>19</v>
      </c>
      <c r="D65" s="11" t="s">
        <v>93</v>
      </c>
      <c r="E65" s="11" t="s">
        <v>29</v>
      </c>
      <c r="F65" s="11">
        <v>182989</v>
      </c>
      <c r="G65" s="11">
        <v>983461</v>
      </c>
      <c r="H65" s="12"/>
      <c r="I65" s="11">
        <v>24001452</v>
      </c>
      <c r="J65" s="11">
        <v>290061</v>
      </c>
      <c r="K65" s="11">
        <v>2340</v>
      </c>
      <c r="L65" s="11">
        <v>0.38</v>
      </c>
      <c r="M65" s="11">
        <v>0.377</v>
      </c>
      <c r="N65" s="13">
        <f t="shared" si="5"/>
        <v>7.8947368421052704E-3</v>
      </c>
      <c r="O65" s="11">
        <f t="shared" si="6"/>
        <v>889.2</v>
      </c>
      <c r="P65" s="11">
        <f t="shared" si="7"/>
        <v>7.0200000000000067</v>
      </c>
      <c r="Q65" s="11"/>
      <c r="R65" s="11" t="s">
        <v>62</v>
      </c>
      <c r="S65" s="14">
        <f t="shared" si="8"/>
        <v>0</v>
      </c>
      <c r="T65" s="15">
        <f t="shared" si="9"/>
        <v>0</v>
      </c>
    </row>
    <row r="66" spans="1:20" ht="18.600000000000001" customHeight="1" x14ac:dyDescent="0.3">
      <c r="A66" s="16" t="s">
        <v>53</v>
      </c>
      <c r="B66" s="16" t="s">
        <v>18</v>
      </c>
      <c r="C66" s="16" t="s">
        <v>19</v>
      </c>
      <c r="D66" s="16" t="s">
        <v>93</v>
      </c>
      <c r="E66" s="16" t="s">
        <v>47</v>
      </c>
      <c r="F66" s="16">
        <v>182991</v>
      </c>
      <c r="G66" s="16">
        <v>983459</v>
      </c>
      <c r="H66" s="17"/>
      <c r="I66" s="16">
        <v>24001459</v>
      </c>
      <c r="J66" s="16">
        <v>296280</v>
      </c>
      <c r="K66" s="16">
        <v>2484</v>
      </c>
      <c r="L66" s="16">
        <v>0.35899999999999999</v>
      </c>
      <c r="M66" s="16">
        <v>0.34300000000000003</v>
      </c>
      <c r="N66" s="18">
        <f t="shared" si="5"/>
        <v>4.4568245125348079E-2</v>
      </c>
      <c r="O66" s="16">
        <f t="shared" si="6"/>
        <v>891.75599999999997</v>
      </c>
      <c r="P66" s="16">
        <f t="shared" si="7"/>
        <v>39.7439999999999</v>
      </c>
      <c r="Q66" s="16"/>
      <c r="R66" s="16" t="s">
        <v>62</v>
      </c>
      <c r="S66" s="19">
        <f t="shared" si="8"/>
        <v>0</v>
      </c>
      <c r="T66" s="20">
        <f t="shared" si="9"/>
        <v>0</v>
      </c>
    </row>
    <row r="67" spans="1:20" ht="18.600000000000001" customHeight="1" x14ac:dyDescent="0.3">
      <c r="A67" s="11" t="s">
        <v>53</v>
      </c>
      <c r="B67" s="11" t="s">
        <v>18</v>
      </c>
      <c r="C67" s="11" t="s">
        <v>19</v>
      </c>
      <c r="D67" s="11" t="s">
        <v>93</v>
      </c>
      <c r="E67" s="11" t="s">
        <v>26</v>
      </c>
      <c r="F67" s="11">
        <v>182993</v>
      </c>
      <c r="G67" s="11">
        <v>982981</v>
      </c>
      <c r="H67" s="12"/>
      <c r="I67" s="11">
        <v>24001463</v>
      </c>
      <c r="J67" s="11">
        <v>292578</v>
      </c>
      <c r="K67" s="11">
        <v>3744</v>
      </c>
      <c r="L67" s="11">
        <v>0.36</v>
      </c>
      <c r="M67" s="11">
        <v>0.36099999999999999</v>
      </c>
      <c r="N67" s="13">
        <f t="shared" ref="N67:N98" si="10">(L67-M67)/L67</f>
        <v>-2.7777777777777805E-3</v>
      </c>
      <c r="O67" s="11">
        <f t="shared" ref="O67:O85" si="11">K67*L67</f>
        <v>1347.84</v>
      </c>
      <c r="P67" s="11">
        <f t="shared" ref="P67:P98" si="12">N67*O67</f>
        <v>-3.7440000000000033</v>
      </c>
      <c r="Q67" s="11"/>
      <c r="R67" s="11" t="s">
        <v>62</v>
      </c>
      <c r="S67" s="14">
        <f t="shared" ref="S67:S85" si="13">IFERROR(ROUND(O67*Q67,0),0)</f>
        <v>0</v>
      </c>
      <c r="T67" s="15">
        <f t="shared" ref="T67:T85" si="14">IFERROR(ROUND(Q67*P67,0),0)</f>
        <v>0</v>
      </c>
    </row>
    <row r="68" spans="1:20" ht="18.600000000000001" customHeight="1" x14ac:dyDescent="0.3">
      <c r="A68" s="16" t="s">
        <v>53</v>
      </c>
      <c r="B68" s="16" t="s">
        <v>18</v>
      </c>
      <c r="C68" s="16" t="s">
        <v>19</v>
      </c>
      <c r="D68" s="16" t="s">
        <v>93</v>
      </c>
      <c r="E68" s="16" t="s">
        <v>27</v>
      </c>
      <c r="F68" s="16">
        <v>182993</v>
      </c>
      <c r="G68" s="16">
        <v>982981</v>
      </c>
      <c r="H68" s="17"/>
      <c r="I68" s="16">
        <v>24001463</v>
      </c>
      <c r="J68" s="16">
        <v>292582</v>
      </c>
      <c r="K68" s="16">
        <v>3744</v>
      </c>
      <c r="L68" s="16">
        <v>0.36</v>
      </c>
      <c r="M68" s="16">
        <v>0.36099999999999999</v>
      </c>
      <c r="N68" s="18">
        <f t="shared" si="10"/>
        <v>-2.7777777777777805E-3</v>
      </c>
      <c r="O68" s="16">
        <f t="shared" si="11"/>
        <v>1347.84</v>
      </c>
      <c r="P68" s="16">
        <f t="shared" si="12"/>
        <v>-3.7440000000000033</v>
      </c>
      <c r="Q68" s="16"/>
      <c r="R68" s="16" t="s">
        <v>62</v>
      </c>
      <c r="S68" s="19">
        <f t="shared" si="13"/>
        <v>0</v>
      </c>
      <c r="T68" s="20">
        <f t="shared" si="14"/>
        <v>0</v>
      </c>
    </row>
    <row r="69" spans="1:20" ht="18.600000000000001" customHeight="1" x14ac:dyDescent="0.3">
      <c r="A69" s="11" t="s">
        <v>53</v>
      </c>
      <c r="B69" s="11" t="s">
        <v>18</v>
      </c>
      <c r="C69" s="11" t="s">
        <v>19</v>
      </c>
      <c r="D69" s="11" t="s">
        <v>93</v>
      </c>
      <c r="E69" s="11" t="s">
        <v>56</v>
      </c>
      <c r="F69" s="11">
        <v>182993</v>
      </c>
      <c r="G69" s="11">
        <v>982981</v>
      </c>
      <c r="H69" s="12"/>
      <c r="I69" s="11">
        <v>24001463</v>
      </c>
      <c r="J69" s="11">
        <v>292578</v>
      </c>
      <c r="K69" s="11">
        <v>3744</v>
      </c>
      <c r="L69" s="11">
        <v>0.36</v>
      </c>
      <c r="M69" s="11">
        <v>0.36099999999999999</v>
      </c>
      <c r="N69" s="13">
        <f t="shared" si="10"/>
        <v>-2.7777777777777805E-3</v>
      </c>
      <c r="O69" s="11">
        <f t="shared" si="11"/>
        <v>1347.84</v>
      </c>
      <c r="P69" s="11">
        <f t="shared" si="12"/>
        <v>-3.7440000000000033</v>
      </c>
      <c r="Q69" s="11"/>
      <c r="R69" s="11" t="s">
        <v>62</v>
      </c>
      <c r="S69" s="14">
        <f t="shared" si="13"/>
        <v>0</v>
      </c>
      <c r="T69" s="15">
        <f t="shared" si="14"/>
        <v>0</v>
      </c>
    </row>
    <row r="70" spans="1:20" ht="18.600000000000001" customHeight="1" x14ac:dyDescent="0.3">
      <c r="A70" s="16" t="s">
        <v>53</v>
      </c>
      <c r="B70" s="16" t="s">
        <v>18</v>
      </c>
      <c r="C70" s="16" t="s">
        <v>19</v>
      </c>
      <c r="D70" s="16" t="s">
        <v>93</v>
      </c>
      <c r="E70" s="16" t="s">
        <v>59</v>
      </c>
      <c r="F70" s="16">
        <v>182994</v>
      </c>
      <c r="G70" s="16">
        <v>982981</v>
      </c>
      <c r="H70" s="17"/>
      <c r="I70" s="16">
        <v>24001464</v>
      </c>
      <c r="J70" s="16">
        <v>292583</v>
      </c>
      <c r="K70" s="16">
        <v>1224</v>
      </c>
      <c r="L70" s="16">
        <v>0.36</v>
      </c>
      <c r="M70" s="16">
        <v>0.34100000000000003</v>
      </c>
      <c r="N70" s="18">
        <f t="shared" si="10"/>
        <v>5.2777777777777674E-2</v>
      </c>
      <c r="O70" s="16">
        <f t="shared" si="11"/>
        <v>440.64</v>
      </c>
      <c r="P70" s="16">
        <f t="shared" si="12"/>
        <v>23.255999999999954</v>
      </c>
      <c r="Q70" s="16"/>
      <c r="R70" s="16" t="s">
        <v>62</v>
      </c>
      <c r="S70" s="19">
        <f t="shared" si="13"/>
        <v>0</v>
      </c>
      <c r="T70" s="20">
        <f t="shared" si="14"/>
        <v>0</v>
      </c>
    </row>
    <row r="71" spans="1:20" ht="18.600000000000001" customHeight="1" x14ac:dyDescent="0.3">
      <c r="A71" s="11" t="s">
        <v>53</v>
      </c>
      <c r="B71" s="11" t="s">
        <v>18</v>
      </c>
      <c r="C71" s="11" t="s">
        <v>19</v>
      </c>
      <c r="D71" s="11" t="s">
        <v>93</v>
      </c>
      <c r="E71" s="11" t="s">
        <v>60</v>
      </c>
      <c r="F71" s="11">
        <v>182994</v>
      </c>
      <c r="G71" s="11">
        <v>982981</v>
      </c>
      <c r="H71" s="12"/>
      <c r="I71" s="11">
        <v>24001464</v>
      </c>
      <c r="J71" s="11">
        <v>292584</v>
      </c>
      <c r="K71" s="11">
        <v>1224</v>
      </c>
      <c r="L71" s="11">
        <v>0.36</v>
      </c>
      <c r="M71" s="11">
        <v>0.34100000000000003</v>
      </c>
      <c r="N71" s="13">
        <f t="shared" si="10"/>
        <v>5.2777777777777674E-2</v>
      </c>
      <c r="O71" s="11">
        <f t="shared" si="11"/>
        <v>440.64</v>
      </c>
      <c r="P71" s="11">
        <f t="shared" si="12"/>
        <v>23.255999999999954</v>
      </c>
      <c r="Q71" s="11"/>
      <c r="R71" s="11" t="s">
        <v>62</v>
      </c>
      <c r="S71" s="14">
        <f t="shared" si="13"/>
        <v>0</v>
      </c>
      <c r="T71" s="15">
        <f t="shared" si="14"/>
        <v>0</v>
      </c>
    </row>
    <row r="72" spans="1:20" ht="18.600000000000001" customHeight="1" x14ac:dyDescent="0.3">
      <c r="A72" s="16" t="s">
        <v>53</v>
      </c>
      <c r="B72" s="16" t="s">
        <v>18</v>
      </c>
      <c r="C72" s="16" t="s">
        <v>19</v>
      </c>
      <c r="D72" s="16" t="s">
        <v>93</v>
      </c>
      <c r="E72" s="16" t="s">
        <v>27</v>
      </c>
      <c r="F72" s="16">
        <v>182994</v>
      </c>
      <c r="G72" s="16">
        <v>982981</v>
      </c>
      <c r="H72" s="17"/>
      <c r="I72" s="16">
        <v>24001464</v>
      </c>
      <c r="J72" s="16">
        <v>292582</v>
      </c>
      <c r="K72" s="16">
        <v>1224</v>
      </c>
      <c r="L72" s="16">
        <v>0.36</v>
      </c>
      <c r="M72" s="16">
        <v>0.34100000000000003</v>
      </c>
      <c r="N72" s="18">
        <f t="shared" si="10"/>
        <v>5.2777777777777674E-2</v>
      </c>
      <c r="O72" s="16">
        <f t="shared" si="11"/>
        <v>440.64</v>
      </c>
      <c r="P72" s="16">
        <f t="shared" si="12"/>
        <v>23.255999999999954</v>
      </c>
      <c r="Q72" s="16"/>
      <c r="R72" s="16" t="s">
        <v>62</v>
      </c>
      <c r="S72" s="19">
        <f t="shared" si="13"/>
        <v>0</v>
      </c>
      <c r="T72" s="20">
        <f t="shared" si="14"/>
        <v>0</v>
      </c>
    </row>
    <row r="73" spans="1:20" ht="18.600000000000001" customHeight="1" x14ac:dyDescent="0.3">
      <c r="A73" s="11" t="s">
        <v>53</v>
      </c>
      <c r="B73" s="11" t="s">
        <v>18</v>
      </c>
      <c r="C73" s="11" t="s">
        <v>19</v>
      </c>
      <c r="D73" s="11" t="s">
        <v>93</v>
      </c>
      <c r="E73" s="11" t="s">
        <v>59</v>
      </c>
      <c r="F73" s="11">
        <v>183008</v>
      </c>
      <c r="G73" s="11">
        <v>983463</v>
      </c>
      <c r="H73" s="12"/>
      <c r="I73" s="11">
        <v>24001455</v>
      </c>
      <c r="J73" s="11">
        <v>290061</v>
      </c>
      <c r="K73" s="11">
        <v>4356</v>
      </c>
      <c r="L73" s="11">
        <v>0.28399999999999997</v>
      </c>
      <c r="M73" s="11">
        <v>0.28100000000000003</v>
      </c>
      <c r="N73" s="13">
        <f t="shared" si="10"/>
        <v>1.0563380281689955E-2</v>
      </c>
      <c r="O73" s="11">
        <f t="shared" si="11"/>
        <v>1237.1039999999998</v>
      </c>
      <c r="P73" s="11">
        <f t="shared" si="12"/>
        <v>13.067999999999769</v>
      </c>
      <c r="Q73" s="11"/>
      <c r="R73" s="11" t="s">
        <v>62</v>
      </c>
      <c r="S73" s="14">
        <f t="shared" si="13"/>
        <v>0</v>
      </c>
      <c r="T73" s="15">
        <f t="shared" si="14"/>
        <v>0</v>
      </c>
    </row>
    <row r="74" spans="1:20" ht="18.600000000000001" customHeight="1" x14ac:dyDescent="0.3">
      <c r="A74" s="16" t="s">
        <v>53</v>
      </c>
      <c r="B74" s="16" t="s">
        <v>18</v>
      </c>
      <c r="C74" s="16" t="s">
        <v>19</v>
      </c>
      <c r="D74" s="16" t="s">
        <v>93</v>
      </c>
      <c r="E74" s="16" t="s">
        <v>29</v>
      </c>
      <c r="F74" s="16">
        <v>183008</v>
      </c>
      <c r="G74" s="16">
        <v>983463</v>
      </c>
      <c r="H74" s="17"/>
      <c r="I74" s="16">
        <v>24001455</v>
      </c>
      <c r="J74" s="16">
        <v>292100</v>
      </c>
      <c r="K74" s="16">
        <v>4356</v>
      </c>
      <c r="L74" s="16">
        <v>0.28399999999999997</v>
      </c>
      <c r="M74" s="16">
        <v>0.28100000000000003</v>
      </c>
      <c r="N74" s="18">
        <f t="shared" si="10"/>
        <v>1.0563380281689955E-2</v>
      </c>
      <c r="O74" s="16">
        <f t="shared" si="11"/>
        <v>1237.1039999999998</v>
      </c>
      <c r="P74" s="16">
        <f t="shared" si="12"/>
        <v>13.067999999999769</v>
      </c>
      <c r="Q74" s="16"/>
      <c r="R74" s="16" t="s">
        <v>62</v>
      </c>
      <c r="S74" s="19">
        <f t="shared" si="13"/>
        <v>0</v>
      </c>
      <c r="T74" s="20">
        <f t="shared" si="14"/>
        <v>0</v>
      </c>
    </row>
    <row r="75" spans="1:20" ht="18.600000000000001" customHeight="1" x14ac:dyDescent="0.3">
      <c r="A75" s="11" t="s">
        <v>53</v>
      </c>
      <c r="B75" s="11" t="s">
        <v>18</v>
      </c>
      <c r="C75" s="11" t="s">
        <v>19</v>
      </c>
      <c r="D75" s="11" t="s">
        <v>93</v>
      </c>
      <c r="E75" s="11" t="s">
        <v>60</v>
      </c>
      <c r="F75" s="11">
        <v>183008</v>
      </c>
      <c r="G75" s="11">
        <v>983463</v>
      </c>
      <c r="H75" s="12"/>
      <c r="I75" s="11">
        <v>24001455</v>
      </c>
      <c r="J75" s="11">
        <v>292101</v>
      </c>
      <c r="K75" s="11">
        <v>4356</v>
      </c>
      <c r="L75" s="11">
        <v>0.28399999999999997</v>
      </c>
      <c r="M75" s="11">
        <v>0.28100000000000003</v>
      </c>
      <c r="N75" s="13">
        <f t="shared" si="10"/>
        <v>1.0563380281689955E-2</v>
      </c>
      <c r="O75" s="11">
        <f t="shared" si="11"/>
        <v>1237.1039999999998</v>
      </c>
      <c r="P75" s="11">
        <f t="shared" si="12"/>
        <v>13.067999999999769</v>
      </c>
      <c r="Q75" s="11"/>
      <c r="R75" s="11" t="s">
        <v>62</v>
      </c>
      <c r="S75" s="14">
        <f t="shared" si="13"/>
        <v>0</v>
      </c>
      <c r="T75" s="15">
        <f t="shared" si="14"/>
        <v>0</v>
      </c>
    </row>
    <row r="76" spans="1:20" ht="18.600000000000001" customHeight="1" x14ac:dyDescent="0.3">
      <c r="A76" s="16" t="s">
        <v>53</v>
      </c>
      <c r="B76" s="16" t="s">
        <v>18</v>
      </c>
      <c r="C76" s="16" t="s">
        <v>19</v>
      </c>
      <c r="D76" s="16" t="s">
        <v>93</v>
      </c>
      <c r="E76" s="16" t="s">
        <v>95</v>
      </c>
      <c r="F76" s="16">
        <v>183011</v>
      </c>
      <c r="G76" s="16">
        <v>983463</v>
      </c>
      <c r="H76" s="17"/>
      <c r="I76" s="16">
        <v>24001458</v>
      </c>
      <c r="J76" s="16">
        <v>290059</v>
      </c>
      <c r="K76" s="16">
        <v>360</v>
      </c>
      <c r="L76" s="16">
        <v>0.35199999999999998</v>
      </c>
      <c r="M76" s="16">
        <v>0.35099999999999998</v>
      </c>
      <c r="N76" s="18">
        <f t="shared" si="10"/>
        <v>2.8409090909090936E-3</v>
      </c>
      <c r="O76" s="16">
        <f t="shared" si="11"/>
        <v>126.72</v>
      </c>
      <c r="P76" s="16">
        <f t="shared" si="12"/>
        <v>0.36000000000000032</v>
      </c>
      <c r="Q76" s="16"/>
      <c r="R76" s="16" t="s">
        <v>62</v>
      </c>
      <c r="S76" s="19">
        <f t="shared" si="13"/>
        <v>0</v>
      </c>
      <c r="T76" s="20">
        <f t="shared" si="14"/>
        <v>0</v>
      </c>
    </row>
    <row r="77" spans="1:20" ht="18.600000000000001" customHeight="1" x14ac:dyDescent="0.3">
      <c r="A77" s="11" t="s">
        <v>53</v>
      </c>
      <c r="B77" s="11" t="s">
        <v>18</v>
      </c>
      <c r="C77" s="11" t="s">
        <v>19</v>
      </c>
      <c r="D77" s="11" t="s">
        <v>93</v>
      </c>
      <c r="E77" s="11" t="s">
        <v>96</v>
      </c>
      <c r="F77" s="11">
        <v>183011</v>
      </c>
      <c r="G77" s="11">
        <v>983463</v>
      </c>
      <c r="H77" s="12"/>
      <c r="I77" s="11">
        <v>24001458</v>
      </c>
      <c r="J77" s="11">
        <v>290059</v>
      </c>
      <c r="K77" s="11">
        <v>360</v>
      </c>
      <c r="L77" s="11">
        <v>0.35199999999999998</v>
      </c>
      <c r="M77" s="11">
        <v>0.35099999999999998</v>
      </c>
      <c r="N77" s="13">
        <f t="shared" si="10"/>
        <v>2.8409090909090936E-3</v>
      </c>
      <c r="O77" s="11">
        <f t="shared" si="11"/>
        <v>126.72</v>
      </c>
      <c r="P77" s="11">
        <f t="shared" si="12"/>
        <v>0.36000000000000032</v>
      </c>
      <c r="Q77" s="11"/>
      <c r="R77" s="11" t="s">
        <v>62</v>
      </c>
      <c r="S77" s="14">
        <f t="shared" si="13"/>
        <v>0</v>
      </c>
      <c r="T77" s="15">
        <f t="shared" si="14"/>
        <v>0</v>
      </c>
    </row>
    <row r="78" spans="1:20" ht="18.600000000000001" customHeight="1" x14ac:dyDescent="0.3">
      <c r="A78" s="16" t="s">
        <v>53</v>
      </c>
      <c r="B78" s="16" t="s">
        <v>18</v>
      </c>
      <c r="C78" s="16" t="s">
        <v>19</v>
      </c>
      <c r="D78" s="16" t="s">
        <v>93</v>
      </c>
      <c r="E78" s="16" t="s">
        <v>97</v>
      </c>
      <c r="F78" s="16">
        <v>183011</v>
      </c>
      <c r="G78" s="16">
        <v>983463</v>
      </c>
      <c r="H78" s="17"/>
      <c r="I78" s="16">
        <v>24001458</v>
      </c>
      <c r="J78" s="16">
        <v>290059</v>
      </c>
      <c r="K78" s="16">
        <v>360</v>
      </c>
      <c r="L78" s="16">
        <v>0.35199999999999998</v>
      </c>
      <c r="M78" s="16">
        <v>0.35099999999999998</v>
      </c>
      <c r="N78" s="18">
        <f t="shared" si="10"/>
        <v>2.8409090909090936E-3</v>
      </c>
      <c r="O78" s="16">
        <f t="shared" si="11"/>
        <v>126.72</v>
      </c>
      <c r="P78" s="16">
        <f t="shared" si="12"/>
        <v>0.36000000000000032</v>
      </c>
      <c r="Q78" s="16"/>
      <c r="R78" s="16" t="s">
        <v>62</v>
      </c>
      <c r="S78" s="19">
        <f t="shared" si="13"/>
        <v>0</v>
      </c>
      <c r="T78" s="20">
        <f t="shared" si="14"/>
        <v>0</v>
      </c>
    </row>
    <row r="79" spans="1:20" ht="18.600000000000001" customHeight="1" x14ac:dyDescent="0.3">
      <c r="A79" s="11" t="s">
        <v>53</v>
      </c>
      <c r="B79" s="11" t="s">
        <v>18</v>
      </c>
      <c r="C79" s="11" t="s">
        <v>19</v>
      </c>
      <c r="D79" s="11" t="s">
        <v>93</v>
      </c>
      <c r="E79" s="11" t="s">
        <v>98</v>
      </c>
      <c r="F79" s="11">
        <v>183016</v>
      </c>
      <c r="G79" s="11">
        <v>983464</v>
      </c>
      <c r="H79" s="12"/>
      <c r="I79" s="11">
        <v>24001481</v>
      </c>
      <c r="J79" s="11">
        <v>290059</v>
      </c>
      <c r="K79" s="11">
        <v>1296</v>
      </c>
      <c r="L79" s="11">
        <v>0.19600000000000001</v>
      </c>
      <c r="M79" s="11">
        <v>0.189</v>
      </c>
      <c r="N79" s="13">
        <f t="shared" si="10"/>
        <v>3.5714285714285747E-2</v>
      </c>
      <c r="O79" s="11">
        <f t="shared" si="11"/>
        <v>254.01600000000002</v>
      </c>
      <c r="P79" s="11">
        <f t="shared" si="12"/>
        <v>9.0720000000000098</v>
      </c>
      <c r="Q79" s="11"/>
      <c r="R79" s="11" t="s">
        <v>62</v>
      </c>
      <c r="S79" s="14">
        <f t="shared" si="13"/>
        <v>0</v>
      </c>
      <c r="T79" s="15">
        <f t="shared" si="14"/>
        <v>0</v>
      </c>
    </row>
    <row r="80" spans="1:20" ht="18.600000000000001" customHeight="1" x14ac:dyDescent="0.3">
      <c r="A80" s="16" t="s">
        <v>53</v>
      </c>
      <c r="B80" s="16" t="s">
        <v>18</v>
      </c>
      <c r="C80" s="16" t="s">
        <v>19</v>
      </c>
      <c r="D80" s="16" t="s">
        <v>93</v>
      </c>
      <c r="E80" s="16" t="s">
        <v>99</v>
      </c>
      <c r="F80" s="16">
        <v>183016</v>
      </c>
      <c r="G80" s="16">
        <v>983464</v>
      </c>
      <c r="H80" s="17"/>
      <c r="I80" s="16">
        <v>24001481</v>
      </c>
      <c r="J80" s="16">
        <v>290059</v>
      </c>
      <c r="K80" s="16">
        <v>1296</v>
      </c>
      <c r="L80" s="16">
        <v>0.19600000000000001</v>
      </c>
      <c r="M80" s="16">
        <v>0.189</v>
      </c>
      <c r="N80" s="18">
        <f t="shared" si="10"/>
        <v>3.5714285714285747E-2</v>
      </c>
      <c r="O80" s="16">
        <f t="shared" si="11"/>
        <v>254.01600000000002</v>
      </c>
      <c r="P80" s="16">
        <f t="shared" si="12"/>
        <v>9.0720000000000098</v>
      </c>
      <c r="Q80" s="16"/>
      <c r="R80" s="16" t="s">
        <v>62</v>
      </c>
      <c r="S80" s="19">
        <f t="shared" si="13"/>
        <v>0</v>
      </c>
      <c r="T80" s="20">
        <f t="shared" si="14"/>
        <v>0</v>
      </c>
    </row>
    <row r="81" spans="1:20" ht="18.600000000000001" customHeight="1" x14ac:dyDescent="0.3">
      <c r="A81" s="11" t="s">
        <v>53</v>
      </c>
      <c r="B81" s="11" t="s">
        <v>18</v>
      </c>
      <c r="C81" s="11" t="s">
        <v>19</v>
      </c>
      <c r="D81" s="11" t="s">
        <v>93</v>
      </c>
      <c r="E81" s="11" t="s">
        <v>100</v>
      </c>
      <c r="F81" s="11">
        <v>183016</v>
      </c>
      <c r="G81" s="11">
        <v>983464</v>
      </c>
      <c r="H81" s="12"/>
      <c r="I81" s="11">
        <v>24001481</v>
      </c>
      <c r="J81" s="11">
        <v>290059</v>
      </c>
      <c r="K81" s="11">
        <v>1296</v>
      </c>
      <c r="L81" s="11">
        <v>0.19600000000000001</v>
      </c>
      <c r="M81" s="11">
        <v>0.189</v>
      </c>
      <c r="N81" s="13">
        <f t="shared" si="10"/>
        <v>3.5714285714285747E-2</v>
      </c>
      <c r="O81" s="11">
        <f t="shared" si="11"/>
        <v>254.01600000000002</v>
      </c>
      <c r="P81" s="11">
        <f t="shared" si="12"/>
        <v>9.0720000000000098</v>
      </c>
      <c r="Q81" s="11"/>
      <c r="R81" s="11" t="s">
        <v>62</v>
      </c>
      <c r="S81" s="14">
        <f t="shared" si="13"/>
        <v>0</v>
      </c>
      <c r="T81" s="15">
        <f t="shared" si="14"/>
        <v>0</v>
      </c>
    </row>
    <row r="82" spans="1:20" ht="18.600000000000001" customHeight="1" x14ac:dyDescent="0.3">
      <c r="A82" s="16" t="s">
        <v>53</v>
      </c>
      <c r="B82" s="16" t="s">
        <v>18</v>
      </c>
      <c r="C82" s="16" t="s">
        <v>19</v>
      </c>
      <c r="D82" s="16" t="s">
        <v>93</v>
      </c>
      <c r="E82" s="16" t="s">
        <v>61</v>
      </c>
      <c r="F82" s="16">
        <v>183016</v>
      </c>
      <c r="G82" s="16">
        <v>983464</v>
      </c>
      <c r="H82" s="17"/>
      <c r="I82" s="16">
        <v>24001481</v>
      </c>
      <c r="J82" s="16">
        <v>290059</v>
      </c>
      <c r="K82" s="16">
        <v>1296</v>
      </c>
      <c r="L82" s="16">
        <v>0.19600000000000001</v>
      </c>
      <c r="M82" s="16">
        <v>0.189</v>
      </c>
      <c r="N82" s="18">
        <f t="shared" si="10"/>
        <v>3.5714285714285747E-2</v>
      </c>
      <c r="O82" s="16">
        <f t="shared" si="11"/>
        <v>254.01600000000002</v>
      </c>
      <c r="P82" s="16">
        <f t="shared" si="12"/>
        <v>9.0720000000000098</v>
      </c>
      <c r="Q82" s="16"/>
      <c r="R82" s="16" t="s">
        <v>62</v>
      </c>
      <c r="S82" s="19">
        <f t="shared" si="13"/>
        <v>0</v>
      </c>
      <c r="T82" s="20">
        <f t="shared" si="14"/>
        <v>0</v>
      </c>
    </row>
    <row r="83" spans="1:20" ht="18.600000000000001" customHeight="1" x14ac:dyDescent="0.3">
      <c r="A83" s="11" t="s">
        <v>16</v>
      </c>
      <c r="B83" s="11" t="s">
        <v>101</v>
      </c>
      <c r="C83" s="11" t="s">
        <v>19</v>
      </c>
      <c r="D83" s="11" t="s">
        <v>63</v>
      </c>
      <c r="E83" s="11" t="s">
        <v>26</v>
      </c>
      <c r="F83" s="11">
        <v>182824</v>
      </c>
      <c r="G83" s="11" t="s">
        <v>104</v>
      </c>
      <c r="H83" s="12"/>
      <c r="I83" s="11">
        <v>24001155</v>
      </c>
      <c r="J83" s="11">
        <v>264270</v>
      </c>
      <c r="K83" s="11">
        <v>1249</v>
      </c>
      <c r="L83" s="11">
        <v>0.78100000000000003</v>
      </c>
      <c r="M83" s="11">
        <v>0.78100000000000003</v>
      </c>
      <c r="N83" s="13">
        <f t="shared" si="10"/>
        <v>0</v>
      </c>
      <c r="O83" s="11">
        <f t="shared" si="11"/>
        <v>975.46900000000005</v>
      </c>
      <c r="P83" s="11">
        <f t="shared" si="12"/>
        <v>0</v>
      </c>
      <c r="Q83" s="11" t="s">
        <v>92</v>
      </c>
      <c r="R83" s="11" t="s">
        <v>36</v>
      </c>
      <c r="S83" s="14">
        <f t="shared" si="13"/>
        <v>0</v>
      </c>
      <c r="T83" s="15">
        <f t="shared" si="14"/>
        <v>0</v>
      </c>
    </row>
    <row r="84" spans="1:20" ht="18.600000000000001" customHeight="1" x14ac:dyDescent="0.3">
      <c r="A84" s="16" t="s">
        <v>16</v>
      </c>
      <c r="B84" s="16" t="s">
        <v>101</v>
      </c>
      <c r="C84" s="16" t="s">
        <v>19</v>
      </c>
      <c r="D84" s="16"/>
      <c r="E84" s="16" t="s">
        <v>103</v>
      </c>
      <c r="F84" s="16">
        <v>182824</v>
      </c>
      <c r="G84" s="16" t="s">
        <v>104</v>
      </c>
      <c r="H84" s="17"/>
      <c r="I84" s="16">
        <v>24001155</v>
      </c>
      <c r="J84" s="16">
        <v>264271</v>
      </c>
      <c r="K84" s="16">
        <v>1245</v>
      </c>
      <c r="L84" s="16">
        <v>0.79800000000000004</v>
      </c>
      <c r="M84" s="16">
        <v>0.79800000000000004</v>
      </c>
      <c r="N84" s="18">
        <f t="shared" si="10"/>
        <v>0</v>
      </c>
      <c r="O84" s="16">
        <f t="shared" si="11"/>
        <v>993.5100000000001</v>
      </c>
      <c r="P84" s="16">
        <f t="shared" si="12"/>
        <v>0</v>
      </c>
      <c r="Q84" s="16"/>
      <c r="R84" s="16" t="s">
        <v>36</v>
      </c>
      <c r="S84" s="19">
        <f t="shared" si="13"/>
        <v>0</v>
      </c>
      <c r="T84" s="20">
        <f t="shared" si="14"/>
        <v>0</v>
      </c>
    </row>
    <row r="85" spans="1:20" ht="18.600000000000001" customHeight="1" x14ac:dyDescent="0.3">
      <c r="A85" s="11" t="s">
        <v>16</v>
      </c>
      <c r="B85" s="11" t="s">
        <v>101</v>
      </c>
      <c r="C85" s="11" t="s">
        <v>102</v>
      </c>
      <c r="D85" s="11"/>
      <c r="E85" s="11" t="s">
        <v>26</v>
      </c>
      <c r="F85" s="11">
        <v>182824</v>
      </c>
      <c r="G85" s="11" t="s">
        <v>104</v>
      </c>
      <c r="H85" s="12"/>
      <c r="I85" s="11">
        <v>24001155</v>
      </c>
      <c r="J85" s="11">
        <v>285556</v>
      </c>
      <c r="K85" s="11">
        <v>2494</v>
      </c>
      <c r="L85" s="11">
        <v>0.02</v>
      </c>
      <c r="M85" s="11">
        <v>0.02</v>
      </c>
      <c r="N85" s="13">
        <f t="shared" si="10"/>
        <v>0</v>
      </c>
      <c r="O85" s="11">
        <f t="shared" si="11"/>
        <v>49.88</v>
      </c>
      <c r="P85" s="11">
        <f t="shared" si="12"/>
        <v>0</v>
      </c>
      <c r="Q85" s="11"/>
      <c r="R85" s="11" t="s">
        <v>36</v>
      </c>
      <c r="S85" s="14">
        <f t="shared" si="13"/>
        <v>0</v>
      </c>
      <c r="T85" s="15">
        <f t="shared" si="14"/>
        <v>0</v>
      </c>
    </row>
    <row r="86" spans="1:20" ht="18.600000000000001" customHeight="1" x14ac:dyDescent="0.3">
      <c r="A86" s="16"/>
      <c r="B86" s="16"/>
      <c r="C86" s="16"/>
      <c r="D86" s="16"/>
      <c r="E86" s="16"/>
      <c r="F86" s="16"/>
      <c r="G86" s="16"/>
      <c r="H86" s="17"/>
      <c r="I86" s="16"/>
      <c r="J86" s="16"/>
      <c r="K86" s="16"/>
      <c r="L86" s="16"/>
      <c r="M86" s="16"/>
      <c r="N86" s="18"/>
      <c r="O86" s="16"/>
      <c r="P86" s="16"/>
      <c r="Q86" s="16"/>
      <c r="R86" s="16"/>
      <c r="S86" s="19">
        <f>SUM(S3:S85)</f>
        <v>0</v>
      </c>
      <c r="T86" s="20">
        <f>SUM(T3:T85)</f>
        <v>0</v>
      </c>
    </row>
    <row r="87" spans="1:20" x14ac:dyDescent="0.3">
      <c r="A87" s="21"/>
      <c r="B87" s="21"/>
      <c r="C87" s="21"/>
      <c r="D87" s="21"/>
      <c r="E87" s="21"/>
      <c r="F87" s="21"/>
      <c r="G87" s="21"/>
      <c r="H87" s="22"/>
      <c r="I87" s="21"/>
      <c r="J87" s="21"/>
      <c r="K87" s="21"/>
      <c r="L87" s="21"/>
      <c r="M87" s="21"/>
      <c r="N87" s="23"/>
      <c r="O87" s="21"/>
      <c r="P87" s="21"/>
      <c r="Q87" s="21"/>
      <c r="R87" s="21"/>
      <c r="S87" s="21"/>
      <c r="T87" s="24" t="e">
        <f>T86/S86</f>
        <v>#DIV/0!</v>
      </c>
    </row>
  </sheetData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2024-07-12T01:18:52Z</dcterms:modified>
</cp:coreProperties>
</file>