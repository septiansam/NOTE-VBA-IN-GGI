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00\Monitoring Performance Shipment\Backup\2025-01-21\New folder\"/>
    </mc:Choice>
  </mc:AlternateContent>
  <xr:revisionPtr revIDLastSave="0" documentId="13_ncr:1_{4C17053D-C2A8-4334-B790-C14BA15DE772}" xr6:coauthVersionLast="47" xr6:coauthVersionMax="47" xr10:uidLastSave="{00000000-0000-0000-0000-000000000000}"/>
  <bookViews>
    <workbookView xWindow="20370" yWindow="-120" windowWidth="20730" windowHeight="11160" activeTab="2" xr2:uid="{BFB33DAB-B956-401A-93AD-3738362D6D09}"/>
  </bookViews>
  <sheets>
    <sheet name="{HOME}" sheetId="1" r:id="rId1"/>
    <sheet name="DATA" sheetId="323" r:id="rId2"/>
    <sheet name="FINAL RESUME" sheetId="327" r:id="rId3"/>
  </sheets>
  <functionGroups builtInGroupCount="19"/>
  <definedNames>
    <definedName name="_xlnm._FilterDatabase" localSheetId="1" hidden="1">DATA!$A$2:$AL$83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A83" i="323" l="1"/>
  <c r="AI83" i="323" s="1"/>
  <c r="U83" i="323"/>
  <c r="T83" i="323"/>
  <c r="S83" i="323"/>
  <c r="R83" i="323"/>
  <c r="AA82" i="323"/>
  <c r="AI82" i="323" s="1"/>
  <c r="U82" i="323"/>
  <c r="T82" i="323"/>
  <c r="S82" i="323"/>
  <c r="R82" i="323"/>
  <c r="AA81" i="323"/>
  <c r="AI81" i="323" s="1"/>
  <c r="U81" i="323"/>
  <c r="T81" i="323"/>
  <c r="S81" i="323"/>
  <c r="R81" i="323"/>
  <c r="AI80" i="323"/>
  <c r="AJ80" i="323" s="1"/>
  <c r="AA80" i="323"/>
  <c r="U80" i="323"/>
  <c r="T80" i="323"/>
  <c r="S80" i="323"/>
  <c r="R80" i="323"/>
  <c r="AA79" i="323"/>
  <c r="AI79" i="323" s="1"/>
  <c r="U79" i="323"/>
  <c r="T79" i="323"/>
  <c r="S79" i="323"/>
  <c r="R79" i="323"/>
  <c r="AA78" i="323"/>
  <c r="AI78" i="323" s="1"/>
  <c r="U78" i="323"/>
  <c r="T78" i="323"/>
  <c r="S78" i="323"/>
  <c r="R78" i="323"/>
  <c r="AA77" i="323"/>
  <c r="AI77" i="323" s="1"/>
  <c r="U77" i="323"/>
  <c r="T77" i="323"/>
  <c r="S77" i="323"/>
  <c r="R77" i="323"/>
  <c r="AA76" i="323"/>
  <c r="AI76" i="323" s="1"/>
  <c r="AJ76" i="323" s="1"/>
  <c r="U76" i="323"/>
  <c r="T76" i="323"/>
  <c r="S76" i="323"/>
  <c r="R76" i="323"/>
  <c r="AA75" i="323"/>
  <c r="AI75" i="323" s="1"/>
  <c r="AJ75" i="323" s="1"/>
  <c r="U75" i="323"/>
  <c r="T75" i="323"/>
  <c r="S75" i="323"/>
  <c r="R75" i="323"/>
  <c r="AA74" i="323"/>
  <c r="AI74" i="323" s="1"/>
  <c r="U74" i="323"/>
  <c r="T74" i="323"/>
  <c r="S74" i="323"/>
  <c r="R74" i="323"/>
  <c r="AA73" i="323"/>
  <c r="AI73" i="323" s="1"/>
  <c r="U73" i="323"/>
  <c r="T73" i="323"/>
  <c r="S73" i="323"/>
  <c r="R73" i="323"/>
  <c r="AJ73" i="323" s="1"/>
  <c r="AA72" i="323"/>
  <c r="AI72" i="323" s="1"/>
  <c r="U72" i="323"/>
  <c r="T72" i="323"/>
  <c r="S72" i="323"/>
  <c r="R72" i="323"/>
  <c r="AA71" i="323"/>
  <c r="AI71" i="323" s="1"/>
  <c r="U71" i="323"/>
  <c r="T71" i="323"/>
  <c r="S71" i="323"/>
  <c r="R71" i="323"/>
  <c r="AA70" i="323"/>
  <c r="AI70" i="323" s="1"/>
  <c r="U70" i="323"/>
  <c r="T70" i="323"/>
  <c r="S70" i="323"/>
  <c r="R70" i="323"/>
  <c r="AI69" i="323"/>
  <c r="AA69" i="323"/>
  <c r="U69" i="323"/>
  <c r="T69" i="323"/>
  <c r="S69" i="323"/>
  <c r="R69" i="323"/>
  <c r="AA68" i="323"/>
  <c r="AI68" i="323" s="1"/>
  <c r="AJ68" i="323" s="1"/>
  <c r="U68" i="323"/>
  <c r="T68" i="323"/>
  <c r="S68" i="323"/>
  <c r="R68" i="323"/>
  <c r="AI67" i="323"/>
  <c r="AA67" i="323"/>
  <c r="U67" i="323"/>
  <c r="T67" i="323"/>
  <c r="S67" i="323"/>
  <c r="R67" i="323"/>
  <c r="AA66" i="323"/>
  <c r="AI66" i="323" s="1"/>
  <c r="U66" i="323"/>
  <c r="T66" i="323"/>
  <c r="S66" i="323"/>
  <c r="R66" i="323"/>
  <c r="AA65" i="323"/>
  <c r="AI65" i="323" s="1"/>
  <c r="U65" i="323"/>
  <c r="T65" i="323"/>
  <c r="S65" i="323"/>
  <c r="R65" i="323"/>
  <c r="AJ65" i="323" s="1"/>
  <c r="AA64" i="323"/>
  <c r="AI64" i="323" s="1"/>
  <c r="AJ64" i="323" s="1"/>
  <c r="U64" i="323"/>
  <c r="T64" i="323"/>
  <c r="S64" i="323"/>
  <c r="R64" i="323"/>
  <c r="AA63" i="323"/>
  <c r="AI63" i="323" s="1"/>
  <c r="AJ63" i="323" s="1"/>
  <c r="U63" i="323"/>
  <c r="T63" i="323"/>
  <c r="S63" i="323"/>
  <c r="R63" i="323"/>
  <c r="AA62" i="323"/>
  <c r="AI62" i="323" s="1"/>
  <c r="U62" i="323"/>
  <c r="T62" i="323"/>
  <c r="S62" i="323"/>
  <c r="R62" i="323"/>
  <c r="AA61" i="323"/>
  <c r="AI61" i="323" s="1"/>
  <c r="AJ61" i="323" s="1"/>
  <c r="U61" i="323"/>
  <c r="T61" i="323"/>
  <c r="S61" i="323"/>
  <c r="R61" i="323"/>
  <c r="AA60" i="323"/>
  <c r="AI60" i="323" s="1"/>
  <c r="U60" i="323"/>
  <c r="T60" i="323"/>
  <c r="S60" i="323"/>
  <c r="R60" i="323"/>
  <c r="AI59" i="323"/>
  <c r="AA59" i="323"/>
  <c r="U59" i="323"/>
  <c r="T59" i="323"/>
  <c r="S59" i="323"/>
  <c r="R59" i="323"/>
  <c r="AJ59" i="323" s="1"/>
  <c r="AA58" i="323"/>
  <c r="AI58" i="323" s="1"/>
  <c r="U58" i="323"/>
  <c r="T58" i="323"/>
  <c r="S58" i="323"/>
  <c r="R58" i="323"/>
  <c r="AJ58" i="323" s="1"/>
  <c r="AA57" i="323"/>
  <c r="AI57" i="323" s="1"/>
  <c r="U57" i="323"/>
  <c r="T57" i="323"/>
  <c r="S57" i="323"/>
  <c r="R57" i="323"/>
  <c r="AI56" i="323"/>
  <c r="AJ56" i="323" s="1"/>
  <c r="AA56" i="323"/>
  <c r="U56" i="323"/>
  <c r="T56" i="323"/>
  <c r="S56" i="323"/>
  <c r="R56" i="323"/>
  <c r="AA55" i="323"/>
  <c r="AI55" i="323" s="1"/>
  <c r="U55" i="323"/>
  <c r="T55" i="323"/>
  <c r="S55" i="323"/>
  <c r="R55" i="323"/>
  <c r="AA54" i="323"/>
  <c r="AI54" i="323" s="1"/>
  <c r="U54" i="323"/>
  <c r="T54" i="323"/>
  <c r="S54" i="323"/>
  <c r="R54" i="323"/>
  <c r="AA53" i="323"/>
  <c r="AI53" i="323" s="1"/>
  <c r="U53" i="323"/>
  <c r="T53" i="323"/>
  <c r="S53" i="323"/>
  <c r="R53" i="323"/>
  <c r="AA52" i="323"/>
  <c r="AI52" i="323" s="1"/>
  <c r="AJ52" i="323" s="1"/>
  <c r="U52" i="323"/>
  <c r="T52" i="323"/>
  <c r="S52" i="323"/>
  <c r="R52" i="323"/>
  <c r="AA51" i="323"/>
  <c r="AI51" i="323" s="1"/>
  <c r="AJ51" i="323" s="1"/>
  <c r="U51" i="323"/>
  <c r="T51" i="323"/>
  <c r="S51" i="323"/>
  <c r="R51" i="323"/>
  <c r="AA50" i="323"/>
  <c r="AI50" i="323" s="1"/>
  <c r="U50" i="323"/>
  <c r="T50" i="323"/>
  <c r="S50" i="323"/>
  <c r="R50" i="323"/>
  <c r="AA49" i="323"/>
  <c r="AI49" i="323" s="1"/>
  <c r="U49" i="323"/>
  <c r="T49" i="323"/>
  <c r="S49" i="323"/>
  <c r="R49" i="323"/>
  <c r="AA48" i="323"/>
  <c r="AI48" i="323" s="1"/>
  <c r="U48" i="323"/>
  <c r="T48" i="323"/>
  <c r="S48" i="323"/>
  <c r="R48" i="323"/>
  <c r="AA47" i="323"/>
  <c r="AI47" i="323" s="1"/>
  <c r="U47" i="323"/>
  <c r="T47" i="323"/>
  <c r="S47" i="323"/>
  <c r="R47" i="323"/>
  <c r="AA46" i="323"/>
  <c r="AI46" i="323" s="1"/>
  <c r="U46" i="323"/>
  <c r="T46" i="323"/>
  <c r="S46" i="323"/>
  <c r="R46" i="323"/>
  <c r="AI45" i="323"/>
  <c r="AA45" i="323"/>
  <c r="U45" i="323"/>
  <c r="T45" i="323"/>
  <c r="S45" i="323"/>
  <c r="R45" i="323"/>
  <c r="AA44" i="323"/>
  <c r="AI44" i="323" s="1"/>
  <c r="AJ44" i="323" s="1"/>
  <c r="U44" i="323"/>
  <c r="T44" i="323"/>
  <c r="S44" i="323"/>
  <c r="R44" i="323"/>
  <c r="AI43" i="323"/>
  <c r="AA43" i="323"/>
  <c r="U43" i="323"/>
  <c r="T43" i="323"/>
  <c r="S43" i="323"/>
  <c r="R43" i="323"/>
  <c r="AA42" i="323"/>
  <c r="AI42" i="323" s="1"/>
  <c r="U42" i="323"/>
  <c r="T42" i="323"/>
  <c r="S42" i="323"/>
  <c r="R42" i="323"/>
  <c r="AA41" i="323"/>
  <c r="AI41" i="323" s="1"/>
  <c r="U41" i="323"/>
  <c r="T41" i="323"/>
  <c r="S41" i="323"/>
  <c r="R41" i="323"/>
  <c r="AA40" i="323"/>
  <c r="AI40" i="323" s="1"/>
  <c r="AJ40" i="323" s="1"/>
  <c r="U40" i="323"/>
  <c r="T40" i="323"/>
  <c r="S40" i="323"/>
  <c r="R40" i="323"/>
  <c r="AI39" i="323"/>
  <c r="AJ39" i="323" s="1"/>
  <c r="U39" i="323"/>
  <c r="T39" i="323"/>
  <c r="S39" i="323"/>
  <c r="R39" i="323"/>
  <c r="AI38" i="323"/>
  <c r="AJ38" i="323" s="1"/>
  <c r="U38" i="323"/>
  <c r="T38" i="323"/>
  <c r="S38" i="323"/>
  <c r="R38" i="323"/>
  <c r="AI37" i="323"/>
  <c r="AJ37" i="323" s="1"/>
  <c r="U37" i="323"/>
  <c r="T37" i="323"/>
  <c r="S37" i="323"/>
  <c r="R37" i="323"/>
  <c r="AI36" i="323"/>
  <c r="U36" i="323"/>
  <c r="T36" i="323"/>
  <c r="S36" i="323"/>
  <c r="R36" i="323"/>
  <c r="AI35" i="323"/>
  <c r="U35" i="323"/>
  <c r="T35" i="323"/>
  <c r="S35" i="323"/>
  <c r="R35" i="323"/>
  <c r="AI34" i="323"/>
  <c r="AJ34" i="323" s="1"/>
  <c r="U34" i="323"/>
  <c r="T34" i="323"/>
  <c r="S34" i="323"/>
  <c r="R34" i="323"/>
  <c r="AI33" i="323"/>
  <c r="AJ33" i="323" s="1"/>
  <c r="U33" i="323"/>
  <c r="T33" i="323"/>
  <c r="S33" i="323"/>
  <c r="R33" i="323"/>
  <c r="AI32" i="323"/>
  <c r="U32" i="323"/>
  <c r="T32" i="323"/>
  <c r="S32" i="323"/>
  <c r="R32" i="323"/>
  <c r="AI31" i="323"/>
  <c r="U31" i="323"/>
  <c r="T31" i="323"/>
  <c r="S31" i="323"/>
  <c r="R31" i="323"/>
  <c r="AI30" i="323"/>
  <c r="U30" i="323"/>
  <c r="T30" i="323"/>
  <c r="S30" i="323"/>
  <c r="R30" i="323"/>
  <c r="AI29" i="323"/>
  <c r="U29" i="323"/>
  <c r="T29" i="323"/>
  <c r="S29" i="323"/>
  <c r="R29" i="323"/>
  <c r="AI28" i="323"/>
  <c r="AJ28" i="323" s="1"/>
  <c r="U28" i="323"/>
  <c r="T28" i="323"/>
  <c r="S28" i="323"/>
  <c r="R28" i="323"/>
  <c r="AA27" i="323"/>
  <c r="AI27" i="323" s="1"/>
  <c r="AJ27" i="323" s="1"/>
  <c r="U27" i="323"/>
  <c r="T27" i="323"/>
  <c r="S27" i="323"/>
  <c r="R27" i="323"/>
  <c r="AA26" i="323"/>
  <c r="AI26" i="323" s="1"/>
  <c r="U26" i="323"/>
  <c r="T26" i="323"/>
  <c r="S26" i="323"/>
  <c r="R26" i="323"/>
  <c r="AA25" i="323"/>
  <c r="AI25" i="323" s="1"/>
  <c r="AJ25" i="323" s="1"/>
  <c r="U25" i="323"/>
  <c r="T25" i="323"/>
  <c r="S25" i="323"/>
  <c r="R25" i="323"/>
  <c r="AA24" i="323"/>
  <c r="AI24" i="323" s="1"/>
  <c r="U24" i="323"/>
  <c r="T24" i="323"/>
  <c r="S24" i="323"/>
  <c r="R24" i="323"/>
  <c r="AA23" i="323"/>
  <c r="AI23" i="323" s="1"/>
  <c r="U23" i="323"/>
  <c r="T23" i="323"/>
  <c r="S23" i="323"/>
  <c r="R23" i="323"/>
  <c r="AA22" i="323"/>
  <c r="AI22" i="323" s="1"/>
  <c r="U22" i="323"/>
  <c r="T22" i="323"/>
  <c r="S22" i="323"/>
  <c r="R22" i="323"/>
  <c r="AA21" i="323"/>
  <c r="AI21" i="323" s="1"/>
  <c r="U21" i="323"/>
  <c r="T21" i="323"/>
  <c r="S21" i="323"/>
  <c r="R21" i="323"/>
  <c r="AA20" i="323"/>
  <c r="X20" i="323"/>
  <c r="AI20" i="323" s="1"/>
  <c r="AJ20" i="323" s="1"/>
  <c r="U20" i="323"/>
  <c r="T20" i="323"/>
  <c r="S20" i="323"/>
  <c r="R20" i="323"/>
  <c r="AA19" i="323"/>
  <c r="X19" i="323"/>
  <c r="AI19" i="323" s="1"/>
  <c r="AJ19" i="323" s="1"/>
  <c r="U19" i="323"/>
  <c r="T19" i="323"/>
  <c r="S19" i="323"/>
  <c r="R19" i="323"/>
  <c r="AA18" i="323"/>
  <c r="X18" i="323"/>
  <c r="AI18" i="323" s="1"/>
  <c r="AJ18" i="323" s="1"/>
  <c r="U18" i="323"/>
  <c r="T18" i="323"/>
  <c r="S18" i="323"/>
  <c r="R18" i="323"/>
  <c r="AA17" i="323"/>
  <c r="X17" i="323"/>
  <c r="AI17" i="323" s="1"/>
  <c r="AJ17" i="323" s="1"/>
  <c r="U17" i="323"/>
  <c r="T17" i="323"/>
  <c r="S17" i="323"/>
  <c r="R17" i="323"/>
  <c r="AA16" i="323"/>
  <c r="X16" i="323"/>
  <c r="U16" i="323"/>
  <c r="T16" i="323"/>
  <c r="S16" i="323"/>
  <c r="R16" i="323"/>
  <c r="AA15" i="323"/>
  <c r="X15" i="323"/>
  <c r="AI15" i="323" s="1"/>
  <c r="AJ15" i="323" s="1"/>
  <c r="U15" i="323"/>
  <c r="T15" i="323"/>
  <c r="S15" i="323"/>
  <c r="R15" i="323"/>
  <c r="AI14" i="323"/>
  <c r="AJ14" i="323" s="1"/>
  <c r="AA14" i="323"/>
  <c r="X14" i="323"/>
  <c r="U14" i="323"/>
  <c r="T14" i="323"/>
  <c r="S14" i="323"/>
  <c r="R14" i="323"/>
  <c r="AI13" i="323"/>
  <c r="AA13" i="323"/>
  <c r="U13" i="323"/>
  <c r="T13" i="323"/>
  <c r="S13" i="323"/>
  <c r="R13" i="323"/>
  <c r="AJ13" i="323" s="1"/>
  <c r="AA12" i="323"/>
  <c r="X12" i="323"/>
  <c r="U12" i="323"/>
  <c r="T12" i="323"/>
  <c r="S12" i="323"/>
  <c r="R12" i="323"/>
  <c r="AA11" i="323"/>
  <c r="AI11" i="323" s="1"/>
  <c r="AJ11" i="323" s="1"/>
  <c r="U11" i="323"/>
  <c r="T11" i="323"/>
  <c r="S11" i="323"/>
  <c r="R11" i="323"/>
  <c r="AI10" i="323"/>
  <c r="AA10" i="323"/>
  <c r="U10" i="323"/>
  <c r="T10" i="323"/>
  <c r="S10" i="323"/>
  <c r="R10" i="323"/>
  <c r="AI9" i="323"/>
  <c r="AA9" i="323"/>
  <c r="U9" i="323"/>
  <c r="T9" i="323"/>
  <c r="S9" i="323"/>
  <c r="R9" i="323"/>
  <c r="AJ9" i="323" s="1"/>
  <c r="AI8" i="323"/>
  <c r="AA8" i="323"/>
  <c r="U8" i="323"/>
  <c r="T8" i="323"/>
  <c r="S8" i="323"/>
  <c r="R8" i="323"/>
  <c r="AI7" i="323"/>
  <c r="AA7" i="323"/>
  <c r="U7" i="323"/>
  <c r="T7" i="323"/>
  <c r="S7" i="323"/>
  <c r="R7" i="323"/>
  <c r="AJ7" i="323" s="1"/>
  <c r="AA6" i="323"/>
  <c r="AI6" i="323" s="1"/>
  <c r="U6" i="323"/>
  <c r="T6" i="323"/>
  <c r="S6" i="323"/>
  <c r="R6" i="323"/>
  <c r="AA5" i="323"/>
  <c r="AI5" i="323" s="1"/>
  <c r="X5" i="323"/>
  <c r="U5" i="323"/>
  <c r="T5" i="323"/>
  <c r="S5" i="323"/>
  <c r="R5" i="323"/>
  <c r="AA4" i="323"/>
  <c r="X4" i="323"/>
  <c r="AI4" i="323" s="1"/>
  <c r="AJ4" i="323" s="1"/>
  <c r="U4" i="323"/>
  <c r="T4" i="323"/>
  <c r="S4" i="323"/>
  <c r="R4" i="323"/>
  <c r="AA3" i="323"/>
  <c r="AI3" i="323" s="1"/>
  <c r="U3" i="323"/>
  <c r="T3" i="323"/>
  <c r="S3" i="323"/>
  <c r="R3" i="323"/>
  <c r="AJ49" i="323" l="1"/>
  <c r="AJ10" i="323"/>
  <c r="AJ32" i="323"/>
  <c r="AJ8" i="323"/>
  <c r="AJ24" i="323"/>
  <c r="AJ6" i="323"/>
  <c r="AJ22" i="323"/>
  <c r="AJ26" i="323"/>
  <c r="AJ30" i="323"/>
  <c r="AJ42" i="323"/>
  <c r="AJ47" i="323"/>
  <c r="AJ60" i="323"/>
  <c r="AJ62" i="323"/>
  <c r="AJ66" i="323"/>
  <c r="AJ71" i="323"/>
  <c r="AJ82" i="323"/>
  <c r="AJ5" i="323"/>
  <c r="AI12" i="323"/>
  <c r="AJ12" i="323" s="1"/>
  <c r="AJ35" i="323"/>
  <c r="AJ43" i="323"/>
  <c r="AJ45" i="323"/>
  <c r="AJ53" i="323"/>
  <c r="AJ67" i="323"/>
  <c r="AJ69" i="323"/>
  <c r="AI16" i="323"/>
  <c r="AJ16" i="323" s="1"/>
  <c r="AJ23" i="323"/>
  <c r="AJ31" i="323"/>
  <c r="AJ83" i="323"/>
  <c r="AJ3" i="323"/>
  <c r="AJ21" i="323"/>
  <c r="AJ36" i="323"/>
  <c r="AJ54" i="323"/>
  <c r="AJ78" i="323"/>
  <c r="AJ29" i="323"/>
  <c r="AJ41" i="323"/>
  <c r="AJ55" i="323"/>
  <c r="AJ57" i="323"/>
  <c r="AJ79" i="323"/>
  <c r="AJ48" i="323"/>
  <c r="AJ50" i="323"/>
  <c r="AJ72" i="323"/>
  <c r="AJ74" i="323"/>
  <c r="AJ46" i="323"/>
  <c r="AJ70" i="323"/>
  <c r="AJ81" i="323"/>
  <c r="AJ77" i="323"/>
  <c r="C1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INTEL</author>
  </authors>
  <commentList>
    <comment ref="Z75" authorId="0" shapeId="0" xr:uid="{4BD71143-3EDA-4E6D-9C25-44F1F4C8EC2D}">
      <text>
        <r>
          <rPr>
            <b/>
            <sz val="9"/>
            <color indexed="81"/>
            <rFont val="Tahoma"/>
            <family val="2"/>
          </rPr>
          <t>RIJEK FINAL BARANG ADA DIMAJA</t>
        </r>
      </text>
    </comment>
  </commentList>
</comments>
</file>

<file path=xl/sharedStrings.xml><?xml version="1.0" encoding="utf-8"?>
<sst xmlns="http://schemas.openxmlformats.org/spreadsheetml/2006/main" count="722" uniqueCount="214">
  <si>
    <t>DATA FILE</t>
  </si>
  <si>
    <t>PATH FIALE</t>
  </si>
  <si>
    <t>-</t>
  </si>
  <si>
    <t>ENTITAS</t>
  </si>
  <si>
    <t>Source</t>
  </si>
  <si>
    <t>Result</t>
  </si>
  <si>
    <t>\\10.8.0.35\Bersama\IT\RPA 00\Monitoring Performance Shipment\Results\Monitoring Performance Shipment.xlsx</t>
  </si>
  <si>
    <t>PERIODE</t>
  </si>
  <si>
    <t>PERIODE H-MIN</t>
  </si>
  <si>
    <t>TAHUN</t>
  </si>
  <si>
    <t>BULAN</t>
  </si>
  <si>
    <t>Ex-Fact.Date</t>
  </si>
  <si>
    <t>PRODUKSI</t>
  </si>
  <si>
    <t>PLACING EXSPORT</t>
  </si>
  <si>
    <t>PIC</t>
  </si>
  <si>
    <t>PIC PACKING</t>
  </si>
  <si>
    <t>BUYER</t>
  </si>
  <si>
    <t>STYLE#</t>
  </si>
  <si>
    <t>ARTIKEL#</t>
  </si>
  <si>
    <t>SUPPLIER KAIN</t>
  </si>
  <si>
    <t>TERIMA KAIN</t>
  </si>
  <si>
    <t>WO#</t>
  </si>
  <si>
    <t>ORDER (PCS)</t>
  </si>
  <si>
    <t>QTY CUTT (PCS)</t>
  </si>
  <si>
    <t>OUTPUT SEWING</t>
  </si>
  <si>
    <t>QTY EXP (PCS)</t>
  </si>
  <si>
    <t>BALANCE SHIP FROM CUTT</t>
  </si>
  <si>
    <t>OVERSHIP GMT EXPORT FROM ORDER</t>
  </si>
  <si>
    <t>% EXP FROM ORDER</t>
  </si>
  <si>
    <t>KETERANGAN</t>
  </si>
  <si>
    <t>PENGGUNAAN STOCK (IR)</t>
  </si>
  <si>
    <t>SISA EXPORT</t>
  </si>
  <si>
    <t>GOOD HANCA</t>
  </si>
  <si>
    <t>REJECT GARMENT</t>
  </si>
  <si>
    <t>REJECT CUTTING</t>
  </si>
  <si>
    <t>REJECT SEWING</t>
  </si>
  <si>
    <t>WIP</t>
  </si>
  <si>
    <t>TEST WASH</t>
  </si>
  <si>
    <t>KEEPING SAMPLE</t>
  </si>
  <si>
    <t>GOOD TANPA ACC</t>
  </si>
  <si>
    <t>GRADE B</t>
  </si>
  <si>
    <t>REJECT FABRIC</t>
  </si>
  <si>
    <t>TOTAL</t>
  </si>
  <si>
    <t>Total Balance fr Cutt</t>
  </si>
  <si>
    <t>Utility</t>
  </si>
  <si>
    <t>WEEK</t>
  </si>
  <si>
    <t>% EXP FROM CUTTING</t>
  </si>
  <si>
    <t>GM2</t>
  </si>
  <si>
    <t>KALIBENDA</t>
  </si>
  <si>
    <t>HAKI</t>
  </si>
  <si>
    <t>CLN</t>
  </si>
  <si>
    <t>ANUGERAH</t>
  </si>
  <si>
    <t>YULI</t>
  </si>
  <si>
    <t>JANUARI</t>
  </si>
  <si>
    <t>MAJA 1</t>
  </si>
  <si>
    <t>GM 2</t>
  </si>
  <si>
    <t>\\10.8.0.35\Bersama\IT\RPA 00\Monitoring Performance Shipment\Source\NEW INPUT USER - Monitoring Performance Shipment 2025.xlsx</t>
  </si>
  <si>
    <t>Performance shipment Bulan JANUARI 2025</t>
  </si>
  <si>
    <t>JANUARY</t>
  </si>
  <si>
    <t>HERLAMBANG</t>
  </si>
  <si>
    <t>KANMO RETAIL GROUP</t>
  </si>
  <si>
    <t>MOTHERCARE, CA173</t>
  </si>
  <si>
    <t>MOTHERCARE, CA172</t>
  </si>
  <si>
    <t>MOTHERCARE, EA518</t>
  </si>
  <si>
    <t>MOTHERCARE, BB124</t>
  </si>
  <si>
    <t>MOTHERCARE, BB199</t>
  </si>
  <si>
    <t>MOTHERCARE, BB198</t>
  </si>
  <si>
    <t>MOTHERCARE, BB123</t>
  </si>
  <si>
    <t>MOTHERCARE, CA184</t>
  </si>
  <si>
    <t>MOTHERCARE, LL106</t>
  </si>
  <si>
    <t>MOTHERCARE, LL105</t>
  </si>
  <si>
    <t>MOTHERCARE, EA472</t>
  </si>
  <si>
    <t>MOTHERCARE, LK890</t>
  </si>
  <si>
    <t xml:space="preserve">  </t>
  </si>
  <si>
    <t>MOTHERCARE, LL168</t>
  </si>
  <si>
    <t>MOTHERCARE, EB138</t>
  </si>
  <si>
    <t>MOTHERCARE, EB140</t>
  </si>
  <si>
    <t>MOTHERCARE, LK963</t>
  </si>
  <si>
    <t>MOTHERCARE, LK962</t>
  </si>
  <si>
    <t>MOTHERCARE, LL165</t>
  </si>
  <si>
    <t>MOTHERCARE, LL034</t>
  </si>
  <si>
    <t>ANISA</t>
  </si>
  <si>
    <t>AGRON, INC.</t>
  </si>
  <si>
    <t>MIKROFIBER BOXER 462-B</t>
  </si>
  <si>
    <t>JIANGSU DINGXIN</t>
  </si>
  <si>
    <t>SISA EXPOR 1 PCS  (0,03%), RIJEK GARMEN 28  PCS (0,97%)  RIJECT CUTTING 2 PCS  (0,07%)</t>
  </si>
  <si>
    <t xml:space="preserve">MEMAKSIMALKAN STOCK WO#183922, </t>
  </si>
  <si>
    <t>MIKROFIBER BOXER 462-B (XXL)</t>
  </si>
  <si>
    <t>SISA EXPOR 0 PCS  (0,00%), RIJEK GARMEN 2  PCS (0,12%)  RIJECT CUTTING 1 PCS  (0,06%)</t>
  </si>
  <si>
    <t>MIKROFIBER BOXER 462-D</t>
  </si>
  <si>
    <t>SISA EXPOR 6  PCS  (0,27%), RIJEK GARMEN 10 PCS (0,46%)  RIJECT CUTTING 0 PCS  (0,00%)</t>
  </si>
  <si>
    <t>MEMAKSIMALKAN STOCK WO#183926,</t>
  </si>
  <si>
    <t>MIKROFIBER BOXER 462-D (XXL)</t>
  </si>
  <si>
    <t>SISA EXPOR 0 PCS  (0,00%), RIJEK GARMEN 0 PCS (0,00%)  RIJECT CUTTING 0 PCS  (0,00%)</t>
  </si>
  <si>
    <t>CV PERFORMANCE BOXER 799-B</t>
  </si>
  <si>
    <t>SISA EXPOR 31 PCS  (0,09%), RIJEK GARMEN 56 PCS (0,15%)  RIJECT CUTTING 6 PCS  (0,02%)</t>
  </si>
  <si>
    <t>MEMAKSIMALKAN STOCK WO#183902, SISA EXPOR TIDAK ADA REPEAT ORDER DI KALIBENDA</t>
  </si>
  <si>
    <t>CV PERFORMANCE BOXER 799-D</t>
  </si>
  <si>
    <t>SISA EXPOR  44 PCS  (0,22%), RIJEK GARMEN 1  PCS (0,01%)  RIJECT CUTTING 0 PCS  (0,00%)</t>
  </si>
  <si>
    <t>SISA EXPOR TIDAK ADA REPEAT ORDER DI KALIBENDA</t>
  </si>
  <si>
    <t>GM 1</t>
  </si>
  <si>
    <t>KIKI Z</t>
  </si>
  <si>
    <t>RAHMAN</t>
  </si>
  <si>
    <t>RED WING</t>
  </si>
  <si>
    <t>77135-81</t>
  </si>
  <si>
    <t>61105-57</t>
  </si>
  <si>
    <t>BERGANS</t>
  </si>
  <si>
    <t>QTY ORDER (PCS)</t>
  </si>
  <si>
    <t>Grand Total</t>
  </si>
  <si>
    <t>EXP FROM CUTTING</t>
  </si>
  <si>
    <t>MAJA 2</t>
  </si>
  <si>
    <t>RUDI</t>
  </si>
  <si>
    <t>EVI</t>
  </si>
  <si>
    <t>984800 – G</t>
  </si>
  <si>
    <t>983464 – B</t>
  </si>
  <si>
    <t xml:space="preserve">Reject cutting (0.25%), Reject garment (0.03%) cacat kain, Plan PPIC 2% </t>
  </si>
  <si>
    <t>Sisa ekspor  (0.86%) bisa dipakai PO#997 21 Januari</t>
  </si>
  <si>
    <t>983464 – D</t>
  </si>
  <si>
    <t>Reject garment (0.01%) cacat kain, Plan PPIC 2%</t>
  </si>
  <si>
    <t>Sisa ekspor  (0.66%) bisa dipakai PO#997 27 Januari</t>
  </si>
  <si>
    <t>983464 – E</t>
  </si>
  <si>
    <t>Reject cutting (0.20%), Reject sewing 1/2 jadi (0.07%),  Plan PPIC 2%</t>
  </si>
  <si>
    <t>Sisa ekspor  (0.17%) bisa dipakai PO#997 31 Januari</t>
  </si>
  <si>
    <t>983465 – A</t>
  </si>
  <si>
    <t>Reject sewing 1/2 jadi  (0.29%), Plan PPIC 2%</t>
  </si>
  <si>
    <t>Sisa ekspor  (0.15%) bisa dipakai PO#997 31 Januari</t>
  </si>
  <si>
    <t>983463 – C</t>
  </si>
  <si>
    <t>Plant PPIC 3%  from order, Reject sewing 1/2 jadi (0.24%), Reject garmnet (0.02%)</t>
  </si>
  <si>
    <t>Sisa eskpor (0.27%)  bisa dipakai PO#995 31 Januari</t>
  </si>
  <si>
    <t>982983 – A</t>
  </si>
  <si>
    <t>Plant PPIC 5%  from order, Reject garment (0.01%)</t>
  </si>
  <si>
    <t>Sisa eskpor (0.24%) bisa dipakai PO#999 21 Februari</t>
  </si>
  <si>
    <t>982985 – B</t>
  </si>
  <si>
    <t>Plan PPIC  5% from order, reject garmet (0.04%)</t>
  </si>
  <si>
    <t>Sisa eskpor (0.21%) bisa dipakai PO#996 31 Januari</t>
  </si>
  <si>
    <t>984120 – B</t>
  </si>
  <si>
    <t>Plant PPIC 3%  from order, Reject sewing 1/2 jadi (0.31%), Reject garmnet (0.04%)</t>
  </si>
  <si>
    <t>Plan PPIC 3% from order Tidak ada Elastic col Black jatah overcutt blm datang, Reject garment (1.44%)</t>
  </si>
  <si>
    <t>984120 – C</t>
  </si>
  <si>
    <t xml:space="preserve">Reject  garment (0.12%) </t>
  </si>
  <si>
    <t xml:space="preserve">Sisa eskpor (0.87%)  bisa dipakai PO#994 7 Februari  </t>
  </si>
  <si>
    <t>984120 – E</t>
  </si>
  <si>
    <t>Reject  garment (0.30%), Reject cutting (0.20%), Reject sewing (0.12%) ukuran, bolong</t>
  </si>
  <si>
    <t xml:space="preserve">Sisa eskpor (0.40%)  bisa dipakai PO#1096 Maret  </t>
  </si>
  <si>
    <t>984120 – F</t>
  </si>
  <si>
    <t>Plan PPIC  5% from order, reject garment (0.29%)</t>
  </si>
  <si>
    <t>Sisa eskpor (0.90%)  bisa dipakai PO#1096 Maret</t>
  </si>
  <si>
    <t>984121 – A</t>
  </si>
  <si>
    <t>Sisa eskpor (0.24%)  bisa dipakai PO#1096 Maret</t>
  </si>
  <si>
    <t>982981 – C</t>
  </si>
  <si>
    <t>Plan cutting short -2% from order, Reject garment (0.10%), Reject sewing 1/2 jadi (0.17%)</t>
  </si>
  <si>
    <t xml:space="preserve">Sisa eskpor (0.55%)  tidak ada di next PO </t>
  </si>
  <si>
    <t>982981 – D</t>
  </si>
  <si>
    <t>982979 – D</t>
  </si>
  <si>
    <t>Reject garment (0.02%), Reject sewing 1/2 jadi (0.06%)</t>
  </si>
  <si>
    <t xml:space="preserve">Sisa eskpor (0.20%)  bisa dipakai PO#1098 28 Februari  </t>
  </si>
  <si>
    <t>982979 – E</t>
  </si>
  <si>
    <t>Plan cutting short -2% from order, reject garment (0.16%), reject sewing 1/2 jadi (0.21%), ukuran, bolong</t>
  </si>
  <si>
    <t xml:space="preserve">Sisa eskpor (0.29%)  bisa dipakai PO#1098 28 Februari  </t>
  </si>
  <si>
    <t>Plan cutting short -2% from order</t>
  </si>
  <si>
    <t>982979 – F</t>
  </si>
  <si>
    <t>Reject garment (0.14%)</t>
  </si>
  <si>
    <t xml:space="preserve">Sisa eskpor (0.81%)  bisa dipakai PO#1098 28 Februari  </t>
  </si>
  <si>
    <t>982980 – A</t>
  </si>
  <si>
    <t>Reject sewing 1/2 jadi (0.5%)</t>
  </si>
  <si>
    <t>983119 – B</t>
  </si>
  <si>
    <t>Short cutting from order -0.77%, Reject Sewing bahu besar kecil, Reject Fabric bergaris, Reject kotor noda tidak hilang (tank top)</t>
  </si>
  <si>
    <t>983466 – C</t>
  </si>
  <si>
    <t>Plan PPIC from cutting 2% ,Reject sewing 1/2 jadi (0.02%)</t>
  </si>
  <si>
    <t xml:space="preserve">Sisa eskpor (0.58%)  bisa dipakai PO#997 7 Februari  </t>
  </si>
  <si>
    <t>983465 – B</t>
  </si>
  <si>
    <t>Plan PPIC from cutting 2%, Reject cutting (0.09%)</t>
  </si>
  <si>
    <t xml:space="preserve">Sisa eskpor (0.09%)  bisa dipakai PO#1100 Maret  </t>
  </si>
  <si>
    <t>982983 – B</t>
  </si>
  <si>
    <t>Sisa ekspor (0.38%) tidak ada dinext PO</t>
  </si>
  <si>
    <t>982983 – C</t>
  </si>
  <si>
    <t>Reject garment (0.07%), Reject sewing 1/2 jadi (0.17%) ukuran, bolong</t>
  </si>
  <si>
    <t>Sisa ekspor (0.41%) bisa dipakai PO#996 31 Januari</t>
  </si>
  <si>
    <t>982983 – D</t>
  </si>
  <si>
    <t>Reject garment (0.02%)</t>
  </si>
  <si>
    <t>Sisa ekspor (0.22%) tidak ada dinext PO</t>
  </si>
  <si>
    <t>982984 – A</t>
  </si>
  <si>
    <t>Reject garment (0.09%) Cacat kain</t>
  </si>
  <si>
    <t>Sisa eskpor (0.39%) tidak ada dinext PO</t>
  </si>
  <si>
    <t>Reject sewing 1/2 jadi (0.04%)</t>
  </si>
  <si>
    <t>984799 – B</t>
  </si>
  <si>
    <t>Reject garment (0.00%)</t>
  </si>
  <si>
    <t>Sisa eskpor (0.19%) tidak ada dinext PO</t>
  </si>
  <si>
    <t>MIKROFIBER BOXER 462-I</t>
  </si>
  <si>
    <t>SISA EXPOR 9 PCS  (0,07%), RIJEK GARMEN   17 PCS (0,12%)  RIJECT CUTTING PCS  (0,00%)</t>
  </si>
  <si>
    <t>MEMAKSIMALKAN STOCK WO#183934, SISA EXPOR TIDAK MATCHING TIDAK ADA REPEAT ORDER DI KALIBENDA SISA EXPOR KIRIM KE MAJA2</t>
  </si>
  <si>
    <t>MIKROFIBER BOXER 462-I (XXL)</t>
  </si>
  <si>
    <t>SISA EXPOR 0PCS  (0,00%), RIJEK GARMEN  4  PCS (0,37%)  RIJECT CUTTING PCS  (0,00%)</t>
  </si>
  <si>
    <t>CV PERFORMANCE BOXER 799-G</t>
  </si>
  <si>
    <t>SISA EXPOR 29 PCS  (0,15%), RIJEK GARMEN  32 PCS (0,16%)  RIJECT CUTTING 4 PCS  (0,02%)</t>
  </si>
  <si>
    <t>CV PERFORMANCE BOXER 799-H</t>
  </si>
  <si>
    <t>SISA EXPOR  9 PCS  (0,06%), RIJEK GARMEN 18  PCS (0,11%)  RIJECT CUTTING PCS  (0,00%)</t>
  </si>
  <si>
    <t>SISA EXPOR TIDAK MATCHING TIDAK ADA REPEAT ORDER DI KALIBENDA SISA EXPOR KIRIM KE MAJA2</t>
  </si>
  <si>
    <t>MEN'S LUXE COMFORT 3-PACK BOXER BRIEF 120-A</t>
  </si>
  <si>
    <t>SISA EXPOR  3 PCS  (0,02%), RIJEK GARMEN  30  PCS (0,22%)  RIJECT CUTTING PCS  (0,00%)</t>
  </si>
  <si>
    <t>MEN'S LUXE COMFORT 3-PACK BOXER BRIEF 120-A (XXL)</t>
  </si>
  <si>
    <t>SISA EXPOR 0 PCS  (0,00%), RIJEK GARMEN   0 PCS (0,00%)  RIJECT CUTTING PCS  (0,00%)</t>
  </si>
  <si>
    <t>M CV PRF 4-PACK BOXER BRIEF 800-B</t>
  </si>
  <si>
    <t>SISA EXPOR 22  PCS  (0,05%), RIJEK GARMEN  90  PCS (0,19%)  RIJECT CUTTING PCS  (0,00%)</t>
  </si>
  <si>
    <t>SISA EXPOR TIDAK MATCHING DAPAT DIGUNAKAN UNTUK MEMAKSIMALKAN EXPOR PO-0000933  WO#184491 RUNNING KALIBENDA</t>
  </si>
  <si>
    <t>M CV PRF 4-PACK BOXER BRIEF 800-E</t>
  </si>
  <si>
    <t>SISA EXPOR 2 PCS  (0,03%), RIJEK GARMEN 6 PCS (0,08%)  RIJECT CUTTING PCS  (0,00%)</t>
  </si>
  <si>
    <t>SISA EXPOR TIDAK MATCHING DAPAT DIGUNAKAN UNTUK MEMAKSIMALKAN EXPOR PO-0000933  WO#184492  RUNNING KALIBENDA</t>
  </si>
  <si>
    <t>M CV PRF 3-PACK BOXER BRIEF 799-A</t>
  </si>
  <si>
    <t>SISA EXPOR  0 PCS  (0,00%), RIJEK GARMEN  12 PCS (0,22%)  RIJECT CUTTING PCS  (0,00%)</t>
  </si>
  <si>
    <t>SISA EXPOR  0 PCS  (0,00%), RIJEK GARMEN 34  PCS (0,23%)  RIJECT CUTTING PCS  (0,00%)</t>
  </si>
  <si>
    <r>
      <t>MEMAKSIMALKAN STOCK WO#183785, SISA EXPOR TIDAK MATCHING DAPAT DIGUNAKAN UNTUK MEMAKSIMALKAN EXPOR PO</t>
    </r>
    <r>
      <rPr>
        <sz val="11"/>
        <color rgb="FF000000"/>
        <rFont val="Trebuchet MS"/>
        <family val="2"/>
      </rPr>
      <t>'0000993</t>
    </r>
    <r>
      <rPr>
        <sz val="11"/>
        <color indexed="8"/>
        <rFont val="Trebuchet MS"/>
        <family val="2"/>
      </rPr>
      <t xml:space="preserve"> WO#184493 RUNNING KALIBENDA</t>
    </r>
  </si>
  <si>
    <t>WO MEET TARGET</t>
  </si>
  <si>
    <t>WO NOT MEET TARGET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</si>
</sst>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%;[Red]\-0.00%"/>
    <numFmt numFmtId="165" formatCode="_(* #,##0_);_(* \(#,##0\);_(* \-_);_(@_)"/>
    <numFmt numFmtId="166" formatCode="[$-409]d\-mmm\-yyyy;@"/>
    <numFmt numFmtId="167" formatCode="#,##0_ ;[Red]\-#,##0\ "/>
    <numFmt numFmtId="168" formatCode="0.0%"/>
    <numFmt numFmtId="169" formatCode="_(* #,##0_);_(* \(#,##0\);_(* &quot;-&quot;??_);_(@_)"/>
  </numFmts>
  <fonts count="2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charset val="1"/>
    </font>
    <font>
      <sz val="10"/>
      <name val="Arial"/>
      <family val="2"/>
    </font>
    <font>
      <b/>
      <sz val="11"/>
      <name val="Trebuchet MS"/>
      <family val="2"/>
    </font>
    <font>
      <b/>
      <sz val="18"/>
      <color theme="0"/>
      <name val="Century Gothic"/>
      <family val="2"/>
    </font>
    <font>
      <sz val="11"/>
      <color rgb="FF0099CC"/>
      <name val="Trebuchet MS"/>
      <family val="2"/>
    </font>
    <font>
      <sz val="11"/>
      <color theme="1"/>
      <name val="Trebuchet MS"/>
      <family val="2"/>
    </font>
    <font>
      <b/>
      <sz val="22"/>
      <color theme="1"/>
      <name val="Century Gothic"/>
      <family val="2"/>
    </font>
    <font>
      <b/>
      <sz val="12"/>
      <color rgb="FFFFFFFF"/>
      <name val="Trebuchet MS"/>
      <family val="2"/>
    </font>
    <font>
      <sz val="10"/>
      <name val="Mangal"/>
      <family val="2"/>
    </font>
    <font>
      <sz val="11"/>
      <name val="Trebuchet MS"/>
      <family val="2"/>
    </font>
    <font>
      <sz val="11"/>
      <color indexed="8"/>
      <name val="Trebuchet MS"/>
      <family val="2"/>
    </font>
    <font>
      <sz val="11"/>
      <color theme="1"/>
      <name val="Calibri"/>
      <family val="2"/>
      <scheme val="minor"/>
    </font>
    <font>
      <sz val="10"/>
      <name val="Arial"/>
      <family val="2"/>
      <charset val="1"/>
    </font>
    <font>
      <b/>
      <sz val="11"/>
      <color theme="1"/>
      <name val="Trebuchet MS"/>
      <family val="2"/>
    </font>
    <font>
      <b/>
      <sz val="11"/>
      <color indexed="8"/>
      <name val="Trebuchet MS"/>
      <family val="2"/>
    </font>
    <font>
      <sz val="11"/>
      <color rgb="FFFFFFFF"/>
      <name val="Calibri"/>
      <family val="2"/>
      <scheme val="minor"/>
    </font>
    <font>
      <b/>
      <sz val="22"/>
      <color rgb="FF000000"/>
      <name val="Century Gothic"/>
      <family val="2"/>
    </font>
    <font>
      <b/>
      <sz val="9"/>
      <color indexed="81"/>
      <name val="Tahoma"/>
      <family val="2"/>
    </font>
    <font>
      <b/>
      <sz val="11"/>
      <color rgb="FFFF0000"/>
      <name val="Trebuchet MS"/>
      <family val="2"/>
    </font>
    <font>
      <b/>
      <sz val="11"/>
      <color theme="1" tint="4.9989318521683403E-2"/>
      <name val="Trebuchet MS"/>
      <family val="2"/>
    </font>
    <font>
      <sz val="11"/>
      <color rgb="FF000000"/>
      <name val="Trebuchet MS"/>
      <family val="2"/>
    </font>
  </fonts>
  <fills count="10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rgb="FF003548"/>
        <bgColor indexed="64"/>
      </patternFill>
    </fill>
    <fill>
      <patternFill patternType="solid">
        <fgColor rgb="FFE5F8FF"/>
        <bgColor indexed="64"/>
      </patternFill>
    </fill>
    <fill>
      <patternFill patternType="solid">
        <fgColor rgb="FF97D3D9"/>
        <bgColor rgb="FFF7EFFF"/>
      </patternFill>
    </fill>
    <fill>
      <patternFill patternType="solid">
        <fgColor rgb="FF1F4C51"/>
        <bgColor rgb="FFF7EFFF"/>
      </patternFill>
    </fill>
    <fill>
      <patternFill patternType="solid">
        <fgColor rgb="FFFFFFFF"/>
        <bgColor rgb="FFF7EFFF"/>
      </patternFill>
    </fill>
    <fill>
      <patternFill patternType="solid">
        <fgColor rgb="FFFFFF00"/>
        <bgColor rgb="FFF7EFFF"/>
      </patternFill>
    </fill>
    <fill>
      <patternFill patternType="solid">
        <fgColor rgb="FFC6E0B4"/>
        <bgColor rgb="FFF7EFFF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rgb="FF00B0F0"/>
      </top>
      <bottom style="thin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2" fillId="0" borderId="0"/>
    <xf numFmtId="0" fontId="3" fillId="0" borderId="0"/>
    <xf numFmtId="165" fontId="10" fillId="0" borderId="0" applyFill="0" applyBorder="0" applyAlignment="0" applyProtection="0"/>
    <xf numFmtId="0" fontId="2" fillId="0" borderId="0"/>
    <xf numFmtId="9" fontId="10" fillId="0" borderId="0" applyFill="0" applyBorder="0" applyAlignment="0" applyProtection="0"/>
    <xf numFmtId="0" fontId="14" fillId="0" borderId="0"/>
    <xf numFmtId="0" fontId="2" fillId="0" borderId="0"/>
    <xf numFmtId="9" fontId="13" fillId="0" borderId="0" applyFont="0" applyFill="0" applyBorder="0" applyAlignment="0" applyProtection="0"/>
  </cellStyleXfs>
  <cellXfs count="82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1" fillId="4" borderId="1" xfId="1" applyFill="1" applyBorder="1"/>
    <xf numFmtId="0" fontId="0" fillId="4" borderId="1" xfId="0" applyFill="1" applyBorder="1"/>
    <xf numFmtId="0" fontId="6" fillId="2" borderId="1" xfId="0" applyFont="1" applyFill="1" applyBorder="1" applyAlignment="1">
      <alignment horizontal="center" vertical="center"/>
    </xf>
    <xf numFmtId="0" fontId="9" fillId="6" borderId="2" xfId="2" applyFont="1" applyFill="1" applyBorder="1" applyAlignment="1">
      <alignment horizontal="center" vertical="center"/>
    </xf>
    <xf numFmtId="0" fontId="9" fillId="6" borderId="2" xfId="2" applyFont="1" applyFill="1" applyBorder="1" applyAlignment="1">
      <alignment horizontal="center" vertical="center" wrapText="1"/>
    </xf>
    <xf numFmtId="38" fontId="9" fillId="6" borderId="2" xfId="2" applyNumberFormat="1" applyFont="1" applyFill="1" applyBorder="1" applyAlignment="1">
      <alignment horizontal="center" vertical="center" wrapText="1"/>
    </xf>
    <xf numFmtId="3" fontId="9" fillId="6" borderId="2" xfId="2" applyNumberFormat="1" applyFont="1" applyFill="1" applyBorder="1" applyAlignment="1">
      <alignment horizontal="center" vertical="center" wrapText="1"/>
    </xf>
    <xf numFmtId="0" fontId="9" fillId="6" borderId="2" xfId="3" applyFont="1" applyFill="1" applyBorder="1" applyAlignment="1">
      <alignment horizontal="center" vertical="center" wrapText="1"/>
    </xf>
    <xf numFmtId="0" fontId="7" fillId="7" borderId="2" xfId="0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left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12" fillId="8" borderId="2" xfId="2" applyFont="1" applyFill="1" applyBorder="1" applyAlignment="1">
      <alignment horizontal="center" vertical="center"/>
    </xf>
    <xf numFmtId="0" fontId="11" fillId="7" borderId="2" xfId="2" applyFont="1" applyFill="1" applyBorder="1" applyAlignment="1">
      <alignment horizontal="center" vertical="center"/>
    </xf>
    <xf numFmtId="0" fontId="11" fillId="8" borderId="2" xfId="2" applyFont="1" applyFill="1" applyBorder="1" applyAlignment="1">
      <alignment horizontal="center" vertical="center"/>
    </xf>
    <xf numFmtId="166" fontId="7" fillId="8" borderId="2" xfId="0" applyNumberFormat="1" applyFont="1" applyFill="1" applyBorder="1" applyAlignment="1">
      <alignment horizontal="center"/>
    </xf>
    <xf numFmtId="0" fontId="11" fillId="8" borderId="2" xfId="8" applyFont="1" applyFill="1" applyBorder="1" applyAlignment="1">
      <alignment horizontal="center" vertical="center"/>
    </xf>
    <xf numFmtId="38" fontId="7" fillId="8" borderId="2" xfId="0" applyNumberFormat="1" applyFont="1" applyFill="1" applyBorder="1" applyAlignment="1">
      <alignment horizontal="center" vertical="center"/>
    </xf>
    <xf numFmtId="164" fontId="11" fillId="8" borderId="2" xfId="0" applyNumberFormat="1" applyFont="1" applyFill="1" applyBorder="1" applyAlignment="1">
      <alignment horizontal="center" vertical="center"/>
    </xf>
    <xf numFmtId="0" fontId="16" fillId="8" borderId="2" xfId="2" applyFont="1" applyFill="1" applyBorder="1" applyAlignment="1">
      <alignment horizontal="center" vertical="center"/>
    </xf>
    <xf numFmtId="38" fontId="15" fillId="8" borderId="2" xfId="0" applyNumberFormat="1" applyFont="1" applyFill="1" applyBorder="1" applyAlignment="1">
      <alignment horizontal="center" vertical="center"/>
    </xf>
    <xf numFmtId="38" fontId="11" fillId="8" borderId="2" xfId="8" applyNumberFormat="1" applyFont="1" applyFill="1" applyBorder="1" applyAlignment="1">
      <alignment horizontal="center" vertical="center"/>
    </xf>
    <xf numFmtId="166" fontId="7" fillId="7" borderId="2" xfId="0" applyNumberFormat="1" applyFont="1" applyFill="1" applyBorder="1" applyAlignment="1">
      <alignment horizontal="center"/>
    </xf>
    <xf numFmtId="0" fontId="16" fillId="7" borderId="2" xfId="2" applyFont="1" applyFill="1" applyBorder="1" applyAlignment="1">
      <alignment horizontal="center" vertical="center"/>
    </xf>
    <xf numFmtId="167" fontId="7" fillId="7" borderId="2" xfId="0" applyNumberFormat="1" applyFont="1" applyFill="1" applyBorder="1" applyAlignment="1">
      <alignment horizontal="center" vertical="center"/>
    </xf>
    <xf numFmtId="38" fontId="7" fillId="7" borderId="2" xfId="0" applyNumberFormat="1" applyFont="1" applyFill="1" applyBorder="1" applyAlignment="1">
      <alignment horizontal="center" vertical="center"/>
    </xf>
    <xf numFmtId="164" fontId="11" fillId="7" borderId="2" xfId="0" applyNumberFormat="1" applyFont="1" applyFill="1" applyBorder="1" applyAlignment="1">
      <alignment horizontal="center" vertical="center"/>
    </xf>
    <xf numFmtId="14" fontId="7" fillId="7" borderId="2" xfId="0" applyNumberFormat="1" applyFont="1" applyFill="1" applyBorder="1" applyAlignment="1">
      <alignment horizontal="center"/>
    </xf>
    <xf numFmtId="14" fontId="7" fillId="8" borderId="2" xfId="0" applyNumberFormat="1" applyFont="1" applyFill="1" applyBorder="1" applyAlignment="1">
      <alignment horizontal="center"/>
    </xf>
    <xf numFmtId="0" fontId="11" fillId="8" borderId="2" xfId="0" applyFont="1" applyFill="1" applyBorder="1" applyAlignment="1">
      <alignment horizontal="center"/>
    </xf>
    <xf numFmtId="164" fontId="7" fillId="7" borderId="2" xfId="10" applyNumberFormat="1" applyFont="1" applyFill="1" applyBorder="1" applyAlignment="1">
      <alignment horizontal="center"/>
    </xf>
    <xf numFmtId="164" fontId="7" fillId="8" borderId="2" xfId="10" applyNumberFormat="1" applyFont="1" applyFill="1" applyBorder="1" applyAlignment="1">
      <alignment horizontal="center"/>
    </xf>
    <xf numFmtId="38" fontId="16" fillId="8" borderId="2" xfId="2" applyNumberFormat="1" applyFont="1" applyFill="1" applyBorder="1" applyAlignment="1">
      <alignment horizontal="center" vertical="center"/>
    </xf>
    <xf numFmtId="38" fontId="12" fillId="8" borderId="2" xfId="2" applyNumberFormat="1" applyFont="1" applyFill="1" applyBorder="1" applyAlignment="1">
      <alignment horizontal="center" vertical="center"/>
    </xf>
    <xf numFmtId="38" fontId="4" fillId="8" borderId="2" xfId="2" applyNumberFormat="1" applyFont="1" applyFill="1" applyBorder="1" applyAlignment="1">
      <alignment horizontal="center" vertical="center"/>
    </xf>
    <xf numFmtId="3" fontId="7" fillId="7" borderId="2" xfId="0" applyNumberFormat="1" applyFont="1" applyFill="1" applyBorder="1" applyAlignment="1">
      <alignment horizontal="center" vertical="center"/>
    </xf>
    <xf numFmtId="38" fontId="12" fillId="7" borderId="2" xfId="2" applyNumberFormat="1" applyFont="1" applyFill="1" applyBorder="1" applyAlignment="1">
      <alignment horizontal="center" vertical="center"/>
    </xf>
    <xf numFmtId="0" fontId="12" fillId="7" borderId="2" xfId="2" quotePrefix="1" applyFont="1" applyFill="1" applyBorder="1" applyAlignment="1">
      <alignment horizontal="center" vertical="center"/>
    </xf>
    <xf numFmtId="0" fontId="12" fillId="7" borderId="2" xfId="2" applyFont="1" applyFill="1" applyBorder="1" applyAlignment="1">
      <alignment horizontal="center" vertical="center"/>
    </xf>
    <xf numFmtId="0" fontId="0" fillId="0" borderId="2" xfId="0" applyBorder="1"/>
    <xf numFmtId="169" fontId="0" fillId="0" borderId="2" xfId="0" applyNumberFormat="1" applyBorder="1"/>
    <xf numFmtId="168" fontId="0" fillId="0" borderId="2" xfId="0" applyNumberFormat="1" applyBorder="1"/>
    <xf numFmtId="0" fontId="0" fillId="9" borderId="2" xfId="0" applyFill="1" applyBorder="1"/>
    <xf numFmtId="169" fontId="0" fillId="9" borderId="2" xfId="0" applyNumberFormat="1" applyFill="1" applyBorder="1"/>
    <xf numFmtId="168" fontId="0" fillId="9" borderId="2" xfId="0" applyNumberFormat="1" applyFill="1" applyBorder="1"/>
    <xf numFmtId="0" fontId="0" fillId="0" borderId="2" xfId="0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9" fillId="6" borderId="2" xfId="0" applyFont="1" applyFill="1" applyBorder="1" applyAlignment="1">
      <alignment horizontal="center" vertical="center" wrapText="1"/>
    </xf>
    <xf numFmtId="0" fontId="17" fillId="6" borderId="2" xfId="0" applyFont="1" applyFill="1" applyBorder="1" applyAlignment="1">
      <alignment horizontal="center"/>
    </xf>
    <xf numFmtId="0" fontId="17" fillId="6" borderId="2" xfId="0" applyFont="1" applyFill="1" applyBorder="1"/>
    <xf numFmtId="169" fontId="17" fillId="6" borderId="2" xfId="0" applyNumberFormat="1" applyFont="1" applyFill="1" applyBorder="1"/>
    <xf numFmtId="168" fontId="17" fillId="6" borderId="2" xfId="0" applyNumberFormat="1" applyFont="1" applyFill="1" applyBorder="1"/>
    <xf numFmtId="166" fontId="7" fillId="7" borderId="2" xfId="0" applyNumberFormat="1" applyFont="1" applyFill="1" applyBorder="1" applyAlignment="1">
      <alignment horizontal="center" vertical="center"/>
    </xf>
    <xf numFmtId="0" fontId="11" fillId="7" borderId="2" xfId="8" applyFont="1" applyFill="1" applyBorder="1" applyAlignment="1">
      <alignment horizontal="center" vertical="center"/>
    </xf>
    <xf numFmtId="38" fontId="11" fillId="7" borderId="2" xfId="8" applyNumberFormat="1" applyFont="1" applyFill="1" applyBorder="1" applyAlignment="1">
      <alignment horizontal="center" vertical="center"/>
    </xf>
    <xf numFmtId="167" fontId="11" fillId="7" borderId="2" xfId="0" applyNumberFormat="1" applyFont="1" applyFill="1" applyBorder="1" applyAlignment="1">
      <alignment horizontal="center" vertical="center"/>
    </xf>
    <xf numFmtId="166" fontId="7" fillId="8" borderId="2" xfId="0" applyNumberFormat="1" applyFont="1" applyFill="1" applyBorder="1" applyAlignment="1">
      <alignment horizontal="center" vertical="center"/>
    </xf>
    <xf numFmtId="167" fontId="7" fillId="8" borderId="2" xfId="0" applyNumberFormat="1" applyFont="1" applyFill="1" applyBorder="1" applyAlignment="1">
      <alignment horizontal="center" vertical="center"/>
    </xf>
    <xf numFmtId="167" fontId="11" fillId="8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166" fontId="7" fillId="0" borderId="2" xfId="0" applyNumberFormat="1" applyFont="1" applyFill="1" applyBorder="1" applyAlignment="1">
      <alignment horizontal="center" vertical="center"/>
    </xf>
    <xf numFmtId="0" fontId="11" fillId="0" borderId="2" xfId="2" applyFont="1" applyFill="1" applyBorder="1" applyAlignment="1">
      <alignment horizontal="center" vertical="center"/>
    </xf>
    <xf numFmtId="0" fontId="16" fillId="0" borderId="2" xfId="2" applyFont="1" applyFill="1" applyBorder="1" applyAlignment="1">
      <alignment horizontal="center" vertical="center"/>
    </xf>
    <xf numFmtId="38" fontId="7" fillId="0" borderId="2" xfId="0" applyNumberFormat="1" applyFont="1" applyFill="1" applyBorder="1" applyAlignment="1">
      <alignment horizontal="center" vertical="center"/>
    </xf>
    <xf numFmtId="164" fontId="11" fillId="0" borderId="2" xfId="0" applyNumberFormat="1" applyFont="1" applyFill="1" applyBorder="1" applyAlignment="1">
      <alignment horizontal="center" vertical="center"/>
    </xf>
    <xf numFmtId="167" fontId="7" fillId="0" borderId="2" xfId="0" applyNumberFormat="1" applyFont="1" applyFill="1" applyBorder="1" applyAlignment="1">
      <alignment horizontal="center" vertical="center"/>
    </xf>
    <xf numFmtId="0" fontId="20" fillId="7" borderId="2" xfId="2" applyFont="1" applyFill="1" applyBorder="1" applyAlignment="1">
      <alignment horizontal="center" vertical="center"/>
    </xf>
    <xf numFmtId="38" fontId="16" fillId="7" borderId="2" xfId="2" applyNumberFormat="1" applyFont="1" applyFill="1" applyBorder="1" applyAlignment="1">
      <alignment horizontal="center" vertical="center"/>
    </xf>
    <xf numFmtId="38" fontId="11" fillId="7" borderId="2" xfId="0" applyNumberFormat="1" applyFont="1" applyFill="1" applyBorder="1" applyAlignment="1">
      <alignment horizontal="center" vertical="center"/>
    </xf>
    <xf numFmtId="0" fontId="21" fillId="7" borderId="2" xfId="2" applyFont="1" applyFill="1" applyBorder="1" applyAlignment="1">
      <alignment horizontal="center" vertical="center"/>
    </xf>
    <xf numFmtId="38" fontId="11" fillId="8" borderId="2" xfId="0" applyNumberFormat="1" applyFont="1" applyFill="1" applyBorder="1" applyAlignment="1">
      <alignment horizontal="center" vertical="center"/>
    </xf>
    <xf numFmtId="3" fontId="7" fillId="0" borderId="2" xfId="0" applyNumberFormat="1" applyFont="1" applyFill="1" applyBorder="1" applyAlignment="1">
      <alignment horizontal="center" vertical="center"/>
    </xf>
    <xf numFmtId="38" fontId="12" fillId="0" borderId="2" xfId="2" applyNumberFormat="1" applyFont="1" applyFill="1" applyBorder="1" applyAlignment="1">
      <alignment horizontal="center" vertical="center"/>
    </xf>
    <xf numFmtId="0" fontId="12" fillId="0" borderId="2" xfId="2" applyFont="1" applyFill="1" applyBorder="1" applyAlignment="1">
      <alignment horizontal="center" vertical="center"/>
    </xf>
    <xf numFmtId="0" fontId="12" fillId="0" borderId="2" xfId="2" quotePrefix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left" vertical="center"/>
    </xf>
    <xf numFmtId="0" fontId="18" fillId="5" borderId="0" xfId="0" applyFont="1" applyFill="1" applyAlignment="1">
      <alignment horizontal="center" vertical="center"/>
    </xf>
  </cellXfs>
  <cellStyles count="11">
    <cellStyle name="Excel Built-in Comma [0]" xfId="5" xr:uid="{C99A871F-02CD-4252-BE65-99D9879AEC80}"/>
    <cellStyle name="Excel Built-in Normal" xfId="2" xr:uid="{54032583-BBC7-4FA1-AB80-C5C39EBA464B}"/>
    <cellStyle name="Excel Built-in Normal 1" xfId="6" xr:uid="{AD304A70-1C74-4431-8536-06D704DFF9B2}"/>
    <cellStyle name="Excel Built-in Normal 2" xfId="9" xr:uid="{0AA3E707-D6F8-4A4D-8592-5BE886184046}"/>
    <cellStyle name="Excel Built-in Normal 4" xfId="3" xr:uid="{2EB6687A-D617-4789-923A-85C6899382B3}"/>
    <cellStyle name="Hyperlink" xfId="1" builtinId="8"/>
    <cellStyle name="Normal" xfId="0" builtinId="0"/>
    <cellStyle name="Normal 2" xfId="4" xr:uid="{335F47F0-51FE-47BA-878B-31A92906667E}"/>
    <cellStyle name="Normal 2 2" xfId="8" xr:uid="{76876B73-4409-45A5-844E-658EE2523623}"/>
    <cellStyle name="Percent" xfId="10" builtinId="5"/>
    <cellStyle name="Percent 2" xfId="7" xr:uid="{439F786A-EF48-436B-8AD3-1EC2C9DF3BBA}"/>
  </cellStyles>
  <dxfs count="2">
    <dxf>
      <font>
        <b/>
        <i val="0"/>
        <color rgb="FFFF0000"/>
      </font>
      <fill>
        <patternFill>
          <fgColor indexed="64"/>
          <bgColor rgb="FFFFFF00"/>
        </patternFill>
      </fill>
    </dxf>
    <dxf>
      <fill>
        <patternFill patternType="none">
          <fgColor indexed="64"/>
          <bgColor indexed="65"/>
        </patternFill>
      </fill>
      <border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</dxfs>
  <tableStyles count="0" defaultTableStyle="TableStyleMedium2" defaultPivotStyle="PivotStyleLight16"/>
  <colors>
    <mruColors>
      <color rgb="FF00DED9"/>
      <color rgb="FF00B4B0"/>
      <color rgb="FF76B531"/>
      <color rgb="FF92D050"/>
      <color rgb="FF006666"/>
      <color rgb="FF0099CC"/>
      <color rgb="FFE5F8FF"/>
      <color rgb="FFD9F5FF"/>
      <color rgb="FF003548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1303920</xdr:colOff>
      <xdr:row>1</xdr:row>
      <xdr:rowOff>36799</xdr:rowOff>
    </xdr:from>
    <xdr:to>
      <xdr:col>2</xdr:col>
      <xdr:colOff>2816087</xdr:colOff>
      <xdr:row>3</xdr:row>
      <xdr:rowOff>157369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529746" y="227299"/>
          <a:ext cx="1512167" cy="501570"/>
          <a:chOff x="2529746" y="136191"/>
          <a:chExt cx="1512167" cy="625807"/>
        </a:xfrm>
        <a:effectLst>
          <a:glow rad="12700">
            <a:schemeClr val="accent1">
              <a:satMod val="175000"/>
              <a:alpha val="15000"/>
            </a:schemeClr>
          </a:glow>
          <a:outerShdw blurRad="50800" dist="50800" dir="5400000" sx="4000" sy="4000" algn="ctr" rotWithShape="0">
            <a:srgbClr val="00B0F0"/>
          </a:outerShdw>
        </a:effectLst>
        <a:scene3d>
          <a:camera prst="orthographicFront"/>
          <a:lightRig rig="threePt" dir="t"/>
        </a:scene3d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clrChange>
              <a:clrFrom>
                <a:srgbClr val="319AF2"/>
              </a:clrFrom>
              <a:clrTo>
                <a:srgbClr val="319AF2">
                  <a:alpha val="0"/>
                </a:srgbClr>
              </a:clrTo>
            </a:clrChange>
            <a:duotone>
              <a:prstClr val="black"/>
              <a:schemeClr val="accent1">
                <a:tint val="45000"/>
                <a:satMod val="400000"/>
              </a:schemeClr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rightnessContrast bright="-40000" contrast="2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2529746" y="136191"/>
            <a:ext cx="1512167" cy="625807"/>
          </a:xfrm>
          <a:prstGeom prst="rect">
            <a:avLst/>
          </a:prstGeom>
          <a:sp3d extrusionH="203200" prstMaterial="metal">
            <a:bevelT w="184150" h="393700" prst="relaxedInset"/>
            <a:bevelB w="177800" h="241300" prst="softRound"/>
            <a:extrusionClr>
              <a:srgbClr val="0099CC"/>
            </a:extrusion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CommandButton1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2633871" y="214287"/>
                <a:ext cx="1325216" cy="4237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../../../Source/NEW%20INPUT%20USER%20-%20Monitoring%20Performance%20Shipment%202025.xlsx" TargetMode="External"/><Relationship Id="rId1" Type="http://schemas.openxmlformats.org/officeDocument/2006/relationships/hyperlink" Target="Results\Monitoring%20Performance%20Shipment.xlsx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C305A-8B12-4668-9E18-46C16FCFD4CB}">
  <sheetPr codeName="Sheet11">
    <tabColor rgb="FF43EB9C"/>
  </sheetPr>
  <dimension ref="B6:D11"/>
  <sheetViews>
    <sheetView zoomScale="115" zoomScaleNormal="115" workbookViewId="0">
      <pane ySplit="7" topLeftCell="A8" activePane="bottomLeft" state="frozen"/>
      <selection pane="bottomLeft"/>
    </sheetView>
  </sheetViews>
  <sheetFormatPr defaultRowHeight="15" x14ac:dyDescent="0.25"/>
  <cols>
    <col min="1" max="1" width="3.28515625" customWidth="1"/>
    <col min="2" max="2" width="15.140625" bestFit="1" customWidth="1"/>
    <col min="3" max="3" width="67.7109375" customWidth="1"/>
    <col min="4" max="4" width="0.85546875" customWidth="1"/>
  </cols>
  <sheetData>
    <row r="6" spans="2:4" ht="22.5" x14ac:dyDescent="0.25">
      <c r="B6" s="79" t="s">
        <v>0</v>
      </c>
      <c r="C6" s="79"/>
      <c r="D6" s="79"/>
    </row>
    <row r="7" spans="2:4" ht="16.5" x14ac:dyDescent="0.25">
      <c r="B7" s="1" t="s">
        <v>3</v>
      </c>
      <c r="C7" s="1" t="s">
        <v>1</v>
      </c>
      <c r="D7" s="1"/>
    </row>
    <row r="8" spans="2:4" ht="16.5" x14ac:dyDescent="0.25">
      <c r="B8" s="3" t="s">
        <v>4</v>
      </c>
      <c r="C8" s="2" t="s">
        <v>56</v>
      </c>
      <c r="D8" s="4" t="s">
        <v>2</v>
      </c>
    </row>
    <row r="9" spans="2:4" ht="16.5" x14ac:dyDescent="0.25">
      <c r="B9" s="3" t="s">
        <v>5</v>
      </c>
      <c r="C9" s="2" t="s">
        <v>6</v>
      </c>
      <c r="D9" s="4" t="s">
        <v>2</v>
      </c>
    </row>
    <row r="10" spans="2:4" x14ac:dyDescent="0.25">
      <c r="B10" t="s">
        <v>7</v>
      </c>
      <c r="C10" t="str">
        <f ca="1">UPPER(TEXT(TODAY()+C11,"[$-id]MMMM"))</f>
        <v>JANUARI</v>
      </c>
    </row>
    <row r="11" spans="2:4" x14ac:dyDescent="0.25">
      <c r="B11" t="s">
        <v>8</v>
      </c>
      <c r="C11">
        <v>-7</v>
      </c>
    </row>
  </sheetData>
  <mergeCells count="1">
    <mergeCell ref="B6:D6"/>
  </mergeCells>
  <hyperlinks>
    <hyperlink ref="C9" r:id="rId1" xr:uid="{77A51510-C68E-4439-997B-5FA2B42FCA9D}"/>
    <hyperlink ref="C8" r:id="rId2" xr:uid="{4CC78091-7FAE-4032-9472-6F1DD8C50FF3}"/>
  </hyperlinks>
  <pageMargins left="0.7" right="0.7" top="0.75" bottom="0.75" header="0.3" footer="0.3"/>
  <drawing r:id="rId3"/>
  <legacyDrawing r:id="rId4"/>
  <controls>
    <mc:AlternateContent xmlns:mc="http://schemas.openxmlformats.org/markup-compatibility/2006">
      <mc:Choice Requires="x14">
        <control shapeId="1026" r:id="rId5" name="CommandButton1">
          <controlPr defaultSize="0" autoLine="0" r:id="rId6">
            <anchor moveWithCells="1">
              <from>
                <xdr:col>2</xdr:col>
                <xdr:colOff>1409700</xdr:colOff>
                <xdr:row>1</xdr:row>
                <xdr:rowOff>95250</xdr:rowOff>
              </from>
              <to>
                <xdr:col>2</xdr:col>
                <xdr:colOff>2733675</xdr:colOff>
                <xdr:row>3</xdr:row>
                <xdr:rowOff>57150</xdr:rowOff>
              </to>
            </anchor>
          </controlPr>
        </control>
      </mc:Choice>
      <mc:Fallback>
        <control shapeId="1026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67F00-8FC3-4E29-A9A3-174BE81899D0}">
  <sheetPr codeName="Sheet4">
    <tabColor rgb="FF5FAFB2"/>
  </sheetPr>
  <dimension ref="A1:AL83"/>
  <sheetViews>
    <sheetView workbookViewId="0">
      <pane ySplit="2" topLeftCell="A3" activePane="bottomLeft" state="frozen"/>
      <selection pane="bottomLeft" sqref="A1:AL1"/>
    </sheetView>
  </sheetViews>
  <sheetFormatPr defaultRowHeight="16.5" x14ac:dyDescent="0.3"/>
  <cols>
    <col min="1" max="1" width="12" style="12" customWidth="1"/>
    <col min="2" max="2" width="13" style="12" customWidth="1"/>
    <col min="3" max="3" width="15.85546875" style="12" customWidth="1"/>
    <col min="4" max="4" width="14.7109375" style="12" customWidth="1"/>
    <col min="5" max="5" width="12" style="12" customWidth="1"/>
    <col min="6" max="6" width="9.5703125" style="12" customWidth="1"/>
    <col min="7" max="7" width="17.28515625" style="12" customWidth="1"/>
    <col min="8" max="8" width="26.28515625" style="12" customWidth="1"/>
    <col min="9" max="9" width="25.140625" style="12" customWidth="1"/>
    <col min="10" max="10" width="14.5703125" style="12" customWidth="1"/>
    <col min="11" max="11" width="22" style="12" customWidth="1"/>
    <col min="12" max="12" width="16.42578125" style="12" customWidth="1"/>
    <col min="13" max="13" width="10.85546875" style="12" customWidth="1"/>
    <col min="14" max="14" width="11.42578125" style="12" customWidth="1"/>
    <col min="15" max="15" width="11.28515625" style="12" customWidth="1"/>
    <col min="16" max="16" width="12.42578125" style="12" customWidth="1"/>
    <col min="17" max="17" width="11.28515625" style="12" customWidth="1"/>
    <col min="18" max="18" width="12.28515625" style="12" customWidth="1"/>
    <col min="19" max="19" width="12.42578125" style="12" customWidth="1"/>
    <col min="20" max="20" width="11.42578125" style="12" customWidth="1"/>
    <col min="21" max="21" width="12.28515625" style="12" customWidth="1"/>
    <col min="22" max="22" width="134.5703125" style="12" customWidth="1"/>
    <col min="23" max="23" width="12.140625" style="12" customWidth="1"/>
    <col min="24" max="24" width="11.28515625" style="12" customWidth="1"/>
    <col min="25" max="25" width="12" style="12" customWidth="1"/>
    <col min="26" max="28" width="12.42578125" style="12" customWidth="1"/>
    <col min="29" max="29" width="8.140625" style="12" customWidth="1"/>
    <col min="30" max="30" width="10.5703125" style="12" customWidth="1"/>
    <col min="31" max="32" width="11.7109375" style="12" customWidth="1"/>
    <col min="33" max="33" width="11.5703125" style="12" customWidth="1"/>
    <col min="34" max="34" width="12.42578125" style="12" customWidth="1"/>
    <col min="35" max="35" width="11.5703125" style="12" customWidth="1"/>
    <col min="36" max="36" width="11.42578125" style="12" customWidth="1"/>
    <col min="37" max="37" width="59" style="12" customWidth="1"/>
    <col min="38" max="38" width="10.28515625" style="12" customWidth="1"/>
    <col min="39" max="16384" width="9.140625" style="12"/>
  </cols>
  <sheetData>
    <row r="1" spans="1:38" s="13" customFormat="1" ht="28.5" x14ac:dyDescent="0.25">
      <c r="A1" s="80" t="s">
        <v>57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</row>
    <row r="2" spans="1:38" ht="90" x14ac:dyDescent="0.3">
      <c r="A2" s="5" t="s">
        <v>9</v>
      </c>
      <c r="B2" s="5" t="s">
        <v>10</v>
      </c>
      <c r="C2" s="6" t="s">
        <v>11</v>
      </c>
      <c r="D2" s="5" t="s">
        <v>12</v>
      </c>
      <c r="E2" s="6" t="s">
        <v>13</v>
      </c>
      <c r="F2" s="5" t="s">
        <v>14</v>
      </c>
      <c r="G2" s="6" t="s">
        <v>15</v>
      </c>
      <c r="H2" s="5" t="s">
        <v>16</v>
      </c>
      <c r="I2" s="5" t="s">
        <v>17</v>
      </c>
      <c r="J2" s="5" t="s">
        <v>18</v>
      </c>
      <c r="K2" s="6" t="s">
        <v>19</v>
      </c>
      <c r="L2" s="6" t="s">
        <v>20</v>
      </c>
      <c r="M2" s="5" t="s">
        <v>21</v>
      </c>
      <c r="N2" s="7" t="s">
        <v>22</v>
      </c>
      <c r="O2" s="7" t="s">
        <v>23</v>
      </c>
      <c r="P2" s="7" t="s">
        <v>24</v>
      </c>
      <c r="Q2" s="7" t="s">
        <v>25</v>
      </c>
      <c r="R2" s="7" t="s">
        <v>26</v>
      </c>
      <c r="S2" s="6" t="s">
        <v>27</v>
      </c>
      <c r="T2" s="9" t="s">
        <v>28</v>
      </c>
      <c r="U2" s="6" t="s">
        <v>46</v>
      </c>
      <c r="V2" s="5" t="s">
        <v>29</v>
      </c>
      <c r="W2" s="6" t="s">
        <v>30</v>
      </c>
      <c r="X2" s="6" t="s">
        <v>31</v>
      </c>
      <c r="Y2" s="6" t="s">
        <v>32</v>
      </c>
      <c r="Z2" s="6" t="s">
        <v>33</v>
      </c>
      <c r="AA2" s="6" t="s">
        <v>34</v>
      </c>
      <c r="AB2" s="6" t="s">
        <v>35</v>
      </c>
      <c r="AC2" s="6" t="s">
        <v>36</v>
      </c>
      <c r="AD2" s="6" t="s">
        <v>37</v>
      </c>
      <c r="AE2" s="6" t="s">
        <v>38</v>
      </c>
      <c r="AF2" s="6" t="s">
        <v>39</v>
      </c>
      <c r="AG2" s="6" t="s">
        <v>40</v>
      </c>
      <c r="AH2" s="6" t="s">
        <v>41</v>
      </c>
      <c r="AI2" s="6" t="s">
        <v>42</v>
      </c>
      <c r="AJ2" s="8" t="s">
        <v>43</v>
      </c>
      <c r="AK2" s="6" t="s">
        <v>44</v>
      </c>
      <c r="AL2" s="6" t="s">
        <v>45</v>
      </c>
    </row>
    <row r="3" spans="1:38" x14ac:dyDescent="0.3">
      <c r="A3" s="16">
        <v>2025</v>
      </c>
      <c r="B3" s="11" t="s">
        <v>58</v>
      </c>
      <c r="C3" s="19">
        <v>45663</v>
      </c>
      <c r="D3" s="11" t="s">
        <v>51</v>
      </c>
      <c r="E3" s="18" t="s">
        <v>54</v>
      </c>
      <c r="F3" s="11" t="s">
        <v>52</v>
      </c>
      <c r="G3" s="11" t="s">
        <v>59</v>
      </c>
      <c r="H3" s="15" t="s">
        <v>60</v>
      </c>
      <c r="I3" s="15" t="s">
        <v>61</v>
      </c>
      <c r="J3" s="20"/>
      <c r="K3" s="23"/>
      <c r="L3" s="23"/>
      <c r="M3" s="15">
        <v>183974</v>
      </c>
      <c r="N3" s="21">
        <v>800</v>
      </c>
      <c r="O3" s="36">
        <v>839</v>
      </c>
      <c r="P3" s="37">
        <v>825</v>
      </c>
      <c r="Q3" s="36">
        <v>810</v>
      </c>
      <c r="R3" s="21">
        <f>Q3-O3</f>
        <v>-29</v>
      </c>
      <c r="S3" s="21">
        <f t="shared" ref="S3:S21" si="0">Q3-N3</f>
        <v>10</v>
      </c>
      <c r="T3" s="22">
        <f t="shared" ref="T3:T27" si="1">Q3/N3-1</f>
        <v>1.2499999999999956E-2</v>
      </c>
      <c r="U3" s="22">
        <f t="shared" ref="U3:U27" si="2">Q3/O3-1</f>
        <v>-3.456495828367101E-2</v>
      </c>
      <c r="V3" s="23"/>
      <c r="W3" s="23"/>
      <c r="X3" s="23"/>
      <c r="Y3" s="23"/>
      <c r="Z3" s="23">
        <v>1</v>
      </c>
      <c r="AA3" s="38">
        <f>+O3-P3</f>
        <v>14</v>
      </c>
      <c r="AB3" s="23"/>
      <c r="AC3" s="23"/>
      <c r="AD3" s="23"/>
      <c r="AE3" s="23">
        <v>14</v>
      </c>
      <c r="AF3" s="23"/>
      <c r="AG3" s="23"/>
      <c r="AH3" s="37"/>
      <c r="AI3" s="24">
        <f>SUM(X3:AH3)</f>
        <v>29</v>
      </c>
      <c r="AJ3" s="24">
        <f t="shared" ref="AJ3:AJ21" si="3">R3+AI3</f>
        <v>0</v>
      </c>
      <c r="AK3" s="15"/>
      <c r="AL3" s="15">
        <v>1</v>
      </c>
    </row>
    <row r="4" spans="1:38" x14ac:dyDescent="0.3">
      <c r="A4" s="16">
        <v>2025</v>
      </c>
      <c r="B4" s="11" t="s">
        <v>58</v>
      </c>
      <c r="C4" s="19">
        <v>45663</v>
      </c>
      <c r="D4" s="11" t="s">
        <v>51</v>
      </c>
      <c r="E4" s="18" t="s">
        <v>54</v>
      </c>
      <c r="F4" s="11" t="s">
        <v>52</v>
      </c>
      <c r="G4" s="11" t="s">
        <v>59</v>
      </c>
      <c r="H4" s="15" t="s">
        <v>60</v>
      </c>
      <c r="I4" s="15" t="s">
        <v>62</v>
      </c>
      <c r="J4" s="20"/>
      <c r="K4" s="23"/>
      <c r="L4" s="23"/>
      <c r="M4" s="15">
        <v>183975</v>
      </c>
      <c r="N4" s="21">
        <v>800</v>
      </c>
      <c r="O4" s="36">
        <v>839</v>
      </c>
      <c r="P4" s="37">
        <v>837</v>
      </c>
      <c r="Q4" s="36">
        <v>824</v>
      </c>
      <c r="R4" s="21">
        <f t="shared" ref="R4:R21" si="4">Q4-O4</f>
        <v>-15</v>
      </c>
      <c r="S4" s="21">
        <f t="shared" si="0"/>
        <v>24</v>
      </c>
      <c r="T4" s="22">
        <f t="shared" si="1"/>
        <v>3.0000000000000027E-2</v>
      </c>
      <c r="U4" s="22">
        <f t="shared" si="2"/>
        <v>-1.7878426698450522E-2</v>
      </c>
      <c r="V4" s="23"/>
      <c r="W4" s="23"/>
      <c r="X4" s="23">
        <f>3+6+2</f>
        <v>11</v>
      </c>
      <c r="Y4" s="23"/>
      <c r="Z4" s="23">
        <v>0</v>
      </c>
      <c r="AA4" s="38">
        <f t="shared" ref="AA4:AA21" si="5">+O4-P4</f>
        <v>2</v>
      </c>
      <c r="AB4" s="23"/>
      <c r="AC4" s="23"/>
      <c r="AD4" s="23"/>
      <c r="AE4" s="23">
        <v>2</v>
      </c>
      <c r="AF4" s="23"/>
      <c r="AG4" s="23"/>
      <c r="AH4" s="37"/>
      <c r="AI4" s="24">
        <f t="shared" ref="AI4:AI21" si="6">SUM(X4:AH4)</f>
        <v>15</v>
      </c>
      <c r="AJ4" s="24">
        <f t="shared" si="3"/>
        <v>0</v>
      </c>
      <c r="AK4" s="15"/>
      <c r="AL4" s="15">
        <v>1</v>
      </c>
    </row>
    <row r="5" spans="1:38" x14ac:dyDescent="0.3">
      <c r="A5" s="16">
        <v>2025</v>
      </c>
      <c r="B5" s="11" t="s">
        <v>58</v>
      </c>
      <c r="C5" s="19">
        <v>45663</v>
      </c>
      <c r="D5" s="11" t="s">
        <v>51</v>
      </c>
      <c r="E5" s="18" t="s">
        <v>54</v>
      </c>
      <c r="F5" s="11" t="s">
        <v>52</v>
      </c>
      <c r="G5" s="11" t="s">
        <v>59</v>
      </c>
      <c r="H5" s="15" t="s">
        <v>60</v>
      </c>
      <c r="I5" s="15" t="s">
        <v>63</v>
      </c>
      <c r="J5" s="20"/>
      <c r="K5" s="23"/>
      <c r="L5" s="23"/>
      <c r="M5" s="15">
        <v>183976</v>
      </c>
      <c r="N5" s="21">
        <v>1600</v>
      </c>
      <c r="O5" s="36">
        <v>1664</v>
      </c>
      <c r="P5" s="37">
        <v>1660</v>
      </c>
      <c r="Q5" s="36">
        <v>1620</v>
      </c>
      <c r="R5" s="21">
        <f t="shared" si="4"/>
        <v>-44</v>
      </c>
      <c r="S5" s="21">
        <f t="shared" si="0"/>
        <v>20</v>
      </c>
      <c r="T5" s="22">
        <f t="shared" si="1"/>
        <v>1.2499999999999956E-2</v>
      </c>
      <c r="U5" s="22">
        <f t="shared" si="2"/>
        <v>-2.6442307692307709E-2</v>
      </c>
      <c r="V5" s="23"/>
      <c r="W5" s="23"/>
      <c r="X5" s="23">
        <f>5+1+3+1+1+5+4</f>
        <v>20</v>
      </c>
      <c r="Y5" s="23"/>
      <c r="Z5" s="23">
        <v>10</v>
      </c>
      <c r="AA5" s="38">
        <f t="shared" si="5"/>
        <v>4</v>
      </c>
      <c r="AB5" s="23"/>
      <c r="AC5" s="23"/>
      <c r="AD5" s="23"/>
      <c r="AE5" s="23">
        <v>4</v>
      </c>
      <c r="AF5" s="23">
        <v>6</v>
      </c>
      <c r="AG5" s="23"/>
      <c r="AH5" s="37"/>
      <c r="AI5" s="24">
        <f t="shared" si="6"/>
        <v>44</v>
      </c>
      <c r="AJ5" s="24">
        <f t="shared" si="3"/>
        <v>0</v>
      </c>
      <c r="AK5" s="15"/>
      <c r="AL5" s="15">
        <v>1</v>
      </c>
    </row>
    <row r="6" spans="1:38" x14ac:dyDescent="0.3">
      <c r="A6" s="16">
        <v>2025</v>
      </c>
      <c r="B6" s="11" t="s">
        <v>58</v>
      </c>
      <c r="C6" s="19">
        <v>45663</v>
      </c>
      <c r="D6" s="11" t="s">
        <v>51</v>
      </c>
      <c r="E6" s="18" t="s">
        <v>54</v>
      </c>
      <c r="F6" s="11" t="s">
        <v>52</v>
      </c>
      <c r="G6" s="11" t="s">
        <v>59</v>
      </c>
      <c r="H6" s="15" t="s">
        <v>60</v>
      </c>
      <c r="I6" s="15" t="s">
        <v>64</v>
      </c>
      <c r="J6" s="20"/>
      <c r="K6" s="23"/>
      <c r="L6" s="23"/>
      <c r="M6" s="15">
        <v>183969</v>
      </c>
      <c r="N6" s="25">
        <v>800</v>
      </c>
      <c r="O6" s="37">
        <v>843</v>
      </c>
      <c r="P6" s="37">
        <v>843</v>
      </c>
      <c r="Q6" s="36">
        <v>832</v>
      </c>
      <c r="R6" s="21">
        <f t="shared" si="4"/>
        <v>-11</v>
      </c>
      <c r="S6" s="21">
        <f t="shared" si="0"/>
        <v>32</v>
      </c>
      <c r="T6" s="22">
        <f t="shared" si="1"/>
        <v>4.0000000000000036E-2</v>
      </c>
      <c r="U6" s="22">
        <f t="shared" si="2"/>
        <v>-1.3048635824436494E-2</v>
      </c>
      <c r="V6" s="23"/>
      <c r="W6" s="23"/>
      <c r="X6" s="23">
        <v>6</v>
      </c>
      <c r="Y6" s="23"/>
      <c r="Z6" s="23">
        <v>2</v>
      </c>
      <c r="AA6" s="38">
        <f t="shared" si="5"/>
        <v>0</v>
      </c>
      <c r="AB6" s="23"/>
      <c r="AC6" s="23"/>
      <c r="AD6" s="23"/>
      <c r="AE6" s="23">
        <v>3</v>
      </c>
      <c r="AF6" s="23"/>
      <c r="AG6" s="23"/>
      <c r="AH6" s="37"/>
      <c r="AI6" s="24">
        <f t="shared" si="6"/>
        <v>11</v>
      </c>
      <c r="AJ6" s="24">
        <f t="shared" si="3"/>
        <v>0</v>
      </c>
      <c r="AK6" s="15"/>
      <c r="AL6" s="15">
        <v>1</v>
      </c>
    </row>
    <row r="7" spans="1:38" x14ac:dyDescent="0.3">
      <c r="A7" s="16">
        <v>2025</v>
      </c>
      <c r="B7" s="11" t="s">
        <v>58</v>
      </c>
      <c r="C7" s="19">
        <v>45663</v>
      </c>
      <c r="D7" s="11" t="s">
        <v>51</v>
      </c>
      <c r="E7" s="18" t="s">
        <v>54</v>
      </c>
      <c r="F7" s="11" t="s">
        <v>52</v>
      </c>
      <c r="G7" s="11" t="s">
        <v>59</v>
      </c>
      <c r="H7" s="15" t="s">
        <v>60</v>
      </c>
      <c r="I7" s="15" t="s">
        <v>65</v>
      </c>
      <c r="J7" s="20"/>
      <c r="K7" s="23"/>
      <c r="L7" s="23"/>
      <c r="M7" s="15">
        <v>183970</v>
      </c>
      <c r="N7" s="25">
        <v>800</v>
      </c>
      <c r="O7" s="37">
        <v>832</v>
      </c>
      <c r="P7" s="37">
        <v>829</v>
      </c>
      <c r="Q7" s="36">
        <v>807</v>
      </c>
      <c r="R7" s="21">
        <f t="shared" si="4"/>
        <v>-25</v>
      </c>
      <c r="S7" s="21">
        <f t="shared" si="0"/>
        <v>7</v>
      </c>
      <c r="T7" s="22">
        <f t="shared" si="1"/>
        <v>8.7500000000000355E-3</v>
      </c>
      <c r="U7" s="22">
        <f t="shared" si="2"/>
        <v>-3.0048076923076872E-2</v>
      </c>
      <c r="V7" s="23"/>
      <c r="W7" s="23"/>
      <c r="X7" s="23">
        <v>3</v>
      </c>
      <c r="Y7" s="23"/>
      <c r="Z7" s="23">
        <v>5</v>
      </c>
      <c r="AA7" s="38">
        <f t="shared" si="5"/>
        <v>3</v>
      </c>
      <c r="AB7" s="23"/>
      <c r="AC7" s="23"/>
      <c r="AD7" s="23"/>
      <c r="AE7" s="23">
        <v>14</v>
      </c>
      <c r="AF7" s="23"/>
      <c r="AG7" s="23"/>
      <c r="AH7" s="37"/>
      <c r="AI7" s="24">
        <f t="shared" si="6"/>
        <v>25</v>
      </c>
      <c r="AJ7" s="24">
        <f t="shared" si="3"/>
        <v>0</v>
      </c>
      <c r="AK7" s="15"/>
      <c r="AL7" s="15">
        <v>1</v>
      </c>
    </row>
    <row r="8" spans="1:38" x14ac:dyDescent="0.3">
      <c r="A8" s="16">
        <v>2025</v>
      </c>
      <c r="B8" s="11" t="s">
        <v>58</v>
      </c>
      <c r="C8" s="19">
        <v>45663</v>
      </c>
      <c r="D8" s="11" t="s">
        <v>51</v>
      </c>
      <c r="E8" s="18" t="s">
        <v>54</v>
      </c>
      <c r="F8" s="11" t="s">
        <v>52</v>
      </c>
      <c r="G8" s="11" t="s">
        <v>59</v>
      </c>
      <c r="H8" s="15" t="s">
        <v>60</v>
      </c>
      <c r="I8" s="15" t="s">
        <v>66</v>
      </c>
      <c r="J8" s="20"/>
      <c r="K8" s="23"/>
      <c r="L8" s="23"/>
      <c r="M8" s="15">
        <v>183971</v>
      </c>
      <c r="N8" s="21">
        <v>800</v>
      </c>
      <c r="O8" s="36">
        <v>832</v>
      </c>
      <c r="P8" s="37">
        <v>831</v>
      </c>
      <c r="Q8" s="36">
        <v>814</v>
      </c>
      <c r="R8" s="21">
        <f t="shared" si="4"/>
        <v>-18</v>
      </c>
      <c r="S8" s="21">
        <f t="shared" si="0"/>
        <v>14</v>
      </c>
      <c r="T8" s="22">
        <f t="shared" si="1"/>
        <v>1.7500000000000071E-2</v>
      </c>
      <c r="U8" s="22">
        <f t="shared" si="2"/>
        <v>-2.1634615384615419E-2</v>
      </c>
      <c r="V8" s="23"/>
      <c r="W8" s="23"/>
      <c r="X8" s="23">
        <v>1</v>
      </c>
      <c r="Y8" s="23"/>
      <c r="Z8" s="23">
        <v>2</v>
      </c>
      <c r="AA8" s="38">
        <f t="shared" si="5"/>
        <v>1</v>
      </c>
      <c r="AB8" s="23"/>
      <c r="AC8" s="23"/>
      <c r="AD8" s="23"/>
      <c r="AE8" s="23">
        <v>14</v>
      </c>
      <c r="AF8" s="23"/>
      <c r="AG8" s="23"/>
      <c r="AH8" s="37"/>
      <c r="AI8" s="24">
        <f t="shared" si="6"/>
        <v>18</v>
      </c>
      <c r="AJ8" s="24">
        <f t="shared" si="3"/>
        <v>0</v>
      </c>
      <c r="AK8" s="15"/>
      <c r="AL8" s="15">
        <v>1</v>
      </c>
    </row>
    <row r="9" spans="1:38" x14ac:dyDescent="0.3">
      <c r="A9" s="16">
        <v>2025</v>
      </c>
      <c r="B9" s="11" t="s">
        <v>58</v>
      </c>
      <c r="C9" s="19">
        <v>45663</v>
      </c>
      <c r="D9" s="11" t="s">
        <v>51</v>
      </c>
      <c r="E9" s="18" t="s">
        <v>54</v>
      </c>
      <c r="F9" s="11" t="s">
        <v>52</v>
      </c>
      <c r="G9" s="11" t="s">
        <v>59</v>
      </c>
      <c r="H9" s="15" t="s">
        <v>60</v>
      </c>
      <c r="I9" s="15" t="s">
        <v>67</v>
      </c>
      <c r="J9" s="20"/>
      <c r="K9" s="23"/>
      <c r="L9" s="23"/>
      <c r="M9" s="15">
        <v>183972</v>
      </c>
      <c r="N9" s="21">
        <v>800</v>
      </c>
      <c r="O9" s="36">
        <v>843</v>
      </c>
      <c r="P9" s="37">
        <v>839</v>
      </c>
      <c r="Q9" s="36">
        <v>821</v>
      </c>
      <c r="R9" s="21">
        <f t="shared" si="4"/>
        <v>-22</v>
      </c>
      <c r="S9" s="21">
        <f t="shared" si="0"/>
        <v>21</v>
      </c>
      <c r="T9" s="22">
        <f t="shared" si="1"/>
        <v>2.6250000000000107E-2</v>
      </c>
      <c r="U9" s="22">
        <f t="shared" si="2"/>
        <v>-2.6097271648873099E-2</v>
      </c>
      <c r="V9" s="23"/>
      <c r="W9" s="23"/>
      <c r="X9" s="23">
        <v>3</v>
      </c>
      <c r="Y9" s="23"/>
      <c r="Z9" s="23">
        <v>1</v>
      </c>
      <c r="AA9" s="38">
        <f t="shared" si="5"/>
        <v>4</v>
      </c>
      <c r="AB9" s="23"/>
      <c r="AC9" s="23"/>
      <c r="AD9" s="23"/>
      <c r="AE9" s="23">
        <v>14</v>
      </c>
      <c r="AF9" s="23"/>
      <c r="AG9" s="23"/>
      <c r="AH9" s="37"/>
      <c r="AI9" s="24">
        <f t="shared" si="6"/>
        <v>22</v>
      </c>
      <c r="AJ9" s="24">
        <f t="shared" si="3"/>
        <v>0</v>
      </c>
      <c r="AK9" s="15"/>
      <c r="AL9" s="15">
        <v>1</v>
      </c>
    </row>
    <row r="10" spans="1:38" x14ac:dyDescent="0.3">
      <c r="A10" s="16">
        <v>2025</v>
      </c>
      <c r="B10" s="11" t="s">
        <v>58</v>
      </c>
      <c r="C10" s="19">
        <v>45663</v>
      </c>
      <c r="D10" s="11" t="s">
        <v>51</v>
      </c>
      <c r="E10" s="18" t="s">
        <v>54</v>
      </c>
      <c r="F10" s="11" t="s">
        <v>52</v>
      </c>
      <c r="G10" s="11" t="s">
        <v>59</v>
      </c>
      <c r="H10" s="15" t="s">
        <v>60</v>
      </c>
      <c r="I10" s="15" t="s">
        <v>68</v>
      </c>
      <c r="J10" s="20"/>
      <c r="K10" s="23"/>
      <c r="L10" s="23"/>
      <c r="M10" s="15">
        <v>183973</v>
      </c>
      <c r="N10" s="21">
        <v>1600</v>
      </c>
      <c r="O10" s="36">
        <v>1672</v>
      </c>
      <c r="P10" s="37">
        <v>1672</v>
      </c>
      <c r="Q10" s="36">
        <v>1648</v>
      </c>
      <c r="R10" s="21">
        <f t="shared" si="4"/>
        <v>-24</v>
      </c>
      <c r="S10" s="21">
        <f t="shared" si="0"/>
        <v>48</v>
      </c>
      <c r="T10" s="22">
        <f t="shared" si="1"/>
        <v>3.0000000000000027E-2</v>
      </c>
      <c r="U10" s="22">
        <f t="shared" si="2"/>
        <v>-1.4354066985645897E-2</v>
      </c>
      <c r="V10" s="23"/>
      <c r="W10" s="23"/>
      <c r="X10" s="23">
        <v>9</v>
      </c>
      <c r="Y10" s="23"/>
      <c r="Z10" s="23">
        <v>11</v>
      </c>
      <c r="AA10" s="38">
        <f t="shared" si="5"/>
        <v>0</v>
      </c>
      <c r="AB10" s="23"/>
      <c r="AC10" s="23"/>
      <c r="AD10" s="23"/>
      <c r="AE10" s="23">
        <v>4</v>
      </c>
      <c r="AF10" s="23"/>
      <c r="AG10" s="23"/>
      <c r="AH10" s="37"/>
      <c r="AI10" s="24">
        <f t="shared" si="6"/>
        <v>24</v>
      </c>
      <c r="AJ10" s="24">
        <f t="shared" si="3"/>
        <v>0</v>
      </c>
      <c r="AK10" s="15"/>
      <c r="AL10" s="15">
        <v>1</v>
      </c>
    </row>
    <row r="11" spans="1:38" x14ac:dyDescent="0.3">
      <c r="A11" s="16">
        <v>2025</v>
      </c>
      <c r="B11" s="11" t="s">
        <v>58</v>
      </c>
      <c r="C11" s="19">
        <v>45663</v>
      </c>
      <c r="D11" s="11" t="s">
        <v>51</v>
      </c>
      <c r="E11" s="18" t="s">
        <v>54</v>
      </c>
      <c r="F11" s="11" t="s">
        <v>52</v>
      </c>
      <c r="G11" s="11" t="s">
        <v>59</v>
      </c>
      <c r="H11" s="15" t="s">
        <v>60</v>
      </c>
      <c r="I11" s="15" t="s">
        <v>69</v>
      </c>
      <c r="J11" s="20"/>
      <c r="K11" s="23"/>
      <c r="L11" s="23"/>
      <c r="M11" s="15">
        <v>184075</v>
      </c>
      <c r="N11" s="21">
        <v>900</v>
      </c>
      <c r="O11" s="36">
        <v>937</v>
      </c>
      <c r="P11" s="37">
        <v>911</v>
      </c>
      <c r="Q11" s="36">
        <v>899</v>
      </c>
      <c r="R11" s="21">
        <f t="shared" si="4"/>
        <v>-38</v>
      </c>
      <c r="S11" s="21">
        <f t="shared" si="0"/>
        <v>-1</v>
      </c>
      <c r="T11" s="22">
        <f t="shared" si="1"/>
        <v>-1.1111111111110628E-3</v>
      </c>
      <c r="U11" s="22">
        <f t="shared" si="2"/>
        <v>-4.0554962646744963E-2</v>
      </c>
      <c r="V11" s="23"/>
      <c r="W11" s="23"/>
      <c r="X11" s="23"/>
      <c r="Y11" s="23"/>
      <c r="Z11" s="23">
        <v>5</v>
      </c>
      <c r="AA11" s="38">
        <f t="shared" si="5"/>
        <v>26</v>
      </c>
      <c r="AB11" s="23"/>
      <c r="AC11" s="23"/>
      <c r="AD11" s="23"/>
      <c r="AE11" s="23">
        <v>7</v>
      </c>
      <c r="AF11" s="23"/>
      <c r="AG11" s="23"/>
      <c r="AH11" s="37"/>
      <c r="AI11" s="24">
        <f t="shared" si="6"/>
        <v>38</v>
      </c>
      <c r="AJ11" s="24">
        <f t="shared" si="3"/>
        <v>0</v>
      </c>
      <c r="AK11" s="15"/>
      <c r="AL11" s="15">
        <v>1</v>
      </c>
    </row>
    <row r="12" spans="1:38" x14ac:dyDescent="0.3">
      <c r="A12" s="16">
        <v>2025</v>
      </c>
      <c r="B12" s="11" t="s">
        <v>58</v>
      </c>
      <c r="C12" s="19">
        <v>45663</v>
      </c>
      <c r="D12" s="11" t="s">
        <v>51</v>
      </c>
      <c r="E12" s="18" t="s">
        <v>54</v>
      </c>
      <c r="F12" s="11" t="s">
        <v>52</v>
      </c>
      <c r="G12" s="11" t="s">
        <v>59</v>
      </c>
      <c r="H12" s="15" t="s">
        <v>60</v>
      </c>
      <c r="I12" s="15" t="s">
        <v>70</v>
      </c>
      <c r="J12" s="20"/>
      <c r="K12" s="23"/>
      <c r="L12" s="23"/>
      <c r="M12" s="15">
        <v>184074</v>
      </c>
      <c r="N12" s="21">
        <v>1800</v>
      </c>
      <c r="O12" s="36">
        <v>1872</v>
      </c>
      <c r="P12" s="37">
        <v>1869</v>
      </c>
      <c r="Q12" s="36">
        <v>1846</v>
      </c>
      <c r="R12" s="21">
        <f t="shared" si="4"/>
        <v>-26</v>
      </c>
      <c r="S12" s="21">
        <f t="shared" si="0"/>
        <v>46</v>
      </c>
      <c r="T12" s="22">
        <f t="shared" si="1"/>
        <v>2.5555555555555554E-2</v>
      </c>
      <c r="U12" s="22">
        <f t="shared" si="2"/>
        <v>-1.388888888888884E-2</v>
      </c>
      <c r="V12" s="23"/>
      <c r="W12" s="23"/>
      <c r="X12" s="23">
        <f>2+3+3</f>
        <v>8</v>
      </c>
      <c r="Y12" s="23"/>
      <c r="Z12" s="23">
        <v>9</v>
      </c>
      <c r="AA12" s="38">
        <f t="shared" si="5"/>
        <v>3</v>
      </c>
      <c r="AB12" s="23"/>
      <c r="AC12" s="23"/>
      <c r="AD12" s="23"/>
      <c r="AE12" s="23">
        <v>6</v>
      </c>
      <c r="AF12" s="23"/>
      <c r="AG12" s="23"/>
      <c r="AH12" s="37"/>
      <c r="AI12" s="24">
        <f t="shared" si="6"/>
        <v>26</v>
      </c>
      <c r="AJ12" s="24">
        <f t="shared" si="3"/>
        <v>0</v>
      </c>
      <c r="AK12" s="15"/>
      <c r="AL12" s="15">
        <v>1</v>
      </c>
    </row>
    <row r="13" spans="1:38" x14ac:dyDescent="0.3">
      <c r="A13" s="16">
        <v>2025</v>
      </c>
      <c r="B13" s="11" t="s">
        <v>58</v>
      </c>
      <c r="C13" s="19">
        <v>45663</v>
      </c>
      <c r="D13" s="11" t="s">
        <v>51</v>
      </c>
      <c r="E13" s="18" t="s">
        <v>54</v>
      </c>
      <c r="F13" s="11" t="s">
        <v>52</v>
      </c>
      <c r="G13" s="11" t="s">
        <v>59</v>
      </c>
      <c r="H13" s="15" t="s">
        <v>60</v>
      </c>
      <c r="I13" s="15" t="s">
        <v>71</v>
      </c>
      <c r="J13" s="20"/>
      <c r="K13" s="23"/>
      <c r="L13" s="23"/>
      <c r="M13" s="15">
        <v>184064</v>
      </c>
      <c r="N13" s="21">
        <v>800</v>
      </c>
      <c r="O13" s="36">
        <v>833</v>
      </c>
      <c r="P13" s="37">
        <v>830</v>
      </c>
      <c r="Q13" s="36">
        <v>828</v>
      </c>
      <c r="R13" s="21">
        <f t="shared" si="4"/>
        <v>-5</v>
      </c>
      <c r="S13" s="21">
        <f t="shared" si="0"/>
        <v>28</v>
      </c>
      <c r="T13" s="22">
        <f t="shared" si="1"/>
        <v>3.499999999999992E-2</v>
      </c>
      <c r="U13" s="22">
        <f t="shared" si="2"/>
        <v>-6.0024009603841799E-3</v>
      </c>
      <c r="V13" s="23"/>
      <c r="W13" s="23"/>
      <c r="X13" s="23"/>
      <c r="Y13" s="23"/>
      <c r="Z13" s="23"/>
      <c r="AA13" s="38">
        <f t="shared" si="5"/>
        <v>3</v>
      </c>
      <c r="AB13" s="23"/>
      <c r="AC13" s="23"/>
      <c r="AD13" s="23"/>
      <c r="AE13" s="23">
        <v>2</v>
      </c>
      <c r="AF13" s="23"/>
      <c r="AG13" s="23"/>
      <c r="AH13" s="37"/>
      <c r="AI13" s="24">
        <f t="shared" si="6"/>
        <v>5</v>
      </c>
      <c r="AJ13" s="24">
        <f t="shared" si="3"/>
        <v>0</v>
      </c>
      <c r="AK13" s="15"/>
      <c r="AL13" s="15">
        <v>1</v>
      </c>
    </row>
    <row r="14" spans="1:38" x14ac:dyDescent="0.3">
      <c r="A14" s="16">
        <v>2025</v>
      </c>
      <c r="B14" s="11" t="s">
        <v>58</v>
      </c>
      <c r="C14" s="19">
        <v>45663</v>
      </c>
      <c r="D14" s="11" t="s">
        <v>51</v>
      </c>
      <c r="E14" s="18" t="s">
        <v>54</v>
      </c>
      <c r="F14" s="11" t="s">
        <v>52</v>
      </c>
      <c r="G14" s="11" t="s">
        <v>59</v>
      </c>
      <c r="H14" s="15" t="s">
        <v>60</v>
      </c>
      <c r="I14" s="15" t="s">
        <v>72</v>
      </c>
      <c r="J14" s="20"/>
      <c r="K14" s="23"/>
      <c r="L14" s="23"/>
      <c r="M14" s="15">
        <v>184077</v>
      </c>
      <c r="N14" s="25">
        <v>1600</v>
      </c>
      <c r="O14" s="37">
        <v>1636</v>
      </c>
      <c r="P14" s="37">
        <v>1596</v>
      </c>
      <c r="Q14" s="36">
        <v>1552</v>
      </c>
      <c r="R14" s="21">
        <f t="shared" si="4"/>
        <v>-84</v>
      </c>
      <c r="S14" s="21">
        <f t="shared" si="0"/>
        <v>-48</v>
      </c>
      <c r="T14" s="22">
        <f t="shared" si="1"/>
        <v>-3.0000000000000027E-2</v>
      </c>
      <c r="U14" s="22">
        <f t="shared" si="2"/>
        <v>-5.1344743276283578E-2</v>
      </c>
      <c r="V14" s="23"/>
      <c r="W14" s="23"/>
      <c r="X14" s="23">
        <f>2+3+5+14+8+6</f>
        <v>38</v>
      </c>
      <c r="Y14" s="23"/>
      <c r="Z14" s="23" t="s">
        <v>73</v>
      </c>
      <c r="AA14" s="38">
        <f t="shared" si="5"/>
        <v>40</v>
      </c>
      <c r="AB14" s="23"/>
      <c r="AC14" s="23"/>
      <c r="AD14" s="23"/>
      <c r="AE14" s="23">
        <v>6</v>
      </c>
      <c r="AF14" s="23"/>
      <c r="AG14" s="23"/>
      <c r="AH14" s="37"/>
      <c r="AI14" s="24">
        <f t="shared" si="6"/>
        <v>84</v>
      </c>
      <c r="AJ14" s="24">
        <f t="shared" si="3"/>
        <v>0</v>
      </c>
      <c r="AK14" s="15"/>
      <c r="AL14" s="15">
        <v>1</v>
      </c>
    </row>
    <row r="15" spans="1:38" x14ac:dyDescent="0.3">
      <c r="A15" s="16">
        <v>2025</v>
      </c>
      <c r="B15" s="11" t="s">
        <v>58</v>
      </c>
      <c r="C15" s="19">
        <v>45663</v>
      </c>
      <c r="D15" s="11" t="s">
        <v>51</v>
      </c>
      <c r="E15" s="18" t="s">
        <v>54</v>
      </c>
      <c r="F15" s="11" t="s">
        <v>52</v>
      </c>
      <c r="G15" s="11" t="s">
        <v>59</v>
      </c>
      <c r="H15" s="15" t="s">
        <v>60</v>
      </c>
      <c r="I15" s="15" t="s">
        <v>74</v>
      </c>
      <c r="J15" s="20"/>
      <c r="K15" s="23"/>
      <c r="L15" s="23"/>
      <c r="M15" s="15">
        <v>184091</v>
      </c>
      <c r="N15" s="25">
        <v>1800</v>
      </c>
      <c r="O15" s="37">
        <v>1884</v>
      </c>
      <c r="P15" s="37">
        <v>1859</v>
      </c>
      <c r="Q15" s="36">
        <v>1828</v>
      </c>
      <c r="R15" s="21">
        <f t="shared" si="4"/>
        <v>-56</v>
      </c>
      <c r="S15" s="21">
        <f t="shared" si="0"/>
        <v>28</v>
      </c>
      <c r="T15" s="22">
        <f t="shared" si="1"/>
        <v>1.5555555555555545E-2</v>
      </c>
      <c r="U15" s="22">
        <f t="shared" si="2"/>
        <v>-2.9723991507430991E-2</v>
      </c>
      <c r="V15" s="23"/>
      <c r="W15" s="23"/>
      <c r="X15" s="23">
        <f>7+4</f>
        <v>11</v>
      </c>
      <c r="Y15" s="23"/>
      <c r="Z15" s="23">
        <v>16</v>
      </c>
      <c r="AA15" s="38">
        <f t="shared" si="5"/>
        <v>25</v>
      </c>
      <c r="AB15" s="23"/>
      <c r="AC15" s="23"/>
      <c r="AD15" s="23"/>
      <c r="AE15" s="23">
        <v>4</v>
      </c>
      <c r="AF15" s="23"/>
      <c r="AG15" s="23"/>
      <c r="AH15" s="37"/>
      <c r="AI15" s="24">
        <f t="shared" si="6"/>
        <v>56</v>
      </c>
      <c r="AJ15" s="24">
        <f t="shared" si="3"/>
        <v>0</v>
      </c>
      <c r="AK15" s="15"/>
      <c r="AL15" s="15">
        <v>1</v>
      </c>
    </row>
    <row r="16" spans="1:38" x14ac:dyDescent="0.3">
      <c r="A16" s="16">
        <v>2025</v>
      </c>
      <c r="B16" s="11" t="s">
        <v>58</v>
      </c>
      <c r="C16" s="19">
        <v>45663</v>
      </c>
      <c r="D16" s="11" t="s">
        <v>51</v>
      </c>
      <c r="E16" s="18" t="s">
        <v>54</v>
      </c>
      <c r="F16" s="11" t="s">
        <v>52</v>
      </c>
      <c r="G16" s="11" t="s">
        <v>59</v>
      </c>
      <c r="H16" s="15" t="s">
        <v>60</v>
      </c>
      <c r="I16" s="15" t="s">
        <v>75</v>
      </c>
      <c r="J16" s="20"/>
      <c r="K16" s="23"/>
      <c r="L16" s="23"/>
      <c r="M16" s="15">
        <v>184098</v>
      </c>
      <c r="N16" s="21">
        <v>1600</v>
      </c>
      <c r="O16" s="36">
        <v>1666</v>
      </c>
      <c r="P16" s="37">
        <v>1666</v>
      </c>
      <c r="Q16" s="36">
        <v>1566</v>
      </c>
      <c r="R16" s="21">
        <f t="shared" si="4"/>
        <v>-100</v>
      </c>
      <c r="S16" s="21">
        <f t="shared" si="0"/>
        <v>-34</v>
      </c>
      <c r="T16" s="22">
        <f t="shared" si="1"/>
        <v>-2.1249999999999991E-2</v>
      </c>
      <c r="U16" s="22">
        <f t="shared" si="2"/>
        <v>-6.0024009603841577E-2</v>
      </c>
      <c r="V16" s="23"/>
      <c r="W16" s="23"/>
      <c r="X16" s="23">
        <f>71-4</f>
        <v>67</v>
      </c>
      <c r="Y16" s="23"/>
      <c r="Z16" s="23">
        <v>29</v>
      </c>
      <c r="AA16" s="38">
        <f t="shared" si="5"/>
        <v>0</v>
      </c>
      <c r="AB16" s="23"/>
      <c r="AC16" s="23"/>
      <c r="AD16" s="23"/>
      <c r="AE16" s="23">
        <v>4</v>
      </c>
      <c r="AF16" s="23"/>
      <c r="AG16" s="23"/>
      <c r="AH16" s="37"/>
      <c r="AI16" s="24">
        <f t="shared" si="6"/>
        <v>100</v>
      </c>
      <c r="AJ16" s="24">
        <f t="shared" si="3"/>
        <v>0</v>
      </c>
      <c r="AK16" s="15"/>
      <c r="AL16" s="15">
        <v>1</v>
      </c>
    </row>
    <row r="17" spans="1:38" x14ac:dyDescent="0.3">
      <c r="A17" s="16">
        <v>2025</v>
      </c>
      <c r="B17" s="11" t="s">
        <v>58</v>
      </c>
      <c r="C17" s="19">
        <v>45663</v>
      </c>
      <c r="D17" s="11" t="s">
        <v>51</v>
      </c>
      <c r="E17" s="18" t="s">
        <v>54</v>
      </c>
      <c r="F17" s="11" t="s">
        <v>52</v>
      </c>
      <c r="G17" s="11" t="s">
        <v>59</v>
      </c>
      <c r="H17" s="15" t="s">
        <v>60</v>
      </c>
      <c r="I17" s="15" t="s">
        <v>76</v>
      </c>
      <c r="J17" s="20"/>
      <c r="K17" s="23"/>
      <c r="L17" s="23"/>
      <c r="M17" s="15">
        <v>184099</v>
      </c>
      <c r="N17" s="21">
        <v>1200</v>
      </c>
      <c r="O17" s="36">
        <v>1252</v>
      </c>
      <c r="P17" s="37">
        <v>1244</v>
      </c>
      <c r="Q17" s="36">
        <v>1208</v>
      </c>
      <c r="R17" s="21">
        <f t="shared" si="4"/>
        <v>-44</v>
      </c>
      <c r="S17" s="21">
        <f t="shared" si="0"/>
        <v>8</v>
      </c>
      <c r="T17" s="22">
        <f t="shared" si="1"/>
        <v>6.6666666666665986E-3</v>
      </c>
      <c r="U17" s="22">
        <f t="shared" si="2"/>
        <v>-3.5143769968051131E-2</v>
      </c>
      <c r="V17" s="23"/>
      <c r="W17" s="23"/>
      <c r="X17" s="23">
        <f>2+1+5+2+11+1</f>
        <v>22</v>
      </c>
      <c r="Y17" s="23"/>
      <c r="Z17" s="23">
        <v>8</v>
      </c>
      <c r="AA17" s="38">
        <f t="shared" si="5"/>
        <v>8</v>
      </c>
      <c r="AB17" s="23"/>
      <c r="AC17" s="23"/>
      <c r="AD17" s="23"/>
      <c r="AE17" s="23">
        <v>6</v>
      </c>
      <c r="AF17" s="23"/>
      <c r="AG17" s="23"/>
      <c r="AH17" s="37"/>
      <c r="AI17" s="24">
        <f t="shared" si="6"/>
        <v>44</v>
      </c>
      <c r="AJ17" s="24">
        <f t="shared" si="3"/>
        <v>0</v>
      </c>
      <c r="AK17" s="15"/>
      <c r="AL17" s="15">
        <v>1</v>
      </c>
    </row>
    <row r="18" spans="1:38" x14ac:dyDescent="0.3">
      <c r="A18" s="16">
        <v>2025</v>
      </c>
      <c r="B18" s="11" t="s">
        <v>58</v>
      </c>
      <c r="C18" s="19">
        <v>45663</v>
      </c>
      <c r="D18" s="11" t="s">
        <v>51</v>
      </c>
      <c r="E18" s="18" t="s">
        <v>54</v>
      </c>
      <c r="F18" s="11" t="s">
        <v>52</v>
      </c>
      <c r="G18" s="11" t="s">
        <v>59</v>
      </c>
      <c r="H18" s="15" t="s">
        <v>60</v>
      </c>
      <c r="I18" s="15" t="s">
        <v>77</v>
      </c>
      <c r="J18" s="20"/>
      <c r="K18" s="23"/>
      <c r="L18" s="23"/>
      <c r="M18" s="15">
        <v>184093</v>
      </c>
      <c r="N18" s="21">
        <v>1600</v>
      </c>
      <c r="O18" s="36">
        <v>1636</v>
      </c>
      <c r="P18" s="37">
        <v>1633</v>
      </c>
      <c r="Q18" s="36">
        <v>1614</v>
      </c>
      <c r="R18" s="21">
        <f t="shared" si="4"/>
        <v>-22</v>
      </c>
      <c r="S18" s="21">
        <f t="shared" si="0"/>
        <v>14</v>
      </c>
      <c r="T18" s="22">
        <f t="shared" si="1"/>
        <v>8.7500000000000355E-3</v>
      </c>
      <c r="U18" s="22">
        <f t="shared" si="2"/>
        <v>-1.344743276283622E-2</v>
      </c>
      <c r="V18" s="23"/>
      <c r="W18" s="23"/>
      <c r="X18" s="23">
        <f>1+1+2+1+3</f>
        <v>8</v>
      </c>
      <c r="Y18" s="23"/>
      <c r="Z18" s="23">
        <v>5</v>
      </c>
      <c r="AA18" s="38">
        <f t="shared" si="5"/>
        <v>3</v>
      </c>
      <c r="AB18" s="23"/>
      <c r="AC18" s="23"/>
      <c r="AD18" s="23"/>
      <c r="AE18" s="23">
        <v>6</v>
      </c>
      <c r="AF18" s="23"/>
      <c r="AG18" s="23"/>
      <c r="AH18" s="37"/>
      <c r="AI18" s="24">
        <f t="shared" si="6"/>
        <v>22</v>
      </c>
      <c r="AJ18" s="24">
        <f t="shared" si="3"/>
        <v>0</v>
      </c>
      <c r="AK18" s="15"/>
      <c r="AL18" s="15">
        <v>1</v>
      </c>
    </row>
    <row r="19" spans="1:38" x14ac:dyDescent="0.3">
      <c r="A19" s="16">
        <v>2025</v>
      </c>
      <c r="B19" s="11" t="s">
        <v>58</v>
      </c>
      <c r="C19" s="19">
        <v>45663</v>
      </c>
      <c r="D19" s="11" t="s">
        <v>51</v>
      </c>
      <c r="E19" s="18" t="s">
        <v>54</v>
      </c>
      <c r="F19" s="11" t="s">
        <v>52</v>
      </c>
      <c r="G19" s="11" t="s">
        <v>59</v>
      </c>
      <c r="H19" s="15" t="s">
        <v>60</v>
      </c>
      <c r="I19" s="15" t="s">
        <v>78</v>
      </c>
      <c r="J19" s="20"/>
      <c r="K19" s="23"/>
      <c r="L19" s="23"/>
      <c r="M19" s="15">
        <v>184094</v>
      </c>
      <c r="N19" s="25">
        <v>1600</v>
      </c>
      <c r="O19" s="37">
        <v>1636</v>
      </c>
      <c r="P19" s="37">
        <v>1631</v>
      </c>
      <c r="Q19" s="36">
        <v>1614</v>
      </c>
      <c r="R19" s="21">
        <f t="shared" si="4"/>
        <v>-22</v>
      </c>
      <c r="S19" s="21">
        <f t="shared" si="0"/>
        <v>14</v>
      </c>
      <c r="T19" s="22">
        <f t="shared" si="1"/>
        <v>8.7500000000000355E-3</v>
      </c>
      <c r="U19" s="22">
        <f t="shared" si="2"/>
        <v>-1.344743276283622E-2</v>
      </c>
      <c r="V19" s="23"/>
      <c r="W19" s="23"/>
      <c r="X19" s="23">
        <f>5+4</f>
        <v>9</v>
      </c>
      <c r="Y19" s="23"/>
      <c r="Z19" s="23">
        <v>4</v>
      </c>
      <c r="AA19" s="38">
        <f t="shared" si="5"/>
        <v>5</v>
      </c>
      <c r="AB19" s="23"/>
      <c r="AC19" s="23"/>
      <c r="AD19" s="23"/>
      <c r="AE19" s="23">
        <v>4</v>
      </c>
      <c r="AF19" s="23"/>
      <c r="AG19" s="23"/>
      <c r="AH19" s="37"/>
      <c r="AI19" s="24">
        <f t="shared" si="6"/>
        <v>22</v>
      </c>
      <c r="AJ19" s="24">
        <f t="shared" si="3"/>
        <v>0</v>
      </c>
      <c r="AK19" s="15"/>
      <c r="AL19" s="15">
        <v>1</v>
      </c>
    </row>
    <row r="20" spans="1:38" x14ac:dyDescent="0.3">
      <c r="A20" s="16">
        <v>2025</v>
      </c>
      <c r="B20" s="11" t="s">
        <v>58</v>
      </c>
      <c r="C20" s="19">
        <v>45663</v>
      </c>
      <c r="D20" s="11" t="s">
        <v>51</v>
      </c>
      <c r="E20" s="18" t="s">
        <v>54</v>
      </c>
      <c r="F20" s="11" t="s">
        <v>52</v>
      </c>
      <c r="G20" s="11" t="s">
        <v>59</v>
      </c>
      <c r="H20" s="15" t="s">
        <v>60</v>
      </c>
      <c r="I20" s="15" t="s">
        <v>79</v>
      </c>
      <c r="J20" s="20"/>
      <c r="K20" s="23"/>
      <c r="L20" s="23"/>
      <c r="M20" s="15">
        <v>184089</v>
      </c>
      <c r="N20" s="25">
        <v>2700</v>
      </c>
      <c r="O20" s="37">
        <v>2802</v>
      </c>
      <c r="P20" s="37">
        <v>2759</v>
      </c>
      <c r="Q20" s="36">
        <v>2667</v>
      </c>
      <c r="R20" s="21">
        <f t="shared" si="4"/>
        <v>-135</v>
      </c>
      <c r="S20" s="21">
        <f t="shared" si="0"/>
        <v>-33</v>
      </c>
      <c r="T20" s="22">
        <f t="shared" si="1"/>
        <v>-1.2222222222222245E-2</v>
      </c>
      <c r="U20" s="22">
        <f t="shared" si="2"/>
        <v>-4.8179871520342643E-2</v>
      </c>
      <c r="V20" s="23"/>
      <c r="W20" s="23"/>
      <c r="X20" s="23">
        <f>11+6+5+2+3+2+6+2+11+1+6+2+3+3</f>
        <v>63</v>
      </c>
      <c r="Y20" s="23"/>
      <c r="Z20" s="23">
        <v>20</v>
      </c>
      <c r="AA20" s="38">
        <f t="shared" si="5"/>
        <v>43</v>
      </c>
      <c r="AB20" s="23"/>
      <c r="AC20" s="23"/>
      <c r="AD20" s="23"/>
      <c r="AE20" s="23">
        <v>9</v>
      </c>
      <c r="AF20" s="23"/>
      <c r="AG20" s="23"/>
      <c r="AH20" s="37"/>
      <c r="AI20" s="24">
        <f t="shared" si="6"/>
        <v>135</v>
      </c>
      <c r="AJ20" s="24">
        <f t="shared" si="3"/>
        <v>0</v>
      </c>
      <c r="AK20" s="15"/>
      <c r="AL20" s="15">
        <v>1</v>
      </c>
    </row>
    <row r="21" spans="1:38" x14ac:dyDescent="0.3">
      <c r="A21" s="16">
        <v>2025</v>
      </c>
      <c r="B21" s="11" t="s">
        <v>58</v>
      </c>
      <c r="C21" s="19">
        <v>45663</v>
      </c>
      <c r="D21" s="11" t="s">
        <v>51</v>
      </c>
      <c r="E21" s="18" t="s">
        <v>54</v>
      </c>
      <c r="F21" s="11" t="s">
        <v>52</v>
      </c>
      <c r="G21" s="11" t="s">
        <v>59</v>
      </c>
      <c r="H21" s="15" t="s">
        <v>60</v>
      </c>
      <c r="I21" s="15" t="s">
        <v>80</v>
      </c>
      <c r="J21" s="20"/>
      <c r="K21" s="23"/>
      <c r="L21" s="23"/>
      <c r="M21" s="15">
        <v>184083</v>
      </c>
      <c r="N21" s="21">
        <v>2700</v>
      </c>
      <c r="O21" s="36">
        <v>2802</v>
      </c>
      <c r="P21" s="37">
        <v>2784</v>
      </c>
      <c r="Q21" s="36">
        <v>2682</v>
      </c>
      <c r="R21" s="21">
        <f t="shared" si="4"/>
        <v>-120</v>
      </c>
      <c r="S21" s="21">
        <f t="shared" si="0"/>
        <v>-18</v>
      </c>
      <c r="T21" s="22">
        <f t="shared" si="1"/>
        <v>-6.6666666666667096E-3</v>
      </c>
      <c r="U21" s="22">
        <f t="shared" si="2"/>
        <v>-4.2826552462526757E-2</v>
      </c>
      <c r="V21" s="23"/>
      <c r="W21" s="23"/>
      <c r="X21" s="23">
        <v>60</v>
      </c>
      <c r="Y21" s="23"/>
      <c r="Z21" s="23">
        <v>33</v>
      </c>
      <c r="AA21" s="38">
        <f t="shared" si="5"/>
        <v>18</v>
      </c>
      <c r="AB21" s="23"/>
      <c r="AC21" s="23"/>
      <c r="AD21" s="23"/>
      <c r="AE21" s="23">
        <v>9</v>
      </c>
      <c r="AF21" s="23"/>
      <c r="AG21" s="23"/>
      <c r="AH21" s="37"/>
      <c r="AI21" s="24">
        <f t="shared" si="6"/>
        <v>120</v>
      </c>
      <c r="AJ21" s="24">
        <f t="shared" si="3"/>
        <v>0</v>
      </c>
      <c r="AK21" s="15"/>
      <c r="AL21" s="15">
        <v>1</v>
      </c>
    </row>
    <row r="22" spans="1:38" x14ac:dyDescent="0.3">
      <c r="A22" s="14">
        <v>2025</v>
      </c>
      <c r="B22" s="14" t="s">
        <v>53</v>
      </c>
      <c r="C22" s="26">
        <v>45663</v>
      </c>
      <c r="D22" s="14" t="s">
        <v>48</v>
      </c>
      <c r="E22" s="17" t="s">
        <v>47</v>
      </c>
      <c r="F22" s="14" t="s">
        <v>49</v>
      </c>
      <c r="G22" s="14" t="s">
        <v>81</v>
      </c>
      <c r="H22" s="14" t="s">
        <v>82</v>
      </c>
      <c r="I22" s="14" t="s">
        <v>83</v>
      </c>
      <c r="J22" s="14">
        <v>5158592</v>
      </c>
      <c r="K22" s="27" t="s">
        <v>84</v>
      </c>
      <c r="L22" s="27">
        <v>906</v>
      </c>
      <c r="M22" s="14">
        <v>184271</v>
      </c>
      <c r="N22" s="39">
        <v>2808</v>
      </c>
      <c r="O22" s="39">
        <v>2892</v>
      </c>
      <c r="P22" s="40">
        <v>2890</v>
      </c>
      <c r="Q22" s="39">
        <v>2886</v>
      </c>
      <c r="R22" s="29">
        <f>Q22-O22-W22</f>
        <v>-31</v>
      </c>
      <c r="S22" s="29">
        <f>Q22-N22</f>
        <v>78</v>
      </c>
      <c r="T22" s="30">
        <f t="shared" si="1"/>
        <v>2.7777777777777679E-2</v>
      </c>
      <c r="U22" s="30">
        <f t="shared" si="2"/>
        <v>-2.0746887966804906E-3</v>
      </c>
      <c r="V22" s="41" t="s">
        <v>85</v>
      </c>
      <c r="W22" s="42">
        <v>25</v>
      </c>
      <c r="X22" s="42">
        <v>1</v>
      </c>
      <c r="Y22" s="42">
        <v>0</v>
      </c>
      <c r="Z22" s="42">
        <v>28</v>
      </c>
      <c r="AA22" s="28">
        <f>O22-P22</f>
        <v>2</v>
      </c>
      <c r="AB22" s="42">
        <v>0</v>
      </c>
      <c r="AC22" s="42">
        <v>0</v>
      </c>
      <c r="AD22" s="42">
        <v>0</v>
      </c>
      <c r="AE22" s="42">
        <v>0</v>
      </c>
      <c r="AF22" s="42">
        <v>0</v>
      </c>
      <c r="AG22" s="42">
        <v>0</v>
      </c>
      <c r="AH22" s="42">
        <v>0</v>
      </c>
      <c r="AI22" s="29">
        <f>SUM(X22:AH22)</f>
        <v>31</v>
      </c>
      <c r="AJ22" s="29">
        <f>R22+AI22</f>
        <v>0</v>
      </c>
      <c r="AK22" s="41" t="s">
        <v>86</v>
      </c>
      <c r="AL22" s="14">
        <v>1</v>
      </c>
    </row>
    <row r="23" spans="1:38" x14ac:dyDescent="0.3">
      <c r="A23" s="14">
        <v>2025</v>
      </c>
      <c r="B23" s="14" t="s">
        <v>53</v>
      </c>
      <c r="C23" s="26">
        <v>45663</v>
      </c>
      <c r="D23" s="14" t="s">
        <v>48</v>
      </c>
      <c r="E23" s="17" t="s">
        <v>47</v>
      </c>
      <c r="F23" s="14" t="s">
        <v>49</v>
      </c>
      <c r="G23" s="14" t="s">
        <v>81</v>
      </c>
      <c r="H23" s="14" t="s">
        <v>82</v>
      </c>
      <c r="I23" s="14" t="s">
        <v>87</v>
      </c>
      <c r="J23" s="14">
        <v>5158592</v>
      </c>
      <c r="K23" s="27" t="s">
        <v>84</v>
      </c>
      <c r="L23" s="27">
        <v>675</v>
      </c>
      <c r="M23" s="14">
        <v>184272</v>
      </c>
      <c r="N23" s="39">
        <v>1620</v>
      </c>
      <c r="O23" s="39">
        <v>1668</v>
      </c>
      <c r="P23" s="40">
        <v>1667</v>
      </c>
      <c r="Q23" s="39">
        <v>1665</v>
      </c>
      <c r="R23" s="29">
        <f t="shared" ref="R23:R27" si="7">Q23-O23-W23</f>
        <v>-3</v>
      </c>
      <c r="S23" s="29">
        <f t="shared" ref="S23:S27" si="8">Q23-N23</f>
        <v>45</v>
      </c>
      <c r="T23" s="30">
        <f t="shared" si="1"/>
        <v>2.7777777777777679E-2</v>
      </c>
      <c r="U23" s="30">
        <f t="shared" si="2"/>
        <v>-1.7985611510791255E-3</v>
      </c>
      <c r="V23" s="41" t="s">
        <v>88</v>
      </c>
      <c r="W23" s="42">
        <v>0</v>
      </c>
      <c r="X23" s="42">
        <v>0</v>
      </c>
      <c r="Y23" s="42">
        <v>0</v>
      </c>
      <c r="Z23" s="42">
        <v>2</v>
      </c>
      <c r="AA23" s="28">
        <f t="shared" ref="AA23:AA27" si="9">O23-P23</f>
        <v>1</v>
      </c>
      <c r="AB23" s="42">
        <v>0</v>
      </c>
      <c r="AC23" s="42">
        <v>0</v>
      </c>
      <c r="AD23" s="42">
        <v>0</v>
      </c>
      <c r="AE23" s="42">
        <v>0</v>
      </c>
      <c r="AF23" s="42">
        <v>0</v>
      </c>
      <c r="AG23" s="42">
        <v>0</v>
      </c>
      <c r="AH23" s="42">
        <v>0</v>
      </c>
      <c r="AI23" s="29">
        <f t="shared" ref="AI23:AI27" si="10">SUM(X23:AH23)</f>
        <v>3</v>
      </c>
      <c r="AJ23" s="29">
        <f t="shared" ref="AJ23:AJ27" si="11">R23+AI23</f>
        <v>0</v>
      </c>
      <c r="AK23" s="41" t="s">
        <v>2</v>
      </c>
      <c r="AL23" s="14">
        <v>1</v>
      </c>
    </row>
    <row r="24" spans="1:38" x14ac:dyDescent="0.3">
      <c r="A24" s="14">
        <v>2025</v>
      </c>
      <c r="B24" s="14" t="s">
        <v>53</v>
      </c>
      <c r="C24" s="26">
        <v>45663</v>
      </c>
      <c r="D24" s="14" t="s">
        <v>48</v>
      </c>
      <c r="E24" s="17" t="s">
        <v>47</v>
      </c>
      <c r="F24" s="14" t="s">
        <v>49</v>
      </c>
      <c r="G24" s="14" t="s">
        <v>81</v>
      </c>
      <c r="H24" s="14" t="s">
        <v>82</v>
      </c>
      <c r="I24" s="14" t="s">
        <v>89</v>
      </c>
      <c r="J24" s="14">
        <v>5158607</v>
      </c>
      <c r="K24" s="27" t="s">
        <v>84</v>
      </c>
      <c r="L24" s="27">
        <v>740.2</v>
      </c>
      <c r="M24" s="14">
        <v>184273</v>
      </c>
      <c r="N24" s="39">
        <v>2160</v>
      </c>
      <c r="O24" s="39">
        <v>2184</v>
      </c>
      <c r="P24" s="40">
        <v>2184</v>
      </c>
      <c r="Q24" s="39">
        <v>2184</v>
      </c>
      <c r="R24" s="29">
        <f t="shared" si="7"/>
        <v>-16</v>
      </c>
      <c r="S24" s="29">
        <f t="shared" si="8"/>
        <v>24</v>
      </c>
      <c r="T24" s="30">
        <f t="shared" si="1"/>
        <v>1.1111111111111072E-2</v>
      </c>
      <c r="U24" s="30">
        <f t="shared" si="2"/>
        <v>0</v>
      </c>
      <c r="V24" s="41" t="s">
        <v>90</v>
      </c>
      <c r="W24" s="42">
        <v>16</v>
      </c>
      <c r="X24" s="42">
        <v>6</v>
      </c>
      <c r="Y24" s="42">
        <v>0</v>
      </c>
      <c r="Z24" s="42">
        <v>10</v>
      </c>
      <c r="AA24" s="28">
        <f t="shared" si="9"/>
        <v>0</v>
      </c>
      <c r="AB24" s="42">
        <v>0</v>
      </c>
      <c r="AC24" s="42">
        <v>0</v>
      </c>
      <c r="AD24" s="42">
        <v>0</v>
      </c>
      <c r="AE24" s="42">
        <v>0</v>
      </c>
      <c r="AF24" s="42">
        <v>0</v>
      </c>
      <c r="AG24" s="42">
        <v>0</v>
      </c>
      <c r="AH24" s="42">
        <v>0</v>
      </c>
      <c r="AI24" s="29">
        <f t="shared" si="10"/>
        <v>16</v>
      </c>
      <c r="AJ24" s="29">
        <f t="shared" si="11"/>
        <v>0</v>
      </c>
      <c r="AK24" s="41" t="s">
        <v>91</v>
      </c>
      <c r="AL24" s="14">
        <v>1</v>
      </c>
    </row>
    <row r="25" spans="1:38" x14ac:dyDescent="0.3">
      <c r="A25" s="14">
        <v>2025</v>
      </c>
      <c r="B25" s="14" t="s">
        <v>53</v>
      </c>
      <c r="C25" s="26">
        <v>45663</v>
      </c>
      <c r="D25" s="14" t="s">
        <v>48</v>
      </c>
      <c r="E25" s="17" t="s">
        <v>47</v>
      </c>
      <c r="F25" s="14" t="s">
        <v>49</v>
      </c>
      <c r="G25" s="14" t="s">
        <v>81</v>
      </c>
      <c r="H25" s="14" t="s">
        <v>82</v>
      </c>
      <c r="I25" s="14" t="s">
        <v>92</v>
      </c>
      <c r="J25" s="14">
        <v>5158607</v>
      </c>
      <c r="K25" s="27" t="s">
        <v>84</v>
      </c>
      <c r="L25" s="27">
        <v>720</v>
      </c>
      <c r="M25" s="14">
        <v>184274</v>
      </c>
      <c r="N25" s="39">
        <v>1728</v>
      </c>
      <c r="O25" s="39">
        <v>1728</v>
      </c>
      <c r="P25" s="40">
        <v>1728</v>
      </c>
      <c r="Q25" s="39">
        <v>1728</v>
      </c>
      <c r="R25" s="29">
        <f t="shared" si="7"/>
        <v>0</v>
      </c>
      <c r="S25" s="29">
        <f t="shared" si="8"/>
        <v>0</v>
      </c>
      <c r="T25" s="30">
        <f t="shared" si="1"/>
        <v>0</v>
      </c>
      <c r="U25" s="30">
        <f t="shared" si="2"/>
        <v>0</v>
      </c>
      <c r="V25" s="41" t="s">
        <v>93</v>
      </c>
      <c r="W25" s="42">
        <v>0</v>
      </c>
      <c r="X25" s="42">
        <v>0</v>
      </c>
      <c r="Y25" s="42">
        <v>0</v>
      </c>
      <c r="Z25" s="42">
        <v>0</v>
      </c>
      <c r="AA25" s="28">
        <f t="shared" si="9"/>
        <v>0</v>
      </c>
      <c r="AB25" s="42">
        <v>0</v>
      </c>
      <c r="AC25" s="42">
        <v>0</v>
      </c>
      <c r="AD25" s="42">
        <v>0</v>
      </c>
      <c r="AE25" s="42">
        <v>0</v>
      </c>
      <c r="AF25" s="42">
        <v>0</v>
      </c>
      <c r="AG25" s="42">
        <v>0</v>
      </c>
      <c r="AH25" s="42">
        <v>0</v>
      </c>
      <c r="AI25" s="29">
        <f t="shared" si="10"/>
        <v>0</v>
      </c>
      <c r="AJ25" s="29">
        <f t="shared" si="11"/>
        <v>0</v>
      </c>
      <c r="AK25" s="41" t="s">
        <v>2</v>
      </c>
      <c r="AL25" s="14">
        <v>1</v>
      </c>
    </row>
    <row r="26" spans="1:38" x14ac:dyDescent="0.3">
      <c r="A26" s="14">
        <v>2025</v>
      </c>
      <c r="B26" s="14" t="s">
        <v>53</v>
      </c>
      <c r="C26" s="26">
        <v>45663</v>
      </c>
      <c r="D26" s="14" t="s">
        <v>48</v>
      </c>
      <c r="E26" s="17" t="s">
        <v>47</v>
      </c>
      <c r="F26" s="14" t="s">
        <v>49</v>
      </c>
      <c r="G26" s="14" t="s">
        <v>81</v>
      </c>
      <c r="H26" s="14" t="s">
        <v>82</v>
      </c>
      <c r="I26" s="14" t="s">
        <v>94</v>
      </c>
      <c r="J26" s="14">
        <v>5159767</v>
      </c>
      <c r="K26" s="27" t="s">
        <v>84</v>
      </c>
      <c r="L26" s="27">
        <v>11757.8</v>
      </c>
      <c r="M26" s="14">
        <v>184265</v>
      </c>
      <c r="N26" s="39">
        <v>36288</v>
      </c>
      <c r="O26" s="39">
        <v>36288</v>
      </c>
      <c r="P26" s="40">
        <v>36282</v>
      </c>
      <c r="Q26" s="39">
        <v>36216</v>
      </c>
      <c r="R26" s="29">
        <f t="shared" si="7"/>
        <v>-93</v>
      </c>
      <c r="S26" s="29">
        <f t="shared" si="8"/>
        <v>-72</v>
      </c>
      <c r="T26" s="30">
        <f t="shared" si="1"/>
        <v>-1.9841269841269771E-3</v>
      </c>
      <c r="U26" s="30">
        <f t="shared" si="2"/>
        <v>-1.9841269841269771E-3</v>
      </c>
      <c r="V26" s="41" t="s">
        <v>95</v>
      </c>
      <c r="W26" s="42">
        <v>21</v>
      </c>
      <c r="X26" s="42">
        <v>31</v>
      </c>
      <c r="Y26" s="42">
        <v>0</v>
      </c>
      <c r="Z26" s="42">
        <v>56</v>
      </c>
      <c r="AA26" s="28">
        <f t="shared" si="9"/>
        <v>6</v>
      </c>
      <c r="AB26" s="42">
        <v>0</v>
      </c>
      <c r="AC26" s="42">
        <v>0</v>
      </c>
      <c r="AD26" s="42">
        <v>0</v>
      </c>
      <c r="AE26" s="42">
        <v>0</v>
      </c>
      <c r="AF26" s="42">
        <v>0</v>
      </c>
      <c r="AG26" s="42">
        <v>0</v>
      </c>
      <c r="AH26" s="42">
        <v>0</v>
      </c>
      <c r="AI26" s="29">
        <f t="shared" si="10"/>
        <v>93</v>
      </c>
      <c r="AJ26" s="29">
        <f t="shared" si="11"/>
        <v>0</v>
      </c>
      <c r="AK26" s="41" t="s">
        <v>96</v>
      </c>
      <c r="AL26" s="14">
        <v>1</v>
      </c>
    </row>
    <row r="27" spans="1:38" x14ac:dyDescent="0.3">
      <c r="A27" s="14">
        <v>2025</v>
      </c>
      <c r="B27" s="14" t="s">
        <v>53</v>
      </c>
      <c r="C27" s="26">
        <v>45663</v>
      </c>
      <c r="D27" s="14" t="s">
        <v>48</v>
      </c>
      <c r="E27" s="17" t="s">
        <v>47</v>
      </c>
      <c r="F27" s="14" t="s">
        <v>49</v>
      </c>
      <c r="G27" s="14" t="s">
        <v>81</v>
      </c>
      <c r="H27" s="14" t="s">
        <v>82</v>
      </c>
      <c r="I27" s="14" t="s">
        <v>97</v>
      </c>
      <c r="J27" s="14">
        <v>5159769</v>
      </c>
      <c r="K27" s="27" t="s">
        <v>84</v>
      </c>
      <c r="L27" s="27">
        <v>6518</v>
      </c>
      <c r="M27" s="14">
        <v>184266</v>
      </c>
      <c r="N27" s="39">
        <v>19980</v>
      </c>
      <c r="O27" s="39">
        <v>19980</v>
      </c>
      <c r="P27" s="40">
        <v>19980</v>
      </c>
      <c r="Q27" s="39">
        <v>19935</v>
      </c>
      <c r="R27" s="29">
        <f t="shared" si="7"/>
        <v>-45</v>
      </c>
      <c r="S27" s="29">
        <f t="shared" si="8"/>
        <v>-45</v>
      </c>
      <c r="T27" s="30">
        <f t="shared" si="1"/>
        <v>-2.2522522522522292E-3</v>
      </c>
      <c r="U27" s="30">
        <f t="shared" si="2"/>
        <v>-2.2522522522522292E-3</v>
      </c>
      <c r="V27" s="41" t="s">
        <v>98</v>
      </c>
      <c r="W27" s="42">
        <v>0</v>
      </c>
      <c r="X27" s="42">
        <v>44</v>
      </c>
      <c r="Y27" s="42">
        <v>0</v>
      </c>
      <c r="Z27" s="42">
        <v>1</v>
      </c>
      <c r="AA27" s="28">
        <f t="shared" si="9"/>
        <v>0</v>
      </c>
      <c r="AB27" s="42">
        <v>0</v>
      </c>
      <c r="AC27" s="42">
        <v>0</v>
      </c>
      <c r="AD27" s="42">
        <v>0</v>
      </c>
      <c r="AE27" s="42">
        <v>0</v>
      </c>
      <c r="AF27" s="42">
        <v>0</v>
      </c>
      <c r="AG27" s="42">
        <v>0</v>
      </c>
      <c r="AH27" s="42">
        <v>0</v>
      </c>
      <c r="AI27" s="29">
        <f t="shared" si="10"/>
        <v>45</v>
      </c>
      <c r="AJ27" s="29">
        <f t="shared" si="11"/>
        <v>0</v>
      </c>
      <c r="AK27" s="14" t="s">
        <v>99</v>
      </c>
      <c r="AL27" s="14">
        <v>1</v>
      </c>
    </row>
    <row r="28" spans="1:38" x14ac:dyDescent="0.3">
      <c r="A28" s="14">
        <v>2025</v>
      </c>
      <c r="B28" s="14" t="s">
        <v>53</v>
      </c>
      <c r="C28" s="31">
        <v>45663</v>
      </c>
      <c r="D28" s="10" t="s">
        <v>100</v>
      </c>
      <c r="E28" s="10" t="s">
        <v>50</v>
      </c>
      <c r="F28" s="10" t="s">
        <v>101</v>
      </c>
      <c r="G28" s="10" t="s">
        <v>102</v>
      </c>
      <c r="H28" s="10" t="s">
        <v>103</v>
      </c>
      <c r="I28" s="14" t="s">
        <v>104</v>
      </c>
      <c r="J28" s="10"/>
      <c r="K28" s="10"/>
      <c r="L28" s="10"/>
      <c r="M28" s="10">
        <v>184237</v>
      </c>
      <c r="N28" s="10">
        <v>1020</v>
      </c>
      <c r="O28" s="10">
        <v>1020</v>
      </c>
      <c r="P28" s="10">
        <v>1020</v>
      </c>
      <c r="Q28" s="10">
        <v>1020</v>
      </c>
      <c r="R28" s="10">
        <f>Q28-O28</f>
        <v>0</v>
      </c>
      <c r="S28" s="10">
        <f>Q28-N28</f>
        <v>0</v>
      </c>
      <c r="T28" s="34">
        <f>Q28/N28-1</f>
        <v>0</v>
      </c>
      <c r="U28" s="34">
        <f>Q28/O28-1</f>
        <v>0</v>
      </c>
      <c r="V28" s="10"/>
      <c r="W28" s="10"/>
      <c r="X28" s="14">
        <v>0</v>
      </c>
      <c r="Y28" s="14">
        <v>0</v>
      </c>
      <c r="Z28" s="14">
        <v>0</v>
      </c>
      <c r="AA28" s="14">
        <v>0</v>
      </c>
      <c r="AB28" s="14">
        <v>0</v>
      </c>
      <c r="AC28" s="14">
        <v>0</v>
      </c>
      <c r="AD28" s="14">
        <v>0</v>
      </c>
      <c r="AE28" s="14">
        <v>0</v>
      </c>
      <c r="AF28" s="14">
        <v>0</v>
      </c>
      <c r="AG28" s="14">
        <v>0</v>
      </c>
      <c r="AH28" s="14">
        <v>0</v>
      </c>
      <c r="AI28" s="10">
        <f>SUM(X28:AH28)</f>
        <v>0</v>
      </c>
      <c r="AJ28" s="10">
        <f>AI28+R28</f>
        <v>0</v>
      </c>
      <c r="AK28" s="10"/>
      <c r="AL28" s="14">
        <v>1</v>
      </c>
    </row>
    <row r="29" spans="1:38" x14ac:dyDescent="0.3">
      <c r="A29" s="14">
        <v>2025</v>
      </c>
      <c r="B29" s="14" t="s">
        <v>53</v>
      </c>
      <c r="C29" s="31">
        <v>45663</v>
      </c>
      <c r="D29" s="10" t="s">
        <v>100</v>
      </c>
      <c r="E29" s="10" t="s">
        <v>50</v>
      </c>
      <c r="F29" s="10" t="s">
        <v>101</v>
      </c>
      <c r="G29" s="10" t="s">
        <v>102</v>
      </c>
      <c r="H29" s="10" t="s">
        <v>103</v>
      </c>
      <c r="I29" s="14" t="s">
        <v>105</v>
      </c>
      <c r="J29" s="10"/>
      <c r="K29" s="10"/>
      <c r="L29" s="10"/>
      <c r="M29" s="10">
        <v>184238</v>
      </c>
      <c r="N29" s="10">
        <v>160</v>
      </c>
      <c r="O29" s="10">
        <v>160</v>
      </c>
      <c r="P29" s="10">
        <v>160</v>
      </c>
      <c r="Q29" s="10">
        <v>160</v>
      </c>
      <c r="R29" s="10">
        <f t="shared" ref="R29:R73" si="12">Q29-O29</f>
        <v>0</v>
      </c>
      <c r="S29" s="10">
        <f t="shared" ref="S29:S73" si="13">Q29-N29</f>
        <v>0</v>
      </c>
      <c r="T29" s="34">
        <f t="shared" ref="T29:T83" si="14">Q29/N29-1</f>
        <v>0</v>
      </c>
      <c r="U29" s="34">
        <f t="shared" ref="U29:U83" si="15">Q29/O29-1</f>
        <v>0</v>
      </c>
      <c r="V29" s="10"/>
      <c r="W29" s="10"/>
      <c r="X29" s="14">
        <v>0</v>
      </c>
      <c r="Y29" s="14">
        <v>0</v>
      </c>
      <c r="Z29" s="14">
        <v>0</v>
      </c>
      <c r="AA29" s="14">
        <v>0</v>
      </c>
      <c r="AB29" s="14">
        <v>0</v>
      </c>
      <c r="AC29" s="14">
        <v>0</v>
      </c>
      <c r="AD29" s="14">
        <v>0</v>
      </c>
      <c r="AE29" s="14">
        <v>0</v>
      </c>
      <c r="AF29" s="14">
        <v>0</v>
      </c>
      <c r="AG29" s="14">
        <v>0</v>
      </c>
      <c r="AH29" s="14">
        <v>0</v>
      </c>
      <c r="AI29" s="10">
        <f t="shared" ref="AI29:AI38" si="16">SUM(X29:AH29)</f>
        <v>0</v>
      </c>
      <c r="AJ29" s="10">
        <f t="shared" ref="AJ29:AJ38" si="17">AI29+R29</f>
        <v>0</v>
      </c>
      <c r="AK29" s="10"/>
      <c r="AL29" s="14">
        <v>1</v>
      </c>
    </row>
    <row r="30" spans="1:38" x14ac:dyDescent="0.3">
      <c r="A30" s="14">
        <v>2025</v>
      </c>
      <c r="B30" s="14" t="s">
        <v>53</v>
      </c>
      <c r="C30" s="31">
        <v>45663</v>
      </c>
      <c r="D30" s="10" t="s">
        <v>100</v>
      </c>
      <c r="E30" s="10" t="s">
        <v>50</v>
      </c>
      <c r="F30" s="10" t="s">
        <v>101</v>
      </c>
      <c r="G30" s="10" t="s">
        <v>102</v>
      </c>
      <c r="H30" s="10" t="s">
        <v>103</v>
      </c>
      <c r="I30" s="14" t="s">
        <v>105</v>
      </c>
      <c r="J30" s="10"/>
      <c r="K30" s="10"/>
      <c r="L30" s="10"/>
      <c r="M30" s="10">
        <v>184239</v>
      </c>
      <c r="N30" s="10">
        <v>20</v>
      </c>
      <c r="O30" s="10">
        <v>20</v>
      </c>
      <c r="P30" s="10">
        <v>20</v>
      </c>
      <c r="Q30" s="10">
        <v>20</v>
      </c>
      <c r="R30" s="10">
        <f t="shared" si="12"/>
        <v>0</v>
      </c>
      <c r="S30" s="10">
        <f t="shared" si="13"/>
        <v>0</v>
      </c>
      <c r="T30" s="34">
        <f t="shared" si="14"/>
        <v>0</v>
      </c>
      <c r="U30" s="34">
        <f t="shared" si="15"/>
        <v>0</v>
      </c>
      <c r="V30" s="10"/>
      <c r="W30" s="10"/>
      <c r="X30" s="14">
        <v>0</v>
      </c>
      <c r="Y30" s="14">
        <v>0</v>
      </c>
      <c r="Z30" s="14">
        <v>0</v>
      </c>
      <c r="AA30" s="14">
        <v>0</v>
      </c>
      <c r="AB30" s="14">
        <v>0</v>
      </c>
      <c r="AC30" s="14">
        <v>0</v>
      </c>
      <c r="AD30" s="14">
        <v>0</v>
      </c>
      <c r="AE30" s="14">
        <v>0</v>
      </c>
      <c r="AF30" s="14">
        <v>0</v>
      </c>
      <c r="AG30" s="14">
        <v>0</v>
      </c>
      <c r="AH30" s="14">
        <v>0</v>
      </c>
      <c r="AI30" s="10">
        <f t="shared" si="16"/>
        <v>0</v>
      </c>
      <c r="AJ30" s="10">
        <f t="shared" si="17"/>
        <v>0</v>
      </c>
      <c r="AK30" s="10"/>
      <c r="AL30" s="14">
        <v>1</v>
      </c>
    </row>
    <row r="31" spans="1:38" x14ac:dyDescent="0.3">
      <c r="A31" s="14">
        <v>2025</v>
      </c>
      <c r="B31" s="14" t="s">
        <v>53</v>
      </c>
      <c r="C31" s="31">
        <v>45663</v>
      </c>
      <c r="D31" s="10" t="s">
        <v>100</v>
      </c>
      <c r="E31" s="10" t="s">
        <v>50</v>
      </c>
      <c r="F31" s="10" t="s">
        <v>101</v>
      </c>
      <c r="G31" s="10" t="s">
        <v>102</v>
      </c>
      <c r="H31" s="10" t="s">
        <v>103</v>
      </c>
      <c r="I31" s="14" t="s">
        <v>104</v>
      </c>
      <c r="J31" s="10"/>
      <c r="K31" s="10"/>
      <c r="L31" s="10"/>
      <c r="M31" s="10">
        <v>184102</v>
      </c>
      <c r="N31" s="10">
        <v>3000</v>
      </c>
      <c r="O31" s="10">
        <v>3000</v>
      </c>
      <c r="P31" s="10">
        <v>3000</v>
      </c>
      <c r="Q31" s="10">
        <v>3000</v>
      </c>
      <c r="R31" s="10">
        <f t="shared" si="12"/>
        <v>0</v>
      </c>
      <c r="S31" s="10">
        <f t="shared" si="13"/>
        <v>0</v>
      </c>
      <c r="T31" s="34">
        <f t="shared" si="14"/>
        <v>0</v>
      </c>
      <c r="U31" s="34">
        <f t="shared" si="15"/>
        <v>0</v>
      </c>
      <c r="V31" s="10"/>
      <c r="W31" s="10"/>
      <c r="X31" s="14">
        <v>0</v>
      </c>
      <c r="Y31" s="14">
        <v>0</v>
      </c>
      <c r="Z31" s="14">
        <v>0</v>
      </c>
      <c r="AA31" s="14">
        <v>0</v>
      </c>
      <c r="AB31" s="14">
        <v>0</v>
      </c>
      <c r="AC31" s="14">
        <v>0</v>
      </c>
      <c r="AD31" s="14">
        <v>0</v>
      </c>
      <c r="AE31" s="14">
        <v>0</v>
      </c>
      <c r="AF31" s="14">
        <v>0</v>
      </c>
      <c r="AG31" s="14">
        <v>0</v>
      </c>
      <c r="AH31" s="14">
        <v>0</v>
      </c>
      <c r="AI31" s="10">
        <f t="shared" si="16"/>
        <v>0</v>
      </c>
      <c r="AJ31" s="10">
        <f t="shared" si="17"/>
        <v>0</v>
      </c>
      <c r="AK31" s="10"/>
      <c r="AL31" s="14">
        <v>1</v>
      </c>
    </row>
    <row r="32" spans="1:38" x14ac:dyDescent="0.3">
      <c r="A32" s="15">
        <v>2025</v>
      </c>
      <c r="B32" s="15" t="s">
        <v>53</v>
      </c>
      <c r="C32" s="32">
        <v>45667</v>
      </c>
      <c r="D32" s="11" t="s">
        <v>100</v>
      </c>
      <c r="E32" s="11" t="s">
        <v>55</v>
      </c>
      <c r="F32" s="11" t="s">
        <v>101</v>
      </c>
      <c r="G32" s="11" t="s">
        <v>102</v>
      </c>
      <c r="H32" s="11" t="s">
        <v>106</v>
      </c>
      <c r="I32" s="15">
        <v>3066</v>
      </c>
      <c r="J32" s="11"/>
      <c r="K32" s="11"/>
      <c r="L32" s="11"/>
      <c r="M32" s="11">
        <v>183875</v>
      </c>
      <c r="N32" s="11">
        <v>2460</v>
      </c>
      <c r="O32" s="33">
        <v>2460</v>
      </c>
      <c r="P32" s="33">
        <v>2459</v>
      </c>
      <c r="Q32" s="11">
        <v>2448</v>
      </c>
      <c r="R32" s="11">
        <f t="shared" si="12"/>
        <v>-12</v>
      </c>
      <c r="S32" s="11">
        <f t="shared" si="13"/>
        <v>-12</v>
      </c>
      <c r="T32" s="35">
        <f t="shared" si="14"/>
        <v>-4.8780487804878092E-3</v>
      </c>
      <c r="U32" s="35">
        <f t="shared" si="15"/>
        <v>-4.8780487804878092E-3</v>
      </c>
      <c r="V32" s="11"/>
      <c r="W32" s="11"/>
      <c r="X32" s="15">
        <v>2</v>
      </c>
      <c r="Y32" s="15"/>
      <c r="Z32" s="15"/>
      <c r="AA32" s="15"/>
      <c r="AB32" s="15">
        <v>7</v>
      </c>
      <c r="AC32" s="15"/>
      <c r="AD32" s="15"/>
      <c r="AE32" s="15">
        <v>3</v>
      </c>
      <c r="AF32" s="11"/>
      <c r="AG32" s="11"/>
      <c r="AH32" s="11"/>
      <c r="AI32" s="11">
        <f t="shared" si="16"/>
        <v>12</v>
      </c>
      <c r="AJ32" s="11">
        <f t="shared" si="17"/>
        <v>0</v>
      </c>
      <c r="AK32" s="11"/>
      <c r="AL32" s="15">
        <v>1</v>
      </c>
    </row>
    <row r="33" spans="1:38" x14ac:dyDescent="0.3">
      <c r="A33" s="15">
        <v>2025</v>
      </c>
      <c r="B33" s="15" t="s">
        <v>53</v>
      </c>
      <c r="C33" s="32">
        <v>45667</v>
      </c>
      <c r="D33" s="11" t="s">
        <v>100</v>
      </c>
      <c r="E33" s="11" t="s">
        <v>55</v>
      </c>
      <c r="F33" s="11" t="s">
        <v>101</v>
      </c>
      <c r="G33" s="11" t="s">
        <v>102</v>
      </c>
      <c r="H33" s="11" t="s">
        <v>106</v>
      </c>
      <c r="I33" s="15">
        <v>3189</v>
      </c>
      <c r="J33" s="11"/>
      <c r="K33" s="11"/>
      <c r="L33" s="11"/>
      <c r="M33" s="11">
        <v>183877</v>
      </c>
      <c r="N33" s="11">
        <v>1910</v>
      </c>
      <c r="O33" s="33">
        <v>1911</v>
      </c>
      <c r="P33" s="33">
        <v>1911</v>
      </c>
      <c r="Q33" s="11">
        <v>1887</v>
      </c>
      <c r="R33" s="11">
        <f t="shared" si="12"/>
        <v>-24</v>
      </c>
      <c r="S33" s="11">
        <f t="shared" si="13"/>
        <v>-23</v>
      </c>
      <c r="T33" s="35">
        <f t="shared" si="14"/>
        <v>-1.2041884816753945E-2</v>
      </c>
      <c r="U33" s="35">
        <f t="shared" si="15"/>
        <v>-1.2558869701726816E-2</v>
      </c>
      <c r="V33" s="11"/>
      <c r="W33" s="11"/>
      <c r="X33" s="15">
        <v>1</v>
      </c>
      <c r="Y33" s="15"/>
      <c r="Z33" s="15">
        <v>20</v>
      </c>
      <c r="AA33" s="15"/>
      <c r="AB33" s="15">
        <v>1</v>
      </c>
      <c r="AC33" s="15"/>
      <c r="AD33" s="15"/>
      <c r="AE33" s="15">
        <v>2</v>
      </c>
      <c r="AF33" s="11"/>
      <c r="AG33" s="11"/>
      <c r="AH33" s="11"/>
      <c r="AI33" s="11">
        <f t="shared" si="16"/>
        <v>24</v>
      </c>
      <c r="AJ33" s="11">
        <f t="shared" si="17"/>
        <v>0</v>
      </c>
      <c r="AK33" s="11"/>
      <c r="AL33" s="15">
        <v>1</v>
      </c>
    </row>
    <row r="34" spans="1:38" x14ac:dyDescent="0.3">
      <c r="A34" s="15">
        <v>2025</v>
      </c>
      <c r="B34" s="15" t="s">
        <v>53</v>
      </c>
      <c r="C34" s="32">
        <v>45667</v>
      </c>
      <c r="D34" s="11" t="s">
        <v>100</v>
      </c>
      <c r="E34" s="11" t="s">
        <v>55</v>
      </c>
      <c r="F34" s="11" t="s">
        <v>101</v>
      </c>
      <c r="G34" s="11" t="s">
        <v>102</v>
      </c>
      <c r="H34" s="11" t="s">
        <v>106</v>
      </c>
      <c r="I34" s="15">
        <v>3209</v>
      </c>
      <c r="J34" s="11"/>
      <c r="K34" s="11"/>
      <c r="L34" s="11"/>
      <c r="M34" s="11">
        <v>183879</v>
      </c>
      <c r="N34" s="11">
        <v>1030</v>
      </c>
      <c r="O34" s="33">
        <v>1030</v>
      </c>
      <c r="P34" s="33">
        <v>1023</v>
      </c>
      <c r="Q34" s="11">
        <v>1023</v>
      </c>
      <c r="R34" s="11">
        <f t="shared" si="12"/>
        <v>-7</v>
      </c>
      <c r="S34" s="11">
        <f t="shared" si="13"/>
        <v>-7</v>
      </c>
      <c r="T34" s="35">
        <f t="shared" si="14"/>
        <v>-6.7961165048543437E-3</v>
      </c>
      <c r="U34" s="35">
        <f t="shared" si="15"/>
        <v>-6.7961165048543437E-3</v>
      </c>
      <c r="V34" s="11"/>
      <c r="W34" s="11"/>
      <c r="X34" s="15"/>
      <c r="Y34" s="15"/>
      <c r="Z34" s="15"/>
      <c r="AA34" s="15"/>
      <c r="AB34" s="15">
        <v>5</v>
      </c>
      <c r="AC34" s="15"/>
      <c r="AD34" s="15"/>
      <c r="AE34" s="15">
        <v>2</v>
      </c>
      <c r="AF34" s="11"/>
      <c r="AG34" s="11"/>
      <c r="AH34" s="11"/>
      <c r="AI34" s="11">
        <f t="shared" si="16"/>
        <v>7</v>
      </c>
      <c r="AJ34" s="11">
        <f t="shared" si="17"/>
        <v>0</v>
      </c>
      <c r="AK34" s="11"/>
      <c r="AL34" s="15">
        <v>1</v>
      </c>
    </row>
    <row r="35" spans="1:38" x14ac:dyDescent="0.3">
      <c r="A35" s="15">
        <v>2025</v>
      </c>
      <c r="B35" s="15" t="s">
        <v>53</v>
      </c>
      <c r="C35" s="32">
        <v>45667</v>
      </c>
      <c r="D35" s="11" t="s">
        <v>100</v>
      </c>
      <c r="E35" s="11" t="s">
        <v>55</v>
      </c>
      <c r="F35" s="11" t="s">
        <v>101</v>
      </c>
      <c r="G35" s="11" t="s">
        <v>102</v>
      </c>
      <c r="H35" s="11" t="s">
        <v>106</v>
      </c>
      <c r="I35" s="15">
        <v>3211</v>
      </c>
      <c r="J35" s="11"/>
      <c r="K35" s="11"/>
      <c r="L35" s="11"/>
      <c r="M35" s="11">
        <v>183881</v>
      </c>
      <c r="N35" s="11">
        <v>1350</v>
      </c>
      <c r="O35" s="33">
        <v>1354</v>
      </c>
      <c r="P35" s="33">
        <v>1332</v>
      </c>
      <c r="Q35" s="11">
        <v>1323</v>
      </c>
      <c r="R35" s="11">
        <f t="shared" si="12"/>
        <v>-31</v>
      </c>
      <c r="S35" s="11">
        <f t="shared" si="13"/>
        <v>-27</v>
      </c>
      <c r="T35" s="35">
        <f t="shared" si="14"/>
        <v>-2.0000000000000018E-2</v>
      </c>
      <c r="U35" s="35">
        <f t="shared" si="15"/>
        <v>-2.2895125553914375E-2</v>
      </c>
      <c r="V35" s="11"/>
      <c r="W35" s="11"/>
      <c r="X35" s="15">
        <v>4</v>
      </c>
      <c r="Y35" s="15"/>
      <c r="Z35" s="15">
        <v>13</v>
      </c>
      <c r="AA35" s="15"/>
      <c r="AB35" s="15">
        <v>12</v>
      </c>
      <c r="AC35" s="15"/>
      <c r="AD35" s="15"/>
      <c r="AE35" s="15">
        <v>2</v>
      </c>
      <c r="AF35" s="11"/>
      <c r="AG35" s="11"/>
      <c r="AH35" s="11"/>
      <c r="AI35" s="11">
        <f t="shared" si="16"/>
        <v>31</v>
      </c>
      <c r="AJ35" s="11">
        <f t="shared" si="17"/>
        <v>0</v>
      </c>
      <c r="AK35" s="11"/>
      <c r="AL35" s="15">
        <v>1</v>
      </c>
    </row>
    <row r="36" spans="1:38" x14ac:dyDescent="0.3">
      <c r="A36" s="15">
        <v>2025</v>
      </c>
      <c r="B36" s="15" t="s">
        <v>53</v>
      </c>
      <c r="C36" s="32">
        <v>45667</v>
      </c>
      <c r="D36" s="11" t="s">
        <v>100</v>
      </c>
      <c r="E36" s="11" t="s">
        <v>55</v>
      </c>
      <c r="F36" s="11" t="s">
        <v>101</v>
      </c>
      <c r="G36" s="11" t="s">
        <v>102</v>
      </c>
      <c r="H36" s="11" t="s">
        <v>106</v>
      </c>
      <c r="I36" s="15">
        <v>3190</v>
      </c>
      <c r="J36" s="11"/>
      <c r="K36" s="11"/>
      <c r="L36" s="11"/>
      <c r="M36" s="11">
        <v>183878</v>
      </c>
      <c r="N36" s="11">
        <v>1630</v>
      </c>
      <c r="O36" s="33">
        <v>1630</v>
      </c>
      <c r="P36" s="33">
        <v>1601</v>
      </c>
      <c r="Q36" s="11">
        <v>1601</v>
      </c>
      <c r="R36" s="11">
        <f t="shared" si="12"/>
        <v>-29</v>
      </c>
      <c r="S36" s="11">
        <f t="shared" si="13"/>
        <v>-29</v>
      </c>
      <c r="T36" s="35">
        <f t="shared" si="14"/>
        <v>-1.7791411042944794E-2</v>
      </c>
      <c r="U36" s="35">
        <f t="shared" si="15"/>
        <v>-1.7791411042944794E-2</v>
      </c>
      <c r="V36" s="11"/>
      <c r="W36" s="11"/>
      <c r="X36" s="15">
        <v>20</v>
      </c>
      <c r="Y36" s="15"/>
      <c r="Z36" s="15">
        <v>6</v>
      </c>
      <c r="AA36" s="15"/>
      <c r="AB36" s="15">
        <v>2</v>
      </c>
      <c r="AC36" s="15"/>
      <c r="AD36" s="15"/>
      <c r="AE36" s="15">
        <v>1</v>
      </c>
      <c r="AF36" s="11"/>
      <c r="AG36" s="11"/>
      <c r="AH36" s="11"/>
      <c r="AI36" s="11">
        <f t="shared" si="16"/>
        <v>29</v>
      </c>
      <c r="AJ36" s="11">
        <f t="shared" si="17"/>
        <v>0</v>
      </c>
      <c r="AK36" s="11"/>
      <c r="AL36" s="15">
        <v>1</v>
      </c>
    </row>
    <row r="37" spans="1:38" x14ac:dyDescent="0.3">
      <c r="A37" s="15">
        <v>2025</v>
      </c>
      <c r="B37" s="15" t="s">
        <v>53</v>
      </c>
      <c r="C37" s="32">
        <v>45667</v>
      </c>
      <c r="D37" s="11" t="s">
        <v>100</v>
      </c>
      <c r="E37" s="11" t="s">
        <v>55</v>
      </c>
      <c r="F37" s="11" t="s">
        <v>101</v>
      </c>
      <c r="G37" s="11" t="s">
        <v>102</v>
      </c>
      <c r="H37" s="11" t="s">
        <v>106</v>
      </c>
      <c r="I37" s="15">
        <v>3212</v>
      </c>
      <c r="J37" s="11"/>
      <c r="K37" s="11"/>
      <c r="L37" s="11"/>
      <c r="M37" s="11">
        <v>183882</v>
      </c>
      <c r="N37" s="33">
        <v>1240</v>
      </c>
      <c r="O37" s="33">
        <v>1240</v>
      </c>
      <c r="P37" s="33">
        <v>1234</v>
      </c>
      <c r="Q37" s="11">
        <v>1208</v>
      </c>
      <c r="R37" s="11">
        <f t="shared" si="12"/>
        <v>-32</v>
      </c>
      <c r="S37" s="11">
        <f t="shared" si="13"/>
        <v>-32</v>
      </c>
      <c r="T37" s="35">
        <f t="shared" si="14"/>
        <v>-2.5806451612903181E-2</v>
      </c>
      <c r="U37" s="35">
        <f t="shared" si="15"/>
        <v>-2.5806451612903181E-2</v>
      </c>
      <c r="V37" s="11"/>
      <c r="W37" s="11"/>
      <c r="X37" s="15">
        <v>3</v>
      </c>
      <c r="Y37" s="15"/>
      <c r="Z37" s="15">
        <v>9</v>
      </c>
      <c r="AA37" s="15"/>
      <c r="AB37" s="15">
        <v>19</v>
      </c>
      <c r="AC37" s="15"/>
      <c r="AD37" s="15"/>
      <c r="AE37" s="15">
        <v>1</v>
      </c>
      <c r="AF37" s="11"/>
      <c r="AG37" s="11"/>
      <c r="AH37" s="11"/>
      <c r="AI37" s="11">
        <f t="shared" si="16"/>
        <v>32</v>
      </c>
      <c r="AJ37" s="11">
        <f t="shared" si="17"/>
        <v>0</v>
      </c>
      <c r="AK37" s="11"/>
      <c r="AL37" s="15">
        <v>1</v>
      </c>
    </row>
    <row r="38" spans="1:38" x14ac:dyDescent="0.3">
      <c r="A38" s="15">
        <v>2025</v>
      </c>
      <c r="B38" s="15" t="s">
        <v>53</v>
      </c>
      <c r="C38" s="32">
        <v>45667</v>
      </c>
      <c r="D38" s="11" t="s">
        <v>100</v>
      </c>
      <c r="E38" s="11" t="s">
        <v>55</v>
      </c>
      <c r="F38" s="11" t="s">
        <v>101</v>
      </c>
      <c r="G38" s="11" t="s">
        <v>102</v>
      </c>
      <c r="H38" s="11" t="s">
        <v>106</v>
      </c>
      <c r="I38" s="15">
        <v>3067</v>
      </c>
      <c r="J38" s="11"/>
      <c r="K38" s="11"/>
      <c r="L38" s="11"/>
      <c r="M38" s="11">
        <v>183876</v>
      </c>
      <c r="N38" s="33">
        <v>2710</v>
      </c>
      <c r="O38" s="33">
        <v>2710</v>
      </c>
      <c r="P38" s="33">
        <v>2708</v>
      </c>
      <c r="Q38" s="11">
        <v>2687</v>
      </c>
      <c r="R38" s="11">
        <f t="shared" si="12"/>
        <v>-23</v>
      </c>
      <c r="S38" s="11">
        <f t="shared" si="13"/>
        <v>-23</v>
      </c>
      <c r="T38" s="35">
        <f t="shared" si="14"/>
        <v>-8.4870848708487046E-3</v>
      </c>
      <c r="U38" s="35">
        <f t="shared" si="15"/>
        <v>-8.4870848708487046E-3</v>
      </c>
      <c r="V38" s="11"/>
      <c r="W38" s="11"/>
      <c r="X38" s="15">
        <v>5</v>
      </c>
      <c r="Y38" s="15"/>
      <c r="Z38" s="15">
        <v>3</v>
      </c>
      <c r="AA38" s="15"/>
      <c r="AB38" s="15">
        <v>13</v>
      </c>
      <c r="AC38" s="15"/>
      <c r="AD38" s="15"/>
      <c r="AE38" s="15">
        <v>2</v>
      </c>
      <c r="AF38" s="11"/>
      <c r="AG38" s="11"/>
      <c r="AH38" s="11"/>
      <c r="AI38" s="11">
        <f t="shared" si="16"/>
        <v>23</v>
      </c>
      <c r="AJ38" s="11">
        <f t="shared" si="17"/>
        <v>0</v>
      </c>
      <c r="AK38" s="11"/>
      <c r="AL38" s="15">
        <v>1</v>
      </c>
    </row>
    <row r="39" spans="1:38" x14ac:dyDescent="0.3">
      <c r="A39" s="15">
        <v>2025</v>
      </c>
      <c r="B39" s="15" t="s">
        <v>53</v>
      </c>
      <c r="C39" s="32">
        <v>45667</v>
      </c>
      <c r="D39" s="11" t="s">
        <v>100</v>
      </c>
      <c r="E39" s="11" t="s">
        <v>55</v>
      </c>
      <c r="F39" s="11" t="s">
        <v>101</v>
      </c>
      <c r="G39" s="11" t="s">
        <v>102</v>
      </c>
      <c r="H39" s="11" t="s">
        <v>106</v>
      </c>
      <c r="I39" s="15">
        <v>3210</v>
      </c>
      <c r="J39" s="11"/>
      <c r="K39" s="11"/>
      <c r="L39" s="11"/>
      <c r="M39" s="11">
        <v>183880</v>
      </c>
      <c r="N39" s="33">
        <v>1340</v>
      </c>
      <c r="O39" s="33">
        <v>1340</v>
      </c>
      <c r="P39" s="33">
        <v>1340</v>
      </c>
      <c r="Q39" s="11">
        <v>1332</v>
      </c>
      <c r="R39" s="11">
        <f t="shared" si="12"/>
        <v>-8</v>
      </c>
      <c r="S39" s="11">
        <f t="shared" si="13"/>
        <v>-8</v>
      </c>
      <c r="T39" s="35">
        <f t="shared" si="14"/>
        <v>-5.9701492537312939E-3</v>
      </c>
      <c r="U39" s="35">
        <f t="shared" si="15"/>
        <v>-5.9701492537312939E-3</v>
      </c>
      <c r="V39" s="11"/>
      <c r="W39" s="11"/>
      <c r="X39" s="15"/>
      <c r="Y39" s="15"/>
      <c r="Z39" s="15"/>
      <c r="AA39" s="15"/>
      <c r="AB39" s="15">
        <v>7</v>
      </c>
      <c r="AC39" s="15"/>
      <c r="AD39" s="15"/>
      <c r="AE39" s="15">
        <v>1</v>
      </c>
      <c r="AF39" s="11"/>
      <c r="AG39" s="11"/>
      <c r="AH39" s="11"/>
      <c r="AI39" s="11">
        <f>SUM(X39:AH39)</f>
        <v>8</v>
      </c>
      <c r="AJ39" s="11">
        <f>AI39+R39</f>
        <v>0</v>
      </c>
      <c r="AK39" s="11"/>
      <c r="AL39" s="15">
        <v>1</v>
      </c>
    </row>
    <row r="40" spans="1:38" x14ac:dyDescent="0.3">
      <c r="A40" s="42">
        <v>2025</v>
      </c>
      <c r="B40" s="14" t="s">
        <v>53</v>
      </c>
      <c r="C40" s="56">
        <v>45670</v>
      </c>
      <c r="D40" s="17" t="s">
        <v>110</v>
      </c>
      <c r="E40" s="17" t="s">
        <v>47</v>
      </c>
      <c r="F40" s="14" t="s">
        <v>111</v>
      </c>
      <c r="G40" s="14" t="s">
        <v>112</v>
      </c>
      <c r="H40" s="14" t="s">
        <v>82</v>
      </c>
      <c r="I40" s="14" t="s">
        <v>113</v>
      </c>
      <c r="J40" s="57">
        <v>5159770</v>
      </c>
      <c r="K40" s="27"/>
      <c r="L40" s="42">
        <v>21868.690000000002</v>
      </c>
      <c r="M40" s="14">
        <v>184263</v>
      </c>
      <c r="N40" s="58">
        <v>67104</v>
      </c>
      <c r="O40" s="40">
        <v>67104</v>
      </c>
      <c r="P40" s="40">
        <v>67104</v>
      </c>
      <c r="Q40" s="40">
        <v>67104</v>
      </c>
      <c r="R40" s="29">
        <f t="shared" si="12"/>
        <v>0</v>
      </c>
      <c r="S40" s="29">
        <f t="shared" si="13"/>
        <v>0</v>
      </c>
      <c r="T40" s="30">
        <f t="shared" si="14"/>
        <v>0</v>
      </c>
      <c r="U40" s="30">
        <f t="shared" si="15"/>
        <v>0</v>
      </c>
      <c r="V40" s="42"/>
      <c r="W40" s="27"/>
      <c r="X40" s="27"/>
      <c r="Y40" s="27"/>
      <c r="Z40" s="27">
        <v>0</v>
      </c>
      <c r="AA40" s="29">
        <f>+O40-P40</f>
        <v>0</v>
      </c>
      <c r="AB40" s="70"/>
      <c r="AC40" s="27"/>
      <c r="AD40" s="27"/>
      <c r="AE40" s="27"/>
      <c r="AF40" s="27"/>
      <c r="AG40" s="27"/>
      <c r="AH40" s="40"/>
      <c r="AI40" s="29">
        <f t="shared" ref="AI40:AI73" si="18">SUM(X40:AH40)</f>
        <v>0</v>
      </c>
      <c r="AJ40" s="29">
        <f>R40+AI40</f>
        <v>0</v>
      </c>
      <c r="AK40" s="14"/>
      <c r="AL40" s="14">
        <v>3</v>
      </c>
    </row>
    <row r="41" spans="1:38" x14ac:dyDescent="0.3">
      <c r="A41" s="42">
        <v>2025</v>
      </c>
      <c r="B41" s="14" t="s">
        <v>53</v>
      </c>
      <c r="C41" s="56">
        <v>45670</v>
      </c>
      <c r="D41" s="17" t="s">
        <v>110</v>
      </c>
      <c r="E41" s="17" t="s">
        <v>47</v>
      </c>
      <c r="F41" s="14" t="s">
        <v>111</v>
      </c>
      <c r="G41" s="14" t="s">
        <v>112</v>
      </c>
      <c r="H41" s="14" t="s">
        <v>82</v>
      </c>
      <c r="I41" s="14" t="s">
        <v>114</v>
      </c>
      <c r="J41" s="57">
        <v>5158608</v>
      </c>
      <c r="K41" s="27"/>
      <c r="L41" s="42">
        <v>1062.28</v>
      </c>
      <c r="M41" s="14">
        <v>184313</v>
      </c>
      <c r="N41" s="58">
        <v>5328</v>
      </c>
      <c r="O41" s="71">
        <v>5435</v>
      </c>
      <c r="P41" s="71">
        <v>5421</v>
      </c>
      <c r="Q41" s="71">
        <v>5428</v>
      </c>
      <c r="R41" s="29">
        <f t="shared" si="12"/>
        <v>-7</v>
      </c>
      <c r="S41" s="29">
        <f t="shared" si="13"/>
        <v>100</v>
      </c>
      <c r="T41" s="30">
        <f t="shared" si="14"/>
        <v>1.8768768768768762E-2</v>
      </c>
      <c r="U41" s="30">
        <f t="shared" si="15"/>
        <v>-1.2879484820607079E-3</v>
      </c>
      <c r="V41" s="42" t="s">
        <v>115</v>
      </c>
      <c r="W41" s="27">
        <v>56</v>
      </c>
      <c r="X41" s="27">
        <v>47</v>
      </c>
      <c r="Y41" s="27"/>
      <c r="Z41" s="27">
        <v>2</v>
      </c>
      <c r="AA41" s="29">
        <f t="shared" ref="AA41:AA44" si="19">+O41-P41</f>
        <v>14</v>
      </c>
      <c r="AB41" s="27"/>
      <c r="AC41" s="27"/>
      <c r="AD41" s="27"/>
      <c r="AE41" s="27"/>
      <c r="AF41" s="27"/>
      <c r="AG41" s="27"/>
      <c r="AH41" s="27"/>
      <c r="AI41" s="29">
        <f t="shared" si="18"/>
        <v>63</v>
      </c>
      <c r="AJ41" s="29">
        <f t="shared" ref="AJ41:AJ66" si="20">R41+AI41</f>
        <v>56</v>
      </c>
      <c r="AK41" s="14" t="s">
        <v>116</v>
      </c>
      <c r="AL41" s="14">
        <v>3</v>
      </c>
    </row>
    <row r="42" spans="1:38" x14ac:dyDescent="0.3">
      <c r="A42" s="42">
        <v>2025</v>
      </c>
      <c r="B42" s="14" t="s">
        <v>53</v>
      </c>
      <c r="C42" s="56">
        <v>45670</v>
      </c>
      <c r="D42" s="17" t="s">
        <v>110</v>
      </c>
      <c r="E42" s="17" t="s">
        <v>47</v>
      </c>
      <c r="F42" s="14" t="s">
        <v>111</v>
      </c>
      <c r="G42" s="14" t="s">
        <v>112</v>
      </c>
      <c r="H42" s="14" t="s">
        <v>82</v>
      </c>
      <c r="I42" s="14" t="s">
        <v>117</v>
      </c>
      <c r="J42" s="14">
        <v>5158609</v>
      </c>
      <c r="K42" s="14"/>
      <c r="L42" s="28">
        <v>1184.3</v>
      </c>
      <c r="M42" s="14">
        <v>184314</v>
      </c>
      <c r="N42" s="72">
        <v>5760</v>
      </c>
      <c r="O42" s="59">
        <v>5874</v>
      </c>
      <c r="P42" s="29">
        <v>5874</v>
      </c>
      <c r="Q42" s="59">
        <v>5860</v>
      </c>
      <c r="R42" s="29">
        <f t="shared" si="12"/>
        <v>-14</v>
      </c>
      <c r="S42" s="29">
        <f t="shared" si="13"/>
        <v>100</v>
      </c>
      <c r="T42" s="30">
        <f t="shared" si="14"/>
        <v>1.736111111111116E-2</v>
      </c>
      <c r="U42" s="30">
        <f t="shared" si="15"/>
        <v>-2.3833844058562814E-3</v>
      </c>
      <c r="V42" s="14" t="s">
        <v>118</v>
      </c>
      <c r="W42" s="14">
        <v>26</v>
      </c>
      <c r="X42" s="14">
        <v>39</v>
      </c>
      <c r="Y42" s="14"/>
      <c r="Z42" s="14">
        <v>1</v>
      </c>
      <c r="AA42" s="29">
        <f t="shared" si="19"/>
        <v>0</v>
      </c>
      <c r="AB42" s="14"/>
      <c r="AC42" s="14"/>
      <c r="AD42" s="14"/>
      <c r="AE42" s="14"/>
      <c r="AF42" s="14"/>
      <c r="AG42" s="14"/>
      <c r="AH42" s="14"/>
      <c r="AI42" s="29">
        <f t="shared" si="18"/>
        <v>40</v>
      </c>
      <c r="AJ42" s="29">
        <f t="shared" si="20"/>
        <v>26</v>
      </c>
      <c r="AK42" s="14" t="s">
        <v>119</v>
      </c>
      <c r="AL42" s="14">
        <v>3</v>
      </c>
    </row>
    <row r="43" spans="1:38" x14ac:dyDescent="0.3">
      <c r="A43" s="42">
        <v>2025</v>
      </c>
      <c r="B43" s="14" t="s">
        <v>53</v>
      </c>
      <c r="C43" s="56">
        <v>45670</v>
      </c>
      <c r="D43" s="17" t="s">
        <v>110</v>
      </c>
      <c r="E43" s="17" t="s">
        <v>47</v>
      </c>
      <c r="F43" s="14" t="s">
        <v>111</v>
      </c>
      <c r="G43" s="14" t="s">
        <v>112</v>
      </c>
      <c r="H43" s="14" t="s">
        <v>82</v>
      </c>
      <c r="I43" s="14" t="s">
        <v>120</v>
      </c>
      <c r="J43" s="14">
        <v>5159300</v>
      </c>
      <c r="K43" s="14"/>
      <c r="L43" s="28">
        <v>2760</v>
      </c>
      <c r="M43" s="14">
        <v>184315</v>
      </c>
      <c r="N43" s="72">
        <v>13824</v>
      </c>
      <c r="O43" s="59">
        <v>14124</v>
      </c>
      <c r="P43" s="29">
        <v>14095</v>
      </c>
      <c r="Q43" s="59">
        <v>14108</v>
      </c>
      <c r="R43" s="29">
        <f>Q43-O43</f>
        <v>-16</v>
      </c>
      <c r="S43" s="29">
        <f t="shared" si="13"/>
        <v>284</v>
      </c>
      <c r="T43" s="30">
        <f t="shared" si="14"/>
        <v>2.0543981481481399E-2</v>
      </c>
      <c r="U43" s="30">
        <f t="shared" si="15"/>
        <v>-1.1328235627301453E-3</v>
      </c>
      <c r="V43" s="42" t="s">
        <v>121</v>
      </c>
      <c r="W43" s="14">
        <v>47</v>
      </c>
      <c r="X43" s="14">
        <v>24</v>
      </c>
      <c r="Y43" s="14"/>
      <c r="Z43" s="14">
        <v>0</v>
      </c>
      <c r="AA43" s="29">
        <f t="shared" si="19"/>
        <v>29</v>
      </c>
      <c r="AB43" s="14">
        <v>10</v>
      </c>
      <c r="AC43" s="14"/>
      <c r="AD43" s="14"/>
      <c r="AE43" s="14"/>
      <c r="AF43" s="14"/>
      <c r="AG43" s="14"/>
      <c r="AH43" s="14"/>
      <c r="AI43" s="29">
        <f t="shared" si="18"/>
        <v>63</v>
      </c>
      <c r="AJ43" s="29">
        <f t="shared" si="20"/>
        <v>47</v>
      </c>
      <c r="AK43" s="14" t="s">
        <v>122</v>
      </c>
      <c r="AL43" s="14">
        <v>3</v>
      </c>
    </row>
    <row r="44" spans="1:38" x14ac:dyDescent="0.3">
      <c r="A44" s="42">
        <v>2025</v>
      </c>
      <c r="B44" s="14" t="s">
        <v>53</v>
      </c>
      <c r="C44" s="56">
        <v>45670</v>
      </c>
      <c r="D44" s="17" t="s">
        <v>110</v>
      </c>
      <c r="E44" s="17" t="s">
        <v>47</v>
      </c>
      <c r="F44" s="14" t="s">
        <v>111</v>
      </c>
      <c r="G44" s="14" t="s">
        <v>112</v>
      </c>
      <c r="H44" s="14" t="s">
        <v>82</v>
      </c>
      <c r="I44" s="14" t="s">
        <v>123</v>
      </c>
      <c r="J44" s="14">
        <v>5158603</v>
      </c>
      <c r="K44" s="14"/>
      <c r="L44" s="28">
        <v>1080</v>
      </c>
      <c r="M44" s="14">
        <v>184317</v>
      </c>
      <c r="N44" s="72">
        <v>4896</v>
      </c>
      <c r="O44" s="59">
        <v>5044</v>
      </c>
      <c r="P44" s="29">
        <v>5044</v>
      </c>
      <c r="Q44" s="59">
        <v>5056</v>
      </c>
      <c r="R44" s="29">
        <f t="shared" si="12"/>
        <v>12</v>
      </c>
      <c r="S44" s="29">
        <f t="shared" si="13"/>
        <v>160</v>
      </c>
      <c r="T44" s="30">
        <f t="shared" si="14"/>
        <v>3.2679738562091609E-2</v>
      </c>
      <c r="U44" s="30">
        <f t="shared" si="15"/>
        <v>2.3790642347343294E-3</v>
      </c>
      <c r="V44" s="14" t="s">
        <v>124</v>
      </c>
      <c r="W44" s="14">
        <v>35</v>
      </c>
      <c r="X44" s="14">
        <v>8</v>
      </c>
      <c r="Y44" s="14"/>
      <c r="Z44" s="14">
        <v>0</v>
      </c>
      <c r="AA44" s="29">
        <f t="shared" si="19"/>
        <v>0</v>
      </c>
      <c r="AB44" s="14">
        <v>15</v>
      </c>
      <c r="AC44" s="14"/>
      <c r="AD44" s="14"/>
      <c r="AE44" s="14"/>
      <c r="AF44" s="14"/>
      <c r="AG44" s="14"/>
      <c r="AH44" s="14"/>
      <c r="AI44" s="29">
        <f t="shared" si="18"/>
        <v>23</v>
      </c>
      <c r="AJ44" s="29">
        <f t="shared" si="20"/>
        <v>35</v>
      </c>
      <c r="AK44" s="14" t="s">
        <v>125</v>
      </c>
      <c r="AL44" s="14">
        <v>3</v>
      </c>
    </row>
    <row r="45" spans="1:38" x14ac:dyDescent="0.3">
      <c r="A45" s="42">
        <v>2025</v>
      </c>
      <c r="B45" s="14" t="s">
        <v>53</v>
      </c>
      <c r="C45" s="56">
        <v>45674</v>
      </c>
      <c r="D45" s="17" t="s">
        <v>110</v>
      </c>
      <c r="E45" s="17" t="s">
        <v>47</v>
      </c>
      <c r="F45" s="14" t="s">
        <v>111</v>
      </c>
      <c r="G45" s="14" t="s">
        <v>112</v>
      </c>
      <c r="H45" s="14" t="s">
        <v>82</v>
      </c>
      <c r="I45" s="14" t="s">
        <v>126</v>
      </c>
      <c r="J45" s="57">
        <v>5158594</v>
      </c>
      <c r="K45" s="27"/>
      <c r="L45" s="42">
        <v>13014.148936170215</v>
      </c>
      <c r="M45" s="14">
        <v>184281</v>
      </c>
      <c r="N45" s="58">
        <v>12636</v>
      </c>
      <c r="O45" s="40">
        <v>12905</v>
      </c>
      <c r="P45" s="40">
        <v>12898</v>
      </c>
      <c r="Q45" s="40">
        <v>12873</v>
      </c>
      <c r="R45" s="29">
        <f t="shared" si="12"/>
        <v>-32</v>
      </c>
      <c r="S45" s="29">
        <f t="shared" si="13"/>
        <v>237</v>
      </c>
      <c r="T45" s="30">
        <f t="shared" si="14"/>
        <v>1.8755935422602121E-2</v>
      </c>
      <c r="U45" s="30">
        <f t="shared" si="15"/>
        <v>-2.4796590468810775E-3</v>
      </c>
      <c r="V45" s="42" t="s">
        <v>127</v>
      </c>
      <c r="W45" s="27">
        <v>44</v>
      </c>
      <c r="X45" s="27">
        <v>35</v>
      </c>
      <c r="Y45" s="27"/>
      <c r="Z45" s="27">
        <v>3</v>
      </c>
      <c r="AA45" s="29">
        <f>+O45-P45</f>
        <v>7</v>
      </c>
      <c r="AB45" s="73">
        <v>31</v>
      </c>
      <c r="AC45" s="27"/>
      <c r="AD45" s="27"/>
      <c r="AE45" s="27"/>
      <c r="AF45" s="27"/>
      <c r="AG45" s="27"/>
      <c r="AH45" s="40"/>
      <c r="AI45" s="29">
        <f t="shared" si="18"/>
        <v>76</v>
      </c>
      <c r="AJ45" s="29">
        <f t="shared" si="20"/>
        <v>44</v>
      </c>
      <c r="AK45" s="14" t="s">
        <v>128</v>
      </c>
      <c r="AL45" s="14">
        <v>3</v>
      </c>
    </row>
    <row r="46" spans="1:38" x14ac:dyDescent="0.3">
      <c r="A46" s="16">
        <v>2025</v>
      </c>
      <c r="B46" s="15" t="s">
        <v>53</v>
      </c>
      <c r="C46" s="60">
        <v>45674</v>
      </c>
      <c r="D46" s="18" t="s">
        <v>110</v>
      </c>
      <c r="E46" s="18" t="s">
        <v>47</v>
      </c>
      <c r="F46" s="15" t="s">
        <v>111</v>
      </c>
      <c r="G46" s="15" t="s">
        <v>112</v>
      </c>
      <c r="H46" s="15" t="s">
        <v>82</v>
      </c>
      <c r="I46" s="15" t="s">
        <v>129</v>
      </c>
      <c r="J46" s="20">
        <v>5157996</v>
      </c>
      <c r="K46" s="23"/>
      <c r="L46" s="16">
        <v>21290.410958904111</v>
      </c>
      <c r="M46" s="15">
        <v>184287</v>
      </c>
      <c r="N46" s="25">
        <v>20196</v>
      </c>
      <c r="O46" s="37">
        <v>21119</v>
      </c>
      <c r="P46" s="37">
        <v>21119</v>
      </c>
      <c r="Q46" s="37">
        <v>21066</v>
      </c>
      <c r="R46" s="21">
        <f t="shared" si="12"/>
        <v>-53</v>
      </c>
      <c r="S46" s="21">
        <f t="shared" si="13"/>
        <v>870</v>
      </c>
      <c r="T46" s="22">
        <f t="shared" si="14"/>
        <v>4.3077837195484303E-2</v>
      </c>
      <c r="U46" s="22">
        <f t="shared" si="15"/>
        <v>-2.5095885221838587E-3</v>
      </c>
      <c r="V46" s="16" t="s">
        <v>130</v>
      </c>
      <c r="W46" s="23"/>
      <c r="X46" s="23">
        <v>50</v>
      </c>
      <c r="Y46" s="23"/>
      <c r="Z46" s="23">
        <v>3</v>
      </c>
      <c r="AA46" s="21">
        <f t="shared" ref="AA46:AA66" si="21">+O46-P46</f>
        <v>0</v>
      </c>
      <c r="AB46" s="23"/>
      <c r="AC46" s="23"/>
      <c r="AD46" s="23"/>
      <c r="AE46" s="23"/>
      <c r="AF46" s="23"/>
      <c r="AG46" s="23"/>
      <c r="AH46" s="23"/>
      <c r="AI46" s="21">
        <f t="shared" si="18"/>
        <v>53</v>
      </c>
      <c r="AJ46" s="21">
        <f t="shared" si="20"/>
        <v>0</v>
      </c>
      <c r="AK46" s="15" t="s">
        <v>131</v>
      </c>
      <c r="AL46" s="15">
        <v>3</v>
      </c>
    </row>
    <row r="47" spans="1:38" x14ac:dyDescent="0.3">
      <c r="A47" s="16">
        <v>2025</v>
      </c>
      <c r="B47" s="15" t="s">
        <v>53</v>
      </c>
      <c r="C47" s="60">
        <v>45674</v>
      </c>
      <c r="D47" s="18" t="s">
        <v>110</v>
      </c>
      <c r="E47" s="18" t="s">
        <v>47</v>
      </c>
      <c r="F47" s="15" t="s">
        <v>111</v>
      </c>
      <c r="G47" s="15" t="s">
        <v>112</v>
      </c>
      <c r="H47" s="15" t="s">
        <v>82</v>
      </c>
      <c r="I47" s="15" t="s">
        <v>132</v>
      </c>
      <c r="J47" s="15">
        <v>5157987</v>
      </c>
      <c r="K47" s="15"/>
      <c r="L47" s="61">
        <v>4819.0045248868773</v>
      </c>
      <c r="M47" s="15">
        <v>184293</v>
      </c>
      <c r="N47" s="74">
        <v>4536</v>
      </c>
      <c r="O47" s="62">
        <v>4758</v>
      </c>
      <c r="P47" s="21">
        <v>4758</v>
      </c>
      <c r="Q47" s="62">
        <v>4746</v>
      </c>
      <c r="R47" s="21">
        <f t="shared" si="12"/>
        <v>-12</v>
      </c>
      <c r="S47" s="21">
        <f t="shared" si="13"/>
        <v>210</v>
      </c>
      <c r="T47" s="22">
        <f t="shared" si="14"/>
        <v>4.629629629629628E-2</v>
      </c>
      <c r="U47" s="22">
        <f t="shared" si="15"/>
        <v>-2.5220680958385477E-3</v>
      </c>
      <c r="V47" s="15" t="s">
        <v>133</v>
      </c>
      <c r="W47" s="15"/>
      <c r="X47" s="15">
        <v>10</v>
      </c>
      <c r="Y47" s="15"/>
      <c r="Z47" s="15">
        <v>2</v>
      </c>
      <c r="AA47" s="21">
        <f t="shared" si="21"/>
        <v>0</v>
      </c>
      <c r="AB47" s="15"/>
      <c r="AC47" s="15"/>
      <c r="AD47" s="15"/>
      <c r="AE47" s="15"/>
      <c r="AF47" s="15"/>
      <c r="AG47" s="15"/>
      <c r="AH47" s="15"/>
      <c r="AI47" s="21">
        <f t="shared" si="18"/>
        <v>12</v>
      </c>
      <c r="AJ47" s="21">
        <f t="shared" si="20"/>
        <v>0</v>
      </c>
      <c r="AK47" s="15" t="s">
        <v>134</v>
      </c>
      <c r="AL47" s="15">
        <v>3</v>
      </c>
    </row>
    <row r="48" spans="1:38" x14ac:dyDescent="0.3">
      <c r="A48" s="42">
        <v>2025</v>
      </c>
      <c r="B48" s="14" t="s">
        <v>53</v>
      </c>
      <c r="C48" s="56">
        <v>45674</v>
      </c>
      <c r="D48" s="17" t="s">
        <v>110</v>
      </c>
      <c r="E48" s="17" t="s">
        <v>47</v>
      </c>
      <c r="F48" s="14" t="s">
        <v>111</v>
      </c>
      <c r="G48" s="14" t="s">
        <v>112</v>
      </c>
      <c r="H48" s="14" t="s">
        <v>82</v>
      </c>
      <c r="I48" s="14" t="s">
        <v>135</v>
      </c>
      <c r="J48" s="14">
        <v>5159296</v>
      </c>
      <c r="K48" s="14"/>
      <c r="L48" s="28">
        <v>6898.2558139534895</v>
      </c>
      <c r="M48" s="14">
        <v>184296</v>
      </c>
      <c r="N48" s="72">
        <v>6696</v>
      </c>
      <c r="O48" s="59">
        <v>6894</v>
      </c>
      <c r="P48" s="29">
        <v>6894</v>
      </c>
      <c r="Q48" s="59">
        <v>6888</v>
      </c>
      <c r="R48" s="29">
        <f t="shared" si="12"/>
        <v>-6</v>
      </c>
      <c r="S48" s="29">
        <f t="shared" si="13"/>
        <v>192</v>
      </c>
      <c r="T48" s="30">
        <f t="shared" si="14"/>
        <v>2.8673835125448077E-2</v>
      </c>
      <c r="U48" s="30">
        <f t="shared" si="15"/>
        <v>-8.7032201914705176E-4</v>
      </c>
      <c r="V48" s="42" t="s">
        <v>136</v>
      </c>
      <c r="W48" s="14">
        <v>68</v>
      </c>
      <c r="X48" s="14">
        <v>49</v>
      </c>
      <c r="Y48" s="14"/>
      <c r="Z48" s="14">
        <v>3</v>
      </c>
      <c r="AA48" s="29">
        <f t="shared" si="21"/>
        <v>0</v>
      </c>
      <c r="AB48" s="14">
        <v>22</v>
      </c>
      <c r="AC48" s="14"/>
      <c r="AD48" s="14"/>
      <c r="AE48" s="14"/>
      <c r="AF48" s="14"/>
      <c r="AG48" s="14"/>
      <c r="AH48" s="14"/>
      <c r="AI48" s="29">
        <f t="shared" si="18"/>
        <v>74</v>
      </c>
      <c r="AJ48" s="29">
        <f t="shared" si="20"/>
        <v>68</v>
      </c>
      <c r="AK48" s="14"/>
      <c r="AL48" s="14">
        <v>3</v>
      </c>
    </row>
    <row r="49" spans="1:38" x14ac:dyDescent="0.3">
      <c r="A49" s="16">
        <v>2025</v>
      </c>
      <c r="B49" s="15" t="s">
        <v>53</v>
      </c>
      <c r="C49" s="60">
        <v>45674</v>
      </c>
      <c r="D49" s="18" t="s">
        <v>110</v>
      </c>
      <c r="E49" s="18" t="s">
        <v>47</v>
      </c>
      <c r="F49" s="15" t="s">
        <v>111</v>
      </c>
      <c r="G49" s="15" t="s">
        <v>112</v>
      </c>
      <c r="H49" s="15" t="s">
        <v>82</v>
      </c>
      <c r="I49" s="15" t="s">
        <v>135</v>
      </c>
      <c r="J49" s="15">
        <v>5159296</v>
      </c>
      <c r="K49" s="15"/>
      <c r="L49" s="61">
        <v>559.44055944055947</v>
      </c>
      <c r="M49" s="15">
        <v>184297</v>
      </c>
      <c r="N49" s="74">
        <v>540</v>
      </c>
      <c r="O49" s="62">
        <v>555</v>
      </c>
      <c r="P49" s="21">
        <v>555</v>
      </c>
      <c r="Q49" s="62">
        <v>546</v>
      </c>
      <c r="R49" s="21">
        <f t="shared" si="12"/>
        <v>-9</v>
      </c>
      <c r="S49" s="21">
        <f t="shared" si="13"/>
        <v>6</v>
      </c>
      <c r="T49" s="22">
        <f t="shared" si="14"/>
        <v>1.1111111111111072E-2</v>
      </c>
      <c r="U49" s="22">
        <f t="shared" si="15"/>
        <v>-1.6216216216216162E-2</v>
      </c>
      <c r="V49" s="15" t="s">
        <v>137</v>
      </c>
      <c r="W49" s="15"/>
      <c r="X49" s="15">
        <v>1</v>
      </c>
      <c r="Y49" s="15"/>
      <c r="Z49" s="15">
        <v>8</v>
      </c>
      <c r="AA49" s="21">
        <f t="shared" si="21"/>
        <v>0</v>
      </c>
      <c r="AB49" s="15"/>
      <c r="AC49" s="15"/>
      <c r="AD49" s="15"/>
      <c r="AE49" s="15"/>
      <c r="AF49" s="15"/>
      <c r="AG49" s="15"/>
      <c r="AH49" s="15"/>
      <c r="AI49" s="21">
        <f t="shared" si="18"/>
        <v>9</v>
      </c>
      <c r="AJ49" s="21">
        <f t="shared" si="20"/>
        <v>0</v>
      </c>
      <c r="AK49" s="15"/>
      <c r="AL49" s="15">
        <v>3</v>
      </c>
    </row>
    <row r="50" spans="1:38" x14ac:dyDescent="0.3">
      <c r="A50" s="42">
        <v>2025</v>
      </c>
      <c r="B50" s="14" t="s">
        <v>53</v>
      </c>
      <c r="C50" s="56">
        <v>45674</v>
      </c>
      <c r="D50" s="17" t="s">
        <v>110</v>
      </c>
      <c r="E50" s="17" t="s">
        <v>47</v>
      </c>
      <c r="F50" s="14" t="s">
        <v>111</v>
      </c>
      <c r="G50" s="14" t="s">
        <v>112</v>
      </c>
      <c r="H50" s="14" t="s">
        <v>82</v>
      </c>
      <c r="I50" s="14" t="s">
        <v>138</v>
      </c>
      <c r="J50" s="14">
        <v>5159307</v>
      </c>
      <c r="K50" s="14"/>
      <c r="L50" s="28">
        <v>7561.7647058823532</v>
      </c>
      <c r="M50" s="14">
        <v>184298</v>
      </c>
      <c r="N50" s="72">
        <v>7344</v>
      </c>
      <c r="O50" s="59">
        <v>7477</v>
      </c>
      <c r="P50" s="29">
        <v>7477</v>
      </c>
      <c r="Q50" s="59">
        <v>7467</v>
      </c>
      <c r="R50" s="29">
        <f t="shared" si="12"/>
        <v>-10</v>
      </c>
      <c r="S50" s="29">
        <f t="shared" si="13"/>
        <v>123</v>
      </c>
      <c r="T50" s="30">
        <f t="shared" si="14"/>
        <v>1.6748366013071836E-2</v>
      </c>
      <c r="U50" s="30">
        <f t="shared" si="15"/>
        <v>-1.3374348000535496E-3</v>
      </c>
      <c r="V50" s="14" t="s">
        <v>139</v>
      </c>
      <c r="W50" s="14">
        <v>64</v>
      </c>
      <c r="X50" s="14">
        <v>65</v>
      </c>
      <c r="Y50" s="14"/>
      <c r="Z50" s="14">
        <v>9</v>
      </c>
      <c r="AA50" s="29">
        <f t="shared" si="21"/>
        <v>0</v>
      </c>
      <c r="AB50" s="14"/>
      <c r="AC50" s="14"/>
      <c r="AD50" s="14"/>
      <c r="AE50" s="14"/>
      <c r="AF50" s="14"/>
      <c r="AG50" s="14"/>
      <c r="AH50" s="14"/>
      <c r="AI50" s="29">
        <f t="shared" si="18"/>
        <v>74</v>
      </c>
      <c r="AJ50" s="29">
        <f t="shared" si="20"/>
        <v>64</v>
      </c>
      <c r="AK50" s="14" t="s">
        <v>140</v>
      </c>
      <c r="AL50" s="14">
        <v>3</v>
      </c>
    </row>
    <row r="51" spans="1:38" x14ac:dyDescent="0.3">
      <c r="A51" s="42">
        <v>2025</v>
      </c>
      <c r="B51" s="14" t="s">
        <v>53</v>
      </c>
      <c r="C51" s="56">
        <v>45674</v>
      </c>
      <c r="D51" s="17" t="s">
        <v>110</v>
      </c>
      <c r="E51" s="17" t="s">
        <v>47</v>
      </c>
      <c r="F51" s="14" t="s">
        <v>111</v>
      </c>
      <c r="G51" s="14" t="s">
        <v>112</v>
      </c>
      <c r="H51" s="14" t="s">
        <v>82</v>
      </c>
      <c r="I51" s="14" t="s">
        <v>141</v>
      </c>
      <c r="J51" s="14">
        <v>5159310</v>
      </c>
      <c r="K51" s="14"/>
      <c r="L51" s="28">
        <v>5057.8796561604586</v>
      </c>
      <c r="M51" s="14">
        <v>184299</v>
      </c>
      <c r="N51" s="72">
        <v>4752</v>
      </c>
      <c r="O51" s="59">
        <v>4980</v>
      </c>
      <c r="P51" s="29">
        <v>4970</v>
      </c>
      <c r="Q51" s="59">
        <v>4968</v>
      </c>
      <c r="R51" s="29">
        <f t="shared" si="12"/>
        <v>-12</v>
      </c>
      <c r="S51" s="29">
        <f t="shared" si="13"/>
        <v>216</v>
      </c>
      <c r="T51" s="30">
        <f t="shared" si="14"/>
        <v>4.5454545454545414E-2</v>
      </c>
      <c r="U51" s="30">
        <f t="shared" si="15"/>
        <v>-2.4096385542168308E-3</v>
      </c>
      <c r="V51" s="14" t="s">
        <v>142</v>
      </c>
      <c r="W51" s="14">
        <v>39</v>
      </c>
      <c r="X51" s="14">
        <v>20</v>
      </c>
      <c r="Y51" s="14"/>
      <c r="Z51" s="14">
        <v>15</v>
      </c>
      <c r="AA51" s="29">
        <f t="shared" si="21"/>
        <v>10</v>
      </c>
      <c r="AB51" s="14">
        <v>6</v>
      </c>
      <c r="AC51" s="14"/>
      <c r="AD51" s="14"/>
      <c r="AE51" s="14"/>
      <c r="AF51" s="14"/>
      <c r="AG51" s="14"/>
      <c r="AH51" s="14"/>
      <c r="AI51" s="29">
        <f>SUM(X51:AH51)</f>
        <v>51</v>
      </c>
      <c r="AJ51" s="29">
        <f>R51+AI51</f>
        <v>39</v>
      </c>
      <c r="AK51" s="14" t="s">
        <v>143</v>
      </c>
      <c r="AL51" s="14">
        <v>3</v>
      </c>
    </row>
    <row r="52" spans="1:38" x14ac:dyDescent="0.3">
      <c r="A52" s="42">
        <v>2025</v>
      </c>
      <c r="B52" s="14" t="s">
        <v>53</v>
      </c>
      <c r="C52" s="56">
        <v>45674</v>
      </c>
      <c r="D52" s="17" t="s">
        <v>110</v>
      </c>
      <c r="E52" s="17" t="s">
        <v>47</v>
      </c>
      <c r="F52" s="14" t="s">
        <v>111</v>
      </c>
      <c r="G52" s="14" t="s">
        <v>112</v>
      </c>
      <c r="H52" s="14" t="s">
        <v>82</v>
      </c>
      <c r="I52" s="14" t="s">
        <v>144</v>
      </c>
      <c r="J52" s="14">
        <v>5159303</v>
      </c>
      <c r="K52" s="14"/>
      <c r="L52" s="28">
        <v>4892.6136363636369</v>
      </c>
      <c r="M52" s="14">
        <v>184300</v>
      </c>
      <c r="N52" s="72">
        <v>4644</v>
      </c>
      <c r="O52" s="59">
        <v>4875</v>
      </c>
      <c r="P52" s="29">
        <v>4875</v>
      </c>
      <c r="Q52" s="59">
        <v>4869</v>
      </c>
      <c r="R52" s="29">
        <f>Q52-O52</f>
        <v>-6</v>
      </c>
      <c r="S52" s="29">
        <f>Q52-N52</f>
        <v>225</v>
      </c>
      <c r="T52" s="30">
        <f>Q52/N52-1</f>
        <v>4.8449612403100861E-2</v>
      </c>
      <c r="U52" s="30">
        <f>Q52/O52-1</f>
        <v>-1.2307692307692575E-3</v>
      </c>
      <c r="V52" s="14" t="s">
        <v>145</v>
      </c>
      <c r="W52" s="14">
        <v>75</v>
      </c>
      <c r="X52" s="14">
        <v>44</v>
      </c>
      <c r="Y52" s="14"/>
      <c r="Z52" s="14">
        <v>14</v>
      </c>
      <c r="AA52" s="29">
        <f t="shared" si="21"/>
        <v>0</v>
      </c>
      <c r="AB52" s="14">
        <v>23</v>
      </c>
      <c r="AC52" s="14"/>
      <c r="AD52" s="14"/>
      <c r="AE52" s="14"/>
      <c r="AF52" s="14"/>
      <c r="AG52" s="14"/>
      <c r="AH52" s="14"/>
      <c r="AI52" s="29">
        <f>SUM(X52:AH52)</f>
        <v>81</v>
      </c>
      <c r="AJ52" s="29">
        <f>R52+AI52</f>
        <v>75</v>
      </c>
      <c r="AK52" s="14" t="s">
        <v>146</v>
      </c>
      <c r="AL52" s="14">
        <v>3</v>
      </c>
    </row>
    <row r="53" spans="1:38" x14ac:dyDescent="0.3">
      <c r="A53" s="42">
        <v>2025</v>
      </c>
      <c r="B53" s="14" t="s">
        <v>53</v>
      </c>
      <c r="C53" s="56">
        <v>45674</v>
      </c>
      <c r="D53" s="17" t="s">
        <v>110</v>
      </c>
      <c r="E53" s="17" t="s">
        <v>47</v>
      </c>
      <c r="F53" s="14" t="s">
        <v>111</v>
      </c>
      <c r="G53" s="14" t="s">
        <v>112</v>
      </c>
      <c r="H53" s="14" t="s">
        <v>82</v>
      </c>
      <c r="I53" s="14" t="s">
        <v>147</v>
      </c>
      <c r="J53" s="14">
        <v>5159308</v>
      </c>
      <c r="K53" s="14"/>
      <c r="L53" s="28">
        <v>6520.8191126279871</v>
      </c>
      <c r="M53" s="14">
        <v>184301</v>
      </c>
      <c r="N53" s="72">
        <v>6264</v>
      </c>
      <c r="O53" s="59">
        <v>6427</v>
      </c>
      <c r="P53" s="29">
        <v>6427</v>
      </c>
      <c r="Q53" s="59">
        <v>6411</v>
      </c>
      <c r="R53" s="29">
        <f t="shared" si="12"/>
        <v>-16</v>
      </c>
      <c r="S53" s="29">
        <f t="shared" si="13"/>
        <v>147</v>
      </c>
      <c r="T53" s="30">
        <f t="shared" si="14"/>
        <v>2.3467432950191602E-2</v>
      </c>
      <c r="U53" s="30">
        <f t="shared" si="15"/>
        <v>-2.4894974327057673E-3</v>
      </c>
      <c r="V53" s="14"/>
      <c r="W53" s="14"/>
      <c r="X53" s="14">
        <v>16</v>
      </c>
      <c r="Y53" s="14"/>
      <c r="Z53" s="14">
        <v>0</v>
      </c>
      <c r="AA53" s="29">
        <f t="shared" si="21"/>
        <v>0</v>
      </c>
      <c r="AB53" s="14"/>
      <c r="AC53" s="14"/>
      <c r="AD53" s="14"/>
      <c r="AE53" s="14"/>
      <c r="AF53" s="14"/>
      <c r="AG53" s="14"/>
      <c r="AH53" s="14"/>
      <c r="AI53" s="29">
        <f t="shared" si="18"/>
        <v>16</v>
      </c>
      <c r="AJ53" s="29">
        <f t="shared" si="20"/>
        <v>0</v>
      </c>
      <c r="AK53" s="14" t="s">
        <v>148</v>
      </c>
      <c r="AL53" s="14">
        <v>3</v>
      </c>
    </row>
    <row r="54" spans="1:38" x14ac:dyDescent="0.3">
      <c r="A54" s="42">
        <v>2025</v>
      </c>
      <c r="B54" s="14" t="s">
        <v>53</v>
      </c>
      <c r="C54" s="56">
        <v>45674</v>
      </c>
      <c r="D54" s="17" t="s">
        <v>110</v>
      </c>
      <c r="E54" s="17" t="s">
        <v>47</v>
      </c>
      <c r="F54" s="14" t="s">
        <v>111</v>
      </c>
      <c r="G54" s="14" t="s">
        <v>112</v>
      </c>
      <c r="H54" s="14" t="s">
        <v>82</v>
      </c>
      <c r="I54" s="14" t="s">
        <v>147</v>
      </c>
      <c r="J54" s="14">
        <v>5159308</v>
      </c>
      <c r="K54" s="14"/>
      <c r="L54" s="28">
        <v>552.19780219780228</v>
      </c>
      <c r="M54" s="14">
        <v>184302</v>
      </c>
      <c r="N54" s="72">
        <v>540</v>
      </c>
      <c r="O54" s="59">
        <v>555</v>
      </c>
      <c r="P54" s="29">
        <v>555</v>
      </c>
      <c r="Q54" s="59">
        <v>555</v>
      </c>
      <c r="R54" s="29">
        <f t="shared" si="12"/>
        <v>0</v>
      </c>
      <c r="S54" s="29">
        <f t="shared" si="13"/>
        <v>15</v>
      </c>
      <c r="T54" s="30">
        <f t="shared" si="14"/>
        <v>2.7777777777777679E-2</v>
      </c>
      <c r="U54" s="30">
        <f t="shared" si="15"/>
        <v>0</v>
      </c>
      <c r="V54" s="14"/>
      <c r="W54" s="14"/>
      <c r="X54" s="14">
        <v>0</v>
      </c>
      <c r="Y54" s="14"/>
      <c r="Z54" s="14">
        <v>0</v>
      </c>
      <c r="AA54" s="29">
        <f t="shared" si="21"/>
        <v>0</v>
      </c>
      <c r="AB54" s="14"/>
      <c r="AC54" s="14"/>
      <c r="AD54" s="14"/>
      <c r="AE54" s="14"/>
      <c r="AF54" s="14"/>
      <c r="AG54" s="14"/>
      <c r="AH54" s="14"/>
      <c r="AI54" s="29">
        <f t="shared" si="18"/>
        <v>0</v>
      </c>
      <c r="AJ54" s="29">
        <f t="shared" si="20"/>
        <v>0</v>
      </c>
      <c r="AK54" s="14"/>
      <c r="AL54" s="14">
        <v>3</v>
      </c>
    </row>
    <row r="55" spans="1:38" x14ac:dyDescent="0.3">
      <c r="A55" s="42">
        <v>2025</v>
      </c>
      <c r="B55" s="14" t="s">
        <v>53</v>
      </c>
      <c r="C55" s="56">
        <v>45674</v>
      </c>
      <c r="D55" s="17" t="s">
        <v>110</v>
      </c>
      <c r="E55" s="17" t="s">
        <v>47</v>
      </c>
      <c r="F55" s="14" t="s">
        <v>111</v>
      </c>
      <c r="G55" s="14" t="s">
        <v>112</v>
      </c>
      <c r="H55" s="14" t="s">
        <v>82</v>
      </c>
      <c r="I55" s="14" t="s">
        <v>149</v>
      </c>
      <c r="J55" s="14">
        <v>5157983</v>
      </c>
      <c r="K55" s="14"/>
      <c r="L55" s="28">
        <v>6616.4383561643826</v>
      </c>
      <c r="M55" s="14">
        <v>184303</v>
      </c>
      <c r="N55" s="72">
        <v>6696</v>
      </c>
      <c r="O55" s="59">
        <v>6705</v>
      </c>
      <c r="P55" s="29">
        <v>6705</v>
      </c>
      <c r="Q55" s="59">
        <v>6708</v>
      </c>
      <c r="R55" s="29">
        <f t="shared" si="12"/>
        <v>3</v>
      </c>
      <c r="S55" s="29">
        <f t="shared" si="13"/>
        <v>12</v>
      </c>
      <c r="T55" s="30">
        <f t="shared" si="14"/>
        <v>1.7921146953405742E-3</v>
      </c>
      <c r="U55" s="30">
        <f t="shared" si="15"/>
        <v>4.474272930647949E-4</v>
      </c>
      <c r="V55" s="14" t="s">
        <v>150</v>
      </c>
      <c r="W55" s="14">
        <v>59</v>
      </c>
      <c r="X55" s="14">
        <v>37</v>
      </c>
      <c r="Y55" s="14"/>
      <c r="Z55" s="14">
        <v>7</v>
      </c>
      <c r="AA55" s="29">
        <f t="shared" si="21"/>
        <v>0</v>
      </c>
      <c r="AB55" s="14">
        <v>12</v>
      </c>
      <c r="AC55" s="14"/>
      <c r="AD55" s="14"/>
      <c r="AE55" s="14"/>
      <c r="AF55" s="14"/>
      <c r="AG55" s="14"/>
      <c r="AH55" s="14"/>
      <c r="AI55" s="29">
        <f t="shared" si="18"/>
        <v>56</v>
      </c>
      <c r="AJ55" s="29">
        <f t="shared" si="20"/>
        <v>59</v>
      </c>
      <c r="AK55" s="14" t="s">
        <v>151</v>
      </c>
      <c r="AL55" s="14">
        <v>3</v>
      </c>
    </row>
    <row r="56" spans="1:38" x14ac:dyDescent="0.3">
      <c r="A56" s="42">
        <v>2025</v>
      </c>
      <c r="B56" s="14" t="s">
        <v>53</v>
      </c>
      <c r="C56" s="56">
        <v>45674</v>
      </c>
      <c r="D56" s="17" t="s">
        <v>110</v>
      </c>
      <c r="E56" s="17" t="s">
        <v>47</v>
      </c>
      <c r="F56" s="14" t="s">
        <v>111</v>
      </c>
      <c r="G56" s="14" t="s">
        <v>112</v>
      </c>
      <c r="H56" s="14" t="s">
        <v>82</v>
      </c>
      <c r="I56" s="14" t="s">
        <v>152</v>
      </c>
      <c r="J56" s="14">
        <v>5157992</v>
      </c>
      <c r="K56" s="14"/>
      <c r="L56" s="28">
        <v>3891.428571428572</v>
      </c>
      <c r="M56" s="14">
        <v>184304</v>
      </c>
      <c r="N56" s="72">
        <v>3888</v>
      </c>
      <c r="O56" s="59">
        <v>3897</v>
      </c>
      <c r="P56" s="29">
        <v>3897</v>
      </c>
      <c r="Q56" s="59">
        <v>3900</v>
      </c>
      <c r="R56" s="29">
        <f t="shared" si="12"/>
        <v>3</v>
      </c>
      <c r="S56" s="29">
        <f t="shared" si="13"/>
        <v>12</v>
      </c>
      <c r="T56" s="30">
        <f t="shared" si="14"/>
        <v>3.0864197530864335E-3</v>
      </c>
      <c r="U56" s="30">
        <f t="shared" si="15"/>
        <v>7.698229407235857E-4</v>
      </c>
      <c r="V56" s="14"/>
      <c r="W56" s="14">
        <v>3</v>
      </c>
      <c r="X56" s="14">
        <v>0</v>
      </c>
      <c r="Y56" s="14"/>
      <c r="Z56" s="14">
        <v>0</v>
      </c>
      <c r="AA56" s="29">
        <f t="shared" si="21"/>
        <v>0</v>
      </c>
      <c r="AB56" s="14"/>
      <c r="AC56" s="14"/>
      <c r="AD56" s="14"/>
      <c r="AE56" s="14"/>
      <c r="AF56" s="14"/>
      <c r="AG56" s="14"/>
      <c r="AH56" s="14"/>
      <c r="AI56" s="29">
        <f t="shared" si="18"/>
        <v>0</v>
      </c>
      <c r="AJ56" s="29">
        <f t="shared" si="20"/>
        <v>3</v>
      </c>
      <c r="AK56" s="14"/>
      <c r="AL56" s="14">
        <v>3</v>
      </c>
    </row>
    <row r="57" spans="1:38" x14ac:dyDescent="0.3">
      <c r="A57" s="42">
        <v>2025</v>
      </c>
      <c r="B57" s="14" t="s">
        <v>53</v>
      </c>
      <c r="C57" s="56">
        <v>45674</v>
      </c>
      <c r="D57" s="17" t="s">
        <v>110</v>
      </c>
      <c r="E57" s="17" t="s">
        <v>47</v>
      </c>
      <c r="F57" s="14" t="s">
        <v>111</v>
      </c>
      <c r="G57" s="14" t="s">
        <v>112</v>
      </c>
      <c r="H57" s="14" t="s">
        <v>82</v>
      </c>
      <c r="I57" s="14" t="s">
        <v>153</v>
      </c>
      <c r="J57" s="14">
        <v>5159304</v>
      </c>
      <c r="K57" s="14"/>
      <c r="L57" s="28">
        <v>5934.6049046321523</v>
      </c>
      <c r="M57" s="14">
        <v>184305</v>
      </c>
      <c r="N57" s="72">
        <v>5940</v>
      </c>
      <c r="O57" s="59">
        <v>5906</v>
      </c>
      <c r="P57" s="29">
        <v>5906</v>
      </c>
      <c r="Q57" s="59">
        <v>5892</v>
      </c>
      <c r="R57" s="29">
        <f t="shared" si="12"/>
        <v>-14</v>
      </c>
      <c r="S57" s="29">
        <f t="shared" si="13"/>
        <v>-48</v>
      </c>
      <c r="T57" s="30">
        <f t="shared" si="14"/>
        <v>-8.0808080808081328E-3</v>
      </c>
      <c r="U57" s="30">
        <f t="shared" si="15"/>
        <v>-2.3704707077548681E-3</v>
      </c>
      <c r="V57" s="14" t="s">
        <v>154</v>
      </c>
      <c r="W57" s="14">
        <v>3</v>
      </c>
      <c r="X57" s="14">
        <v>12</v>
      </c>
      <c r="Y57" s="14"/>
      <c r="Z57" s="14">
        <v>1</v>
      </c>
      <c r="AA57" s="29">
        <f t="shared" si="21"/>
        <v>0</v>
      </c>
      <c r="AB57" s="14">
        <v>4</v>
      </c>
      <c r="AC57" s="14"/>
      <c r="AD57" s="14"/>
      <c r="AE57" s="14"/>
      <c r="AF57" s="14"/>
      <c r="AG57" s="14"/>
      <c r="AH57" s="14"/>
      <c r="AI57" s="29">
        <f t="shared" si="18"/>
        <v>17</v>
      </c>
      <c r="AJ57" s="29">
        <f t="shared" si="20"/>
        <v>3</v>
      </c>
      <c r="AK57" s="14" t="s">
        <v>155</v>
      </c>
      <c r="AL57" s="14">
        <v>3</v>
      </c>
    </row>
    <row r="58" spans="1:38" x14ac:dyDescent="0.3">
      <c r="A58" s="42">
        <v>2025</v>
      </c>
      <c r="B58" s="14" t="s">
        <v>53</v>
      </c>
      <c r="C58" s="56">
        <v>45674</v>
      </c>
      <c r="D58" s="17" t="s">
        <v>110</v>
      </c>
      <c r="E58" s="17" t="s">
        <v>47</v>
      </c>
      <c r="F58" s="14" t="s">
        <v>111</v>
      </c>
      <c r="G58" s="14" t="s">
        <v>112</v>
      </c>
      <c r="H58" s="14" t="s">
        <v>82</v>
      </c>
      <c r="I58" s="14" t="s">
        <v>153</v>
      </c>
      <c r="J58" s="14">
        <v>5159304</v>
      </c>
      <c r="K58" s="14"/>
      <c r="L58" s="28">
        <v>1093.6073059360731</v>
      </c>
      <c r="M58" s="14">
        <v>184306</v>
      </c>
      <c r="N58" s="72">
        <v>1080</v>
      </c>
      <c r="O58" s="59">
        <v>1080</v>
      </c>
      <c r="P58" s="29">
        <v>1080</v>
      </c>
      <c r="Q58" s="59">
        <v>1080</v>
      </c>
      <c r="R58" s="29">
        <f t="shared" si="12"/>
        <v>0</v>
      </c>
      <c r="S58" s="29">
        <f t="shared" si="13"/>
        <v>0</v>
      </c>
      <c r="T58" s="30">
        <f t="shared" si="14"/>
        <v>0</v>
      </c>
      <c r="U58" s="30">
        <f t="shared" si="15"/>
        <v>0</v>
      </c>
      <c r="V58" s="14"/>
      <c r="W58" s="14"/>
      <c r="X58" s="14">
        <v>0</v>
      </c>
      <c r="Y58" s="14"/>
      <c r="Z58" s="14">
        <v>0</v>
      </c>
      <c r="AA58" s="29">
        <f t="shared" si="21"/>
        <v>0</v>
      </c>
      <c r="AB58" s="14"/>
      <c r="AC58" s="14"/>
      <c r="AD58" s="14"/>
      <c r="AE58" s="14"/>
      <c r="AF58" s="14"/>
      <c r="AG58" s="14"/>
      <c r="AH58" s="14"/>
      <c r="AI58" s="29">
        <f t="shared" si="18"/>
        <v>0</v>
      </c>
      <c r="AJ58" s="29">
        <f t="shared" si="20"/>
        <v>0</v>
      </c>
      <c r="AK58" s="14"/>
      <c r="AL58" s="14">
        <v>3</v>
      </c>
    </row>
    <row r="59" spans="1:38" x14ac:dyDescent="0.3">
      <c r="A59" s="42">
        <v>2025</v>
      </c>
      <c r="B59" s="14" t="s">
        <v>53</v>
      </c>
      <c r="C59" s="56">
        <v>45674</v>
      </c>
      <c r="D59" s="17" t="s">
        <v>110</v>
      </c>
      <c r="E59" s="17" t="s">
        <v>47</v>
      </c>
      <c r="F59" s="14" t="s">
        <v>111</v>
      </c>
      <c r="G59" s="14" t="s">
        <v>112</v>
      </c>
      <c r="H59" s="14" t="s">
        <v>82</v>
      </c>
      <c r="I59" s="14" t="s">
        <v>156</v>
      </c>
      <c r="J59" s="14">
        <v>5159299</v>
      </c>
      <c r="K59" s="14"/>
      <c r="L59" s="28">
        <v>7260.162601626017</v>
      </c>
      <c r="M59" s="14">
        <v>184307</v>
      </c>
      <c r="N59" s="72">
        <v>7344</v>
      </c>
      <c r="O59" s="59">
        <v>7208</v>
      </c>
      <c r="P59" s="29">
        <v>7208</v>
      </c>
      <c r="Q59" s="59">
        <v>7206</v>
      </c>
      <c r="R59" s="29">
        <f t="shared" si="12"/>
        <v>-2</v>
      </c>
      <c r="S59" s="29">
        <f t="shared" si="13"/>
        <v>-138</v>
      </c>
      <c r="T59" s="30">
        <f t="shared" si="14"/>
        <v>-1.8790849673202659E-2</v>
      </c>
      <c r="U59" s="30">
        <f t="shared" si="15"/>
        <v>-2.7746947835738389E-4</v>
      </c>
      <c r="V59" s="14" t="s">
        <v>157</v>
      </c>
      <c r="W59" s="14">
        <v>46</v>
      </c>
      <c r="X59" s="14">
        <v>21</v>
      </c>
      <c r="Y59" s="14"/>
      <c r="Z59" s="14">
        <v>12</v>
      </c>
      <c r="AA59" s="29">
        <f t="shared" si="21"/>
        <v>0</v>
      </c>
      <c r="AB59" s="14">
        <v>15</v>
      </c>
      <c r="AC59" s="14"/>
      <c r="AD59" s="14"/>
      <c r="AE59" s="14"/>
      <c r="AF59" s="14"/>
      <c r="AG59" s="14"/>
      <c r="AH59" s="14"/>
      <c r="AI59" s="29">
        <f t="shared" si="18"/>
        <v>48</v>
      </c>
      <c r="AJ59" s="29">
        <f t="shared" si="20"/>
        <v>46</v>
      </c>
      <c r="AK59" s="14" t="s">
        <v>158</v>
      </c>
      <c r="AL59" s="14">
        <v>3</v>
      </c>
    </row>
    <row r="60" spans="1:38" x14ac:dyDescent="0.3">
      <c r="A60" s="42">
        <v>2025</v>
      </c>
      <c r="B60" s="14" t="s">
        <v>53</v>
      </c>
      <c r="C60" s="56">
        <v>45674</v>
      </c>
      <c r="D60" s="17" t="s">
        <v>110</v>
      </c>
      <c r="E60" s="17" t="s">
        <v>47</v>
      </c>
      <c r="F60" s="14" t="s">
        <v>111</v>
      </c>
      <c r="G60" s="14" t="s">
        <v>112</v>
      </c>
      <c r="H60" s="14" t="s">
        <v>82</v>
      </c>
      <c r="I60" s="14" t="s">
        <v>156</v>
      </c>
      <c r="J60" s="14">
        <v>5159299</v>
      </c>
      <c r="K60" s="14"/>
      <c r="L60" s="28">
        <v>650.68493150684924</v>
      </c>
      <c r="M60" s="14">
        <v>184308</v>
      </c>
      <c r="N60" s="72">
        <v>648</v>
      </c>
      <c r="O60" s="59">
        <v>644</v>
      </c>
      <c r="P60" s="29">
        <v>644</v>
      </c>
      <c r="Q60" s="59">
        <v>648</v>
      </c>
      <c r="R60" s="29">
        <f t="shared" si="12"/>
        <v>4</v>
      </c>
      <c r="S60" s="29">
        <f t="shared" si="13"/>
        <v>0</v>
      </c>
      <c r="T60" s="30">
        <f t="shared" si="14"/>
        <v>0</v>
      </c>
      <c r="U60" s="30">
        <f>Q60/O60-1</f>
        <v>6.2111801242235032E-3</v>
      </c>
      <c r="V60" s="14" t="s">
        <v>159</v>
      </c>
      <c r="W60" s="14">
        <v>4</v>
      </c>
      <c r="X60" s="14">
        <v>0</v>
      </c>
      <c r="Y60" s="14"/>
      <c r="Z60" s="14">
        <v>0</v>
      </c>
      <c r="AA60" s="29">
        <f t="shared" si="21"/>
        <v>0</v>
      </c>
      <c r="AB60" s="14"/>
      <c r="AC60" s="14"/>
      <c r="AD60" s="14"/>
      <c r="AE60" s="14"/>
      <c r="AF60" s="14"/>
      <c r="AG60" s="14"/>
      <c r="AH60" s="14"/>
      <c r="AI60" s="29">
        <f t="shared" si="18"/>
        <v>0</v>
      </c>
      <c r="AJ60" s="29">
        <f t="shared" si="20"/>
        <v>4</v>
      </c>
      <c r="AK60" s="14"/>
      <c r="AL60" s="14">
        <v>3</v>
      </c>
    </row>
    <row r="61" spans="1:38" x14ac:dyDescent="0.3">
      <c r="A61" s="42">
        <v>2025</v>
      </c>
      <c r="B61" s="14" t="s">
        <v>53</v>
      </c>
      <c r="C61" s="56">
        <v>45674</v>
      </c>
      <c r="D61" s="17" t="s">
        <v>110</v>
      </c>
      <c r="E61" s="17" t="s">
        <v>47</v>
      </c>
      <c r="F61" s="14" t="s">
        <v>111</v>
      </c>
      <c r="G61" s="14" t="s">
        <v>112</v>
      </c>
      <c r="H61" s="14" t="s">
        <v>82</v>
      </c>
      <c r="I61" s="14" t="s">
        <v>160</v>
      </c>
      <c r="J61" s="14">
        <v>5159295</v>
      </c>
      <c r="K61" s="14"/>
      <c r="L61" s="28">
        <v>4613.8888888888887</v>
      </c>
      <c r="M61" s="14">
        <v>184309</v>
      </c>
      <c r="N61" s="72">
        <v>4428</v>
      </c>
      <c r="O61" s="59">
        <v>4437</v>
      </c>
      <c r="P61" s="29">
        <v>4437</v>
      </c>
      <c r="Q61" s="59">
        <v>4428</v>
      </c>
      <c r="R61" s="29">
        <f t="shared" si="12"/>
        <v>-9</v>
      </c>
      <c r="S61" s="29">
        <f t="shared" si="13"/>
        <v>0</v>
      </c>
      <c r="T61" s="30">
        <f t="shared" si="14"/>
        <v>0</v>
      </c>
      <c r="U61" s="30">
        <f t="shared" si="15"/>
        <v>-2.0283975659228792E-3</v>
      </c>
      <c r="V61" s="14" t="s">
        <v>161</v>
      </c>
      <c r="W61" s="14">
        <v>33</v>
      </c>
      <c r="X61" s="14">
        <v>36</v>
      </c>
      <c r="Y61" s="14"/>
      <c r="Z61" s="14">
        <v>6</v>
      </c>
      <c r="AA61" s="29">
        <f t="shared" si="21"/>
        <v>0</v>
      </c>
      <c r="AB61" s="14"/>
      <c r="AC61" s="14"/>
      <c r="AD61" s="14"/>
      <c r="AE61" s="14"/>
      <c r="AF61" s="14"/>
      <c r="AG61" s="14"/>
      <c r="AH61" s="14"/>
      <c r="AI61" s="29">
        <f t="shared" si="18"/>
        <v>42</v>
      </c>
      <c r="AJ61" s="29">
        <f t="shared" si="20"/>
        <v>33</v>
      </c>
      <c r="AK61" s="14" t="s">
        <v>162</v>
      </c>
      <c r="AL61" s="14">
        <v>3</v>
      </c>
    </row>
    <row r="62" spans="1:38" x14ac:dyDescent="0.3">
      <c r="A62" s="42">
        <v>2025</v>
      </c>
      <c r="B62" s="14" t="s">
        <v>53</v>
      </c>
      <c r="C62" s="56">
        <v>45674</v>
      </c>
      <c r="D62" s="17" t="s">
        <v>110</v>
      </c>
      <c r="E62" s="17" t="s">
        <v>47</v>
      </c>
      <c r="F62" s="14" t="s">
        <v>111</v>
      </c>
      <c r="G62" s="14" t="s">
        <v>112</v>
      </c>
      <c r="H62" s="14" t="s">
        <v>82</v>
      </c>
      <c r="I62" s="14" t="s">
        <v>163</v>
      </c>
      <c r="J62" s="14">
        <v>5157985</v>
      </c>
      <c r="K62" s="14"/>
      <c r="L62" s="28">
        <v>5380.8353808353813</v>
      </c>
      <c r="M62" s="14">
        <v>184310</v>
      </c>
      <c r="N62" s="72">
        <v>5292</v>
      </c>
      <c r="O62" s="59">
        <v>5301</v>
      </c>
      <c r="P62" s="29">
        <v>5301</v>
      </c>
      <c r="Q62" s="59">
        <v>5331</v>
      </c>
      <c r="R62" s="29">
        <f t="shared" si="12"/>
        <v>30</v>
      </c>
      <c r="S62" s="29">
        <f t="shared" si="13"/>
        <v>39</v>
      </c>
      <c r="T62" s="30">
        <f t="shared" si="14"/>
        <v>7.369614512471756E-3</v>
      </c>
      <c r="U62" s="30">
        <f t="shared" si="15"/>
        <v>5.659309564233217E-3</v>
      </c>
      <c r="V62" s="14"/>
      <c r="W62" s="14">
        <v>30</v>
      </c>
      <c r="X62" s="14">
        <v>0</v>
      </c>
      <c r="Y62" s="14"/>
      <c r="Z62" s="14">
        <v>0</v>
      </c>
      <c r="AA62" s="29">
        <f t="shared" si="21"/>
        <v>0</v>
      </c>
      <c r="AB62" s="14"/>
      <c r="AC62" s="14"/>
      <c r="AD62" s="14"/>
      <c r="AE62" s="14"/>
      <c r="AF62" s="14"/>
      <c r="AG62" s="14"/>
      <c r="AH62" s="14"/>
      <c r="AI62" s="29">
        <f t="shared" si="18"/>
        <v>0</v>
      </c>
      <c r="AJ62" s="29">
        <f t="shared" si="20"/>
        <v>30</v>
      </c>
      <c r="AK62" s="14"/>
      <c r="AL62" s="14">
        <v>3</v>
      </c>
    </row>
    <row r="63" spans="1:38" x14ac:dyDescent="0.3">
      <c r="A63" s="42">
        <v>2025</v>
      </c>
      <c r="B63" s="14" t="s">
        <v>53</v>
      </c>
      <c r="C63" s="56">
        <v>45674</v>
      </c>
      <c r="D63" s="17" t="s">
        <v>110</v>
      </c>
      <c r="E63" s="17" t="s">
        <v>47</v>
      </c>
      <c r="F63" s="14" t="s">
        <v>111</v>
      </c>
      <c r="G63" s="14" t="s">
        <v>112</v>
      </c>
      <c r="H63" s="14" t="s">
        <v>82</v>
      </c>
      <c r="I63" s="14" t="s">
        <v>163</v>
      </c>
      <c r="J63" s="14">
        <v>5157985</v>
      </c>
      <c r="K63" s="14"/>
      <c r="L63" s="28">
        <v>1086.6141732283465</v>
      </c>
      <c r="M63" s="14">
        <v>184311</v>
      </c>
      <c r="N63" s="72">
        <v>1080</v>
      </c>
      <c r="O63" s="59">
        <v>1080</v>
      </c>
      <c r="P63" s="29">
        <v>1080</v>
      </c>
      <c r="Q63" s="59">
        <v>1080</v>
      </c>
      <c r="R63" s="29">
        <f t="shared" si="12"/>
        <v>0</v>
      </c>
      <c r="S63" s="29">
        <f t="shared" si="13"/>
        <v>0</v>
      </c>
      <c r="T63" s="30">
        <f t="shared" si="14"/>
        <v>0</v>
      </c>
      <c r="U63" s="30">
        <f t="shared" si="15"/>
        <v>0</v>
      </c>
      <c r="V63" s="14" t="s">
        <v>164</v>
      </c>
      <c r="W63" s="14">
        <v>11</v>
      </c>
      <c r="X63" s="14">
        <v>5</v>
      </c>
      <c r="Y63" s="14"/>
      <c r="Z63" s="14">
        <v>0</v>
      </c>
      <c r="AA63" s="29">
        <f t="shared" si="21"/>
        <v>0</v>
      </c>
      <c r="AB63" s="14">
        <v>6</v>
      </c>
      <c r="AC63" s="14"/>
      <c r="AD63" s="14"/>
      <c r="AE63" s="14"/>
      <c r="AF63" s="14"/>
      <c r="AG63" s="14"/>
      <c r="AH63" s="14"/>
      <c r="AI63" s="29">
        <f t="shared" si="18"/>
        <v>11</v>
      </c>
      <c r="AJ63" s="29">
        <f t="shared" si="20"/>
        <v>11</v>
      </c>
      <c r="AK63" s="14"/>
      <c r="AL63" s="14">
        <v>3</v>
      </c>
    </row>
    <row r="64" spans="1:38" x14ac:dyDescent="0.3">
      <c r="A64" s="16">
        <v>2025</v>
      </c>
      <c r="B64" s="15" t="s">
        <v>53</v>
      </c>
      <c r="C64" s="60">
        <v>45674</v>
      </c>
      <c r="D64" s="18" t="s">
        <v>110</v>
      </c>
      <c r="E64" s="18" t="s">
        <v>47</v>
      </c>
      <c r="F64" s="15" t="s">
        <v>111</v>
      </c>
      <c r="G64" s="15" t="s">
        <v>112</v>
      </c>
      <c r="H64" s="15" t="s">
        <v>82</v>
      </c>
      <c r="I64" s="15" t="s">
        <v>165</v>
      </c>
      <c r="J64" s="15">
        <v>5157998</v>
      </c>
      <c r="K64" s="15"/>
      <c r="L64" s="61">
        <v>4244.3729903536978</v>
      </c>
      <c r="M64" s="15">
        <v>184312</v>
      </c>
      <c r="N64" s="74">
        <v>4176</v>
      </c>
      <c r="O64" s="62">
        <v>4144</v>
      </c>
      <c r="P64" s="21">
        <v>4144</v>
      </c>
      <c r="Q64" s="62">
        <v>4050</v>
      </c>
      <c r="R64" s="21">
        <f t="shared" si="12"/>
        <v>-94</v>
      </c>
      <c r="S64" s="21">
        <f t="shared" si="13"/>
        <v>-126</v>
      </c>
      <c r="T64" s="22">
        <f t="shared" si="14"/>
        <v>-3.0172413793103425E-2</v>
      </c>
      <c r="U64" s="22">
        <f t="shared" si="15"/>
        <v>-2.2683397683397666E-2</v>
      </c>
      <c r="V64" s="15" t="s">
        <v>166</v>
      </c>
      <c r="W64" s="15"/>
      <c r="X64" s="15">
        <v>5</v>
      </c>
      <c r="Y64" s="15"/>
      <c r="Z64" s="15">
        <v>49</v>
      </c>
      <c r="AA64" s="21">
        <f t="shared" si="21"/>
        <v>0</v>
      </c>
      <c r="AB64" s="15">
        <v>40</v>
      </c>
      <c r="AC64" s="15"/>
      <c r="AD64" s="15"/>
      <c r="AE64" s="15"/>
      <c r="AF64" s="15"/>
      <c r="AG64" s="15"/>
      <c r="AH64" s="15"/>
      <c r="AI64" s="21">
        <f t="shared" si="18"/>
        <v>94</v>
      </c>
      <c r="AJ64" s="21">
        <f t="shared" si="20"/>
        <v>0</v>
      </c>
      <c r="AK64" s="15"/>
      <c r="AL64" s="15">
        <v>3</v>
      </c>
    </row>
    <row r="65" spans="1:38" x14ac:dyDescent="0.3">
      <c r="A65" s="42">
        <v>2025</v>
      </c>
      <c r="B65" s="14" t="s">
        <v>53</v>
      </c>
      <c r="C65" s="56">
        <v>45674</v>
      </c>
      <c r="D65" s="17" t="s">
        <v>110</v>
      </c>
      <c r="E65" s="17" t="s">
        <v>47</v>
      </c>
      <c r="F65" s="14" t="s">
        <v>111</v>
      </c>
      <c r="G65" s="14" t="s">
        <v>112</v>
      </c>
      <c r="H65" s="14" t="s">
        <v>82</v>
      </c>
      <c r="I65" s="14" t="s">
        <v>167</v>
      </c>
      <c r="J65" s="14">
        <v>5158591</v>
      </c>
      <c r="K65" s="14"/>
      <c r="L65" s="28">
        <v>6011.6751269035531</v>
      </c>
      <c r="M65" s="14">
        <v>184316</v>
      </c>
      <c r="N65" s="72">
        <v>8784</v>
      </c>
      <c r="O65" s="59">
        <v>8960</v>
      </c>
      <c r="P65" s="29">
        <v>8960</v>
      </c>
      <c r="Q65" s="59">
        <v>8964</v>
      </c>
      <c r="R65" s="29">
        <f t="shared" si="12"/>
        <v>4</v>
      </c>
      <c r="S65" s="29">
        <f t="shared" si="13"/>
        <v>180</v>
      </c>
      <c r="T65" s="30">
        <f t="shared" si="14"/>
        <v>2.0491803278688492E-2</v>
      </c>
      <c r="U65" s="30">
        <f t="shared" si="15"/>
        <v>4.4642857142851433E-4</v>
      </c>
      <c r="V65" s="14" t="s">
        <v>168</v>
      </c>
      <c r="W65" s="14">
        <v>58</v>
      </c>
      <c r="X65" s="14">
        <v>52</v>
      </c>
      <c r="Y65" s="14"/>
      <c r="Z65" s="14">
        <v>0</v>
      </c>
      <c r="AA65" s="29">
        <f t="shared" si="21"/>
        <v>0</v>
      </c>
      <c r="AB65" s="14">
        <v>2</v>
      </c>
      <c r="AC65" s="14"/>
      <c r="AD65" s="14"/>
      <c r="AE65" s="14"/>
      <c r="AF65" s="14"/>
      <c r="AG65" s="14"/>
      <c r="AH65" s="14"/>
      <c r="AI65" s="29">
        <f t="shared" si="18"/>
        <v>54</v>
      </c>
      <c r="AJ65" s="29">
        <f t="shared" si="20"/>
        <v>58</v>
      </c>
      <c r="AK65" s="14" t="s">
        <v>169</v>
      </c>
      <c r="AL65" s="14">
        <v>3</v>
      </c>
    </row>
    <row r="66" spans="1:38" x14ac:dyDescent="0.3">
      <c r="A66" s="42">
        <v>2025</v>
      </c>
      <c r="B66" s="14" t="s">
        <v>53</v>
      </c>
      <c r="C66" s="56">
        <v>45674</v>
      </c>
      <c r="D66" s="17" t="s">
        <v>110</v>
      </c>
      <c r="E66" s="17" t="s">
        <v>47</v>
      </c>
      <c r="F66" s="14" t="s">
        <v>111</v>
      </c>
      <c r="G66" s="14" t="s">
        <v>112</v>
      </c>
      <c r="H66" s="14" t="s">
        <v>82</v>
      </c>
      <c r="I66" s="14" t="s">
        <v>170</v>
      </c>
      <c r="J66" s="14">
        <v>5158588</v>
      </c>
      <c r="K66" s="14"/>
      <c r="L66" s="28">
        <v>14081.632653061224</v>
      </c>
      <c r="M66" s="14">
        <v>184318</v>
      </c>
      <c r="N66" s="72">
        <v>6336</v>
      </c>
      <c r="O66" s="59">
        <v>6463</v>
      </c>
      <c r="P66" s="29">
        <v>6457</v>
      </c>
      <c r="Q66" s="59">
        <v>6464</v>
      </c>
      <c r="R66" s="29">
        <f t="shared" si="12"/>
        <v>1</v>
      </c>
      <c r="S66" s="29">
        <f t="shared" si="13"/>
        <v>128</v>
      </c>
      <c r="T66" s="30">
        <f t="shared" si="14"/>
        <v>2.020202020202011E-2</v>
      </c>
      <c r="U66" s="30">
        <f t="shared" si="15"/>
        <v>1.5472690700923941E-4</v>
      </c>
      <c r="V66" s="14" t="s">
        <v>171</v>
      </c>
      <c r="W66" s="14">
        <v>13</v>
      </c>
      <c r="X66" s="14">
        <v>6</v>
      </c>
      <c r="Y66" s="14"/>
      <c r="Z66" s="14">
        <v>0</v>
      </c>
      <c r="AA66" s="29">
        <f t="shared" si="21"/>
        <v>6</v>
      </c>
      <c r="AB66" s="14"/>
      <c r="AC66" s="14"/>
      <c r="AD66" s="14"/>
      <c r="AE66" s="14"/>
      <c r="AF66" s="14"/>
      <c r="AG66" s="14"/>
      <c r="AH66" s="14"/>
      <c r="AI66" s="29">
        <f t="shared" si="18"/>
        <v>12</v>
      </c>
      <c r="AJ66" s="29">
        <f t="shared" si="20"/>
        <v>13</v>
      </c>
      <c r="AK66" s="14" t="s">
        <v>172</v>
      </c>
      <c r="AL66" s="14">
        <v>3</v>
      </c>
    </row>
    <row r="67" spans="1:38" x14ac:dyDescent="0.3">
      <c r="A67" s="42">
        <v>2025</v>
      </c>
      <c r="B67" s="14" t="s">
        <v>53</v>
      </c>
      <c r="C67" s="56">
        <v>45674</v>
      </c>
      <c r="D67" s="17" t="s">
        <v>110</v>
      </c>
      <c r="E67" s="17" t="s">
        <v>47</v>
      </c>
      <c r="F67" s="14" t="s">
        <v>111</v>
      </c>
      <c r="G67" s="14" t="s">
        <v>112</v>
      </c>
      <c r="H67" s="14" t="s">
        <v>82</v>
      </c>
      <c r="I67" s="14" t="s">
        <v>173</v>
      </c>
      <c r="J67" s="57">
        <v>5159770</v>
      </c>
      <c r="K67" s="27"/>
      <c r="L67" s="42">
        <v>1195.3000000000002</v>
      </c>
      <c r="M67" s="14">
        <v>184288</v>
      </c>
      <c r="N67" s="58">
        <v>15228</v>
      </c>
      <c r="O67" s="40">
        <v>15771</v>
      </c>
      <c r="P67" s="40">
        <v>15771</v>
      </c>
      <c r="Q67" s="40">
        <v>15732</v>
      </c>
      <c r="R67" s="29">
        <f t="shared" si="12"/>
        <v>-39</v>
      </c>
      <c r="S67" s="29">
        <f t="shared" si="13"/>
        <v>504</v>
      </c>
      <c r="T67" s="30">
        <f t="shared" si="14"/>
        <v>3.3096926713948038E-2</v>
      </c>
      <c r="U67" s="30">
        <f t="shared" si="15"/>
        <v>-2.4728932851436625E-3</v>
      </c>
      <c r="V67" s="42"/>
      <c r="W67" s="27">
        <v>21</v>
      </c>
      <c r="X67" s="27">
        <v>60</v>
      </c>
      <c r="Y67" s="27"/>
      <c r="Z67" s="27">
        <v>0</v>
      </c>
      <c r="AA67" s="29">
        <f>+O67-P67</f>
        <v>0</v>
      </c>
      <c r="AB67" s="70"/>
      <c r="AC67" s="27"/>
      <c r="AD67" s="27"/>
      <c r="AE67" s="27"/>
      <c r="AF67" s="27"/>
      <c r="AG67" s="27"/>
      <c r="AH67" s="40"/>
      <c r="AI67" s="29">
        <f t="shared" si="18"/>
        <v>60</v>
      </c>
      <c r="AJ67" s="29">
        <f>R67+AI67</f>
        <v>21</v>
      </c>
      <c r="AK67" s="14" t="s">
        <v>174</v>
      </c>
      <c r="AL67" s="14">
        <v>3</v>
      </c>
    </row>
    <row r="68" spans="1:38" x14ac:dyDescent="0.3">
      <c r="A68" s="16">
        <v>2025</v>
      </c>
      <c r="B68" s="15" t="s">
        <v>53</v>
      </c>
      <c r="C68" s="60">
        <v>45674</v>
      </c>
      <c r="D68" s="18" t="s">
        <v>110</v>
      </c>
      <c r="E68" s="18" t="s">
        <v>47</v>
      </c>
      <c r="F68" s="15" t="s">
        <v>111</v>
      </c>
      <c r="G68" s="15" t="s">
        <v>112</v>
      </c>
      <c r="H68" s="15" t="s">
        <v>82</v>
      </c>
      <c r="I68" s="15" t="s">
        <v>175</v>
      </c>
      <c r="J68" s="20">
        <v>5158009</v>
      </c>
      <c r="K68" s="23"/>
      <c r="L68" s="16">
        <v>509</v>
      </c>
      <c r="M68" s="15">
        <v>184289</v>
      </c>
      <c r="N68" s="25">
        <v>6480</v>
      </c>
      <c r="O68" s="37">
        <v>6797</v>
      </c>
      <c r="P68" s="37">
        <v>6797</v>
      </c>
      <c r="Q68" s="37">
        <v>6780</v>
      </c>
      <c r="R68" s="21">
        <f t="shared" si="12"/>
        <v>-17</v>
      </c>
      <c r="S68" s="21">
        <f t="shared" si="13"/>
        <v>300</v>
      </c>
      <c r="T68" s="22">
        <f t="shared" si="14"/>
        <v>4.629629629629628E-2</v>
      </c>
      <c r="U68" s="22">
        <f t="shared" si="15"/>
        <v>-2.5011034279829314E-3</v>
      </c>
      <c r="V68" s="16" t="s">
        <v>176</v>
      </c>
      <c r="W68" s="23">
        <v>28</v>
      </c>
      <c r="X68" s="23">
        <v>28</v>
      </c>
      <c r="Y68" s="23"/>
      <c r="Z68" s="23">
        <v>5</v>
      </c>
      <c r="AA68" s="21">
        <f t="shared" ref="AA68:AA73" si="22">+O68-P68</f>
        <v>0</v>
      </c>
      <c r="AB68" s="23">
        <v>12</v>
      </c>
      <c r="AC68" s="23"/>
      <c r="AD68" s="23"/>
      <c r="AE68" s="23"/>
      <c r="AF68" s="23"/>
      <c r="AG68" s="23"/>
      <c r="AH68" s="23"/>
      <c r="AI68" s="21">
        <f t="shared" si="18"/>
        <v>45</v>
      </c>
      <c r="AJ68" s="21">
        <f t="shared" ref="AJ68:AJ73" si="23">R68+AI68</f>
        <v>28</v>
      </c>
      <c r="AK68" s="15" t="s">
        <v>177</v>
      </c>
      <c r="AL68" s="15">
        <v>3</v>
      </c>
    </row>
    <row r="69" spans="1:38" x14ac:dyDescent="0.3">
      <c r="A69" s="42">
        <v>2025</v>
      </c>
      <c r="B69" s="14" t="s">
        <v>53</v>
      </c>
      <c r="C69" s="56">
        <v>45674</v>
      </c>
      <c r="D69" s="17" t="s">
        <v>110</v>
      </c>
      <c r="E69" s="17" t="s">
        <v>47</v>
      </c>
      <c r="F69" s="14" t="s">
        <v>111</v>
      </c>
      <c r="G69" s="14" t="s">
        <v>112</v>
      </c>
      <c r="H69" s="14" t="s">
        <v>82</v>
      </c>
      <c r="I69" s="14" t="s">
        <v>178</v>
      </c>
      <c r="J69" s="14">
        <v>5158001</v>
      </c>
      <c r="K69" s="14"/>
      <c r="L69" s="28">
        <v>648</v>
      </c>
      <c r="M69" s="14">
        <v>184290</v>
      </c>
      <c r="N69" s="72">
        <v>8316</v>
      </c>
      <c r="O69" s="59">
        <v>8610</v>
      </c>
      <c r="P69" s="29">
        <v>8610</v>
      </c>
      <c r="Q69" s="59">
        <v>8589</v>
      </c>
      <c r="R69" s="29">
        <f t="shared" si="12"/>
        <v>-21</v>
      </c>
      <c r="S69" s="29">
        <f t="shared" si="13"/>
        <v>273</v>
      </c>
      <c r="T69" s="30">
        <f t="shared" si="14"/>
        <v>3.2828282828282873E-2</v>
      </c>
      <c r="U69" s="30">
        <f t="shared" si="15"/>
        <v>-2.4390243902439046E-3</v>
      </c>
      <c r="V69" s="14" t="s">
        <v>179</v>
      </c>
      <c r="W69" s="14"/>
      <c r="X69" s="14">
        <v>19</v>
      </c>
      <c r="Y69" s="14"/>
      <c r="Z69" s="14">
        <v>2</v>
      </c>
      <c r="AA69" s="29">
        <f t="shared" si="22"/>
        <v>0</v>
      </c>
      <c r="AB69" s="14"/>
      <c r="AC69" s="14"/>
      <c r="AD69" s="14"/>
      <c r="AE69" s="14"/>
      <c r="AF69" s="14"/>
      <c r="AG69" s="14"/>
      <c r="AH69" s="14"/>
      <c r="AI69" s="29">
        <f t="shared" si="18"/>
        <v>21</v>
      </c>
      <c r="AJ69" s="29">
        <f t="shared" si="23"/>
        <v>0</v>
      </c>
      <c r="AK69" s="14" t="s">
        <v>180</v>
      </c>
      <c r="AL69" s="14">
        <v>3</v>
      </c>
    </row>
    <row r="70" spans="1:38" x14ac:dyDescent="0.3">
      <c r="A70" s="42">
        <v>2025</v>
      </c>
      <c r="B70" s="14" t="s">
        <v>53</v>
      </c>
      <c r="C70" s="56">
        <v>45674</v>
      </c>
      <c r="D70" s="17" t="s">
        <v>110</v>
      </c>
      <c r="E70" s="17" t="s">
        <v>47</v>
      </c>
      <c r="F70" s="14" t="s">
        <v>111</v>
      </c>
      <c r="G70" s="14" t="s">
        <v>112</v>
      </c>
      <c r="H70" s="14" t="s">
        <v>82</v>
      </c>
      <c r="I70" s="14" t="s">
        <v>178</v>
      </c>
      <c r="J70" s="14">
        <v>5157976</v>
      </c>
      <c r="K70" s="14"/>
      <c r="L70" s="28">
        <v>54</v>
      </c>
      <c r="M70" s="14">
        <v>184291</v>
      </c>
      <c r="N70" s="72">
        <v>540</v>
      </c>
      <c r="O70" s="59">
        <v>550</v>
      </c>
      <c r="P70" s="29">
        <v>550</v>
      </c>
      <c r="Q70" s="59">
        <v>549</v>
      </c>
      <c r="R70" s="29">
        <f t="shared" si="12"/>
        <v>-1</v>
      </c>
      <c r="S70" s="29">
        <f t="shared" si="13"/>
        <v>9</v>
      </c>
      <c r="T70" s="30">
        <f t="shared" si="14"/>
        <v>1.6666666666666607E-2</v>
      </c>
      <c r="U70" s="30">
        <f t="shared" si="15"/>
        <v>-1.8181818181818299E-3</v>
      </c>
      <c r="V70" s="42"/>
      <c r="W70" s="14"/>
      <c r="X70" s="14">
        <v>1</v>
      </c>
      <c r="Y70" s="14"/>
      <c r="Z70" s="14">
        <v>0</v>
      </c>
      <c r="AA70" s="29">
        <f t="shared" si="22"/>
        <v>0</v>
      </c>
      <c r="AB70" s="14"/>
      <c r="AC70" s="14"/>
      <c r="AD70" s="14"/>
      <c r="AE70" s="14"/>
      <c r="AF70" s="14"/>
      <c r="AG70" s="14"/>
      <c r="AH70" s="14"/>
      <c r="AI70" s="29">
        <f t="shared" si="18"/>
        <v>1</v>
      </c>
      <c r="AJ70" s="29">
        <f t="shared" si="23"/>
        <v>0</v>
      </c>
      <c r="AK70" s="14"/>
      <c r="AL70" s="14">
        <v>3</v>
      </c>
    </row>
    <row r="71" spans="1:38" x14ac:dyDescent="0.3">
      <c r="A71" s="16">
        <v>2025</v>
      </c>
      <c r="B71" s="15" t="s">
        <v>53</v>
      </c>
      <c r="C71" s="60">
        <v>45674</v>
      </c>
      <c r="D71" s="18" t="s">
        <v>110</v>
      </c>
      <c r="E71" s="18" t="s">
        <v>47</v>
      </c>
      <c r="F71" s="15" t="s">
        <v>111</v>
      </c>
      <c r="G71" s="15" t="s">
        <v>112</v>
      </c>
      <c r="H71" s="15" t="s">
        <v>82</v>
      </c>
      <c r="I71" s="15" t="s">
        <v>181</v>
      </c>
      <c r="J71" s="15">
        <v>5157976</v>
      </c>
      <c r="K71" s="15"/>
      <c r="L71" s="61">
        <v>613</v>
      </c>
      <c r="M71" s="15">
        <v>184292</v>
      </c>
      <c r="N71" s="74">
        <v>9180</v>
      </c>
      <c r="O71" s="62">
        <v>9573</v>
      </c>
      <c r="P71" s="21">
        <v>9573</v>
      </c>
      <c r="Q71" s="62">
        <v>9549</v>
      </c>
      <c r="R71" s="21">
        <f t="shared" si="12"/>
        <v>-24</v>
      </c>
      <c r="S71" s="21">
        <f t="shared" si="13"/>
        <v>369</v>
      </c>
      <c r="T71" s="22">
        <f t="shared" si="14"/>
        <v>4.0196078431372628E-2</v>
      </c>
      <c r="U71" s="22">
        <f t="shared" si="15"/>
        <v>-2.5070510811657787E-3</v>
      </c>
      <c r="V71" s="15" t="s">
        <v>182</v>
      </c>
      <c r="W71" s="15">
        <v>23</v>
      </c>
      <c r="X71" s="15">
        <v>38</v>
      </c>
      <c r="Y71" s="15"/>
      <c r="Z71" s="15">
        <v>9</v>
      </c>
      <c r="AA71" s="21">
        <f t="shared" si="22"/>
        <v>0</v>
      </c>
      <c r="AB71" s="15"/>
      <c r="AC71" s="15"/>
      <c r="AD71" s="15"/>
      <c r="AE71" s="15"/>
      <c r="AF71" s="15"/>
      <c r="AG71" s="15"/>
      <c r="AH71" s="15"/>
      <c r="AI71" s="21">
        <f t="shared" si="18"/>
        <v>47</v>
      </c>
      <c r="AJ71" s="21">
        <f t="shared" si="23"/>
        <v>23</v>
      </c>
      <c r="AK71" s="15" t="s">
        <v>183</v>
      </c>
      <c r="AL71" s="15">
        <v>3</v>
      </c>
    </row>
    <row r="72" spans="1:38" x14ac:dyDescent="0.3">
      <c r="A72" s="42">
        <v>2025</v>
      </c>
      <c r="B72" s="14" t="s">
        <v>53</v>
      </c>
      <c r="C72" s="56">
        <v>45674</v>
      </c>
      <c r="D72" s="17" t="s">
        <v>110</v>
      </c>
      <c r="E72" s="17" t="s">
        <v>47</v>
      </c>
      <c r="F72" s="14" t="s">
        <v>111</v>
      </c>
      <c r="G72" s="14" t="s">
        <v>112</v>
      </c>
      <c r="H72" s="14" t="s">
        <v>82</v>
      </c>
      <c r="I72" s="14" t="s">
        <v>113</v>
      </c>
      <c r="J72" s="14">
        <v>5157997</v>
      </c>
      <c r="K72" s="14"/>
      <c r="L72" s="28">
        <v>7765.8099999999995</v>
      </c>
      <c r="M72" s="14">
        <v>184322</v>
      </c>
      <c r="N72" s="72">
        <v>23472</v>
      </c>
      <c r="O72" s="59">
        <v>23483</v>
      </c>
      <c r="P72" s="29">
        <v>23483</v>
      </c>
      <c r="Q72" s="59">
        <v>23472</v>
      </c>
      <c r="R72" s="29">
        <f t="shared" si="12"/>
        <v>-11</v>
      </c>
      <c r="S72" s="29">
        <f t="shared" si="13"/>
        <v>0</v>
      </c>
      <c r="T72" s="30">
        <f t="shared" si="14"/>
        <v>0</v>
      </c>
      <c r="U72" s="30">
        <f t="shared" si="15"/>
        <v>-4.6842396627344574E-4</v>
      </c>
      <c r="V72" s="14" t="s">
        <v>184</v>
      </c>
      <c r="W72" s="14"/>
      <c r="X72" s="14"/>
      <c r="Y72" s="14"/>
      <c r="Z72" s="14">
        <v>0</v>
      </c>
      <c r="AA72" s="29">
        <f t="shared" si="22"/>
        <v>0</v>
      </c>
      <c r="AB72" s="14">
        <v>11</v>
      </c>
      <c r="AC72" s="14"/>
      <c r="AD72" s="14"/>
      <c r="AE72" s="14"/>
      <c r="AF72" s="14"/>
      <c r="AG72" s="14"/>
      <c r="AH72" s="14"/>
      <c r="AI72" s="29">
        <f t="shared" si="18"/>
        <v>11</v>
      </c>
      <c r="AJ72" s="29">
        <f t="shared" si="23"/>
        <v>0</v>
      </c>
      <c r="AK72" s="14"/>
      <c r="AL72" s="14">
        <v>3</v>
      </c>
    </row>
    <row r="73" spans="1:38" x14ac:dyDescent="0.3">
      <c r="A73" s="42">
        <v>2025</v>
      </c>
      <c r="B73" s="14" t="s">
        <v>53</v>
      </c>
      <c r="C73" s="56">
        <v>45674</v>
      </c>
      <c r="D73" s="17" t="s">
        <v>110</v>
      </c>
      <c r="E73" s="17" t="s">
        <v>47</v>
      </c>
      <c r="F73" s="14" t="s">
        <v>111</v>
      </c>
      <c r="G73" s="14" t="s">
        <v>112</v>
      </c>
      <c r="H73" s="14" t="s">
        <v>82</v>
      </c>
      <c r="I73" s="14" t="s">
        <v>185</v>
      </c>
      <c r="J73" s="14">
        <v>5159767</v>
      </c>
      <c r="K73" s="14"/>
      <c r="L73" s="28"/>
      <c r="M73" s="14">
        <v>184489</v>
      </c>
      <c r="N73" s="72">
        <v>14580</v>
      </c>
      <c r="O73" s="59">
        <v>14580</v>
      </c>
      <c r="P73" s="29">
        <v>14580</v>
      </c>
      <c r="Q73" s="59">
        <v>14550</v>
      </c>
      <c r="R73" s="29">
        <f t="shared" si="12"/>
        <v>-30</v>
      </c>
      <c r="S73" s="29">
        <f t="shared" si="13"/>
        <v>-30</v>
      </c>
      <c r="T73" s="30">
        <f t="shared" si="14"/>
        <v>-2.057613168724326E-3</v>
      </c>
      <c r="U73" s="30">
        <f t="shared" si="15"/>
        <v>-2.057613168724326E-3</v>
      </c>
      <c r="V73" s="14" t="s">
        <v>186</v>
      </c>
      <c r="W73" s="14"/>
      <c r="X73" s="14">
        <v>29</v>
      </c>
      <c r="Y73" s="14"/>
      <c r="Z73" s="14">
        <v>1</v>
      </c>
      <c r="AA73" s="29">
        <f t="shared" si="22"/>
        <v>0</v>
      </c>
      <c r="AB73" s="14"/>
      <c r="AC73" s="14"/>
      <c r="AD73" s="14"/>
      <c r="AE73" s="14"/>
      <c r="AF73" s="14"/>
      <c r="AG73" s="14"/>
      <c r="AH73" s="14"/>
      <c r="AI73" s="29">
        <f t="shared" si="18"/>
        <v>30</v>
      </c>
      <c r="AJ73" s="29">
        <f t="shared" si="23"/>
        <v>0</v>
      </c>
      <c r="AK73" s="14" t="s">
        <v>187</v>
      </c>
      <c r="AL73" s="14">
        <v>3</v>
      </c>
    </row>
    <row r="74" spans="1:38" x14ac:dyDescent="0.3">
      <c r="A74" s="14">
        <v>2025</v>
      </c>
      <c r="B74" s="14" t="s">
        <v>53</v>
      </c>
      <c r="C74" s="56">
        <v>45305</v>
      </c>
      <c r="D74" s="14" t="s">
        <v>48</v>
      </c>
      <c r="E74" s="17" t="s">
        <v>47</v>
      </c>
      <c r="F74" s="14" t="s">
        <v>49</v>
      </c>
      <c r="G74" s="14" t="s">
        <v>81</v>
      </c>
      <c r="H74" s="14" t="s">
        <v>82</v>
      </c>
      <c r="I74" s="14" t="s">
        <v>188</v>
      </c>
      <c r="J74" s="14">
        <v>5158610</v>
      </c>
      <c r="K74" s="27" t="s">
        <v>84</v>
      </c>
      <c r="L74" s="27">
        <v>4647.8</v>
      </c>
      <c r="M74" s="14">
        <v>184279</v>
      </c>
      <c r="N74" s="39">
        <v>13608</v>
      </c>
      <c r="O74" s="39">
        <v>13608</v>
      </c>
      <c r="P74" s="40">
        <v>13608</v>
      </c>
      <c r="Q74" s="39">
        <v>13584</v>
      </c>
      <c r="R74" s="29">
        <f>Q74-O74-W74</f>
        <v>-26</v>
      </c>
      <c r="S74" s="29">
        <f>Q74-N74</f>
        <v>-24</v>
      </c>
      <c r="T74" s="30">
        <f t="shared" si="14"/>
        <v>-1.7636684303351524E-3</v>
      </c>
      <c r="U74" s="30">
        <f t="shared" si="15"/>
        <v>-1.7636684303351524E-3</v>
      </c>
      <c r="V74" s="41" t="s">
        <v>189</v>
      </c>
      <c r="W74" s="42">
        <v>2</v>
      </c>
      <c r="X74" s="42">
        <v>9</v>
      </c>
      <c r="Y74" s="42">
        <v>0</v>
      </c>
      <c r="Z74" s="42">
        <v>17</v>
      </c>
      <c r="AA74" s="28">
        <f>O74-P74</f>
        <v>0</v>
      </c>
      <c r="AB74" s="42">
        <v>0</v>
      </c>
      <c r="AC74" s="42">
        <v>0</v>
      </c>
      <c r="AD74" s="42">
        <v>0</v>
      </c>
      <c r="AE74" s="42">
        <v>0</v>
      </c>
      <c r="AF74" s="42">
        <v>0</v>
      </c>
      <c r="AG74" s="42">
        <v>0</v>
      </c>
      <c r="AH74" s="42">
        <v>0</v>
      </c>
      <c r="AI74" s="29">
        <f>SUM(X74:AH74)</f>
        <v>26</v>
      </c>
      <c r="AJ74" s="29">
        <f>R74+AI74</f>
        <v>0</v>
      </c>
      <c r="AK74" s="41" t="s">
        <v>190</v>
      </c>
      <c r="AL74" s="14">
        <v>3</v>
      </c>
    </row>
    <row r="75" spans="1:38" x14ac:dyDescent="0.3">
      <c r="A75" s="14">
        <v>2025</v>
      </c>
      <c r="B75" s="14" t="s">
        <v>53</v>
      </c>
      <c r="C75" s="56">
        <v>45305</v>
      </c>
      <c r="D75" s="14" t="s">
        <v>48</v>
      </c>
      <c r="E75" s="17" t="s">
        <v>47</v>
      </c>
      <c r="F75" s="14" t="s">
        <v>49</v>
      </c>
      <c r="G75" s="14" t="s">
        <v>81</v>
      </c>
      <c r="H75" s="14" t="s">
        <v>82</v>
      </c>
      <c r="I75" s="14" t="s">
        <v>191</v>
      </c>
      <c r="J75" s="14">
        <v>5158610</v>
      </c>
      <c r="K75" s="27" t="s">
        <v>84</v>
      </c>
      <c r="L75" s="27">
        <v>450</v>
      </c>
      <c r="M75" s="14">
        <v>184280</v>
      </c>
      <c r="N75" s="39">
        <v>1080</v>
      </c>
      <c r="O75" s="39">
        <v>1080</v>
      </c>
      <c r="P75" s="40">
        <v>1080</v>
      </c>
      <c r="Q75" s="39">
        <v>1080</v>
      </c>
      <c r="R75" s="29">
        <f t="shared" ref="R75:R83" si="24">Q75-O75-W75</f>
        <v>-4</v>
      </c>
      <c r="S75" s="29">
        <f t="shared" ref="S75:S83" si="25">Q75-N75</f>
        <v>0</v>
      </c>
      <c r="T75" s="30">
        <f t="shared" si="14"/>
        <v>0</v>
      </c>
      <c r="U75" s="30">
        <f t="shared" si="15"/>
        <v>0</v>
      </c>
      <c r="V75" s="41" t="s">
        <v>192</v>
      </c>
      <c r="W75" s="42">
        <v>4</v>
      </c>
      <c r="X75" s="42">
        <v>0</v>
      </c>
      <c r="Y75" s="42">
        <v>0</v>
      </c>
      <c r="Z75" s="42">
        <v>4</v>
      </c>
      <c r="AA75" s="28">
        <f t="shared" ref="AA75:AA83" si="26">O75-P75</f>
        <v>0</v>
      </c>
      <c r="AB75" s="42">
        <v>0</v>
      </c>
      <c r="AC75" s="42">
        <v>0</v>
      </c>
      <c r="AD75" s="42">
        <v>0</v>
      </c>
      <c r="AE75" s="42">
        <v>0</v>
      </c>
      <c r="AF75" s="42">
        <v>0</v>
      </c>
      <c r="AG75" s="42">
        <v>0</v>
      </c>
      <c r="AH75" s="42">
        <v>0</v>
      </c>
      <c r="AI75" s="29">
        <f t="shared" ref="AI75:AI83" si="27">SUM(X75:AH75)</f>
        <v>4</v>
      </c>
      <c r="AJ75" s="29">
        <f t="shared" ref="AJ75:AJ83" si="28">R75+AI75</f>
        <v>0</v>
      </c>
      <c r="AK75" s="41" t="s">
        <v>2</v>
      </c>
      <c r="AL75" s="14">
        <v>3</v>
      </c>
    </row>
    <row r="76" spans="1:38" x14ac:dyDescent="0.3">
      <c r="A76" s="14">
        <v>2025</v>
      </c>
      <c r="B76" s="14" t="s">
        <v>53</v>
      </c>
      <c r="C76" s="56">
        <v>45305</v>
      </c>
      <c r="D76" s="14" t="s">
        <v>48</v>
      </c>
      <c r="E76" s="17" t="s">
        <v>47</v>
      </c>
      <c r="F76" s="14" t="s">
        <v>49</v>
      </c>
      <c r="G76" s="14" t="s">
        <v>81</v>
      </c>
      <c r="H76" s="14" t="s">
        <v>82</v>
      </c>
      <c r="I76" s="14" t="s">
        <v>193</v>
      </c>
      <c r="J76" s="14">
        <v>5159774</v>
      </c>
      <c r="K76" s="27" t="s">
        <v>84</v>
      </c>
      <c r="L76" s="27">
        <v>6697.9</v>
      </c>
      <c r="M76" s="14">
        <v>184267</v>
      </c>
      <c r="N76" s="39">
        <v>19980</v>
      </c>
      <c r="O76" s="39">
        <v>19980</v>
      </c>
      <c r="P76" s="40">
        <v>19976</v>
      </c>
      <c r="Q76" s="39">
        <v>19941</v>
      </c>
      <c r="R76" s="29">
        <f t="shared" si="24"/>
        <v>-65</v>
      </c>
      <c r="S76" s="29">
        <f t="shared" si="25"/>
        <v>-39</v>
      </c>
      <c r="T76" s="30">
        <f t="shared" si="14"/>
        <v>-1.951951951951969E-3</v>
      </c>
      <c r="U76" s="30">
        <f t="shared" si="15"/>
        <v>-1.951951951951969E-3</v>
      </c>
      <c r="V76" s="41" t="s">
        <v>194</v>
      </c>
      <c r="W76" s="42">
        <v>26</v>
      </c>
      <c r="X76" s="42">
        <v>29</v>
      </c>
      <c r="Y76" s="42">
        <v>0</v>
      </c>
      <c r="Z76" s="42">
        <v>32</v>
      </c>
      <c r="AA76" s="28">
        <f t="shared" si="26"/>
        <v>4</v>
      </c>
      <c r="AB76" s="42">
        <v>0</v>
      </c>
      <c r="AC76" s="42">
        <v>0</v>
      </c>
      <c r="AD76" s="42">
        <v>0</v>
      </c>
      <c r="AE76" s="42">
        <v>0</v>
      </c>
      <c r="AF76" s="42">
        <v>0</v>
      </c>
      <c r="AG76" s="42">
        <v>0</v>
      </c>
      <c r="AH76" s="42">
        <v>0</v>
      </c>
      <c r="AI76" s="29">
        <f t="shared" si="27"/>
        <v>65</v>
      </c>
      <c r="AJ76" s="29">
        <f t="shared" si="28"/>
        <v>0</v>
      </c>
      <c r="AK76" s="41" t="s">
        <v>211</v>
      </c>
      <c r="AL76" s="14">
        <v>3</v>
      </c>
    </row>
    <row r="77" spans="1:38" x14ac:dyDescent="0.3">
      <c r="A77" s="14">
        <v>2025</v>
      </c>
      <c r="B77" s="14" t="s">
        <v>53</v>
      </c>
      <c r="C77" s="56">
        <v>45305</v>
      </c>
      <c r="D77" s="14" t="s">
        <v>48</v>
      </c>
      <c r="E77" s="17" t="s">
        <v>47</v>
      </c>
      <c r="F77" s="14" t="s">
        <v>49</v>
      </c>
      <c r="G77" s="14" t="s">
        <v>81</v>
      </c>
      <c r="H77" s="14" t="s">
        <v>82</v>
      </c>
      <c r="I77" s="14" t="s">
        <v>195</v>
      </c>
      <c r="J77" s="14">
        <v>5159775</v>
      </c>
      <c r="K77" s="27" t="s">
        <v>84</v>
      </c>
      <c r="L77" s="27">
        <v>5413.4</v>
      </c>
      <c r="M77" s="14">
        <v>184268</v>
      </c>
      <c r="N77" s="39">
        <v>16200</v>
      </c>
      <c r="O77" s="39">
        <v>16200</v>
      </c>
      <c r="P77" s="40">
        <v>16200</v>
      </c>
      <c r="Q77" s="39">
        <v>16173</v>
      </c>
      <c r="R77" s="29">
        <f t="shared" si="24"/>
        <v>-27</v>
      </c>
      <c r="S77" s="29">
        <f t="shared" si="25"/>
        <v>-27</v>
      </c>
      <c r="T77" s="30">
        <f t="shared" si="14"/>
        <v>-1.6666666666667052E-3</v>
      </c>
      <c r="U77" s="30">
        <f t="shared" si="15"/>
        <v>-1.6666666666667052E-3</v>
      </c>
      <c r="V77" s="41" t="s">
        <v>196</v>
      </c>
      <c r="W77" s="42">
        <v>0</v>
      </c>
      <c r="X77" s="42">
        <v>9</v>
      </c>
      <c r="Y77" s="42">
        <v>0</v>
      </c>
      <c r="Z77" s="42">
        <v>18</v>
      </c>
      <c r="AA77" s="28">
        <f t="shared" si="26"/>
        <v>0</v>
      </c>
      <c r="AB77" s="42">
        <v>0</v>
      </c>
      <c r="AC77" s="42">
        <v>0</v>
      </c>
      <c r="AD77" s="42">
        <v>0</v>
      </c>
      <c r="AE77" s="42">
        <v>0</v>
      </c>
      <c r="AF77" s="42">
        <v>0</v>
      </c>
      <c r="AG77" s="42">
        <v>0</v>
      </c>
      <c r="AH77" s="42">
        <v>0</v>
      </c>
      <c r="AI77" s="29">
        <f t="shared" si="27"/>
        <v>27</v>
      </c>
      <c r="AJ77" s="29">
        <f t="shared" si="28"/>
        <v>0</v>
      </c>
      <c r="AK77" s="41" t="s">
        <v>197</v>
      </c>
      <c r="AL77" s="14">
        <v>3</v>
      </c>
    </row>
    <row r="78" spans="1:38" x14ac:dyDescent="0.3">
      <c r="A78" s="14">
        <v>2025</v>
      </c>
      <c r="B78" s="14" t="s">
        <v>53</v>
      </c>
      <c r="C78" s="56">
        <v>45305</v>
      </c>
      <c r="D78" s="14" t="s">
        <v>48</v>
      </c>
      <c r="E78" s="17" t="s">
        <v>47</v>
      </c>
      <c r="F78" s="14" t="s">
        <v>49</v>
      </c>
      <c r="G78" s="14" t="s">
        <v>81</v>
      </c>
      <c r="H78" s="14" t="s">
        <v>82</v>
      </c>
      <c r="I78" s="14" t="s">
        <v>198</v>
      </c>
      <c r="J78" s="14">
        <v>5159305</v>
      </c>
      <c r="K78" s="27" t="s">
        <v>84</v>
      </c>
      <c r="L78" s="27">
        <v>4928.8</v>
      </c>
      <c r="M78" s="14">
        <v>184294</v>
      </c>
      <c r="N78" s="39">
        <v>13716</v>
      </c>
      <c r="O78" s="39">
        <v>13716</v>
      </c>
      <c r="P78" s="40">
        <v>13716</v>
      </c>
      <c r="Q78" s="39">
        <v>13683</v>
      </c>
      <c r="R78" s="29">
        <f t="shared" si="24"/>
        <v>-33</v>
      </c>
      <c r="S78" s="29">
        <f t="shared" si="25"/>
        <v>-33</v>
      </c>
      <c r="T78" s="30">
        <f t="shared" si="14"/>
        <v>-2.4059492563429652E-3</v>
      </c>
      <c r="U78" s="30">
        <f t="shared" si="15"/>
        <v>-2.4059492563429652E-3</v>
      </c>
      <c r="V78" s="41" t="s">
        <v>199</v>
      </c>
      <c r="W78" s="42">
        <v>0</v>
      </c>
      <c r="X78" s="42">
        <v>3</v>
      </c>
      <c r="Y78" s="42">
        <v>0</v>
      </c>
      <c r="Z78" s="42">
        <v>30</v>
      </c>
      <c r="AA78" s="28">
        <f t="shared" si="26"/>
        <v>0</v>
      </c>
      <c r="AB78" s="42">
        <v>0</v>
      </c>
      <c r="AC78" s="42">
        <v>0</v>
      </c>
      <c r="AD78" s="42">
        <v>0</v>
      </c>
      <c r="AE78" s="42">
        <v>0</v>
      </c>
      <c r="AF78" s="42">
        <v>0</v>
      </c>
      <c r="AG78" s="42">
        <v>0</v>
      </c>
      <c r="AH78" s="42">
        <v>0</v>
      </c>
      <c r="AI78" s="29">
        <f t="shared" si="27"/>
        <v>33</v>
      </c>
      <c r="AJ78" s="29">
        <f>R78+AI78</f>
        <v>0</v>
      </c>
      <c r="AK78" s="41" t="s">
        <v>197</v>
      </c>
      <c r="AL78" s="14">
        <v>3</v>
      </c>
    </row>
    <row r="79" spans="1:38" x14ac:dyDescent="0.3">
      <c r="A79" s="14">
        <v>2025</v>
      </c>
      <c r="B79" s="14" t="s">
        <v>53</v>
      </c>
      <c r="C79" s="56">
        <v>45305</v>
      </c>
      <c r="D79" s="14" t="s">
        <v>48</v>
      </c>
      <c r="E79" s="17" t="s">
        <v>47</v>
      </c>
      <c r="F79" s="14" t="s">
        <v>49</v>
      </c>
      <c r="G79" s="14" t="s">
        <v>81</v>
      </c>
      <c r="H79" s="14" t="s">
        <v>82</v>
      </c>
      <c r="I79" s="14" t="s">
        <v>200</v>
      </c>
      <c r="J79" s="14">
        <v>5159305</v>
      </c>
      <c r="K79" s="27" t="s">
        <v>84</v>
      </c>
      <c r="L79" s="27">
        <v>477</v>
      </c>
      <c r="M79" s="14">
        <v>184295</v>
      </c>
      <c r="N79" s="39">
        <v>1080</v>
      </c>
      <c r="O79" s="39">
        <v>1080</v>
      </c>
      <c r="P79" s="40">
        <v>1080</v>
      </c>
      <c r="Q79" s="39">
        <v>1080</v>
      </c>
      <c r="R79" s="29">
        <f t="shared" si="24"/>
        <v>0</v>
      </c>
      <c r="S79" s="29">
        <f t="shared" si="25"/>
        <v>0</v>
      </c>
      <c r="T79" s="30">
        <f t="shared" si="14"/>
        <v>0</v>
      </c>
      <c r="U79" s="30">
        <f t="shared" si="15"/>
        <v>0</v>
      </c>
      <c r="V79" s="41" t="s">
        <v>201</v>
      </c>
      <c r="W79" s="42">
        <v>0</v>
      </c>
      <c r="X79" s="42">
        <v>0</v>
      </c>
      <c r="Y79" s="42">
        <v>0</v>
      </c>
      <c r="Z79" s="42">
        <v>0</v>
      </c>
      <c r="AA79" s="28">
        <f t="shared" si="26"/>
        <v>0</v>
      </c>
      <c r="AB79" s="42">
        <v>0</v>
      </c>
      <c r="AC79" s="42">
        <v>0</v>
      </c>
      <c r="AD79" s="42">
        <v>0</v>
      </c>
      <c r="AE79" s="42">
        <v>0</v>
      </c>
      <c r="AF79" s="42">
        <v>0</v>
      </c>
      <c r="AG79" s="42">
        <v>0</v>
      </c>
      <c r="AH79" s="42">
        <v>0</v>
      </c>
      <c r="AI79" s="29">
        <f t="shared" si="27"/>
        <v>0</v>
      </c>
      <c r="AJ79" s="29">
        <f t="shared" si="28"/>
        <v>0</v>
      </c>
      <c r="AK79" s="41" t="s">
        <v>2</v>
      </c>
      <c r="AL79" s="14">
        <v>3</v>
      </c>
    </row>
    <row r="80" spans="1:38" x14ac:dyDescent="0.3">
      <c r="A80" s="14">
        <v>2025</v>
      </c>
      <c r="B80" s="14" t="s">
        <v>53</v>
      </c>
      <c r="C80" s="56">
        <v>45305</v>
      </c>
      <c r="D80" s="14" t="s">
        <v>48</v>
      </c>
      <c r="E80" s="17" t="s">
        <v>47</v>
      </c>
      <c r="F80" s="14" t="s">
        <v>49</v>
      </c>
      <c r="G80" s="14" t="s">
        <v>81</v>
      </c>
      <c r="H80" s="14" t="s">
        <v>82</v>
      </c>
      <c r="I80" s="14" t="s">
        <v>202</v>
      </c>
      <c r="J80" s="14">
        <v>5159766</v>
      </c>
      <c r="K80" s="27" t="s">
        <v>84</v>
      </c>
      <c r="L80" s="27">
        <v>15464.1</v>
      </c>
      <c r="M80" s="14">
        <v>184320</v>
      </c>
      <c r="N80" s="39">
        <v>47376</v>
      </c>
      <c r="O80" s="39">
        <v>47376</v>
      </c>
      <c r="P80" s="40">
        <v>47376</v>
      </c>
      <c r="Q80" s="39">
        <v>47264</v>
      </c>
      <c r="R80" s="29">
        <f t="shared" si="24"/>
        <v>-112</v>
      </c>
      <c r="S80" s="29">
        <f t="shared" si="25"/>
        <v>-112</v>
      </c>
      <c r="T80" s="30">
        <f t="shared" si="14"/>
        <v>-2.3640661938534313E-3</v>
      </c>
      <c r="U80" s="30">
        <f t="shared" si="15"/>
        <v>-2.3640661938534313E-3</v>
      </c>
      <c r="V80" s="41" t="s">
        <v>203</v>
      </c>
      <c r="W80" s="42">
        <v>0</v>
      </c>
      <c r="X80" s="42">
        <v>22</v>
      </c>
      <c r="Y80" s="42">
        <v>0</v>
      </c>
      <c r="Z80" s="42">
        <v>90</v>
      </c>
      <c r="AA80" s="28">
        <f t="shared" si="26"/>
        <v>0</v>
      </c>
      <c r="AB80" s="42">
        <v>0</v>
      </c>
      <c r="AC80" s="42">
        <v>0</v>
      </c>
      <c r="AD80" s="42">
        <v>0</v>
      </c>
      <c r="AE80" s="42">
        <v>0</v>
      </c>
      <c r="AF80" s="42">
        <v>0</v>
      </c>
      <c r="AG80" s="42">
        <v>0</v>
      </c>
      <c r="AH80" s="42">
        <v>0</v>
      </c>
      <c r="AI80" s="29">
        <f>SUM(X80:AH80)</f>
        <v>112</v>
      </c>
      <c r="AJ80" s="29">
        <f t="shared" si="28"/>
        <v>0</v>
      </c>
      <c r="AK80" s="41" t="s">
        <v>204</v>
      </c>
      <c r="AL80" s="14">
        <v>3</v>
      </c>
    </row>
    <row r="81" spans="1:38" x14ac:dyDescent="0.3">
      <c r="A81" s="14">
        <v>2025</v>
      </c>
      <c r="B81" s="14" t="s">
        <v>53</v>
      </c>
      <c r="C81" s="56">
        <v>45305</v>
      </c>
      <c r="D81" s="14" t="s">
        <v>48</v>
      </c>
      <c r="E81" s="17" t="s">
        <v>47</v>
      </c>
      <c r="F81" s="14" t="s">
        <v>49</v>
      </c>
      <c r="G81" s="14" t="s">
        <v>81</v>
      </c>
      <c r="H81" s="14" t="s">
        <v>82</v>
      </c>
      <c r="I81" s="14" t="s">
        <v>205</v>
      </c>
      <c r="J81" s="14">
        <v>5159772</v>
      </c>
      <c r="K81" s="27" t="s">
        <v>84</v>
      </c>
      <c r="L81" s="27">
        <v>2464.3000000000002</v>
      </c>
      <c r="M81" s="14">
        <v>184321</v>
      </c>
      <c r="N81" s="39">
        <v>7488</v>
      </c>
      <c r="O81" s="39">
        <v>7488</v>
      </c>
      <c r="P81" s="40">
        <v>7488</v>
      </c>
      <c r="Q81" s="39">
        <v>7480</v>
      </c>
      <c r="R81" s="29">
        <f t="shared" si="24"/>
        <v>-8</v>
      </c>
      <c r="S81" s="29">
        <f t="shared" si="25"/>
        <v>-8</v>
      </c>
      <c r="T81" s="30">
        <f t="shared" si="14"/>
        <v>-1.0683760683760646E-3</v>
      </c>
      <c r="U81" s="30">
        <f t="shared" si="15"/>
        <v>-1.0683760683760646E-3</v>
      </c>
      <c r="V81" s="41" t="s">
        <v>206</v>
      </c>
      <c r="W81" s="42">
        <v>0</v>
      </c>
      <c r="X81" s="42">
        <v>2</v>
      </c>
      <c r="Y81" s="42">
        <v>0</v>
      </c>
      <c r="Z81" s="42">
        <v>6</v>
      </c>
      <c r="AA81" s="28">
        <f t="shared" si="26"/>
        <v>0</v>
      </c>
      <c r="AB81" s="42">
        <v>0</v>
      </c>
      <c r="AC81" s="42">
        <v>0</v>
      </c>
      <c r="AD81" s="42">
        <v>0</v>
      </c>
      <c r="AE81" s="42">
        <v>0</v>
      </c>
      <c r="AF81" s="42">
        <v>0</v>
      </c>
      <c r="AG81" s="42">
        <v>0</v>
      </c>
      <c r="AH81" s="42">
        <v>0</v>
      </c>
      <c r="AI81" s="29">
        <f t="shared" si="27"/>
        <v>8</v>
      </c>
      <c r="AJ81" s="29">
        <f t="shared" si="28"/>
        <v>0</v>
      </c>
      <c r="AK81" s="41" t="s">
        <v>207</v>
      </c>
      <c r="AL81" s="14">
        <v>3</v>
      </c>
    </row>
    <row r="82" spans="1:38" x14ac:dyDescent="0.3">
      <c r="A82" s="14">
        <v>2025</v>
      </c>
      <c r="B82" s="14" t="s">
        <v>53</v>
      </c>
      <c r="C82" s="56">
        <v>45305</v>
      </c>
      <c r="D82" s="14" t="s">
        <v>48</v>
      </c>
      <c r="E82" s="17" t="s">
        <v>47</v>
      </c>
      <c r="F82" s="14" t="s">
        <v>49</v>
      </c>
      <c r="G82" s="14" t="s">
        <v>81</v>
      </c>
      <c r="H82" s="14" t="s">
        <v>82</v>
      </c>
      <c r="I82" s="14" t="s">
        <v>208</v>
      </c>
      <c r="J82" s="14">
        <v>5159768</v>
      </c>
      <c r="K82" s="27" t="s">
        <v>84</v>
      </c>
      <c r="L82" s="27">
        <v>1727</v>
      </c>
      <c r="M82" s="14">
        <v>184319</v>
      </c>
      <c r="N82" s="39">
        <v>5400</v>
      </c>
      <c r="O82" s="39">
        <v>5400</v>
      </c>
      <c r="P82" s="40">
        <v>5400</v>
      </c>
      <c r="Q82" s="39">
        <v>5388</v>
      </c>
      <c r="R82" s="29">
        <f t="shared" si="24"/>
        <v>-12</v>
      </c>
      <c r="S82" s="29">
        <f t="shared" si="25"/>
        <v>-12</v>
      </c>
      <c r="T82" s="30">
        <f t="shared" si="14"/>
        <v>-2.2222222222222365E-3</v>
      </c>
      <c r="U82" s="30">
        <f t="shared" si="15"/>
        <v>-2.2222222222222365E-3</v>
      </c>
      <c r="V82" s="41" t="s">
        <v>209</v>
      </c>
      <c r="W82" s="42">
        <v>0</v>
      </c>
      <c r="X82" s="42">
        <v>0</v>
      </c>
      <c r="Y82" s="42">
        <v>0</v>
      </c>
      <c r="Z82" s="42">
        <v>12</v>
      </c>
      <c r="AA82" s="28">
        <f t="shared" si="26"/>
        <v>0</v>
      </c>
      <c r="AB82" s="42">
        <v>0</v>
      </c>
      <c r="AC82" s="42">
        <v>0</v>
      </c>
      <c r="AD82" s="42">
        <v>0</v>
      </c>
      <c r="AE82" s="42">
        <v>0</v>
      </c>
      <c r="AF82" s="42">
        <v>0</v>
      </c>
      <c r="AG82" s="42">
        <v>0</v>
      </c>
      <c r="AH82" s="42">
        <v>0</v>
      </c>
      <c r="AI82" s="29">
        <f t="shared" si="27"/>
        <v>12</v>
      </c>
      <c r="AJ82" s="29">
        <f t="shared" si="28"/>
        <v>0</v>
      </c>
      <c r="AK82" s="41" t="s">
        <v>2</v>
      </c>
      <c r="AL82" s="14">
        <v>3</v>
      </c>
    </row>
    <row r="83" spans="1:38" x14ac:dyDescent="0.3">
      <c r="A83" s="63">
        <v>2025</v>
      </c>
      <c r="B83" s="63" t="s">
        <v>53</v>
      </c>
      <c r="C83" s="64">
        <v>45305</v>
      </c>
      <c r="D83" s="63" t="s">
        <v>48</v>
      </c>
      <c r="E83" s="65" t="s">
        <v>47</v>
      </c>
      <c r="F83" s="63" t="s">
        <v>49</v>
      </c>
      <c r="G83" s="63" t="s">
        <v>81</v>
      </c>
      <c r="H83" s="63" t="s">
        <v>82</v>
      </c>
      <c r="I83" s="63" t="s">
        <v>208</v>
      </c>
      <c r="J83" s="63">
        <v>5159768</v>
      </c>
      <c r="K83" s="66" t="s">
        <v>84</v>
      </c>
      <c r="L83" s="66">
        <v>4896</v>
      </c>
      <c r="M83" s="63">
        <v>184488</v>
      </c>
      <c r="N83" s="75">
        <v>14580</v>
      </c>
      <c r="O83" s="75">
        <v>14725</v>
      </c>
      <c r="P83" s="76">
        <v>14725</v>
      </c>
      <c r="Q83" s="75">
        <v>14691</v>
      </c>
      <c r="R83" s="67">
        <f t="shared" si="24"/>
        <v>-34</v>
      </c>
      <c r="S83" s="67">
        <f t="shared" si="25"/>
        <v>111</v>
      </c>
      <c r="T83" s="68">
        <f t="shared" si="14"/>
        <v>7.6131687242797508E-3</v>
      </c>
      <c r="U83" s="68">
        <f t="shared" si="15"/>
        <v>-2.3089983022070992E-3</v>
      </c>
      <c r="V83" s="78" t="s">
        <v>210</v>
      </c>
      <c r="W83" s="77">
        <v>0</v>
      </c>
      <c r="X83" s="77">
        <v>0</v>
      </c>
      <c r="Y83" s="77">
        <v>0</v>
      </c>
      <c r="Z83" s="77">
        <v>34</v>
      </c>
      <c r="AA83" s="69">
        <f t="shared" si="26"/>
        <v>0</v>
      </c>
      <c r="AB83" s="77">
        <v>0</v>
      </c>
      <c r="AC83" s="77">
        <v>0</v>
      </c>
      <c r="AD83" s="77">
        <v>0</v>
      </c>
      <c r="AE83" s="77">
        <v>0</v>
      </c>
      <c r="AF83" s="77">
        <v>0</v>
      </c>
      <c r="AG83" s="77">
        <v>0</v>
      </c>
      <c r="AH83" s="77">
        <v>0</v>
      </c>
      <c r="AI83" s="67">
        <f t="shared" si="27"/>
        <v>34</v>
      </c>
      <c r="AJ83" s="67">
        <f t="shared" si="28"/>
        <v>0</v>
      </c>
      <c r="AK83" s="78" t="s">
        <v>2</v>
      </c>
      <c r="AL83" s="63">
        <v>3</v>
      </c>
    </row>
  </sheetData>
  <autoFilter ref="A2:AL83" xr:uid="{22567F00-8FC3-4E29-A9A3-174BE81899D0}"/>
  <mergeCells count="1">
    <mergeCell ref="A1:AL1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E627A-8426-4F68-ADA9-C64DF1497AF1}">
  <sheetPr codeName="Sheet8">
    <tabColor rgb="FF48ED06"/>
  </sheetPr>
  <dimension ref="A1:I12"/>
  <sheetViews>
    <sheetView tabSelected="1" workbookViewId="0">
      <pane ySplit="4" topLeftCell="A5" activePane="bottomLeft" state="frozen"/>
      <selection pane="bottomLeft" sqref="A1:I1"/>
    </sheetView>
  </sheetViews>
  <sheetFormatPr defaultRowHeight="15" x14ac:dyDescent="0.25"/>
  <cols>
    <col min="1" max="1" width="12.7109375" customWidth="1"/>
    <col min="2" max="2" width="13.7109375" customWidth="1"/>
    <col min="3" max="3" width="17.7109375" customWidth="1"/>
    <col min="4" max="4" width="16.7109375" customWidth="1"/>
    <col min="5" max="5" width="17.7109375" customWidth="1"/>
    <col min="6" max="7" width="16.7109375" customWidth="1"/>
    <col min="8" max="8" width="16.85546875" customWidth="1"/>
    <col min="9" max="9" width="15.42578125" customWidth="1"/>
  </cols>
  <sheetData>
    <row r="1" spans="1:9" ht="28.5" x14ac:dyDescent="0.25">
      <c r="A1" s="81" t="s">
        <v>57</v>
      </c>
      <c r="B1" s="81"/>
      <c r="C1" s="81"/>
      <c r="D1" s="81"/>
      <c r="E1" s="81"/>
      <c r="F1" s="81"/>
      <c r="G1" s="81"/>
      <c r="H1" s="81"/>
      <c r="I1" s="81"/>
    </row>
    <row r="4" spans="1:9" ht="54.95" customHeight="1" x14ac:dyDescent="0.25">
      <c r="A4" s="51" t="s">
        <v>45</v>
      </c>
      <c r="B4" s="51" t="s">
        <v>12</v>
      </c>
      <c r="C4" s="51" t="s">
        <v>107</v>
      </c>
      <c r="D4" s="51" t="s">
        <v>23</v>
      </c>
      <c r="E4" s="51" t="s">
        <v>25</v>
      </c>
      <c r="F4" s="51" t="s">
        <v>28</v>
      </c>
      <c r="G4" s="51" t="s">
        <v>109</v>
      </c>
      <c r="H4" s="51" t="s">
        <v>212</v>
      </c>
      <c r="I4" s="51" t="s">
        <v>213</v>
      </c>
    </row>
    <row r="5" spans="1:9" x14ac:dyDescent="0.25">
      <c r="A5" s="49">
        <v>1</v>
      </c>
      <c r="B5" s="43" t="s">
        <v>51</v>
      </c>
      <c r="C5" s="44">
        <v>26300</v>
      </c>
      <c r="D5" s="44">
        <v>27320</v>
      </c>
      <c r="E5" s="44">
        <v>26480</v>
      </c>
      <c r="F5" s="45">
        <v>6.8441064638782301E-3</v>
      </c>
      <c r="G5" s="45">
        <v>-3.0746705710102518E-2</v>
      </c>
      <c r="H5" s="43">
        <v>0</v>
      </c>
      <c r="I5" s="43">
        <v>19</v>
      </c>
    </row>
    <row r="6" spans="1:9" x14ac:dyDescent="0.25">
      <c r="A6" s="49">
        <v>1</v>
      </c>
      <c r="B6" s="43" t="s">
        <v>100</v>
      </c>
      <c r="C6" s="44">
        <v>17870</v>
      </c>
      <c r="D6" s="44">
        <v>17875</v>
      </c>
      <c r="E6" s="44">
        <v>17709</v>
      </c>
      <c r="F6" s="45">
        <v>-9.0095131505316672E-3</v>
      </c>
      <c r="G6" s="45">
        <v>-9.2867132867132662E-3</v>
      </c>
      <c r="H6" s="43">
        <v>4</v>
      </c>
      <c r="I6" s="43">
        <v>8</v>
      </c>
    </row>
    <row r="7" spans="1:9" x14ac:dyDescent="0.25">
      <c r="A7" s="49">
        <v>1</v>
      </c>
      <c r="B7" s="43" t="s">
        <v>48</v>
      </c>
      <c r="C7" s="44">
        <v>64584</v>
      </c>
      <c r="D7" s="44">
        <v>64740</v>
      </c>
      <c r="E7" s="44">
        <v>64614</v>
      </c>
      <c r="F7" s="45">
        <v>4.6451133407665601E-4</v>
      </c>
      <c r="G7" s="45">
        <v>-1.9462465245597693E-3</v>
      </c>
      <c r="H7" s="43">
        <v>1</v>
      </c>
      <c r="I7" s="43">
        <v>5</v>
      </c>
    </row>
    <row r="8" spans="1:9" x14ac:dyDescent="0.25">
      <c r="A8" s="50"/>
      <c r="B8" s="46"/>
      <c r="C8" s="47">
        <v>108754</v>
      </c>
      <c r="D8" s="47">
        <v>109935</v>
      </c>
      <c r="E8" s="47">
        <v>108803</v>
      </c>
      <c r="F8" s="48">
        <v>4.5055814039018927E-4</v>
      </c>
      <c r="G8" s="48">
        <v>-1.0296993678082456E-2</v>
      </c>
      <c r="H8" s="46">
        <v>5</v>
      </c>
      <c r="I8" s="46">
        <v>32</v>
      </c>
    </row>
    <row r="9" spans="1:9" x14ac:dyDescent="0.25">
      <c r="A9" s="49">
        <v>3</v>
      </c>
      <c r="B9" s="43" t="s">
        <v>48</v>
      </c>
      <c r="C9" s="44">
        <v>140508</v>
      </c>
      <c r="D9" s="44">
        <v>140653</v>
      </c>
      <c r="E9" s="44">
        <v>140364</v>
      </c>
      <c r="F9" s="45">
        <v>-1.024852677427579E-3</v>
      </c>
      <c r="G9" s="45">
        <v>-2.0547019971134395E-3</v>
      </c>
      <c r="H9" s="43">
        <v>1</v>
      </c>
      <c r="I9" s="43">
        <v>9</v>
      </c>
    </row>
    <row r="10" spans="1:9" x14ac:dyDescent="0.25">
      <c r="A10" s="49">
        <v>3</v>
      </c>
      <c r="B10" s="43" t="s">
        <v>110</v>
      </c>
      <c r="C10" s="44">
        <v>298548</v>
      </c>
      <c r="D10" s="44">
        <v>303315</v>
      </c>
      <c r="E10" s="44">
        <v>302917</v>
      </c>
      <c r="F10" s="45">
        <v>1.4634162680708052E-2</v>
      </c>
      <c r="G10" s="45">
        <v>-1.3121672188978195E-3</v>
      </c>
      <c r="H10" s="43">
        <v>11</v>
      </c>
      <c r="I10" s="43">
        <v>23</v>
      </c>
    </row>
    <row r="11" spans="1:9" x14ac:dyDescent="0.25">
      <c r="A11" s="50"/>
      <c r="B11" s="46"/>
      <c r="C11" s="47">
        <v>439056</v>
      </c>
      <c r="D11" s="47">
        <v>443968</v>
      </c>
      <c r="E11" s="47">
        <v>443281</v>
      </c>
      <c r="F11" s="48">
        <v>9.6229182609963715E-3</v>
      </c>
      <c r="G11" s="48">
        <v>-1.5474088222574567E-3</v>
      </c>
      <c r="H11" s="46">
        <v>12</v>
      </c>
      <c r="I11" s="46">
        <v>32</v>
      </c>
    </row>
    <row r="12" spans="1:9" x14ac:dyDescent="0.25">
      <c r="A12" s="52" t="s">
        <v>108</v>
      </c>
      <c r="B12" s="53"/>
      <c r="C12" s="54">
        <v>547810</v>
      </c>
      <c r="D12" s="54">
        <v>553903</v>
      </c>
      <c r="E12" s="54">
        <v>552084</v>
      </c>
      <c r="F12" s="55">
        <v>7.8019751373652468E-3</v>
      </c>
      <c r="G12" s="55">
        <v>-3.283968492678313E-3</v>
      </c>
      <c r="H12" s="53">
        <v>17</v>
      </c>
      <c r="I12" s="53">
        <v>64</v>
      </c>
    </row>
  </sheetData>
  <mergeCells count="1">
    <mergeCell ref="A1:I1"/>
  </mergeCells>
  <conditionalFormatting sqref="F5:G11">
    <cfRule type="cellIs" dxfId="0" priority="1" operator="lessThan">
      <formula>-0.0025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{HOME}</vt:lpstr>
      <vt:lpstr>DATA</vt:lpstr>
      <vt:lpstr>FINAL RESUME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2024-06-26T08:39:04Z</dcterms:created>
  <dcterms:modified xsi:type="dcterms:W3CDTF">2025-01-21T07:09:38Z</dcterms:modified>
</cp:coreProperties>
</file>