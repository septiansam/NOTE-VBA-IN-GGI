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Create PO Tanpa OW\"/>
    </mc:Choice>
  </mc:AlternateContent>
  <xr:revisionPtr revIDLastSave="0" documentId="13_ncr:1_{D06E6BBB-9D08-4C2E-8DD7-7F5342CFBA17}" xr6:coauthVersionLast="47" xr6:coauthVersionMax="47" xr10:uidLastSave="{00000000-0000-0000-0000-000000000000}"/>
  <bookViews>
    <workbookView xWindow="-120" yWindow="-120" windowWidth="20730" windowHeight="11160" tabRatio="856" xr2:uid="{00000000-000D-0000-FFFF-FFFF00000000}"/>
  </bookViews>
  <sheets>
    <sheet name="Database Supplier" sheetId="2" r:id="rId1"/>
    <sheet name="Input User" sheetId="6001" r:id="rId2"/>
    <sheet name="Input RPA" sheetId="6355" r:id="rId3"/>
    <sheet name="Bantuan" sheetId="6356" r:id="rId4"/>
  </sheets>
  <functionGroups builtInGroupCount="19"/>
  <definedNames>
    <definedName name="_xlnm._FilterDatabase" localSheetId="2" hidden="1">'Input RPA'!$A$1:$AO$17</definedName>
    <definedName name="_xlnm._FilterDatabase" localSheetId="1" hidden="1">'Input User'!$A$1:$AO$3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O3" i="2" l="1"/>
  <c r="L3" i="2" s="1"/>
  <c r="FZ1" i="2"/>
  <c r="GA2" i="2" s="1"/>
  <c r="GA4" i="2" l="1"/>
  <c r="FZ3" i="2"/>
  <c r="GA3" i="2" s="1"/>
  <c r="GA1" i="2" l="1"/>
</calcChain>
</file>

<file path=xl/sharedStrings.xml><?xml version="1.0" encoding="utf-8"?>
<sst xmlns="http://schemas.openxmlformats.org/spreadsheetml/2006/main" count="304" uniqueCount="52">
  <si>
    <t>Nama File :</t>
  </si>
  <si>
    <t>Nama Sheet :</t>
  </si>
  <si>
    <t>Lokasi File :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</si>
  <si>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</si>
  <si>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</si>
  <si>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</si>
  <si>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</si>
  <si>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</si>
  <si>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</si>
  <si>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</si>
  <si>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</si>
  <si>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</si>
  <si>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</si>
  <si>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</si>
  <si>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</si>
  <si>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Nama Supplier</t>
  </si>
  <si>
    <t>Address Number</t>
  </si>
  <si>
    <t>Ship To</t>
  </si>
  <si>
    <t>Currency</t>
  </si>
  <si>
    <t>Requested</t>
  </si>
  <si>
    <t>Promised Delivery</t>
  </si>
  <si>
    <t>Description 1</t>
  </si>
  <si>
    <t>Description 2</t>
  </si>
  <si>
    <t>Quantity Order</t>
  </si>
  <si>
    <t>Extended Cost</t>
  </si>
  <si>
    <t>Tr. UoM</t>
  </si>
  <si>
    <t>Pu. UoM</t>
  </si>
  <si>
    <t>Ln Ty</t>
  </si>
  <si>
    <t>Account Number</t>
  </si>
  <si>
    <t>Tax Y/N</t>
  </si>
  <si>
    <t>Expl Code</t>
  </si>
  <si>
    <t>IDR</t>
  </si>
  <si>
    <t>EA</t>
  </si>
  <si>
    <t>JE</t>
  </si>
  <si>
    <t>RESUME</t>
  </si>
  <si>
    <t>N</t>
  </si>
  <si>
    <t>Tax Rate/Area</t>
  </si>
  <si>
    <t>OW Number</t>
  </si>
  <si>
    <t>PO Number</t>
  </si>
  <si>
    <t>JESA TRAHMAT</t>
  </si>
  <si>
    <t>PACKING PO 24001020 &amp; 24001033</t>
  </si>
  <si>
    <t>1204.630600</t>
  </si>
  <si>
    <t>NO</t>
  </si>
  <si>
    <t>Input User Create PO</t>
  </si>
  <si>
    <t>\\10.8.0.35\Bersama\IT\RPA Create PO Tanpa OW</t>
  </si>
  <si>
    <t>Nama Sheet</t>
  </si>
  <si>
    <t>Status</t>
  </si>
  <si>
    <t>SheetRun1</t>
  </si>
  <si>
    <t>SheetRun2</t>
  </si>
  <si>
    <t>SheetRun3</t>
  </si>
  <si>
    <t>SheetRun4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</si>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</sst>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</borders>
  <cellStyleXfs count="4">
    <xf numFmtId="0" fontId="0" fillId="0" borderId="0"/>
    <xf numFmtId="43" fontId="3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2" borderId="5" xfId="0" applyFont="1" applyFill="1" applyBorder="1" applyAlignment="1">
      <alignment horizontal="center" vertical="center"/>
    </xf>
    <xf numFmtId="0" fontId="2" fillId="0" borderId="0" xfId="0" applyFont="1"/>
    <xf numFmtId="0" fontId="4" fillId="0" borderId="0" xfId="2"/>
    <xf numFmtId="0" fontId="0" fillId="0" borderId="0" xfId="3" applyFont="1"/>
    <xf numFmtId="14" fontId="2" fillId="2" borderId="3" xfId="0" quotePrefix="1" applyNumberFormat="1" applyFont="1" applyFill="1" applyBorder="1" applyAlignment="1">
      <alignment horizontal="center" vertical="center"/>
    </xf>
    <xf numFmtId="49" fontId="0" fillId="0" borderId="0" xfId="0" applyNumberFormat="1"/>
    <xf numFmtId="49" fontId="2" fillId="0" borderId="0" xfId="0" applyNumberFormat="1" applyFont="1"/>
    <xf numFmtId="14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6" xfId="2" applyBorder="1" applyAlignment="1">
      <alignment horizontal="center" vertical="center"/>
    </xf>
  </cellXfs>
  <cellStyles count="4">
    <cellStyle name="Comma 2" xfId="1" xr:uid="{00000000-0005-0000-0000-000000000000}"/>
    <cellStyle name="Hyperlink" xfId="2" builtinId="8"/>
    <cellStyle name="Normal" xfId="0" builtinId="0"/>
    <cellStyle name="Percent" xfId="3" builtinId="5"/>
  </cellStyles>
  <dxfs count="0"/>
  <tableStyles count="0" defaultTableStyle="TableStyleMedium2" defaultPivotStyle="PivotStyleLight16"/>
  <colors>
    <mruColors>
      <color rgb="FF082B3E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38100</xdr:rowOff>
    </xdr:from>
    <xdr:to>
      <xdr:col>2</xdr:col>
      <xdr:colOff>590550</xdr:colOff>
      <xdr:row>3</xdr:row>
      <xdr:rowOff>171450</xdr:rowOff>
    </xdr:to>
    <xdr:sp macro="[0]!NEW_PROSES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1F4EA8C-E257-40C5-912A-E653BDBD4B4E}"/>
            </a:ext>
          </a:extLst>
        </xdr:cNvPr>
        <xdr:cNvSpPr/>
      </xdr:nvSpPr>
      <xdr:spPr>
        <a:xfrm>
          <a:off x="666750" y="228600"/>
          <a:ext cx="1162050" cy="514350"/>
        </a:xfrm>
        <a:prstGeom prst="roundRect">
          <a:avLst/>
        </a:prstGeom>
        <a:solidFill>
          <a:schemeClr val="accent6">
            <a:lumMod val="7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1</a:t>
          </a:r>
        </a:p>
      </xdr:txBody>
    </xdr:sp>
    <xdr:clientData/>
  </xdr:twoCellAnchor>
  <xdr:twoCellAnchor>
    <xdr:from>
      <xdr:col>4</xdr:col>
      <xdr:colOff>28575</xdr:colOff>
      <xdr:row>1</xdr:row>
      <xdr:rowOff>38100</xdr:rowOff>
    </xdr:from>
    <xdr:to>
      <xdr:col>5</xdr:col>
      <xdr:colOff>581025</xdr:colOff>
      <xdr:row>3</xdr:row>
      <xdr:rowOff>171450</xdr:rowOff>
    </xdr:to>
    <xdr:sp macro="[0]!NEW_PROSES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990BC30-BC89-4895-B27A-D78E7E0F303E}"/>
            </a:ext>
          </a:extLst>
        </xdr:cNvPr>
        <xdr:cNvSpPr/>
      </xdr:nvSpPr>
      <xdr:spPr>
        <a:xfrm>
          <a:off x="2495550" y="228600"/>
          <a:ext cx="1162050" cy="514350"/>
        </a:xfrm>
        <a:prstGeom prst="roundRect">
          <a:avLst/>
        </a:prstGeom>
        <a:solidFill>
          <a:schemeClr val="accent6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D" sz="1600"/>
            <a:t>PROCESS 2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../../../../RPA%20Create%20PO%20Tanpa%20OW" TargetMode="External"/><Relationship Id="rId1" Type="http://schemas.openxmlformats.org/officeDocument/2006/relationships/hyperlink" Target="../RPA%20Create%20PO%20Tanpa%20OW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C43"/>
  <sheetViews>
    <sheetView tabSelected="1" workbookViewId="0"/>
  </sheetViews>
  <sheetFormatPr defaultRowHeight="15" x14ac:dyDescent="0.25"/>
  <cols>
    <col min="1" max="3" width="9.28515625" customWidth="1"/>
    <col min="7" max="8" width="10.7109375" bestFit="1" customWidth="1"/>
    <col min="11" max="11" width="12.7109375" bestFit="1" customWidth="1"/>
    <col min="12" max="12" width="61.5703125" bestFit="1" customWidth="1"/>
    <col min="15" max="15" width="11.42578125" hidden="1" customWidth="1"/>
    <col min="182" max="182" width="10.7109375" hidden="1" customWidth="1"/>
    <col min="183" max="183" width="8.5703125" hidden="1" customWidth="1"/>
    <col min="184" max="184" width="3" hidden="1" customWidth="1"/>
    <col min="185" max="185" width="4.7109375" hidden="1" customWidth="1"/>
  </cols>
  <sheetData>
    <row r="1" spans="1:185" ht="14.45" customHeight="1" x14ac:dyDescent="0.25">
      <c r="K1" s="2" t="s">
        <v>2</v>
      </c>
      <c r="L1" s="15" t="s">
        <v>44</v>
      </c>
      <c r="FZ1">
        <f ca="1">TODAY()</f>
        <v>45355</v>
      </c>
      <c r="GA1" s="6" t="str">
        <f ca="1">$GA$2&amp;$GA$3&amp;RIGHT($GA$4,2)</f>
        <v>4Mar24</v>
      </c>
      <c r="GB1">
        <v>1</v>
      </c>
      <c r="GC1" t="s">
        <v>3</v>
      </c>
    </row>
    <row r="2" spans="1:185" x14ac:dyDescent="0.25">
      <c r="A2" s="1"/>
      <c r="K2" s="4" t="s">
        <v>0</v>
      </c>
      <c r="L2" s="5" t="s">
        <v>43</v>
      </c>
      <c r="GA2">
        <f ca="1">DAY($FZ$1)</f>
        <v>4</v>
      </c>
      <c r="GB2">
        <v>2</v>
      </c>
      <c r="GC2" t="s">
        <v>4</v>
      </c>
    </row>
    <row r="3" spans="1:185" ht="15.75" thickBot="1" x14ac:dyDescent="0.3">
      <c r="A3" s="1"/>
      <c r="K3" s="3" t="s">
        <v>1</v>
      </c>
      <c r="L3" s="9" t="str">
        <f ca="1">O3</f>
        <v>04-Maret'24</v>
      </c>
      <c r="O3" t="str">
        <f ca="1">TEXT(NOW(),"[$-id-ID]DD-MMMM" &amp; "'" &amp; "YY")</f>
        <v>04-Maret'24</v>
      </c>
      <c r="FZ3">
        <f ca="1">MONTH($FZ$1)</f>
        <v>3</v>
      </c>
      <c r="GA3" t="str">
        <f ca="1">VLOOKUP($FZ$3,$GB$1:$GC$12,2,0)</f>
        <v>Mar</v>
      </c>
      <c r="GB3">
        <v>3</v>
      </c>
      <c r="GC3" t="s">
        <v>5</v>
      </c>
    </row>
    <row r="4" spans="1:185" x14ac:dyDescent="0.25">
      <c r="A4" s="1"/>
      <c r="B4" s="1"/>
      <c r="GA4">
        <f ca="1">YEAR($FZ$1)</f>
        <v>2024</v>
      </c>
      <c r="GB4">
        <v>4</v>
      </c>
      <c r="GC4" t="s">
        <v>6</v>
      </c>
    </row>
    <row r="5" spans="1:185" x14ac:dyDescent="0.25">
      <c r="A5" s="1"/>
      <c r="B5" s="1"/>
      <c r="GB5">
        <v>5</v>
      </c>
      <c r="GC5" t="s">
        <v>7</v>
      </c>
    </row>
    <row r="6" spans="1:185" x14ac:dyDescent="0.25">
      <c r="A6" s="1"/>
      <c r="B6" s="1"/>
      <c r="GB6">
        <v>6</v>
      </c>
      <c r="GC6" t="s">
        <v>8</v>
      </c>
    </row>
    <row r="7" spans="1:185" ht="14.45" customHeight="1" x14ac:dyDescent="0.25">
      <c r="A7" s="1"/>
      <c r="B7" s="1"/>
      <c r="GB7">
        <v>7</v>
      </c>
      <c r="GC7" t="s">
        <v>9</v>
      </c>
    </row>
    <row r="8" spans="1:185" x14ac:dyDescent="0.25">
      <c r="A8" s="1"/>
      <c r="B8" s="1"/>
      <c r="GB8">
        <v>8</v>
      </c>
      <c r="GC8" t="s">
        <v>10</v>
      </c>
    </row>
    <row r="9" spans="1:185" x14ac:dyDescent="0.25">
      <c r="A9" s="1"/>
      <c r="B9" s="1"/>
      <c r="L9" t="s">
        <v>34</v>
      </c>
      <c r="GB9">
        <v>9</v>
      </c>
      <c r="GC9" t="s">
        <v>11</v>
      </c>
    </row>
    <row r="10" spans="1:185" x14ac:dyDescent="0.25">
      <c r="A10" s="1"/>
      <c r="B10" s="1"/>
      <c r="L10" s="7" t="s">
        <v>44</v>
      </c>
      <c r="GB10">
        <v>10</v>
      </c>
      <c r="GC10" t="s">
        <v>12</v>
      </c>
    </row>
    <row r="11" spans="1:185" x14ac:dyDescent="0.25">
      <c r="A11" s="1"/>
      <c r="B11" s="1"/>
      <c r="GB11">
        <v>11</v>
      </c>
      <c r="GC11" t="s">
        <v>13</v>
      </c>
    </row>
    <row r="12" spans="1:185" x14ac:dyDescent="0.25">
      <c r="A12" s="1"/>
      <c r="B12" s="1"/>
      <c r="GB12">
        <v>12</v>
      </c>
      <c r="GC12" t="s">
        <v>14</v>
      </c>
    </row>
    <row r="13" spans="1:185" x14ac:dyDescent="0.25">
      <c r="A13" s="1"/>
      <c r="B13" s="1"/>
      <c r="D13" s="8"/>
      <c r="E13" s="8"/>
      <c r="F13" s="8"/>
    </row>
    <row r="14" spans="1:185" x14ac:dyDescent="0.25">
      <c r="A14" s="1"/>
      <c r="B14" s="1"/>
    </row>
    <row r="15" spans="1:185" x14ac:dyDescent="0.25">
      <c r="A15" s="1"/>
      <c r="B15" s="1"/>
      <c r="L15" s="7"/>
    </row>
    <row r="16" spans="1:185" x14ac:dyDescent="0.25">
      <c r="A16" s="1"/>
      <c r="B16" s="1"/>
    </row>
    <row r="28" spans="1:2" x14ac:dyDescent="0.25">
      <c r="A28" s="1"/>
      <c r="B28" s="1"/>
    </row>
    <row r="29" spans="1:2" x14ac:dyDescent="0.25">
      <c r="A29" s="1"/>
      <c r="B29" s="1"/>
    </row>
    <row r="30" spans="1:2" x14ac:dyDescent="0.25">
      <c r="A30" s="1"/>
      <c r="B30" s="1"/>
    </row>
    <row r="31" spans="1:2" x14ac:dyDescent="0.25">
      <c r="A31" s="1"/>
      <c r="B31" s="1"/>
    </row>
    <row r="32" spans="1:2" x14ac:dyDescent="0.25">
      <c r="A32" s="1"/>
      <c r="B32" s="1"/>
    </row>
    <row r="33" spans="1:2" x14ac:dyDescent="0.25">
      <c r="A33" s="1"/>
      <c r="B33" s="1"/>
    </row>
    <row r="34" spans="1:2" x14ac:dyDescent="0.25">
      <c r="A34" s="1"/>
      <c r="B34" s="1"/>
    </row>
    <row r="35" spans="1:2" x14ac:dyDescent="0.25">
      <c r="A35" s="1"/>
      <c r="B35" s="1"/>
    </row>
    <row r="36" spans="1:2" x14ac:dyDescent="0.25">
      <c r="A36" s="1"/>
      <c r="B36" s="1"/>
    </row>
    <row r="37" spans="1:2" x14ac:dyDescent="0.25">
      <c r="A37" s="1"/>
      <c r="B37" s="1"/>
    </row>
    <row r="38" spans="1:2" x14ac:dyDescent="0.25">
      <c r="A38" s="1"/>
      <c r="B38" s="1"/>
    </row>
    <row r="39" spans="1:2" x14ac:dyDescent="0.25">
      <c r="A39" s="1"/>
      <c r="B39" s="1"/>
    </row>
    <row r="40" spans="1:2" x14ac:dyDescent="0.25">
      <c r="A40" s="1"/>
      <c r="B40" s="1"/>
    </row>
    <row r="41" spans="1:2" x14ac:dyDescent="0.25">
      <c r="A41" s="1"/>
      <c r="B41" s="1"/>
    </row>
    <row r="42" spans="1:2" x14ac:dyDescent="0.25">
      <c r="A42" s="1"/>
      <c r="B42" s="1"/>
    </row>
    <row r="43" spans="1:2" x14ac:dyDescent="0.25">
      <c r="A43" s="1"/>
      <c r="B43" s="1"/>
    </row>
  </sheetData>
  <phoneticPr fontId="1" type="noConversion"/>
  <hyperlinks>
    <hyperlink ref="L1" r:id="rId1" xr:uid="{D7E2A0AA-17D4-4A77-9013-9091E389A9ED}"/>
    <hyperlink ref="L10" r:id="rId2" xr:uid="{32A714F7-2CBB-4E94-936A-51D555009D39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343E-C48B-4F90-A02F-133221B049C3}">
  <sheetPr codeName="Sheet1"/>
  <dimension ref="A1:T17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5.140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0.5703125" bestFit="1" customWidth="1"/>
    <col min="8" max="8" width="17.7109375" bestFit="1" customWidth="1"/>
    <col min="9" max="9" width="33.42578125" bestFit="1" customWidth="1"/>
    <col min="10" max="10" width="12.85546875" bestFit="1" customWidth="1"/>
    <col min="11" max="11" width="14.5703125" bestFit="1" customWidth="1"/>
    <col min="12" max="12" width="13.85546875" bestFit="1" customWidth="1"/>
    <col min="13" max="13" width="8.42578125" bestFit="1" customWidth="1"/>
    <col min="14" max="14" width="8.7109375" style="10" bestFit="1" customWidth="1"/>
    <col min="15" max="15" width="5.85546875" bestFit="1" customWidth="1"/>
    <col min="16" max="16" width="16" style="10" bestFit="1" customWidth="1"/>
    <col min="17" max="17" width="8.42578125" bestFit="1" customWidth="1"/>
    <col min="18" max="18" width="9.85546875" bestFit="1" customWidth="1"/>
    <col min="19" max="19" width="14.28515625" bestFit="1" customWidth="1"/>
    <col min="20" max="20" width="11.42578125" bestFit="1" customWidth="1"/>
    <col min="21" max="21" width="4.5703125" bestFit="1" customWidth="1"/>
    <col min="22" max="22" width="12.140625" bestFit="1" customWidth="1"/>
    <col min="23" max="23" width="11.28515625" bestFit="1" customWidth="1"/>
    <col min="24" max="24" width="8.28515625" bestFit="1" customWidth="1"/>
    <col min="25" max="25" width="23" bestFit="1" customWidth="1"/>
    <col min="26" max="26" width="13.7109375" bestFit="1" customWidth="1"/>
    <col min="27" max="27" width="13.5703125" bestFit="1" customWidth="1"/>
  </cols>
  <sheetData>
    <row r="1" spans="1:20" s="6" customFormat="1" x14ac:dyDescent="0.25">
      <c r="A1" s="13" t="s">
        <v>42</v>
      </c>
      <c r="B1" s="13" t="s">
        <v>37</v>
      </c>
      <c r="C1" s="6" t="s">
        <v>15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21</v>
      </c>
      <c r="J1" s="6" t="s">
        <v>22</v>
      </c>
      <c r="K1" s="6" t="s">
        <v>23</v>
      </c>
      <c r="L1" s="6" t="s">
        <v>24</v>
      </c>
      <c r="M1" s="6" t="s">
        <v>25</v>
      </c>
      <c r="N1" s="6" t="s">
        <v>26</v>
      </c>
      <c r="O1" s="6" t="s">
        <v>27</v>
      </c>
      <c r="P1" s="11" t="s">
        <v>28</v>
      </c>
      <c r="Q1" s="6" t="s">
        <v>29</v>
      </c>
      <c r="R1" s="6" t="s">
        <v>30</v>
      </c>
      <c r="S1" s="6" t="s">
        <v>36</v>
      </c>
      <c r="T1" s="6" t="s">
        <v>38</v>
      </c>
    </row>
    <row r="2" spans="1:20" x14ac:dyDescent="0.25">
      <c r="A2" s="14">
        <v>1</v>
      </c>
      <c r="B2" s="14">
        <v>24001329</v>
      </c>
      <c r="C2" t="s">
        <v>39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 t="s">
        <v>40</v>
      </c>
      <c r="K2">
        <v>1</v>
      </c>
      <c r="L2">
        <v>62000</v>
      </c>
      <c r="M2" t="s">
        <v>32</v>
      </c>
      <c r="N2" t="s">
        <v>32</v>
      </c>
      <c r="O2" t="s">
        <v>33</v>
      </c>
      <c r="P2" s="10" t="s">
        <v>41</v>
      </c>
      <c r="Q2" t="s">
        <v>35</v>
      </c>
      <c r="T2">
        <v>111111</v>
      </c>
    </row>
    <row r="3" spans="1:20" x14ac:dyDescent="0.25">
      <c r="A3" s="14"/>
      <c r="B3" s="14"/>
      <c r="G3" s="12"/>
      <c r="H3" s="12"/>
      <c r="I3" t="s">
        <v>40</v>
      </c>
      <c r="K3">
        <v>1</v>
      </c>
      <c r="L3">
        <v>62000</v>
      </c>
      <c r="M3" t="s">
        <v>32</v>
      </c>
      <c r="N3" t="s">
        <v>32</v>
      </c>
      <c r="O3" t="s">
        <v>33</v>
      </c>
      <c r="P3" s="10" t="s">
        <v>41</v>
      </c>
      <c r="Q3" t="s">
        <v>35</v>
      </c>
      <c r="T3" t="s">
        <v>51</v>
      </c>
    </row>
    <row r="4" spans="1:20" x14ac:dyDescent="0.25">
      <c r="A4" s="14"/>
      <c r="B4" s="14"/>
      <c r="G4" s="12"/>
      <c r="H4" s="12"/>
      <c r="I4" t="s">
        <v>40</v>
      </c>
      <c r="K4">
        <v>1</v>
      </c>
      <c r="L4">
        <v>62000</v>
      </c>
      <c r="M4" t="s">
        <v>32</v>
      </c>
      <c r="N4" t="s">
        <v>32</v>
      </c>
      <c r="O4" t="s">
        <v>33</v>
      </c>
      <c r="P4" s="10" t="s">
        <v>41</v>
      </c>
      <c r="Q4" t="s">
        <v>35</v>
      </c>
      <c r="T4" t="s">
        <v>51</v>
      </c>
    </row>
    <row r="5" spans="1:20" x14ac:dyDescent="0.25">
      <c r="A5" s="14"/>
      <c r="B5" s="14"/>
      <c r="G5" s="12"/>
      <c r="H5" s="12"/>
      <c r="I5" t="s">
        <v>40</v>
      </c>
      <c r="K5">
        <v>1</v>
      </c>
      <c r="L5">
        <v>62000</v>
      </c>
      <c r="M5" t="s">
        <v>32</v>
      </c>
      <c r="N5" t="s">
        <v>32</v>
      </c>
      <c r="O5" t="s">
        <v>33</v>
      </c>
      <c r="P5" s="10" t="s">
        <v>41</v>
      </c>
      <c r="Q5" t="s">
        <v>35</v>
      </c>
      <c r="T5" t="s">
        <v>51</v>
      </c>
    </row>
    <row r="6" spans="1:20" x14ac:dyDescent="0.25">
      <c r="A6" s="14">
        <v>2</v>
      </c>
      <c r="B6" s="14">
        <v>24001328</v>
      </c>
      <c r="C6" t="s">
        <v>39</v>
      </c>
      <c r="D6">
        <v>57082431</v>
      </c>
      <c r="E6">
        <v>1204</v>
      </c>
      <c r="F6" t="s">
        <v>31</v>
      </c>
      <c r="G6" s="12">
        <v>45352</v>
      </c>
      <c r="H6" s="12">
        <v>45352</v>
      </c>
      <c r="I6" t="s">
        <v>40</v>
      </c>
      <c r="K6">
        <v>1</v>
      </c>
      <c r="L6">
        <v>62000</v>
      </c>
      <c r="M6" t="s">
        <v>32</v>
      </c>
      <c r="N6" t="s">
        <v>32</v>
      </c>
      <c r="O6" t="s">
        <v>33</v>
      </c>
      <c r="P6" s="10" t="s">
        <v>41</v>
      </c>
      <c r="Q6" t="s">
        <v>35</v>
      </c>
      <c r="T6">
        <v>222222</v>
      </c>
    </row>
    <row r="7" spans="1:20" x14ac:dyDescent="0.25">
      <c r="A7" s="14"/>
      <c r="B7" s="14"/>
      <c r="G7" s="12"/>
      <c r="H7" s="12"/>
      <c r="I7" t="s">
        <v>40</v>
      </c>
      <c r="K7">
        <v>1</v>
      </c>
      <c r="L7">
        <v>62000</v>
      </c>
      <c r="M7" t="s">
        <v>32</v>
      </c>
      <c r="N7" t="s">
        <v>32</v>
      </c>
      <c r="O7" t="s">
        <v>33</v>
      </c>
      <c r="P7" s="10" t="s">
        <v>41</v>
      </c>
      <c r="Q7" t="s">
        <v>35</v>
      </c>
      <c r="T7" t="s">
        <v>51</v>
      </c>
    </row>
    <row r="8" spans="1:20" x14ac:dyDescent="0.25">
      <c r="A8" s="14"/>
      <c r="B8" s="14"/>
      <c r="G8" s="12"/>
      <c r="H8" s="12"/>
      <c r="I8" t="s">
        <v>40</v>
      </c>
      <c r="K8">
        <v>1</v>
      </c>
      <c r="L8">
        <v>62000</v>
      </c>
      <c r="M8" t="s">
        <v>32</v>
      </c>
      <c r="N8" t="s">
        <v>32</v>
      </c>
      <c r="O8" t="s">
        <v>33</v>
      </c>
      <c r="P8" s="10" t="s">
        <v>41</v>
      </c>
      <c r="Q8" t="s">
        <v>35</v>
      </c>
      <c r="T8" t="s">
        <v>51</v>
      </c>
    </row>
    <row r="9" spans="1:20" x14ac:dyDescent="0.25">
      <c r="A9" s="14"/>
      <c r="B9" s="14"/>
      <c r="G9" s="12"/>
      <c r="H9" s="12"/>
      <c r="I9" t="s">
        <v>40</v>
      </c>
      <c r="K9">
        <v>1</v>
      </c>
      <c r="L9">
        <v>62000</v>
      </c>
      <c r="M9" t="s">
        <v>32</v>
      </c>
      <c r="N9" t="s">
        <v>32</v>
      </c>
      <c r="O9" t="s">
        <v>33</v>
      </c>
      <c r="P9" s="10" t="s">
        <v>41</v>
      </c>
      <c r="Q9" t="s">
        <v>35</v>
      </c>
      <c r="T9" t="s">
        <v>51</v>
      </c>
    </row>
    <row r="10" spans="1:20" x14ac:dyDescent="0.25">
      <c r="A10" s="14">
        <v>3</v>
      </c>
      <c r="B10" s="14">
        <v>24001327</v>
      </c>
      <c r="C10" t="s">
        <v>39</v>
      </c>
      <c r="D10">
        <v>57082431</v>
      </c>
      <c r="E10">
        <v>1204</v>
      </c>
      <c r="F10" t="s">
        <v>31</v>
      </c>
      <c r="G10" s="12">
        <v>45352</v>
      </c>
      <c r="H10" s="12">
        <v>45352</v>
      </c>
      <c r="I10" t="s">
        <v>40</v>
      </c>
      <c r="K10">
        <v>1</v>
      </c>
      <c r="L10">
        <v>62000</v>
      </c>
      <c r="M10" t="s">
        <v>32</v>
      </c>
      <c r="N10" t="s">
        <v>32</v>
      </c>
      <c r="O10" t="s">
        <v>33</v>
      </c>
      <c r="P10" s="10" t="s">
        <v>41</v>
      </c>
      <c r="Q10" t="s">
        <v>35</v>
      </c>
      <c r="T10">
        <v>333333</v>
      </c>
    </row>
    <row r="11" spans="1:20" x14ac:dyDescent="0.25">
      <c r="A11" s="14"/>
      <c r="B11" s="14"/>
      <c r="G11" s="12"/>
      <c r="H11" s="12"/>
      <c r="I11" t="s">
        <v>40</v>
      </c>
      <c r="K11">
        <v>1</v>
      </c>
      <c r="L11">
        <v>62000</v>
      </c>
      <c r="M11" t="s">
        <v>32</v>
      </c>
      <c r="N11" t="s">
        <v>32</v>
      </c>
      <c r="O11" t="s">
        <v>33</v>
      </c>
      <c r="P11" s="10" t="s">
        <v>41</v>
      </c>
      <c r="Q11" t="s">
        <v>35</v>
      </c>
      <c r="T11" t="s">
        <v>51</v>
      </c>
    </row>
    <row r="12" spans="1:20" x14ac:dyDescent="0.25">
      <c r="A12" s="14"/>
      <c r="B12" s="14"/>
      <c r="G12" s="12"/>
      <c r="H12" s="12"/>
      <c r="I12" t="s">
        <v>40</v>
      </c>
      <c r="K12">
        <v>1</v>
      </c>
      <c r="L12">
        <v>62000</v>
      </c>
      <c r="M12" t="s">
        <v>32</v>
      </c>
      <c r="N12" t="s">
        <v>32</v>
      </c>
      <c r="O12" t="s">
        <v>33</v>
      </c>
      <c r="P12" s="10" t="s">
        <v>41</v>
      </c>
      <c r="Q12" t="s">
        <v>35</v>
      </c>
      <c r="T12" t="s">
        <v>51</v>
      </c>
    </row>
    <row r="13" spans="1:20" x14ac:dyDescent="0.25">
      <c r="A13" s="14"/>
      <c r="B13" s="14"/>
      <c r="G13" s="12"/>
      <c r="H13" s="12"/>
      <c r="I13" t="s">
        <v>40</v>
      </c>
      <c r="K13">
        <v>1</v>
      </c>
      <c r="L13">
        <v>62000</v>
      </c>
      <c r="M13" t="s">
        <v>32</v>
      </c>
      <c r="N13" t="s">
        <v>32</v>
      </c>
      <c r="O13" t="s">
        <v>33</v>
      </c>
      <c r="P13" s="10" t="s">
        <v>41</v>
      </c>
      <c r="Q13" t="s">
        <v>35</v>
      </c>
      <c r="T13" t="s">
        <v>51</v>
      </c>
    </row>
    <row r="14" spans="1:20" x14ac:dyDescent="0.25">
      <c r="A14" s="14">
        <v>4</v>
      </c>
      <c r="B14" s="14">
        <v>24001326</v>
      </c>
      <c r="C14" t="s">
        <v>39</v>
      </c>
      <c r="D14">
        <v>57082431</v>
      </c>
      <c r="E14">
        <v>1204</v>
      </c>
      <c r="F14" t="s">
        <v>31</v>
      </c>
      <c r="G14" s="12">
        <v>45352</v>
      </c>
      <c r="H14" s="12">
        <v>45352</v>
      </c>
      <c r="I14" t="s">
        <v>40</v>
      </c>
      <c r="K14">
        <v>1</v>
      </c>
      <c r="L14">
        <v>62000</v>
      </c>
      <c r="M14" t="s">
        <v>32</v>
      </c>
      <c r="N14" t="s">
        <v>32</v>
      </c>
      <c r="O14" t="s">
        <v>33</v>
      </c>
      <c r="P14" s="10" t="s">
        <v>41</v>
      </c>
      <c r="Q14" t="s">
        <v>35</v>
      </c>
      <c r="T14">
        <v>444444</v>
      </c>
    </row>
    <row r="15" spans="1:20" x14ac:dyDescent="0.25">
      <c r="A15" s="14"/>
      <c r="B15" s="14"/>
      <c r="G15" s="12"/>
      <c r="H15" s="12"/>
      <c r="I15" t="s">
        <v>40</v>
      </c>
      <c r="K15">
        <v>1</v>
      </c>
      <c r="L15">
        <v>62000</v>
      </c>
      <c r="M15" t="s">
        <v>32</v>
      </c>
      <c r="N15" t="s">
        <v>32</v>
      </c>
      <c r="O15" t="s">
        <v>33</v>
      </c>
      <c r="P15" s="10" t="s">
        <v>41</v>
      </c>
      <c r="Q15" t="s">
        <v>35</v>
      </c>
      <c r="T15" t="s">
        <v>51</v>
      </c>
    </row>
    <row r="16" spans="1:20" x14ac:dyDescent="0.25">
      <c r="A16" s="14"/>
      <c r="B16" s="14"/>
      <c r="G16" s="12"/>
      <c r="H16" s="12"/>
      <c r="I16" t="s">
        <v>40</v>
      </c>
      <c r="K16">
        <v>1</v>
      </c>
      <c r="L16">
        <v>62000</v>
      </c>
      <c r="M16" t="s">
        <v>32</v>
      </c>
      <c r="N16" t="s">
        <v>32</v>
      </c>
      <c r="O16" t="s">
        <v>33</v>
      </c>
      <c r="P16" s="10" t="s">
        <v>41</v>
      </c>
      <c r="Q16" t="s">
        <v>35</v>
      </c>
      <c r="T16" t="s">
        <v>51</v>
      </c>
    </row>
    <row r="17" spans="1:20" x14ac:dyDescent="0.25">
      <c r="A17" s="14"/>
      <c r="B17" s="14"/>
      <c r="G17" s="12"/>
      <c r="H17" s="12"/>
      <c r="I17" t="s">
        <v>40</v>
      </c>
      <c r="K17">
        <v>1</v>
      </c>
      <c r="L17">
        <v>62000</v>
      </c>
      <c r="M17" t="s">
        <v>32</v>
      </c>
      <c r="N17" t="s">
        <v>32</v>
      </c>
      <c r="O17" t="s">
        <v>33</v>
      </c>
      <c r="P17" s="10" t="s">
        <v>41</v>
      </c>
      <c r="Q17" t="s">
        <v>35</v>
      </c>
      <c r="T17" t="s">
        <v>51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B549C-C0A1-4590-BB5F-5A1CBED12581}">
  <sheetPr codeName="Sheet67"/>
  <dimension ref="A1:S17"/>
  <sheetViews>
    <sheetView zoomScale="80" zoomScaleNormal="80" workbookViewId="0"/>
  </sheetViews>
  <sheetFormatPr defaultRowHeight="15" x14ac:dyDescent="0.25"/>
  <cols>
    <col min="1" max="1" width="4.140625" bestFit="1" customWidth="1"/>
    <col min="2" max="2" width="12.28515625" bestFit="1" customWidth="1"/>
    <col min="3" max="3" width="16" bestFit="1" customWidth="1"/>
    <col min="4" max="4" width="7.7109375" bestFit="1" customWidth="1"/>
    <col min="5" max="5" width="8.85546875" bestFit="1" customWidth="1"/>
    <col min="6" max="6" width="10.5703125" bestFit="1" customWidth="1"/>
    <col min="7" max="7" width="17.7109375" bestFit="1" customWidth="1"/>
    <col min="8" max="8" width="33.42578125" bestFit="1" customWidth="1"/>
    <col min="9" max="9" width="12.85546875" bestFit="1" customWidth="1"/>
    <col min="10" max="10" width="14.5703125" bestFit="1" customWidth="1"/>
    <col min="11" max="11" width="13.85546875" bestFit="1" customWidth="1"/>
    <col min="12" max="12" width="8.42578125" bestFit="1" customWidth="1"/>
    <col min="13" max="13" width="8.7109375" bestFit="1" customWidth="1"/>
    <col min="14" max="14" width="5.85546875" bestFit="1" customWidth="1"/>
    <col min="15" max="15" width="16" bestFit="1" customWidth="1"/>
    <col min="16" max="16" width="8.42578125" bestFit="1" customWidth="1"/>
    <col min="17" max="17" width="9.85546875" bestFit="1" customWidth="1"/>
    <col min="18" max="18" width="14.28515625" bestFit="1" customWidth="1"/>
    <col min="19" max="19" width="11.42578125" bestFit="1" customWidth="1"/>
  </cols>
  <sheetData>
    <row r="1" spans="1:19" s="6" customFormat="1" x14ac:dyDescent="0.25">
      <c r="A1" s="13" t="s">
        <v>42</v>
      </c>
      <c r="B1" s="13" t="s">
        <v>37</v>
      </c>
      <c r="C1" s="6" t="s">
        <v>16</v>
      </c>
      <c r="D1" s="6" t="s">
        <v>17</v>
      </c>
      <c r="E1" s="6" t="s">
        <v>18</v>
      </c>
      <c r="F1" s="6" t="s">
        <v>19</v>
      </c>
      <c r="G1" s="6" t="s">
        <v>20</v>
      </c>
      <c r="H1" s="6" t="s">
        <v>21</v>
      </c>
      <c r="I1" s="6" t="s">
        <v>22</v>
      </c>
      <c r="J1" s="6" t="s">
        <v>23</v>
      </c>
      <c r="K1" s="6" t="s">
        <v>24</v>
      </c>
      <c r="L1" s="6" t="s">
        <v>25</v>
      </c>
      <c r="M1" s="6" t="s">
        <v>26</v>
      </c>
      <c r="N1" s="6" t="s">
        <v>27</v>
      </c>
      <c r="O1" s="11" t="s">
        <v>28</v>
      </c>
      <c r="P1" s="6" t="s">
        <v>29</v>
      </c>
      <c r="Q1" s="6" t="s">
        <v>30</v>
      </c>
      <c r="R1" s="6" t="s">
        <v>36</v>
      </c>
      <c r="S1" s="6" t="s">
        <v>38</v>
      </c>
    </row>
    <row r="2" spans="1:19" x14ac:dyDescent="0.25">
      <c r="A2" s="14">
        <v>1</v>
      </c>
      <c r="B2" s="14">
        <v>24001329</v>
      </c>
      <c r="C2">
        <v>57082431</v>
      </c>
      <c r="D2">
        <v>1204</v>
      </c>
      <c r="E2" t="s">
        <v>31</v>
      </c>
      <c r="F2" s="12">
        <v>45352</v>
      </c>
      <c r="G2" s="12">
        <v>45352</v>
      </c>
      <c r="H2" t="s">
        <v>40</v>
      </c>
      <c r="J2">
        <v>1</v>
      </c>
      <c r="K2">
        <v>62000</v>
      </c>
      <c r="L2" t="s">
        <v>32</v>
      </c>
      <c r="M2" t="s">
        <v>32</v>
      </c>
      <c r="N2" t="s">
        <v>33</v>
      </c>
      <c r="O2" s="10" t="s">
        <v>41</v>
      </c>
      <c r="P2" t="s">
        <v>35</v>
      </c>
      <c r="S2">
        <v>111111</v>
      </c>
    </row>
    <row r="3" spans="1:19" x14ac:dyDescent="0.25">
      <c r="A3" s="14"/>
      <c r="B3" s="14"/>
      <c r="F3" s="12"/>
      <c r="G3" s="12"/>
      <c r="H3" t="s">
        <v>40</v>
      </c>
      <c r="J3">
        <v>1</v>
      </c>
      <c r="K3">
        <v>62000</v>
      </c>
      <c r="L3" t="s">
        <v>32</v>
      </c>
      <c r="M3" t="s">
        <v>32</v>
      </c>
      <c r="N3" t="s">
        <v>33</v>
      </c>
      <c r="O3" s="10" t="s">
        <v>41</v>
      </c>
      <c r="P3" t="s">
        <v>35</v>
      </c>
      <c r="S3" t="s">
        <v>51</v>
      </c>
    </row>
    <row r="4" spans="1:19" x14ac:dyDescent="0.25">
      <c r="A4" s="14"/>
      <c r="B4" s="14"/>
      <c r="F4" s="12"/>
      <c r="G4" s="12"/>
      <c r="H4" t="s">
        <v>40</v>
      </c>
      <c r="J4">
        <v>1</v>
      </c>
      <c r="K4">
        <v>62000</v>
      </c>
      <c r="L4" t="s">
        <v>32</v>
      </c>
      <c r="M4" t="s">
        <v>32</v>
      </c>
      <c r="N4" t="s">
        <v>33</v>
      </c>
      <c r="O4" s="10" t="s">
        <v>41</v>
      </c>
      <c r="P4" t="s">
        <v>35</v>
      </c>
      <c r="S4" t="s">
        <v>51</v>
      </c>
    </row>
    <row r="5" spans="1:19" x14ac:dyDescent="0.25">
      <c r="A5" s="14"/>
      <c r="B5" s="14"/>
      <c r="F5" s="12"/>
      <c r="G5" s="12"/>
      <c r="H5" t="s">
        <v>40</v>
      </c>
      <c r="J5">
        <v>1</v>
      </c>
      <c r="K5">
        <v>62000</v>
      </c>
      <c r="L5" t="s">
        <v>32</v>
      </c>
      <c r="M5" t="s">
        <v>32</v>
      </c>
      <c r="N5" t="s">
        <v>33</v>
      </c>
      <c r="O5" s="10" t="s">
        <v>41</v>
      </c>
      <c r="P5" t="s">
        <v>35</v>
      </c>
      <c r="S5" t="s">
        <v>51</v>
      </c>
    </row>
    <row r="6" spans="1:19" x14ac:dyDescent="0.25">
      <c r="A6" s="14">
        <v>2</v>
      </c>
      <c r="B6" s="14">
        <v>24001328</v>
      </c>
      <c r="C6">
        <v>57082431</v>
      </c>
      <c r="D6">
        <v>1204</v>
      </c>
      <c r="E6" t="s">
        <v>31</v>
      </c>
      <c r="F6" s="12">
        <v>45352</v>
      </c>
      <c r="G6" s="12">
        <v>45352</v>
      </c>
      <c r="H6" t="s">
        <v>40</v>
      </c>
      <c r="J6">
        <v>1</v>
      </c>
      <c r="K6">
        <v>62000</v>
      </c>
      <c r="L6" t="s">
        <v>32</v>
      </c>
      <c r="M6" t="s">
        <v>32</v>
      </c>
      <c r="N6" t="s">
        <v>33</v>
      </c>
      <c r="O6" s="10" t="s">
        <v>41</v>
      </c>
      <c r="P6" t="s">
        <v>35</v>
      </c>
      <c r="S6">
        <v>222222</v>
      </c>
    </row>
    <row r="7" spans="1:19" x14ac:dyDescent="0.25">
      <c r="A7" s="14"/>
      <c r="B7" s="14"/>
      <c r="F7" s="12"/>
      <c r="G7" s="12"/>
      <c r="H7" t="s">
        <v>40</v>
      </c>
      <c r="J7">
        <v>1</v>
      </c>
      <c r="K7">
        <v>62000</v>
      </c>
      <c r="L7" t="s">
        <v>32</v>
      </c>
      <c r="M7" t="s">
        <v>32</v>
      </c>
      <c r="N7" t="s">
        <v>33</v>
      </c>
      <c r="O7" s="10" t="s">
        <v>41</v>
      </c>
      <c r="P7" t="s">
        <v>35</v>
      </c>
      <c r="S7" t="s">
        <v>51</v>
      </c>
    </row>
    <row r="8" spans="1:19" x14ac:dyDescent="0.25">
      <c r="A8" s="14"/>
      <c r="B8" s="14"/>
      <c r="F8" s="12"/>
      <c r="G8" s="12"/>
      <c r="H8" t="s">
        <v>40</v>
      </c>
      <c r="J8">
        <v>1</v>
      </c>
      <c r="K8">
        <v>62000</v>
      </c>
      <c r="L8" t="s">
        <v>32</v>
      </c>
      <c r="M8" t="s">
        <v>32</v>
      </c>
      <c r="N8" t="s">
        <v>33</v>
      </c>
      <c r="O8" s="10" t="s">
        <v>41</v>
      </c>
      <c r="P8" t="s">
        <v>35</v>
      </c>
      <c r="S8" t="s">
        <v>51</v>
      </c>
    </row>
    <row r="9" spans="1:19" x14ac:dyDescent="0.25">
      <c r="A9" s="14"/>
      <c r="B9" s="14"/>
      <c r="F9" s="12"/>
      <c r="G9" s="12"/>
      <c r="H9" t="s">
        <v>40</v>
      </c>
      <c r="J9">
        <v>1</v>
      </c>
      <c r="K9">
        <v>62000</v>
      </c>
      <c r="L9" t="s">
        <v>32</v>
      </c>
      <c r="M9" t="s">
        <v>32</v>
      </c>
      <c r="N9" t="s">
        <v>33</v>
      </c>
      <c r="O9" s="10" t="s">
        <v>41</v>
      </c>
      <c r="P9" t="s">
        <v>35</v>
      </c>
      <c r="S9" t="s">
        <v>51</v>
      </c>
    </row>
    <row r="10" spans="1:19" x14ac:dyDescent="0.25">
      <c r="A10" s="14">
        <v>3</v>
      </c>
      <c r="B10" s="14">
        <v>24001327</v>
      </c>
      <c r="C10">
        <v>57082431</v>
      </c>
      <c r="D10">
        <v>1204</v>
      </c>
      <c r="E10" t="s">
        <v>31</v>
      </c>
      <c r="F10" s="12">
        <v>45352</v>
      </c>
      <c r="G10" s="12">
        <v>45352</v>
      </c>
      <c r="H10" t="s">
        <v>40</v>
      </c>
      <c r="J10">
        <v>1</v>
      </c>
      <c r="K10">
        <v>62000</v>
      </c>
      <c r="L10" t="s">
        <v>32</v>
      </c>
      <c r="M10" t="s">
        <v>32</v>
      </c>
      <c r="N10" t="s">
        <v>33</v>
      </c>
      <c r="O10" s="10" t="s">
        <v>41</v>
      </c>
      <c r="P10" t="s">
        <v>35</v>
      </c>
      <c r="S10">
        <v>333333</v>
      </c>
    </row>
    <row r="11" spans="1:19" x14ac:dyDescent="0.25">
      <c r="A11" s="14"/>
      <c r="B11" s="14"/>
      <c r="F11" s="12"/>
      <c r="G11" s="12"/>
      <c r="H11" t="s">
        <v>40</v>
      </c>
      <c r="J11">
        <v>1</v>
      </c>
      <c r="K11">
        <v>62000</v>
      </c>
      <c r="L11" t="s">
        <v>32</v>
      </c>
      <c r="M11" t="s">
        <v>32</v>
      </c>
      <c r="N11" t="s">
        <v>33</v>
      </c>
      <c r="O11" s="10" t="s">
        <v>41</v>
      </c>
      <c r="P11" t="s">
        <v>35</v>
      </c>
      <c r="S11" t="s">
        <v>51</v>
      </c>
    </row>
    <row r="12" spans="1:19" x14ac:dyDescent="0.25">
      <c r="A12" s="14"/>
      <c r="B12" s="14"/>
      <c r="F12" s="12"/>
      <c r="G12" s="12"/>
      <c r="H12" t="s">
        <v>40</v>
      </c>
      <c r="J12">
        <v>1</v>
      </c>
      <c r="K12">
        <v>62000</v>
      </c>
      <c r="L12" t="s">
        <v>32</v>
      </c>
      <c r="M12" t="s">
        <v>32</v>
      </c>
      <c r="N12" t="s">
        <v>33</v>
      </c>
      <c r="O12" s="10" t="s">
        <v>41</v>
      </c>
      <c r="P12" t="s">
        <v>35</v>
      </c>
      <c r="S12" t="s">
        <v>51</v>
      </c>
    </row>
    <row r="13" spans="1:19" x14ac:dyDescent="0.25">
      <c r="A13" s="14"/>
      <c r="B13" s="14"/>
      <c r="F13" s="12"/>
      <c r="G13" s="12"/>
      <c r="H13" t="s">
        <v>40</v>
      </c>
      <c r="J13">
        <v>1</v>
      </c>
      <c r="K13">
        <v>62000</v>
      </c>
      <c r="L13" t="s">
        <v>32</v>
      </c>
      <c r="M13" t="s">
        <v>32</v>
      </c>
      <c r="N13" t="s">
        <v>33</v>
      </c>
      <c r="O13" s="10" t="s">
        <v>41</v>
      </c>
      <c r="P13" t="s">
        <v>35</v>
      </c>
      <c r="S13" t="s">
        <v>51</v>
      </c>
    </row>
    <row r="14" spans="1:19" x14ac:dyDescent="0.25">
      <c r="A14" s="14">
        <v>4</v>
      </c>
      <c r="B14" s="14">
        <v>24001326</v>
      </c>
      <c r="C14">
        <v>57082431</v>
      </c>
      <c r="D14">
        <v>1204</v>
      </c>
      <c r="E14" t="s">
        <v>31</v>
      </c>
      <c r="F14" s="12">
        <v>45352</v>
      </c>
      <c r="G14" s="12">
        <v>45352</v>
      </c>
      <c r="H14" t="s">
        <v>40</v>
      </c>
      <c r="J14">
        <v>1</v>
      </c>
      <c r="K14">
        <v>62000</v>
      </c>
      <c r="L14" t="s">
        <v>32</v>
      </c>
      <c r="M14" t="s">
        <v>32</v>
      </c>
      <c r="N14" t="s">
        <v>33</v>
      </c>
      <c r="O14" s="10" t="s">
        <v>41</v>
      </c>
      <c r="P14" t="s">
        <v>35</v>
      </c>
      <c r="S14">
        <v>444444</v>
      </c>
    </row>
    <row r="15" spans="1:19" x14ac:dyDescent="0.25">
      <c r="A15" s="14"/>
      <c r="B15" s="14"/>
      <c r="F15" s="12"/>
      <c r="G15" s="12"/>
      <c r="H15" t="s">
        <v>40</v>
      </c>
      <c r="J15">
        <v>1</v>
      </c>
      <c r="K15">
        <v>62000</v>
      </c>
      <c r="L15" t="s">
        <v>32</v>
      </c>
      <c r="M15" t="s">
        <v>32</v>
      </c>
      <c r="N15" t="s">
        <v>33</v>
      </c>
      <c r="O15" s="10" t="s">
        <v>41</v>
      </c>
      <c r="P15" t="s">
        <v>35</v>
      </c>
      <c r="S15" t="s">
        <v>51</v>
      </c>
    </row>
    <row r="16" spans="1:19" x14ac:dyDescent="0.25">
      <c r="A16" s="14"/>
      <c r="B16" s="14"/>
      <c r="F16" s="12"/>
      <c r="G16" s="12"/>
      <c r="H16" t="s">
        <v>40</v>
      </c>
      <c r="J16">
        <v>1</v>
      </c>
      <c r="K16">
        <v>62000</v>
      </c>
      <c r="L16" t="s">
        <v>32</v>
      </c>
      <c r="M16" t="s">
        <v>32</v>
      </c>
      <c r="N16" t="s">
        <v>33</v>
      </c>
      <c r="O16" s="10" t="s">
        <v>41</v>
      </c>
      <c r="P16" t="s">
        <v>35</v>
      </c>
      <c r="S16" t="s">
        <v>51</v>
      </c>
    </row>
    <row r="17" spans="1:19" x14ac:dyDescent="0.25">
      <c r="A17" s="14"/>
      <c r="B17" s="14"/>
      <c r="F17" s="12"/>
      <c r="G17" s="12"/>
      <c r="H17" t="s">
        <v>40</v>
      </c>
      <c r="J17">
        <v>1</v>
      </c>
      <c r="K17">
        <v>62000</v>
      </c>
      <c r="L17" t="s">
        <v>32</v>
      </c>
      <c r="M17" t="s">
        <v>32</v>
      </c>
      <c r="N17" t="s">
        <v>33</v>
      </c>
      <c r="O17" s="10" t="s">
        <v>41</v>
      </c>
      <c r="P17" t="s">
        <v>35</v>
      </c>
      <c r="S17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0B0F0-17E9-477E-9654-3929134AF82A}">
  <sheetPr codeName="Sheet68"/>
  <dimension ref="A1:J5"/>
  <sheetViews>
    <sheetView zoomScale="80" zoomScaleNormal="80" workbookViewId="0">
      <selection activeCell="I2" sqref="I2"/>
    </sheetView>
  </sheetViews>
  <sheetFormatPr defaultRowHeight="15" x14ac:dyDescent="0.25"/>
  <cols>
    <col min="1" max="1" width="4.140625" bestFit="1" customWidth="1"/>
    <col min="2" max="2" width="12.140625" bestFit="1" customWidth="1"/>
    <col min="3" max="3" width="12.28515625" bestFit="1" customWidth="1"/>
    <col min="4" max="4" width="16" bestFit="1" customWidth="1"/>
    <col min="5" max="5" width="7.7109375" bestFit="1" customWidth="1"/>
    <col min="6" max="6" width="8.85546875" bestFit="1" customWidth="1"/>
    <col min="7" max="7" width="10.5703125" bestFit="1" customWidth="1"/>
    <col min="8" max="8" width="17.7109375" bestFit="1" customWidth="1"/>
    <col min="9" max="9" width="11.42578125" bestFit="1" customWidth="1"/>
    <col min="10" max="10" width="6.7109375" bestFit="1" customWidth="1"/>
  </cols>
  <sheetData>
    <row r="1" spans="1:10" s="6" customFormat="1" x14ac:dyDescent="0.25">
      <c r="A1" s="6" t="s">
        <v>42</v>
      </c>
      <c r="B1" s="6" t="s">
        <v>45</v>
      </c>
      <c r="C1" s="6" t="s">
        <v>37</v>
      </c>
      <c r="D1" s="6" t="s">
        <v>16</v>
      </c>
      <c r="E1" s="6" t="s">
        <v>17</v>
      </c>
      <c r="F1" s="6" t="s">
        <v>18</v>
      </c>
      <c r="G1" s="6" t="s">
        <v>19</v>
      </c>
      <c r="H1" s="6" t="s">
        <v>20</v>
      </c>
      <c r="I1" s="6" t="s">
        <v>38</v>
      </c>
      <c r="J1" s="6" t="s">
        <v>46</v>
      </c>
    </row>
    <row r="2" spans="1:10" x14ac:dyDescent="0.25">
      <c r="A2">
        <v>1</v>
      </c>
      <c r="B2" t="s">
        <v>47</v>
      </c>
      <c r="C2">
        <v>24001329</v>
      </c>
      <c r="D2">
        <v>57082431</v>
      </c>
      <c r="E2">
        <v>1204</v>
      </c>
      <c r="F2" t="s">
        <v>31</v>
      </c>
      <c r="G2" s="12">
        <v>45352</v>
      </c>
      <c r="H2" s="12">
        <v>45352</v>
      </c>
      <c r="I2">
        <v>111111</v>
      </c>
    </row>
    <row r="3" spans="1:10" x14ac:dyDescent="0.25">
      <c r="A3">
        <v>2</v>
      </c>
      <c r="B3" t="s">
        <v>48</v>
      </c>
      <c r="C3">
        <v>24001328</v>
      </c>
      <c r="D3">
        <v>57082431</v>
      </c>
      <c r="E3">
        <v>1204</v>
      </c>
      <c r="F3" t="s">
        <v>31</v>
      </c>
      <c r="G3" s="12">
        <v>45352</v>
      </c>
      <c r="H3" s="12">
        <v>45352</v>
      </c>
      <c r="I3">
        <v>222222</v>
      </c>
    </row>
    <row r="4" spans="1:10" x14ac:dyDescent="0.25">
      <c r="A4">
        <v>3</v>
      </c>
      <c r="B4" t="s">
        <v>49</v>
      </c>
      <c r="C4">
        <v>24001327</v>
      </c>
      <c r="D4">
        <v>57082431</v>
      </c>
      <c r="E4">
        <v>1204</v>
      </c>
      <c r="F4" t="s">
        <v>31</v>
      </c>
      <c r="G4" s="12">
        <v>45352</v>
      </c>
      <c r="H4" s="12">
        <v>45352</v>
      </c>
      <c r="I4">
        <v>333333</v>
      </c>
    </row>
    <row r="5" spans="1:10" x14ac:dyDescent="0.25">
      <c r="A5">
        <v>4</v>
      </c>
      <c r="B5" t="s">
        <v>50</v>
      </c>
      <c r="C5">
        <v>24001326</v>
      </c>
      <c r="D5">
        <v>57082431</v>
      </c>
      <c r="E5">
        <v>1204</v>
      </c>
      <c r="F5" t="s">
        <v>31</v>
      </c>
      <c r="G5" s="12">
        <v>45352</v>
      </c>
      <c r="H5" s="12">
        <v>45352</v>
      </c>
      <c r="I5">
        <v>444444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Database Supplier</vt:lpstr>
      <vt:lpstr>Input User</vt:lpstr>
      <vt:lpstr>Input RPA</vt:lpstr>
      <vt:lpstr>Bantuan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DESKTOP-PC</dc:creator>
  <cp:lastModifiedBy>user</cp:lastModifiedBy>
  <dcterms:created xsi:type="dcterms:W3CDTF">2021-09-13T02:18:06Z</dcterms:created>
  <dcterms:modified xsi:type="dcterms:W3CDTF">2024-03-04T04:40:03Z</dcterms:modified>
</cp:coreProperties>
</file>