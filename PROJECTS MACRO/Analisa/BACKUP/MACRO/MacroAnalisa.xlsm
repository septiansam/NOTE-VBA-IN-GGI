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Analisa\"/>
    </mc:Choice>
  </mc:AlternateContent>
  <xr:revisionPtr revIDLastSave="0" documentId="13_ncr:1_{9F52F7EF-6269-4158-B72A-2DB1299F0F85}" xr6:coauthVersionLast="47" xr6:coauthVersionMax="47" xr10:uidLastSave="{00000000-0000-0000-0000-000000000000}"/>
  <bookViews>
    <workbookView xWindow="-120" yWindow="-120" windowWidth="20730" windowHeight="11160" xr2:uid="{1CE7BF71-1B58-4B2B-B194-CE3D12E605E0}"/>
  </bookViews>
  <sheets>
    <sheet name="BANTUAN" sheetId="1" r:id="rId1"/>
    <sheet name="Resume Per Bulan Per Buyer" sheetId="257" r:id="rId2"/>
    <sheet name="Resume Buyer Per Factory" sheetId="258" r:id="rId3"/>
  </sheets>
  <definedNames>
    <definedName name="_xlnm._FilterDatabase" localSheetId="2" hidden="1">'Resume Buyer Per Factory'!$L$1:$L$300</definedName>
    <definedName name="_xlnm._FilterDatabase" localSheetId="1" hidden="1">'Resume Per Bulan Per Buyer'!$K$1:$K$300</definedName>
  </definedName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35" i="258" l="1"/>
  <c r="R114" i="257"/>
  <c r="T186" i="258"/>
  <c r="T185" i="258"/>
  <c r="T184" i="258"/>
  <c r="T183" i="258"/>
  <c r="T182" i="258"/>
  <c r="T181" i="258"/>
  <c r="T180" i="258"/>
  <c r="T179" i="258"/>
  <c r="T178" i="258"/>
  <c r="T177" i="258"/>
  <c r="T176" i="258"/>
  <c r="T175" i="258"/>
  <c r="T174" i="258"/>
  <c r="T173" i="258"/>
  <c r="T172" i="258"/>
  <c r="T171" i="258"/>
  <c r="Q86" i="257"/>
  <c r="R86" i="257" s="1"/>
  <c r="P86" i="257"/>
  <c r="O86" i="257"/>
  <c r="N86" i="257"/>
  <c r="M86" i="257"/>
  <c r="R85" i="257"/>
  <c r="R84" i="257"/>
  <c r="R83" i="257"/>
  <c r="R82" i="257"/>
  <c r="R81" i="257"/>
  <c r="R80" i="257"/>
  <c r="R79" i="257"/>
  <c r="R78" i="257"/>
  <c r="T169" i="258"/>
  <c r="T168" i="258"/>
  <c r="T167" i="258"/>
  <c r="T166" i="258"/>
  <c r="T165" i="258"/>
  <c r="T164" i="258"/>
  <c r="T163" i="258"/>
  <c r="T162" i="258"/>
  <c r="T161" i="258"/>
  <c r="T160" i="258"/>
  <c r="T159" i="258"/>
  <c r="T158" i="258"/>
  <c r="T157" i="258"/>
  <c r="T156" i="258"/>
  <c r="Q77" i="257"/>
  <c r="P77" i="257"/>
  <c r="O77" i="257"/>
  <c r="N77" i="257"/>
  <c r="R77" i="257" s="1"/>
  <c r="M77" i="257"/>
  <c r="R76" i="257"/>
  <c r="R75" i="257"/>
  <c r="R74" i="257"/>
  <c r="R73" i="257"/>
  <c r="R72" i="257"/>
  <c r="R71" i="257"/>
  <c r="R70" i="257"/>
  <c r="R69" i="257"/>
  <c r="T154" i="258"/>
  <c r="T153" i="258"/>
  <c r="T152" i="258"/>
  <c r="T151" i="258"/>
  <c r="T150" i="258"/>
  <c r="T149" i="258"/>
  <c r="T148" i="258"/>
  <c r="T147" i="258"/>
  <c r="T146" i="258"/>
  <c r="T145" i="258"/>
  <c r="T144" i="258"/>
  <c r="T143" i="258"/>
  <c r="T142" i="258"/>
  <c r="T141" i="258"/>
  <c r="T140" i="258"/>
  <c r="T139" i="258"/>
  <c r="T138" i="258"/>
  <c r="T137" i="258"/>
  <c r="Q68" i="257"/>
  <c r="R68" i="257" s="1"/>
  <c r="P68" i="257"/>
  <c r="O68" i="257"/>
  <c r="N68" i="257"/>
  <c r="M68" i="257"/>
  <c r="R67" i="257"/>
  <c r="R66" i="257"/>
  <c r="R65" i="257"/>
  <c r="R64" i="257"/>
  <c r="R63" i="257"/>
  <c r="R62" i="257"/>
  <c r="R61" i="257"/>
  <c r="R60" i="257"/>
  <c r="T135" i="258"/>
  <c r="T134" i="258"/>
  <c r="T133" i="258"/>
  <c r="T132" i="258"/>
  <c r="T131" i="258"/>
  <c r="T130" i="258"/>
  <c r="T129" i="258"/>
  <c r="T128" i="258"/>
  <c r="T127" i="258"/>
  <c r="T126" i="258"/>
  <c r="T125" i="258"/>
  <c r="T124" i="258"/>
  <c r="T123" i="258"/>
  <c r="T122" i="258"/>
  <c r="T121" i="258"/>
  <c r="T120" i="258"/>
  <c r="T119" i="258"/>
  <c r="T118" i="258"/>
  <c r="T117" i="258"/>
  <c r="Q59" i="257"/>
  <c r="R59" i="257" s="1"/>
  <c r="P59" i="257"/>
  <c r="O59" i="257"/>
  <c r="N59" i="257"/>
  <c r="M59" i="257"/>
  <c r="R58" i="257"/>
  <c r="R57" i="257"/>
  <c r="R56" i="257"/>
  <c r="R55" i="257"/>
  <c r="R54" i="257"/>
  <c r="R53" i="257"/>
  <c r="R52" i="257"/>
  <c r="R51" i="257"/>
  <c r="T115" i="258"/>
  <c r="T114" i="258"/>
  <c r="T113" i="258"/>
  <c r="T112" i="258"/>
  <c r="T111" i="258"/>
  <c r="T110" i="258"/>
  <c r="T109" i="258"/>
  <c r="T108" i="258"/>
  <c r="T107" i="258"/>
  <c r="T106" i="258"/>
  <c r="T105" i="258"/>
  <c r="T104" i="258"/>
  <c r="T103" i="258"/>
  <c r="T102" i="258"/>
  <c r="T101" i="258"/>
  <c r="T100" i="258"/>
  <c r="T99" i="258"/>
  <c r="T98" i="258"/>
  <c r="Q50" i="257"/>
  <c r="R50" i="257" s="1"/>
  <c r="P50" i="257"/>
  <c r="O50" i="257"/>
  <c r="N50" i="257"/>
  <c r="M50" i="257"/>
  <c r="R49" i="257"/>
  <c r="R48" i="257"/>
  <c r="R47" i="257"/>
  <c r="R46" i="257"/>
  <c r="R45" i="257"/>
  <c r="R44" i="257"/>
  <c r="R43" i="257"/>
  <c r="R42" i="257"/>
  <c r="T96" i="258"/>
  <c r="T95" i="258"/>
  <c r="T94" i="258"/>
  <c r="T93" i="258"/>
  <c r="T92" i="258"/>
  <c r="T91" i="258"/>
  <c r="T90" i="258"/>
  <c r="T89" i="258"/>
  <c r="T88" i="258"/>
  <c r="T87" i="258"/>
  <c r="T86" i="258"/>
  <c r="T85" i="258"/>
  <c r="T84" i="258"/>
  <c r="T83" i="258"/>
  <c r="T82" i="258"/>
  <c r="T81" i="258"/>
  <c r="Q41" i="257"/>
  <c r="R41" i="257" s="1"/>
  <c r="P41" i="257"/>
  <c r="O41" i="257"/>
  <c r="N41" i="257"/>
  <c r="M41" i="257"/>
  <c r="R40" i="257"/>
  <c r="R39" i="257"/>
  <c r="R38" i="257"/>
  <c r="R37" i="257"/>
  <c r="R36" i="257"/>
  <c r="R35" i="257"/>
  <c r="R34" i="257"/>
  <c r="R33" i="257"/>
  <c r="T79" i="258"/>
  <c r="T78" i="258"/>
  <c r="T77" i="258"/>
  <c r="T76" i="258"/>
  <c r="T75" i="258"/>
  <c r="T74" i="258"/>
  <c r="T73" i="258"/>
  <c r="T72" i="258"/>
  <c r="T71" i="258"/>
  <c r="T70" i="258"/>
  <c r="T69" i="258"/>
  <c r="T68" i="258"/>
  <c r="T67" i="258"/>
  <c r="T66" i="258"/>
  <c r="T65" i="258"/>
  <c r="T64" i="258"/>
  <c r="T63" i="258"/>
  <c r="T62" i="258"/>
  <c r="T61" i="258"/>
  <c r="T60" i="258"/>
  <c r="T59" i="258"/>
  <c r="T58" i="258"/>
  <c r="Q32" i="257"/>
  <c r="R32" i="257" s="1"/>
  <c r="P32" i="257"/>
  <c r="O32" i="257"/>
  <c r="N32" i="257"/>
  <c r="M32" i="257"/>
  <c r="R31" i="257"/>
  <c r="R30" i="257"/>
  <c r="R29" i="257"/>
  <c r="R28" i="257"/>
  <c r="R27" i="257"/>
  <c r="R26" i="257"/>
  <c r="R25" i="257"/>
  <c r="R24" i="257"/>
  <c r="T56" i="258"/>
  <c r="T55" i="258"/>
  <c r="T54" i="258"/>
  <c r="T53" i="258"/>
  <c r="T52" i="258"/>
  <c r="T51" i="258"/>
  <c r="T50" i="258"/>
  <c r="T49" i="258"/>
  <c r="T48" i="258"/>
  <c r="T47" i="258"/>
  <c r="T46" i="258"/>
  <c r="T45" i="258"/>
  <c r="T44" i="258"/>
  <c r="T43" i="258"/>
  <c r="T42" i="258"/>
  <c r="T41" i="258"/>
  <c r="T40" i="258"/>
  <c r="T39" i="258"/>
  <c r="T38" i="258"/>
  <c r="T37" i="258"/>
  <c r="T36" i="258"/>
  <c r="T35" i="258"/>
  <c r="T34" i="258"/>
  <c r="T33" i="258"/>
  <c r="T32" i="258"/>
  <c r="T31" i="258"/>
  <c r="Q23" i="257"/>
  <c r="R23" i="257" s="1"/>
  <c r="P23" i="257"/>
  <c r="O23" i="257"/>
  <c r="N23" i="257"/>
  <c r="M23" i="257"/>
  <c r="R22" i="257"/>
  <c r="R21" i="257"/>
  <c r="R20" i="257"/>
  <c r="R19" i="257"/>
  <c r="R18" i="257"/>
  <c r="R17" i="257"/>
  <c r="R16" i="257"/>
  <c r="R15" i="257"/>
  <c r="T29" i="258"/>
  <c r="T28" i="258"/>
  <c r="T27" i="258"/>
  <c r="T26" i="258"/>
  <c r="T25" i="258"/>
  <c r="T24" i="258"/>
  <c r="T23" i="258"/>
  <c r="T22" i="258"/>
  <c r="T21" i="258"/>
  <c r="T20" i="258"/>
  <c r="T19" i="258"/>
  <c r="T18" i="258"/>
  <c r="T17" i="258"/>
  <c r="T16" i="258"/>
  <c r="T15" i="258"/>
  <c r="T14" i="258"/>
  <c r="T13" i="258"/>
  <c r="T12" i="258"/>
  <c r="T11" i="258"/>
  <c r="T10" i="258"/>
  <c r="T9" i="258"/>
  <c r="T8" i="258"/>
  <c r="T7" i="258"/>
  <c r="T6" i="258"/>
  <c r="T5" i="258"/>
  <c r="T4" i="258"/>
  <c r="Q14" i="257"/>
  <c r="R14" i="257" s="1"/>
  <c r="P14" i="257"/>
  <c r="O14" i="257"/>
  <c r="N14" i="257"/>
  <c r="M14" i="257"/>
  <c r="R13" i="257"/>
  <c r="R12" i="257"/>
  <c r="R11" i="257"/>
  <c r="R10" i="257"/>
  <c r="R9" i="257"/>
  <c r="R8" i="257"/>
  <c r="R7" i="257"/>
  <c r="R6" i="257"/>
</calcChain>
</file>

<file path=xl/sharedStrings.xml><?xml version="1.0" encoding="utf-8"?>
<sst xmlns="http://schemas.openxmlformats.org/spreadsheetml/2006/main" count="990" uniqueCount="98">
  <si>
    <t>KAPASITAS</t>
  </si>
  <si>
    <t>\\10.8.0.35\Bersama\IT\SEPTIAN\Analisa\Report Kapasitas From Sales 2 Feb 2023.xls</t>
  </si>
  <si>
    <t>RESUME FACTORY</t>
  </si>
  <si>
    <t>\\10.8.0.35\Bersama\IT\SEPTIAN\Analisa\Resume Income Factory Th 2023.xlsx</t>
  </si>
  <si>
    <t>CBA</t>
  </si>
  <si>
    <t>CHW</t>
  </si>
  <si>
    <t>CJL</t>
  </si>
  <si>
    <t>CNJ2</t>
  </si>
  <si>
    <t>CVA</t>
  </si>
  <si>
    <t>KLB</t>
  </si>
  <si>
    <t>MJ1</t>
  </si>
  <si>
    <t>MJ2</t>
  </si>
  <si>
    <t>Grand Total</t>
  </si>
  <si>
    <t xml:space="preserve"> </t>
  </si>
  <si>
    <t>Bln.Prd</t>
  </si>
  <si>
    <t>Factory</t>
  </si>
  <si>
    <t xml:space="preserve"> Qty</t>
  </si>
  <si>
    <t>Sum of Am.FOB</t>
  </si>
  <si>
    <t>Sum of Am.CM</t>
  </si>
  <si>
    <t>Sum of Cost Line</t>
  </si>
  <si>
    <t>Sum of Profit/Loss</t>
  </si>
  <si>
    <t>Sum of %</t>
  </si>
  <si>
    <t>01.January</t>
  </si>
  <si>
    <t>CHAWAN</t>
  </si>
  <si>
    <t>CLN</t>
  </si>
  <si>
    <t>KALIBENDA</t>
  </si>
  <si>
    <t>MAJA 1</t>
  </si>
  <si>
    <t>MAJA 2</t>
  </si>
  <si>
    <t>KRAPYAK</t>
  </si>
  <si>
    <t>01.January Total</t>
  </si>
  <si>
    <t>02.February</t>
  </si>
  <si>
    <t>02.February Total</t>
  </si>
  <si>
    <t>03.March</t>
  </si>
  <si>
    <t>03.March Total</t>
  </si>
  <si>
    <t>04.April</t>
  </si>
  <si>
    <t>04.April Total</t>
  </si>
  <si>
    <t>05.May</t>
  </si>
  <si>
    <t>05.May Total</t>
  </si>
  <si>
    <t>06.June</t>
  </si>
  <si>
    <t>06.June Total</t>
  </si>
  <si>
    <t>07.July</t>
  </si>
  <si>
    <t>07.July Total</t>
  </si>
  <si>
    <t>08.Agustus</t>
  </si>
  <si>
    <t>08.Agustus Total</t>
  </si>
  <si>
    <t>09.September</t>
  </si>
  <si>
    <t>09.September Total</t>
  </si>
  <si>
    <t>10.Oktober</t>
  </si>
  <si>
    <t>10.Oktober Total</t>
  </si>
  <si>
    <t>11.November</t>
  </si>
  <si>
    <t>11.November Total</t>
  </si>
  <si>
    <t>12.Desember</t>
  </si>
  <si>
    <t>12.Desember Total</t>
  </si>
  <si>
    <t>FOB</t>
  </si>
  <si>
    <t>\\10.8.0.35\Bersama\IT\SEPTIAN\Analisa\FOB Value\FOB.xlsx</t>
  </si>
  <si>
    <t>TARIKAN GCC</t>
  </si>
  <si>
    <t>\\10.8.0.35\Bersama\IT\SEPTIAN\Analisa\Tarikan dari GCC</t>
  </si>
  <si>
    <t>Buyer</t>
  </si>
  <si>
    <t>KANMO RETAIL GROUP</t>
  </si>
  <si>
    <t>MARUBENI CORPORATION JEPANG</t>
  </si>
  <si>
    <t>-</t>
  </si>
  <si>
    <t>SHINATOMO CO .,LTD</t>
  </si>
  <si>
    <t>MARUBENI FASHION LINK LTD.</t>
  </si>
  <si>
    <t>MATSUOKA TRADING CO., LTD.</t>
  </si>
  <si>
    <t>EIGERINDO MULTI PRODUK INDUSTRI, PT.</t>
  </si>
  <si>
    <t>H&amp;M</t>
  </si>
  <si>
    <t>MARUSA</t>
  </si>
  <si>
    <t>PENTEX LTD</t>
  </si>
  <si>
    <t>ADIDAS COSTCO AUSTRALIA</t>
  </si>
  <si>
    <t>TOYOTA MARUI GAS</t>
  </si>
  <si>
    <t>ADIDAS TAIWAN LIMITED</t>
  </si>
  <si>
    <t>PT. MEGA PUTRA GARMENT</t>
  </si>
  <si>
    <t>TEIJIN FRONTIER CO., LTD SEC. 831</t>
  </si>
  <si>
    <t>ASMARA KARYA ABADI, PT.</t>
  </si>
  <si>
    <t>GTHS</t>
  </si>
  <si>
    <t>TOYOTA TSUSHO CORPORATION</t>
  </si>
  <si>
    <t>ADIDAS</t>
  </si>
  <si>
    <t>BERGANS</t>
  </si>
  <si>
    <t>KANMO RETAIL GROUP 1&amp;2</t>
  </si>
  <si>
    <t>NITTSU SHOJI</t>
  </si>
  <si>
    <t>BYFORD - PJ SET</t>
  </si>
  <si>
    <t>BYFORD - BERMUDA</t>
  </si>
  <si>
    <t>BYFORD - BOXER</t>
  </si>
  <si>
    <t>KANMO RETAIL GROUP 3&amp;4</t>
  </si>
  <si>
    <t>MEC</t>
  </si>
  <si>
    <t xml:space="preserve">MEC </t>
  </si>
  <si>
    <t>EIGER</t>
  </si>
  <si>
    <t>REDWING</t>
  </si>
  <si>
    <t>SJB</t>
  </si>
  <si>
    <t>CHUTEX</t>
  </si>
  <si>
    <t>BONJOYFUL LONG SLEEVE</t>
  </si>
  <si>
    <t>GENEXCO</t>
  </si>
  <si>
    <t>(blank)</t>
  </si>
  <si>
    <t xml:space="preserve">MANZONE </t>
  </si>
  <si>
    <t>ADDRESS</t>
  </si>
  <si>
    <t>Resume Buyer Per Factory</t>
  </si>
  <si>
    <t>\\10.8.0.35\Bersama\IT\SEPTIAN\Analisa\RESULTS REPORT</t>
  </si>
  <si>
    <t>Resume Bulan Per Buyer</t>
  </si>
  <si>
    <t>FILE RESULTS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</si>
</sst>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5" formatCode="_(* #,##0_);_(* \(#,##0\);_(* &quot;-&quot;??_);_(@_)"/>
    <numFmt numFmtId="166" formatCode="[Red]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6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B4C6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/>
    <xf numFmtId="9" fontId="8" fillId="0" borderId="0" xfId="0" applyNumberFormat="1" applyFont="1" applyAlignment="1">
      <alignment horizontal="center"/>
    </xf>
    <xf numFmtId="0" fontId="4" fillId="2" borderId="2" xfId="0" applyFont="1" applyFill="1" applyBorder="1" applyAlignment="1">
      <alignment vertical="center"/>
    </xf>
    <xf numFmtId="165" fontId="4" fillId="2" borderId="2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9" fillId="3" borderId="0" xfId="0" applyFont="1" applyFill="1"/>
    <xf numFmtId="0" fontId="9" fillId="4" borderId="0" xfId="0" applyFont="1" applyFill="1"/>
    <xf numFmtId="0" fontId="9" fillId="0" borderId="3" xfId="0" applyFont="1" applyBorder="1"/>
    <xf numFmtId="0" fontId="0" fillId="0" borderId="0" xfId="0"/>
    <xf numFmtId="165" fontId="8" fillId="0" borderId="0" xfId="0" applyNumberFormat="1" applyFont="1" applyAlignment="1">
      <alignment horizontal="center"/>
    </xf>
    <xf numFmtId="44" fontId="8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6" fillId="0" borderId="0" xfId="0" pivotButton="1" applyFont="1" applyAlignment="1">
      <alignment horizontal="center" vertical="center"/>
    </xf>
    <xf numFmtId="165" fontId="4" fillId="0" borderId="0" xfId="0" pivotButton="1" applyNumberFormat="1" applyFont="1" applyAlignment="1">
      <alignment horizontal="center" vertical="center"/>
    </xf>
    <xf numFmtId="0" fontId="4" fillId="0" borderId="0" xfId="0" pivotButton="1" applyFont="1" applyAlignment="1">
      <alignment vertical="center"/>
    </xf>
    <xf numFmtId="0" fontId="0" fillId="0" borderId="0" xfId="0" applyAlignment="1">
      <alignment horizontal="center"/>
    </xf>
    <xf numFmtId="0" fontId="3" fillId="5" borderId="0" xfId="0" applyFont="1" applyFill="1"/>
    <xf numFmtId="165" fontId="2" fillId="0" borderId="0" xfId="0" applyNumberFormat="1" applyFont="1" applyAlignment="1">
      <alignment horizontal="center"/>
    </xf>
    <xf numFmtId="44" fontId="2" fillId="0" borderId="0" xfId="0" applyNumberFormat="1" applyFont="1" applyAlignment="1">
      <alignment horizontal="center"/>
    </xf>
    <xf numFmtId="44" fontId="10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5" fontId="3" fillId="5" borderId="0" xfId="0" applyNumberFormat="1" applyFont="1" applyFill="1" applyAlignment="1">
      <alignment horizontal="center"/>
    </xf>
    <xf numFmtId="44" fontId="3" fillId="5" borderId="0" xfId="0" applyNumberFormat="1" applyFont="1" applyFill="1" applyAlignment="1">
      <alignment horizontal="center"/>
    </xf>
    <xf numFmtId="9" fontId="3" fillId="5" borderId="0" xfId="0" applyNumberFormat="1" applyFont="1" applyFill="1" applyAlignment="1">
      <alignment horizontal="center"/>
    </xf>
    <xf numFmtId="44" fontId="11" fillId="5" borderId="0" xfId="0" applyNumberFormat="1" applyFont="1" applyFill="1" applyAlignment="1">
      <alignment horizontal="center"/>
    </xf>
    <xf numFmtId="166" fontId="3" fillId="5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44" fontId="3" fillId="0" borderId="0" xfId="0" applyNumberFormat="1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0" fillId="7" borderId="0" xfId="0" applyFill="1"/>
    <xf numFmtId="0" fontId="0" fillId="8" borderId="0" xfId="0" applyFill="1"/>
    <xf numFmtId="0" fontId="1" fillId="9" borderId="1" xfId="0" applyFont="1" applyFill="1" applyBorder="1"/>
    <xf numFmtId="0" fontId="14" fillId="6" borderId="1" xfId="1" applyFont="1" applyFill="1" applyBorder="1" applyAlignment="1">
      <alignment horizontal="left"/>
    </xf>
    <xf numFmtId="0" fontId="13" fillId="6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0" fontId="14" fillId="9" borderId="1" xfId="1" applyFont="1" applyFill="1" applyBorder="1" applyAlignment="1">
      <alignment horizontal="left"/>
    </xf>
    <xf numFmtId="0" fontId="14" fillId="9" borderId="1" xfId="1" applyFont="1" applyFill="1" applyBorder="1" applyAlignment="1"/>
    <xf numFmtId="0" fontId="4" fillId="2" borderId="0" xfId="0" applyFont="1" applyFill="1" applyBorder="1" applyAlignment="1">
      <alignment vertical="center"/>
    </xf>
    <xf numFmtId="0" fontId="9" fillId="0" borderId="0" xfId="0" applyFont="1"/>
    <xf numFmtId="0" fontId="8" fillId="0" borderId="0" xfId="0" applyFont="1" applyFill="1"/>
    <xf numFmtId="0" fontId="0" fillId="0" borderId="0" xfId="0" applyFill="1"/>
  </cellXfs>
  <cellStyles count="2">
    <cellStyle name="Hyperlink" xfId="1" builtinId="8"/>
    <cellStyle name="Normal" xfId="0" builtinId="0"/>
  </cellStyles>
  <dxfs count="126">
    <dxf>
      <font>
        <color rgb="FFFF0000"/>
      </font>
    </dxf>
    <dxf>
      <font>
        <color rgb="FFFF0000"/>
      </font>
    </dxf>
    <dxf>
      <numFmt numFmtId="34" formatCode="_(&quot;$&quot;* #,##0.00_);_(&quot;$&quot;* \(#,##0.00\);_(&quot;$&quot;* &quot;-&quot;??_);_(@_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5" formatCode="_(* #,##0_);_(* \(#,##0\);_(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numFmt numFmtId="165" formatCode="_(* #,##0_);_(* \(#,##0\);_(* &quot;-&quot;??_);_(@_)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numFmt numFmtId="13" formatCode="0%"/>
    </dxf>
    <dxf>
      <font>
        <sz val="16"/>
      </font>
    </dxf>
    <dxf>
      <font>
        <sz val="16"/>
      </font>
    </dxf>
    <dxf>
      <font>
        <sz val="16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34" formatCode="_(&quot;$&quot;* #,##0.00_);_(&quot;$&quot;* \(#,##0.00\);_(&quot;$&quot;* &quot;-&quot;??_);_(@_)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5" formatCode="_(* #,##0_);_(* \(#,##0\);_(* &quot;-&quot;??_);_(@_)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numFmt numFmtId="165" formatCode="_(* #,##0_);_(* \(#,##0\);_(* &quot;-&quot;??_);_(@_)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numFmt numFmtId="13" formatCode="0%"/>
    </dxf>
    <dxf>
      <font>
        <sz val="16"/>
      </font>
    </dxf>
    <dxf>
      <font>
        <sz val="16"/>
      </font>
    </dxf>
    <dxf>
      <font>
        <sz val="16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colors>
    <mruColors>
      <color rgb="FF0000CC"/>
      <color rgb="FF0033CC"/>
      <color rgb="FF00FF00"/>
      <color rgb="FF0099CC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6</xdr:row>
      <xdr:rowOff>66675</xdr:rowOff>
    </xdr:from>
    <xdr:to>
      <xdr:col>3</xdr:col>
      <xdr:colOff>400050</xdr:colOff>
      <xdr:row>9</xdr:row>
      <xdr:rowOff>57150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A407D2-7445-9580-052E-B7CA585B6D0D}"/>
            </a:ext>
          </a:extLst>
        </xdr:cNvPr>
        <xdr:cNvSpPr/>
      </xdr:nvSpPr>
      <xdr:spPr>
        <a:xfrm>
          <a:off x="971550" y="1019175"/>
          <a:ext cx="1362075" cy="6572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>
                  <a:lumMod val="95000"/>
                  <a:lumOff val="5000"/>
                </a:schemeClr>
              </a:solidFill>
              <a:latin typeface="Comic Sans MS" panose="030F0702030302020204" pitchFamily="66" charset="0"/>
            </a:rPr>
            <a:t>PROCESS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Report%20Kapasitas%20From%20Sales%202%20Feb%202023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4967.92798576389" createdVersion="4" refreshedVersion="4" minRefreshableVersion="3" recordCount="65394" xr:uid="{82FBC56E-634D-4964-B8B3-541EB1625F83}">
  <cacheSource type="worksheet">
    <worksheetSource ref="A1:U65536" sheet="GGI_IS - Report Kapasitas From " r:id="rId2"/>
  </cacheSource>
  <cacheFields count="23">
    <cacheField name="No" numFmtId="0">
      <sharedItems containsNonDate="0" containsString="0" containsBlank="1"/>
    </cacheField>
    <cacheField name="Factory" numFmtId="0">
      <sharedItems containsBlank="1" count="11">
        <s v="PACO"/>
        <m/>
        <s v="CLN"/>
        <s v="KALIBENDA"/>
        <s v="CNJ2"/>
        <s v="CHAWAN"/>
        <s v="MAJA 2"/>
        <s v="KRAPYAK"/>
        <s v="CBA"/>
        <s v="MAJA 1"/>
        <s v="CV ANUGRAH" u="1"/>
      </sharedItems>
    </cacheField>
    <cacheField name="Buyer" numFmtId="0">
      <sharedItems containsBlank="1" count="97">
        <s v="MARUBENI CORPORATION JEPANG"/>
        <s v="HSSE PERTAMINA"/>
        <s v="PT PRAKASA TRIPUTRA SOLUSI"/>
        <s v="YAYASAN BUDDHA TZU CHI MEDIKA INDONESIA"/>
        <s v="PT FINDORA INTERNUSA"/>
        <s v="SHINATOMO CO .,LTD"/>
        <s v="GAJAH TUNGGAL"/>
        <s v="WEARTEX"/>
        <s v="CV. BI-ENSI FESYENINDO"/>
        <s v="AKUR PRATAMA, PT"/>
        <s v="PENTEX LTD"/>
        <s v="PT FOCUS MARK SEARCH ASIA"/>
        <s v="CV. MITRA KARSA GARMINDO"/>
        <m/>
        <s v="MATSUOKA TRADING CO., LTD."/>
        <s v="TOYOTA TSUSHO CORPORATION"/>
        <s v="TOYOTA MARUI GAS"/>
        <s v="KANMO RETAIL GROUP"/>
        <s v="MEC "/>
        <s v="ADIDAS"/>
        <s v="ADIDAS TAIWAN LIMITED"/>
        <s v="ADIDAS COSTCO AUSTRALIA"/>
        <s v="H&amp;M"/>
        <s v="BYFORD - BERMUDA"/>
        <s v="BYFORD - BOXER"/>
        <s v="GTHS"/>
        <s v="EIGERINDO MULTI PRODUK INDUSTRI, PT."/>
        <s v="BYFORD - PJ SET"/>
        <s v="MEC"/>
        <s v="PT. MEGA PUTRA GARMENT"/>
        <s v="GENEXCO"/>
        <s v="MANZONE "/>
        <s v="TEIJIN FRONTIER CO., LTD SEC. 831"/>
        <s v="ASMARA KARYA ABADI, PT."/>
        <s v="MARUBENI FASHION LINK LTD."/>
        <s v="CHUTEX"/>
        <s v="KANMO RETAIL GROUP 3&amp;4"/>
        <s v="-"/>
        <s v="BERGANS"/>
        <s v="SJB"/>
        <s v="KANMO RETAIL GROUP 1&amp;2"/>
        <s v="EIGER"/>
        <s v="MARUSA"/>
        <s v="BONJOYFUL LONG SLEEVE"/>
        <s v="NITTSU SHOJI"/>
        <s v="REDWING"/>
        <s v=""/>
        <s v="AGRON, INC." u="1"/>
        <s v="MOTHER CARE" u="1"/>
        <s v="Genexco - BIKE T-shirt" u="1"/>
        <s v="MARUBENI CORPORATION JEPANG (AITOZ)" u="1"/>
        <s v="SHINATOMO DENSO" u="1"/>
        <s v="LAY OFF" u="1"/>
        <s v="Marusa Cook Wear" u="1"/>
        <s v="HEXAPOLE COMPANY LIMITED-BERGANS" u="1"/>
        <s v="ADIDAS CLEARANCE" u="1"/>
        <s v="BY FORD " u="1"/>
        <s v="BOXER VIGINDO" u="1"/>
        <s v="Kurodaruma/Asahicho" u="1"/>
        <s v="BONJOYFUL" u="1"/>
        <s v="MOTHERCARE" u="1"/>
        <s v="KAZEN" u="1"/>
        <s v="CHUTEX-JCP SJB" u="1"/>
        <s v="NITTSUSOJI" u="1"/>
        <s v="TORAY MARUSA" u="1"/>
        <s v="ADIDAS REGULAR" u="1"/>
        <s v="JCP SJB" u="1"/>
        <s v="SHINATOMO JTEXT" u="1"/>
        <s v="Marubeni Industrial Aitoz/Kazen" u="1"/>
        <s v="KOSONG" u="1"/>
        <s v="AITOZ/INDUSTRIAL" u="1"/>
        <s v="COSTCO AUSTRALIA" u="1"/>
        <s v="HEXAPOLE COMPANY LIMITED" u="1"/>
        <s v="DENSO" u="1"/>
        <s v="Marubeni Workwear Toraichi" u="1"/>
        <s v="ADIDAS " u="1"/>
        <s v="REDMI" u="1"/>
        <s v="POSTIE" u="1"/>
        <s v="BERGANS/EIGER" u="1"/>
        <s v="Marusa Midori Arzen - Workwear" u="1"/>
        <s v="Marubeni Kazen Industrial – CMT" u="1"/>
        <s v="COSTCO TAIWAN" u="1"/>
        <s v="Genexco- BIKE Uderwear" u="1"/>
        <s v="PENTEX" u="1"/>
        <s v="SHINATOMO CO .,LTD-JTECT" u="1"/>
        <s v="TEIJIN FRONTIER CO., LTD SEC. 831" u="1"/>
        <s v="HCL - SwimTrunk" u="1"/>
        <s v="Marusa - Black Dress " u="1"/>
        <s v="MARUBENI CORPORATION JEPANG (COCOS)" u="1"/>
        <s v="LAYOFF" u="1"/>
        <s v="ADIDAS T-SHIRT" u="1"/>
        <s v="ADRENALIN" u="1"/>
        <s v="MAX" u="1"/>
        <s v="SHINATOMO CO .,LTD-DENSO" u="1"/>
        <s v="KAPASITAS" u="1"/>
        <s v="Indigo Luna Yoga pants/Sport Bra" u="1"/>
        <s v="BYFORD &amp; BERMUDA" u="1"/>
      </sharedItems>
    </cacheField>
    <cacheField name="Style" numFmtId="0">
      <sharedItems containsBlank="1" containsMixedTypes="1" containsNumber="1" containsInteger="1" minValue="3067" maxValue="910008449"/>
    </cacheField>
    <cacheField name="Line" numFmtId="0">
      <sharedItems containsBlank="1" count="22">
        <s v="L L1"/>
        <s v="L L2"/>
        <m/>
        <s v="L L3"/>
        <s v="L L1A"/>
        <s v="L L1B"/>
        <s v="L L2A"/>
        <s v="L L2B"/>
        <s v="L L3A"/>
        <s v="L L3B"/>
        <s v="L L4"/>
        <s v="L L5"/>
        <s v="L L6"/>
        <s v="L L7"/>
        <s v="L L8"/>
        <s v="L L9"/>
        <s v="L L10"/>
        <s v="L L11"/>
        <s v="L L12"/>
        <s v="L L13"/>
        <s v="L L14" u="1"/>
        <s v="L L(BARU)" u="1"/>
      </sharedItems>
    </cacheField>
    <cacheField name="Qty" numFmtId="0">
      <sharedItems containsBlank="1" containsMixedTypes="1" containsNumber="1" containsInteger="1" minValue="1" maxValue="41860"/>
    </cacheField>
    <cacheField name="In.Sewing" numFmtId="0">
      <sharedItems containsNonDate="0" containsDate="1" containsString="0" containsBlank="1" minDate="2023-01-01T00:00:00" maxDate="2023-12-02T00:00:00"/>
    </cacheField>
    <cacheField name="End.Sewing" numFmtId="0">
      <sharedItems containsNonDate="0" containsDate="1" containsString="0" containsBlank="1" minDate="2023-01-02T00:00:00" maxDate="2024-01-01T00:00:00"/>
    </cacheField>
    <cacheField name="Bln.Prd" numFmtId="0">
      <sharedItems containsBlank="1" count="24">
        <s v="01.January"/>
        <s v="02.February"/>
        <s v="03.March"/>
        <s v="04.April"/>
        <s v="05.May"/>
        <s v="06.June"/>
        <s v="07.July"/>
        <s v="08.Agustus"/>
        <s v="09.September"/>
        <s v="10.Oktober"/>
        <s v="11.November"/>
        <s v="12.Desember"/>
        <m/>
        <s v="8.Agustus" u="1"/>
        <s v="07.Juli" u="1"/>
        <s v="9.September" u="1"/>
        <s v="7.Juli" u="1"/>
        <s v="5.May" u="1"/>
        <s v="6.June" u="1"/>
        <s v="3.March" u="1"/>
        <s v="4.April" u="1"/>
        <s v="2.February" u="1"/>
        <s v="1.January" u="1"/>
        <s v="7.July" u="1"/>
      </sharedItems>
    </cacheField>
    <cacheField name="Deliv.Ori" numFmtId="0">
      <sharedItems containsDate="1" containsBlank="1" containsMixedTypes="1" minDate="2022-06-16T00:00:00" maxDate="2024-02-01T00:00:00"/>
    </cacheField>
    <cacheField name="Status" numFmtId="0">
      <sharedItems containsBlank="1"/>
    </cacheField>
    <cacheField name="Bln.Deliv" numFmtId="0">
      <sharedItems containsBlank="1"/>
    </cacheField>
    <cacheField name="CM" numFmtId="0">
      <sharedItems containsBlank="1" containsMixedTypes="1" containsNumber="1" minValue="0" maxValue="11.42"/>
    </cacheField>
    <cacheField name="FOB" numFmtId="0">
      <sharedItems containsString="0" containsBlank="1" containsNumber="1" minValue="0" maxValue="25.4666"/>
    </cacheField>
    <cacheField name="Am.CM" numFmtId="0">
      <sharedItems containsString="0" containsBlank="1" containsNumber="1" minValue="0" maxValue="45240"/>
    </cacheField>
    <cacheField name="Am.FOB" numFmtId="0">
      <sharedItems containsString="0" containsBlank="1" containsNumber="1" minValue="0" maxValue="100885.2"/>
    </cacheField>
    <cacheField name="Kat" numFmtId="0">
      <sharedItems containsBlank="1"/>
    </cacheField>
    <cacheField name="Order" numFmtId="0">
      <sharedItems containsBlank="1" count="3">
        <s v="InHand"/>
        <m/>
        <s v="Projection"/>
      </sharedItems>
    </cacheField>
    <cacheField name="Capacity" numFmtId="0">
      <sharedItems containsBlank="1" count="3">
        <s v="Subcont"/>
        <m/>
        <s v="Internal"/>
      </sharedItems>
    </cacheField>
    <cacheField name="HK" numFmtId="0">
      <sharedItems containsString="0" containsBlank="1" containsNumber="1" containsInteger="1" minValue="0" maxValue="26"/>
    </cacheField>
    <cacheField name="Cost Line" numFmtId="0">
      <sharedItems containsBlank="1" containsMixedTypes="1" containsNumber="1" minValue="0" maxValue="34993.5"/>
    </cacheField>
    <cacheField name="Profit/Loss" numFmtId="0" formula="Am.CM -'Cost Line'" databaseField="0"/>
    <cacheField name="%" numFmtId="0" formula="'Profit/Loss'/Am.FO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394">
  <r>
    <m/>
    <x v="0"/>
    <x v="0"/>
    <s v="LS SHIRT"/>
    <x v="0"/>
    <n v="3195"/>
    <d v="2023-01-16T00:00:00"/>
    <d v="2023-01-31T00:00:00"/>
    <x v="0"/>
    <d v="2023-02-24T00:00:00"/>
    <s v="Ontime"/>
    <s v="2.February"/>
    <n v="2.88"/>
    <n v="6.4223999999999997"/>
    <n v="9201.6"/>
    <n v="20519.567999999999"/>
    <s v="CMTP"/>
    <x v="0"/>
    <x v="0"/>
    <n v="12"/>
    <m/>
  </r>
  <r>
    <m/>
    <x v="0"/>
    <x v="0"/>
    <s v="LS SHIRT"/>
    <x v="0"/>
    <n v="1916"/>
    <d v="2023-02-01T00:00:00"/>
    <d v="2023-02-09T00:00:00"/>
    <x v="1"/>
    <d v="2023-02-24T00:00:00"/>
    <s v="Ontime"/>
    <s v="2.February"/>
    <n v="2.88"/>
    <n v="6.4223999999999997"/>
    <n v="5518.08"/>
    <n v="12305.3184"/>
    <s v="CMTP"/>
    <x v="0"/>
    <x v="0"/>
    <n v="7"/>
    <m/>
  </r>
  <r>
    <m/>
    <x v="0"/>
    <x v="1"/>
    <s v="KEMEJA 1"/>
    <x v="0"/>
    <n v="59"/>
    <d v="2023-01-03T00:00:00"/>
    <d v="2023-01-12T00:00:00"/>
    <x v="0"/>
    <d v="2023-01-16T00:00:00"/>
    <s v="Ontime"/>
    <s v="1.January"/>
    <n v="0"/>
    <n v="20.8"/>
    <n v="0"/>
    <n v="1227.2"/>
    <s v="FOB"/>
    <x v="0"/>
    <x v="0"/>
    <n v="8"/>
    <m/>
  </r>
  <r>
    <m/>
    <x v="0"/>
    <x v="1"/>
    <s v="KEMEJA 3"/>
    <x v="0"/>
    <n v="30"/>
    <d v="2023-01-12T00:00:00"/>
    <d v="2023-01-13T00:00:00"/>
    <x v="0"/>
    <d v="2023-01-16T00:00:00"/>
    <s v="Ontime"/>
    <s v="1.January"/>
    <n v="0"/>
    <n v="20.8"/>
    <n v="0"/>
    <n v="624"/>
    <s v="FOB"/>
    <x v="0"/>
    <x v="0"/>
    <n v="2"/>
    <m/>
  </r>
  <r>
    <m/>
    <x v="0"/>
    <x v="1"/>
    <s v="KEMEJA 2"/>
    <x v="0"/>
    <n v="6"/>
    <d v="2023-01-14T00:00:00"/>
    <d v="2023-01-14T00:00:00"/>
    <x v="0"/>
    <d v="2023-01-16T00:00:00"/>
    <s v="Ontime"/>
    <s v="1.January"/>
    <n v="0"/>
    <n v="20.8"/>
    <n v="0"/>
    <n v="124.80000000000001"/>
    <s v="FOB"/>
    <x v="0"/>
    <x v="0"/>
    <n v="0"/>
    <m/>
  </r>
  <r>
    <m/>
    <x v="0"/>
    <x v="2"/>
    <s v="VALE VEST1"/>
    <x v="0"/>
    <n v="150"/>
    <d v="2023-01-16T00:00:00"/>
    <d v="2023-01-19T00:00:00"/>
    <x v="0"/>
    <d v="2023-01-20T00:00:00"/>
    <s v="Ontime"/>
    <s v="1.January"/>
    <n v="4.25"/>
    <n v="13.375796178343949"/>
    <n v="637.5"/>
    <n v="2006.3694267515923"/>
    <s v="FOB"/>
    <x v="0"/>
    <x v="0"/>
    <n v="4"/>
    <m/>
  </r>
  <r>
    <m/>
    <x v="0"/>
    <x v="1"/>
    <s v="KEMEJA 4"/>
    <x v="0"/>
    <n v="5"/>
    <d v="2023-01-19T00:00:00"/>
    <d v="2023-01-19T00:00:00"/>
    <x v="0"/>
    <d v="2023-01-20T00:00:00"/>
    <s v="Ontime"/>
    <s v="1.January"/>
    <n v="0"/>
    <n v="20.8"/>
    <n v="0"/>
    <n v="104"/>
    <s v="FOB"/>
    <x v="0"/>
    <x v="0"/>
    <n v="1"/>
    <m/>
  </r>
  <r>
    <m/>
    <x v="0"/>
    <x v="2"/>
    <s v="VALE VEST1"/>
    <x v="0"/>
    <n v="35"/>
    <d v="2023-01-19T00:00:00"/>
    <d v="2023-01-20T00:00:00"/>
    <x v="0"/>
    <d v="2023-01-27T00:00:00"/>
    <s v="Ontime"/>
    <s v="1.January"/>
    <n v="4.25"/>
    <n v="13.375796178343949"/>
    <n v="148.75"/>
    <n v="468.15286624203821"/>
    <s v="FOB"/>
    <x v="0"/>
    <x v="0"/>
    <n v="2"/>
    <m/>
  </r>
  <r>
    <m/>
    <x v="0"/>
    <x v="3"/>
    <s v="COVERALL_3"/>
    <x v="0"/>
    <n v="1001"/>
    <d v="2023-01-20T00:00:00"/>
    <d v="2023-01-27T00:00:00"/>
    <x v="0"/>
    <d v="2023-01-31T00:00:00"/>
    <s v="Ontime"/>
    <s v="1.January"/>
    <n v="0.63694267515923564"/>
    <n v="3.8216560509554141"/>
    <n v="637.57961783439487"/>
    <n v="3825.4777070063697"/>
    <s v="FOB"/>
    <x v="0"/>
    <x v="0"/>
    <n v="6"/>
    <m/>
  </r>
  <r>
    <m/>
    <x v="0"/>
    <x v="4"/>
    <s v="FINDORA.3"/>
    <x v="0"/>
    <n v="1728"/>
    <d v="2023-01-27T00:00:00"/>
    <d v="2023-01-31T00:00:00"/>
    <x v="0"/>
    <d v="2023-02-28T00:00:00"/>
    <s v="Ontime"/>
    <s v="2.February"/>
    <n v="0"/>
    <n v="1.38"/>
    <n v="0"/>
    <n v="2384.64"/>
    <s v="FOB"/>
    <x v="0"/>
    <x v="0"/>
    <n v="3"/>
    <m/>
  </r>
  <r>
    <m/>
    <x v="0"/>
    <x v="4"/>
    <s v="FINDORA.3"/>
    <x v="0"/>
    <n v="9272"/>
    <d v="2023-02-01T00:00:00"/>
    <d v="2023-02-23T00:00:00"/>
    <x v="1"/>
    <d v="2023-02-28T00:00:00"/>
    <s v="Ontime"/>
    <s v="2.February"/>
    <n v="0"/>
    <n v="1.38"/>
    <n v="0"/>
    <n v="12795.359999999999"/>
    <s v="FOB"/>
    <x v="0"/>
    <x v="0"/>
    <n v="17"/>
    <m/>
  </r>
  <r>
    <m/>
    <x v="0"/>
    <x v="2"/>
    <s v="TROUSER"/>
    <x v="0"/>
    <n v="765"/>
    <d v="2023-02-24T00:00:00"/>
    <d v="2023-02-28T00:00:00"/>
    <x v="1"/>
    <d v="2023-04-19T00:00:00"/>
    <s v="Ontime"/>
    <s v="4.April"/>
    <n v="2.38"/>
    <n v="11.524203821656052"/>
    <n v="1820.6999999999998"/>
    <n v="8816.0159235668798"/>
    <s v="FOB"/>
    <x v="0"/>
    <x v="0"/>
    <n v="3"/>
    <m/>
  </r>
  <r>
    <m/>
    <x v="0"/>
    <x v="2"/>
    <s v="TROUSER"/>
    <x v="0"/>
    <n v="3341"/>
    <d v="2023-03-01T00:00:00"/>
    <d v="2023-03-16T00:00:00"/>
    <x v="2"/>
    <d v="2023-04-19T00:00:00"/>
    <s v="Ontime"/>
    <s v="4.April"/>
    <n v="2.38"/>
    <n v="11.524203821656052"/>
    <n v="7951.58"/>
    <n v="38502.36496815287"/>
    <s v="FOB"/>
    <x v="0"/>
    <x v="0"/>
    <n v="12"/>
    <m/>
  </r>
  <r>
    <m/>
    <x v="0"/>
    <x v="2"/>
    <s v="TROUSER 2"/>
    <x v="0"/>
    <n v="2"/>
    <d v="2023-03-16T00:00:00"/>
    <d v="2023-03-16T00:00:00"/>
    <x v="2"/>
    <d v="2023-03-21T00:00:00"/>
    <s v="Ontime"/>
    <s v="3.March"/>
    <n v="0"/>
    <n v="11.524203821656052"/>
    <n v="0"/>
    <n v="23.048407643312103"/>
    <s v="FOB"/>
    <x v="0"/>
    <x v="0"/>
    <n v="1"/>
    <m/>
  </r>
  <r>
    <m/>
    <x v="0"/>
    <x v="2"/>
    <s v="TROUSER"/>
    <x v="0"/>
    <n v="10"/>
    <d v="2023-03-17T00:00:00"/>
    <d v="2023-03-17T00:00:00"/>
    <x v="2"/>
    <d v="2023-03-21T00:00:00"/>
    <s v="Ontime"/>
    <s v="3.March"/>
    <n v="2.38"/>
    <n v="11.524203821656052"/>
    <n v="23.799999999999997"/>
    <n v="115.24203821656052"/>
    <s v="FOB"/>
    <x v="0"/>
    <x v="0"/>
    <n v="1"/>
    <m/>
  </r>
  <r>
    <m/>
    <x v="0"/>
    <x v="5"/>
    <n v="50030951"/>
    <x v="0"/>
    <n v="10"/>
    <d v="2023-01-20T00:00:00"/>
    <d v="2023-01-21T00:00:00"/>
    <x v="0"/>
    <d v="2023-03-25T00:00:00"/>
    <s v="Ontime"/>
    <s v="3.March"/>
    <n v="3.93"/>
    <n v="8.7638999999999996"/>
    <n v="39.300000000000004"/>
    <n v="87.638999999999996"/>
    <s v="CMT"/>
    <x v="0"/>
    <x v="0"/>
    <n v="1"/>
    <m/>
  </r>
  <r>
    <m/>
    <x v="0"/>
    <x v="5"/>
    <n v="50030941"/>
    <x v="0"/>
    <n v="1400"/>
    <d v="2023-01-21T00:00:00"/>
    <d v="2023-01-30T00:00:00"/>
    <x v="0"/>
    <d v="2023-03-25T00:00:00"/>
    <s v="Ontime"/>
    <s v="3.March"/>
    <n v="3.93"/>
    <n v="8.7638999999999996"/>
    <n v="5502"/>
    <n v="12269.46"/>
    <s v="CMT"/>
    <x v="0"/>
    <x v="0"/>
    <n v="6"/>
    <m/>
  </r>
  <r>
    <m/>
    <x v="0"/>
    <x v="5"/>
    <n v="50030941"/>
    <x v="0"/>
    <n v="243"/>
    <d v="2023-01-30T00:00:00"/>
    <d v="2023-01-31T00:00:00"/>
    <x v="0"/>
    <d v="2023-03-25T00:00:00"/>
    <s v="Ontime"/>
    <s v="3.March"/>
    <n v="3.93"/>
    <n v="8.7638999999999996"/>
    <n v="954.99"/>
    <n v="2129.6277"/>
    <s v="CMT"/>
    <x v="0"/>
    <x v="0"/>
    <n v="2"/>
    <m/>
  </r>
  <r>
    <m/>
    <x v="0"/>
    <x v="5"/>
    <n v="50030941"/>
    <x v="0"/>
    <n v="957"/>
    <d v="2023-02-01T00:00:00"/>
    <d v="2023-02-06T00:00:00"/>
    <x v="1"/>
    <d v="2023-03-25T00:00:00"/>
    <s v="Ontime"/>
    <s v="3.March"/>
    <n v="3.93"/>
    <n v="8.7638999999999996"/>
    <n v="3761.01"/>
    <n v="8387.0522999999994"/>
    <s v="CMT"/>
    <x v="0"/>
    <x v="0"/>
    <n v="4"/>
    <m/>
  </r>
  <r>
    <m/>
    <x v="0"/>
    <x v="5"/>
    <n v="50030921"/>
    <x v="0"/>
    <n v="3712"/>
    <d v="2023-02-06T00:00:00"/>
    <d v="2023-02-28T00:00:00"/>
    <x v="1"/>
    <d v="2023-03-25T00:00:00"/>
    <s v="Ontime"/>
    <s v="3.March"/>
    <n v="4.25"/>
    <n v="9.4774999999999991"/>
    <n v="15776"/>
    <n v="35180.479999999996"/>
    <s v="CMT"/>
    <x v="0"/>
    <x v="0"/>
    <n v="17"/>
    <m/>
  </r>
  <r>
    <m/>
    <x v="0"/>
    <x v="5"/>
    <n v="50030921"/>
    <x v="0"/>
    <n v="288"/>
    <d v="2023-03-01T00:00:00"/>
    <d v="2023-03-02T00:00:00"/>
    <x v="2"/>
    <d v="2023-03-25T00:00:00"/>
    <s v="Ontime"/>
    <s v="3.March"/>
    <n v="4.25"/>
    <n v="9.4774999999999991"/>
    <n v="1224"/>
    <n v="2729.5199999999995"/>
    <s v="CMT"/>
    <x v="0"/>
    <x v="0"/>
    <n v="2"/>
    <m/>
  </r>
  <r>
    <m/>
    <x v="0"/>
    <x v="5"/>
    <n v="50030921"/>
    <x v="0"/>
    <n v="3000"/>
    <d v="2023-03-02T00:00:00"/>
    <d v="2023-03-17T00:00:00"/>
    <x v="2"/>
    <d v="2023-03-25T00:00:00"/>
    <s v="Ontime"/>
    <s v="3.March"/>
    <n v="4.25"/>
    <n v="9.4774999999999991"/>
    <n v="12750"/>
    <n v="28432.499999999996"/>
    <s v="CMT"/>
    <x v="0"/>
    <x v="0"/>
    <n v="12"/>
    <m/>
  </r>
  <r>
    <m/>
    <x v="0"/>
    <x v="6"/>
    <s v="LONG PANTS"/>
    <x v="0"/>
    <n v="420"/>
    <d v="2023-01-23T00:00:00"/>
    <d v="2023-01-25T00:00:00"/>
    <x v="0"/>
    <d v="2023-02-10T00:00:00"/>
    <s v="Ontime"/>
    <s v="2.February"/>
    <n v="0"/>
    <n v="6.1"/>
    <n v="0"/>
    <n v="2562"/>
    <s v="FOB"/>
    <x v="0"/>
    <x v="0"/>
    <n v="3"/>
    <m/>
  </r>
  <r>
    <m/>
    <x v="0"/>
    <x v="6"/>
    <s v="LONG PANTS"/>
    <x v="0"/>
    <n v="718"/>
    <d v="2023-01-25T00:00:00"/>
    <d v="2023-01-31T00:00:00"/>
    <x v="0"/>
    <d v="2023-03-01T00:00:00"/>
    <s v="Ontime"/>
    <s v="3.March"/>
    <n v="0"/>
    <n v="6.1"/>
    <n v="0"/>
    <n v="4379.8"/>
    <s v="FOB"/>
    <x v="0"/>
    <x v="0"/>
    <n v="5"/>
    <m/>
  </r>
  <r>
    <m/>
    <x v="0"/>
    <x v="6"/>
    <s v="KEMEJA SS"/>
    <x v="0"/>
    <n v="87"/>
    <d v="2023-01-31T00:00:00"/>
    <d v="2023-01-31T00:00:00"/>
    <x v="0"/>
    <d v="2023-03-01T00:00:00"/>
    <s v="Ontime"/>
    <s v="3.March"/>
    <n v="0"/>
    <n v="5.77"/>
    <n v="0"/>
    <n v="501.98999999999995"/>
    <s v="FOB"/>
    <x v="0"/>
    <x v="0"/>
    <n v="1"/>
    <m/>
  </r>
  <r>
    <m/>
    <x v="0"/>
    <x v="6"/>
    <s v="KEMEJA SS"/>
    <x v="0"/>
    <n v="631"/>
    <d v="2023-02-01T00:00:00"/>
    <d v="2023-02-04T00:00:00"/>
    <x v="1"/>
    <d v="2023-03-01T00:00:00"/>
    <s v="Ontime"/>
    <s v="3.March"/>
    <n v="0"/>
    <n v="5.77"/>
    <n v="0"/>
    <n v="3640.87"/>
    <s v="FOB"/>
    <x v="0"/>
    <x v="0"/>
    <n v="3"/>
    <m/>
  </r>
  <r>
    <m/>
    <x v="0"/>
    <x v="6"/>
    <s v="KEMEJA SS"/>
    <x v="0"/>
    <n v="679"/>
    <d v="2023-02-04T00:00:00"/>
    <d v="2023-02-10T00:00:00"/>
    <x v="1"/>
    <d v="2023-03-01T00:00:00"/>
    <s v="Ontime"/>
    <s v="3.March"/>
    <n v="0"/>
    <n v="5.77"/>
    <n v="0"/>
    <n v="3917.83"/>
    <s v="FOB"/>
    <x v="0"/>
    <x v="0"/>
    <n v="5"/>
    <m/>
  </r>
  <r>
    <m/>
    <x v="0"/>
    <x v="7"/>
    <s v="WEARTEX 1"/>
    <x v="0"/>
    <n v="51"/>
    <d v="2023-01-16T00:00:00"/>
    <d v="2023-01-19T00:00:00"/>
    <x v="0"/>
    <d v="2023-01-27T00:00:00"/>
    <s v="Ontime"/>
    <s v="1.January"/>
    <n v="0"/>
    <n v="0"/>
    <n v="0"/>
    <n v="0"/>
    <s v="FOB"/>
    <x v="0"/>
    <x v="0"/>
    <n v="4"/>
    <m/>
  </r>
  <r>
    <m/>
    <x v="0"/>
    <x v="7"/>
    <s v="WEARTEX 2"/>
    <x v="0"/>
    <n v="50"/>
    <d v="2023-01-19T00:00:00"/>
    <d v="2023-01-23T00:00:00"/>
    <x v="0"/>
    <d v="2023-01-30T00:00:00"/>
    <s v="Ontime"/>
    <s v="1.January"/>
    <n v="0"/>
    <n v="0"/>
    <n v="0"/>
    <n v="0"/>
    <s v="FOB"/>
    <x v="0"/>
    <x v="0"/>
    <n v="3"/>
    <m/>
  </r>
  <r>
    <m/>
    <x v="0"/>
    <x v="7"/>
    <s v="WEARTEX 3"/>
    <x v="0"/>
    <n v="26"/>
    <d v="2023-01-23T00:00:00"/>
    <d v="2023-01-25T00:00:00"/>
    <x v="0"/>
    <d v="2023-01-30T00:00:00"/>
    <s v="Ontime"/>
    <s v="1.January"/>
    <n v="0"/>
    <n v="0"/>
    <n v="0"/>
    <n v="0"/>
    <s v="FOB"/>
    <x v="0"/>
    <x v="0"/>
    <n v="3"/>
    <m/>
  </r>
  <r>
    <m/>
    <x v="0"/>
    <x v="7"/>
    <s v="WEARTEX 4"/>
    <x v="0"/>
    <n v="26"/>
    <d v="2023-01-25T00:00:00"/>
    <d v="2023-01-27T00:00:00"/>
    <x v="0"/>
    <d v="2023-01-30T00:00:00"/>
    <s v="Ontime"/>
    <s v="1.January"/>
    <n v="0"/>
    <n v="0"/>
    <n v="0"/>
    <n v="0"/>
    <s v="FOB"/>
    <x v="0"/>
    <x v="0"/>
    <n v="3"/>
    <m/>
  </r>
  <r>
    <m/>
    <x v="0"/>
    <x v="8"/>
    <s v="T-SHIRT 1"/>
    <x v="0"/>
    <n v="1620"/>
    <d v="2023-01-09T00:00:00"/>
    <d v="2023-01-17T00:00:00"/>
    <x v="0"/>
    <d v="2023-01-25T00:00:00"/>
    <s v="Ontime"/>
    <s v="1.January"/>
    <n v="0"/>
    <n v="0.85"/>
    <n v="0"/>
    <n v="1377"/>
    <s v="CMT"/>
    <x v="0"/>
    <x v="0"/>
    <n v="7"/>
    <m/>
  </r>
  <r>
    <m/>
    <x v="0"/>
    <x v="8"/>
    <s v="T-SHIRT 1"/>
    <x v="0"/>
    <n v="1632"/>
    <d v="2023-01-17T00:00:00"/>
    <d v="2023-01-24T00:00:00"/>
    <x v="0"/>
    <d v="2023-01-31T00:00:00"/>
    <s v="Ontime"/>
    <s v="1.January"/>
    <n v="0"/>
    <n v="0.85"/>
    <n v="0"/>
    <n v="1387.2"/>
    <s v="CMT"/>
    <x v="0"/>
    <x v="0"/>
    <n v="6"/>
    <m/>
  </r>
  <r>
    <m/>
    <x v="0"/>
    <x v="5"/>
    <n v="50011911"/>
    <x v="0"/>
    <n v="5160"/>
    <d v="2023-01-02T00:00:00"/>
    <d v="2023-01-31T00:00:00"/>
    <x v="0"/>
    <d v="2023-03-16T00:00:00"/>
    <s v="Ontime"/>
    <s v="3.March"/>
    <n v="5.2"/>
    <n v="11.596"/>
    <n v="26832"/>
    <n v="59835.360000000001"/>
    <s v="CMT"/>
    <x v="0"/>
    <x v="0"/>
    <n v="22"/>
    <m/>
  </r>
  <r>
    <m/>
    <x v="0"/>
    <x v="5"/>
    <n v="50011911"/>
    <x v="0"/>
    <n v="4840"/>
    <d v="2023-02-01T00:00:00"/>
    <d v="2023-02-21T00:00:00"/>
    <x v="1"/>
    <d v="2023-03-16T00:00:00"/>
    <s v="Ontime"/>
    <s v="3.March"/>
    <n v="5.2"/>
    <n v="11.596"/>
    <n v="25168"/>
    <n v="56124.639999999999"/>
    <s v="CMT"/>
    <x v="0"/>
    <x v="0"/>
    <n v="15"/>
    <m/>
  </r>
  <r>
    <m/>
    <x v="0"/>
    <x v="5"/>
    <n v="50011911"/>
    <x v="0"/>
    <n v="1963"/>
    <d v="2023-02-21T00:00:00"/>
    <d v="2023-02-28T00:00:00"/>
    <x v="1"/>
    <d v="2023-03-31T00:00:00"/>
    <s v="Ontime"/>
    <s v="3.March"/>
    <n v="5.2"/>
    <n v="11.596"/>
    <n v="10207.6"/>
    <n v="22762.948"/>
    <s v="CMT"/>
    <x v="0"/>
    <x v="0"/>
    <n v="6"/>
    <m/>
  </r>
  <r>
    <m/>
    <x v="0"/>
    <x v="5"/>
    <n v="50011911"/>
    <x v="0"/>
    <n v="8700"/>
    <d v="2023-03-01T00:00:00"/>
    <d v="2023-03-31T00:00:00"/>
    <x v="2"/>
    <d v="2023-03-31T00:00:00"/>
    <s v="Ontime"/>
    <s v="3.March"/>
    <n v="5.2"/>
    <n v="11.596"/>
    <n v="45240"/>
    <n v="100885.2"/>
    <s v="CMT"/>
    <x v="0"/>
    <x v="0"/>
    <n v="22"/>
    <m/>
  </r>
  <r>
    <m/>
    <x v="0"/>
    <x v="5"/>
    <n v="50011911"/>
    <x v="0"/>
    <n v="2338"/>
    <d v="2023-04-01T00:00:00"/>
    <d v="2023-04-11T00:00:00"/>
    <x v="3"/>
    <d v="2023-03-31T00:00:00"/>
    <s v="Delay"/>
    <s v="3.March"/>
    <n v="5.2"/>
    <n v="11.596"/>
    <n v="12157.6"/>
    <n v="27111.448"/>
    <s v="CMT"/>
    <x v="0"/>
    <x v="0"/>
    <n v="6"/>
    <m/>
  </r>
  <r>
    <m/>
    <x v="0"/>
    <x v="9"/>
    <s v="SHIRT 3"/>
    <x v="1"/>
    <n v="1500"/>
    <d v="2023-01-09T00:00:00"/>
    <d v="2023-01-18T00:00:00"/>
    <x v="0"/>
    <d v="2023-01-31T00:00:00"/>
    <s v="Ontime"/>
    <s v="1.January"/>
    <n v="0"/>
    <n v="6.8152866242038215"/>
    <n v="0"/>
    <n v="10222.929936305733"/>
    <s v="FOB"/>
    <x v="0"/>
    <x v="0"/>
    <n v="8"/>
    <m/>
  </r>
  <r>
    <m/>
    <x v="0"/>
    <x v="9"/>
    <s v="SHIRT 6"/>
    <x v="1"/>
    <n v="300"/>
    <d v="2023-01-18T00:00:00"/>
    <d v="2023-01-20T00:00:00"/>
    <x v="0"/>
    <d v="2023-01-31T00:00:00"/>
    <s v="Ontime"/>
    <s v="1.January"/>
    <n v="0"/>
    <n v="3.7"/>
    <n v="0"/>
    <n v="1110"/>
    <s v="FOB"/>
    <x v="0"/>
    <x v="0"/>
    <n v="3"/>
    <m/>
  </r>
  <r>
    <m/>
    <x v="0"/>
    <x v="9"/>
    <s v="SHIRT 2"/>
    <x v="1"/>
    <n v="480"/>
    <d v="2023-01-20T00:00:00"/>
    <d v="2023-01-23T00:00:00"/>
    <x v="0"/>
    <d v="2023-01-31T00:00:00"/>
    <s v="Ontime"/>
    <s v="1.January"/>
    <n v="0"/>
    <n v="6.8152866242038215"/>
    <n v="0"/>
    <n v="3271.3375796178343"/>
    <s v="FOB"/>
    <x v="0"/>
    <x v="0"/>
    <n v="2"/>
    <m/>
  </r>
  <r>
    <m/>
    <x v="0"/>
    <x v="9"/>
    <s v="SHIRT 5"/>
    <x v="1"/>
    <n v="420"/>
    <d v="2023-01-24T00:00:00"/>
    <d v="2023-01-26T00:00:00"/>
    <x v="0"/>
    <d v="2023-01-31T00:00:00"/>
    <s v="Ontime"/>
    <s v="1.January"/>
    <n v="0"/>
    <n v="6.7"/>
    <n v="0"/>
    <n v="2814"/>
    <s v="FOB"/>
    <x v="0"/>
    <x v="0"/>
    <n v="3"/>
    <m/>
  </r>
  <r>
    <m/>
    <x v="0"/>
    <x v="9"/>
    <s v="SHIRT 1"/>
    <x v="1"/>
    <n v="654"/>
    <d v="2023-01-26T00:00:00"/>
    <d v="2023-01-30T00:00:00"/>
    <x v="0"/>
    <d v="2023-01-31T00:00:00"/>
    <s v="Ontime"/>
    <s v="1.January"/>
    <n v="0"/>
    <n v="6.8152866242038215"/>
    <n v="0"/>
    <n v="4457.1974522292994"/>
    <s v="FOB"/>
    <x v="0"/>
    <x v="0"/>
    <n v="3"/>
    <m/>
  </r>
  <r>
    <m/>
    <x v="0"/>
    <x v="9"/>
    <s v="SHIRT 4"/>
    <x v="1"/>
    <n v="207"/>
    <d v="2023-01-30T00:00:00"/>
    <d v="2023-01-31T00:00:00"/>
    <x v="0"/>
    <d v="2023-02-07T00:00:00"/>
    <s v="Ontime"/>
    <s v="2.February"/>
    <n v="0"/>
    <n v="5.01"/>
    <n v="0"/>
    <n v="1037.07"/>
    <s v="FOB"/>
    <x v="0"/>
    <x v="0"/>
    <n v="2"/>
    <m/>
  </r>
  <r>
    <m/>
    <x v="0"/>
    <x v="9"/>
    <s v="SHIRT 4"/>
    <x v="1"/>
    <n v="339"/>
    <d v="2023-02-01T00:00:00"/>
    <d v="2023-02-02T00:00:00"/>
    <x v="1"/>
    <d v="2023-02-07T00:00:00"/>
    <s v="Ontime"/>
    <s v="2.February"/>
    <n v="0"/>
    <n v="5.01"/>
    <n v="0"/>
    <n v="1698.3899999999999"/>
    <s v="FOB"/>
    <x v="0"/>
    <x v="0"/>
    <n v="2"/>
    <m/>
  </r>
  <r>
    <m/>
    <x v="0"/>
    <x v="0"/>
    <s v="SS SHIRT"/>
    <x v="1"/>
    <n v="5010"/>
    <d v="2023-02-02T00:00:00"/>
    <d v="2023-02-28T00:00:00"/>
    <x v="1"/>
    <d v="2023-03-03T00:00:00"/>
    <s v="Ontime"/>
    <s v="3.March"/>
    <n v="2.78"/>
    <n v="6.1993999999999998"/>
    <n v="13927.8"/>
    <n v="31058.993999999999"/>
    <s v="CMTP"/>
    <x v="0"/>
    <x v="0"/>
    <n v="19"/>
    <m/>
  </r>
  <r>
    <m/>
    <x v="0"/>
    <x v="0"/>
    <s v="SS SHIRT"/>
    <x v="1"/>
    <n v="72"/>
    <d v="2023-02-28T00:00:00"/>
    <d v="2023-02-28T00:00:00"/>
    <x v="1"/>
    <d v="2023-03-31T00:00:00"/>
    <s v="Ontime"/>
    <s v="3.March"/>
    <n v="2.78"/>
    <n v="6.1993999999999998"/>
    <n v="200.16"/>
    <n v="446.35679999999996"/>
    <s v="CMTP"/>
    <x v="0"/>
    <x v="0"/>
    <n v="1"/>
    <m/>
  </r>
  <r>
    <m/>
    <x v="0"/>
    <x v="0"/>
    <s v="SS SHIRT"/>
    <x v="1"/>
    <n v="4928"/>
    <d v="2023-03-01T00:00:00"/>
    <d v="2023-03-25T00:00:00"/>
    <x v="2"/>
    <d v="2023-03-31T00:00:00"/>
    <s v="Ontime"/>
    <s v="3.March"/>
    <n v="2.78"/>
    <n v="6.1993999999999998"/>
    <n v="13699.839999999998"/>
    <n v="30550.643199999999"/>
    <s v="CMTP"/>
    <x v="0"/>
    <x v="0"/>
    <n v="17"/>
    <m/>
  </r>
  <r>
    <m/>
    <x v="0"/>
    <x v="10"/>
    <s v="D60662"/>
    <x v="0"/>
    <n v="998"/>
    <d v="2023-01-02T00:00:00"/>
    <d v="2023-01-13T00:00:00"/>
    <x v="0"/>
    <d v="2023-01-12T00:00:00"/>
    <s v="Delay"/>
    <s v="1.January"/>
    <n v="3"/>
    <n v="6.6899999999999995"/>
    <n v="2994"/>
    <n v="6676.62"/>
    <s v="CMT"/>
    <x v="0"/>
    <x v="0"/>
    <n v="10"/>
    <m/>
  </r>
  <r>
    <m/>
    <x v="0"/>
    <x v="10"/>
    <s v="WD60658"/>
    <x v="0"/>
    <n v="1201"/>
    <d v="2023-01-13T00:00:00"/>
    <d v="2023-01-18T00:00:00"/>
    <x v="0"/>
    <d v="2023-01-12T00:00:00"/>
    <s v="Delay"/>
    <s v="1.January"/>
    <n v="2.75"/>
    <n v="6.1325000000000003"/>
    <n v="3302.75"/>
    <n v="7365.1325000000006"/>
    <s v="CMT"/>
    <x v="0"/>
    <x v="0"/>
    <n v="4"/>
    <m/>
  </r>
  <r>
    <m/>
    <x v="0"/>
    <x v="2"/>
    <s v="SHIRT MAN"/>
    <x v="0"/>
    <n v="3195"/>
    <d v="2023-01-16T00:00:00"/>
    <d v="2023-01-31T00:00:00"/>
    <x v="0"/>
    <d v="2023-03-20T00:00:00"/>
    <s v="Ontime"/>
    <s v="3.March"/>
    <n v="0"/>
    <n v="13.291719745222929"/>
    <n v="0"/>
    <n v="42467.044585987256"/>
    <s v="FOB"/>
    <x v="0"/>
    <x v="0"/>
    <n v="12"/>
    <m/>
  </r>
  <r>
    <m/>
    <x v="0"/>
    <x v="2"/>
    <s v="SHIRT MAN"/>
    <x v="0"/>
    <n v="675"/>
    <d v="2023-02-01T00:00:00"/>
    <d v="2023-02-03T00:00:00"/>
    <x v="1"/>
    <d v="2023-03-20T00:00:00"/>
    <s v="Ontime"/>
    <s v="3.March"/>
    <n v="0"/>
    <n v="13.291719745222929"/>
    <n v="0"/>
    <n v="8971.9108280254768"/>
    <s v="FOB"/>
    <x v="0"/>
    <x v="0"/>
    <n v="3"/>
    <m/>
  </r>
  <r>
    <m/>
    <x v="0"/>
    <x v="2"/>
    <s v="SHIRT MAN"/>
    <x v="0"/>
    <n v="300"/>
    <d v="2023-02-03T00:00:00"/>
    <d v="2023-02-06T00:00:00"/>
    <x v="1"/>
    <d v="2023-03-20T00:00:00"/>
    <s v="Ontime"/>
    <s v="3.March"/>
    <n v="0"/>
    <n v="13.291719745222929"/>
    <n v="0"/>
    <n v="3987.5159235668789"/>
    <s v="FOB"/>
    <x v="0"/>
    <x v="0"/>
    <n v="2"/>
    <m/>
  </r>
  <r>
    <m/>
    <x v="0"/>
    <x v="2"/>
    <s v="SHIRT MAN2"/>
    <x v="0"/>
    <n v="301"/>
    <d v="2023-02-06T00:00:00"/>
    <d v="2023-02-08T00:00:00"/>
    <x v="1"/>
    <d v="2023-03-27T00:00:00"/>
    <s v="Ontime"/>
    <s v="3.March"/>
    <n v="0"/>
    <n v="13.291719745222929"/>
    <n v="0"/>
    <n v="4000.8076433121018"/>
    <s v="FOB"/>
    <x v="0"/>
    <x v="0"/>
    <n v="3"/>
    <m/>
  </r>
  <r>
    <m/>
    <x v="0"/>
    <x v="2"/>
    <s v="SHIRT MAN3"/>
    <x v="0"/>
    <n v="234"/>
    <d v="2023-02-09T00:00:00"/>
    <d v="2023-02-10T00:00:00"/>
    <x v="1"/>
    <d v="2023-03-31T00:00:00"/>
    <s v="Ontime"/>
    <s v="3.March"/>
    <n v="0"/>
    <n v="13.291719745222929"/>
    <n v="0"/>
    <n v="3110.2624203821656"/>
    <s v="FOB"/>
    <x v="0"/>
    <x v="0"/>
    <n v="2"/>
    <m/>
  </r>
  <r>
    <m/>
    <x v="0"/>
    <x v="2"/>
    <s v="SHIRT MAN3"/>
    <x v="0"/>
    <n v="233"/>
    <d v="2023-02-11T00:00:00"/>
    <d v="2023-02-13T00:00:00"/>
    <x v="1"/>
    <d v="2023-03-31T00:00:00"/>
    <s v="Ontime"/>
    <s v="3.March"/>
    <n v="0"/>
    <n v="13.291719745222929"/>
    <n v="0"/>
    <n v="3096.9707006369426"/>
    <s v="FOB"/>
    <x v="0"/>
    <x v="0"/>
    <n v="1"/>
    <m/>
  </r>
  <r>
    <m/>
    <x v="0"/>
    <x v="11"/>
    <s v="SHIRT MAN"/>
    <x v="0"/>
    <n v="41"/>
    <d v="2023-02-13T00:00:00"/>
    <d v="2023-02-14T00:00:00"/>
    <x v="1"/>
    <d v="2023-02-28T00:00:00"/>
    <s v="Ontime"/>
    <s v="2.February"/>
    <n v="0"/>
    <n v="12.584713375796179"/>
    <n v="0"/>
    <n v="515.97324840764338"/>
    <s v="FOB"/>
    <x v="0"/>
    <x v="0"/>
    <n v="2"/>
    <m/>
  </r>
  <r>
    <m/>
    <x v="0"/>
    <x v="11"/>
    <s v="SHIRTVALE"/>
    <x v="0"/>
    <n v="74"/>
    <d v="2023-02-14T00:00:00"/>
    <d v="2023-02-15T00:00:00"/>
    <x v="1"/>
    <d v="2023-02-28T00:00:00"/>
    <s v="Ontime"/>
    <s v="2.February"/>
    <n v="0"/>
    <n v="12.584713375796179"/>
    <n v="0"/>
    <n v="931.26878980891729"/>
    <s v="FOB"/>
    <x v="0"/>
    <x v="0"/>
    <n v="2"/>
    <m/>
  </r>
  <r>
    <m/>
    <x v="0"/>
    <x v="2"/>
    <s v="SHIRTBASIC"/>
    <x v="0"/>
    <n v="6"/>
    <d v="2023-02-15T00:00:00"/>
    <d v="2023-02-15T00:00:00"/>
    <x v="1"/>
    <d v="2023-02-28T00:00:00"/>
    <s v="Ontime"/>
    <s v="2.February"/>
    <n v="0"/>
    <n v="13.291719745222929"/>
    <n v="0"/>
    <n v="79.750318471337579"/>
    <s v="FOB"/>
    <x v="0"/>
    <x v="0"/>
    <n v="1"/>
    <m/>
  </r>
  <r>
    <m/>
    <x v="0"/>
    <x v="11"/>
    <s v="WOMNSHIRT"/>
    <x v="0"/>
    <n v="53"/>
    <d v="2023-02-15T00:00:00"/>
    <d v="2023-02-16T00:00:00"/>
    <x v="1"/>
    <d v="2023-02-28T00:00:00"/>
    <s v="Ontime"/>
    <s v="2.February"/>
    <n v="0"/>
    <n v="12.584713375796179"/>
    <n v="0"/>
    <n v="666.98980891719748"/>
    <s v="FOB"/>
    <x v="0"/>
    <x v="0"/>
    <n v="2"/>
    <m/>
  </r>
  <r>
    <m/>
    <x v="0"/>
    <x v="2"/>
    <s v="SHIRT WMAN"/>
    <x v="0"/>
    <n v="131"/>
    <d v="2023-02-16T00:00:00"/>
    <d v="2023-02-17T00:00:00"/>
    <x v="1"/>
    <d v="2023-02-28T00:00:00"/>
    <s v="Ontime"/>
    <s v="2.February"/>
    <n v="0"/>
    <n v="13.291719745222929"/>
    <n v="0"/>
    <n v="1741.2152866242038"/>
    <s v="FOB"/>
    <x v="0"/>
    <x v="0"/>
    <n v="2"/>
    <m/>
  </r>
  <r>
    <m/>
    <x v="0"/>
    <x v="2"/>
    <s v="SHIRTWMAN2"/>
    <x v="0"/>
    <n v="141"/>
    <d v="2023-02-17T00:00:00"/>
    <d v="2023-02-21T00:00:00"/>
    <x v="1"/>
    <d v="2023-02-28T00:00:00"/>
    <s v="Ontime"/>
    <s v="2.February"/>
    <n v="0"/>
    <n v="13.291719745222929"/>
    <n v="0"/>
    <n v="1874.132484076433"/>
    <s v="FOB"/>
    <x v="0"/>
    <x v="0"/>
    <n v="3"/>
    <m/>
  </r>
  <r>
    <m/>
    <x v="0"/>
    <x v="2"/>
    <s v="SHIRTWMAN3"/>
    <x v="0"/>
    <n v="31"/>
    <d v="2023-02-21T00:00:00"/>
    <d v="2023-02-22T00:00:00"/>
    <x v="1"/>
    <d v="2023-02-28T00:00:00"/>
    <s v="Ontime"/>
    <s v="2.February"/>
    <n v="0"/>
    <n v="13.291719745222929"/>
    <n v="0"/>
    <n v="412.04331210191083"/>
    <s v="FOB"/>
    <x v="0"/>
    <x v="0"/>
    <n v="2"/>
    <m/>
  </r>
  <r>
    <m/>
    <x v="0"/>
    <x v="2"/>
    <s v="SHIRTWMAN4"/>
    <x v="0"/>
    <n v="24"/>
    <d v="2023-02-22T00:00:00"/>
    <d v="2023-02-22T00:00:00"/>
    <x v="1"/>
    <d v="2023-02-28T00:00:00"/>
    <s v="Ontime"/>
    <s v="2.February"/>
    <n v="0"/>
    <n v="13.291719745222929"/>
    <n v="0"/>
    <n v="319.00127388535032"/>
    <s v="FOB"/>
    <x v="0"/>
    <x v="0"/>
    <n v="1"/>
    <m/>
  </r>
  <r>
    <m/>
    <x v="0"/>
    <x v="8"/>
    <s v="ROMPI"/>
    <x v="0"/>
    <n v="935"/>
    <d v="2023-02-22T00:00:00"/>
    <d v="2023-02-28T00:00:00"/>
    <x v="1"/>
    <d v="2023-04-24T00:00:00"/>
    <s v="Ontime"/>
    <s v="4.April"/>
    <n v="0"/>
    <n v="0"/>
    <n v="0"/>
    <n v="0"/>
    <s v="FOB"/>
    <x v="0"/>
    <x v="0"/>
    <n v="5"/>
    <m/>
  </r>
  <r>
    <m/>
    <x v="0"/>
    <x v="11"/>
    <s v="WMANBASIC"/>
    <x v="0"/>
    <n v="3"/>
    <d v="2023-02-22T00:00:00"/>
    <d v="2023-02-22T00:00:00"/>
    <x v="1"/>
    <d v="2023-02-28T00:00:00"/>
    <s v="Ontime"/>
    <s v="2.February"/>
    <n v="0"/>
    <n v="12.584713375796179"/>
    <n v="0"/>
    <n v="37.754140127388538"/>
    <s v="FOB"/>
    <x v="0"/>
    <x v="0"/>
    <n v="1"/>
    <m/>
  </r>
  <r>
    <m/>
    <x v="0"/>
    <x v="8"/>
    <s v="ROMPI"/>
    <x v="0"/>
    <n v="457"/>
    <d v="2023-03-01T00:00:00"/>
    <d v="2023-03-03T00:00:00"/>
    <x v="2"/>
    <d v="2023-04-24T00:00:00"/>
    <s v="Ontime"/>
    <s v="4.April"/>
    <n v="0"/>
    <n v="0"/>
    <n v="0"/>
    <n v="0"/>
    <s v="FOB"/>
    <x v="0"/>
    <x v="0"/>
    <n v="3"/>
    <m/>
  </r>
  <r>
    <m/>
    <x v="0"/>
    <x v="12"/>
    <s v="CN ENTRNTY"/>
    <x v="0"/>
    <n v="400"/>
    <d v="2023-01-09T00:00:00"/>
    <d v="2023-01-12T00:00:00"/>
    <x v="0"/>
    <d v="2023-01-27T00:00:00"/>
    <s v="Ontime"/>
    <s v="1.January"/>
    <n v="0"/>
    <n v="7.8343949044585983"/>
    <n v="0"/>
    <n v="3133.7579617834394"/>
    <s v="FOB"/>
    <x v="0"/>
    <x v="0"/>
    <n v="4"/>
    <m/>
  </r>
  <r>
    <m/>
    <x v="0"/>
    <x v="12"/>
    <s v="CN POSITIV"/>
    <x v="0"/>
    <n v="401"/>
    <d v="2023-01-13T00:00:00"/>
    <d v="2023-01-16T00:00:00"/>
    <x v="0"/>
    <d v="2023-01-27T00:00:00"/>
    <s v="Ontime"/>
    <s v="1.January"/>
    <n v="0"/>
    <n v="7.8343949044585983"/>
    <n v="0"/>
    <n v="3141.5923566878978"/>
    <s v="FOB"/>
    <x v="0"/>
    <x v="0"/>
    <n v="2"/>
    <m/>
  </r>
  <r>
    <m/>
    <x v="0"/>
    <x v="12"/>
    <s v="CN INFINIT"/>
    <x v="0"/>
    <n v="400"/>
    <d v="2023-01-17T00:00:00"/>
    <d v="2023-01-19T00:00:00"/>
    <x v="0"/>
    <d v="2023-01-25T00:00:00"/>
    <s v="Ontime"/>
    <s v="1.January"/>
    <n v="0"/>
    <n v="7.8343949044585983"/>
    <n v="0"/>
    <n v="3133.7579617834394"/>
    <s v="FOB"/>
    <x v="0"/>
    <x v="0"/>
    <n v="3"/>
    <m/>
  </r>
  <r>
    <m/>
    <x v="0"/>
    <x v="12"/>
    <s v="CN ANPER"/>
    <x v="0"/>
    <n v="800"/>
    <d v="2023-01-19T00:00:00"/>
    <d v="2023-01-25T00:00:00"/>
    <x v="0"/>
    <d v="2023-01-27T00:00:00"/>
    <s v="Ontime"/>
    <s v="1.January"/>
    <n v="0"/>
    <n v="7.7070063694267512"/>
    <n v="0"/>
    <n v="6165.6050955414012"/>
    <s v="FOB"/>
    <x v="0"/>
    <x v="0"/>
    <n v="5"/>
    <m/>
  </r>
  <r>
    <m/>
    <x v="0"/>
    <x v="12"/>
    <s v="CNECK PRIN"/>
    <x v="0"/>
    <n v="400"/>
    <d v="2023-01-25T00:00:00"/>
    <d v="2023-01-27T00:00:00"/>
    <x v="0"/>
    <d v="2023-01-31T00:00:00"/>
    <s v="Ontime"/>
    <s v="1.January"/>
    <n v="0"/>
    <n v="7.7707006369426752"/>
    <n v="0"/>
    <n v="3108.2802547770702"/>
    <s v="FOB"/>
    <x v="0"/>
    <x v="0"/>
    <n v="3"/>
    <m/>
  </r>
  <r>
    <m/>
    <x v="0"/>
    <x v="10"/>
    <s v="POS18162"/>
    <x v="0"/>
    <n v="1000"/>
    <d v="2023-02-06T00:00:00"/>
    <d v="2023-02-17T00:00:00"/>
    <x v="1"/>
    <d v="2023-03-31T00:00:00"/>
    <s v="Ontime"/>
    <s v="3.March"/>
    <n v="3"/>
    <n v="6.6899999999999995"/>
    <n v="3000"/>
    <n v="6689.9999999999991"/>
    <s v="CMT"/>
    <x v="0"/>
    <x v="0"/>
    <n v="10"/>
    <m/>
  </r>
  <r>
    <m/>
    <x v="0"/>
    <x v="10"/>
    <s v="POS18166"/>
    <x v="0"/>
    <n v="1205"/>
    <d v="2023-02-18T00:00:00"/>
    <d v="2023-02-28T00:00:00"/>
    <x v="1"/>
    <d v="2023-03-31T00:00:00"/>
    <s v="Ontime"/>
    <s v="3.March"/>
    <n v="2.75"/>
    <n v="6.1325000000000003"/>
    <n v="3313.75"/>
    <n v="7389.6625000000004"/>
    <s v="CMT"/>
    <x v="0"/>
    <x v="0"/>
    <n v="7"/>
    <m/>
  </r>
  <r>
    <m/>
    <x v="0"/>
    <x v="10"/>
    <s v="POS18166"/>
    <x v="0"/>
    <n v="1204"/>
    <d v="2023-03-01T00:00:00"/>
    <d v="2023-03-08T00:00:00"/>
    <x v="2"/>
    <d v="2023-03-31T00:00:00"/>
    <s v="Ontime"/>
    <s v="3.March"/>
    <n v="2.75"/>
    <n v="6.1325000000000003"/>
    <n v="3311"/>
    <n v="7383.5300000000007"/>
    <s v="CMT"/>
    <x v="0"/>
    <x v="0"/>
    <n v="6"/>
    <m/>
  </r>
  <r>
    <m/>
    <x v="0"/>
    <x v="10"/>
    <s v="WB32814"/>
    <x v="0"/>
    <n v="1750"/>
    <d v="2023-04-24T00:00:00"/>
    <d v="2023-04-29T00:00:00"/>
    <x v="3"/>
    <d v="2023-05-31T00:00:00"/>
    <s v="Ontime"/>
    <s v="5.May"/>
    <n v="2.75"/>
    <n v="6.1325000000000003"/>
    <n v="4812.5"/>
    <n v="10731.875"/>
    <s v="CMT"/>
    <x v="0"/>
    <x v="0"/>
    <n v="3"/>
    <m/>
  </r>
  <r>
    <m/>
    <x v="0"/>
    <x v="10"/>
    <s v="WB32814"/>
    <x v="0"/>
    <n v="6050"/>
    <d v="2023-05-02T00:00:00"/>
    <d v="2023-05-23T00:00:00"/>
    <x v="4"/>
    <d v="2023-05-31T00:00:00"/>
    <s v="Ontime"/>
    <s v="5.May"/>
    <n v="2.75"/>
    <n v="6.1325000000000003"/>
    <n v="16637.5"/>
    <n v="37101.625"/>
    <s v="CMT"/>
    <x v="0"/>
    <x v="0"/>
    <n v="15"/>
    <m/>
  </r>
  <r>
    <m/>
    <x v="0"/>
    <x v="10"/>
    <m/>
    <x v="0"/>
    <n v="2450"/>
    <d v="2023-05-24T00:00:00"/>
    <d v="2023-05-31T00:00:00"/>
    <x v="4"/>
    <d v="2023-06-30T00:00:00"/>
    <s v="Ontime"/>
    <s v="6.June"/>
    <n v="2.75"/>
    <n v="6.1325000000000003"/>
    <n v="6737.5"/>
    <n v="15024.625"/>
    <s v="CMT"/>
    <x v="0"/>
    <x v="0"/>
    <n v="6"/>
    <m/>
  </r>
  <r>
    <m/>
    <x v="0"/>
    <x v="10"/>
    <m/>
    <x v="0"/>
    <n v="7550"/>
    <d v="2023-06-02T00:00:00"/>
    <d v="2023-06-27T00:00:00"/>
    <x v="5"/>
    <d v="2023-06-30T00:00:00"/>
    <s v="Ontime"/>
    <s v="6.June"/>
    <n v="2.75"/>
    <n v="6.1325000000000003"/>
    <n v="20762.5"/>
    <n v="46300.375"/>
    <s v="CMT"/>
    <x v="0"/>
    <x v="0"/>
    <n v="18"/>
    <m/>
  </r>
  <r>
    <m/>
    <x v="0"/>
    <x v="10"/>
    <m/>
    <x v="0"/>
    <n v="800"/>
    <d v="2023-06-28T00:00:00"/>
    <d v="2023-06-30T00:00:00"/>
    <x v="5"/>
    <d v="2023-07-31T00:00:00"/>
    <s v="Ontime"/>
    <s v="7.July"/>
    <n v="2.75"/>
    <n v="6.1325000000000003"/>
    <n v="2200"/>
    <n v="4906"/>
    <s v="CMT"/>
    <x v="0"/>
    <x v="0"/>
    <n v="2"/>
    <m/>
  </r>
  <r>
    <m/>
    <x v="0"/>
    <x v="10"/>
    <m/>
    <x v="0"/>
    <n v="9200"/>
    <d v="2023-07-01T00:00:00"/>
    <d v="2023-07-28T00:00:00"/>
    <x v="6"/>
    <d v="2023-07-31T00:00:00"/>
    <s v="Ontime"/>
    <s v="7.July"/>
    <n v="2.75"/>
    <n v="6.1325000000000003"/>
    <n v="25300"/>
    <n v="56419"/>
    <s v="CMT"/>
    <x v="0"/>
    <x v="0"/>
    <n v="19"/>
    <m/>
  </r>
  <r>
    <m/>
    <x v="0"/>
    <x v="10"/>
    <m/>
    <x v="0"/>
    <n v="900"/>
    <d v="2023-07-29T00:00:00"/>
    <d v="2023-07-31T00:00:00"/>
    <x v="6"/>
    <d v="2023-08-31T00:00:00"/>
    <s v="Ontime"/>
    <s v="8.August"/>
    <n v="2.75"/>
    <n v="6.1325000000000003"/>
    <n v="2475"/>
    <n v="5519.25"/>
    <s v="CMT"/>
    <x v="0"/>
    <x v="0"/>
    <n v="1"/>
    <m/>
  </r>
  <r>
    <m/>
    <x v="0"/>
    <x v="10"/>
    <m/>
    <x v="0"/>
    <n v="9100"/>
    <d v="2023-08-01T00:00:00"/>
    <d v="2023-08-25T00:00:00"/>
    <x v="7"/>
    <d v="2023-08-31T00:00:00"/>
    <s v="Ontime"/>
    <s v="8.August"/>
    <n v="2.75"/>
    <n v="6.1325000000000003"/>
    <n v="25025"/>
    <n v="55805.75"/>
    <s v="CMT"/>
    <x v="0"/>
    <x v="0"/>
    <n v="18"/>
    <m/>
  </r>
  <r>
    <m/>
    <x v="0"/>
    <x v="10"/>
    <m/>
    <x v="0"/>
    <n v="2250"/>
    <d v="2023-08-26T00:00:00"/>
    <d v="2023-08-31T00:00:00"/>
    <x v="7"/>
    <d v="2023-09-30T00:00:00"/>
    <s v="Ontime"/>
    <s v="9.September"/>
    <n v="2.75"/>
    <n v="6.1325000000000003"/>
    <n v="6187.5"/>
    <n v="13798.125"/>
    <s v="CMT"/>
    <x v="0"/>
    <x v="0"/>
    <n v="4"/>
    <m/>
  </r>
  <r>
    <m/>
    <x v="0"/>
    <x v="10"/>
    <m/>
    <x v="0"/>
    <n v="7750"/>
    <d v="2023-09-01T00:00:00"/>
    <d v="2023-09-22T00:00:00"/>
    <x v="8"/>
    <d v="2023-09-30T00:00:00"/>
    <s v="Ontime"/>
    <s v="9.September"/>
    <n v="2.75"/>
    <n v="6.1325000000000003"/>
    <n v="21312.5"/>
    <n v="47526.875"/>
    <s v="CMT"/>
    <x v="0"/>
    <x v="0"/>
    <n v="16"/>
    <m/>
  </r>
  <r>
    <m/>
    <x v="0"/>
    <x v="10"/>
    <m/>
    <x v="0"/>
    <n v="2700"/>
    <d v="2023-09-23T00:00:00"/>
    <d v="2023-09-30T00:00:00"/>
    <x v="8"/>
    <d v="2023-10-31T00:00:00"/>
    <s v="Ontime"/>
    <s v="10.October"/>
    <n v="2.75"/>
    <n v="6.1325000000000003"/>
    <n v="7425"/>
    <n v="16557.75"/>
    <s v="CMT"/>
    <x v="0"/>
    <x v="0"/>
    <n v="4"/>
    <m/>
  </r>
  <r>
    <m/>
    <x v="0"/>
    <x v="10"/>
    <m/>
    <x v="0"/>
    <n v="7300"/>
    <d v="2023-10-02T00:00:00"/>
    <d v="2023-10-21T00:00:00"/>
    <x v="9"/>
    <d v="2023-10-31T00:00:00"/>
    <s v="Ontime"/>
    <s v="10.October"/>
    <n v="2.75"/>
    <n v="6.1325000000000003"/>
    <n v="20075"/>
    <n v="44767.25"/>
    <s v="CMT"/>
    <x v="0"/>
    <x v="0"/>
    <n v="15"/>
    <m/>
  </r>
  <r>
    <m/>
    <x v="0"/>
    <x v="10"/>
    <m/>
    <x v="0"/>
    <n v="3600"/>
    <d v="2023-10-23T00:00:00"/>
    <d v="2023-10-31T00:00:00"/>
    <x v="9"/>
    <d v="2023-11-30T00:00:00"/>
    <s v="Ontime"/>
    <s v="11.November"/>
    <n v="2.75"/>
    <n v="6.1325000000000003"/>
    <n v="9900"/>
    <n v="22077"/>
    <s v="CMT"/>
    <x v="0"/>
    <x v="0"/>
    <n v="7"/>
    <m/>
  </r>
  <r>
    <m/>
    <x v="0"/>
    <x v="10"/>
    <m/>
    <x v="0"/>
    <n v="6400"/>
    <d v="2023-11-01T00:00:00"/>
    <d v="2023-11-15T00:00:00"/>
    <x v="10"/>
    <d v="2023-11-30T00:00:00"/>
    <s v="Ontime"/>
    <s v="11.November"/>
    <n v="2.75"/>
    <n v="6.1325000000000003"/>
    <n v="17600"/>
    <n v="39248"/>
    <s v="CMT"/>
    <x v="0"/>
    <x v="0"/>
    <n v="11"/>
    <m/>
  </r>
  <r>
    <m/>
    <x v="0"/>
    <x v="10"/>
    <m/>
    <x v="0"/>
    <n v="5850"/>
    <d v="2023-11-16T00:00:00"/>
    <d v="2023-11-30T00:00:00"/>
    <x v="10"/>
    <d v="2023-12-29T00:00:00"/>
    <s v="Ontime"/>
    <s v="12.December"/>
    <n v="2.75"/>
    <n v="6.1325000000000003"/>
    <n v="16087.5"/>
    <n v="35875.125"/>
    <s v="CMT"/>
    <x v="0"/>
    <x v="0"/>
    <n v="11"/>
    <m/>
  </r>
  <r>
    <m/>
    <x v="0"/>
    <x v="10"/>
    <m/>
    <x v="0"/>
    <n v="4150"/>
    <d v="2023-12-01T00:00:00"/>
    <d v="2023-12-12T00:00:00"/>
    <x v="11"/>
    <d v="2023-12-29T00:00:00"/>
    <s v="Ontime"/>
    <s v="12.December"/>
    <n v="2.75"/>
    <n v="6.1325000000000003"/>
    <n v="11412.5"/>
    <n v="25449.875"/>
    <s v="CMT"/>
    <x v="0"/>
    <x v="0"/>
    <n v="8"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2"/>
    <x v="14"/>
    <s v="ATW-7129"/>
    <x v="3"/>
    <n v="90"/>
    <d v="2023-01-02T00:00:00"/>
    <d v="2023-01-10T00:00:00"/>
    <x v="0"/>
    <d v="2022-12-20T00:00:00"/>
    <s v="Delay"/>
    <s v="1.January"/>
    <n v="5"/>
    <n v="16.472797061616163"/>
    <n v="450"/>
    <n v="1482.5517355454547"/>
    <s v="FOB"/>
    <x v="0"/>
    <x v="2"/>
    <n v="7"/>
    <n v="11134.295454545454"/>
  </r>
  <r>
    <m/>
    <x v="2"/>
    <x v="14"/>
    <s v="SNW-724"/>
    <x v="3"/>
    <n v="66"/>
    <d v="2023-01-11T00:00:00"/>
    <d v="2023-01-11T00:00:00"/>
    <x v="0"/>
    <d v="2022-12-20T00:00:00"/>
    <s v="Delay"/>
    <s v="1.January"/>
    <n v="5"/>
    <n v="12.534394860606062"/>
    <n v="330"/>
    <n v="827.27006080000012"/>
    <s v="FOB"/>
    <x v="0"/>
    <x v="2"/>
    <n v="1"/>
    <n v="1590.6136363636363"/>
  </r>
  <r>
    <m/>
    <x v="2"/>
    <x v="14"/>
    <s v="MIW6400"/>
    <x v="3"/>
    <n v="1000"/>
    <d v="2023-01-12T00:00:00"/>
    <d v="2023-01-19T00:00:00"/>
    <x v="0"/>
    <d v="2022-12-06T00:00:00"/>
    <s v="Delay"/>
    <s v="1.January"/>
    <n v="5"/>
    <n v="11.11"/>
    <n v="5000"/>
    <n v="11110"/>
    <s v="FOB"/>
    <x v="0"/>
    <x v="2"/>
    <n v="6"/>
    <n v="9543.681818181818"/>
  </r>
  <r>
    <m/>
    <x v="2"/>
    <x v="14"/>
    <s v="MIW6401"/>
    <x v="3"/>
    <n v="981"/>
    <d v="2023-01-20T00:00:00"/>
    <d v="2023-01-26T00:00:00"/>
    <x v="0"/>
    <d v="2022-12-06T00:00:00"/>
    <s v="Delay"/>
    <s v="1.January"/>
    <n v="5"/>
    <n v="11.25"/>
    <n v="4905"/>
    <n v="11036.25"/>
    <s v="FOB"/>
    <x v="0"/>
    <x v="2"/>
    <n v="5"/>
    <n v="7953.0681818181811"/>
  </r>
  <r>
    <m/>
    <x v="2"/>
    <x v="14"/>
    <s v="SNW874F"/>
    <x v="3"/>
    <n v="272"/>
    <d v="2023-01-27T00:00:00"/>
    <d v="2023-01-31T00:00:00"/>
    <x v="0"/>
    <d v="2022-06-16T00:00:00"/>
    <s v="Delay"/>
    <s v="1.January"/>
    <n v="4.5"/>
    <n v="12.096714343434344"/>
    <n v="1224"/>
    <n v="3290.3063014141417"/>
    <s v="FOB"/>
    <x v="0"/>
    <x v="2"/>
    <n v="3"/>
    <n v="4771.840909090909"/>
  </r>
  <r>
    <m/>
    <x v="2"/>
    <x v="15"/>
    <n v="7002763"/>
    <x v="3"/>
    <n v="1473"/>
    <d v="2023-02-01T00:00:00"/>
    <d v="2023-02-17T00:00:00"/>
    <x v="1"/>
    <d v="2023-02-15T00:00:00"/>
    <s v="Ontime"/>
    <s v="2.February"/>
    <n v="3.35"/>
    <n v="7.4705000000000004"/>
    <n v="4934.55"/>
    <n v="11004.0465"/>
    <s v="CMT"/>
    <x v="0"/>
    <x v="2"/>
    <n v="13"/>
    <n v="22745.774999999998"/>
  </r>
  <r>
    <m/>
    <x v="2"/>
    <x v="16"/>
    <s v="TMG-1SH"/>
    <x v="3"/>
    <n v="1190"/>
    <d v="2023-02-20T00:00:00"/>
    <d v="2023-02-28T00:00:00"/>
    <x v="1"/>
    <d v="2023-02-01T00:00:00"/>
    <s v="Ontime"/>
    <s v="2.February"/>
    <n v="3.35"/>
    <n v="7.4705000000000004"/>
    <n v="3986.5"/>
    <n v="8889.8950000000004"/>
    <s v="FOB"/>
    <x v="0"/>
    <x v="2"/>
    <n v="7"/>
    <n v="12247.725"/>
  </r>
  <r>
    <m/>
    <x v="2"/>
    <x v="17"/>
    <s v="LEG MOTEC068 LC 22"/>
    <x v="3"/>
    <n v="900"/>
    <d v="2023-03-01T00:00:00"/>
    <d v="2023-03-03T00:00:00"/>
    <x v="2"/>
    <d v="2023-03-15T00:00:00"/>
    <s v="Ontime"/>
    <s v="3.March"/>
    <n v="0.97"/>
    <n v="2.1825000000000001"/>
    <n v="873"/>
    <n v="1964.25"/>
    <s v="FOB"/>
    <x v="0"/>
    <x v="2"/>
    <n v="3"/>
    <n v="4771.840909090909"/>
  </r>
  <r>
    <m/>
    <x v="2"/>
    <x v="17"/>
    <s v="LEG MOTEC066 LC 22"/>
    <x v="3"/>
    <n v="900"/>
    <d v="2023-03-06T00:00:00"/>
    <d v="2023-03-07T00:00:00"/>
    <x v="2"/>
    <d v="2023-03-15T00:00:00"/>
    <s v="Ontime"/>
    <s v="3.March"/>
    <n v="0.97"/>
    <n v="2.1825000000000001"/>
    <n v="873"/>
    <n v="1964.25"/>
    <s v="FOB"/>
    <x v="0"/>
    <x v="2"/>
    <n v="2"/>
    <n v="3181.2272727272725"/>
  </r>
  <r>
    <m/>
    <x v="2"/>
    <x v="17"/>
    <s v="LEG MOTEC067 LC 22"/>
    <x v="3"/>
    <n v="800"/>
    <d v="2023-03-08T00:00:00"/>
    <d v="2023-03-08T00:00:00"/>
    <x v="2"/>
    <d v="2023-03-15T00:00:00"/>
    <s v="Ontime"/>
    <s v="3.March"/>
    <n v="0.97"/>
    <n v="2.1825000000000001"/>
    <n v="776"/>
    <n v="1746"/>
    <s v="FOB"/>
    <x v="0"/>
    <x v="2"/>
    <n v="1"/>
    <n v="1590.6136363636363"/>
  </r>
  <r>
    <m/>
    <x v="2"/>
    <x v="17"/>
    <s v="LEG MOTEC055 LC 22"/>
    <x v="3"/>
    <n v="2400"/>
    <d v="2023-03-09T00:00:00"/>
    <d v="2023-03-13T00:00:00"/>
    <x v="2"/>
    <d v="2023-03-15T00:00:00"/>
    <s v="Ontime"/>
    <s v="3.March"/>
    <n v="0.97"/>
    <n v="2.1825000000000001"/>
    <n v="2328"/>
    <n v="5238"/>
    <s v="FOB"/>
    <x v="0"/>
    <x v="2"/>
    <n v="3"/>
    <n v="4771.840909090909"/>
  </r>
  <r>
    <m/>
    <x v="2"/>
    <x v="18"/>
    <s v="FLEX NORDIC SOFTSHELL TIGHTS KIDS"/>
    <x v="3"/>
    <n v="900"/>
    <d v="2023-03-14T00:00:00"/>
    <d v="2023-03-20T00:00:00"/>
    <x v="2"/>
    <d v="2023-05-01T00:00:00"/>
    <s v="Ontime"/>
    <s v="5.May"/>
    <n v="4.95"/>
    <n v="5.25"/>
    <n v="4455"/>
    <n v="4725"/>
    <s v="FOB"/>
    <x v="0"/>
    <x v="2"/>
    <n v="5"/>
    <n v="7953.0681818181811"/>
  </r>
  <r>
    <m/>
    <x v="2"/>
    <x v="18"/>
    <s v="FLEX NORDIC SOFTSHELL TIGHTS W"/>
    <x v="3"/>
    <n v="1000"/>
    <d v="2023-03-21T00:00:00"/>
    <d v="2023-03-27T00:00:00"/>
    <x v="2"/>
    <d v="2023-06-05T00:00:00"/>
    <s v="Ontime"/>
    <s v="6.June"/>
    <n v="4.95"/>
    <n v="5.25"/>
    <n v="4950"/>
    <n v="5250"/>
    <s v="FOB"/>
    <x v="0"/>
    <x v="2"/>
    <n v="4"/>
    <n v="6362.454545454545"/>
  </r>
  <r>
    <m/>
    <x v="2"/>
    <x v="18"/>
    <s v="FLEX NORDIC SOFTSHELL TIGHTS W"/>
    <x v="3"/>
    <n v="1018"/>
    <d v="2023-03-28T00:00:00"/>
    <d v="2023-03-30T00:00:00"/>
    <x v="2"/>
    <d v="2023-06-05T00:00:00"/>
    <s v="Ontime"/>
    <s v="6.June"/>
    <n v="4.95"/>
    <n v="5.25"/>
    <n v="5039.1000000000004"/>
    <n v="5344.5"/>
    <s v="FOB"/>
    <x v="0"/>
    <x v="2"/>
    <n v="3"/>
    <n v="4771.840909090909"/>
  </r>
  <r>
    <m/>
    <x v="2"/>
    <x v="18"/>
    <s v=" _x0009_TRAX NORDIC SOFTSHELL PANT M"/>
    <x v="3"/>
    <n v="200"/>
    <d v="2023-03-31T00:00:00"/>
    <d v="2023-03-31T00:00:00"/>
    <x v="2"/>
    <d v="2023-06-05T00:00:00"/>
    <s v="Ontime"/>
    <s v="6.June"/>
    <n v="8.35"/>
    <n v="8.65"/>
    <n v="1670"/>
    <n v="1730"/>
    <s v="FOB"/>
    <x v="0"/>
    <x v="2"/>
    <n v="1"/>
    <n v="1590.6136363636363"/>
  </r>
  <r>
    <m/>
    <x v="2"/>
    <x v="18"/>
    <s v=" _x0009_TRAX NORDIC SOFTSHELL PANT M"/>
    <x v="3"/>
    <n v="400"/>
    <d v="2023-04-03T00:00:00"/>
    <d v="2023-04-04T00:00:00"/>
    <x v="3"/>
    <d v="2023-06-05T00:00:00"/>
    <s v="Ontime"/>
    <s v="6.June"/>
    <n v="8.35"/>
    <n v="8.65"/>
    <n v="3340"/>
    <n v="3460"/>
    <s v="FOB"/>
    <x v="0"/>
    <x v="2"/>
    <n v="2"/>
    <n v="4665.8"/>
  </r>
  <r>
    <m/>
    <x v="2"/>
    <x v="18"/>
    <s v=" _x0009_TRAX NORDIC SOFTSHELL PANT M"/>
    <x v="3"/>
    <n v="746"/>
    <d v="2023-04-05T00:00:00"/>
    <d v="2023-04-06T00:00:00"/>
    <x v="3"/>
    <d v="2023-06-05T00:00:00"/>
    <s v="Ontime"/>
    <s v="6.June"/>
    <n v="8.35"/>
    <n v="8.65"/>
    <n v="6229.0999999999995"/>
    <n v="6452.9000000000005"/>
    <s v="FOB"/>
    <x v="0"/>
    <x v="2"/>
    <n v="2"/>
    <n v="4665.8"/>
  </r>
  <r>
    <m/>
    <x v="2"/>
    <x v="18"/>
    <s v="TRAX NORDIC SOFTSHELL PANT W"/>
    <x v="3"/>
    <n v="1063"/>
    <d v="2023-04-07T00:00:00"/>
    <d v="2023-04-11T00:00:00"/>
    <x v="3"/>
    <d v="2023-06-05T00:00:00"/>
    <s v="Ontime"/>
    <s v="6.June"/>
    <n v="8.35"/>
    <n v="8.65"/>
    <n v="8876.0499999999993"/>
    <n v="9194.9500000000007"/>
    <s v="FOB"/>
    <x v="0"/>
    <x v="2"/>
    <n v="2"/>
    <n v="4665.8"/>
  </r>
  <r>
    <m/>
    <x v="2"/>
    <x v="18"/>
    <s v="COLD RUSH THEMAL TIGHTS M"/>
    <x v="3"/>
    <n v="1000"/>
    <d v="2023-04-12T00:00:00"/>
    <d v="2023-04-19T00:00:00"/>
    <x v="3"/>
    <d v="2023-04-24T00:00:00"/>
    <s v="Ontime"/>
    <s v="4.April"/>
    <n v="3.3499999999999996"/>
    <n v="3.65"/>
    <n v="3349.9999999999995"/>
    <n v="3650"/>
    <s v="FOB"/>
    <x v="0"/>
    <x v="2"/>
    <n v="6"/>
    <n v="13997.400000000001"/>
  </r>
  <r>
    <m/>
    <x v="2"/>
    <x v="18"/>
    <s v="COLD RUSH THEMAL TIGHTS W"/>
    <x v="3"/>
    <n v="1000"/>
    <d v="2023-04-20T00:00:00"/>
    <d v="2023-04-29T00:00:00"/>
    <x v="3"/>
    <d v="2023-05-29T00:00:00"/>
    <s v="Ontime"/>
    <s v="5.May"/>
    <n v="3.6500000000000004"/>
    <n v="3.95"/>
    <n v="3650.0000000000005"/>
    <n v="3950"/>
    <s v="FOB"/>
    <x v="0"/>
    <x v="2"/>
    <n v="3"/>
    <n v="6998.7000000000007"/>
  </r>
  <r>
    <m/>
    <x v="2"/>
    <x v="18"/>
    <s v="FLEX NORDIC SOFTSHELL JACKET KIDS"/>
    <x v="3"/>
    <n v="200"/>
    <d v="2023-05-01T00:00:00"/>
    <d v="2023-05-02T00:00:00"/>
    <x v="4"/>
    <d v="2023-05-01T00:00:00"/>
    <s v="Ontime"/>
    <s v="5.May"/>
    <n v="6.45"/>
    <n v="6.75"/>
    <n v="1290"/>
    <n v="1350"/>
    <s v="FOB"/>
    <x v="0"/>
    <x v="2"/>
    <n v="1"/>
    <n v="1666.3571428571429"/>
  </r>
  <r>
    <m/>
    <x v="2"/>
    <x v="18"/>
    <s v="FLEX NORDIC SOFTSHELL JACKET KIDS"/>
    <x v="3"/>
    <n v="450"/>
    <d v="2023-05-03T00:00:00"/>
    <d v="2023-05-05T00:00:00"/>
    <x v="4"/>
    <d v="2023-05-01T00:00:00"/>
    <s v="Ontime"/>
    <s v="5.May"/>
    <n v="6.45"/>
    <n v="6.75"/>
    <n v="2902.5"/>
    <n v="3037.5"/>
    <s v="FOB"/>
    <x v="0"/>
    <x v="2"/>
    <n v="3"/>
    <n v="4999.0714285714284"/>
  </r>
  <r>
    <m/>
    <x v="2"/>
    <x v="18"/>
    <s v="FLEX NORDIC SOFTSHELL JACKET M"/>
    <x v="3"/>
    <n v="1100"/>
    <d v="2023-05-08T00:00:00"/>
    <d v="2023-05-16T00:00:00"/>
    <x v="4"/>
    <d v="2023-05-29T00:00:00"/>
    <s v="Ontime"/>
    <s v="5.May"/>
    <n v="6.45"/>
    <n v="6.75"/>
    <n v="7095"/>
    <n v="7425"/>
    <s v="FOB"/>
    <x v="0"/>
    <x v="2"/>
    <n v="7"/>
    <n v="11664.5"/>
  </r>
  <r>
    <m/>
    <x v="2"/>
    <x v="18"/>
    <s v="FLEX NORDIC SOFTSHELL JACKET W"/>
    <x v="3"/>
    <n v="1272"/>
    <d v="2023-05-17T00:00:00"/>
    <d v="2023-05-29T00:00:00"/>
    <x v="4"/>
    <d v="2023-05-29T00:00:00"/>
    <s v="Ontime"/>
    <s v="5.May"/>
    <n v="6.45"/>
    <n v="6.75"/>
    <n v="8204.4"/>
    <n v="8586"/>
    <s v="FOB"/>
    <x v="0"/>
    <x v="2"/>
    <n v="8"/>
    <n v="13330.857142857143"/>
  </r>
  <r>
    <m/>
    <x v="2"/>
    <x v="18"/>
    <s v="CALEFACTION HEADAND"/>
    <x v="3"/>
    <n v="1000"/>
    <d v="2023-05-30T00:00:00"/>
    <d v="2023-05-31T00:00:00"/>
    <x v="4"/>
    <d v="2023-05-29T00:00:00"/>
    <s v="Ontime"/>
    <s v="6.June"/>
    <n v="1.2"/>
    <n v="1.9"/>
    <n v="1200"/>
    <n v="1900"/>
    <s v="FOB"/>
    <x v="0"/>
    <x v="2"/>
    <n v="2"/>
    <n v="3332.7142857142858"/>
  </r>
  <r>
    <m/>
    <x v="2"/>
    <x v="19"/>
    <s v="PROJECTION REGULER"/>
    <x v="3"/>
    <n v="28000"/>
    <d v="2023-06-01T00:00:00"/>
    <d v="2023-06-30T00:00:00"/>
    <x v="5"/>
    <d v="2023-07-05T00:00:00"/>
    <s v="Ontime"/>
    <s v="07.Juli"/>
    <n v="0.76"/>
    <n v="1.9"/>
    <n v="21280"/>
    <n v="53200"/>
    <s v="FOB"/>
    <x v="0"/>
    <x v="2"/>
    <n v="20"/>
    <n v="34993.5"/>
  </r>
  <r>
    <m/>
    <x v="2"/>
    <x v="19"/>
    <s v="PROJECTION REGULER"/>
    <x v="3"/>
    <n v="28000"/>
    <d v="2023-07-03T00:00:00"/>
    <d v="2023-07-31T00:00:00"/>
    <x v="6"/>
    <d v="2023-07-05T00:00:00"/>
    <s v="Ontime"/>
    <s v="08.Agustus"/>
    <n v="0.76"/>
    <n v="1.9"/>
    <n v="21280"/>
    <n v="53200"/>
    <s v="FOB"/>
    <x v="0"/>
    <x v="2"/>
    <n v="20"/>
    <n v="34993.5"/>
  </r>
  <r>
    <m/>
    <x v="2"/>
    <x v="19"/>
    <s v="PROJECTION REGULER"/>
    <x v="3"/>
    <n v="28000"/>
    <d v="2023-08-01T00:00:00"/>
    <d v="2023-08-31T00:00:00"/>
    <x v="7"/>
    <d v="2023-08-05T00:00:00"/>
    <s v="Ontime"/>
    <s v="09.September"/>
    <n v="0.76"/>
    <n v="1.9"/>
    <n v="21280"/>
    <n v="53200"/>
    <s v="FOB"/>
    <x v="0"/>
    <x v="2"/>
    <n v="22"/>
    <n v="34993.5"/>
  </r>
  <r>
    <m/>
    <x v="2"/>
    <x v="19"/>
    <s v="PROJECTION REGULER"/>
    <x v="3"/>
    <n v="28000"/>
    <d v="2023-09-01T00:00:00"/>
    <d v="2023-09-30T00:00:00"/>
    <x v="8"/>
    <d v="2023-09-05T00:00:00"/>
    <s v="Ontime"/>
    <s v="10.Oktober"/>
    <n v="0.76"/>
    <n v="1.9"/>
    <n v="21280"/>
    <n v="53200"/>
    <s v="FOB"/>
    <x v="0"/>
    <x v="2"/>
    <n v="20"/>
    <n v="34993.5"/>
  </r>
  <r>
    <m/>
    <x v="2"/>
    <x v="19"/>
    <s v="PROJECTION REGULER"/>
    <x v="3"/>
    <n v="28000"/>
    <d v="2023-10-02T00:00:00"/>
    <d v="2023-10-31T00:00:00"/>
    <x v="9"/>
    <s v="05/010/2023"/>
    <s v="Ontime"/>
    <s v="11.November"/>
    <n v="0.76"/>
    <n v="1.9"/>
    <n v="21280"/>
    <n v="53200"/>
    <s v="FOB"/>
    <x v="0"/>
    <x v="2"/>
    <n v="22"/>
    <n v="34993.5"/>
  </r>
  <r>
    <m/>
    <x v="2"/>
    <x v="19"/>
    <s v="PROJECTION REGULER"/>
    <x v="3"/>
    <n v="28000"/>
    <d v="2023-11-01T00:00:00"/>
    <d v="2023-11-30T00:00:00"/>
    <x v="10"/>
    <s v="05/011/2023"/>
    <s v="Ontime"/>
    <s v="12.Desember"/>
    <n v="0.76"/>
    <n v="1.9"/>
    <n v="21280"/>
    <n v="53200"/>
    <s v="FOB"/>
    <x v="0"/>
    <x v="2"/>
    <n v="22"/>
    <n v="34993.5"/>
  </r>
  <r>
    <m/>
    <x v="2"/>
    <x v="19"/>
    <s v="PROJECTION REGULER"/>
    <x v="3"/>
    <n v="28000"/>
    <d v="2023-12-01T00:00:00"/>
    <d v="2023-12-29T00:00:00"/>
    <x v="11"/>
    <d v="2023-12-05T00:00:00"/>
    <s v="Ontime"/>
    <s v="01.January"/>
    <n v="0.76"/>
    <n v="1.9"/>
    <n v="21280"/>
    <n v="53200"/>
    <s v="FOB"/>
    <x v="0"/>
    <x v="2"/>
    <n v="20"/>
    <n v="34993.5"/>
  </r>
  <r>
    <m/>
    <x v="1"/>
    <x v="13"/>
    <m/>
    <x v="2"/>
    <m/>
    <m/>
    <m/>
    <x v="12"/>
    <m/>
    <m/>
    <m/>
    <m/>
    <m/>
    <m/>
    <m/>
    <m/>
    <x v="1"/>
    <x v="1"/>
    <m/>
    <m/>
  </r>
  <r>
    <m/>
    <x v="3"/>
    <x v="19"/>
    <s v="PO#0145977"/>
    <x v="4"/>
    <n v="8145"/>
    <d v="2023-01-02T00:00:00"/>
    <d v="2023-01-09T00:00:00"/>
    <x v="0"/>
    <d v="2023-01-13T00:00:00"/>
    <s v="Ontime"/>
    <s v="1.January"/>
    <n v="0.76859569999999999"/>
    <n v="2.3452199999999999"/>
    <n v="6260.2119764999998"/>
    <n v="19101.816899999998"/>
    <s v="FOB"/>
    <x v="0"/>
    <x v="2"/>
    <n v="6"/>
    <n v="4942.363636363636"/>
  </r>
  <r>
    <m/>
    <x v="3"/>
    <x v="19"/>
    <s v="PO#0145978"/>
    <x v="4"/>
    <n v="8210"/>
    <d v="2023-01-10T00:00:00"/>
    <d v="2023-01-17T00:00:00"/>
    <x v="0"/>
    <d v="2023-01-20T00:00:00"/>
    <s v="Ontime"/>
    <s v="1.January"/>
    <n v="0.76859569999999999"/>
    <n v="2.2141999999999999"/>
    <n v="6310.1706969999996"/>
    <n v="18178.581999999999"/>
    <s v="FOB"/>
    <x v="0"/>
    <x v="2"/>
    <n v="6"/>
    <n v="4942.363636363636"/>
  </r>
  <r>
    <m/>
    <x v="3"/>
    <x v="20"/>
    <n v="296357076"/>
    <x v="4"/>
    <n v="7263"/>
    <d v="2023-01-18T00:00:00"/>
    <d v="2023-01-24T00:00:00"/>
    <x v="0"/>
    <d v="2023-02-15T00:00:00"/>
    <s v="Ontime"/>
    <s v="2.February"/>
    <n v="1.45"/>
    <n v="2.677"/>
    <n v="10531.35"/>
    <n v="19443.050999999999"/>
    <s v="FOB"/>
    <x v="0"/>
    <x v="2"/>
    <n v="5"/>
    <n v="4118.636363636364"/>
  </r>
  <r>
    <m/>
    <x v="3"/>
    <x v="20"/>
    <n v="296357077"/>
    <x v="4"/>
    <n v="6032"/>
    <d v="2023-01-25T00:00:00"/>
    <d v="2023-01-30T00:00:00"/>
    <x v="0"/>
    <d v="2023-02-15T00:00:00"/>
    <s v="Ontime"/>
    <s v="2.February"/>
    <n v="1.45"/>
    <n v="2.6812"/>
    <n v="8746.4"/>
    <n v="16172.9984"/>
    <s v="FOB"/>
    <x v="0"/>
    <x v="2"/>
    <n v="4"/>
    <n v="3294.909090909091"/>
  </r>
  <r>
    <m/>
    <x v="3"/>
    <x v="19"/>
    <s v="PO#0146047"/>
    <x v="4"/>
    <n v="2730"/>
    <d v="2023-01-31T00:00:00"/>
    <d v="2023-01-31T00:00:00"/>
    <x v="0"/>
    <d v="2023-02-17T00:00:00"/>
    <s v="Ontime"/>
    <s v="2.February"/>
    <n v="0.76859569999999999"/>
    <n v="6.7771556776556769"/>
    <n v="2098.2662609999998"/>
    <n v="18501.634999999998"/>
    <s v="FOB"/>
    <x v="0"/>
    <x v="2"/>
    <n v="1"/>
    <n v="823.72727272727275"/>
  </r>
  <r>
    <m/>
    <x v="3"/>
    <x v="19"/>
    <s v="PO#0146047"/>
    <x v="4"/>
    <n v="14654"/>
    <d v="2023-02-01T00:00:00"/>
    <d v="2023-02-10T00:00:00"/>
    <x v="1"/>
    <d v="2023-02-17T00:00:00"/>
    <s v="Ontime"/>
    <s v="2.February"/>
    <n v="0.81"/>
    <n v="1.2625655111232428"/>
    <n v="11869.740000000002"/>
    <n v="18501.634999999998"/>
    <s v="FOB"/>
    <x v="0"/>
    <x v="2"/>
    <n v="8"/>
    <n v="7248.8"/>
  </r>
  <r>
    <m/>
    <x v="3"/>
    <x v="20"/>
    <n v="296357079"/>
    <x v="4"/>
    <n v="6912"/>
    <d v="2023-02-13T00:00:00"/>
    <d v="2023-02-16T00:00:00"/>
    <x v="1"/>
    <d v="2023-04-15T00:00:00"/>
    <s v="Ontime"/>
    <s v="4.April"/>
    <n v="0.9"/>
    <n v="2.7266659999999998"/>
    <n v="6220.8"/>
    <n v="18846.715391999998"/>
    <s v="FOB"/>
    <x v="0"/>
    <x v="2"/>
    <n v="4"/>
    <n v="3624.4"/>
  </r>
  <r>
    <m/>
    <x v="3"/>
    <x v="21"/>
    <s v="297295640 &amp; 297387581"/>
    <x v="4"/>
    <n v="6912"/>
    <d v="2023-02-17T00:00:00"/>
    <d v="2023-02-21T00:00:00"/>
    <x v="1"/>
    <d v="2023-04-15T00:00:00"/>
    <s v="Ontime"/>
    <s v="4.April"/>
    <n v="0.9"/>
    <n v="2.9566666599999998"/>
    <n v="6220.8"/>
    <n v="20436.479953919999"/>
    <s v="FOB"/>
    <x v="0"/>
    <x v="2"/>
    <n v="3"/>
    <n v="2718.3"/>
  </r>
  <r>
    <m/>
    <x v="3"/>
    <x v="21"/>
    <s v="297295641 &amp; 297387582"/>
    <x v="4"/>
    <n v="2880"/>
    <d v="2023-02-22T00:00:00"/>
    <d v="2023-02-23T00:00:00"/>
    <x v="1"/>
    <d v="2023-05-15T00:00:00"/>
    <s v="Ontime"/>
    <s v="5.May"/>
    <n v="0.9"/>
    <n v="2.9566666599999998"/>
    <n v="2592"/>
    <n v="8515.1999808"/>
    <s v="FOB"/>
    <x v="0"/>
    <x v="2"/>
    <n v="2"/>
    <n v="1812.2"/>
  </r>
  <r>
    <m/>
    <x v="3"/>
    <x v="21"/>
    <s v="PO#0146082"/>
    <x v="4"/>
    <n v="5208"/>
    <d v="2023-02-27T00:00:00"/>
    <d v="2023-02-28T00:00:00"/>
    <x v="1"/>
    <d v="2023-04-15T00:00:00"/>
    <s v="Ontime"/>
    <s v="4.April"/>
    <n v="0.81"/>
    <n v="2.1775000000000002"/>
    <n v="4218.4800000000005"/>
    <n v="11340.420000000002"/>
    <s v="FOB"/>
    <x v="0"/>
    <x v="2"/>
    <n v="2"/>
    <n v="1812.2"/>
  </r>
  <r>
    <m/>
    <x v="3"/>
    <x v="20"/>
    <n v="296357080"/>
    <x v="4"/>
    <n v="2000"/>
    <d v="2023-02-28T00:00:00"/>
    <d v="2023-02-28T00:00:00"/>
    <x v="1"/>
    <d v="2023-05-15T00:00:00"/>
    <s v="Ontime"/>
    <s v="5.May"/>
    <n v="0.9"/>
    <n v="2.7266599999999999"/>
    <n v="1800"/>
    <n v="5453.32"/>
    <s v="FOB"/>
    <x v="0"/>
    <x v="2"/>
    <n v="1"/>
    <n v="906.1"/>
  </r>
  <r>
    <m/>
    <x v="3"/>
    <x v="20"/>
    <n v="296357080"/>
    <x v="4"/>
    <n v="5776"/>
    <d v="2023-03-01T00:00:00"/>
    <d v="2023-03-03T00:00:00"/>
    <x v="2"/>
    <d v="2023-05-15T00:00:00"/>
    <s v="Ontime"/>
    <s v="5.May"/>
    <n v="0.9"/>
    <n v="2.7266599999999999"/>
    <n v="5198.4000000000005"/>
    <n v="15749.18816"/>
    <s v="FOB"/>
    <x v="0"/>
    <x v="2"/>
    <n v="3"/>
    <n v="2471.181818181818"/>
  </r>
  <r>
    <m/>
    <x v="3"/>
    <x v="21"/>
    <s v="297295642, 297295643, 297387583"/>
    <x v="4"/>
    <n v="5760"/>
    <d v="2023-03-06T00:00:00"/>
    <d v="2023-03-07T00:00:00"/>
    <x v="2"/>
    <d v="2023-06-15T00:00:00"/>
    <s v="Ontime"/>
    <s v="6.June"/>
    <n v="0.9"/>
    <n v="2.9566666599999998"/>
    <n v="5184"/>
    <n v="17030.3999616"/>
    <s v="FOB"/>
    <x v="0"/>
    <x v="2"/>
    <n v="2"/>
    <n v="1647.4545454545455"/>
  </r>
  <r>
    <m/>
    <x v="3"/>
    <x v="19"/>
    <s v="PO#0146220"/>
    <x v="4"/>
    <n v="19296"/>
    <d v="2023-03-08T00:00:00"/>
    <d v="2023-03-21T00:00:00"/>
    <x v="2"/>
    <d v="2023-04-15T00:00:00"/>
    <s v="Ontime"/>
    <s v="4.April"/>
    <n v="0.73"/>
    <n v="1.3425"/>
    <n v="14086.08"/>
    <n v="25904.880000000001"/>
    <s v="FOB"/>
    <x v="0"/>
    <x v="2"/>
    <n v="10"/>
    <n v="8237.2727272727279"/>
  </r>
  <r>
    <m/>
    <x v="3"/>
    <x v="19"/>
    <s v="PO#0146248"/>
    <x v="4"/>
    <n v="12000"/>
    <d v="2023-03-23T00:00:00"/>
    <d v="2023-03-31T00:00:00"/>
    <x v="2"/>
    <d v="2023-04-15T00:00:00"/>
    <s v="Ontime"/>
    <s v="4.April"/>
    <n v="0.81"/>
    <n v="1.9528586999999999"/>
    <n v="9720"/>
    <n v="23434.304400000001"/>
    <s v="FOB"/>
    <x v="0"/>
    <x v="2"/>
    <n v="7"/>
    <n v="5766.090909090909"/>
  </r>
  <r>
    <m/>
    <x v="3"/>
    <x v="19"/>
    <s v="PO#0146248"/>
    <x v="4"/>
    <n v="4182"/>
    <d v="2023-04-03T00:00:00"/>
    <d v="2023-04-04T00:00:00"/>
    <x v="3"/>
    <d v="2023-04-15T00:00:00"/>
    <s v="Ontime"/>
    <s v="4.April"/>
    <n v="0.81"/>
    <n v="1.9528586999999999"/>
    <n v="3387.42"/>
    <n v="8166.8550833999998"/>
    <s v="FOB"/>
    <x v="0"/>
    <x v="2"/>
    <n v="2"/>
    <n v="2416.2666666666669"/>
  </r>
  <r>
    <m/>
    <x v="3"/>
    <x v="19"/>
    <s v="PO#0146247"/>
    <x v="4"/>
    <n v="1512"/>
    <d v="2023-04-05T00:00:00"/>
    <d v="2023-04-05T00:00:00"/>
    <x v="3"/>
    <d v="2023-04-15T00:00:00"/>
    <s v="Ontime"/>
    <s v="4.April"/>
    <n v="0.81"/>
    <n v="2.5962999999999998"/>
    <n v="1224.72"/>
    <n v="3925.6055999999999"/>
    <s v="FOB"/>
    <x v="0"/>
    <x v="2"/>
    <n v="1"/>
    <n v="1208.1333333333334"/>
  </r>
  <r>
    <m/>
    <x v="3"/>
    <x v="19"/>
    <s v="PO#0146328"/>
    <x v="4"/>
    <n v="24000"/>
    <d v="2023-04-06T00:00:00"/>
    <d v="2023-04-28T00:00:00"/>
    <x v="3"/>
    <d v="2023-05-15T00:00:00"/>
    <s v="Ontime"/>
    <s v="5.May"/>
    <n v="0.70676996607999998"/>
    <n v="1.8265873015873018"/>
    <n v="16962.479185919998"/>
    <n v="43838.095238095244"/>
    <s v="FOB"/>
    <x v="0"/>
    <x v="2"/>
    <n v="12"/>
    <n v="14497.600000000002"/>
  </r>
  <r>
    <m/>
    <x v="3"/>
    <x v="19"/>
    <s v="PO#0146328"/>
    <x v="4"/>
    <n v="3972"/>
    <d v="2023-05-02T00:00:00"/>
    <d v="2023-05-03T00:00:00"/>
    <x v="4"/>
    <d v="2023-05-15T00:00:00"/>
    <s v="Ontime"/>
    <s v="5.May"/>
    <n v="0.70676996607999998"/>
    <n v="1.8265873015873018"/>
    <n v="2807.2903052697598"/>
    <n v="7255.2047619047626"/>
    <s v="FOB"/>
    <x v="0"/>
    <x v="2"/>
    <n v="2"/>
    <n v="1725.9047619047619"/>
  </r>
  <r>
    <m/>
    <x v="3"/>
    <x v="19"/>
    <s v="PO#0146329"/>
    <x v="4"/>
    <n v="10944"/>
    <d v="2023-05-04T00:00:00"/>
    <d v="2023-05-10T00:00:00"/>
    <x v="4"/>
    <d v="2023-05-15T00:00:00"/>
    <s v="Ontime"/>
    <s v="5.May"/>
    <n v="0.70676996607999998"/>
    <n v="2.1530372807017546"/>
    <n v="7734.8905087795201"/>
    <n v="23562.840000000004"/>
    <s v="FOB"/>
    <x v="0"/>
    <x v="2"/>
    <n v="5"/>
    <n v="4314.7619047619046"/>
  </r>
  <r>
    <m/>
    <x v="3"/>
    <x v="19"/>
    <s v="PROJECTION"/>
    <x v="4"/>
    <n v="28000"/>
    <d v="2023-05-11T00:00:00"/>
    <d v="2023-05-31T00:00:00"/>
    <x v="4"/>
    <d v="2023-05-30T00:00:00"/>
    <s v="Ontime"/>
    <s v="6.June"/>
    <n v="0.76"/>
    <n v="1.9"/>
    <n v="21280"/>
    <n v="53200"/>
    <s v="FOB"/>
    <x v="2"/>
    <x v="2"/>
    <n v="14"/>
    <n v="12081.333333333334"/>
  </r>
  <r>
    <m/>
    <x v="3"/>
    <x v="19"/>
    <s v="PROJECTION"/>
    <x v="4"/>
    <n v="40000"/>
    <d v="2023-06-01T00:00:00"/>
    <d v="2023-06-30T00:00:00"/>
    <x v="5"/>
    <s v="31/06/2023"/>
    <s v="Ontime"/>
    <s v="07.July"/>
    <n v="0.76"/>
    <n v="1.9"/>
    <n v="30400"/>
    <n v="76000"/>
    <s v="FOB"/>
    <x v="2"/>
    <x v="2"/>
    <n v="20"/>
    <n v="18122"/>
  </r>
  <r>
    <m/>
    <x v="3"/>
    <x v="19"/>
    <s v="PROJECTION"/>
    <x v="4"/>
    <n v="40000"/>
    <d v="2023-07-03T00:00:00"/>
    <d v="2023-07-31T00:00:00"/>
    <x v="6"/>
    <d v="2023-07-31T00:00:00"/>
    <s v="Ontime"/>
    <s v="08.Agustus"/>
    <n v="0.76"/>
    <n v="1.9"/>
    <n v="30400"/>
    <n v="76000"/>
    <s v="FOB"/>
    <x v="2"/>
    <x v="2"/>
    <n v="20"/>
    <n v="18429.5"/>
  </r>
  <r>
    <m/>
    <x v="3"/>
    <x v="19"/>
    <s v="PROJECTION"/>
    <x v="4"/>
    <n v="40000"/>
    <d v="2023-08-01T00:00:00"/>
    <d v="2023-08-31T00:00:00"/>
    <x v="7"/>
    <d v="2023-08-31T00:00:00"/>
    <s v="Ontime"/>
    <s v="09.September"/>
    <n v="0.76"/>
    <n v="1.9"/>
    <n v="30400"/>
    <n v="76000"/>
    <s v="FOB"/>
    <x v="2"/>
    <x v="2"/>
    <n v="22"/>
    <n v="18429.5"/>
  </r>
  <r>
    <m/>
    <x v="3"/>
    <x v="19"/>
    <s v="PROJECTION"/>
    <x v="4"/>
    <n v="40000"/>
    <d v="2023-09-01T00:00:00"/>
    <d v="2023-09-30T00:00:00"/>
    <x v="8"/>
    <d v="2023-09-30T00:00:00"/>
    <s v="Ontime"/>
    <s v="10.Oktober"/>
    <n v="0.76"/>
    <n v="1.9"/>
    <n v="30400"/>
    <n v="76000"/>
    <s v="FOB"/>
    <x v="2"/>
    <x v="2"/>
    <n v="20"/>
    <n v="18429.5"/>
  </r>
  <r>
    <m/>
    <x v="3"/>
    <x v="19"/>
    <s v="PROJECTION"/>
    <x v="4"/>
    <n v="40000"/>
    <d v="2023-10-02T00:00:00"/>
    <d v="2023-10-31T00:00:00"/>
    <x v="9"/>
    <d v="2023-10-30T00:00:00"/>
    <s v="Ontime"/>
    <s v="11.November"/>
    <n v="0.76"/>
    <n v="1.9"/>
    <n v="30400"/>
    <n v="76000"/>
    <s v="FOB"/>
    <x v="2"/>
    <x v="2"/>
    <n v="22"/>
    <n v="18429.5"/>
  </r>
  <r>
    <m/>
    <x v="3"/>
    <x v="19"/>
    <s v="PROJECTION"/>
    <x v="4"/>
    <n v="40000"/>
    <d v="2023-11-01T00:00:00"/>
    <d v="2023-11-30T00:00:00"/>
    <x v="10"/>
    <d v="2023-10-30T00:00:00"/>
    <s v="Ontime"/>
    <s v="12.Desember"/>
    <n v="0.76"/>
    <n v="1.9"/>
    <n v="30400"/>
    <n v="76000"/>
    <s v="FOB"/>
    <x v="2"/>
    <x v="2"/>
    <n v="22"/>
    <n v="18429.5"/>
  </r>
  <r>
    <m/>
    <x v="3"/>
    <x v="19"/>
    <s v="PROJECTION"/>
    <x v="4"/>
    <n v="40000"/>
    <d v="2023-12-01T00:00:00"/>
    <d v="2023-12-29T00:00:00"/>
    <x v="11"/>
    <d v="2023-10-30T00:00:00"/>
    <s v="Ontime"/>
    <s v="01.January"/>
    <n v="0.76"/>
    <n v="1.9"/>
    <n v="30400"/>
    <n v="76000"/>
    <s v="FOB"/>
    <x v="2"/>
    <x v="2"/>
    <n v="20"/>
    <n v="18429.5"/>
  </r>
  <r>
    <m/>
    <x v="3"/>
    <x v="19"/>
    <s v="PO#0145977"/>
    <x v="5"/>
    <n v="9330"/>
    <d v="2023-01-02T00:00:00"/>
    <d v="2023-01-06T00:00:00"/>
    <x v="0"/>
    <d v="2023-01-13T00:00:00"/>
    <s v="Ontime"/>
    <s v="1.January"/>
    <n v="0.76533799999999996"/>
    <n v="2.3452199999999999"/>
    <n v="7140.6035400000001"/>
    <n v="21880.902599999998"/>
    <s v="FOB"/>
    <x v="0"/>
    <x v="2"/>
    <n v="5"/>
    <n v="4118.636363636364"/>
  </r>
  <r>
    <m/>
    <x v="3"/>
    <x v="19"/>
    <s v="PO#0145978"/>
    <x v="5"/>
    <n v="8690"/>
    <d v="2023-01-09T00:00:00"/>
    <d v="2023-01-16T00:00:00"/>
    <x v="0"/>
    <d v="2023-01-20T00:00:00"/>
    <s v="Ontime"/>
    <s v="1.January"/>
    <n v="0.76533799999999996"/>
    <n v="2.2141999999999999"/>
    <n v="6650.7872199999993"/>
    <n v="19241.398000000001"/>
    <s v="FOB"/>
    <x v="0"/>
    <x v="2"/>
    <n v="6"/>
    <n v="4942.363636363636"/>
  </r>
  <r>
    <m/>
    <x v="3"/>
    <x v="20"/>
    <n v="296357076"/>
    <x v="5"/>
    <n v="5630"/>
    <d v="2023-01-17T00:00:00"/>
    <d v="2023-01-23T00:00:00"/>
    <x v="0"/>
    <d v="2023-02-15T00:00:00"/>
    <s v="Ontime"/>
    <s v="2.February"/>
    <n v="1.45"/>
    <n v="2.677"/>
    <n v="8163.5"/>
    <n v="15071.51"/>
    <s v="FOB"/>
    <x v="2"/>
    <x v="2"/>
    <n v="5"/>
    <n v="4118.636363636364"/>
  </r>
  <r>
    <m/>
    <x v="3"/>
    <x v="20"/>
    <n v="296357077"/>
    <x v="5"/>
    <n v="7430"/>
    <d v="2023-01-24T00:00:00"/>
    <d v="2023-01-30T00:00:00"/>
    <x v="0"/>
    <d v="2023-02-15T00:00:00"/>
    <s v="Ontime"/>
    <s v="2.February"/>
    <n v="1.45"/>
    <n v="2.6812"/>
    <n v="10773.5"/>
    <n v="19921.315999999999"/>
    <s v="FOB"/>
    <x v="2"/>
    <x v="2"/>
    <n v="5"/>
    <n v="4118.636363636364"/>
  </r>
  <r>
    <m/>
    <x v="3"/>
    <x v="19"/>
    <s v="PO#0146047"/>
    <x v="5"/>
    <n v="2035"/>
    <d v="2023-01-31T00:00:00"/>
    <d v="2023-01-31T00:00:00"/>
    <x v="0"/>
    <d v="2023-02-17T00:00:00"/>
    <s v="Ontime"/>
    <s v="2.February"/>
    <n v="0.8"/>
    <n v="9.0917125307125293"/>
    <n v="1628"/>
    <n v="18501.634999999998"/>
    <s v="FOB"/>
    <x v="2"/>
    <x v="2"/>
    <n v="1"/>
    <n v="823.72727272727275"/>
  </r>
  <r>
    <m/>
    <x v="3"/>
    <x v="19"/>
    <s v="PO#0146047"/>
    <x v="5"/>
    <n v="14655"/>
    <d v="2023-02-01T00:00:00"/>
    <d v="2023-02-10T00:00:00"/>
    <x v="1"/>
    <d v="2023-02-17T00:00:00"/>
    <s v="Ontime"/>
    <s v="2.February"/>
    <n v="0.81"/>
    <n v="1.262479358580689"/>
    <n v="11870.550000000001"/>
    <n v="18501.634999999998"/>
    <s v="FOB"/>
    <x v="2"/>
    <x v="2"/>
    <n v="8"/>
    <n v="7248.8"/>
  </r>
  <r>
    <m/>
    <x v="3"/>
    <x v="20"/>
    <n v="296357079"/>
    <x v="5"/>
    <n v="6912"/>
    <d v="2023-02-13T00:00:00"/>
    <d v="2023-02-16T00:00:00"/>
    <x v="1"/>
    <d v="2023-04-15T00:00:00"/>
    <s v="Ontime"/>
    <s v="4.April"/>
    <n v="0.9"/>
    <n v="2.7266659999999998"/>
    <n v="6220.8"/>
    <n v="18846.715391999998"/>
    <s v="FOB"/>
    <x v="2"/>
    <x v="2"/>
    <n v="4"/>
    <n v="3624.4"/>
  </r>
  <r>
    <m/>
    <x v="3"/>
    <x v="21"/>
    <s v="297295640 &amp; 297387581"/>
    <x v="5"/>
    <n v="6912"/>
    <d v="2023-02-17T00:00:00"/>
    <d v="2023-02-21T00:00:00"/>
    <x v="1"/>
    <d v="2023-04-15T00:00:00"/>
    <s v="Ontime"/>
    <s v="4.April"/>
    <n v="0.9"/>
    <n v="2.9566666599999998"/>
    <n v="6220.8"/>
    <n v="20436.479953919999"/>
    <s v="FOB"/>
    <x v="2"/>
    <x v="2"/>
    <n v="3"/>
    <n v="2718.3"/>
  </r>
  <r>
    <m/>
    <x v="3"/>
    <x v="21"/>
    <s v="297295641 &amp; 297387582"/>
    <x v="5"/>
    <n v="2880"/>
    <d v="2023-02-22T00:00:00"/>
    <d v="2023-02-23T00:00:00"/>
    <x v="1"/>
    <d v="2023-05-15T00:00:00"/>
    <s v="Ontime"/>
    <s v="5.May"/>
    <n v="0.9"/>
    <n v="2.9566666599999998"/>
    <n v="2592"/>
    <n v="8515.1999808"/>
    <s v="FOB"/>
    <x v="2"/>
    <x v="2"/>
    <n v="2"/>
    <n v="1812.2"/>
  </r>
  <r>
    <m/>
    <x v="3"/>
    <x v="21"/>
    <s v="PO#0146082"/>
    <x v="5"/>
    <n v="5208"/>
    <d v="2023-02-27T00:00:00"/>
    <d v="2023-02-28T00:00:00"/>
    <x v="1"/>
    <d v="2023-04-15T00:00:00"/>
    <s v="Ontime"/>
    <s v="4.April"/>
    <n v="0.81"/>
    <n v="2.1775000000000002"/>
    <n v="4218.4800000000005"/>
    <n v="11340.420000000002"/>
    <s v="FOB"/>
    <x v="2"/>
    <x v="2"/>
    <n v="2"/>
    <n v="1812.2"/>
  </r>
  <r>
    <m/>
    <x v="3"/>
    <x v="20"/>
    <n v="296357080"/>
    <x v="5"/>
    <n v="2000"/>
    <d v="2023-02-28T00:00:00"/>
    <d v="2023-02-28T00:00:00"/>
    <x v="1"/>
    <d v="2023-05-15T00:00:00"/>
    <s v="Ontime"/>
    <s v="5.May"/>
    <n v="0.9"/>
    <n v="2.7266599999999999"/>
    <n v="1800"/>
    <n v="5453.32"/>
    <s v="FOB"/>
    <x v="2"/>
    <x v="2"/>
    <n v="1"/>
    <n v="906.1"/>
  </r>
  <r>
    <m/>
    <x v="3"/>
    <x v="20"/>
    <n v="296357080"/>
    <x v="5"/>
    <n v="5776"/>
    <d v="2023-03-01T00:00:00"/>
    <d v="2023-03-03T00:00:00"/>
    <x v="2"/>
    <d v="2023-05-15T00:00:00"/>
    <s v="Ontime"/>
    <s v="5.May"/>
    <n v="0.9"/>
    <n v="2.7266599999999999"/>
    <n v="5198.4000000000005"/>
    <n v="15749.18816"/>
    <s v="FOB"/>
    <x v="0"/>
    <x v="2"/>
    <n v="3"/>
    <n v="2471.181818181818"/>
  </r>
  <r>
    <m/>
    <x v="3"/>
    <x v="21"/>
    <s v="297295642, 297295643, 297387583"/>
    <x v="5"/>
    <n v="5760"/>
    <d v="2023-03-06T00:00:00"/>
    <d v="2023-03-07T00:00:00"/>
    <x v="2"/>
    <d v="2023-06-15T00:00:00"/>
    <s v="Ontime"/>
    <s v="6.June"/>
    <n v="0.9"/>
    <n v="2.9566666599999998"/>
    <n v="5184"/>
    <n v="17030.3999616"/>
    <s v="FOB"/>
    <x v="0"/>
    <x v="2"/>
    <n v="2"/>
    <n v="1647.4545454545455"/>
  </r>
  <r>
    <m/>
    <x v="3"/>
    <x v="19"/>
    <s v="PO#0146220"/>
    <x v="5"/>
    <n v="19296"/>
    <d v="2023-03-08T00:00:00"/>
    <d v="2023-03-21T00:00:00"/>
    <x v="2"/>
    <d v="2023-04-15T00:00:00"/>
    <s v="Ontime"/>
    <s v="4.April"/>
    <n v="0.73"/>
    <n v="1.3425"/>
    <n v="14086.08"/>
    <n v="25904.880000000001"/>
    <s v="FOB"/>
    <x v="0"/>
    <x v="2"/>
    <n v="10"/>
    <n v="8237.2727272727279"/>
  </r>
  <r>
    <m/>
    <x v="3"/>
    <x v="19"/>
    <s v="PO#0146248"/>
    <x v="5"/>
    <n v="12000"/>
    <d v="2023-03-23T00:00:00"/>
    <d v="2023-03-31T00:00:00"/>
    <x v="2"/>
    <d v="2023-04-15T00:00:00"/>
    <s v="Ontime"/>
    <s v="4.April"/>
    <n v="0.81"/>
    <n v="1.9528586999999999"/>
    <n v="9720"/>
    <n v="23434.304400000001"/>
    <s v="FOB"/>
    <x v="0"/>
    <x v="2"/>
    <n v="7"/>
    <n v="5766.090909090909"/>
  </r>
  <r>
    <m/>
    <x v="3"/>
    <x v="19"/>
    <s v="PO#0146248"/>
    <x v="5"/>
    <n v="4182"/>
    <d v="2023-04-03T00:00:00"/>
    <d v="2023-04-04T00:00:00"/>
    <x v="3"/>
    <d v="2023-04-15T00:00:00"/>
    <s v="Ontime"/>
    <s v="4.April"/>
    <n v="0.81"/>
    <n v="1.9528586999999999"/>
    <n v="3387.42"/>
    <n v="8166.8550833999998"/>
    <s v="FOB"/>
    <x v="0"/>
    <x v="2"/>
    <n v="2"/>
    <n v="2416.2666666666669"/>
  </r>
  <r>
    <m/>
    <x v="3"/>
    <x v="19"/>
    <s v="PO#0146247"/>
    <x v="5"/>
    <n v="1512"/>
    <d v="2023-04-05T00:00:00"/>
    <d v="2023-04-05T00:00:00"/>
    <x v="3"/>
    <d v="2023-04-15T00:00:00"/>
    <s v="Ontime"/>
    <s v="4.April"/>
    <n v="0.81"/>
    <n v="2.5962999999999998"/>
    <n v="1224.72"/>
    <n v="3925.6055999999999"/>
    <s v="FOB"/>
    <x v="0"/>
    <x v="2"/>
    <n v="1"/>
    <n v="1208.1333333333334"/>
  </r>
  <r>
    <m/>
    <x v="3"/>
    <x v="19"/>
    <s v="PO#0146328"/>
    <x v="5"/>
    <n v="24000"/>
    <d v="2023-04-06T00:00:00"/>
    <d v="2023-04-28T00:00:00"/>
    <x v="3"/>
    <d v="2023-05-15T00:00:00"/>
    <s v="Ontime"/>
    <s v="5.May"/>
    <n v="0.70676996607999998"/>
    <n v="1.8265873015873018"/>
    <n v="16962.479185919998"/>
    <n v="43838.095238095244"/>
    <s v="FOB"/>
    <x v="0"/>
    <x v="2"/>
    <n v="12"/>
    <n v="14497.600000000002"/>
  </r>
  <r>
    <m/>
    <x v="3"/>
    <x v="19"/>
    <s v="PO#0146328"/>
    <x v="5"/>
    <n v="3972"/>
    <d v="2023-05-02T00:00:00"/>
    <d v="2023-05-03T00:00:00"/>
    <x v="4"/>
    <d v="2023-05-15T00:00:00"/>
    <s v="Ontime"/>
    <s v="5.May"/>
    <n v="0.70676996607999998"/>
    <n v="1.8265873015873018"/>
    <n v="2807.2903052697598"/>
    <n v="7255.2047619047626"/>
    <s v="FOB"/>
    <x v="0"/>
    <x v="2"/>
    <n v="2"/>
    <n v="1725.9047619047619"/>
  </r>
  <r>
    <m/>
    <x v="3"/>
    <x v="19"/>
    <s v="PO#0146329"/>
    <x v="5"/>
    <n v="10944"/>
    <d v="2023-05-04T00:00:00"/>
    <d v="2023-05-10T00:00:00"/>
    <x v="4"/>
    <d v="2023-05-15T00:00:00"/>
    <s v="Ontime"/>
    <s v="5.May"/>
    <n v="0.70676996607999998"/>
    <n v="2.1530372807017546"/>
    <n v="7734.8905087795201"/>
    <n v="23562.840000000004"/>
    <s v="FOB"/>
    <x v="0"/>
    <x v="2"/>
    <n v="5"/>
    <n v="4314.7619047619046"/>
  </r>
  <r>
    <m/>
    <x v="3"/>
    <x v="19"/>
    <s v="PROJECTION"/>
    <x v="5"/>
    <n v="28000"/>
    <d v="2023-05-11T00:00:00"/>
    <d v="2023-05-31T00:00:00"/>
    <x v="4"/>
    <d v="2023-05-30T00:00:00"/>
    <s v="Ontime"/>
    <s v="6.June"/>
    <n v="0.76"/>
    <n v="1.9"/>
    <n v="21280"/>
    <n v="53200"/>
    <s v="FOB"/>
    <x v="2"/>
    <x v="2"/>
    <n v="14"/>
    <n v="12081.333333333334"/>
  </r>
  <r>
    <m/>
    <x v="3"/>
    <x v="19"/>
    <s v="PROJECTION"/>
    <x v="5"/>
    <n v="40000"/>
    <d v="2023-06-01T00:00:00"/>
    <d v="2023-06-30T00:00:00"/>
    <x v="5"/>
    <s v="31/06/2023"/>
    <s v="Ontime"/>
    <s v="07.July"/>
    <n v="0.76"/>
    <n v="1.9"/>
    <n v="30400"/>
    <n v="76000"/>
    <s v="FOB"/>
    <x v="2"/>
    <x v="2"/>
    <n v="20"/>
    <n v="18122"/>
  </r>
  <r>
    <m/>
    <x v="3"/>
    <x v="19"/>
    <s v="PROJECTION"/>
    <x v="5"/>
    <n v="40000"/>
    <d v="2023-07-03T00:00:00"/>
    <d v="2023-07-31T00:00:00"/>
    <x v="6"/>
    <d v="2023-07-31T00:00:00"/>
    <s v="Ontime"/>
    <s v="08.Agustus"/>
    <n v="0.76"/>
    <n v="1.9"/>
    <n v="30400"/>
    <n v="76000"/>
    <s v="FOB"/>
    <x v="2"/>
    <x v="2"/>
    <n v="20"/>
    <n v="18429.5"/>
  </r>
  <r>
    <m/>
    <x v="3"/>
    <x v="19"/>
    <s v="PROJECTION"/>
    <x v="5"/>
    <n v="40000"/>
    <d v="2023-08-01T00:00:00"/>
    <d v="2023-08-31T00:00:00"/>
    <x v="7"/>
    <d v="2023-08-31T00:00:00"/>
    <s v="Ontime"/>
    <s v="09.September"/>
    <n v="0.76"/>
    <n v="1.9"/>
    <n v="30400"/>
    <n v="76000"/>
    <s v="FOB"/>
    <x v="2"/>
    <x v="2"/>
    <n v="22"/>
    <n v="18429.5"/>
  </r>
  <r>
    <m/>
    <x v="3"/>
    <x v="19"/>
    <s v="PROJECTION"/>
    <x v="5"/>
    <n v="40000"/>
    <d v="2023-09-01T00:00:00"/>
    <d v="2023-09-30T00:00:00"/>
    <x v="8"/>
    <d v="2023-09-30T00:00:00"/>
    <s v="Ontime"/>
    <s v="10.Oktober"/>
    <n v="0.76"/>
    <n v="1.9"/>
    <n v="30400"/>
    <n v="76000"/>
    <s v="FOB"/>
    <x v="2"/>
    <x v="2"/>
    <n v="20"/>
    <n v="18429.5"/>
  </r>
  <r>
    <m/>
    <x v="3"/>
    <x v="19"/>
    <s v="PROJECTION"/>
    <x v="5"/>
    <n v="40000"/>
    <d v="2023-10-02T00:00:00"/>
    <d v="2023-10-31T00:00:00"/>
    <x v="9"/>
    <d v="2023-10-30T00:00:00"/>
    <s v="Ontime"/>
    <s v="11.November"/>
    <n v="0.76"/>
    <n v="1.9"/>
    <n v="30400"/>
    <n v="76000"/>
    <s v="FOB"/>
    <x v="2"/>
    <x v="2"/>
    <n v="22"/>
    <n v="18429.5"/>
  </r>
  <r>
    <m/>
    <x v="3"/>
    <x v="19"/>
    <s v="PROJECTION"/>
    <x v="5"/>
    <n v="40000"/>
    <d v="2023-11-01T00:00:00"/>
    <d v="2023-11-30T00:00:00"/>
    <x v="10"/>
    <d v="2023-10-30T00:00:00"/>
    <s v="Ontime"/>
    <s v="12.Desember"/>
    <n v="0.76"/>
    <n v="1.9"/>
    <n v="30400"/>
    <n v="76000"/>
    <s v="FOB"/>
    <x v="2"/>
    <x v="2"/>
    <n v="22"/>
    <n v="18429.5"/>
  </r>
  <r>
    <m/>
    <x v="3"/>
    <x v="19"/>
    <s v="PROJECTION"/>
    <x v="5"/>
    <n v="40000"/>
    <d v="2023-12-01T00:00:00"/>
    <d v="2023-12-29T00:00:00"/>
    <x v="11"/>
    <d v="2023-10-30T00:00:00"/>
    <s v="Ontime"/>
    <s v="01.January"/>
    <n v="0.76"/>
    <n v="1.9"/>
    <n v="30400"/>
    <n v="76000"/>
    <s v="FOB"/>
    <x v="2"/>
    <x v="2"/>
    <n v="20"/>
    <n v="18429.5"/>
  </r>
  <r>
    <m/>
    <x v="3"/>
    <x v="19"/>
    <s v="PO#0145977"/>
    <x v="6"/>
    <n v="4815"/>
    <d v="2023-01-02T00:00:00"/>
    <d v="2023-01-04T00:00:00"/>
    <x v="0"/>
    <d v="2023-01-13T00:00:00"/>
    <s v="Ontime"/>
    <s v="1.January"/>
    <n v="0.82856576076175359"/>
    <n v="2.3452199999999999"/>
    <n v="3989.5441380678435"/>
    <n v="11292.2343"/>
    <s v="FOB"/>
    <x v="0"/>
    <x v="2"/>
    <n v="3"/>
    <n v="2471.181818181818"/>
  </r>
  <r>
    <m/>
    <x v="3"/>
    <x v="19"/>
    <s v="PO#0145979"/>
    <x v="6"/>
    <n v="7275"/>
    <d v="2023-01-05T00:00:00"/>
    <d v="2023-01-10T00:00:00"/>
    <x v="0"/>
    <d v="2023-01-20T00:00:00"/>
    <s v="Ontime"/>
    <s v="1.January"/>
    <n v="0.82856576076175359"/>
    <n v="1.3524700000000001"/>
    <n v="6027.8159095417577"/>
    <n v="9839.2192500000001"/>
    <s v="FOB"/>
    <x v="0"/>
    <x v="2"/>
    <n v="4"/>
    <n v="3294.909090909091"/>
  </r>
  <r>
    <m/>
    <x v="3"/>
    <x v="19"/>
    <s v="PO#0145978"/>
    <x v="6"/>
    <n v="10510"/>
    <d v="2023-01-11T00:00:00"/>
    <d v="2023-01-17T00:00:00"/>
    <x v="0"/>
    <d v="2023-01-20T00:00:00"/>
    <s v="Ontime"/>
    <s v="1.January"/>
    <n v="0.82856576076175359"/>
    <n v="2.2141999999999999"/>
    <n v="8708.2261456060296"/>
    <n v="23271.241999999998"/>
    <s v="FOB"/>
    <x v="0"/>
    <x v="2"/>
    <n v="5"/>
    <n v="4118.636363636364"/>
  </r>
  <r>
    <m/>
    <x v="3"/>
    <x v="20"/>
    <n v="296357076"/>
    <x v="6"/>
    <n v="7230"/>
    <d v="2023-01-18T00:00:00"/>
    <d v="2023-01-23T00:00:00"/>
    <x v="0"/>
    <d v="2023-02-15T00:00:00"/>
    <s v="Ontime"/>
    <s v="2.February"/>
    <n v="1.45"/>
    <n v="2.677"/>
    <n v="10483.5"/>
    <n v="19354.71"/>
    <s v="FOB"/>
    <x v="0"/>
    <x v="2"/>
    <n v="4"/>
    <n v="3294.909090909091"/>
  </r>
  <r>
    <m/>
    <x v="3"/>
    <x v="20"/>
    <n v="296357077"/>
    <x v="6"/>
    <n v="6305"/>
    <d v="2023-01-24T00:00:00"/>
    <d v="2023-01-27T00:00:00"/>
    <x v="0"/>
    <d v="2023-02-15T00:00:00"/>
    <s v="Ontime"/>
    <s v="2.February"/>
    <n v="1.45"/>
    <n v="2.6812"/>
    <n v="9142.25"/>
    <n v="16904.966"/>
    <s v="FOB"/>
    <x v="0"/>
    <x v="2"/>
    <n v="4"/>
    <n v="3294.909090909091"/>
  </r>
  <r>
    <m/>
    <x v="3"/>
    <x v="19"/>
    <s v="PO#0146047"/>
    <x v="6"/>
    <n v="2605"/>
    <d v="2023-01-30T00:00:00"/>
    <d v="2023-01-31T00:00:00"/>
    <x v="0"/>
    <d v="2023-02-17T00:00:00"/>
    <s v="Ontime"/>
    <s v="2.February"/>
    <n v="0.82856576076175359"/>
    <n v="7.1023550863723601"/>
    <n v="2158.4138067843683"/>
    <n v="18501.634999999998"/>
    <s v="FOB"/>
    <x v="0"/>
    <x v="2"/>
    <n v="2"/>
    <n v="1647.4545454545455"/>
  </r>
  <r>
    <m/>
    <x v="3"/>
    <x v="19"/>
    <s v="PO#0146047"/>
    <x v="6"/>
    <n v="14204"/>
    <d v="2023-02-01T00:00:00"/>
    <d v="2023-02-10T00:00:00"/>
    <x v="1"/>
    <d v="2023-02-17T00:00:00"/>
    <s v="Ontime"/>
    <s v="2.February"/>
    <n v="0.81"/>
    <n v="1.302565122500704"/>
    <n v="11505.240000000002"/>
    <n v="18501.634999999998"/>
    <s v="FOB"/>
    <x v="0"/>
    <x v="2"/>
    <n v="8"/>
    <n v="7248.8"/>
  </r>
  <r>
    <m/>
    <x v="3"/>
    <x v="20"/>
    <n v="296357079"/>
    <x v="6"/>
    <n v="6912"/>
    <d v="2023-02-13T00:00:00"/>
    <d v="2023-02-16T00:00:00"/>
    <x v="1"/>
    <d v="2023-04-15T00:00:00"/>
    <s v="Ontime"/>
    <s v="4.April"/>
    <n v="0.9"/>
    <n v="2.7266659999999998"/>
    <n v="6220.8"/>
    <n v="18846.715391999998"/>
    <s v="FOB"/>
    <x v="0"/>
    <x v="2"/>
    <n v="4"/>
    <n v="3624.4"/>
  </r>
  <r>
    <m/>
    <x v="3"/>
    <x v="21"/>
    <s v="297295640 &amp; 297387581"/>
    <x v="6"/>
    <n v="6912"/>
    <d v="2023-02-17T00:00:00"/>
    <d v="2023-02-21T00:00:00"/>
    <x v="1"/>
    <d v="2023-04-15T00:00:00"/>
    <s v="Ontime"/>
    <s v="4.April"/>
    <n v="0.9"/>
    <n v="2.9566666599999998"/>
    <n v="6220.8"/>
    <n v="20436.479953919999"/>
    <s v="FOB"/>
    <x v="0"/>
    <x v="2"/>
    <n v="3"/>
    <n v="2718.3"/>
  </r>
  <r>
    <m/>
    <x v="3"/>
    <x v="21"/>
    <s v="297295641 &amp; 297387582"/>
    <x v="6"/>
    <n v="2880"/>
    <d v="2023-02-22T00:00:00"/>
    <d v="2023-02-23T00:00:00"/>
    <x v="1"/>
    <d v="2023-05-15T00:00:00"/>
    <s v="Ontime"/>
    <s v="5.May"/>
    <n v="0.9"/>
    <n v="2.9566666599999998"/>
    <n v="2592"/>
    <n v="8515.1999808"/>
    <s v="FOB"/>
    <x v="0"/>
    <x v="2"/>
    <n v="2"/>
    <n v="1812.2"/>
  </r>
  <r>
    <m/>
    <x v="3"/>
    <x v="21"/>
    <s v="PO#0146082"/>
    <x v="6"/>
    <n v="5208"/>
    <d v="2023-02-27T00:00:00"/>
    <d v="2023-02-28T00:00:00"/>
    <x v="1"/>
    <d v="2023-04-15T00:00:00"/>
    <s v="Ontime"/>
    <s v="4.April"/>
    <n v="0.81"/>
    <n v="2.1775000000000002"/>
    <n v="4218.4800000000005"/>
    <n v="11340.420000000002"/>
    <s v="FOB"/>
    <x v="0"/>
    <x v="2"/>
    <n v="2"/>
    <n v="1812.2"/>
  </r>
  <r>
    <m/>
    <x v="3"/>
    <x v="20"/>
    <n v="296357080"/>
    <x v="6"/>
    <n v="2000"/>
    <d v="2023-02-28T00:00:00"/>
    <d v="2023-02-28T00:00:00"/>
    <x v="1"/>
    <d v="2023-05-15T00:00:00"/>
    <s v="Ontime"/>
    <s v="5.May"/>
    <n v="0.9"/>
    <n v="2.7266599999999999"/>
    <n v="1800"/>
    <n v="5453.32"/>
    <s v="FOB"/>
    <x v="0"/>
    <x v="2"/>
    <n v="1"/>
    <n v="906.1"/>
  </r>
  <r>
    <m/>
    <x v="3"/>
    <x v="20"/>
    <n v="296357080"/>
    <x v="6"/>
    <n v="5776"/>
    <d v="2023-03-01T00:00:00"/>
    <d v="2023-03-03T00:00:00"/>
    <x v="2"/>
    <d v="2023-05-15T00:00:00"/>
    <s v="Ontime"/>
    <s v="5.May"/>
    <n v="0.9"/>
    <n v="2.7266599999999999"/>
    <n v="5198.4000000000005"/>
    <n v="15749.18816"/>
    <s v="FOB"/>
    <x v="0"/>
    <x v="2"/>
    <n v="3"/>
    <n v="2471.181818181818"/>
  </r>
  <r>
    <m/>
    <x v="3"/>
    <x v="21"/>
    <s v="297295642, 297295643, 297387583"/>
    <x v="6"/>
    <n v="5760"/>
    <d v="2023-03-06T00:00:00"/>
    <d v="2023-03-07T00:00:00"/>
    <x v="2"/>
    <d v="2023-06-15T00:00:00"/>
    <s v="Ontime"/>
    <s v="6.June"/>
    <n v="0.9"/>
    <n v="2.9566666599999998"/>
    <n v="5184"/>
    <n v="17030.3999616"/>
    <s v="FOB"/>
    <x v="2"/>
    <x v="2"/>
    <n v="2"/>
    <n v="1647.4545454545455"/>
  </r>
  <r>
    <m/>
    <x v="3"/>
    <x v="19"/>
    <s v="PO#0146220"/>
    <x v="6"/>
    <n v="19296"/>
    <d v="2023-03-08T00:00:00"/>
    <d v="2023-03-21T00:00:00"/>
    <x v="2"/>
    <d v="2023-04-15T00:00:00"/>
    <s v="Ontime"/>
    <s v="4.April"/>
    <n v="0.73"/>
    <n v="1.3425"/>
    <n v="14086.08"/>
    <n v="25904.880000000001"/>
    <s v="FOB"/>
    <x v="2"/>
    <x v="2"/>
    <n v="10"/>
    <n v="8237.2727272727279"/>
  </r>
  <r>
    <m/>
    <x v="3"/>
    <x v="19"/>
    <s v="PO#0146248"/>
    <x v="6"/>
    <n v="12000"/>
    <d v="2023-03-23T00:00:00"/>
    <d v="2023-03-31T00:00:00"/>
    <x v="2"/>
    <d v="2023-04-15T00:00:00"/>
    <s v="Ontime"/>
    <s v="4.April"/>
    <n v="0.81"/>
    <n v="1.9528586999999999"/>
    <n v="9720"/>
    <n v="23434.304400000001"/>
    <s v="FOB"/>
    <x v="2"/>
    <x v="2"/>
    <n v="7"/>
    <n v="5766.090909090909"/>
  </r>
  <r>
    <m/>
    <x v="3"/>
    <x v="19"/>
    <s v="PO#0146248"/>
    <x v="6"/>
    <n v="4182"/>
    <d v="2023-04-03T00:00:00"/>
    <d v="2023-04-04T00:00:00"/>
    <x v="3"/>
    <d v="2023-04-15T00:00:00"/>
    <s v="Ontime"/>
    <s v="4.April"/>
    <n v="0.81"/>
    <n v="1.9528586999999999"/>
    <n v="3387.42"/>
    <n v="8166.8550833999998"/>
    <s v="FOB"/>
    <x v="2"/>
    <x v="2"/>
    <n v="2"/>
    <n v="2416.2666666666669"/>
  </r>
  <r>
    <m/>
    <x v="3"/>
    <x v="19"/>
    <s v="PO#0146247"/>
    <x v="6"/>
    <n v="1512"/>
    <d v="2023-04-05T00:00:00"/>
    <d v="2023-04-05T00:00:00"/>
    <x v="3"/>
    <d v="2023-04-15T00:00:00"/>
    <s v="Ontime"/>
    <s v="4.April"/>
    <n v="0.81"/>
    <n v="2.5962999999999998"/>
    <n v="1224.72"/>
    <n v="3925.6055999999999"/>
    <s v="FOB"/>
    <x v="2"/>
    <x v="2"/>
    <n v="1"/>
    <n v="1208.1333333333334"/>
  </r>
  <r>
    <m/>
    <x v="3"/>
    <x v="19"/>
    <s v="PO#0146328"/>
    <x v="6"/>
    <n v="24000"/>
    <d v="2023-04-06T00:00:00"/>
    <d v="2023-04-28T00:00:00"/>
    <x v="3"/>
    <d v="2023-05-15T00:00:00"/>
    <s v="Ontime"/>
    <s v="5.May"/>
    <n v="0.70676996607999998"/>
    <n v="1.8265873015873018"/>
    <n v="16962.479185919998"/>
    <n v="43838.095238095244"/>
    <s v="FOB"/>
    <x v="2"/>
    <x v="2"/>
    <n v="12"/>
    <n v="14497.600000000002"/>
  </r>
  <r>
    <m/>
    <x v="3"/>
    <x v="19"/>
    <s v="PO#0146328"/>
    <x v="6"/>
    <n v="3972"/>
    <d v="2023-05-02T00:00:00"/>
    <d v="2023-05-03T00:00:00"/>
    <x v="4"/>
    <d v="2023-05-15T00:00:00"/>
    <s v="Ontime"/>
    <s v="5.May"/>
    <n v="0.70676996607999998"/>
    <n v="1.8265873015873018"/>
    <n v="2807.2903052697598"/>
    <n v="7255.2047619047626"/>
    <s v="FOB"/>
    <x v="2"/>
    <x v="2"/>
    <n v="2"/>
    <n v="1725.9047619047619"/>
  </r>
  <r>
    <m/>
    <x v="3"/>
    <x v="19"/>
    <s v="PO#0146329"/>
    <x v="6"/>
    <n v="10944"/>
    <d v="2023-05-04T00:00:00"/>
    <d v="2023-05-10T00:00:00"/>
    <x v="4"/>
    <d v="2023-05-15T00:00:00"/>
    <s v="Ontime"/>
    <s v="5.May"/>
    <n v="0.70676996607999998"/>
    <n v="2.1530372807017546"/>
    <n v="7734.8905087795201"/>
    <n v="23562.840000000004"/>
    <s v="FOB"/>
    <x v="2"/>
    <x v="2"/>
    <n v="5"/>
    <n v="4314.7619047619046"/>
  </r>
  <r>
    <m/>
    <x v="3"/>
    <x v="19"/>
    <s v="PROJECTION"/>
    <x v="6"/>
    <n v="28000"/>
    <d v="2023-05-11T00:00:00"/>
    <d v="2023-05-31T00:00:00"/>
    <x v="4"/>
    <d v="2023-05-30T00:00:00"/>
    <s v="Ontime"/>
    <s v="6.June"/>
    <n v="0.76"/>
    <n v="1.9"/>
    <n v="21280"/>
    <n v="53200"/>
    <s v="FOB"/>
    <x v="2"/>
    <x v="2"/>
    <n v="14"/>
    <n v="12081.333333333334"/>
  </r>
  <r>
    <m/>
    <x v="3"/>
    <x v="19"/>
    <s v="PROJECTION"/>
    <x v="6"/>
    <n v="40000"/>
    <d v="2023-06-01T00:00:00"/>
    <d v="2023-06-30T00:00:00"/>
    <x v="5"/>
    <s v="31/06/2023"/>
    <s v="Ontime"/>
    <s v="07.July"/>
    <n v="0.76"/>
    <n v="1.9"/>
    <n v="30400"/>
    <n v="76000"/>
    <s v="FOB"/>
    <x v="2"/>
    <x v="2"/>
    <n v="20"/>
    <n v="18122"/>
  </r>
  <r>
    <m/>
    <x v="3"/>
    <x v="19"/>
    <s v="PROJECTION"/>
    <x v="6"/>
    <n v="40000"/>
    <d v="2023-07-03T00:00:00"/>
    <d v="2023-07-31T00:00:00"/>
    <x v="6"/>
    <d v="2023-07-31T00:00:00"/>
    <s v="Ontime"/>
    <s v="08.Agustus"/>
    <n v="0.76"/>
    <n v="1.9"/>
    <n v="30400"/>
    <n v="76000"/>
    <s v="FOB"/>
    <x v="2"/>
    <x v="2"/>
    <n v="20"/>
    <n v="18429.5"/>
  </r>
  <r>
    <m/>
    <x v="3"/>
    <x v="19"/>
    <s v="PROJECTION"/>
    <x v="6"/>
    <n v="40000"/>
    <d v="2023-08-01T00:00:00"/>
    <d v="2023-08-31T00:00:00"/>
    <x v="7"/>
    <d v="2023-08-31T00:00:00"/>
    <s v="Ontime"/>
    <s v="09.September"/>
    <n v="0.76"/>
    <n v="1.9"/>
    <n v="30400"/>
    <n v="76000"/>
    <s v="FOB"/>
    <x v="2"/>
    <x v="2"/>
    <n v="22"/>
    <n v="18429.5"/>
  </r>
  <r>
    <m/>
    <x v="3"/>
    <x v="19"/>
    <s v="PROJECTION"/>
    <x v="6"/>
    <n v="40000"/>
    <d v="2023-09-01T00:00:00"/>
    <d v="2023-09-30T00:00:00"/>
    <x v="8"/>
    <d v="2023-09-30T00:00:00"/>
    <s v="Ontime"/>
    <s v="10.Oktober"/>
    <n v="0.76"/>
    <n v="1.9"/>
    <n v="30400"/>
    <n v="76000"/>
    <s v="FOB"/>
    <x v="2"/>
    <x v="2"/>
    <n v="20"/>
    <n v="18429.5"/>
  </r>
  <r>
    <m/>
    <x v="3"/>
    <x v="19"/>
    <s v="PROJECTION"/>
    <x v="6"/>
    <n v="40000"/>
    <d v="2023-10-02T00:00:00"/>
    <d v="2023-10-31T00:00:00"/>
    <x v="9"/>
    <d v="2023-10-30T00:00:00"/>
    <s v="Ontime"/>
    <s v="11.November"/>
    <n v="0.76"/>
    <n v="1.9"/>
    <n v="30400"/>
    <n v="76000"/>
    <s v="FOB"/>
    <x v="2"/>
    <x v="2"/>
    <n v="22"/>
    <n v="18429.5"/>
  </r>
  <r>
    <m/>
    <x v="3"/>
    <x v="19"/>
    <s v="PROJECTION"/>
    <x v="6"/>
    <n v="40000"/>
    <d v="2023-11-01T00:00:00"/>
    <d v="2023-11-30T00:00:00"/>
    <x v="10"/>
    <d v="2023-10-30T00:00:00"/>
    <s v="Ontime"/>
    <s v="12.Desember"/>
    <n v="0.76"/>
    <n v="1.9"/>
    <n v="30400"/>
    <n v="76000"/>
    <s v="FOB"/>
    <x v="2"/>
    <x v="2"/>
    <n v="22"/>
    <n v="18429.5"/>
  </r>
  <r>
    <m/>
    <x v="3"/>
    <x v="19"/>
    <s v="PROJECTION"/>
    <x v="6"/>
    <n v="40000"/>
    <d v="2023-12-01T00:00:00"/>
    <d v="2023-12-29T00:00:00"/>
    <x v="11"/>
    <d v="2023-10-30T00:00:00"/>
    <s v="Ontime"/>
    <s v="01.January"/>
    <n v="0.76"/>
    <n v="1.9"/>
    <n v="30400"/>
    <n v="76000"/>
    <s v="FOB"/>
    <x v="2"/>
    <x v="2"/>
    <n v="20"/>
    <n v="18429.5"/>
  </r>
  <r>
    <m/>
    <x v="3"/>
    <x v="19"/>
    <s v="PO#0145977"/>
    <x v="7"/>
    <n v="3900"/>
    <d v="2023-01-02T00:00:00"/>
    <d v="2023-01-04T00:00:00"/>
    <x v="0"/>
    <d v="2023-01-13T00:00:00"/>
    <s v="Ontime"/>
    <s v="1.January"/>
    <n v="0.83156826861871436"/>
    <n v="2.3452199999999999"/>
    <n v="3243.1162476129862"/>
    <n v="9146.3580000000002"/>
    <s v="FOB"/>
    <x v="0"/>
    <x v="2"/>
    <n v="3"/>
    <n v="2471.181818181818"/>
  </r>
  <r>
    <m/>
    <x v="3"/>
    <x v="19"/>
    <s v="PO#0145979"/>
    <x v="7"/>
    <n v="6280"/>
    <d v="2023-01-05T00:00:00"/>
    <d v="2023-01-10T00:00:00"/>
    <x v="0"/>
    <d v="2023-01-20T00:00:00"/>
    <s v="Ontime"/>
    <s v="1.January"/>
    <n v="0.83156826861871436"/>
    <n v="1.3524700000000001"/>
    <n v="5222.2487269255262"/>
    <n v="8493.5115999999998"/>
    <s v="FOB"/>
    <x v="0"/>
    <x v="2"/>
    <n v="4"/>
    <n v="3294.909090909091"/>
  </r>
  <r>
    <m/>
    <x v="3"/>
    <x v="19"/>
    <s v="PO#0145978"/>
    <x v="7"/>
    <n v="12420"/>
    <d v="2023-01-11T00:00:00"/>
    <d v="2023-01-17T00:00:00"/>
    <x v="0"/>
    <d v="2023-01-20T00:00:00"/>
    <s v="Ontime"/>
    <s v="1.January"/>
    <n v="0.83156826861871436"/>
    <n v="2.2141999999999999"/>
    <n v="10328.077896244433"/>
    <n v="27500.363999999998"/>
    <s v="FOB"/>
    <x v="0"/>
    <x v="2"/>
    <n v="5"/>
    <n v="4118.636363636364"/>
  </r>
  <r>
    <m/>
    <x v="3"/>
    <x v="20"/>
    <n v="296357076"/>
    <x v="7"/>
    <n v="5675"/>
    <d v="2023-01-18T00:00:00"/>
    <d v="2023-01-23T00:00:00"/>
    <x v="0"/>
    <d v="2023-02-15T00:00:00"/>
    <s v="Ontime"/>
    <s v="2.February"/>
    <n v="1.45"/>
    <n v="2.677"/>
    <n v="8228.75"/>
    <n v="15191.975"/>
    <s v="FOB"/>
    <x v="0"/>
    <x v="2"/>
    <n v="4"/>
    <n v="3294.909090909091"/>
  </r>
  <r>
    <m/>
    <x v="3"/>
    <x v="20"/>
    <n v="296357077"/>
    <x v="7"/>
    <n v="7145"/>
    <d v="2023-01-24T00:00:00"/>
    <d v="2023-01-27T00:00:00"/>
    <x v="0"/>
    <d v="2023-02-15T00:00:00"/>
    <s v="Ontime"/>
    <s v="2.February"/>
    <n v="1.45"/>
    <n v="2.6812"/>
    <n v="10360.25"/>
    <n v="19157.173999999999"/>
    <s v="FOB"/>
    <x v="0"/>
    <x v="2"/>
    <n v="4"/>
    <n v="3294.909090909091"/>
  </r>
  <r>
    <m/>
    <x v="3"/>
    <x v="19"/>
    <s v="PO#0146047"/>
    <x v="7"/>
    <n v="2536"/>
    <d v="2023-01-30T00:00:00"/>
    <d v="2023-01-31T00:00:00"/>
    <x v="0"/>
    <d v="2023-02-17T00:00:00"/>
    <s v="Ontime"/>
    <s v="2.February"/>
    <n v="0.83156826861871436"/>
    <n v="7.2955973974763397"/>
    <n v="2108.8571292170595"/>
    <n v="18501.634999999998"/>
    <s v="FOB"/>
    <x v="0"/>
    <x v="2"/>
    <n v="2"/>
    <n v="1647.4545454545455"/>
  </r>
  <r>
    <m/>
    <x v="3"/>
    <x v="19"/>
    <s v="PO#0146047"/>
    <x v="7"/>
    <n v="14204"/>
    <d v="2023-02-01T00:00:00"/>
    <d v="2023-02-10T00:00:00"/>
    <x v="1"/>
    <d v="2023-02-17T00:00:00"/>
    <s v="Ontime"/>
    <s v="2.February"/>
    <n v="0.81"/>
    <n v="1.302565122500704"/>
    <n v="11505.240000000002"/>
    <n v="18501.634999999998"/>
    <s v="FOB"/>
    <x v="0"/>
    <x v="2"/>
    <n v="8"/>
    <n v="7248.8"/>
  </r>
  <r>
    <m/>
    <x v="3"/>
    <x v="20"/>
    <n v="296357079"/>
    <x v="7"/>
    <n v="6912"/>
    <d v="2023-02-13T00:00:00"/>
    <d v="2023-02-16T00:00:00"/>
    <x v="1"/>
    <d v="2023-04-15T00:00:00"/>
    <s v="Ontime"/>
    <s v="4.April"/>
    <n v="0.9"/>
    <n v="2.7266659999999998"/>
    <n v="6220.8"/>
    <n v="18846.715391999998"/>
    <s v="FOB"/>
    <x v="0"/>
    <x v="2"/>
    <n v="4"/>
    <n v="3624.4"/>
  </r>
  <r>
    <m/>
    <x v="3"/>
    <x v="21"/>
    <s v="297295640 &amp; 297387581"/>
    <x v="7"/>
    <n v="6912"/>
    <d v="2023-02-17T00:00:00"/>
    <d v="2023-02-21T00:00:00"/>
    <x v="1"/>
    <d v="2023-04-15T00:00:00"/>
    <s v="Ontime"/>
    <s v="4.April"/>
    <n v="0.9"/>
    <n v="2.9566666599999998"/>
    <n v="6220.8"/>
    <n v="20436.479953919999"/>
    <s v="FOB"/>
    <x v="0"/>
    <x v="2"/>
    <n v="3"/>
    <n v="2718.3"/>
  </r>
  <r>
    <m/>
    <x v="3"/>
    <x v="21"/>
    <s v="297295641 &amp; 297387582"/>
    <x v="7"/>
    <n v="2880"/>
    <d v="2023-02-22T00:00:00"/>
    <d v="2023-02-23T00:00:00"/>
    <x v="1"/>
    <d v="2023-05-15T00:00:00"/>
    <s v="Ontime"/>
    <s v="5.May"/>
    <n v="0.9"/>
    <n v="2.9566666599999998"/>
    <n v="2592"/>
    <n v="8515.1999808"/>
    <s v="FOB"/>
    <x v="0"/>
    <x v="2"/>
    <n v="2"/>
    <n v="1812.2"/>
  </r>
  <r>
    <m/>
    <x v="3"/>
    <x v="21"/>
    <s v="PO#0146082"/>
    <x v="7"/>
    <n v="5208"/>
    <d v="2023-02-27T00:00:00"/>
    <d v="2023-02-28T00:00:00"/>
    <x v="1"/>
    <d v="2023-04-15T00:00:00"/>
    <s v="Ontime"/>
    <s v="4.April"/>
    <n v="0.81"/>
    <n v="2.1775000000000002"/>
    <n v="4218.4800000000005"/>
    <n v="11340.420000000002"/>
    <s v="FOB"/>
    <x v="0"/>
    <x v="2"/>
    <n v="2"/>
    <n v="1812.2"/>
  </r>
  <r>
    <m/>
    <x v="3"/>
    <x v="20"/>
    <n v="296357080"/>
    <x v="7"/>
    <n v="2000"/>
    <d v="2023-02-28T00:00:00"/>
    <d v="2023-02-28T00:00:00"/>
    <x v="1"/>
    <d v="2023-05-15T00:00:00"/>
    <s v="Ontime"/>
    <s v="5.May"/>
    <n v="0.9"/>
    <n v="2.7266599999999999"/>
    <n v="1800"/>
    <n v="5453.32"/>
    <s v="FOB"/>
    <x v="0"/>
    <x v="2"/>
    <n v="1"/>
    <n v="906.1"/>
  </r>
  <r>
    <m/>
    <x v="3"/>
    <x v="20"/>
    <n v="296357080"/>
    <x v="7"/>
    <n v="5776"/>
    <d v="2023-03-01T00:00:00"/>
    <d v="2023-03-03T00:00:00"/>
    <x v="2"/>
    <d v="2023-05-15T00:00:00"/>
    <s v="Ontime"/>
    <s v="5.May"/>
    <n v="0.9"/>
    <n v="2.7266599999999999"/>
    <n v="5198.4000000000005"/>
    <n v="15749.18816"/>
    <s v="FOB"/>
    <x v="0"/>
    <x v="2"/>
    <n v="3"/>
    <n v="2471.181818181818"/>
  </r>
  <r>
    <m/>
    <x v="3"/>
    <x v="21"/>
    <s v="297295642, 297295643, 297387583"/>
    <x v="7"/>
    <n v="5760"/>
    <d v="2023-03-06T00:00:00"/>
    <d v="2023-03-07T00:00:00"/>
    <x v="2"/>
    <d v="2023-06-15T00:00:00"/>
    <s v="Ontime"/>
    <s v="6.June"/>
    <n v="0.9"/>
    <n v="2.9566666599999998"/>
    <n v="5184"/>
    <n v="17030.3999616"/>
    <s v="FOB"/>
    <x v="0"/>
    <x v="2"/>
    <n v="2"/>
    <n v="1647.4545454545455"/>
  </r>
  <r>
    <m/>
    <x v="3"/>
    <x v="19"/>
    <s v="PO#0146220"/>
    <x v="7"/>
    <n v="19296"/>
    <d v="2023-03-08T00:00:00"/>
    <d v="2023-03-21T00:00:00"/>
    <x v="2"/>
    <d v="2023-04-15T00:00:00"/>
    <s v="Ontime"/>
    <s v="4.April"/>
    <n v="0.73"/>
    <n v="1.3425"/>
    <n v="14086.08"/>
    <n v="25904.880000000001"/>
    <s v="FOB"/>
    <x v="0"/>
    <x v="2"/>
    <n v="10"/>
    <n v="8237.2727272727279"/>
  </r>
  <r>
    <m/>
    <x v="3"/>
    <x v="19"/>
    <s v="PO#0146248"/>
    <x v="7"/>
    <n v="12000"/>
    <d v="2023-03-23T00:00:00"/>
    <d v="2023-03-31T00:00:00"/>
    <x v="2"/>
    <d v="2023-04-15T00:00:00"/>
    <s v="Ontime"/>
    <s v="4.April"/>
    <n v="0.81"/>
    <n v="1.9528586999999999"/>
    <n v="9720"/>
    <n v="23434.304400000001"/>
    <s v="FOB"/>
    <x v="0"/>
    <x v="2"/>
    <n v="7"/>
    <n v="5766.090909090909"/>
  </r>
  <r>
    <m/>
    <x v="3"/>
    <x v="19"/>
    <s v="PO#0146248"/>
    <x v="7"/>
    <n v="4182"/>
    <d v="2023-04-03T00:00:00"/>
    <d v="2023-04-04T00:00:00"/>
    <x v="3"/>
    <d v="2023-04-15T00:00:00"/>
    <s v="Ontime"/>
    <s v="4.April"/>
    <n v="0.81"/>
    <n v="1.9528586999999999"/>
    <n v="3387.42"/>
    <n v="8166.8550833999998"/>
    <s v="FOB"/>
    <x v="0"/>
    <x v="2"/>
    <n v="2"/>
    <n v="2416.2666666666669"/>
  </r>
  <r>
    <m/>
    <x v="3"/>
    <x v="19"/>
    <s v="PO#0146247"/>
    <x v="7"/>
    <n v="1512"/>
    <d v="2023-04-05T00:00:00"/>
    <d v="2023-04-05T00:00:00"/>
    <x v="3"/>
    <d v="2023-04-15T00:00:00"/>
    <s v="Ontime"/>
    <s v="4.April"/>
    <n v="0.81"/>
    <n v="2.5962999999999998"/>
    <n v="1224.72"/>
    <n v="3925.6055999999999"/>
    <s v="FOB"/>
    <x v="0"/>
    <x v="2"/>
    <n v="1"/>
    <n v="1208.1333333333334"/>
  </r>
  <r>
    <m/>
    <x v="3"/>
    <x v="19"/>
    <s v="PO#0146328"/>
    <x v="7"/>
    <n v="24000"/>
    <d v="2023-04-06T00:00:00"/>
    <d v="2023-04-28T00:00:00"/>
    <x v="3"/>
    <d v="2023-05-15T00:00:00"/>
    <s v="Ontime"/>
    <s v="5.May"/>
    <n v="0.70676996607999998"/>
    <n v="1.8265873015873018"/>
    <n v="16962.479185919998"/>
    <n v="43838.095238095244"/>
    <s v="FOB"/>
    <x v="0"/>
    <x v="2"/>
    <n v="12"/>
    <n v="14497.600000000002"/>
  </r>
  <r>
    <m/>
    <x v="3"/>
    <x v="19"/>
    <s v="PO#0146328"/>
    <x v="7"/>
    <n v="3972"/>
    <d v="2023-05-02T00:00:00"/>
    <d v="2023-05-03T00:00:00"/>
    <x v="4"/>
    <d v="2023-05-15T00:00:00"/>
    <s v="Ontime"/>
    <s v="5.May"/>
    <n v="0.70676996607999998"/>
    <n v="1.8265873015873018"/>
    <n v="2807.2903052697598"/>
    <n v="7255.2047619047626"/>
    <s v="FOB"/>
    <x v="0"/>
    <x v="2"/>
    <n v="2"/>
    <n v="1725.9047619047619"/>
  </r>
  <r>
    <m/>
    <x v="3"/>
    <x v="19"/>
    <s v="PO#0146329"/>
    <x v="7"/>
    <n v="10944"/>
    <d v="2023-05-04T00:00:00"/>
    <d v="2023-05-10T00:00:00"/>
    <x v="4"/>
    <d v="2023-05-15T00:00:00"/>
    <s v="Ontime"/>
    <s v="5.May"/>
    <n v="0.70676996607999998"/>
    <n v="2.1530372807017546"/>
    <n v="7734.8905087795201"/>
    <n v="23562.840000000004"/>
    <s v="FOB"/>
    <x v="0"/>
    <x v="2"/>
    <n v="5"/>
    <n v="4314.7619047619046"/>
  </r>
  <r>
    <m/>
    <x v="3"/>
    <x v="19"/>
    <s v="PROJECTION"/>
    <x v="7"/>
    <n v="28000"/>
    <d v="2023-05-11T00:00:00"/>
    <d v="2023-05-31T00:00:00"/>
    <x v="4"/>
    <d v="2023-05-30T00:00:00"/>
    <s v="Ontime"/>
    <s v="6.June"/>
    <n v="0.76"/>
    <n v="1.9"/>
    <n v="21280"/>
    <n v="53200"/>
    <s v="FOB"/>
    <x v="2"/>
    <x v="2"/>
    <n v="14"/>
    <n v="12081.333333333334"/>
  </r>
  <r>
    <m/>
    <x v="3"/>
    <x v="19"/>
    <s v="PROJECTION"/>
    <x v="7"/>
    <n v="40000"/>
    <d v="2023-06-01T00:00:00"/>
    <d v="2023-06-30T00:00:00"/>
    <x v="5"/>
    <s v="31/06/2023"/>
    <s v="Ontime"/>
    <s v="07.July"/>
    <n v="0.76"/>
    <n v="1.9"/>
    <n v="30400"/>
    <n v="76000"/>
    <s v="FOB"/>
    <x v="2"/>
    <x v="2"/>
    <n v="20"/>
    <n v="18122"/>
  </r>
  <r>
    <m/>
    <x v="3"/>
    <x v="19"/>
    <s v="PROJECTION"/>
    <x v="7"/>
    <n v="40000"/>
    <d v="2023-07-03T00:00:00"/>
    <d v="2023-07-31T00:00:00"/>
    <x v="6"/>
    <d v="2023-07-31T00:00:00"/>
    <s v="Ontime"/>
    <s v="08.Agustus"/>
    <n v="0.76"/>
    <n v="1.9"/>
    <n v="30400"/>
    <n v="76000"/>
    <s v="FOB"/>
    <x v="2"/>
    <x v="2"/>
    <n v="20"/>
    <n v="18429.5"/>
  </r>
  <r>
    <m/>
    <x v="3"/>
    <x v="19"/>
    <s v="PROJECTION"/>
    <x v="7"/>
    <n v="40000"/>
    <d v="2023-08-01T00:00:00"/>
    <d v="2023-08-31T00:00:00"/>
    <x v="7"/>
    <d v="2023-08-31T00:00:00"/>
    <s v="Ontime"/>
    <s v="09.September"/>
    <n v="0.76"/>
    <n v="1.9"/>
    <n v="30400"/>
    <n v="76000"/>
    <s v="FOB"/>
    <x v="2"/>
    <x v="2"/>
    <n v="22"/>
    <n v="18429.5"/>
  </r>
  <r>
    <m/>
    <x v="3"/>
    <x v="19"/>
    <s v="PROJECTION"/>
    <x v="7"/>
    <n v="40000"/>
    <d v="2023-09-01T00:00:00"/>
    <d v="2023-09-30T00:00:00"/>
    <x v="8"/>
    <d v="2023-09-30T00:00:00"/>
    <s v="Ontime"/>
    <s v="10.Oktober"/>
    <n v="0.76"/>
    <n v="1.9"/>
    <n v="30400"/>
    <n v="76000"/>
    <s v="FOB"/>
    <x v="2"/>
    <x v="2"/>
    <n v="20"/>
    <n v="18429.5"/>
  </r>
  <r>
    <m/>
    <x v="3"/>
    <x v="19"/>
    <s v="PROJECTION"/>
    <x v="7"/>
    <n v="40000"/>
    <d v="2023-10-02T00:00:00"/>
    <d v="2023-10-31T00:00:00"/>
    <x v="9"/>
    <d v="2023-10-30T00:00:00"/>
    <s v="Ontime"/>
    <s v="11.November"/>
    <n v="0.76"/>
    <n v="1.9"/>
    <n v="30400"/>
    <n v="76000"/>
    <s v="FOB"/>
    <x v="2"/>
    <x v="2"/>
    <n v="22"/>
    <n v="18429.5"/>
  </r>
  <r>
    <m/>
    <x v="3"/>
    <x v="19"/>
    <s v="PROJECTION"/>
    <x v="7"/>
    <n v="40000"/>
    <d v="2023-11-01T00:00:00"/>
    <d v="2023-11-30T00:00:00"/>
    <x v="10"/>
    <d v="2023-10-30T00:00:00"/>
    <s v="Ontime"/>
    <s v="12.Desember"/>
    <n v="0.76"/>
    <n v="1.9"/>
    <n v="30400"/>
    <n v="76000"/>
    <s v="FOB"/>
    <x v="2"/>
    <x v="2"/>
    <n v="22"/>
    <n v="18429.5"/>
  </r>
  <r>
    <m/>
    <x v="3"/>
    <x v="19"/>
    <s v="PROJECTION"/>
    <x v="7"/>
    <n v="40000"/>
    <d v="2023-12-01T00:00:00"/>
    <d v="2023-12-29T00:00:00"/>
    <x v="11"/>
    <d v="2023-10-30T00:00:00"/>
    <s v="Ontime"/>
    <s v="01.January"/>
    <n v="0.76"/>
    <n v="1.9"/>
    <n v="30400"/>
    <n v="76000"/>
    <s v="FOB"/>
    <x v="2"/>
    <x v="2"/>
    <n v="20"/>
    <n v="18429.5"/>
  </r>
  <r>
    <m/>
    <x v="3"/>
    <x v="19"/>
    <s v="PO#0145979"/>
    <x v="8"/>
    <n v="7035"/>
    <d v="2023-01-02T00:00:00"/>
    <d v="2023-01-05T00:00:00"/>
    <x v="0"/>
    <d v="2023-01-20T00:00:00"/>
    <s v="Ontime"/>
    <s v="1.January"/>
    <n v="0.76831734192235979"/>
    <n v="1.3524700000000001"/>
    <n v="5405.1125004238011"/>
    <n v="9514.6264499999997"/>
    <s v="FOB"/>
    <x v="2"/>
    <x v="2"/>
    <n v="4"/>
    <n v="3294.909090909091"/>
  </r>
  <r>
    <m/>
    <x v="3"/>
    <x v="19"/>
    <s v="PO#0145978"/>
    <x v="8"/>
    <n v="19915"/>
    <d v="2023-01-06T00:00:00"/>
    <d v="2023-01-17T00:00:00"/>
    <x v="0"/>
    <d v="2023-01-20T00:00:00"/>
    <s v="Ontime"/>
    <s v="1.January"/>
    <n v="0.76831734192235979"/>
    <n v="2.2141999999999999"/>
    <n v="15301.039864383794"/>
    <n v="44095.792999999998"/>
    <s v="FOB"/>
    <x v="2"/>
    <x v="2"/>
    <n v="8"/>
    <n v="6589.818181818182"/>
  </r>
  <r>
    <m/>
    <x v="3"/>
    <x v="20"/>
    <n v="296357076"/>
    <x v="8"/>
    <n v="6750"/>
    <d v="2023-01-18T00:00:00"/>
    <d v="2023-01-23T00:00:00"/>
    <x v="0"/>
    <d v="2023-02-15T00:00:00"/>
    <s v="Ontime"/>
    <s v="2.February"/>
    <n v="1.45"/>
    <n v="2.677"/>
    <n v="9787.5"/>
    <n v="18069.75"/>
    <s v="FOB"/>
    <x v="2"/>
    <x v="2"/>
    <n v="4"/>
    <n v="3294.909090909091"/>
  </r>
  <r>
    <m/>
    <x v="3"/>
    <x v="20"/>
    <n v="296357077"/>
    <x v="8"/>
    <n v="6350"/>
    <d v="2023-01-24T00:00:00"/>
    <d v="2023-01-27T00:00:00"/>
    <x v="0"/>
    <d v="2023-02-15T00:00:00"/>
    <s v="Ontime"/>
    <s v="2.February"/>
    <n v="1.45"/>
    <n v="2.6812"/>
    <n v="9207.5"/>
    <n v="17025.62"/>
    <s v="FOB"/>
    <x v="2"/>
    <x v="2"/>
    <n v="4"/>
    <n v="3294.909090909091"/>
  </r>
  <r>
    <m/>
    <x v="3"/>
    <x v="19"/>
    <s v="PO#0146047"/>
    <x v="8"/>
    <n v="2545"/>
    <d v="2023-01-30T00:00:00"/>
    <d v="2023-01-31T00:00:00"/>
    <x v="0"/>
    <d v="2023-02-17T00:00:00"/>
    <s v="Ontime"/>
    <s v="2.February"/>
    <n v="0.76831734192235979"/>
    <n v="7.2697976424361483"/>
    <n v="1955.3676351924057"/>
    <n v="18501.634999999998"/>
    <s v="FOB"/>
    <x v="2"/>
    <x v="2"/>
    <n v="2"/>
    <n v="1647.4545454545455"/>
  </r>
  <r>
    <m/>
    <x v="3"/>
    <x v="19"/>
    <s v="PO#0146047"/>
    <x v="8"/>
    <n v="14980"/>
    <d v="2023-02-01T00:00:00"/>
    <d v="2023-02-10T00:00:00"/>
    <x v="1"/>
    <d v="2023-02-17T00:00:00"/>
    <s v="Ontime"/>
    <s v="2.February"/>
    <n v="0.81"/>
    <n v="1.2350891188251001"/>
    <n v="12133.800000000001"/>
    <n v="18501.634999999998"/>
    <s v="FOB"/>
    <x v="2"/>
    <x v="2"/>
    <n v="8"/>
    <n v="7248.8"/>
  </r>
  <r>
    <m/>
    <x v="3"/>
    <x v="20"/>
    <n v="296357079"/>
    <x v="8"/>
    <n v="6912"/>
    <d v="2023-02-13T00:00:00"/>
    <d v="2023-02-16T00:00:00"/>
    <x v="1"/>
    <d v="2023-04-15T00:00:00"/>
    <s v="Ontime"/>
    <s v="4.April"/>
    <n v="0.9"/>
    <n v="2.7266659999999998"/>
    <n v="6220.8"/>
    <n v="18846.715391999998"/>
    <s v="FOB"/>
    <x v="2"/>
    <x v="2"/>
    <n v="4"/>
    <n v="3624.4"/>
  </r>
  <r>
    <m/>
    <x v="3"/>
    <x v="21"/>
    <s v="297295640 &amp; 297387581"/>
    <x v="8"/>
    <n v="6912"/>
    <d v="2023-02-17T00:00:00"/>
    <d v="2023-02-21T00:00:00"/>
    <x v="1"/>
    <d v="2023-04-15T00:00:00"/>
    <s v="Ontime"/>
    <s v="4.April"/>
    <n v="0.9"/>
    <n v="2.9566666599999998"/>
    <n v="6220.8"/>
    <n v="20436.479953919999"/>
    <s v="FOB"/>
    <x v="0"/>
    <x v="2"/>
    <n v="3"/>
    <n v="2718.3"/>
  </r>
  <r>
    <m/>
    <x v="3"/>
    <x v="21"/>
    <s v="297295641 &amp; 297387582"/>
    <x v="8"/>
    <n v="2880"/>
    <d v="2023-02-22T00:00:00"/>
    <d v="2023-02-23T00:00:00"/>
    <x v="1"/>
    <d v="2023-05-15T00:00:00"/>
    <s v="Ontime"/>
    <s v="5.May"/>
    <n v="0.9"/>
    <n v="2.9566666599999998"/>
    <n v="2592"/>
    <n v="8515.1999808"/>
    <s v="FOB"/>
    <x v="0"/>
    <x v="2"/>
    <n v="2"/>
    <n v="1812.2"/>
  </r>
  <r>
    <m/>
    <x v="3"/>
    <x v="21"/>
    <s v="PO#0146082"/>
    <x v="8"/>
    <n v="5208"/>
    <d v="2023-02-27T00:00:00"/>
    <d v="2023-02-28T00:00:00"/>
    <x v="1"/>
    <d v="2023-04-15T00:00:00"/>
    <s v="Ontime"/>
    <s v="4.April"/>
    <n v="0.81"/>
    <n v="2.1775000000000002"/>
    <n v="4218.4800000000005"/>
    <n v="11340.420000000002"/>
    <s v="FOB"/>
    <x v="0"/>
    <x v="2"/>
    <n v="2"/>
    <n v="1812.2"/>
  </r>
  <r>
    <m/>
    <x v="3"/>
    <x v="20"/>
    <n v="296357080"/>
    <x v="8"/>
    <n v="2000"/>
    <d v="2023-02-28T00:00:00"/>
    <d v="2023-02-28T00:00:00"/>
    <x v="1"/>
    <d v="2023-05-15T00:00:00"/>
    <s v="Ontime"/>
    <s v="5.May"/>
    <n v="0.9"/>
    <n v="2.7266599999999999"/>
    <n v="1800"/>
    <n v="5453.32"/>
    <s v="FOB"/>
    <x v="0"/>
    <x v="2"/>
    <n v="1"/>
    <n v="906.1"/>
  </r>
  <r>
    <m/>
    <x v="3"/>
    <x v="20"/>
    <n v="296357080"/>
    <x v="8"/>
    <n v="5776"/>
    <d v="2023-03-01T00:00:00"/>
    <d v="2023-03-03T00:00:00"/>
    <x v="2"/>
    <d v="2023-05-15T00:00:00"/>
    <s v="Ontime"/>
    <s v="5.May"/>
    <n v="0.9"/>
    <n v="2.7266599999999999"/>
    <n v="5198.4000000000005"/>
    <n v="15749.18816"/>
    <s v="FOB"/>
    <x v="0"/>
    <x v="2"/>
    <n v="3"/>
    <n v="2471.181818181818"/>
  </r>
  <r>
    <m/>
    <x v="3"/>
    <x v="21"/>
    <s v="297295642, 297295643, 297387583"/>
    <x v="8"/>
    <n v="5760"/>
    <d v="2023-03-06T00:00:00"/>
    <d v="2023-03-07T00:00:00"/>
    <x v="2"/>
    <d v="2023-06-15T00:00:00"/>
    <s v="Ontime"/>
    <s v="6.June"/>
    <n v="0.9"/>
    <n v="2.9566666599999998"/>
    <n v="5184"/>
    <n v="17030.3999616"/>
    <s v="FOB"/>
    <x v="0"/>
    <x v="2"/>
    <n v="2"/>
    <n v="1647.4545454545455"/>
  </r>
  <r>
    <m/>
    <x v="3"/>
    <x v="19"/>
    <s v="PO#0146220"/>
    <x v="8"/>
    <n v="19296"/>
    <d v="2023-03-08T00:00:00"/>
    <d v="2023-03-21T00:00:00"/>
    <x v="2"/>
    <d v="2023-04-15T00:00:00"/>
    <s v="Ontime"/>
    <s v="4.April"/>
    <n v="0.73"/>
    <n v="1.3425"/>
    <n v="14086.08"/>
    <n v="25904.880000000001"/>
    <s v="FOB"/>
    <x v="0"/>
    <x v="2"/>
    <n v="10"/>
    <n v="8237.2727272727279"/>
  </r>
  <r>
    <m/>
    <x v="3"/>
    <x v="19"/>
    <s v="PO#0146248"/>
    <x v="8"/>
    <n v="12000"/>
    <d v="2023-03-23T00:00:00"/>
    <d v="2023-03-31T00:00:00"/>
    <x v="2"/>
    <d v="2023-04-15T00:00:00"/>
    <s v="Ontime"/>
    <s v="4.April"/>
    <n v="0.81"/>
    <n v="1.9528586999999999"/>
    <n v="9720"/>
    <n v="23434.304400000001"/>
    <s v="FOB"/>
    <x v="0"/>
    <x v="2"/>
    <n v="7"/>
    <n v="5766.090909090909"/>
  </r>
  <r>
    <m/>
    <x v="3"/>
    <x v="19"/>
    <s v="PO#0146248"/>
    <x v="8"/>
    <n v="4182"/>
    <d v="2023-04-03T00:00:00"/>
    <d v="2023-04-04T00:00:00"/>
    <x v="3"/>
    <d v="2023-04-15T00:00:00"/>
    <s v="Ontime"/>
    <s v="4.April"/>
    <n v="0.81"/>
    <n v="1.9528586999999999"/>
    <n v="3387.42"/>
    <n v="8166.8550833999998"/>
    <s v="FOB"/>
    <x v="0"/>
    <x v="2"/>
    <n v="2"/>
    <n v="2416.2666666666669"/>
  </r>
  <r>
    <m/>
    <x v="3"/>
    <x v="19"/>
    <s v="PO#0146247"/>
    <x v="8"/>
    <n v="1512"/>
    <d v="2023-04-05T00:00:00"/>
    <d v="2023-04-05T00:00:00"/>
    <x v="3"/>
    <d v="2023-04-15T00:00:00"/>
    <s v="Ontime"/>
    <s v="4.April"/>
    <n v="0.81"/>
    <n v="2.5962999999999998"/>
    <n v="1224.72"/>
    <n v="3925.6055999999999"/>
    <s v="FOB"/>
    <x v="0"/>
    <x v="2"/>
    <n v="1"/>
    <n v="1208.1333333333334"/>
  </r>
  <r>
    <m/>
    <x v="3"/>
    <x v="19"/>
    <s v="PO#0146328"/>
    <x v="8"/>
    <n v="24000"/>
    <d v="2023-04-06T00:00:00"/>
    <d v="2023-04-28T00:00:00"/>
    <x v="3"/>
    <d v="2023-05-15T00:00:00"/>
    <s v="Ontime"/>
    <s v="5.May"/>
    <n v="0.70676996607999998"/>
    <n v="1.8265873015873018"/>
    <n v="16962.479185919998"/>
    <n v="43838.095238095244"/>
    <s v="FOB"/>
    <x v="0"/>
    <x v="2"/>
    <n v="12"/>
    <n v="14497.600000000002"/>
  </r>
  <r>
    <m/>
    <x v="3"/>
    <x v="19"/>
    <s v="PO#0146328"/>
    <x v="8"/>
    <n v="3972"/>
    <d v="2023-05-02T00:00:00"/>
    <d v="2023-05-03T00:00:00"/>
    <x v="4"/>
    <d v="2023-05-15T00:00:00"/>
    <s v="Ontime"/>
    <s v="5.May"/>
    <n v="0.70676996607999998"/>
    <n v="1.8265873015873018"/>
    <n v="2807.2903052697598"/>
    <n v="7255.2047619047626"/>
    <s v="FOB"/>
    <x v="0"/>
    <x v="2"/>
    <n v="2"/>
    <n v="1725.9047619047619"/>
  </r>
  <r>
    <m/>
    <x v="3"/>
    <x v="19"/>
    <s v="PO#0146329"/>
    <x v="8"/>
    <n v="10944"/>
    <d v="2023-05-04T00:00:00"/>
    <d v="2023-05-10T00:00:00"/>
    <x v="4"/>
    <d v="2023-05-15T00:00:00"/>
    <s v="Ontime"/>
    <s v="5.May"/>
    <n v="0.70676996607999998"/>
    <n v="2.1530372807017546"/>
    <n v="7734.8905087795201"/>
    <n v="23562.840000000004"/>
    <s v="FOB"/>
    <x v="0"/>
    <x v="2"/>
    <n v="5"/>
    <n v="4314.7619047619046"/>
  </r>
  <r>
    <m/>
    <x v="3"/>
    <x v="19"/>
    <s v="PROJECTION"/>
    <x v="8"/>
    <n v="28000"/>
    <d v="2023-05-11T00:00:00"/>
    <d v="2023-05-31T00:00:00"/>
    <x v="4"/>
    <d v="2023-05-30T00:00:00"/>
    <s v="Ontime"/>
    <s v="6.June"/>
    <n v="0.76"/>
    <n v="1.9"/>
    <n v="21280"/>
    <n v="53200"/>
    <s v="FOB"/>
    <x v="2"/>
    <x v="2"/>
    <n v="14"/>
    <n v="12081.333333333334"/>
  </r>
  <r>
    <m/>
    <x v="3"/>
    <x v="19"/>
    <s v="PROJECTION"/>
    <x v="8"/>
    <n v="40000"/>
    <d v="2023-06-01T00:00:00"/>
    <d v="2023-06-30T00:00:00"/>
    <x v="5"/>
    <s v="31/06/2023"/>
    <s v="Ontime"/>
    <s v="07.July"/>
    <n v="0.76"/>
    <n v="1.9"/>
    <n v="30400"/>
    <n v="76000"/>
    <s v="FOB"/>
    <x v="2"/>
    <x v="2"/>
    <n v="20"/>
    <n v="18122"/>
  </r>
  <r>
    <m/>
    <x v="3"/>
    <x v="19"/>
    <s v="PROJECTION"/>
    <x v="8"/>
    <n v="40000"/>
    <d v="2023-07-03T00:00:00"/>
    <d v="2023-07-31T00:00:00"/>
    <x v="6"/>
    <d v="2023-07-31T00:00:00"/>
    <s v="Ontime"/>
    <s v="08.Agustus"/>
    <n v="0.76"/>
    <n v="1.9"/>
    <n v="30400"/>
    <n v="76000"/>
    <s v="FOB"/>
    <x v="2"/>
    <x v="2"/>
    <n v="20"/>
    <n v="18429.5"/>
  </r>
  <r>
    <m/>
    <x v="3"/>
    <x v="19"/>
    <s v="PROJECTION"/>
    <x v="8"/>
    <n v="40000"/>
    <d v="2023-08-01T00:00:00"/>
    <d v="2023-08-31T00:00:00"/>
    <x v="7"/>
    <d v="2023-08-31T00:00:00"/>
    <s v="Ontime"/>
    <s v="09.September"/>
    <n v="0.76"/>
    <n v="1.9"/>
    <n v="30400"/>
    <n v="76000"/>
    <s v="FOB"/>
    <x v="2"/>
    <x v="2"/>
    <n v="22"/>
    <n v="18429.5"/>
  </r>
  <r>
    <m/>
    <x v="3"/>
    <x v="19"/>
    <s v="PROJECTION"/>
    <x v="8"/>
    <n v="40000"/>
    <d v="2023-09-01T00:00:00"/>
    <d v="2023-09-30T00:00:00"/>
    <x v="8"/>
    <d v="2023-09-30T00:00:00"/>
    <s v="Ontime"/>
    <s v="10.Oktober"/>
    <n v="0.76"/>
    <n v="1.9"/>
    <n v="30400"/>
    <n v="76000"/>
    <s v="FOB"/>
    <x v="2"/>
    <x v="2"/>
    <n v="20"/>
    <n v="18429.5"/>
  </r>
  <r>
    <m/>
    <x v="3"/>
    <x v="19"/>
    <s v="PROJECTION"/>
    <x v="8"/>
    <n v="40000"/>
    <d v="2023-10-02T00:00:00"/>
    <d v="2023-10-31T00:00:00"/>
    <x v="9"/>
    <d v="2023-10-30T00:00:00"/>
    <s v="Ontime"/>
    <s v="11.November"/>
    <n v="0.76"/>
    <n v="1.9"/>
    <n v="30400"/>
    <n v="76000"/>
    <s v="FOB"/>
    <x v="2"/>
    <x v="2"/>
    <n v="22"/>
    <n v="18429.5"/>
  </r>
  <r>
    <m/>
    <x v="3"/>
    <x v="19"/>
    <s v="PROJECTION"/>
    <x v="8"/>
    <n v="40000"/>
    <d v="2023-11-01T00:00:00"/>
    <d v="2023-11-30T00:00:00"/>
    <x v="10"/>
    <d v="2023-10-30T00:00:00"/>
    <s v="Ontime"/>
    <s v="12.Desember"/>
    <n v="0.76"/>
    <n v="1.9"/>
    <n v="30400"/>
    <n v="76000"/>
    <s v="FOB"/>
    <x v="2"/>
    <x v="2"/>
    <n v="22"/>
    <n v="18429.5"/>
  </r>
  <r>
    <m/>
    <x v="3"/>
    <x v="19"/>
    <s v="PROJECTION"/>
    <x v="8"/>
    <n v="40000"/>
    <d v="2023-12-01T00:00:00"/>
    <d v="2023-12-29T00:00:00"/>
    <x v="11"/>
    <d v="2023-10-30T00:00:00"/>
    <s v="Ontime"/>
    <s v="01.January"/>
    <n v="0.76"/>
    <n v="1.9"/>
    <n v="30400"/>
    <n v="76000"/>
    <s v="FOB"/>
    <x v="2"/>
    <x v="2"/>
    <n v="20"/>
    <n v="18429.5"/>
  </r>
  <r>
    <m/>
    <x v="3"/>
    <x v="19"/>
    <s v="PO#0145978"/>
    <x v="9"/>
    <n v="14127"/>
    <d v="2023-01-02T00:00:00"/>
    <d v="2023-01-10T00:00:00"/>
    <x v="0"/>
    <d v="2023-01-20T00:00:00"/>
    <s v="Ontime"/>
    <s v="1.January"/>
    <n v="0.75773127916450644"/>
    <n v="2.2141999999999999"/>
    <n v="10704.469780756983"/>
    <n v="31280.003399999998"/>
    <s v="FOB"/>
    <x v="0"/>
    <x v="2"/>
    <n v="7"/>
    <n v="5766.090909090909"/>
  </r>
  <r>
    <m/>
    <x v="3"/>
    <x v="19"/>
    <s v="PO#0145979"/>
    <x v="9"/>
    <n v="12875"/>
    <d v="2023-01-11T00:00:00"/>
    <d v="2023-01-17T00:00:00"/>
    <x v="0"/>
    <d v="2023-01-20T00:00:00"/>
    <s v="Ontime"/>
    <s v="1.January"/>
    <n v="0.75773127916450644"/>
    <n v="1.3524700000000001"/>
    <n v="9755.7902192430211"/>
    <n v="17413.05125"/>
    <s v="FOB"/>
    <x v="0"/>
    <x v="2"/>
    <n v="5"/>
    <n v="4118.636363636364"/>
  </r>
  <r>
    <m/>
    <x v="3"/>
    <x v="20"/>
    <n v="296357076"/>
    <x v="9"/>
    <n v="6165"/>
    <d v="2023-01-18T00:00:00"/>
    <d v="2023-01-23T00:00:00"/>
    <x v="0"/>
    <d v="2023-02-15T00:00:00"/>
    <s v="Ontime"/>
    <s v="2.February"/>
    <n v="1.45"/>
    <n v="2.677"/>
    <n v="8939.25"/>
    <n v="16503.705000000002"/>
    <s v="FOB"/>
    <x v="0"/>
    <x v="2"/>
    <n v="4"/>
    <n v="3294.909090909091"/>
  </r>
  <r>
    <m/>
    <x v="3"/>
    <x v="20"/>
    <n v="296357077"/>
    <x v="9"/>
    <n v="7155"/>
    <d v="2023-01-24T00:00:00"/>
    <d v="2023-01-30T00:00:00"/>
    <x v="0"/>
    <d v="2023-02-15T00:00:00"/>
    <s v="Ontime"/>
    <s v="2.February"/>
    <n v="1.45"/>
    <n v="2.6812"/>
    <n v="10374.75"/>
    <n v="19183.986000000001"/>
    <s v="FOB"/>
    <x v="0"/>
    <x v="2"/>
    <n v="5"/>
    <n v="4118.636363636364"/>
  </r>
  <r>
    <m/>
    <x v="3"/>
    <x v="19"/>
    <s v="PO#0146047"/>
    <x v="9"/>
    <n v="1480"/>
    <d v="2023-01-31T00:00:00"/>
    <d v="2023-01-31T00:00:00"/>
    <x v="0"/>
    <d v="2023-02-17T00:00:00"/>
    <s v="Ontime"/>
    <s v="2.February"/>
    <n v="0.8"/>
    <n v="12.501104729729729"/>
    <n v="1184"/>
    <n v="18501.634999999998"/>
    <s v="FOB"/>
    <x v="0"/>
    <x v="2"/>
    <n v="1"/>
    <n v="823.72727272727275"/>
  </r>
  <r>
    <m/>
    <x v="3"/>
    <x v="19"/>
    <s v="PO#0146047"/>
    <x v="9"/>
    <n v="14979"/>
    <d v="2023-02-01T00:00:00"/>
    <d v="2023-02-10T00:00:00"/>
    <x v="1"/>
    <d v="2023-02-17T00:00:00"/>
    <s v="Ontime"/>
    <s v="2.February"/>
    <n v="0.81"/>
    <n v="1.235171573536284"/>
    <n v="12132.990000000002"/>
    <n v="18501.634999999998"/>
    <s v="FOB"/>
    <x v="0"/>
    <x v="2"/>
    <n v="8"/>
    <n v="7248.8"/>
  </r>
  <r>
    <m/>
    <x v="3"/>
    <x v="20"/>
    <n v="296357079"/>
    <x v="9"/>
    <n v="6912"/>
    <d v="2023-02-13T00:00:00"/>
    <d v="2023-02-16T00:00:00"/>
    <x v="1"/>
    <d v="2023-04-15T00:00:00"/>
    <s v="Ontime"/>
    <s v="4.April"/>
    <n v="0.9"/>
    <n v="2.7266659999999998"/>
    <n v="6220.8"/>
    <n v="18846.715391999998"/>
    <s v="FOB"/>
    <x v="0"/>
    <x v="2"/>
    <n v="4"/>
    <n v="3624.4"/>
  </r>
  <r>
    <m/>
    <x v="3"/>
    <x v="21"/>
    <s v="297295640 &amp; 297387581"/>
    <x v="9"/>
    <n v="6912"/>
    <d v="2023-02-17T00:00:00"/>
    <d v="2023-02-21T00:00:00"/>
    <x v="1"/>
    <d v="2023-04-15T00:00:00"/>
    <s v="Ontime"/>
    <s v="4.April"/>
    <n v="0.9"/>
    <n v="2.9566666599999998"/>
    <n v="6220.8"/>
    <n v="20436.479953919999"/>
    <s v="FOB"/>
    <x v="0"/>
    <x v="2"/>
    <n v="3"/>
    <n v="2718.3"/>
  </r>
  <r>
    <m/>
    <x v="3"/>
    <x v="21"/>
    <s v="297295641 &amp; 297387582"/>
    <x v="9"/>
    <n v="2880"/>
    <d v="2023-02-22T00:00:00"/>
    <d v="2023-02-23T00:00:00"/>
    <x v="1"/>
    <d v="2023-05-15T00:00:00"/>
    <s v="Ontime"/>
    <s v="5.May"/>
    <n v="0.9"/>
    <n v="2.9566666599999998"/>
    <n v="2592"/>
    <n v="8515.1999808"/>
    <s v="FOB"/>
    <x v="0"/>
    <x v="2"/>
    <n v="2"/>
    <n v="1812.2"/>
  </r>
  <r>
    <m/>
    <x v="3"/>
    <x v="21"/>
    <s v="PO#0146082"/>
    <x v="9"/>
    <n v="5208"/>
    <d v="2023-02-27T00:00:00"/>
    <d v="2023-02-28T00:00:00"/>
    <x v="1"/>
    <d v="2023-04-15T00:00:00"/>
    <s v="Ontime"/>
    <s v="4.April"/>
    <n v="0.81"/>
    <n v="2.1775000000000002"/>
    <n v="4218.4800000000005"/>
    <n v="11340.420000000002"/>
    <s v="FOB"/>
    <x v="0"/>
    <x v="2"/>
    <n v="2"/>
    <n v="1812.2"/>
  </r>
  <r>
    <m/>
    <x v="3"/>
    <x v="20"/>
    <n v="296357080"/>
    <x v="9"/>
    <n v="2000"/>
    <d v="2023-02-28T00:00:00"/>
    <d v="2023-02-28T00:00:00"/>
    <x v="1"/>
    <d v="2023-05-15T00:00:00"/>
    <s v="Ontime"/>
    <s v="5.May"/>
    <n v="0.9"/>
    <n v="2.7266599999999999"/>
    <n v="1800"/>
    <n v="5453.32"/>
    <s v="FOB"/>
    <x v="0"/>
    <x v="2"/>
    <n v="1"/>
    <n v="906.1"/>
  </r>
  <r>
    <m/>
    <x v="3"/>
    <x v="20"/>
    <n v="296357080"/>
    <x v="9"/>
    <n v="5776"/>
    <d v="2023-03-01T00:00:00"/>
    <d v="2023-03-03T00:00:00"/>
    <x v="2"/>
    <d v="2023-05-15T00:00:00"/>
    <s v="Ontime"/>
    <s v="5.May"/>
    <n v="0.9"/>
    <n v="2.7266599999999999"/>
    <n v="5198.4000000000005"/>
    <n v="15749.18816"/>
    <s v="FOB"/>
    <x v="0"/>
    <x v="2"/>
    <n v="3"/>
    <n v="2471.181818181818"/>
  </r>
  <r>
    <m/>
    <x v="3"/>
    <x v="21"/>
    <s v="297295642, 297295643, 297387583"/>
    <x v="9"/>
    <n v="5760"/>
    <d v="2023-03-06T00:00:00"/>
    <d v="2023-03-07T00:00:00"/>
    <x v="2"/>
    <d v="2023-06-15T00:00:00"/>
    <s v="Ontime"/>
    <s v="6.June"/>
    <n v="0.9"/>
    <n v="2.9566666599999998"/>
    <n v="5184"/>
    <n v="17030.3999616"/>
    <s v="FOB"/>
    <x v="0"/>
    <x v="2"/>
    <n v="2"/>
    <n v="1647.4545454545455"/>
  </r>
  <r>
    <m/>
    <x v="3"/>
    <x v="19"/>
    <s v="PO#0146220"/>
    <x v="9"/>
    <n v="19296"/>
    <d v="2023-03-08T00:00:00"/>
    <d v="2023-03-21T00:00:00"/>
    <x v="2"/>
    <d v="2023-04-15T00:00:00"/>
    <s v="Ontime"/>
    <s v="4.April"/>
    <n v="0.73"/>
    <n v="1.3425"/>
    <n v="14086.08"/>
    <n v="25904.880000000001"/>
    <s v="FOB"/>
    <x v="0"/>
    <x v="2"/>
    <n v="10"/>
    <n v="8237.2727272727279"/>
  </r>
  <r>
    <m/>
    <x v="3"/>
    <x v="19"/>
    <s v="PO#0146248"/>
    <x v="9"/>
    <n v="12000"/>
    <d v="2023-03-23T00:00:00"/>
    <d v="2023-03-31T00:00:00"/>
    <x v="2"/>
    <d v="2023-04-15T00:00:00"/>
    <s v="Ontime"/>
    <s v="4.April"/>
    <n v="0.81"/>
    <n v="1.9528586999999999"/>
    <n v="9720"/>
    <n v="23434.304400000001"/>
    <s v="FOB"/>
    <x v="0"/>
    <x v="2"/>
    <n v="7"/>
    <n v="5766.090909090909"/>
  </r>
  <r>
    <m/>
    <x v="3"/>
    <x v="19"/>
    <s v="PO#0146248"/>
    <x v="9"/>
    <n v="4182"/>
    <d v="2023-04-03T00:00:00"/>
    <d v="2023-04-04T00:00:00"/>
    <x v="3"/>
    <d v="2023-04-15T00:00:00"/>
    <s v="Ontime"/>
    <s v="4.April"/>
    <n v="0.81"/>
    <n v="1.9528586999999999"/>
    <n v="3387.42"/>
    <n v="8166.8550833999998"/>
    <s v="FOB"/>
    <x v="0"/>
    <x v="2"/>
    <n v="2"/>
    <n v="2416.2666666666669"/>
  </r>
  <r>
    <m/>
    <x v="3"/>
    <x v="19"/>
    <s v="PO#0146247"/>
    <x v="9"/>
    <n v="1512"/>
    <d v="2023-04-05T00:00:00"/>
    <d v="2023-04-05T00:00:00"/>
    <x v="3"/>
    <d v="2023-04-15T00:00:00"/>
    <s v="Ontime"/>
    <s v="4.April"/>
    <n v="0.81"/>
    <n v="2.5962999999999998"/>
    <n v="1224.72"/>
    <n v="3925.6055999999999"/>
    <s v="FOB"/>
    <x v="0"/>
    <x v="2"/>
    <n v="1"/>
    <n v="1208.1333333333334"/>
  </r>
  <r>
    <m/>
    <x v="3"/>
    <x v="19"/>
    <s v="PO#0146328"/>
    <x v="9"/>
    <n v="24000"/>
    <d v="2023-04-06T00:00:00"/>
    <d v="2023-04-28T00:00:00"/>
    <x v="3"/>
    <d v="2023-05-15T00:00:00"/>
    <s v="Ontime"/>
    <s v="5.May"/>
    <n v="0.70676996607999998"/>
    <n v="1.8265873015873018"/>
    <n v="16962.479185919998"/>
    <n v="43838.095238095244"/>
    <s v="FOB"/>
    <x v="0"/>
    <x v="2"/>
    <n v="12"/>
    <n v="14497.600000000002"/>
  </r>
  <r>
    <m/>
    <x v="3"/>
    <x v="19"/>
    <s v="PO#0146328"/>
    <x v="9"/>
    <n v="3972"/>
    <d v="2023-05-02T00:00:00"/>
    <d v="2023-05-03T00:00:00"/>
    <x v="4"/>
    <d v="2023-05-15T00:00:00"/>
    <s v="Ontime"/>
    <s v="5.May"/>
    <n v="0.70676996607999998"/>
    <n v="1.8265873015873018"/>
    <n v="2807.2903052697598"/>
    <n v="7255.2047619047626"/>
    <s v="FOB"/>
    <x v="0"/>
    <x v="2"/>
    <n v="2"/>
    <n v="1725.9047619047619"/>
  </r>
  <r>
    <m/>
    <x v="3"/>
    <x v="19"/>
    <s v="PO#0146329"/>
    <x v="9"/>
    <n v="10944"/>
    <d v="2023-05-04T00:00:00"/>
    <d v="2023-05-10T00:00:00"/>
    <x v="4"/>
    <d v="2023-05-15T00:00:00"/>
    <s v="Ontime"/>
    <s v="5.May"/>
    <n v="0.70676996607999998"/>
    <n v="2.1530372807017546"/>
    <n v="7734.8905087795201"/>
    <n v="23562.840000000004"/>
    <s v="FOB"/>
    <x v="0"/>
    <x v="2"/>
    <n v="5"/>
    <n v="4314.7619047619046"/>
  </r>
  <r>
    <m/>
    <x v="3"/>
    <x v="19"/>
    <s v="PROJECTION"/>
    <x v="9"/>
    <n v="28000"/>
    <d v="2023-05-11T00:00:00"/>
    <d v="2023-05-31T00:00:00"/>
    <x v="4"/>
    <d v="2023-05-30T00:00:00"/>
    <s v="Ontime"/>
    <s v="6.June"/>
    <n v="0.76"/>
    <n v="1.9"/>
    <n v="21280"/>
    <n v="53200"/>
    <s v="FOB"/>
    <x v="2"/>
    <x v="2"/>
    <n v="14"/>
    <n v="12081.333333333334"/>
  </r>
  <r>
    <m/>
    <x v="3"/>
    <x v="19"/>
    <s v="PROJECTION"/>
    <x v="9"/>
    <n v="40000"/>
    <d v="2023-06-01T00:00:00"/>
    <d v="2023-06-30T00:00:00"/>
    <x v="5"/>
    <s v="31/06/2023"/>
    <s v="Ontime"/>
    <s v="07.July"/>
    <n v="0.76"/>
    <n v="1.9"/>
    <n v="30400"/>
    <n v="76000"/>
    <s v="FOB"/>
    <x v="2"/>
    <x v="2"/>
    <n v="20"/>
    <n v="18122"/>
  </r>
  <r>
    <m/>
    <x v="3"/>
    <x v="19"/>
    <s v="PROJECTION"/>
    <x v="9"/>
    <n v="40000"/>
    <d v="2023-07-03T00:00:00"/>
    <d v="2023-07-31T00:00:00"/>
    <x v="6"/>
    <d v="2023-07-31T00:00:00"/>
    <s v="Ontime"/>
    <s v="08.Agustus"/>
    <n v="0.76"/>
    <n v="1.9"/>
    <n v="30400"/>
    <n v="76000"/>
    <s v="FOB"/>
    <x v="2"/>
    <x v="2"/>
    <n v="20"/>
    <n v="18429.5"/>
  </r>
  <r>
    <m/>
    <x v="3"/>
    <x v="19"/>
    <s v="PROJECTION"/>
    <x v="9"/>
    <n v="40000"/>
    <d v="2023-08-01T00:00:00"/>
    <d v="2023-08-31T00:00:00"/>
    <x v="7"/>
    <d v="2023-08-31T00:00:00"/>
    <s v="Ontime"/>
    <s v="09.September"/>
    <n v="0.76"/>
    <n v="1.9"/>
    <n v="30400"/>
    <n v="76000"/>
    <s v="FOB"/>
    <x v="2"/>
    <x v="2"/>
    <n v="22"/>
    <n v="18429.5"/>
  </r>
  <r>
    <m/>
    <x v="3"/>
    <x v="19"/>
    <s v="PROJECTION"/>
    <x v="9"/>
    <n v="40000"/>
    <d v="2023-09-01T00:00:00"/>
    <d v="2023-09-30T00:00:00"/>
    <x v="8"/>
    <d v="2023-09-30T00:00:00"/>
    <s v="Ontime"/>
    <s v="10.Oktober"/>
    <n v="0.76"/>
    <n v="1.9"/>
    <n v="30400"/>
    <n v="76000"/>
    <s v="FOB"/>
    <x v="2"/>
    <x v="2"/>
    <n v="20"/>
    <n v="18429.5"/>
  </r>
  <r>
    <m/>
    <x v="3"/>
    <x v="19"/>
    <s v="PROJECTION"/>
    <x v="9"/>
    <n v="40000"/>
    <d v="2023-10-02T00:00:00"/>
    <d v="2023-10-31T00:00:00"/>
    <x v="9"/>
    <d v="2023-10-30T00:00:00"/>
    <s v="Ontime"/>
    <s v="11.November"/>
    <n v="0.76"/>
    <n v="1.9"/>
    <n v="30400"/>
    <n v="76000"/>
    <s v="FOB"/>
    <x v="2"/>
    <x v="2"/>
    <n v="22"/>
    <n v="18429.5"/>
  </r>
  <r>
    <m/>
    <x v="3"/>
    <x v="19"/>
    <s v="PROJECTION"/>
    <x v="9"/>
    <n v="40000"/>
    <d v="2023-11-01T00:00:00"/>
    <d v="2023-11-30T00:00:00"/>
    <x v="10"/>
    <d v="2023-10-30T00:00:00"/>
    <s v="Ontime"/>
    <s v="12.Desember"/>
    <n v="0.76"/>
    <n v="1.9"/>
    <n v="30400"/>
    <n v="76000"/>
    <s v="FOB"/>
    <x v="2"/>
    <x v="2"/>
    <n v="22"/>
    <n v="18429.5"/>
  </r>
  <r>
    <m/>
    <x v="3"/>
    <x v="19"/>
    <s v="PROJECTION"/>
    <x v="9"/>
    <n v="40000"/>
    <d v="2023-12-01T00:00:00"/>
    <d v="2023-12-29T00:00:00"/>
    <x v="11"/>
    <d v="2023-10-30T00:00:00"/>
    <s v="Ontime"/>
    <s v="01.January"/>
    <n v="0.76"/>
    <n v="1.9"/>
    <n v="30400"/>
    <n v="76000"/>
    <s v="FOB"/>
    <x v="2"/>
    <x v="2"/>
    <n v="20"/>
    <n v="18429.5"/>
  </r>
  <r>
    <m/>
    <x v="1"/>
    <x v="13"/>
    <m/>
    <x v="2"/>
    <m/>
    <m/>
    <m/>
    <x v="12"/>
    <m/>
    <m/>
    <m/>
    <m/>
    <m/>
    <m/>
    <m/>
    <m/>
    <x v="1"/>
    <x v="1"/>
    <m/>
    <m/>
  </r>
  <r>
    <m/>
    <x v="4"/>
    <x v="0"/>
    <s v="397-90"/>
    <x v="0"/>
    <n v="3715"/>
    <d v="2023-01-02T00:00:00"/>
    <d v="2023-01-14T00:00:00"/>
    <x v="0"/>
    <d v="2023-01-20T00:00:00"/>
    <s v="Ontime"/>
    <s v="1.January"/>
    <n v="1.86"/>
    <n v="4.1478000000000002"/>
    <n v="6909.9000000000005"/>
    <n v="15409.077000000001"/>
    <s v="CMTP"/>
    <x v="0"/>
    <x v="2"/>
    <n v="12"/>
    <n v="7006.1538461538457"/>
  </r>
  <r>
    <m/>
    <x v="4"/>
    <x v="0"/>
    <s v="H3N-DANSHI"/>
    <x v="0"/>
    <n v="520"/>
    <d v="2023-01-30T00:00:00"/>
    <d v="2023-01-31T00:00:00"/>
    <x v="0"/>
    <d v="2023-02-03T00:00:00"/>
    <s v="Ontime"/>
    <s v="2.February"/>
    <n v="1.96"/>
    <n v="4.3708"/>
    <n v="1019.1999999999999"/>
    <n v="2272.8159999999998"/>
    <s v="CMTP"/>
    <x v="0"/>
    <x v="2"/>
    <n v="2"/>
    <n v="1167.6923076923076"/>
  </r>
  <r>
    <m/>
    <x v="4"/>
    <x v="0"/>
    <s v="FUKUOKA-397"/>
    <x v="0"/>
    <n v="3804"/>
    <d v="2023-01-15T00:00:00"/>
    <d v="2023-01-28T00:00:00"/>
    <x v="0"/>
    <d v="2022-12-30T00:00:00"/>
    <s v="Delay"/>
    <s v="12.December"/>
    <n v="1.96"/>
    <n v="4.3708"/>
    <n v="7455.84"/>
    <n v="16626.5232"/>
    <s v="CMTP"/>
    <x v="0"/>
    <x v="2"/>
    <n v="12"/>
    <n v="7006.1538461538457"/>
  </r>
  <r>
    <m/>
    <x v="4"/>
    <x v="0"/>
    <s v="KZN393-80"/>
    <x v="1"/>
    <n v="2555"/>
    <d v="2023-01-02T00:00:00"/>
    <d v="2023-01-07T00:00:00"/>
    <x v="0"/>
    <d v="2023-01-19T00:00:00"/>
    <s v="Ontime"/>
    <s v="1.January"/>
    <n v="0.28999999999999998"/>
    <n v="0.64669999999999994"/>
    <n v="740.94999999999993"/>
    <n v="1652.3184999999999"/>
    <s v="CMTP"/>
    <x v="0"/>
    <x v="2"/>
    <n v="6"/>
    <n v="1751.5384615384614"/>
  </r>
  <r>
    <m/>
    <x v="4"/>
    <x v="0"/>
    <s v="MAEBASI -  393, 393-91"/>
    <x v="1"/>
    <n v="1887"/>
    <d v="2023-01-09T00:00:00"/>
    <d v="2023-01-14T00:00:00"/>
    <x v="0"/>
    <d v="2023-02-09T00:00:00"/>
    <s v="Ontime"/>
    <s v="2.February"/>
    <n v="0.24"/>
    <n v="0.53520000000000001"/>
    <n v="452.88"/>
    <n v="1009.9224"/>
    <s v="CMTP"/>
    <x v="0"/>
    <x v="2"/>
    <n v="6"/>
    <n v="1751.5384615384614"/>
  </r>
  <r>
    <m/>
    <x v="4"/>
    <x v="0"/>
    <s v="FUKUOKA-393"/>
    <x v="1"/>
    <n v="4053"/>
    <d v="2023-01-15T00:00:00"/>
    <d v="2023-01-21T00:00:00"/>
    <x v="0"/>
    <d v="2023-02-16T00:00:00"/>
    <s v="Delay"/>
    <s v="2.February"/>
    <n v="0.44"/>
    <n v="0.98119999999999996"/>
    <n v="1783.32"/>
    <n v="3976.8035999999997"/>
    <s v="CMTP"/>
    <x v="0"/>
    <x v="2"/>
    <n v="6"/>
    <n v="1751.5384615384614"/>
  </r>
  <r>
    <m/>
    <x v="4"/>
    <x v="0"/>
    <s v="FUKUOKA-391"/>
    <x v="1"/>
    <n v="3065"/>
    <d v="2023-01-23T00:00:00"/>
    <d v="2023-01-31T00:00:00"/>
    <x v="0"/>
    <d v="2023-03-09T00:00:00"/>
    <s v="Ontime"/>
    <s v="3.March"/>
    <n v="0.37"/>
    <n v="0.82509999999999994"/>
    <n v="1134.05"/>
    <n v="2528.9314999999997"/>
    <s v="CMTP"/>
    <x v="0"/>
    <x v="2"/>
    <n v="8"/>
    <n v="2335.3846153846152"/>
  </r>
  <r>
    <m/>
    <x v="4"/>
    <x v="0"/>
    <s v="133-98"/>
    <x v="3"/>
    <n v="6656"/>
    <d v="2023-01-01T00:00:00"/>
    <d v="2023-01-18T00:00:00"/>
    <x v="0"/>
    <d v="2023-01-31T00:00:00"/>
    <s v="Ontime"/>
    <s v="1.January"/>
    <n v="1.54"/>
    <n v="3.4342000000000001"/>
    <n v="10250.24"/>
    <n v="22858.035200000002"/>
    <s v="CMTP"/>
    <x v="0"/>
    <x v="2"/>
    <n v="15"/>
    <n v="8757.6923076923067"/>
  </r>
  <r>
    <m/>
    <x v="4"/>
    <x v="22"/>
    <n v="464469"/>
    <x v="3"/>
    <n v="7649"/>
    <d v="2023-01-19T00:00:00"/>
    <d v="2023-01-31T00:00:00"/>
    <x v="0"/>
    <d v="2023-01-23T00:00:00"/>
    <s v="Delay"/>
    <s v="1.January"/>
    <n v="0.55000000000000004"/>
    <n v="1.6884170588331082"/>
    <n v="4206.9500000000007"/>
    <n v="12914.702083014445"/>
    <s v="FOB"/>
    <x v="0"/>
    <x v="2"/>
    <n v="11"/>
    <n v="6422.3076923076915"/>
  </r>
  <r>
    <m/>
    <x v="4"/>
    <x v="0"/>
    <s v="133-98"/>
    <x v="10"/>
    <n v="2128"/>
    <d v="2023-01-02T00:00:00"/>
    <d v="2023-01-12T00:00:00"/>
    <x v="0"/>
    <d v="2022-11-25T00:00:00"/>
    <s v="Delay"/>
    <s v="11.November"/>
    <n v="1.54"/>
    <n v="3.4342000000000001"/>
    <n v="3277.12"/>
    <n v="7307.9776000000002"/>
    <s v="CMTP"/>
    <x v="0"/>
    <x v="2"/>
    <n v="10"/>
    <n v="5838.4615384615381"/>
  </r>
  <r>
    <m/>
    <x v="4"/>
    <x v="22"/>
    <n v="464469"/>
    <x v="10"/>
    <n v="19249"/>
    <d v="2023-01-13T00:00:00"/>
    <d v="2023-01-31T00:00:00"/>
    <x v="0"/>
    <d v="2023-01-23T00:00:00"/>
    <s v="Delay"/>
    <s v="1.January"/>
    <n v="0.55000000000000004"/>
    <n v="1.6884170588331082"/>
    <n v="10586.95"/>
    <n v="32500.339965478499"/>
    <s v="FOB"/>
    <x v="0"/>
    <x v="2"/>
    <n v="16"/>
    <n v="9341.538461538461"/>
  </r>
  <r>
    <m/>
    <x v="4"/>
    <x v="22"/>
    <s v="449387 470181 464469 470182"/>
    <x v="11"/>
    <n v="34634"/>
    <d v="2023-01-02T00:00:00"/>
    <d v="2023-01-31T00:00:00"/>
    <x v="0"/>
    <d v="2022-12-26T00:00:00"/>
    <s v="Delay"/>
    <s v="12.December"/>
    <n v="0.55000000000000004"/>
    <n v="1.6884170588331082"/>
    <n v="19048.7"/>
    <n v="58476.636415625871"/>
    <s v="FOB"/>
    <x v="0"/>
    <x v="2"/>
    <n v="26"/>
    <n v="15180"/>
  </r>
  <r>
    <m/>
    <x v="4"/>
    <x v="22"/>
    <s v="464469 449387 470181 "/>
    <x v="12"/>
    <n v="33172"/>
    <d v="2023-01-02T00:00:00"/>
    <d v="2023-01-31T00:00:00"/>
    <x v="0"/>
    <d v="2023-01-16T00:00:00"/>
    <s v="Ontime"/>
    <s v="1.January"/>
    <n v="0.52116021559655434"/>
    <n v="1.6884170588331082"/>
    <n v="17287.926671768902"/>
    <n v="56008.170675611866"/>
    <s v="FOB"/>
    <x v="0"/>
    <x v="2"/>
    <n v="26"/>
    <n v="15180"/>
  </r>
  <r>
    <m/>
    <x v="4"/>
    <x v="22"/>
    <s v="449387 464469 470181"/>
    <x v="13"/>
    <n v="21225"/>
    <d v="2023-01-02T00:00:00"/>
    <d v="2023-01-31T00:00:00"/>
    <x v="0"/>
    <d v="2023-01-09T00:00:00"/>
    <s v="Delay"/>
    <s v="1.January"/>
    <n v="0.52116021559655434"/>
    <n v="1.6884170588331082"/>
    <n v="11061.625576036866"/>
    <n v="35836.652073732723"/>
    <s v="FOB"/>
    <x v="0"/>
    <x v="2"/>
    <n v="26"/>
    <n v="15180"/>
  </r>
  <r>
    <m/>
    <x v="4"/>
    <x v="0"/>
    <s v="KAZEN FOODWEAR"/>
    <x v="0"/>
    <n v="5463"/>
    <d v="2023-02-01T00:00:00"/>
    <d v="2023-02-28T00:00:00"/>
    <x v="1"/>
    <d v="2023-02-03T00:00:00"/>
    <s v="Ontime"/>
    <s v="2.February"/>
    <n v="1.86"/>
    <n v="4.1478000000000002"/>
    <n v="10161.18"/>
    <n v="22659.431400000001"/>
    <m/>
    <x v="0"/>
    <x v="2"/>
    <n v="24"/>
    <n v="15180"/>
  </r>
  <r>
    <m/>
    <x v="4"/>
    <x v="0"/>
    <s v="KAZEN ACC FOODWEAR"/>
    <x v="1"/>
    <n v="11328"/>
    <d v="2023-02-01T00:00:00"/>
    <d v="2023-02-28T00:00:00"/>
    <x v="1"/>
    <d v="2023-01-26T00:00:00"/>
    <s v="Ontime"/>
    <s v="1.January"/>
    <n v="0.24"/>
    <n v="0.53520000000000001"/>
    <n v="2718.72"/>
    <n v="6062.7456000000002"/>
    <m/>
    <x v="0"/>
    <x v="2"/>
    <n v="24"/>
    <n v="7590"/>
  </r>
  <r>
    <m/>
    <x v="4"/>
    <x v="0"/>
    <s v="KAZEN FOODWEAR"/>
    <x v="3"/>
    <n v="4660"/>
    <d v="2023-02-01T00:00:00"/>
    <d v="2023-02-28T00:00:00"/>
    <x v="1"/>
    <d v="2023-01-23T00:00:00"/>
    <s v="Delay"/>
    <s v="1.January"/>
    <n v="1.86"/>
    <n v="4.1478000000000002"/>
    <n v="8667.6"/>
    <n v="19328.748"/>
    <m/>
    <x v="0"/>
    <x v="2"/>
    <n v="24"/>
    <n v="15180"/>
  </r>
  <r>
    <m/>
    <x v="4"/>
    <x v="22"/>
    <s v="H&amp;M BOXER SEASON 7"/>
    <x v="10"/>
    <n v="17550"/>
    <d v="2023-02-01T00:00:00"/>
    <d v="2023-02-15T00:00:00"/>
    <x v="1"/>
    <d v="2023-02-27T00:00:00"/>
    <s v="Ontime"/>
    <s v="1.January"/>
    <n v="0.52116021559655434"/>
    <n v="1.61"/>
    <n v="9146.3617837195288"/>
    <n v="28255.5"/>
    <m/>
    <x v="0"/>
    <x v="2"/>
    <n v="13"/>
    <n v="8222.5"/>
  </r>
  <r>
    <m/>
    <x v="4"/>
    <x v="22"/>
    <s v="H&amp;M BOXER SEASON 7"/>
    <x v="11"/>
    <n v="17550"/>
    <d v="2023-02-01T00:00:00"/>
    <d v="2023-02-21T00:00:00"/>
    <x v="1"/>
    <d v="2023-02-27T00:00:00"/>
    <s v="Ontime"/>
    <s v="1.January"/>
    <n v="0.52116021559655434"/>
    <n v="1.61"/>
    <n v="9146.3617837195288"/>
    <n v="28255.5"/>
    <m/>
    <x v="0"/>
    <x v="2"/>
    <n v="18"/>
    <n v="11385"/>
  </r>
  <r>
    <m/>
    <x v="4"/>
    <x v="22"/>
    <s v="H&amp;M BOXER SEASON 7"/>
    <x v="12"/>
    <n v="18200"/>
    <d v="2023-02-01T00:00:00"/>
    <d v="2023-02-21T00:00:00"/>
    <x v="1"/>
    <d v="2023-02-27T00:00:00"/>
    <s v="Ontime"/>
    <s v="1.January"/>
    <n v="0.52116021559655434"/>
    <n v="1.61"/>
    <n v="9485.1159238572891"/>
    <n v="29302"/>
    <m/>
    <x v="0"/>
    <x v="2"/>
    <n v="18"/>
    <n v="11385"/>
  </r>
  <r>
    <m/>
    <x v="4"/>
    <x v="22"/>
    <s v="H&amp;M BOXER SEASON 7"/>
    <x v="13"/>
    <n v="18200"/>
    <d v="2023-02-01T00:00:00"/>
    <d v="2023-02-21T00:00:00"/>
    <x v="1"/>
    <d v="2023-02-27T00:00:00"/>
    <s v="Ontime"/>
    <s v="1.January"/>
    <n v="0.52116021559655434"/>
    <n v="1.61"/>
    <n v="9485.1159238572891"/>
    <n v="29302"/>
    <m/>
    <x v="0"/>
    <x v="2"/>
    <n v="18"/>
    <n v="11385"/>
  </r>
  <r>
    <m/>
    <x v="4"/>
    <x v="0"/>
    <s v="MEDICAL SCRUB PANT"/>
    <x v="10"/>
    <n v="4180"/>
    <d v="2023-02-16T00:00:00"/>
    <d v="2023-02-28T00:00:00"/>
    <x v="1"/>
    <d v="2023-03-07T00:00:00"/>
    <s v="Delay"/>
    <s v="3.March"/>
    <n v="1.6"/>
    <n v="3.5680000000000001"/>
    <n v="6688"/>
    <n v="14914.24"/>
    <m/>
    <x v="0"/>
    <x v="2"/>
    <n v="11"/>
    <n v="6957.5"/>
  </r>
  <r>
    <m/>
    <x v="4"/>
    <x v="23"/>
    <s v="BERMUDA PANTS"/>
    <x v="11"/>
    <n v="1398"/>
    <d v="2023-02-22T00:00:00"/>
    <d v="2023-02-28T00:00:00"/>
    <x v="1"/>
    <d v="2023-03-07T00:00:00"/>
    <s v="Delay"/>
    <s v="3.March"/>
    <n v="1.47"/>
    <n v="3.2780999999999998"/>
    <n v="2055.06"/>
    <n v="4582.7838000000002"/>
    <m/>
    <x v="0"/>
    <x v="2"/>
    <n v="6"/>
    <n v="3795"/>
  </r>
  <r>
    <m/>
    <x v="4"/>
    <x v="24"/>
    <s v="BOXER"/>
    <x v="12"/>
    <n v="6448"/>
    <d v="2023-02-22T00:00:00"/>
    <d v="2023-02-28T00:00:00"/>
    <x v="1"/>
    <d v="2023-03-07T00:00:00"/>
    <s v="Delay"/>
    <s v="3.March"/>
    <n v="0.52116021559655434"/>
    <n v="1.6884170588331082"/>
    <n v="3360.4410701665824"/>
    <n v="10886.913195355883"/>
    <m/>
    <x v="0"/>
    <x v="2"/>
    <n v="6"/>
    <n v="3795"/>
  </r>
  <r>
    <m/>
    <x v="4"/>
    <x v="24"/>
    <s v="BOXER"/>
    <x v="13"/>
    <n v="6448"/>
    <d v="2023-02-22T00:00:00"/>
    <d v="2023-02-28T00:00:00"/>
    <x v="1"/>
    <d v="2023-03-07T00:00:00"/>
    <s v="Delay"/>
    <s v="3.March"/>
    <n v="0.52116021559655434"/>
    <n v="1.6884170588331082"/>
    <n v="3360.4410701665824"/>
    <n v="10886.913195355883"/>
    <m/>
    <x v="0"/>
    <x v="2"/>
    <n v="6"/>
    <n v="3795"/>
  </r>
  <r>
    <m/>
    <x v="4"/>
    <x v="0"/>
    <s v="KAZEN FOODWEAR"/>
    <x v="0"/>
    <n v="2600"/>
    <d v="2023-03-01T00:00:00"/>
    <d v="2023-03-14T00:00:00"/>
    <x v="2"/>
    <d v="2023-02-03T00:00:00"/>
    <s v="Ontime"/>
    <s v="2.February"/>
    <n v="1.86"/>
    <n v="4.1478000000000002"/>
    <n v="4836"/>
    <n v="10784.28"/>
    <m/>
    <x v="0"/>
    <x v="2"/>
    <n v="12"/>
    <n v="7006.1538461538457"/>
  </r>
  <r>
    <m/>
    <x v="4"/>
    <x v="0"/>
    <s v="KAZEN FOODWEAR"/>
    <x v="0"/>
    <n v="3500"/>
    <d v="2023-03-15T00:00:00"/>
    <d v="2023-03-31T00:00:00"/>
    <x v="2"/>
    <d v="2023-02-03T00:00:00"/>
    <s v="Ontime"/>
    <s v="2.February"/>
    <n v="1.86"/>
    <n v="4.1478000000000002"/>
    <n v="6510"/>
    <n v="14517.300000000001"/>
    <m/>
    <x v="0"/>
    <x v="2"/>
    <n v="14"/>
    <n v="8173.8461538461534"/>
  </r>
  <r>
    <m/>
    <x v="4"/>
    <x v="0"/>
    <s v="KAZEN ACC FOODWEAR"/>
    <x v="1"/>
    <n v="17080"/>
    <d v="2023-03-01T00:00:00"/>
    <d v="2023-03-31T00:00:00"/>
    <x v="2"/>
    <d v="2023-01-26T00:00:00"/>
    <s v="Ontime"/>
    <s v="1.January"/>
    <n v="0.24"/>
    <n v="0.53520000000000001"/>
    <n v="4099.2"/>
    <n v="9141.2160000000003"/>
    <m/>
    <x v="0"/>
    <x v="2"/>
    <n v="26"/>
    <n v="7590"/>
  </r>
  <r>
    <m/>
    <x v="4"/>
    <x v="0"/>
    <s v="KAZEN FOODWEAR"/>
    <x v="3"/>
    <n v="6030"/>
    <d v="2023-03-01T00:00:00"/>
    <d v="2023-03-23T00:00:00"/>
    <x v="2"/>
    <d v="2023-01-23T00:00:00"/>
    <s v="Delay"/>
    <s v="1.January"/>
    <n v="1.86"/>
    <n v="4.1478000000000002"/>
    <n v="11215.800000000001"/>
    <n v="25011.234"/>
    <m/>
    <x v="0"/>
    <x v="2"/>
    <n v="19"/>
    <n v="11093.076923076922"/>
  </r>
  <r>
    <m/>
    <x v="4"/>
    <x v="0"/>
    <s v="KAZEN FOODWEAR"/>
    <x v="3"/>
    <n v="1750"/>
    <d v="2023-03-24T00:00:00"/>
    <d v="2023-03-31T00:00:00"/>
    <x v="2"/>
    <d v="2023-01-23T00:00:00"/>
    <s v="Delay"/>
    <s v="1.January"/>
    <n v="1.86"/>
    <n v="4.1478000000000002"/>
    <n v="3255"/>
    <n v="7258.6500000000005"/>
    <m/>
    <x v="0"/>
    <x v="2"/>
    <n v="7"/>
    <n v="4086.9230769230767"/>
  </r>
  <r>
    <m/>
    <x v="4"/>
    <x v="0"/>
    <s v="MEDICAL SCRUB PANT"/>
    <x v="10"/>
    <n v="3120"/>
    <d v="2023-03-01T00:00:00"/>
    <d v="2023-03-10T00:00:00"/>
    <x v="2"/>
    <d v="2023-01-23T00:00:00"/>
    <s v="Delay"/>
    <s v="1.January"/>
    <n v="1.6"/>
    <n v="3.5680000000000001"/>
    <n v="4992"/>
    <n v="11132.16"/>
    <m/>
    <x v="0"/>
    <x v="2"/>
    <n v="9"/>
    <n v="5254.6153846153848"/>
  </r>
  <r>
    <m/>
    <x v="4"/>
    <x v="0"/>
    <s v="MEDICAL SCRUB PANT"/>
    <x v="11"/>
    <n v="5620"/>
    <d v="2023-03-01T00:00:00"/>
    <d v="2023-03-19T00:00:00"/>
    <x v="2"/>
    <d v="2023-01-23T00:00:00"/>
    <s v="Delay"/>
    <s v="1.January"/>
    <n v="1.6"/>
    <n v="3.5680000000000001"/>
    <n v="8992"/>
    <n v="20052.16"/>
    <m/>
    <x v="0"/>
    <x v="2"/>
    <n v="16"/>
    <n v="9341.538461538461"/>
  </r>
  <r>
    <m/>
    <x v="4"/>
    <x v="0"/>
    <s v="MEDICAL SCRUB PANT"/>
    <x v="12"/>
    <n v="6020"/>
    <d v="2023-03-01T00:00:00"/>
    <d v="2023-03-19T00:00:00"/>
    <x v="2"/>
    <d v="2023-01-23T00:00:00"/>
    <s v="Delay"/>
    <s v="1.January"/>
    <n v="1.6"/>
    <n v="3.5680000000000001"/>
    <n v="9632"/>
    <n v="21479.360000000001"/>
    <m/>
    <x v="0"/>
    <x v="2"/>
    <n v="16"/>
    <n v="9341.538461538461"/>
  </r>
  <r>
    <m/>
    <x v="4"/>
    <x v="0"/>
    <s v="MEDICAL SCRUB PANT"/>
    <x v="13"/>
    <n v="3940"/>
    <d v="2023-03-01T00:00:00"/>
    <d v="2023-03-16T00:00:00"/>
    <x v="2"/>
    <d v="2023-01-23T00:00:00"/>
    <s v="Delay"/>
    <s v="1.January"/>
    <n v="1.6"/>
    <n v="3.5680000000000001"/>
    <n v="6304"/>
    <n v="14057.92"/>
    <m/>
    <x v="0"/>
    <x v="2"/>
    <n v="14"/>
    <n v="8173.8461538461534"/>
  </r>
  <r>
    <m/>
    <x v="4"/>
    <x v="0"/>
    <s v="MEDICAL SCRUB PANT"/>
    <x v="10"/>
    <n v="5400"/>
    <d v="2023-03-11T00:00:00"/>
    <d v="2023-03-26T00:00:00"/>
    <x v="2"/>
    <d v="2023-01-23T00:00:00"/>
    <s v="Delay"/>
    <s v="1.January"/>
    <n v="1.6"/>
    <n v="3.5680000000000001"/>
    <n v="8640"/>
    <n v="19267.2"/>
    <m/>
    <x v="0"/>
    <x v="2"/>
    <n v="12"/>
    <n v="7006.1538461538457"/>
  </r>
  <r>
    <m/>
    <x v="4"/>
    <x v="0"/>
    <s v="MEDICAL SCRUB PANT"/>
    <x v="11"/>
    <n v="2250"/>
    <d v="2023-03-20T00:00:00"/>
    <d v="2023-03-26T00:00:00"/>
    <x v="2"/>
    <d v="2023-01-23T00:00:00"/>
    <s v="Delay"/>
    <s v="1.January"/>
    <n v="1.6"/>
    <n v="3.5680000000000001"/>
    <n v="3600"/>
    <n v="8028"/>
    <m/>
    <x v="0"/>
    <x v="2"/>
    <n v="5"/>
    <n v="2919.2307692307691"/>
  </r>
  <r>
    <m/>
    <x v="4"/>
    <x v="0"/>
    <s v="MEDICAL SCRUB PANT"/>
    <x v="12"/>
    <n v="2250"/>
    <d v="2023-03-20T00:00:00"/>
    <d v="2023-03-26T00:00:00"/>
    <x v="2"/>
    <d v="2023-01-23T00:00:00"/>
    <s v="Delay"/>
    <s v="1.January"/>
    <n v="1.6"/>
    <n v="3.5680000000000001"/>
    <n v="3600"/>
    <n v="8028"/>
    <m/>
    <x v="0"/>
    <x v="2"/>
    <n v="5"/>
    <n v="2919.2307692307691"/>
  </r>
  <r>
    <m/>
    <x v="4"/>
    <x v="0"/>
    <s v="MEDICAL SCRUB PANT"/>
    <x v="13"/>
    <n v="3150"/>
    <d v="2023-03-17T00:00:00"/>
    <d v="2023-03-26T00:00:00"/>
    <x v="2"/>
    <d v="2023-01-23T00:00:00"/>
    <s v="Delay"/>
    <s v="1.January"/>
    <n v="1.6"/>
    <n v="3.5680000000000001"/>
    <n v="5040"/>
    <n v="11239.2"/>
    <m/>
    <x v="0"/>
    <x v="2"/>
    <n v="7"/>
    <n v="4086.9230769230767"/>
  </r>
  <r>
    <m/>
    <x v="4"/>
    <x v="22"/>
    <s v="H&amp;M BOXER SEASON 8"/>
    <x v="10"/>
    <n v="7000"/>
    <d v="2023-03-27T00:00:00"/>
    <d v="2023-03-31T00:00:00"/>
    <x v="2"/>
    <d v="2023-04-17T00:00:00"/>
    <s v="PROJECTION"/>
    <s v="PROJECTION"/>
    <n v="0.52116021559655434"/>
    <n v="1.61"/>
    <n v="3648.1215091758804"/>
    <n v="11270"/>
    <m/>
    <x v="0"/>
    <x v="2"/>
    <n v="5"/>
    <n v="2919.2307692307691"/>
  </r>
  <r>
    <m/>
    <x v="4"/>
    <x v="22"/>
    <s v="H&amp;M BOXER SEASON 8"/>
    <x v="11"/>
    <n v="7750"/>
    <d v="2023-03-27T00:00:00"/>
    <d v="2023-03-31T00:00:00"/>
    <x v="2"/>
    <d v="2023-04-17T00:00:00"/>
    <s v="PROJECTION"/>
    <s v="PROJECTION"/>
    <n v="0.52116021559655434"/>
    <n v="1.61"/>
    <n v="4038.9916708732962"/>
    <n v="12477.5"/>
    <m/>
    <x v="0"/>
    <x v="2"/>
    <n v="5"/>
    <n v="2919.2307692307691"/>
  </r>
  <r>
    <m/>
    <x v="4"/>
    <x v="22"/>
    <s v="H&amp;M BOXER SEASON 8"/>
    <x v="12"/>
    <n v="7000"/>
    <d v="2023-03-27T00:00:00"/>
    <d v="2023-03-31T00:00:00"/>
    <x v="2"/>
    <d v="2023-04-17T00:00:00"/>
    <s v="PROJECTION"/>
    <s v="PROJECTION"/>
    <n v="0.52116021559655434"/>
    <n v="1.61"/>
    <n v="3648.1215091758804"/>
    <n v="11270"/>
    <m/>
    <x v="0"/>
    <x v="2"/>
    <n v="5"/>
    <n v="2919.2307692307691"/>
  </r>
  <r>
    <m/>
    <x v="4"/>
    <x v="22"/>
    <s v="H&amp;M BOXER SEASON 8"/>
    <x v="13"/>
    <n v="5000"/>
    <d v="2023-03-27T00:00:00"/>
    <d v="2023-03-31T00:00:00"/>
    <x v="2"/>
    <d v="2023-04-17T00:00:00"/>
    <s v="PROJECTION"/>
    <s v="PROJECTION"/>
    <n v="0.52116021559655434"/>
    <n v="1.61"/>
    <n v="2605.8010779827719"/>
    <n v="8050.0000000000009"/>
    <m/>
    <x v="0"/>
    <x v="2"/>
    <n v="5"/>
    <n v="2919.2307692307691"/>
  </r>
  <r>
    <m/>
    <x v="4"/>
    <x v="0"/>
    <s v="KAZEN FOODWEAR"/>
    <x v="0"/>
    <n v="1200"/>
    <d v="2023-04-01T00:00:00"/>
    <d v="2023-04-08T00:00:00"/>
    <x v="3"/>
    <s v="6.June"/>
    <s v="PROJECTION"/>
    <s v="6.June"/>
    <n v="1.86"/>
    <n v="4.1478000000000002"/>
    <n v="2232"/>
    <n v="4977.3600000000006"/>
    <m/>
    <x v="0"/>
    <x v="2"/>
    <n v="6"/>
    <n v="4554"/>
  </r>
  <r>
    <m/>
    <x v="4"/>
    <x v="0"/>
    <s v="KAZEN FOODWEAR"/>
    <x v="0"/>
    <n v="3520"/>
    <d v="2023-04-09T00:00:00"/>
    <d v="2023-04-30T00:00:00"/>
    <x v="3"/>
    <s v="6.June"/>
    <s v="PROJECTION"/>
    <s v="6.June"/>
    <n v="1.86"/>
    <n v="4.1478000000000002"/>
    <n v="6547.2000000000007"/>
    <n v="14600.256000000001"/>
    <m/>
    <x v="0"/>
    <x v="2"/>
    <n v="14"/>
    <n v="10626"/>
  </r>
  <r>
    <m/>
    <x v="4"/>
    <x v="0"/>
    <s v="KAZEN ACC FOODWEAR"/>
    <x v="1"/>
    <n v="13000"/>
    <d v="2023-04-01T00:00:00"/>
    <d v="2023-04-30T00:00:00"/>
    <x v="3"/>
    <s v="6.June"/>
    <s v="PROJECTION"/>
    <s v="6.June"/>
    <n v="0.24"/>
    <n v="0.53520000000000001"/>
    <n v="3120"/>
    <n v="6957.6"/>
    <m/>
    <x v="0"/>
    <x v="2"/>
    <n v="20"/>
    <n v="7590"/>
  </r>
  <r>
    <m/>
    <x v="4"/>
    <x v="0"/>
    <s v="KAZEN FOODWEAR"/>
    <x v="3"/>
    <n v="4000"/>
    <d v="2023-04-01T00:00:00"/>
    <d v="2023-04-30T00:00:00"/>
    <x v="3"/>
    <s v="6.June"/>
    <s v="PROJECTION"/>
    <s v="6.June"/>
    <n v="1.86"/>
    <n v="4.1478000000000002"/>
    <n v="7440"/>
    <n v="16591.2"/>
    <m/>
    <x v="0"/>
    <x v="2"/>
    <n v="20"/>
    <n v="15180"/>
  </r>
  <r>
    <m/>
    <x v="4"/>
    <x v="22"/>
    <s v="H&amp;M BOXER SEASON 8"/>
    <x v="10"/>
    <n v="28000"/>
    <d v="2023-04-01T00:00:00"/>
    <d v="2023-04-29T00:00:00"/>
    <x v="3"/>
    <d v="2023-04-17T00:00:00"/>
    <s v="PROJECTION"/>
    <s v="PROJECTION"/>
    <n v="0.52116021559655434"/>
    <n v="1.61"/>
    <n v="14592.486036703522"/>
    <n v="45080"/>
    <m/>
    <x v="0"/>
    <x v="2"/>
    <n v="20"/>
    <n v="15180"/>
  </r>
  <r>
    <m/>
    <x v="4"/>
    <x v="22"/>
    <s v="H&amp;M BOXER SEASON 8"/>
    <x v="11"/>
    <n v="31000"/>
    <d v="2023-04-01T00:00:00"/>
    <d v="2023-04-29T00:00:00"/>
    <x v="3"/>
    <d v="2023-04-17T00:00:00"/>
    <s v="PROJECTION"/>
    <s v="PROJECTION"/>
    <n v="0.52116021559655434"/>
    <n v="1.61"/>
    <n v="16155.966683493185"/>
    <n v="49910"/>
    <m/>
    <x v="0"/>
    <x v="2"/>
    <n v="20"/>
    <n v="15180"/>
  </r>
  <r>
    <m/>
    <x v="4"/>
    <x v="22"/>
    <s v="H&amp;M BOXER SEASON 8"/>
    <x v="12"/>
    <n v="28000"/>
    <d v="2023-04-01T00:00:00"/>
    <d v="2023-04-29T00:00:00"/>
    <x v="3"/>
    <n v="45033"/>
    <s v="PROJECTION"/>
    <s v="PROJECTION"/>
    <n v="0.52116021559655434"/>
    <n v="1.61"/>
    <n v="14592.486036703522"/>
    <n v="45080"/>
    <m/>
    <x v="0"/>
    <x v="2"/>
    <n v="20"/>
    <n v="15180"/>
  </r>
  <r>
    <m/>
    <x v="4"/>
    <x v="22"/>
    <s v="H&amp;M BOXER SEASON 8"/>
    <x v="13"/>
    <n v="20000"/>
    <d v="2023-04-01T00:00:00"/>
    <d v="2023-04-29T00:00:00"/>
    <x v="3"/>
    <n v="45033"/>
    <s v="PROJECTION"/>
    <s v="PROJECTION"/>
    <n v="0.52116021559655434"/>
    <n v="1.61"/>
    <n v="10423.204311931087"/>
    <n v="32200.000000000004"/>
    <m/>
    <x v="0"/>
    <x v="2"/>
    <n v="20"/>
    <n v="15180"/>
  </r>
  <r>
    <m/>
    <x v="4"/>
    <x v="0"/>
    <s v="KAZEN FOODWEAR"/>
    <x v="0"/>
    <n v="5250"/>
    <d v="2023-05-02T00:00:00"/>
    <d v="2023-05-31T00:00:00"/>
    <x v="4"/>
    <s v="6.June"/>
    <s v="PROJECTION"/>
    <s v="6.June"/>
    <n v="1.86"/>
    <n v="4.1478000000000002"/>
    <n v="9765"/>
    <n v="21775.95"/>
    <m/>
    <x v="0"/>
    <x v="2"/>
    <n v="25"/>
    <n v="15180.000000000002"/>
  </r>
  <r>
    <m/>
    <x v="4"/>
    <x v="0"/>
    <s v="PROJECTION (bag&amp;cap)"/>
    <x v="1"/>
    <n v="22500"/>
    <d v="2023-05-02T00:00:00"/>
    <d v="2023-05-31T00:00:00"/>
    <x v="4"/>
    <s v="6.June"/>
    <s v="PROJECTION"/>
    <s v="6.June"/>
    <n v="0.3"/>
    <n v="0.66899999999999993"/>
    <n v="6750"/>
    <n v="15052.499999999998"/>
    <m/>
    <x v="0"/>
    <x v="2"/>
    <n v="25"/>
    <n v="7590.0000000000009"/>
  </r>
  <r>
    <m/>
    <x v="4"/>
    <x v="0"/>
    <s v="PROJECTION (bag&amp;cap)"/>
    <x v="3"/>
    <n v="22500"/>
    <d v="2023-05-02T00:00:00"/>
    <d v="2023-05-31T00:00:00"/>
    <x v="4"/>
    <s v="6.June"/>
    <s v="PROJECTION"/>
    <s v="6.June"/>
    <n v="0.3"/>
    <n v="0.66899999999999993"/>
    <n v="6750"/>
    <n v="15052.499999999998"/>
    <m/>
    <x v="0"/>
    <x v="2"/>
    <n v="25"/>
    <n v="15180.000000000002"/>
  </r>
  <r>
    <m/>
    <x v="4"/>
    <x v="22"/>
    <s v="H&amp;M BOXER SEASON 8"/>
    <x v="10"/>
    <n v="35000"/>
    <d v="2023-05-02T00:00:00"/>
    <d v="2023-05-31T00:00:00"/>
    <x v="4"/>
    <n v="45061"/>
    <s v="PROJECTION"/>
    <s v="PROJECTION"/>
    <n v="0.52116021559655434"/>
    <n v="1.61"/>
    <n v="18240.6075458794"/>
    <n v="56350"/>
    <m/>
    <x v="0"/>
    <x v="2"/>
    <n v="25"/>
    <n v="15180.000000000002"/>
  </r>
  <r>
    <m/>
    <x v="4"/>
    <x v="22"/>
    <s v="H&amp;M BOXER SEASON 8"/>
    <x v="11"/>
    <n v="38750"/>
    <d v="2023-05-02T00:00:00"/>
    <d v="2023-05-31T00:00:00"/>
    <x v="4"/>
    <n v="45061"/>
    <s v="PROJECTION"/>
    <s v="PROJECTION"/>
    <n v="0.52116021559655434"/>
    <n v="1.61"/>
    <n v="20194.958354366481"/>
    <n v="62387.500000000007"/>
    <m/>
    <x v="0"/>
    <x v="2"/>
    <n v="25"/>
    <n v="15180.000000000002"/>
  </r>
  <r>
    <m/>
    <x v="4"/>
    <x v="22"/>
    <s v="H&amp;M BOXER SEASON 8"/>
    <x v="12"/>
    <n v="35000"/>
    <d v="2023-05-02T00:00:00"/>
    <d v="2023-05-31T00:00:00"/>
    <x v="4"/>
    <d v="2023-05-15T00:00:00"/>
    <s v="PROJECTION"/>
    <s v="PROJECTION"/>
    <n v="0.52116021559655434"/>
    <n v="1.61"/>
    <n v="18240.6075458794"/>
    <n v="56350"/>
    <m/>
    <x v="0"/>
    <x v="2"/>
    <n v="25"/>
    <n v="15180.000000000002"/>
  </r>
  <r>
    <m/>
    <x v="4"/>
    <x v="22"/>
    <s v="H&amp;M BOXER SEASON 8"/>
    <x v="13"/>
    <n v="25000"/>
    <d v="2023-05-02T00:00:00"/>
    <d v="2023-05-31T00:00:00"/>
    <x v="4"/>
    <n v="45061"/>
    <s v="PROJECTION"/>
    <s v="PROJECTION"/>
    <n v="0.52116021559655434"/>
    <n v="1.61"/>
    <n v="13029.005389913858"/>
    <n v="40250"/>
    <m/>
    <x v="0"/>
    <x v="2"/>
    <n v="25"/>
    <n v="15180.000000000002"/>
  </r>
  <r>
    <m/>
    <x v="4"/>
    <x v="0"/>
    <s v="PROJECTION (top)"/>
    <x v="0"/>
    <n v="9120"/>
    <d v="2023-06-02T00:00:00"/>
    <d v="2023-06-30T00:00:00"/>
    <x v="5"/>
    <s v="PROJECTION"/>
    <s v="PROJECTION"/>
    <s v="8.August"/>
    <n v="1.86"/>
    <n v="4.1478000000000002"/>
    <n v="16963.2"/>
    <n v="37827.936000000002"/>
    <m/>
    <x v="0"/>
    <x v="2"/>
    <n v="24"/>
    <n v="15180"/>
  </r>
  <r>
    <m/>
    <x v="4"/>
    <x v="0"/>
    <s v="PROJECTION (bag&amp;cap)"/>
    <x v="1"/>
    <n v="21600"/>
    <d v="2023-06-02T00:00:00"/>
    <d v="2023-06-30T00:00:00"/>
    <x v="5"/>
    <s v="PROJECTION"/>
    <s v="PROJECTION"/>
    <s v="PROJECTION"/>
    <n v="0.35"/>
    <n v="0.78049999999999997"/>
    <n v="7559.9999999999991"/>
    <n v="16858.8"/>
    <m/>
    <x v="0"/>
    <x v="2"/>
    <n v="24"/>
    <n v="7590"/>
  </r>
  <r>
    <m/>
    <x v="4"/>
    <x v="0"/>
    <s v="PROJECTION 2 (top)"/>
    <x v="3"/>
    <n v="8000"/>
    <d v="2023-06-02T00:00:00"/>
    <d v="2023-06-30T00:00:00"/>
    <x v="5"/>
    <s v="PROJECTION"/>
    <s v="PROJECTION"/>
    <s v="5.May"/>
    <n v="1.86"/>
    <n v="4.1478000000000002"/>
    <n v="14880"/>
    <n v="33182.400000000001"/>
    <m/>
    <x v="0"/>
    <x v="2"/>
    <n v="24"/>
    <n v="15180"/>
  </r>
  <r>
    <m/>
    <x v="4"/>
    <x v="22"/>
    <s v="PROJECTION"/>
    <x v="10"/>
    <n v="33600"/>
    <d v="2023-06-02T00:00:00"/>
    <d v="2023-06-30T00:00:00"/>
    <x v="5"/>
    <s v="PROJECTION"/>
    <s v="PROJECTION"/>
    <s v="PROJECTION"/>
    <n v="0.44"/>
    <n v="1.61"/>
    <n v="14784"/>
    <n v="54096"/>
    <m/>
    <x v="0"/>
    <x v="2"/>
    <n v="24"/>
    <n v="15180"/>
  </r>
  <r>
    <m/>
    <x v="4"/>
    <x v="22"/>
    <s v="PROJECTION"/>
    <x v="11"/>
    <n v="37200"/>
    <d v="2023-06-02T00:00:00"/>
    <d v="2023-06-30T00:00:00"/>
    <x v="5"/>
    <s v="PROJECTION"/>
    <s v="PROJECTION"/>
    <s v="PROJECTION"/>
    <n v="0.44"/>
    <n v="1.61"/>
    <n v="16368"/>
    <n v="59892"/>
    <m/>
    <x v="0"/>
    <x v="2"/>
    <n v="24"/>
    <n v="15180"/>
  </r>
  <r>
    <m/>
    <x v="4"/>
    <x v="25"/>
    <s v="PROJECTION"/>
    <x v="12"/>
    <n v="18720"/>
    <d v="2023-06-02T00:00:00"/>
    <d v="2023-06-30T00:00:00"/>
    <x v="5"/>
    <s v="PROJECTION"/>
    <s v="PROJECTION"/>
    <s v="6.June"/>
    <n v="0.47"/>
    <n v="1.0481"/>
    <n v="8798.4"/>
    <n v="19620.432000000001"/>
    <m/>
    <x v="0"/>
    <x v="2"/>
    <n v="24"/>
    <n v="15180"/>
  </r>
  <r>
    <m/>
    <x v="4"/>
    <x v="25"/>
    <s v="PROJECTION"/>
    <x v="13"/>
    <n v="18720"/>
    <d v="2023-06-02T00:00:00"/>
    <d v="2023-06-30T00:00:00"/>
    <x v="5"/>
    <s v="PROJECTION"/>
    <s v="PROJECTION"/>
    <s v="6.June"/>
    <n v="0.47"/>
    <n v="1.0481"/>
    <n v="8798.4"/>
    <n v="19620.432000000001"/>
    <m/>
    <x v="0"/>
    <x v="2"/>
    <n v="24"/>
    <n v="15180"/>
  </r>
  <r>
    <m/>
    <x v="4"/>
    <x v="0"/>
    <s v="PROJECTION  (top)"/>
    <x v="0"/>
    <n v="9405"/>
    <d v="2023-07-01T00:00:00"/>
    <d v="2023-07-31T00:00:00"/>
    <x v="6"/>
    <s v="PROJECTION"/>
    <s v="PROJECTION"/>
    <s v="11.November"/>
    <n v="1.86"/>
    <n v="4.1478000000000002"/>
    <n v="17493.3"/>
    <n v="39010.059000000001"/>
    <m/>
    <x v="0"/>
    <x v="2"/>
    <n v="25"/>
    <n v="15479"/>
  </r>
  <r>
    <m/>
    <x v="4"/>
    <x v="0"/>
    <s v="PROJECTION (bag&amp;cap)"/>
    <x v="1"/>
    <n v="22500"/>
    <d v="2023-07-01T00:00:00"/>
    <d v="2023-07-31T00:00:00"/>
    <x v="6"/>
    <s v="PROJECTION"/>
    <s v="PROJECTION"/>
    <s v="PROJECTION"/>
    <n v="0.35"/>
    <n v="0.78049999999999997"/>
    <n v="7874.9999999999991"/>
    <n v="17561.25"/>
    <m/>
    <x v="0"/>
    <x v="2"/>
    <n v="25"/>
    <n v="7739.5"/>
  </r>
  <r>
    <m/>
    <x v="4"/>
    <x v="0"/>
    <s v="PROJECTION 4 (top)"/>
    <x v="3"/>
    <n v="8250"/>
    <d v="2023-07-01T00:00:00"/>
    <d v="2023-07-31T00:00:00"/>
    <x v="6"/>
    <s v="PROJECTION"/>
    <s v="PROJECTION"/>
    <s v="7.July"/>
    <n v="1.86"/>
    <n v="4.1478000000000002"/>
    <n v="15345"/>
    <n v="34219.35"/>
    <m/>
    <x v="0"/>
    <x v="2"/>
    <n v="25"/>
    <n v="15479"/>
  </r>
  <r>
    <m/>
    <x v="4"/>
    <x v="25"/>
    <s v="PROJECTION"/>
    <x v="10"/>
    <n v="19500"/>
    <d v="2023-07-01T00:00:00"/>
    <d v="2023-07-31T00:00:00"/>
    <x v="6"/>
    <s v="PROJECTION"/>
    <s v="PROJECTION"/>
    <s v="7.July"/>
    <n v="0.47"/>
    <n v="1.61"/>
    <n v="9165"/>
    <n v="31395.000000000004"/>
    <m/>
    <x v="0"/>
    <x v="2"/>
    <n v="25"/>
    <n v="15479"/>
  </r>
  <r>
    <m/>
    <x v="4"/>
    <x v="25"/>
    <s v="PROJECTION"/>
    <x v="11"/>
    <n v="19500"/>
    <d v="2023-07-01T00:00:00"/>
    <d v="2023-07-31T00:00:00"/>
    <x v="6"/>
    <s v="PROJECTION"/>
    <s v="PROJECTION"/>
    <s v="6.June"/>
    <n v="0.47"/>
    <n v="1.61"/>
    <n v="9165"/>
    <n v="31395.000000000004"/>
    <m/>
    <x v="0"/>
    <x v="2"/>
    <n v="25"/>
    <n v="15479"/>
  </r>
  <r>
    <m/>
    <x v="4"/>
    <x v="25"/>
    <s v="PROJECTION"/>
    <x v="12"/>
    <n v="19500"/>
    <d v="2023-07-01T00:00:00"/>
    <d v="2023-07-31T00:00:00"/>
    <x v="6"/>
    <s v="PROJECTION"/>
    <s v="PROJECTION"/>
    <s v="7.July"/>
    <n v="0.47"/>
    <n v="1.0481"/>
    <n v="9165"/>
    <n v="20437.95"/>
    <m/>
    <x v="0"/>
    <x v="2"/>
    <n v="25"/>
    <n v="15479"/>
  </r>
  <r>
    <m/>
    <x v="4"/>
    <x v="25"/>
    <s v="PROJECTION"/>
    <x v="13"/>
    <n v="19500"/>
    <d v="2023-07-01T00:00:00"/>
    <d v="2023-07-31T00:00:00"/>
    <x v="6"/>
    <s v="PROJECTION"/>
    <s v="PROJECTION"/>
    <s v="7.July"/>
    <n v="0.47"/>
    <n v="1.0481"/>
    <n v="9165"/>
    <n v="20437.95"/>
    <m/>
    <x v="0"/>
    <x v="2"/>
    <n v="25"/>
    <n v="15479"/>
  </r>
  <r>
    <m/>
    <x v="4"/>
    <x v="0"/>
    <s v="PROJECTION  (top)"/>
    <x v="0"/>
    <n v="9918"/>
    <d v="2023-08-01T00:00:00"/>
    <d v="2023-08-31T00:00:00"/>
    <x v="7"/>
    <s v="PROJECTION"/>
    <s v="PROJECTION"/>
    <s v="11.November"/>
    <n v="1.86"/>
    <n v="4.1478000000000002"/>
    <n v="18447.48"/>
    <n v="41137.880400000002"/>
    <m/>
    <x v="0"/>
    <x v="2"/>
    <n v="26"/>
    <n v="15479"/>
  </r>
  <r>
    <m/>
    <x v="4"/>
    <x v="0"/>
    <s v="PROJECTION (bag&amp;cap)"/>
    <x v="1"/>
    <n v="23400"/>
    <d v="2023-08-01T00:00:00"/>
    <d v="2023-08-31T00:00:00"/>
    <x v="7"/>
    <s v="PROJECTION"/>
    <s v="PROJECTION"/>
    <s v="PROJECTION"/>
    <n v="0.35"/>
    <n v="0.78049999999999997"/>
    <n v="8189.9999999999991"/>
    <n v="18263.7"/>
    <m/>
    <x v="0"/>
    <x v="2"/>
    <n v="26"/>
    <n v="7739.5"/>
  </r>
  <r>
    <m/>
    <x v="4"/>
    <x v="0"/>
    <s v="PROJECTION  (top)"/>
    <x v="3"/>
    <n v="8700"/>
    <d v="2023-08-01T00:00:00"/>
    <d v="2023-08-31T00:00:00"/>
    <x v="7"/>
    <s v="PROJECTION"/>
    <s v="PROJECTION"/>
    <s v="9.September"/>
    <n v="1.86"/>
    <n v="4.1478000000000002"/>
    <n v="16182"/>
    <n v="36085.86"/>
    <m/>
    <x v="0"/>
    <x v="2"/>
    <n v="26"/>
    <n v="15479"/>
  </r>
  <r>
    <m/>
    <x v="4"/>
    <x v="25"/>
    <s v="PROJECTION"/>
    <x v="10"/>
    <n v="20280"/>
    <d v="2023-08-01T00:00:00"/>
    <d v="2023-08-31T00:00:00"/>
    <x v="7"/>
    <s v="PROJECTION"/>
    <s v="PROJECTION"/>
    <s v="9.September"/>
    <n v="0.47"/>
    <n v="1.61"/>
    <n v="9531.6"/>
    <n v="32650.800000000003"/>
    <m/>
    <x v="0"/>
    <x v="2"/>
    <n v="26"/>
    <n v="15479"/>
  </r>
  <r>
    <m/>
    <x v="4"/>
    <x v="25"/>
    <s v="PROJECTION"/>
    <x v="11"/>
    <n v="20280"/>
    <d v="2023-08-01T00:00:00"/>
    <d v="2023-08-31T00:00:00"/>
    <x v="7"/>
    <s v="PROJECTION"/>
    <s v="PROJECTION"/>
    <s v="9.September"/>
    <n v="0.47"/>
    <n v="1.61"/>
    <n v="9531.6"/>
    <n v="32650.800000000003"/>
    <m/>
    <x v="0"/>
    <x v="2"/>
    <n v="26"/>
    <n v="15479"/>
  </r>
  <r>
    <m/>
    <x v="4"/>
    <x v="22"/>
    <s v="PROJECTION"/>
    <x v="12"/>
    <n v="36400"/>
    <d v="2023-08-01T00:00:00"/>
    <d v="2023-08-31T00:00:00"/>
    <x v="7"/>
    <s v="PROJECTION"/>
    <s v="PROJECTION"/>
    <s v="9.September"/>
    <n v="0.44"/>
    <n v="1.61"/>
    <n v="16016"/>
    <n v="58604"/>
    <m/>
    <x v="0"/>
    <x v="2"/>
    <n v="26"/>
    <n v="15479"/>
  </r>
  <r>
    <m/>
    <x v="4"/>
    <x v="25"/>
    <s v="PROJECTION"/>
    <x v="13"/>
    <n v="20280"/>
    <d v="2023-08-01T00:00:00"/>
    <d v="2023-08-31T00:00:00"/>
    <x v="7"/>
    <s v="PROJECTION"/>
    <s v="PROJECTION"/>
    <s v="8.August"/>
    <n v="0.47"/>
    <n v="1.61"/>
    <n v="9531.6"/>
    <n v="32650.800000000003"/>
    <m/>
    <x v="0"/>
    <x v="2"/>
    <n v="26"/>
    <n v="15479"/>
  </r>
  <r>
    <m/>
    <x v="4"/>
    <x v="0"/>
    <s v="PROJECTION  (top)"/>
    <x v="0"/>
    <n v="9405"/>
    <d v="2023-09-01T00:00:00"/>
    <d v="2023-09-30T00:00:00"/>
    <x v="8"/>
    <s v="PROJECTION"/>
    <s v="PROJECTION"/>
    <s v="11.November"/>
    <n v="1.86"/>
    <n v="4.1478000000000002"/>
    <n v="17493.3"/>
    <n v="39010.059000000001"/>
    <m/>
    <x v="0"/>
    <x v="2"/>
    <n v="25"/>
    <n v="15479"/>
  </r>
  <r>
    <m/>
    <x v="4"/>
    <x v="0"/>
    <s v="PROJECTION (bag&amp;cap)"/>
    <x v="1"/>
    <n v="22500"/>
    <d v="2023-09-01T00:00:00"/>
    <d v="2023-09-30T00:00:00"/>
    <x v="8"/>
    <s v="PROJECTION"/>
    <s v="PROJECTION"/>
    <s v="PROJECTION"/>
    <n v="0.35"/>
    <n v="0.78049999999999997"/>
    <n v="7874.9999999999991"/>
    <n v="17561.25"/>
    <m/>
    <x v="0"/>
    <x v="2"/>
    <n v="25"/>
    <n v="7739.5"/>
  </r>
  <r>
    <m/>
    <x v="4"/>
    <x v="0"/>
    <s v="PROJECTION  (top)"/>
    <x v="3"/>
    <n v="8250"/>
    <d v="2023-09-01T00:00:00"/>
    <d v="2023-09-30T00:00:00"/>
    <x v="8"/>
    <s v="PROJECTION"/>
    <s v="PROJECTION"/>
    <s v="11.November"/>
    <n v="1.86"/>
    <n v="4.1478000000000002"/>
    <n v="15345"/>
    <n v="34219.35"/>
    <m/>
    <x v="0"/>
    <x v="2"/>
    <n v="25"/>
    <n v="15479"/>
  </r>
  <r>
    <m/>
    <x v="4"/>
    <x v="22"/>
    <s v="PROJECTION"/>
    <x v="10"/>
    <n v="35000"/>
    <d v="2023-09-01T00:00:00"/>
    <d v="2023-09-30T00:00:00"/>
    <x v="8"/>
    <s v="PROJECTION"/>
    <s v="PROJECTION"/>
    <s v="9.September"/>
    <n v="0.44"/>
    <n v="1.61"/>
    <n v="15400"/>
    <n v="56350"/>
    <m/>
    <x v="0"/>
    <x v="2"/>
    <n v="25"/>
    <n v="15479"/>
  </r>
  <r>
    <m/>
    <x v="4"/>
    <x v="22"/>
    <s v="PROJECTION"/>
    <x v="11"/>
    <n v="38750"/>
    <d v="2023-09-01T00:00:00"/>
    <d v="2023-09-30T00:00:00"/>
    <x v="8"/>
    <s v="PROJECTION"/>
    <s v="PROJECTION"/>
    <s v="9.September"/>
    <n v="0.44"/>
    <n v="1.61"/>
    <n v="17050"/>
    <n v="62387.500000000007"/>
    <m/>
    <x v="0"/>
    <x v="2"/>
    <n v="25"/>
    <n v="15479"/>
  </r>
  <r>
    <m/>
    <x v="4"/>
    <x v="22"/>
    <s v="PROJECTION"/>
    <x v="12"/>
    <n v="35000"/>
    <d v="2023-09-01T00:00:00"/>
    <d v="2023-09-30T00:00:00"/>
    <x v="8"/>
    <s v="PROJECTION"/>
    <s v="PROJECTION"/>
    <s v="PROJECTION"/>
    <n v="0.44"/>
    <n v="1.61"/>
    <n v="15400"/>
    <n v="56350"/>
    <m/>
    <x v="0"/>
    <x v="2"/>
    <n v="25"/>
    <n v="15479"/>
  </r>
  <r>
    <m/>
    <x v="4"/>
    <x v="22"/>
    <s v="PROJECTION"/>
    <x v="13"/>
    <n v="25000"/>
    <d v="2023-09-01T00:00:00"/>
    <d v="2023-09-30T00:00:00"/>
    <x v="8"/>
    <s v="PROJECTION"/>
    <s v="PROJECTION"/>
    <s v="10.October"/>
    <n v="0.44"/>
    <n v="1.61"/>
    <n v="11000"/>
    <n v="40250"/>
    <m/>
    <x v="0"/>
    <x v="2"/>
    <n v="25"/>
    <n v="15479"/>
  </r>
  <r>
    <m/>
    <x v="4"/>
    <x v="0"/>
    <s v="PROJECTION  (top)"/>
    <x v="0"/>
    <n v="9918"/>
    <d v="2023-10-02T00:00:00"/>
    <d v="2023-10-31T00:00:00"/>
    <x v="9"/>
    <s v="PROJECTION"/>
    <s v="PROJECTION"/>
    <s v="11.November"/>
    <n v="1.86"/>
    <n v="4.1478000000000002"/>
    <n v="18447.48"/>
    <n v="41137.880400000002"/>
    <m/>
    <x v="0"/>
    <x v="2"/>
    <n v="26"/>
    <n v="15479"/>
  </r>
  <r>
    <m/>
    <x v="4"/>
    <x v="0"/>
    <s v="PROJECTION (bag&amp;cap)"/>
    <x v="1"/>
    <n v="23400"/>
    <d v="2023-10-02T00:00:00"/>
    <d v="2023-10-31T00:00:00"/>
    <x v="9"/>
    <s v="PROJECTION"/>
    <s v="PROJECTION"/>
    <s v="PROJECTION"/>
    <n v="0.35"/>
    <n v="0.78049999999999997"/>
    <n v="8189.9999999999991"/>
    <n v="18263.7"/>
    <m/>
    <x v="0"/>
    <x v="2"/>
    <n v="26"/>
    <n v="7739.5"/>
  </r>
  <r>
    <m/>
    <x v="4"/>
    <x v="0"/>
    <s v="PROJECTION  (top)"/>
    <x v="3"/>
    <n v="8700"/>
    <d v="2023-10-02T00:00:00"/>
    <d v="2023-10-31T00:00:00"/>
    <x v="9"/>
    <s v="PROJECTION"/>
    <s v="PROJECTION"/>
    <s v="11.November"/>
    <n v="1.86"/>
    <n v="4.1478000000000002"/>
    <n v="16182"/>
    <n v="36085.86"/>
    <m/>
    <x v="0"/>
    <x v="2"/>
    <n v="26"/>
    <n v="15479"/>
  </r>
  <r>
    <m/>
    <x v="4"/>
    <x v="22"/>
    <s v="PROJECTION"/>
    <x v="10"/>
    <n v="36400"/>
    <d v="2023-10-02T00:00:00"/>
    <d v="2023-10-31T00:00:00"/>
    <x v="9"/>
    <s v="PROJECTION"/>
    <s v="PROJECTION"/>
    <s v="12.December"/>
    <n v="0.44"/>
    <n v="1.61"/>
    <n v="16016"/>
    <n v="58604"/>
    <m/>
    <x v="0"/>
    <x v="2"/>
    <n v="26"/>
    <n v="15479"/>
  </r>
  <r>
    <m/>
    <x v="4"/>
    <x v="22"/>
    <s v="PROJECTION"/>
    <x v="11"/>
    <n v="40300"/>
    <d v="2023-10-02T00:00:00"/>
    <d v="2023-10-31T00:00:00"/>
    <x v="9"/>
    <s v="PROJECTION"/>
    <s v="PROJECTION"/>
    <s v="12.December"/>
    <n v="0.44"/>
    <n v="1.61"/>
    <n v="17732"/>
    <n v="64883.000000000007"/>
    <m/>
    <x v="0"/>
    <x v="2"/>
    <n v="26"/>
    <n v="15479"/>
  </r>
  <r>
    <m/>
    <x v="4"/>
    <x v="22"/>
    <s v="PROJECTION"/>
    <x v="12"/>
    <n v="36400"/>
    <d v="2023-10-02T00:00:00"/>
    <d v="2023-10-31T00:00:00"/>
    <x v="9"/>
    <s v="PROJECTION"/>
    <s v="PROJECTION"/>
    <s v="12.December"/>
    <n v="0.44"/>
    <n v="1.61"/>
    <n v="16016"/>
    <n v="58604"/>
    <m/>
    <x v="0"/>
    <x v="2"/>
    <n v="26"/>
    <n v="15479"/>
  </r>
  <r>
    <m/>
    <x v="4"/>
    <x v="22"/>
    <s v="PROJECTION"/>
    <x v="13"/>
    <n v="26000"/>
    <d v="2023-10-02T00:00:00"/>
    <d v="2023-10-31T00:00:00"/>
    <x v="9"/>
    <s v="PROJECTION"/>
    <s v="PROJECTION"/>
    <s v="11.November"/>
    <n v="0.44"/>
    <n v="1.61"/>
    <n v="11440"/>
    <n v="41860"/>
    <m/>
    <x v="0"/>
    <x v="2"/>
    <n v="26"/>
    <n v="15479"/>
  </r>
  <r>
    <m/>
    <x v="4"/>
    <x v="0"/>
    <s v="PROJECTION  (top)"/>
    <x v="0"/>
    <n v="9918"/>
    <d v="2023-11-01T00:00:00"/>
    <d v="2023-11-30T00:00:00"/>
    <x v="10"/>
    <s v="PROJECTION"/>
    <s v="PROJECTION"/>
    <s v="11.November"/>
    <n v="1.86"/>
    <n v="4.1478000000000002"/>
    <n v="18447.48"/>
    <n v="41137.880400000002"/>
    <m/>
    <x v="0"/>
    <x v="2"/>
    <n v="26"/>
    <n v="15479"/>
  </r>
  <r>
    <m/>
    <x v="4"/>
    <x v="0"/>
    <s v="PROJECTION (bag&amp;cap)"/>
    <x v="1"/>
    <n v="23400"/>
    <d v="2023-11-01T00:00:00"/>
    <d v="2023-11-30T00:00:00"/>
    <x v="10"/>
    <s v="PROJECTION"/>
    <s v="PROJECTION"/>
    <s v="PROJECTION"/>
    <n v="0.3"/>
    <n v="0.66899999999999993"/>
    <n v="7020"/>
    <n v="15654.599999999999"/>
    <m/>
    <x v="0"/>
    <x v="2"/>
    <n v="26"/>
    <n v="7739.5"/>
  </r>
  <r>
    <m/>
    <x v="4"/>
    <x v="0"/>
    <s v="PROJECTION  (top)"/>
    <x v="3"/>
    <n v="8700"/>
    <d v="2023-11-01T00:00:00"/>
    <d v="2023-11-30T00:00:00"/>
    <x v="10"/>
    <s v="PROJECTION"/>
    <s v="PROJECTION"/>
    <s v="11.November"/>
    <n v="1.86"/>
    <n v="4.1478000000000002"/>
    <n v="16182"/>
    <n v="36085.86"/>
    <m/>
    <x v="0"/>
    <x v="2"/>
    <n v="26"/>
    <n v="15479"/>
  </r>
  <r>
    <m/>
    <x v="4"/>
    <x v="25"/>
    <s v="PROJECTION"/>
    <x v="10"/>
    <n v="20280"/>
    <d v="2023-11-01T00:00:00"/>
    <d v="2023-11-30T00:00:00"/>
    <x v="10"/>
    <s v="PROJECTION"/>
    <s v="PROJECTION"/>
    <s v="PROJECTION"/>
    <n v="0.47"/>
    <n v="1.61"/>
    <n v="9531.6"/>
    <n v="32650.800000000003"/>
    <m/>
    <x v="0"/>
    <x v="2"/>
    <n v="26"/>
    <n v="15479"/>
  </r>
  <r>
    <m/>
    <x v="4"/>
    <x v="25"/>
    <s v="PROJECTION"/>
    <x v="11"/>
    <n v="20280"/>
    <d v="2023-11-01T00:00:00"/>
    <d v="2023-11-30T00:00:00"/>
    <x v="10"/>
    <s v="PROJECTION"/>
    <s v="PROJECTION"/>
    <s v="PROJECTION"/>
    <n v="0.47"/>
    <n v="1.61"/>
    <n v="9531.6"/>
    <n v="32650.800000000003"/>
    <m/>
    <x v="0"/>
    <x v="2"/>
    <n v="26"/>
    <n v="15479"/>
  </r>
  <r>
    <m/>
    <x v="4"/>
    <x v="25"/>
    <s v="PROJECTION"/>
    <x v="12"/>
    <n v="20280"/>
    <d v="2023-11-01T00:00:00"/>
    <d v="2023-11-30T00:00:00"/>
    <x v="10"/>
    <s v="PROJECTION"/>
    <s v="PROJECTION"/>
    <s v="PROJECTION"/>
    <n v="0.47"/>
    <n v="1.61"/>
    <n v="9531.6"/>
    <n v="32650.800000000003"/>
    <m/>
    <x v="0"/>
    <x v="2"/>
    <n v="26"/>
    <n v="15479"/>
  </r>
  <r>
    <m/>
    <x v="4"/>
    <x v="25"/>
    <s v="PROJECTION"/>
    <x v="13"/>
    <n v="20280"/>
    <d v="2023-11-01T00:00:00"/>
    <d v="2023-11-30T00:00:00"/>
    <x v="10"/>
    <s v="PROJECTION"/>
    <s v="PROJECTION"/>
    <s v="PROJECTION"/>
    <n v="0.47"/>
    <n v="1.61"/>
    <n v="9531.6"/>
    <n v="32650.800000000003"/>
    <m/>
    <x v="0"/>
    <x v="2"/>
    <n v="26"/>
    <n v="15479"/>
  </r>
  <r>
    <m/>
    <x v="4"/>
    <x v="0"/>
    <s v="PROJECTION  (top)"/>
    <x v="0"/>
    <n v="9405"/>
    <d v="2023-12-01T00:00:00"/>
    <d v="2023-12-31T00:00:00"/>
    <x v="11"/>
    <s v="PROJECTION"/>
    <s v="PROJECTION"/>
    <s v="11.November"/>
    <n v="1.86"/>
    <n v="4.1478000000000002"/>
    <n v="17493.3"/>
    <n v="39010.059000000001"/>
    <m/>
    <x v="0"/>
    <x v="2"/>
    <n v="25"/>
    <n v="15479"/>
  </r>
  <r>
    <m/>
    <x v="4"/>
    <x v="0"/>
    <s v="PROJECTION (bag&amp;cap)"/>
    <x v="1"/>
    <n v="22500"/>
    <d v="2023-12-01T00:00:00"/>
    <d v="2023-12-31T00:00:00"/>
    <x v="11"/>
    <s v="PROJECTION"/>
    <s v="PROJECTION"/>
    <s v="PROJECTION"/>
    <n v="0.3"/>
    <n v="0.66899999999999993"/>
    <n v="6750"/>
    <n v="15052.499999999998"/>
    <m/>
    <x v="0"/>
    <x v="2"/>
    <n v="25"/>
    <n v="7739.5"/>
  </r>
  <r>
    <m/>
    <x v="4"/>
    <x v="0"/>
    <s v="PROJECTION  (top)"/>
    <x v="3"/>
    <n v="8250"/>
    <d v="2023-12-01T00:00:00"/>
    <d v="2023-12-31T00:00:00"/>
    <x v="11"/>
    <s v="PROJECTION"/>
    <s v="PROJECTION"/>
    <s v="11.November"/>
    <n v="1.86"/>
    <n v="4.1478000000000002"/>
    <n v="15345"/>
    <n v="34219.35"/>
    <m/>
    <x v="0"/>
    <x v="2"/>
    <n v="25"/>
    <n v="15479"/>
  </r>
  <r>
    <m/>
    <x v="4"/>
    <x v="25"/>
    <s v="PROJECTION"/>
    <x v="10"/>
    <n v="19500"/>
    <d v="2023-12-01T00:00:00"/>
    <d v="2023-12-31T00:00:00"/>
    <x v="11"/>
    <s v="PROJECTION"/>
    <s v="PROJECTION"/>
    <s v="PROJECTION"/>
    <n v="0.47"/>
    <n v="1.61"/>
    <n v="9165"/>
    <n v="31395.000000000004"/>
    <m/>
    <x v="0"/>
    <x v="2"/>
    <n v="25"/>
    <n v="15479"/>
  </r>
  <r>
    <m/>
    <x v="4"/>
    <x v="25"/>
    <s v="PROJECTION"/>
    <x v="11"/>
    <n v="19500"/>
    <d v="2023-12-01T00:00:00"/>
    <d v="2023-12-31T00:00:00"/>
    <x v="11"/>
    <s v="PROJECTION"/>
    <s v="PROJECTION"/>
    <s v="PROJECTION"/>
    <n v="0.47"/>
    <n v="1.61"/>
    <n v="9165"/>
    <n v="31395.000000000004"/>
    <m/>
    <x v="0"/>
    <x v="2"/>
    <n v="25"/>
    <n v="15479"/>
  </r>
  <r>
    <m/>
    <x v="4"/>
    <x v="25"/>
    <s v="PROJECTION"/>
    <x v="12"/>
    <n v="19500"/>
    <d v="2023-12-01T00:00:00"/>
    <d v="2023-12-31T00:00:00"/>
    <x v="11"/>
    <s v="PROJECTION"/>
    <s v="PROJECTION"/>
    <s v="PROJECTION"/>
    <n v="0.47"/>
    <n v="1.61"/>
    <n v="9165"/>
    <n v="31395.000000000004"/>
    <m/>
    <x v="0"/>
    <x v="2"/>
    <n v="25"/>
    <n v="15479"/>
  </r>
  <r>
    <m/>
    <x v="4"/>
    <x v="25"/>
    <s v="PROJECTION"/>
    <x v="13"/>
    <n v="19500"/>
    <d v="2023-12-01T00:00:00"/>
    <d v="2023-12-31T00:00:00"/>
    <x v="11"/>
    <s v="PROJECTION"/>
    <s v="PROJECTION"/>
    <s v="PROJECTION"/>
    <n v="0.47"/>
    <n v="1.61"/>
    <n v="9165"/>
    <n v="31395.000000000004"/>
    <m/>
    <x v="0"/>
    <x v="2"/>
    <n v="25"/>
    <n v="15479"/>
  </r>
  <r>
    <m/>
    <x v="1"/>
    <x v="13"/>
    <m/>
    <x v="2"/>
    <m/>
    <m/>
    <m/>
    <x v="12"/>
    <m/>
    <m/>
    <m/>
    <m/>
    <m/>
    <m/>
    <m/>
    <m/>
    <x v="1"/>
    <x v="1"/>
    <m/>
    <m/>
  </r>
  <r>
    <m/>
    <x v="5"/>
    <x v="14"/>
    <s v="JCT  MATSNW6502   23SS"/>
    <x v="0"/>
    <n v="422"/>
    <d v="2023-01-02T00:00:00"/>
    <d v="2023-01-02T00:00:00"/>
    <x v="0"/>
    <d v="2023-01-23T00:00:00"/>
    <m/>
    <s v="1.January"/>
    <n v="5"/>
    <n v="11.594887474747472"/>
    <n v="2110"/>
    <n v="4893.0425143434331"/>
    <s v="FOB"/>
    <x v="0"/>
    <x v="2"/>
    <n v="1"/>
    <n v="510.63636363636363"/>
  </r>
  <r>
    <m/>
    <x v="5"/>
    <x v="14"/>
    <s v="LPANTMATMIW6700   23S3"/>
    <x v="0"/>
    <n v="2026"/>
    <d v="2023-01-02T00:00:00"/>
    <d v="2023-01-09T00:00:00"/>
    <x v="0"/>
    <d v="2023-01-23T00:00:00"/>
    <m/>
    <s v="1.January"/>
    <n v="4.7"/>
    <n v="11.262322850729515"/>
    <n v="9522.2000000000007"/>
    <n v="22817.466095577998"/>
    <s v="FOB"/>
    <x v="0"/>
    <x v="2"/>
    <n v="6"/>
    <n v="3063.818181818182"/>
  </r>
  <r>
    <m/>
    <x v="5"/>
    <x v="14"/>
    <s v="LPANTMATSNW6702   23SS"/>
    <x v="0"/>
    <n v="412"/>
    <d v="2023-01-10T00:00:00"/>
    <d v="2023-01-11T00:00:00"/>
    <x v="0"/>
    <d v="2023-02-21T00:00:00"/>
    <m/>
    <s v="2.February"/>
    <n v="4.5"/>
    <n v="10.909283939393939"/>
    <n v="1854"/>
    <n v="4494.6249830303032"/>
    <s v="FOB"/>
    <x v="0"/>
    <x v="2"/>
    <n v="2"/>
    <n v="1021.2727272727273"/>
  </r>
  <r>
    <m/>
    <x v="5"/>
    <x v="14"/>
    <s v="LPANTMATSNW7702   23S3"/>
    <x v="0"/>
    <n v="300"/>
    <d v="2023-01-12T00:00:00"/>
    <d v="2023-01-13T00:00:00"/>
    <x v="0"/>
    <d v="2023-01-23T00:00:00"/>
    <m/>
    <s v="1.January"/>
    <n v="4.5"/>
    <n v="11.594887474747472"/>
    <n v="1350"/>
    <n v="3478.4662424242415"/>
    <s v="FOB"/>
    <x v="0"/>
    <x v="2"/>
    <n v="2"/>
    <n v="1021.2727272727273"/>
  </r>
  <r>
    <m/>
    <x v="5"/>
    <x v="14"/>
    <s v="SPANTMATATW-870   23S2"/>
    <x v="0"/>
    <n v="362"/>
    <d v="2023-01-16T00:00:00"/>
    <d v="2023-01-17T00:00:00"/>
    <x v="0"/>
    <d v="2023-01-31T00:00:00"/>
    <m/>
    <s v="1.January"/>
    <n v="4.5"/>
    <n v="9.9991876767676757"/>
    <n v="1629"/>
    <n v="3619.7059389898986"/>
    <s v="FOB"/>
    <x v="0"/>
    <x v="2"/>
    <n v="2"/>
    <n v="1021.2727272727273"/>
  </r>
  <r>
    <m/>
    <x v="5"/>
    <x v="14"/>
    <s v="SPANTMATSNA6802   23SS"/>
    <x v="0"/>
    <n v="427"/>
    <d v="2023-01-18T00:00:00"/>
    <d v="2023-01-19T00:00:00"/>
    <x v="0"/>
    <d v="2023-02-08T00:00:00"/>
    <m/>
    <s v="2.February"/>
    <n v="3.7000000000000006"/>
    <n v="7.6770896969696967"/>
    <n v="1579.9000000000003"/>
    <n v="3278.1173006060603"/>
    <s v="FOB"/>
    <x v="0"/>
    <x v="2"/>
    <n v="2"/>
    <n v="1021.2727272727273"/>
  </r>
  <r>
    <m/>
    <x v="5"/>
    <x v="14"/>
    <s v="SPANTMATSNA7802   23S3"/>
    <x v="0"/>
    <n v="166"/>
    <d v="2023-01-20T00:00:00"/>
    <d v="2023-01-31T00:00:00"/>
    <x v="0"/>
    <d v="2023-02-21T00:00:00"/>
    <m/>
    <s v="2.February"/>
    <n v="3.7"/>
    <n v="9.7799999999999994"/>
    <n v="614.20000000000005"/>
    <n v="1623.4799999999998"/>
    <s v="FOB"/>
    <x v="0"/>
    <x v="2"/>
    <n v="8"/>
    <n v="4085.090909090909"/>
  </r>
  <r>
    <m/>
    <x v="5"/>
    <x v="26"/>
    <n v="910007576"/>
    <x v="1"/>
    <n v="3082"/>
    <d v="2023-01-02T00:00:00"/>
    <d v="2023-01-18T00:00:00"/>
    <x v="0"/>
    <d v="2023-03-21T00:00:00"/>
    <m/>
    <s v="3.March"/>
    <n v="2.04"/>
    <n v="4.79"/>
    <n v="6287.28"/>
    <n v="14762.78"/>
    <s v="FOB"/>
    <x v="0"/>
    <x v="2"/>
    <n v="13"/>
    <n v="6638.272727272727"/>
  </r>
  <r>
    <m/>
    <x v="5"/>
    <x v="26"/>
    <n v="910006580"/>
    <x v="1"/>
    <n v="2000"/>
    <d v="2023-01-19T00:00:00"/>
    <d v="2023-01-23T00:00:00"/>
    <x v="0"/>
    <d v="2023-05-05T00:00:00"/>
    <m/>
    <s v="5.May"/>
    <n v="1.0999999999999999"/>
    <n v="2.61"/>
    <n v="2199.9999999999995"/>
    <n v="5220"/>
    <s v="FOB"/>
    <x v="0"/>
    <x v="2"/>
    <n v="3"/>
    <n v="1531.909090909091"/>
  </r>
  <r>
    <m/>
    <x v="5"/>
    <x v="26"/>
    <n v="910006580"/>
    <x v="1"/>
    <n v="2048"/>
    <d v="2023-01-24T00:00:00"/>
    <d v="2023-01-31T00:00:00"/>
    <x v="0"/>
    <d v="2023-05-05T00:00:00"/>
    <m/>
    <s v="5.May"/>
    <n v="1.0999999999999999"/>
    <n v="2.61"/>
    <n v="2252.7999999999997"/>
    <n v="5345.28"/>
    <s v="FOB"/>
    <x v="0"/>
    <x v="2"/>
    <n v="6"/>
    <n v="3063.818181818182"/>
  </r>
  <r>
    <m/>
    <x v="5"/>
    <x v="26"/>
    <n v="910007623"/>
    <x v="3"/>
    <n v="626"/>
    <d v="2023-01-02T00:00:00"/>
    <d v="2023-01-05T00:00:00"/>
    <x v="0"/>
    <d v="2023-02-02T00:00:00"/>
    <m/>
    <s v="2.February"/>
    <n v="3.79"/>
    <n v="9.7200000000000006"/>
    <n v="2372.54"/>
    <n v="6084.72"/>
    <s v="FOB"/>
    <x v="0"/>
    <x v="2"/>
    <n v="4"/>
    <n v="2042.5454545454545"/>
  </r>
  <r>
    <m/>
    <x v="5"/>
    <x v="14"/>
    <s v="ATW-7179"/>
    <x v="3"/>
    <n v="226"/>
    <d v="2023-01-06T00:00:00"/>
    <d v="2023-01-09T00:00:00"/>
    <x v="0"/>
    <d v="2023-01-23T00:00:00"/>
    <m/>
    <s v="1.January"/>
    <n v="4.5"/>
    <n v="12.331920854545455"/>
    <n v="1017"/>
    <n v="2787.014113127273"/>
    <s v="FOB"/>
    <x v="0"/>
    <x v="2"/>
    <n v="2"/>
    <n v="1021.2727272727273"/>
  </r>
  <r>
    <m/>
    <x v="5"/>
    <x v="14"/>
    <s v="SNWC879"/>
    <x v="3"/>
    <n v="295"/>
    <d v="2023-01-10T00:00:00"/>
    <d v="2023-01-11T00:00:00"/>
    <x v="0"/>
    <d v="2023-01-31T00:00:00"/>
    <m/>
    <s v="1.January"/>
    <n v="4.5"/>
    <n v="12.275031515151515"/>
    <n v="1327.5"/>
    <n v="3621.1342969696966"/>
    <s v="FOB"/>
    <x v="0"/>
    <x v="2"/>
    <n v="2"/>
    <n v="1021.2727272727273"/>
  </r>
  <r>
    <m/>
    <x v="5"/>
    <x v="26"/>
    <n v="910007641"/>
    <x v="3"/>
    <n v="2069"/>
    <d v="2023-01-12T00:00:00"/>
    <d v="2023-01-20T00:00:00"/>
    <x v="0"/>
    <d v="2023-04-01T00:00:00"/>
    <m/>
    <s v="4.April"/>
    <n v="1.83"/>
    <n v="3.96"/>
    <n v="3786.27"/>
    <n v="8193.24"/>
    <s v="FOB"/>
    <x v="0"/>
    <x v="2"/>
    <n v="7"/>
    <n v="3574.4545454545455"/>
  </r>
  <r>
    <m/>
    <x v="5"/>
    <x v="26"/>
    <n v="910007674"/>
    <x v="3"/>
    <n v="2205"/>
    <d v="2023-01-23T00:00:00"/>
    <d v="2023-01-30T00:00:00"/>
    <x v="0"/>
    <d v="2023-06-21T00:00:00"/>
    <m/>
    <s v="6.June"/>
    <n v="2.2000000000000002"/>
    <n v="5.32"/>
    <n v="4851"/>
    <n v="11730.6"/>
    <s v="FOB"/>
    <x v="0"/>
    <x v="2"/>
    <n v="6"/>
    <n v="3063.818181818182"/>
  </r>
  <r>
    <m/>
    <x v="5"/>
    <x v="14"/>
    <s v="MIW6700"/>
    <x v="0"/>
    <n v="500"/>
    <d v="2023-02-01T00:00:00"/>
    <d v="2023-02-03T00:00:00"/>
    <x v="1"/>
    <d v="2023-02-21T00:00:00"/>
    <m/>
    <s v="2.February"/>
    <n v="4.5"/>
    <n v="9.7799999999999994"/>
    <n v="2250"/>
    <n v="4890"/>
    <s v="FOB"/>
    <x v="0"/>
    <x v="2"/>
    <n v="3"/>
    <n v="1685.1000000000001"/>
  </r>
  <r>
    <m/>
    <x v="5"/>
    <x v="27"/>
    <s v="PJ PANT"/>
    <x v="0"/>
    <n v="1710"/>
    <d v="2023-02-06T00:00:00"/>
    <d v="2023-02-13T00:00:00"/>
    <x v="1"/>
    <d v="2023-03-03T00:00:00"/>
    <m/>
    <s v="3.March"/>
    <n v="1.8"/>
    <n v="4.0140000000000002"/>
    <n v="3078"/>
    <n v="6863.9400000000005"/>
    <s v="FOB"/>
    <x v="0"/>
    <x v="2"/>
    <n v="6"/>
    <n v="3370.2000000000003"/>
  </r>
  <r>
    <m/>
    <x v="5"/>
    <x v="27"/>
    <s v="PJ SHIRT"/>
    <x v="0"/>
    <n v="1710"/>
    <d v="2023-02-14T00:00:00"/>
    <d v="2023-02-20T00:00:00"/>
    <x v="1"/>
    <d v="2023-03-03T00:00:00"/>
    <m/>
    <s v="3.March"/>
    <n v="2.7"/>
    <n v="6.0209999999999999"/>
    <n v="4617"/>
    <n v="10295.91"/>
    <s v="FOB"/>
    <x v="0"/>
    <x v="2"/>
    <n v="5"/>
    <n v="2808.5"/>
  </r>
  <r>
    <m/>
    <x v="5"/>
    <x v="26"/>
    <n v="910008449"/>
    <x v="0"/>
    <n v="800"/>
    <d v="2023-02-21T00:00:00"/>
    <d v="2023-02-28T00:00:00"/>
    <x v="1"/>
    <d v="2023-03-23T00:00:00"/>
    <m/>
    <s v="3.March"/>
    <n v="4.28"/>
    <n v="8.34"/>
    <n v="3424"/>
    <n v="6672"/>
    <s v="FOB"/>
    <x v="0"/>
    <x v="2"/>
    <n v="6"/>
    <n v="3370.2000000000003"/>
  </r>
  <r>
    <m/>
    <x v="5"/>
    <x v="26"/>
    <n v="910007536"/>
    <x v="1"/>
    <n v="2000"/>
    <d v="2023-02-01T00:00:00"/>
    <d v="2023-02-13T00:00:00"/>
    <x v="1"/>
    <d v="2023-04-01T00:00:00"/>
    <m/>
    <s v="4.April"/>
    <n v="3.63"/>
    <n v="8.9"/>
    <n v="7260"/>
    <n v="17800"/>
    <s v="FOB"/>
    <x v="0"/>
    <x v="2"/>
    <n v="9"/>
    <n v="5055.3"/>
  </r>
  <r>
    <m/>
    <x v="5"/>
    <x v="26"/>
    <n v="910008264"/>
    <x v="1"/>
    <n v="501"/>
    <d v="2023-02-14T00:00:00"/>
    <d v="2023-02-20T00:00:00"/>
    <x v="1"/>
    <d v="2023-03-21T00:00:00"/>
    <m/>
    <s v="3.March"/>
    <n v="3.1"/>
    <n v="16.62"/>
    <n v="1553.1000000000001"/>
    <n v="8326.6200000000008"/>
    <s v="FOB"/>
    <x v="0"/>
    <x v="2"/>
    <n v="5"/>
    <n v="2808.5"/>
  </r>
  <r>
    <m/>
    <x v="5"/>
    <x v="26"/>
    <n v="910008262"/>
    <x v="1"/>
    <n v="900"/>
    <d v="2023-02-21T00:00:00"/>
    <d v="2023-02-28T00:00:00"/>
    <x v="1"/>
    <d v="2023-03-23T00:00:00"/>
    <m/>
    <s v="3.March"/>
    <n v="4.46"/>
    <n v="9.41"/>
    <n v="4014"/>
    <n v="8469"/>
    <s v="FOB"/>
    <x v="0"/>
    <x v="2"/>
    <n v="6"/>
    <n v="3370.2000000000003"/>
  </r>
  <r>
    <m/>
    <x v="5"/>
    <x v="26"/>
    <n v="910007623"/>
    <x v="3"/>
    <n v="2000"/>
    <d v="2023-02-01T00:00:00"/>
    <d v="2023-02-14T00:00:00"/>
    <x v="1"/>
    <d v="2023-03-23T00:00:00"/>
    <m/>
    <s v="3.March"/>
    <n v="3.79"/>
    <n v="9.7200000000000006"/>
    <n v="7580"/>
    <n v="19440"/>
    <s v="FOB"/>
    <x v="0"/>
    <x v="2"/>
    <n v="10"/>
    <n v="5617"/>
  </r>
  <r>
    <m/>
    <x v="5"/>
    <x v="26"/>
    <n v="910008383"/>
    <x v="3"/>
    <n v="1203"/>
    <d v="2023-02-15T00:00:00"/>
    <d v="2023-02-28T00:00:00"/>
    <x v="1"/>
    <d v="2023-03-22T00:00:00"/>
    <m/>
    <s v="3.March"/>
    <n v="3.59"/>
    <n v="9.5500000000000007"/>
    <n v="4318.7699999999995"/>
    <n v="11488.650000000001"/>
    <s v="FOB"/>
    <x v="0"/>
    <x v="2"/>
    <n v="10"/>
    <n v="5617"/>
  </r>
  <r>
    <m/>
    <x v="5"/>
    <x v="26"/>
    <n v="910008449"/>
    <x v="0"/>
    <n v="2200"/>
    <d v="2023-03-01T00:00:00"/>
    <d v="2023-03-23T00:00:00"/>
    <x v="2"/>
    <d v="2023-03-23T00:00:00"/>
    <m/>
    <s v="3.March"/>
    <n v="4.28"/>
    <n v="8.34"/>
    <n v="9416"/>
    <n v="18348"/>
    <s v="FOB"/>
    <x v="0"/>
    <x v="2"/>
    <n v="16"/>
    <n v="8170.181818181818"/>
  </r>
  <r>
    <m/>
    <x v="5"/>
    <x v="14"/>
    <s v="Short Pants"/>
    <x v="0"/>
    <n v="800"/>
    <d v="2023-03-24T00:00:00"/>
    <d v="2023-03-31T00:00:00"/>
    <x v="2"/>
    <d v="2023-05-05T00:00:00"/>
    <m/>
    <s v="05.May"/>
    <n v="3.7"/>
    <n v="8"/>
    <n v="2960"/>
    <n v="6400"/>
    <s v="FOB"/>
    <x v="0"/>
    <x v="2"/>
    <n v="6"/>
    <n v="3063.818181818182"/>
  </r>
  <r>
    <m/>
    <x v="5"/>
    <x v="26"/>
    <n v="910008262"/>
    <x v="1"/>
    <n v="1240"/>
    <d v="2023-03-01T00:00:00"/>
    <d v="2023-03-06T00:00:00"/>
    <x v="2"/>
    <d v="2023-03-23T00:00:00"/>
    <m/>
    <s v="3.March"/>
    <n v="4.46"/>
    <n v="9.41"/>
    <n v="5530.4"/>
    <n v="11668.4"/>
    <s v="FOB"/>
    <x v="0"/>
    <x v="2"/>
    <n v="4"/>
    <n v="2042.5454545454545"/>
  </r>
  <r>
    <m/>
    <x v="5"/>
    <x v="26"/>
    <n v="910007251"/>
    <x v="1"/>
    <n v="964"/>
    <d v="2023-03-07T00:00:00"/>
    <d v="2023-03-10T00:00:00"/>
    <x v="2"/>
    <d v="2023-12-26T00:00:00"/>
    <m/>
    <s v="4.April"/>
    <n v="1.97"/>
    <n v="5.17"/>
    <n v="1899.08"/>
    <n v="4983.88"/>
    <s v="FOB"/>
    <x v="0"/>
    <x v="2"/>
    <n v="4"/>
    <n v="2042.5454545454545"/>
  </r>
  <r>
    <m/>
    <x v="5"/>
    <x v="26"/>
    <s v="ANATOMIC INKALI"/>
    <x v="1"/>
    <n v="1278"/>
    <d v="2023-03-13T00:00:00"/>
    <d v="2023-03-17T00:00:00"/>
    <x v="2"/>
    <d v="2023-04-23T00:00:00"/>
    <m/>
    <s v="4.April"/>
    <n v="1.1000000000000001"/>
    <n v="2.61"/>
    <n v="1405.8000000000002"/>
    <n v="3335.58"/>
    <s v="FOB"/>
    <x v="0"/>
    <x v="2"/>
    <n v="5"/>
    <n v="2553.181818181818"/>
  </r>
  <r>
    <m/>
    <x v="5"/>
    <x v="26"/>
    <s v="ANATOMIC INKALI"/>
    <x v="1"/>
    <n v="2000"/>
    <d v="2023-03-20T00:00:00"/>
    <d v="2023-03-24T00:00:00"/>
    <x v="2"/>
    <d v="2023-04-23T00:00:00"/>
    <m/>
    <s v="7.July"/>
    <n v="1.1000000000000001"/>
    <n v="2.61"/>
    <n v="2200"/>
    <n v="5220"/>
    <s v="FOB"/>
    <x v="0"/>
    <x v="2"/>
    <n v="4"/>
    <n v="2042.5454545454545"/>
  </r>
  <r>
    <m/>
    <x v="5"/>
    <x v="28"/>
    <s v="CORE TRAIN SS TEE"/>
    <x v="1"/>
    <n v="1500"/>
    <d v="2023-03-27T00:00:00"/>
    <d v="2023-03-31T00:00:00"/>
    <x v="2"/>
    <d v="2023-04-10T00:00:00"/>
    <m/>
    <s v="5.May"/>
    <n v="2.68"/>
    <n v="5.9763999999999999"/>
    <n v="4020.0000000000005"/>
    <n v="8964.6"/>
    <s v="FOB"/>
    <x v="0"/>
    <x v="2"/>
    <n v="5"/>
    <n v="2553.181818181818"/>
  </r>
  <r>
    <m/>
    <x v="5"/>
    <x v="26"/>
    <s v="AGRESS SHORT PANT"/>
    <x v="3"/>
    <n v="2000"/>
    <d v="2023-03-01T00:00:00"/>
    <d v="2023-03-14T00:00:00"/>
    <x v="2"/>
    <d v="2023-04-23T00:00:00"/>
    <m/>
    <s v="4.April"/>
    <n v="2.97"/>
    <n v="8.6199999999999992"/>
    <n v="5940"/>
    <n v="17240"/>
    <s v="FOB"/>
    <x v="0"/>
    <x v="2"/>
    <n v="10"/>
    <n v="5106.363636363636"/>
  </r>
  <r>
    <m/>
    <x v="5"/>
    <x v="28"/>
    <s v="CORE TRAIN LS TEE"/>
    <x v="3"/>
    <n v="1500"/>
    <d v="2023-03-15T00:00:00"/>
    <d v="2023-03-21T00:00:00"/>
    <x v="2"/>
    <d v="2023-04-10T00:00:00"/>
    <m/>
    <s v="5.May"/>
    <n v="2.68"/>
    <n v="5.9763999999999999"/>
    <n v="4020.0000000000005"/>
    <n v="8964.6"/>
    <s v="FOB"/>
    <x v="0"/>
    <x v="2"/>
    <n v="5"/>
    <n v="2553.181818181818"/>
  </r>
  <r>
    <m/>
    <x v="5"/>
    <x v="14"/>
    <s v="Jacket"/>
    <x v="3"/>
    <n v="500"/>
    <d v="2023-03-23T00:00:00"/>
    <d v="2023-03-31T00:00:00"/>
    <x v="2"/>
    <d v="2023-04-23T00:00:00"/>
    <m/>
    <s v="04.April"/>
    <n v="4.9000000000000004"/>
    <n v="11"/>
    <n v="2450"/>
    <n v="5500"/>
    <s v="FOB"/>
    <x v="0"/>
    <x v="2"/>
    <n v="7"/>
    <n v="3574.4545454545455"/>
  </r>
  <r>
    <m/>
    <x v="5"/>
    <x v="14"/>
    <s v="Short Pants"/>
    <x v="0"/>
    <n v="2520"/>
    <d v="2023-04-01T00:00:00"/>
    <d v="2023-04-28T00:00:00"/>
    <x v="3"/>
    <m/>
    <m/>
    <m/>
    <n v="3.7"/>
    <n v="8.2509999999999994"/>
    <n v="9324"/>
    <n v="20792.519999999997"/>
    <s v="FOB"/>
    <x v="0"/>
    <x v="2"/>
    <n v="15"/>
    <n v="11234"/>
  </r>
  <r>
    <m/>
    <x v="5"/>
    <x v="14"/>
    <s v="Long Pants"/>
    <x v="1"/>
    <n v="2016"/>
    <d v="2023-04-01T00:00:00"/>
    <d v="2023-04-28T00:00:00"/>
    <x v="3"/>
    <m/>
    <m/>
    <m/>
    <n v="4.5"/>
    <n v="10.035"/>
    <n v="9072"/>
    <n v="20230.560000000001"/>
    <s v="FOB"/>
    <x v="0"/>
    <x v="2"/>
    <n v="15"/>
    <n v="11234"/>
  </r>
  <r>
    <m/>
    <x v="5"/>
    <x v="14"/>
    <s v="Jacket"/>
    <x v="3"/>
    <n v="1400"/>
    <d v="2023-04-01T00:00:00"/>
    <d v="2023-04-28T00:00:00"/>
    <x v="3"/>
    <m/>
    <m/>
    <m/>
    <n v="4.9000000000000004"/>
    <n v="10.927000000000001"/>
    <n v="6860.0000000000009"/>
    <n v="15297.800000000001"/>
    <s v="FOB"/>
    <x v="0"/>
    <x v="2"/>
    <n v="15"/>
    <n v="11234"/>
  </r>
  <r>
    <m/>
    <x v="5"/>
    <x v="14"/>
    <s v="Short Pants"/>
    <x v="0"/>
    <n v="4200"/>
    <d v="2023-05-02T00:00:00"/>
    <d v="2023-05-31T00:00:00"/>
    <x v="4"/>
    <m/>
    <m/>
    <m/>
    <n v="3.7"/>
    <n v="8.2509999999999994"/>
    <n v="15540"/>
    <n v="34654.199999999997"/>
    <s v="FOB"/>
    <x v="0"/>
    <x v="2"/>
    <n v="21"/>
    <n v="11234"/>
  </r>
  <r>
    <m/>
    <x v="5"/>
    <x v="14"/>
    <s v="Long Pants"/>
    <x v="1"/>
    <n v="3024"/>
    <d v="2023-05-02T00:00:00"/>
    <d v="2023-05-31T00:00:00"/>
    <x v="4"/>
    <m/>
    <m/>
    <m/>
    <n v="4.5"/>
    <n v="10.035"/>
    <n v="13608"/>
    <n v="30345.84"/>
    <s v="FOB"/>
    <x v="0"/>
    <x v="2"/>
    <n v="21"/>
    <n v="11234"/>
  </r>
  <r>
    <m/>
    <x v="5"/>
    <x v="14"/>
    <s v="Jacket"/>
    <x v="3"/>
    <n v="2520"/>
    <d v="2023-05-02T00:00:00"/>
    <d v="2023-05-31T00:00:00"/>
    <x v="4"/>
    <m/>
    <m/>
    <m/>
    <n v="4.9000000000000004"/>
    <n v="10.927000000000001"/>
    <n v="12348"/>
    <n v="27536.040000000005"/>
    <s v="FOB"/>
    <x v="0"/>
    <x v="2"/>
    <n v="21"/>
    <n v="11234"/>
  </r>
  <r>
    <m/>
    <x v="5"/>
    <x v="14"/>
    <s v="Short Pants"/>
    <x v="0"/>
    <n v="4200"/>
    <d v="2023-06-02T00:00:00"/>
    <d v="2023-06-30T00:00:00"/>
    <x v="5"/>
    <m/>
    <m/>
    <m/>
    <n v="3.7"/>
    <n v="8.2509999999999994"/>
    <n v="15540"/>
    <n v="34654.199999999997"/>
    <s v="FOB"/>
    <x v="0"/>
    <x v="2"/>
    <n v="20"/>
    <n v="11234"/>
  </r>
  <r>
    <m/>
    <x v="5"/>
    <x v="14"/>
    <s v="Long Pants"/>
    <x v="1"/>
    <n v="2880"/>
    <d v="2023-06-02T00:00:00"/>
    <d v="2023-06-30T00:00:00"/>
    <x v="5"/>
    <m/>
    <m/>
    <m/>
    <n v="4.5"/>
    <n v="10.035"/>
    <n v="12960"/>
    <n v="28900.799999999999"/>
    <s v="FOB"/>
    <x v="0"/>
    <x v="2"/>
    <n v="20"/>
    <n v="11234"/>
  </r>
  <r>
    <m/>
    <x v="5"/>
    <x v="14"/>
    <s v="Jacket"/>
    <x v="3"/>
    <n v="2880"/>
    <d v="2023-06-02T00:00:00"/>
    <d v="2023-06-30T00:00:00"/>
    <x v="5"/>
    <m/>
    <m/>
    <m/>
    <n v="4.9000000000000004"/>
    <n v="10.927000000000001"/>
    <n v="14112.000000000002"/>
    <n v="31469.760000000006"/>
    <s v="FOB"/>
    <x v="0"/>
    <x v="2"/>
    <n v="20"/>
    <n v="11234"/>
  </r>
  <r>
    <m/>
    <x v="5"/>
    <x v="14"/>
    <s v="Short Pants"/>
    <x v="0"/>
    <n v="4200"/>
    <d v="2023-07-01T00:00:00"/>
    <d v="2023-07-31T00:00:00"/>
    <x v="6"/>
    <m/>
    <m/>
    <m/>
    <n v="3.7"/>
    <n v="8.2509999999999994"/>
    <n v="15540"/>
    <n v="34654.199999999997"/>
    <s v="FOB"/>
    <x v="0"/>
    <x v="2"/>
    <n v="20"/>
    <n v="11541.5"/>
  </r>
  <r>
    <m/>
    <x v="5"/>
    <x v="14"/>
    <s v="Long Pants"/>
    <x v="1"/>
    <n v="3200"/>
    <d v="2023-07-01T00:00:00"/>
    <d v="2023-07-31T00:00:00"/>
    <x v="6"/>
    <m/>
    <m/>
    <m/>
    <n v="4.5"/>
    <n v="10.035"/>
    <n v="14400"/>
    <n v="32112"/>
    <s v="FOB"/>
    <x v="0"/>
    <x v="2"/>
    <n v="20"/>
    <n v="11541.5"/>
  </r>
  <r>
    <m/>
    <x v="5"/>
    <x v="14"/>
    <s v="Jacket"/>
    <x v="3"/>
    <n v="2880"/>
    <d v="2023-07-01T00:00:00"/>
    <d v="2023-07-31T00:00:00"/>
    <x v="6"/>
    <m/>
    <m/>
    <m/>
    <n v="4.9000000000000004"/>
    <n v="10.927000000000001"/>
    <n v="14112.000000000002"/>
    <n v="31469.760000000006"/>
    <s v="FOB"/>
    <x v="0"/>
    <x v="2"/>
    <n v="20"/>
    <n v="11541.5"/>
  </r>
  <r>
    <m/>
    <x v="5"/>
    <x v="14"/>
    <s v="Short Pants"/>
    <x v="0"/>
    <n v="4410"/>
    <d v="2023-08-01T00:00:00"/>
    <d v="2023-08-31T00:00:00"/>
    <x v="7"/>
    <m/>
    <m/>
    <m/>
    <n v="3.7"/>
    <n v="8.2509999999999994"/>
    <n v="16317"/>
    <n v="36386.909999999996"/>
    <s v="FOB"/>
    <x v="0"/>
    <x v="2"/>
    <n v="22"/>
    <n v="11541.5"/>
  </r>
  <r>
    <m/>
    <x v="5"/>
    <x v="14"/>
    <s v="Long Pants"/>
    <x v="1"/>
    <n v="3696"/>
    <d v="2023-08-01T00:00:00"/>
    <d v="2023-08-31T00:00:00"/>
    <x v="7"/>
    <m/>
    <m/>
    <m/>
    <n v="4.5"/>
    <n v="10.035"/>
    <n v="16632"/>
    <n v="37089.360000000001"/>
    <s v="FOB"/>
    <x v="0"/>
    <x v="2"/>
    <n v="22"/>
    <n v="11541.5"/>
  </r>
  <r>
    <m/>
    <x v="5"/>
    <x v="14"/>
    <s v="Jacket"/>
    <x v="3"/>
    <n v="3024"/>
    <d v="2023-08-01T00:00:00"/>
    <d v="2023-08-31T00:00:00"/>
    <x v="7"/>
    <m/>
    <m/>
    <m/>
    <n v="4.9000000000000004"/>
    <n v="10.927000000000001"/>
    <n v="14817.6"/>
    <n v="33043.248000000007"/>
    <s v="FOB"/>
    <x v="0"/>
    <x v="2"/>
    <n v="22"/>
    <n v="11541.5"/>
  </r>
  <r>
    <m/>
    <x v="5"/>
    <x v="14"/>
    <s v="Short Pants"/>
    <x v="0"/>
    <n v="4400"/>
    <d v="2023-09-01T00:00:00"/>
    <d v="2023-09-30T00:00:00"/>
    <x v="8"/>
    <m/>
    <m/>
    <m/>
    <n v="3.7"/>
    <n v="8.2509999999999994"/>
    <n v="16280"/>
    <n v="36304.399999999994"/>
    <s v="FOB"/>
    <x v="0"/>
    <x v="2"/>
    <n v="20"/>
    <n v="11541.5"/>
  </r>
  <r>
    <m/>
    <x v="5"/>
    <x v="14"/>
    <s v="Long Pants"/>
    <x v="1"/>
    <n v="3520"/>
    <d v="2023-09-01T00:00:00"/>
    <d v="2023-09-30T00:00:00"/>
    <x v="8"/>
    <m/>
    <m/>
    <m/>
    <n v="4.5"/>
    <n v="10.035"/>
    <n v="15840"/>
    <n v="35323.199999999997"/>
    <s v="FOB"/>
    <x v="0"/>
    <x v="2"/>
    <n v="20"/>
    <n v="11541.5"/>
  </r>
  <r>
    <m/>
    <x v="5"/>
    <x v="14"/>
    <s v="Jacket"/>
    <x v="3"/>
    <n v="3200"/>
    <d v="2023-09-01T00:00:00"/>
    <d v="2023-09-30T00:00:00"/>
    <x v="8"/>
    <m/>
    <m/>
    <m/>
    <n v="4.9000000000000004"/>
    <n v="10.927000000000001"/>
    <n v="15680.000000000002"/>
    <n v="34966.400000000001"/>
    <s v="FOB"/>
    <x v="0"/>
    <x v="2"/>
    <n v="20"/>
    <n v="11541.5"/>
  </r>
  <r>
    <m/>
    <x v="5"/>
    <x v="14"/>
    <s v="Short Pants"/>
    <x v="0"/>
    <n v="4840"/>
    <d v="2023-10-02T00:00:00"/>
    <d v="2023-10-31T00:00:00"/>
    <x v="9"/>
    <m/>
    <m/>
    <m/>
    <n v="3.7"/>
    <n v="8.2509999999999994"/>
    <n v="17908"/>
    <n v="39934.839999999997"/>
    <s v="FOB"/>
    <x v="0"/>
    <x v="2"/>
    <n v="22"/>
    <n v="11541.5"/>
  </r>
  <r>
    <m/>
    <x v="5"/>
    <x v="14"/>
    <s v="Long Pants"/>
    <x v="1"/>
    <n v="4232"/>
    <d v="2023-10-02T00:00:00"/>
    <d v="2023-10-31T00:00:00"/>
    <x v="9"/>
    <m/>
    <m/>
    <m/>
    <n v="4.5"/>
    <n v="10.035"/>
    <n v="19044"/>
    <n v="42468.12"/>
    <s v="FOB"/>
    <x v="0"/>
    <x v="2"/>
    <n v="22"/>
    <n v="11541.5"/>
  </r>
  <r>
    <m/>
    <x v="5"/>
    <x v="14"/>
    <s v="Jacket"/>
    <x v="3"/>
    <n v="3520"/>
    <d v="2023-10-02T00:00:00"/>
    <d v="2023-10-31T00:00:00"/>
    <x v="9"/>
    <m/>
    <m/>
    <m/>
    <n v="4.9000000000000004"/>
    <n v="10.927000000000001"/>
    <n v="17248"/>
    <n v="38463.040000000008"/>
    <s v="CMT"/>
    <x v="0"/>
    <x v="2"/>
    <n v="22"/>
    <n v="11541.5"/>
  </r>
  <r>
    <m/>
    <x v="5"/>
    <x v="14"/>
    <s v="Short Pants"/>
    <x v="0"/>
    <n v="4840"/>
    <d v="2023-11-01T00:00:00"/>
    <d v="2023-11-30T00:00:00"/>
    <x v="10"/>
    <m/>
    <m/>
    <m/>
    <n v="3.7"/>
    <n v="8.2509999999999994"/>
    <n v="17908"/>
    <n v="39934.839999999997"/>
    <s v="FOB"/>
    <x v="0"/>
    <x v="2"/>
    <n v="22"/>
    <n v="11541.5"/>
  </r>
  <r>
    <m/>
    <x v="5"/>
    <x v="14"/>
    <s v="Long Pants"/>
    <x v="1"/>
    <n v="4232"/>
    <d v="2023-11-01T00:00:00"/>
    <d v="2023-11-30T00:00:00"/>
    <x v="10"/>
    <m/>
    <m/>
    <m/>
    <n v="4.5"/>
    <n v="10.035"/>
    <n v="19044"/>
    <n v="42468.12"/>
    <s v="FOB"/>
    <x v="0"/>
    <x v="2"/>
    <n v="22"/>
    <n v="11541.5"/>
  </r>
  <r>
    <m/>
    <x v="5"/>
    <x v="14"/>
    <s v="Jacket"/>
    <x v="3"/>
    <n v="3520"/>
    <d v="2023-11-01T00:00:00"/>
    <d v="2023-11-30T00:00:00"/>
    <x v="10"/>
    <m/>
    <m/>
    <m/>
    <n v="4.9000000000000004"/>
    <n v="10.927000000000001"/>
    <n v="17248"/>
    <n v="38463.040000000008"/>
    <s v="FOB"/>
    <x v="0"/>
    <x v="2"/>
    <n v="22"/>
    <n v="11541.5"/>
  </r>
  <r>
    <m/>
    <x v="5"/>
    <x v="14"/>
    <s v="Short Pants"/>
    <x v="0"/>
    <n v="4180"/>
    <d v="2023-12-01T00:00:00"/>
    <d v="2023-12-31T00:00:00"/>
    <x v="11"/>
    <m/>
    <m/>
    <m/>
    <n v="3.7"/>
    <n v="8.2509999999999994"/>
    <n v="15466"/>
    <n v="34489.18"/>
    <s v="FOB"/>
    <x v="0"/>
    <x v="2"/>
    <n v="20"/>
    <n v="11541.5"/>
  </r>
  <r>
    <m/>
    <x v="5"/>
    <x v="14"/>
    <s v="Short Pants"/>
    <x v="1"/>
    <n v="3344"/>
    <d v="2023-12-01T00:00:00"/>
    <d v="2023-12-31T00:00:00"/>
    <x v="11"/>
    <m/>
    <m/>
    <m/>
    <n v="3.7"/>
    <n v="8.2509999999999994"/>
    <n v="12372.800000000001"/>
    <n v="27591.343999999997"/>
    <s v="FOB"/>
    <x v="0"/>
    <x v="2"/>
    <n v="20"/>
    <n v="11541.5"/>
  </r>
  <r>
    <m/>
    <x v="5"/>
    <x v="14"/>
    <s v="Jacket"/>
    <x v="3"/>
    <n v="2736"/>
    <d v="2023-12-01T00:00:00"/>
    <d v="2023-12-31T00:00:00"/>
    <x v="11"/>
    <m/>
    <m/>
    <m/>
    <n v="4.9000000000000004"/>
    <n v="10.927000000000001"/>
    <n v="13406.400000000001"/>
    <n v="29896.272000000004"/>
    <s v="FOB"/>
    <x v="0"/>
    <x v="2"/>
    <n v="20"/>
    <n v="11541.5"/>
  </r>
  <r>
    <m/>
    <x v="1"/>
    <x v="13"/>
    <m/>
    <x v="2"/>
    <m/>
    <m/>
    <m/>
    <x v="12"/>
    <m/>
    <m/>
    <m/>
    <m/>
    <m/>
    <m/>
    <m/>
    <m/>
    <x v="1"/>
    <x v="1"/>
    <m/>
    <m/>
  </r>
  <r>
    <m/>
    <x v="6"/>
    <x v="0"/>
    <s v="155-99"/>
    <x v="0"/>
    <n v="1293"/>
    <d v="2023-01-02T00:00:00"/>
    <d v="2023-01-03T00:00:00"/>
    <x v="0"/>
    <d v="2022-12-23T00:00:00"/>
    <s v="Delay"/>
    <s v="12.December"/>
    <n v="1.49"/>
    <n v="1.6"/>
    <n v="1926.57"/>
    <n v="2068.8000000000002"/>
    <s v="CMTP"/>
    <x v="0"/>
    <x v="2"/>
    <n v="2"/>
    <n v="1667.9545454545455"/>
  </r>
  <r>
    <m/>
    <x v="6"/>
    <x v="0"/>
    <s v="155-98"/>
    <x v="0"/>
    <n v="107"/>
    <d v="2023-01-04T00:00:00"/>
    <d v="2023-01-05T00:00:00"/>
    <x v="0"/>
    <d v="2022-11-25T00:00:00"/>
    <s v="Delay"/>
    <s v="11.November"/>
    <n v="1.49"/>
    <n v="1.6"/>
    <n v="159.43"/>
    <n v="171.20000000000002"/>
    <s v="CMTP"/>
    <x v="0"/>
    <x v="2"/>
    <n v="2"/>
    <n v="1667.9545454545455"/>
  </r>
  <r>
    <m/>
    <x v="6"/>
    <x v="0"/>
    <s v="133-71"/>
    <x v="0"/>
    <n v="1019"/>
    <d v="2023-01-06T00:00:00"/>
    <d v="2023-01-10T00:00:00"/>
    <x v="0"/>
    <d v="2023-01-27T00:00:00"/>
    <s v="Ontime"/>
    <s v="1.January"/>
    <n v="1.54"/>
    <n v="3.4342000000000001"/>
    <n v="1569.26"/>
    <n v="3499.4498000000003"/>
    <s v="CMTP"/>
    <x v="0"/>
    <x v="2"/>
    <n v="3"/>
    <n v="2501.931818181818"/>
  </r>
  <r>
    <m/>
    <x v="6"/>
    <x v="0"/>
    <s v="133-72"/>
    <x v="0"/>
    <n v="1043"/>
    <d v="2023-01-11T00:00:00"/>
    <d v="2023-01-13T00:00:00"/>
    <x v="0"/>
    <d v="2023-01-27T00:00:00"/>
    <s v="Ontime"/>
    <s v="1.January"/>
    <n v="1.54"/>
    <n v="3.4342000000000001"/>
    <n v="1606.22"/>
    <n v="3581.8706000000002"/>
    <s v="CMTP"/>
    <x v="0"/>
    <x v="2"/>
    <n v="3"/>
    <n v="2501.931818181818"/>
  </r>
  <r>
    <m/>
    <x v="6"/>
    <x v="0"/>
    <s v="133-83"/>
    <x v="0"/>
    <n v="2986"/>
    <d v="2023-01-14T00:00:00"/>
    <d v="2023-01-26T00:00:00"/>
    <x v="0"/>
    <d v="2023-01-27T00:00:00"/>
    <s v="Ontime"/>
    <s v="1.January"/>
    <n v="1.54"/>
    <n v="3.4342000000000001"/>
    <n v="4598.4400000000005"/>
    <n v="10254.521200000001"/>
    <s v="CMTP"/>
    <x v="0"/>
    <x v="2"/>
    <n v="9"/>
    <n v="7505.795454545455"/>
  </r>
  <r>
    <m/>
    <x v="6"/>
    <x v="0"/>
    <s v="133-98"/>
    <x v="0"/>
    <n v="2877"/>
    <d v="2023-01-27T00:00:00"/>
    <d v="2023-01-31T00:00:00"/>
    <x v="0"/>
    <d v="2023-02-03T00:00:00"/>
    <s v="Ontime"/>
    <s v="2.February"/>
    <n v="1.54"/>
    <n v="3.4342000000000001"/>
    <n v="4430.58"/>
    <n v="9880.1934000000001"/>
    <s v="CMTP"/>
    <x v="0"/>
    <x v="2"/>
    <n v="3"/>
    <n v="2501.931818181818"/>
  </r>
  <r>
    <m/>
    <x v="6"/>
    <x v="0"/>
    <s v="133-98"/>
    <x v="0"/>
    <n v="1362"/>
    <d v="2023-02-01T00:00:00"/>
    <d v="2023-02-06T00:00:00"/>
    <x v="1"/>
    <d v="2023-02-03T00:00:00"/>
    <s v="Delay"/>
    <s v="2.February"/>
    <n v="1.54"/>
    <n v="3.4342000000000001"/>
    <n v="2097.48"/>
    <n v="4677.3804"/>
    <s v="CMTP"/>
    <x v="0"/>
    <x v="2"/>
    <n v="4"/>
    <n v="3669.5"/>
  </r>
  <r>
    <m/>
    <x v="6"/>
    <x v="0"/>
    <s v="136-98"/>
    <x v="0"/>
    <n v="1780"/>
    <d v="2023-02-07T00:00:00"/>
    <d v="2023-02-13T00:00:00"/>
    <x v="1"/>
    <d v="2023-02-17T00:00:00"/>
    <s v="Ontime"/>
    <s v="2.February"/>
    <n v="1.54"/>
    <n v="3.4342000000000001"/>
    <n v="2741.2000000000003"/>
    <n v="6112.8760000000002"/>
    <s v="CMTP"/>
    <x v="0"/>
    <x v="2"/>
    <n v="5"/>
    <n v="4586.875"/>
  </r>
  <r>
    <m/>
    <x v="6"/>
    <x v="0"/>
    <s v="133-67"/>
    <x v="0"/>
    <n v="2240"/>
    <d v="2023-02-14T00:00:00"/>
    <d v="2023-02-17T00:00:00"/>
    <x v="1"/>
    <d v="2023-02-24T00:00:00"/>
    <s v="Ontime"/>
    <s v="2.February"/>
    <n v="1.54"/>
    <n v="3.4342000000000001"/>
    <n v="3449.6"/>
    <n v="7692.6080000000002"/>
    <s v="CMTP"/>
    <x v="0"/>
    <x v="2"/>
    <n v="4"/>
    <n v="3669.5"/>
  </r>
  <r>
    <m/>
    <x v="6"/>
    <x v="0"/>
    <s v="133-85"/>
    <x v="0"/>
    <n v="2210"/>
    <d v="2023-02-20T00:00:00"/>
    <d v="2023-02-23T00:00:00"/>
    <x v="1"/>
    <d v="2023-02-24T00:00:00"/>
    <s v="Ontime"/>
    <s v="2.February"/>
    <n v="1.54"/>
    <n v="3.4342000000000001"/>
    <n v="3403.4"/>
    <n v="7589.5820000000003"/>
    <s v="CMTP"/>
    <x v="0"/>
    <x v="2"/>
    <n v="4"/>
    <n v="3669.5"/>
  </r>
  <r>
    <m/>
    <x v="6"/>
    <x v="0"/>
    <s v="133-98"/>
    <x v="0"/>
    <n v="2100"/>
    <d v="2023-02-24T00:00:00"/>
    <d v="2023-02-28T00:00:00"/>
    <x v="1"/>
    <d v="2023-03-31T00:00:00"/>
    <s v="Ontime"/>
    <s v="3.March"/>
    <n v="1.54"/>
    <n v="3.4342000000000001"/>
    <n v="3234"/>
    <n v="7211.8200000000006"/>
    <s v="CMTP"/>
    <x v="0"/>
    <x v="2"/>
    <n v="3"/>
    <n v="2752.125"/>
  </r>
  <r>
    <m/>
    <x v="6"/>
    <x v="0"/>
    <s v="133-98"/>
    <x v="0"/>
    <n v="2130"/>
    <d v="2023-03-01T00:00:00"/>
    <d v="2023-03-06T00:00:00"/>
    <x v="2"/>
    <d v="2023-03-31T00:00:00"/>
    <s v="Ontime"/>
    <s v="3.March"/>
    <n v="1.54"/>
    <n v="3.4342000000000001"/>
    <n v="3280.2000000000003"/>
    <n v="7314.8460000000005"/>
    <s v="CMTP"/>
    <x v="0"/>
    <x v="2"/>
    <n v="4"/>
    <n v="3335.909090909091"/>
  </r>
  <r>
    <m/>
    <x v="6"/>
    <x v="0"/>
    <s v="133-95"/>
    <x v="0"/>
    <n v="2920"/>
    <d v="2023-03-07T00:00:00"/>
    <d v="2023-03-14T00:00:00"/>
    <x v="2"/>
    <d v="2023-03-17T00:00:00"/>
    <s v="Ontime"/>
    <s v="3.March"/>
    <n v="1.54"/>
    <n v="3.4342000000000001"/>
    <n v="4496.8"/>
    <n v="10027.864"/>
    <s v="CMTP"/>
    <x v="0"/>
    <x v="2"/>
    <n v="6"/>
    <n v="5003.863636363636"/>
  </r>
  <r>
    <m/>
    <x v="6"/>
    <x v="0"/>
    <s v="136-92"/>
    <x v="0"/>
    <n v="1260"/>
    <d v="2023-03-15T00:00:00"/>
    <d v="2023-03-16T00:00:00"/>
    <x v="2"/>
    <d v="2023-03-31T00:00:00"/>
    <s v="Ontime"/>
    <s v="3.March"/>
    <n v="1.54"/>
    <n v="3.4342000000000001"/>
    <n v="1940.4"/>
    <n v="4327.0920000000006"/>
    <s v="CMTP"/>
    <x v="0"/>
    <x v="2"/>
    <n v="2"/>
    <n v="1667.9545454545455"/>
  </r>
  <r>
    <m/>
    <x v="6"/>
    <x v="0"/>
    <s v="133-78"/>
    <x v="0"/>
    <n v="2300"/>
    <d v="2023-03-17T00:00:00"/>
    <d v="2023-03-23T00:00:00"/>
    <x v="2"/>
    <d v="2023-03-31T00:00:00"/>
    <s v="Ontime"/>
    <s v="3.March"/>
    <n v="1.54"/>
    <n v="3.4342000000000001"/>
    <n v="3542"/>
    <n v="7898.6600000000008"/>
    <s v="CMTP"/>
    <x v="0"/>
    <x v="2"/>
    <n v="4"/>
    <n v="3335.909090909091"/>
  </r>
  <r>
    <m/>
    <x v="6"/>
    <x v="0"/>
    <s v="133-91"/>
    <x v="0"/>
    <n v="2580"/>
    <d v="2023-03-24T00:00:00"/>
    <d v="2023-03-29T00:00:00"/>
    <x v="2"/>
    <d v="2023-03-31T00:00:00"/>
    <s v="Ontime"/>
    <s v="3.March"/>
    <n v="1.54"/>
    <n v="3.4342000000000001"/>
    <n v="3973.2000000000003"/>
    <n v="8860.2360000000008"/>
    <s v="CMTP"/>
    <x v="0"/>
    <x v="2"/>
    <n v="4"/>
    <n v="3335.909090909091"/>
  </r>
  <r>
    <m/>
    <x v="6"/>
    <x v="0"/>
    <s v="133-93"/>
    <x v="0"/>
    <n v="1125"/>
    <d v="2023-03-30T00:00:00"/>
    <d v="2023-03-31T00:00:00"/>
    <x v="2"/>
    <d v="2023-03-31T00:00:00"/>
    <s v="Ontime"/>
    <s v="3.March"/>
    <n v="1.54"/>
    <n v="3.4342000000000001"/>
    <n v="1732.5"/>
    <n v="3863.4750000000004"/>
    <s v="CMTP"/>
    <x v="0"/>
    <x v="2"/>
    <n v="2"/>
    <n v="1667.9545454545455"/>
  </r>
  <r>
    <m/>
    <x v="6"/>
    <x v="0"/>
    <s v="133-93"/>
    <x v="0"/>
    <n v="605"/>
    <d v="2023-04-03T00:00:00"/>
    <d v="2023-04-04T00:00:00"/>
    <x v="3"/>
    <d v="2023-03-31T00:00:00"/>
    <s v="Delay"/>
    <s v="3.March"/>
    <n v="1.54"/>
    <n v="3.4342000000000001"/>
    <n v="931.7"/>
    <n v="2077.6910000000003"/>
    <s v="CMTP"/>
    <x v="0"/>
    <x v="2"/>
    <n v="2"/>
    <n v="2446.3333333333335"/>
  </r>
  <r>
    <m/>
    <x v="6"/>
    <x v="0"/>
    <s v="133-95"/>
    <x v="0"/>
    <n v="2710"/>
    <d v="2023-04-05T00:00:00"/>
    <d v="2023-04-11T00:00:00"/>
    <x v="3"/>
    <d v="2023-04-14T00:00:00"/>
    <s v="Ontime"/>
    <s v="4.April"/>
    <n v="1.54"/>
    <n v="3.4342000000000001"/>
    <n v="4173.4000000000005"/>
    <n v="9306.6820000000007"/>
    <s v="CMTP"/>
    <x v="0"/>
    <x v="2"/>
    <n v="4"/>
    <n v="4892.666666666667"/>
  </r>
  <r>
    <m/>
    <x v="6"/>
    <x v="0"/>
    <s v="133-98"/>
    <x v="0"/>
    <n v="6068"/>
    <d v="2023-04-12T00:00:00"/>
    <d v="2023-04-28T00:00:00"/>
    <x v="3"/>
    <d v="2023-03-31T00:00:00"/>
    <s v="Delay"/>
    <s v="3.March"/>
    <n v="1.54"/>
    <n v="3.4342000000000001"/>
    <n v="9344.7199999999993"/>
    <n v="20838.725600000002"/>
    <s v="CMTP"/>
    <x v="0"/>
    <x v="2"/>
    <n v="9"/>
    <n v="11008.5"/>
  </r>
  <r>
    <m/>
    <x v="6"/>
    <x v="0"/>
    <s v="133-98"/>
    <x v="0"/>
    <n v="2382"/>
    <d v="2023-05-02T00:00:00"/>
    <d v="2023-05-05T00:00:00"/>
    <x v="4"/>
    <d v="2023-03-31T00:00:00"/>
    <s v="Delay"/>
    <s v="3.March"/>
    <n v="1.54"/>
    <n v="3.4342000000000001"/>
    <n v="3668.28"/>
    <n v="8180.2644"/>
    <s v="CMTP"/>
    <x v="0"/>
    <x v="2"/>
    <n v="4"/>
    <n v="3494.7619047619046"/>
  </r>
  <r>
    <m/>
    <x v="6"/>
    <x v="0"/>
    <s v="133-73"/>
    <x v="0"/>
    <n v="2230"/>
    <d v="2023-05-08T00:00:00"/>
    <d v="2023-05-11T00:00:00"/>
    <x v="4"/>
    <d v="2023-04-28T00:00:00"/>
    <s v="Delay"/>
    <s v="4.April"/>
    <n v="1.54"/>
    <n v="3.4342000000000001"/>
    <n v="3434.2000000000003"/>
    <n v="7658.2660000000005"/>
    <s v="CMTP"/>
    <x v="0"/>
    <x v="2"/>
    <n v="4"/>
    <n v="3494.7619047619046"/>
  </r>
  <r>
    <m/>
    <x v="6"/>
    <x v="0"/>
    <s v="133-85"/>
    <x v="0"/>
    <n v="2080"/>
    <d v="2023-05-12T00:00:00"/>
    <d v="2023-05-17T00:00:00"/>
    <x v="4"/>
    <d v="2023-04-28T00:00:00"/>
    <s v="Delay"/>
    <s v="4.April"/>
    <n v="1.54"/>
    <n v="3.4342000000000001"/>
    <n v="3203.2000000000003"/>
    <n v="7143.1360000000004"/>
    <s v="CMTP"/>
    <x v="0"/>
    <x v="2"/>
    <n v="4"/>
    <n v="3494.7619047619046"/>
  </r>
  <r>
    <m/>
    <x v="6"/>
    <x v="0"/>
    <s v="133-92"/>
    <x v="0"/>
    <n v="1260"/>
    <d v="2023-05-18T00:00:00"/>
    <d v="2023-05-22T00:00:00"/>
    <x v="4"/>
    <d v="2023-04-28T00:00:00"/>
    <s v="Delay"/>
    <s v="4.April"/>
    <n v="1.54"/>
    <n v="3.4342000000000001"/>
    <n v="1940.4"/>
    <n v="4327.0920000000006"/>
    <s v="CMTP"/>
    <x v="0"/>
    <x v="2"/>
    <n v="2"/>
    <n v="1747.3809523809523"/>
  </r>
  <r>
    <m/>
    <x v="6"/>
    <x v="0"/>
    <s v="133-99"/>
    <x v="0"/>
    <n v="2670"/>
    <d v="2023-05-23T00:00:00"/>
    <d v="2023-05-29T00:00:00"/>
    <x v="4"/>
    <d v="2023-04-28T00:00:00"/>
    <s v="Delay"/>
    <s v="4.April"/>
    <n v="1.54"/>
    <n v="3.4342000000000001"/>
    <n v="4111.8"/>
    <n v="9169.3140000000003"/>
    <s v="CMTP"/>
    <x v="0"/>
    <x v="2"/>
    <n v="5"/>
    <n v="4368.4523809523807"/>
  </r>
  <r>
    <m/>
    <x v="6"/>
    <x v="0"/>
    <s v="133-61"/>
    <x v="0"/>
    <n v="860"/>
    <d v="2023-05-30T00:00:00"/>
    <d v="2023-05-31T00:00:00"/>
    <x v="4"/>
    <d v="2023-05-01T00:00:00"/>
    <s v="Ontime"/>
    <s v="6.Juni"/>
    <n v="1.54"/>
    <n v="3.4342000000000001"/>
    <n v="1324.4"/>
    <n v="2953.4120000000003"/>
    <s v="CMTP"/>
    <x v="0"/>
    <x v="2"/>
    <n v="2"/>
    <n v="1747.3809523809523"/>
  </r>
  <r>
    <m/>
    <x v="6"/>
    <x v="0"/>
    <s v="133-72"/>
    <x v="0"/>
    <n v="1330"/>
    <d v="2023-06-02T00:00:00"/>
    <d v="2023-06-06T00:00:00"/>
    <x v="5"/>
    <d v="2023-05-01T00:00:00"/>
    <s v="Ontime"/>
    <s v="6.Juni"/>
    <n v="1.54"/>
    <n v="3.4342000000000001"/>
    <n v="2048.2000000000003"/>
    <n v="4567.4859999999999"/>
    <s v="CMTP"/>
    <x v="0"/>
    <x v="2"/>
    <n v="3"/>
    <n v="2752.125"/>
  </r>
  <r>
    <m/>
    <x v="6"/>
    <x v="0"/>
    <s v="133-74"/>
    <x v="0"/>
    <n v="1120"/>
    <d v="2023-06-07T00:00:00"/>
    <d v="2023-06-08T00:00:00"/>
    <x v="5"/>
    <d v="2023-05-01T00:00:00"/>
    <s v="Ontime"/>
    <s v="6.Juni"/>
    <n v="1.54"/>
    <n v="3.4342000000000001"/>
    <n v="1724.8"/>
    <n v="3846.3040000000001"/>
    <s v="CMTP"/>
    <x v="0"/>
    <x v="2"/>
    <n v="2"/>
    <n v="1834.75"/>
  </r>
  <r>
    <m/>
    <x v="6"/>
    <x v="0"/>
    <s v="133-93"/>
    <x v="0"/>
    <n v="1750"/>
    <d v="2023-06-09T00:00:00"/>
    <d v="2023-06-14T00:00:00"/>
    <x v="5"/>
    <d v="2023-05-01T00:00:00"/>
    <s v="Ontime"/>
    <s v="6.Juni"/>
    <n v="1.54"/>
    <n v="3.4342000000000001"/>
    <n v="2695"/>
    <n v="6009.85"/>
    <s v="CMTP"/>
    <x v="0"/>
    <x v="2"/>
    <n v="4"/>
    <n v="3669.5"/>
  </r>
  <r>
    <m/>
    <x v="6"/>
    <x v="0"/>
    <s v="133-95"/>
    <x v="0"/>
    <n v="3520"/>
    <d v="2023-06-15T00:00:00"/>
    <d v="2023-06-23T00:00:00"/>
    <x v="5"/>
    <d v="2023-05-01T00:00:00"/>
    <s v="Ontime"/>
    <s v="7.Juli"/>
    <n v="1.54"/>
    <n v="3.4342000000000001"/>
    <n v="5420.8"/>
    <n v="12088.384"/>
    <s v="CMTP"/>
    <x v="0"/>
    <x v="2"/>
    <n v="7"/>
    <n v="6421.625"/>
  </r>
  <r>
    <m/>
    <x v="6"/>
    <x v="19"/>
    <s v="PROJECTION"/>
    <x v="0"/>
    <n v="6620"/>
    <d v="2023-06-26T00:00:00"/>
    <d v="2023-06-30T00:00:00"/>
    <x v="5"/>
    <d v="2023-06-01T00:00:00"/>
    <s v="Ontime"/>
    <s v="1.January"/>
    <n v="0.76"/>
    <n v="1.9"/>
    <n v="5031.2"/>
    <n v="12578"/>
    <s v="FOB"/>
    <x v="0"/>
    <x v="2"/>
    <n v="4"/>
    <n v="3669.5"/>
  </r>
  <r>
    <m/>
    <x v="6"/>
    <x v="19"/>
    <s v="PROJECTION"/>
    <x v="0"/>
    <n v="32000"/>
    <d v="2023-07-03T00:00:00"/>
    <d v="2023-07-31T00:00:00"/>
    <x v="6"/>
    <d v="2023-06-01T00:00:00"/>
    <s v="Ontime"/>
    <s v="8.agustus"/>
    <n v="0.76"/>
    <n v="1.9"/>
    <n v="24320"/>
    <n v="60800"/>
    <s v="CMTP"/>
    <x v="0"/>
    <x v="2"/>
    <n v="20"/>
    <n v="18593.5"/>
  </r>
  <r>
    <m/>
    <x v="6"/>
    <x v="19"/>
    <s v="PROJECTION"/>
    <x v="0"/>
    <n v="35200"/>
    <d v="2023-08-01T00:00:00"/>
    <d v="2023-08-31T00:00:00"/>
    <x v="7"/>
    <d v="2023-06-01T00:00:00"/>
    <s v="Ontime"/>
    <s v="9.September"/>
    <n v="0.76"/>
    <n v="1.9"/>
    <n v="26752"/>
    <n v="66880"/>
    <s v="CMTP"/>
    <x v="0"/>
    <x v="2"/>
    <n v="22"/>
    <n v="18593.5"/>
  </r>
  <r>
    <m/>
    <x v="6"/>
    <x v="13"/>
    <s v="PROJECTION"/>
    <x v="0"/>
    <m/>
    <d v="2023-09-01T00:00:00"/>
    <d v="2023-09-30T00:00:00"/>
    <x v="8"/>
    <d v="2023-06-01T00:00:00"/>
    <s v="Ontime"/>
    <s v="10.Oktober"/>
    <m/>
    <m/>
    <n v="0"/>
    <n v="0"/>
    <s v="CMTP"/>
    <x v="0"/>
    <x v="2"/>
    <n v="20"/>
    <n v="18593.5"/>
  </r>
  <r>
    <m/>
    <x v="6"/>
    <x v="13"/>
    <s v="PROJECTION"/>
    <x v="0"/>
    <m/>
    <d v="2023-10-01T00:00:00"/>
    <d v="2023-10-31T00:00:00"/>
    <x v="9"/>
    <s v="11/31/2023"/>
    <s v="Ontime"/>
    <s v="11.November"/>
    <m/>
    <m/>
    <n v="0"/>
    <n v="0"/>
    <s v="CMTP"/>
    <x v="0"/>
    <x v="2"/>
    <n v="22"/>
    <n v="18593.5"/>
  </r>
  <r>
    <m/>
    <x v="6"/>
    <x v="13"/>
    <s v="PROJECTION"/>
    <x v="0"/>
    <m/>
    <d v="2023-11-01T00:00:00"/>
    <d v="2023-11-30T00:00:00"/>
    <x v="10"/>
    <d v="2023-12-31T00:00:00"/>
    <s v="Ontime"/>
    <s v="12.Desember"/>
    <m/>
    <m/>
    <n v="0"/>
    <n v="0"/>
    <s v="CMTP"/>
    <x v="0"/>
    <x v="2"/>
    <n v="22"/>
    <n v="18593.5"/>
  </r>
  <r>
    <m/>
    <x v="6"/>
    <x v="13"/>
    <s v="PROJECTION"/>
    <x v="0"/>
    <m/>
    <d v="2023-12-01T00:00:00"/>
    <d v="2023-12-31T00:00:00"/>
    <x v="11"/>
    <d v="2024-01-31T00:00:00"/>
    <s v="Ontime"/>
    <s v="1.January"/>
    <m/>
    <m/>
    <n v="0"/>
    <n v="0"/>
    <s v="CMTP"/>
    <x v="0"/>
    <x v="2"/>
    <n v="20"/>
    <n v="18593.5"/>
  </r>
  <r>
    <m/>
    <x v="6"/>
    <x v="0"/>
    <s v="155-72"/>
    <x v="1"/>
    <n v="967"/>
    <d v="2023-01-02T00:00:00"/>
    <d v="2023-01-03T00:00:00"/>
    <x v="0"/>
    <d v="2023-02-24T00:00:00"/>
    <s v="Ontime"/>
    <s v="2.February"/>
    <n v="1.49"/>
    <n v="1.6"/>
    <n v="1440.83"/>
    <n v="1547.2"/>
    <s v="CMTP"/>
    <x v="0"/>
    <x v="2"/>
    <n v="2"/>
    <n v="1667.9545454545455"/>
  </r>
  <r>
    <m/>
    <x v="6"/>
    <x v="0"/>
    <s v="154-91"/>
    <x v="1"/>
    <n v="1022"/>
    <d v="2023-01-04T00:00:00"/>
    <d v="2023-01-05T00:00:00"/>
    <x v="0"/>
    <d v="2023-01-27T00:00:00"/>
    <s v="Ontime"/>
    <s v="1.January"/>
    <n v="1.49"/>
    <n v="1.6"/>
    <n v="1522.78"/>
    <n v="1635.2"/>
    <s v="CMTP"/>
    <x v="0"/>
    <x v="2"/>
    <n v="2"/>
    <n v="1667.9545454545455"/>
  </r>
  <r>
    <m/>
    <x v="6"/>
    <x v="0"/>
    <s v="155-85"/>
    <x v="1"/>
    <n v="2115"/>
    <d v="2023-01-06T00:00:00"/>
    <d v="2023-01-16T00:00:00"/>
    <x v="0"/>
    <d v="2023-02-03T00:00:00"/>
    <s v="Ontime"/>
    <s v="2.February"/>
    <n v="1.49"/>
    <n v="1.6"/>
    <n v="3151.35"/>
    <n v="3384"/>
    <s v="CMTP"/>
    <x v="0"/>
    <x v="2"/>
    <n v="7"/>
    <n v="5837.840909090909"/>
  </r>
  <r>
    <m/>
    <x v="6"/>
    <x v="0"/>
    <s v="155-98"/>
    <x v="1"/>
    <n v="1702"/>
    <d v="2023-01-17T00:00:00"/>
    <d v="2023-01-20T00:00:00"/>
    <x v="0"/>
    <d v="2023-02-24T00:00:00"/>
    <s v="Ontime"/>
    <s v="2.February"/>
    <n v="1.49"/>
    <n v="1.6"/>
    <n v="2535.98"/>
    <n v="2723.2000000000003"/>
    <s v="CMTP"/>
    <x v="0"/>
    <x v="2"/>
    <n v="4"/>
    <n v="3335.909090909091"/>
  </r>
  <r>
    <m/>
    <x v="6"/>
    <x v="0"/>
    <s v="155-95"/>
    <x v="1"/>
    <n v="955"/>
    <d v="2023-01-23T00:00:00"/>
    <d v="2023-01-24T00:00:00"/>
    <x v="0"/>
    <d v="2023-02-17T00:00:00"/>
    <s v="Ontime"/>
    <s v="2.February"/>
    <n v="1.49"/>
    <n v="1.6"/>
    <n v="1422.95"/>
    <n v="1528"/>
    <s v="CMTP"/>
    <x v="0"/>
    <x v="2"/>
    <n v="2"/>
    <n v="1667.9545454545455"/>
  </r>
  <r>
    <m/>
    <x v="6"/>
    <x v="29"/>
    <s v="MZA-SPARTA 1-XX-MIX"/>
    <x v="1"/>
    <n v="1002"/>
    <d v="2023-01-25T00:00:00"/>
    <d v="2023-01-25T00:00:00"/>
    <x v="0"/>
    <d v="2022-10-18T00:00:00"/>
    <s v="Delay"/>
    <s v="10.October"/>
    <n v="0.74"/>
    <n v="1.6"/>
    <n v="741.48"/>
    <n v="1603.2"/>
    <s v="FOB"/>
    <x v="0"/>
    <x v="2"/>
    <n v="1"/>
    <n v="833.97727272727275"/>
  </r>
  <r>
    <m/>
    <x v="6"/>
    <x v="0"/>
    <s v="155-91"/>
    <x v="1"/>
    <n v="1287"/>
    <d v="2023-01-26T00:00:00"/>
    <d v="2023-01-31T00:00:00"/>
    <x v="0"/>
    <d v="2023-01-13T00:00:00"/>
    <s v="Delay"/>
    <s v="1.January"/>
    <n v="1.49"/>
    <n v="1.6"/>
    <n v="1917.6299999999999"/>
    <n v="2059.2000000000003"/>
    <s v="CMTP"/>
    <x v="0"/>
    <x v="2"/>
    <n v="4"/>
    <n v="3335.909090909091"/>
  </r>
  <r>
    <m/>
    <x v="6"/>
    <x v="0"/>
    <s v="155-91"/>
    <x v="1"/>
    <n v="846"/>
    <d v="2023-02-01T00:00:00"/>
    <d v="2023-02-02T00:00:00"/>
    <x v="1"/>
    <d v="2022-10-21T00:00:00"/>
    <s v="Delay"/>
    <s v="10.October"/>
    <n v="1.49"/>
    <n v="1.6"/>
    <n v="1260.54"/>
    <n v="1353.6000000000001"/>
    <s v="CMTP"/>
    <x v="0"/>
    <x v="2"/>
    <n v="2"/>
    <n v="1834.75"/>
  </r>
  <r>
    <m/>
    <x v="6"/>
    <x v="0"/>
    <s v="155-67"/>
    <x v="1"/>
    <n v="1490"/>
    <d v="2023-02-03T00:00:00"/>
    <d v="2023-02-08T00:00:00"/>
    <x v="1"/>
    <d v="2023-02-24T00:00:00"/>
    <s v="Ontime"/>
    <s v="2.February"/>
    <n v="1.49"/>
    <n v="1.6"/>
    <n v="2220.1"/>
    <n v="2384"/>
    <s v="CMTP"/>
    <x v="0"/>
    <x v="2"/>
    <n v="4"/>
    <n v="3669.5"/>
  </r>
  <r>
    <m/>
    <x v="6"/>
    <x v="0"/>
    <s v="155-91"/>
    <x v="1"/>
    <n v="2181"/>
    <d v="2023-02-09T00:00:00"/>
    <d v="2023-02-16T00:00:00"/>
    <x v="1"/>
    <d v="2023-01-27T00:00:00"/>
    <s v="Delay"/>
    <s v="1.January"/>
    <n v="1.49"/>
    <n v="1.6"/>
    <n v="3249.69"/>
    <n v="3489.6000000000004"/>
    <s v="CMTP"/>
    <x v="0"/>
    <x v="2"/>
    <n v="6"/>
    <n v="5504.25"/>
  </r>
  <r>
    <m/>
    <x v="6"/>
    <x v="0"/>
    <s v="155-93"/>
    <x v="1"/>
    <n v="2225"/>
    <d v="2023-02-17T00:00:00"/>
    <d v="2023-02-24T00:00:00"/>
    <x v="1"/>
    <d v="2023-02-24T00:00:00"/>
    <s v="Ontime"/>
    <s v="2.February"/>
    <n v="1.49"/>
    <n v="1.6"/>
    <n v="3315.25"/>
    <n v="3560"/>
    <s v="CMTP"/>
    <x v="0"/>
    <x v="2"/>
    <n v="6"/>
    <n v="5504.25"/>
  </r>
  <r>
    <m/>
    <x v="6"/>
    <x v="0"/>
    <s v="155-78"/>
    <x v="1"/>
    <n v="985"/>
    <d v="2023-02-27T00:00:00"/>
    <d v="2023-02-28T00:00:00"/>
    <x v="1"/>
    <d v="2023-03-03T00:00:00"/>
    <s v="Ontime"/>
    <s v="3.March"/>
    <n v="1.49"/>
    <n v="1.6"/>
    <n v="1467.65"/>
    <n v="1576"/>
    <s v="CMTP"/>
    <x v="0"/>
    <x v="2"/>
    <n v="2"/>
    <n v="1834.75"/>
  </r>
  <r>
    <m/>
    <x v="6"/>
    <x v="0"/>
    <s v="155-95"/>
    <x v="1"/>
    <n v="800"/>
    <d v="2023-03-01T00:00:00"/>
    <d v="2023-03-02T00:00:00"/>
    <x v="2"/>
    <d v="2023-03-03T00:00:00"/>
    <s v="Ontime"/>
    <s v="3.March"/>
    <n v="1.49"/>
    <n v="1.6"/>
    <n v="1192"/>
    <n v="1280"/>
    <s v="CMTP"/>
    <x v="0"/>
    <x v="2"/>
    <n v="2"/>
    <n v="1667.9545454545455"/>
  </r>
  <r>
    <m/>
    <x v="6"/>
    <x v="0"/>
    <s v="155-71"/>
    <x v="1"/>
    <n v="300"/>
    <d v="2023-03-03T00:00:00"/>
    <d v="2023-03-03T00:00:00"/>
    <x v="2"/>
    <d v="2023-03-10T00:00:00"/>
    <s v="Ontime"/>
    <s v="3.March"/>
    <n v="1.49"/>
    <n v="1.6"/>
    <n v="447"/>
    <n v="480"/>
    <s v="CMTP"/>
    <x v="0"/>
    <x v="2"/>
    <n v="1"/>
    <n v="833.97727272727275"/>
  </r>
  <r>
    <m/>
    <x v="6"/>
    <x v="0"/>
    <s v="155-83"/>
    <x v="1"/>
    <n v="920"/>
    <d v="2023-03-06T00:00:00"/>
    <d v="2023-03-08T00:00:00"/>
    <x v="2"/>
    <d v="2023-03-10T00:00:00"/>
    <s v="Ontime"/>
    <s v="3.March"/>
    <n v="1.49"/>
    <n v="1.6"/>
    <n v="1370.8"/>
    <n v="1472"/>
    <s v="CMTP"/>
    <x v="0"/>
    <x v="2"/>
    <n v="3"/>
    <n v="2501.931818181818"/>
  </r>
  <r>
    <m/>
    <x v="6"/>
    <x v="0"/>
    <s v="155-85"/>
    <x v="1"/>
    <n v="810"/>
    <d v="2023-03-09T00:00:00"/>
    <d v="2023-03-10T00:00:00"/>
    <x v="2"/>
    <d v="2023-03-17T00:00:00"/>
    <s v="Ontime"/>
    <s v="3.March"/>
    <n v="1.49"/>
    <n v="1.6"/>
    <n v="1206.9000000000001"/>
    <n v="1296"/>
    <s v="CMTP"/>
    <x v="0"/>
    <x v="2"/>
    <n v="2"/>
    <n v="1667.9545454545455"/>
  </r>
  <r>
    <m/>
    <x v="6"/>
    <x v="0"/>
    <s v="155-99"/>
    <x v="1"/>
    <n v="1025"/>
    <d v="2023-03-13T00:00:00"/>
    <d v="2023-03-15T00:00:00"/>
    <x v="2"/>
    <d v="2023-03-17T00:00:00"/>
    <s v="Ontime"/>
    <s v="3.March"/>
    <n v="1.49"/>
    <n v="1.6"/>
    <n v="1527.25"/>
    <n v="1640"/>
    <s v="CMTP"/>
    <x v="0"/>
    <x v="2"/>
    <n v="3"/>
    <n v="2501.931818181818"/>
  </r>
  <r>
    <m/>
    <x v="6"/>
    <x v="19"/>
    <s v="PO#0146219"/>
    <x v="1"/>
    <n v="5184"/>
    <d v="2023-03-16T00:00:00"/>
    <d v="2023-03-23T00:00:00"/>
    <x v="2"/>
    <d v="2023-05-01T00:00:00"/>
    <s v="Ontime"/>
    <s v="4.April"/>
    <n v="0.43"/>
    <n v="1.29"/>
    <n v="2229.12"/>
    <n v="6687.3600000000006"/>
    <s v="FOB"/>
    <x v="0"/>
    <x v="2"/>
    <n v="5"/>
    <n v="4169.886363636364"/>
  </r>
  <r>
    <m/>
    <x v="6"/>
    <x v="19"/>
    <s v="PO#0146248"/>
    <x v="1"/>
    <n v="7128"/>
    <d v="2023-03-24T00:00:00"/>
    <d v="2023-03-31T00:00:00"/>
    <x v="2"/>
    <n v="45047"/>
    <s v="Ontime"/>
    <s v="4.April"/>
    <n v="0.43166666666666664"/>
    <n v="1.7266666666666666"/>
    <n v="3076.9199999999996"/>
    <n v="12307.679999999998"/>
    <s v="FOB"/>
    <x v="0"/>
    <x v="2"/>
    <n v="6"/>
    <n v="5003.863636363636"/>
  </r>
  <r>
    <m/>
    <x v="6"/>
    <x v="19"/>
    <s v="PO#0146331"/>
    <x v="1"/>
    <n v="5454"/>
    <d v="2023-04-03T00:00:00"/>
    <d v="2023-04-10T00:00:00"/>
    <x v="3"/>
    <d v="2023-05-31T00:00:00"/>
    <s v="Ontime"/>
    <s v="5.May"/>
    <n v="0.57333333333333336"/>
    <n v="1.72"/>
    <n v="3126.96"/>
    <n v="9380.8799999999992"/>
    <s v="FOB"/>
    <x v="0"/>
    <x v="2"/>
    <n v="5"/>
    <n v="6115.8333333333339"/>
  </r>
  <r>
    <m/>
    <x v="6"/>
    <x v="19"/>
    <s v="PO#0146331"/>
    <x v="1"/>
    <n v="19764"/>
    <d v="2023-04-11T00:00:00"/>
    <d v="2023-04-24T00:00:00"/>
    <x v="3"/>
    <d v="2023-05-31T00:00:00"/>
    <s v="Ontime"/>
    <s v="5.May"/>
    <n v="0.57333333333333336"/>
    <n v="1.72"/>
    <n v="11331.36"/>
    <n v="33994.080000000002"/>
    <s v="FOB"/>
    <x v="0"/>
    <x v="2"/>
    <n v="7"/>
    <n v="8562.1666666666679"/>
  </r>
  <r>
    <m/>
    <x v="6"/>
    <x v="19"/>
    <s v="PROJECTION"/>
    <x v="1"/>
    <n v="5400"/>
    <d v="2023-04-25T00:00:00"/>
    <d v="2023-04-28T00:00:00"/>
    <x v="3"/>
    <s v="6/31/2023"/>
    <s v="Ontime"/>
    <s v="6.Juni"/>
    <n v="0.76"/>
    <n v="1.9"/>
    <n v="4104"/>
    <n v="10260"/>
    <s v="FOB"/>
    <x v="0"/>
    <x v="2"/>
    <n v="3"/>
    <n v="3669.5"/>
  </r>
  <r>
    <m/>
    <x v="6"/>
    <x v="19"/>
    <s v="PROJECTION"/>
    <x v="1"/>
    <n v="37800"/>
    <d v="2023-05-02T00:00:00"/>
    <d v="2023-05-31T00:00:00"/>
    <x v="4"/>
    <s v="6/31/2023"/>
    <s v="Ontime"/>
    <s v="6.Juni"/>
    <n v="0.76"/>
    <n v="1.9"/>
    <n v="28728"/>
    <n v="71820"/>
    <s v="FOB"/>
    <x v="0"/>
    <x v="2"/>
    <n v="21"/>
    <n v="18347.5"/>
  </r>
  <r>
    <m/>
    <x v="6"/>
    <x v="19"/>
    <s v="PROJECTION"/>
    <x v="1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30"/>
    <s v="BIKE Uderwear"/>
    <x v="1"/>
    <n v="30000"/>
    <d v="2023-07-03T00:00:00"/>
    <d v="2023-07-24T00:00:00"/>
    <x v="6"/>
    <d v="2023-08-31T00:00:00"/>
    <s v="Ontime"/>
    <s v="8.agustus"/>
    <n v="0.69"/>
    <n v="2.25"/>
    <n v="20700"/>
    <n v="67500"/>
    <s v="FOB"/>
    <x v="0"/>
    <x v="2"/>
    <n v="15"/>
    <n v="13945.125"/>
  </r>
  <r>
    <m/>
    <x v="6"/>
    <x v="19"/>
    <s v="PROJECTION"/>
    <x v="1"/>
    <n v="9000"/>
    <d v="2023-08-25T00:00:00"/>
    <d v="2023-08-31T00:00:00"/>
    <x v="6"/>
    <s v="9/31/2023"/>
    <s v="Ontime"/>
    <s v="8.agustus"/>
    <n v="0.76"/>
    <n v="1.9"/>
    <n v="6840"/>
    <n v="17100"/>
    <s v="FOB"/>
    <x v="0"/>
    <x v="2"/>
    <n v="5"/>
    <n v="4648.375"/>
  </r>
  <r>
    <m/>
    <x v="6"/>
    <x v="19"/>
    <s v="PROJECTION"/>
    <x v="1"/>
    <n v="39600"/>
    <d v="2023-08-01T00:00:00"/>
    <d v="2023-08-31T00:00:00"/>
    <x v="7"/>
    <s v="9/31/2023"/>
    <s v="Ontime"/>
    <s v="9.September"/>
    <n v="0.76"/>
    <n v="1.9"/>
    <n v="30096"/>
    <n v="75240"/>
    <s v="FOB"/>
    <x v="0"/>
    <x v="2"/>
    <n v="22"/>
    <n v="18593.5"/>
  </r>
  <r>
    <m/>
    <x v="6"/>
    <x v="31"/>
    <s v="PROJECTION"/>
    <x v="1"/>
    <n v="15000"/>
    <d v="2023-09-01T00:00:00"/>
    <d v="2023-09-12T00:00:00"/>
    <x v="8"/>
    <d v="2023-10-31T00:00:00"/>
    <s v="Ontime"/>
    <s v="10.Oktober"/>
    <n v="0.6"/>
    <n v="1.64"/>
    <n v="9000"/>
    <n v="24600"/>
    <s v="FOB"/>
    <x v="0"/>
    <x v="2"/>
    <n v="8"/>
    <n v="7437.4"/>
  </r>
  <r>
    <m/>
    <x v="6"/>
    <x v="19"/>
    <s v="PROJECTION"/>
    <x v="1"/>
    <n v="19200"/>
    <d v="2023-09-13T00:00:00"/>
    <d v="2023-09-30T00:00:00"/>
    <x v="8"/>
    <d v="2023-10-31T00:00:00"/>
    <s v="Ontime"/>
    <s v="10.Oktober"/>
    <n v="0.76"/>
    <n v="1.64"/>
    <n v="14592"/>
    <n v="31487.999999999996"/>
    <s v="FOB"/>
    <x v="0"/>
    <x v="2"/>
    <n v="12"/>
    <n v="11156.099999999999"/>
  </r>
  <r>
    <m/>
    <x v="6"/>
    <x v="19"/>
    <s v="PROJECTION"/>
    <x v="1"/>
    <n v="35200"/>
    <d v="2023-10-01T00:00:00"/>
    <d v="2023-10-31T00:00:00"/>
    <x v="9"/>
    <s v="11/31/2023"/>
    <s v="Ontime"/>
    <s v="11.November"/>
    <n v="0.76"/>
    <n v="1.9"/>
    <n v="26752"/>
    <n v="66880"/>
    <s v="FOB"/>
    <x v="0"/>
    <x v="2"/>
    <n v="22"/>
    <n v="18593.5"/>
  </r>
  <r>
    <m/>
    <x v="6"/>
    <x v="19"/>
    <s v="PROJECTION"/>
    <x v="1"/>
    <n v="35200"/>
    <d v="2023-11-01T00:00:00"/>
    <d v="2023-11-30T00:00:00"/>
    <x v="10"/>
    <d v="2023-12-31T00:00:00"/>
    <s v="Ontime"/>
    <s v="12.Desember"/>
    <n v="0.76"/>
    <n v="1.9"/>
    <n v="26752"/>
    <n v="66880"/>
    <s v="FOB"/>
    <x v="0"/>
    <x v="2"/>
    <n v="22"/>
    <n v="18593.5"/>
  </r>
  <r>
    <m/>
    <x v="6"/>
    <x v="19"/>
    <s v="PROJECTION"/>
    <x v="1"/>
    <n v="32000"/>
    <d v="2023-12-01T00:00:00"/>
    <d v="2023-12-31T00:00:00"/>
    <x v="11"/>
    <d v="2024-01-31T00:00:00"/>
    <s v="Ontime"/>
    <s v="1.January"/>
    <n v="0.76"/>
    <n v="1.9"/>
    <n v="24320"/>
    <n v="60800"/>
    <s v="FOB"/>
    <x v="0"/>
    <x v="2"/>
    <n v="20"/>
    <n v="18593.5"/>
  </r>
  <r>
    <m/>
    <x v="6"/>
    <x v="20"/>
    <s v="EY1019TW"/>
    <x v="3"/>
    <n v="8160"/>
    <d v="2023-01-02T00:00:00"/>
    <d v="2023-01-23T00:00:00"/>
    <x v="0"/>
    <d v="2023-01-13T00:00:00"/>
    <s v="Delay"/>
    <s v="1.January"/>
    <n v="0.74"/>
    <n v="2.0449999999999999"/>
    <n v="6038.4"/>
    <n v="16687.2"/>
    <s v="FOB"/>
    <x v="0"/>
    <x v="2"/>
    <n v="16"/>
    <n v="13343.636363636364"/>
  </r>
  <r>
    <m/>
    <x v="6"/>
    <x v="29"/>
    <s v="MZA-SPARTA 2-XX-MIX"/>
    <x v="3"/>
    <n v="475"/>
    <d v="2023-01-24T00:00:00"/>
    <d v="2023-01-24T00:00:00"/>
    <x v="0"/>
    <d v="2022-10-18T00:00:00"/>
    <s v="Delay"/>
    <s v="10.October"/>
    <n v="1.45"/>
    <n v="4.7"/>
    <n v="688.75"/>
    <n v="2232.5"/>
    <s v="FOB"/>
    <x v="0"/>
    <x v="2"/>
    <n v="1"/>
    <n v="833.97727272727275"/>
  </r>
  <r>
    <m/>
    <x v="6"/>
    <x v="0"/>
    <s v="155-73"/>
    <x v="3"/>
    <n v="1161"/>
    <d v="2023-01-25T00:00:00"/>
    <d v="2023-01-26T00:00:00"/>
    <x v="0"/>
    <d v="2023-01-27T00:00:00"/>
    <s v="Ontime"/>
    <s v="1.January"/>
    <n v="1.49"/>
    <n v="1.6"/>
    <n v="1729.89"/>
    <n v="1857.6000000000001"/>
    <s v="CMTP"/>
    <x v="0"/>
    <x v="2"/>
    <n v="2"/>
    <n v="1667.9545454545455"/>
  </r>
  <r>
    <m/>
    <x v="6"/>
    <x v="29"/>
    <s v="MZA-SPARTA 1-XX-MIX"/>
    <x v="3"/>
    <n v="2006"/>
    <d v="2023-01-27T00:00:00"/>
    <d v="2023-01-27T00:00:00"/>
    <x v="0"/>
    <d v="2023-01-31T00:00:00"/>
    <s v="Ontime"/>
    <s v="1.January"/>
    <n v="0.74"/>
    <n v="4.7"/>
    <n v="1484.44"/>
    <n v="9428.2000000000007"/>
    <s v="FOB"/>
    <x v="0"/>
    <x v="2"/>
    <n v="1"/>
    <n v="833.97727272727275"/>
  </r>
  <r>
    <m/>
    <x v="6"/>
    <x v="0"/>
    <s v="155-85"/>
    <x v="3"/>
    <n v="855"/>
    <d v="2023-01-30T00:00:00"/>
    <d v="2023-01-31T00:00:00"/>
    <x v="0"/>
    <d v="2023-02-03T00:00:00"/>
    <s v="Ontime"/>
    <s v="2.February"/>
    <n v="1.49"/>
    <n v="1.6"/>
    <n v="1273.95"/>
    <n v="1368"/>
    <s v="CMTP"/>
    <x v="0"/>
    <x v="2"/>
    <n v="2"/>
    <n v="1667.9545454545455"/>
  </r>
  <r>
    <m/>
    <x v="6"/>
    <x v="0"/>
    <s v="155-98"/>
    <x v="3"/>
    <n v="2198"/>
    <d v="2023-02-01T00:00:00"/>
    <d v="2023-02-07T00:00:00"/>
    <x v="1"/>
    <d v="2023-02-24T00:00:00"/>
    <s v="Ontime"/>
    <s v="2.February"/>
    <n v="1.49"/>
    <n v="1.6"/>
    <n v="3275.02"/>
    <n v="3516.8"/>
    <s v="CMTP"/>
    <x v="0"/>
    <x v="2"/>
    <n v="5"/>
    <n v="4586.875"/>
  </r>
  <r>
    <m/>
    <x v="6"/>
    <x v="0"/>
    <s v="155-95"/>
    <x v="3"/>
    <n v="955"/>
    <d v="2023-02-08T00:00:00"/>
    <d v="2023-02-09T00:00:00"/>
    <x v="1"/>
    <d v="2023-02-17T00:00:00"/>
    <s v="Ontime"/>
    <s v="2.February"/>
    <n v="1.49"/>
    <n v="1.6"/>
    <n v="1422.95"/>
    <n v="1528"/>
    <s v="CMTP"/>
    <x v="0"/>
    <x v="2"/>
    <n v="2"/>
    <n v="1834.75"/>
  </r>
  <r>
    <m/>
    <x v="6"/>
    <x v="0"/>
    <s v="155-98"/>
    <x v="3"/>
    <n v="3800"/>
    <d v="2023-02-10T00:00:00"/>
    <d v="2023-02-22T00:00:00"/>
    <x v="1"/>
    <d v="2023-02-24T00:00:00"/>
    <s v="Ontime"/>
    <s v="2.February"/>
    <n v="1.49"/>
    <n v="1.6"/>
    <n v="5662"/>
    <n v="6080"/>
    <s v="CMTP"/>
    <x v="0"/>
    <x v="2"/>
    <n v="9"/>
    <n v="8256.375"/>
  </r>
  <r>
    <m/>
    <x v="6"/>
    <x v="0"/>
    <s v="154-92"/>
    <x v="3"/>
    <n v="1310"/>
    <d v="2023-02-23T00:00:00"/>
    <d v="2023-02-27T00:00:00"/>
    <x v="1"/>
    <n v="44995"/>
    <s v="Ontime"/>
    <s v="3.March"/>
    <n v="1.49"/>
    <n v="1.6"/>
    <n v="1951.9"/>
    <n v="2096"/>
    <s v="CMTP"/>
    <x v="0"/>
    <x v="2"/>
    <n v="3"/>
    <n v="2752.125"/>
  </r>
  <r>
    <m/>
    <x v="6"/>
    <x v="0"/>
    <s v="155-78"/>
    <x v="3"/>
    <n v="1170"/>
    <d v="2023-02-28T00:00:00"/>
    <d v="2023-02-28T00:00:00"/>
    <x v="1"/>
    <d v="2023-03-03T00:00:00"/>
    <s v="Ontime"/>
    <s v="3.March"/>
    <n v="1.49"/>
    <n v="1.6"/>
    <n v="1743.3"/>
    <n v="1872"/>
    <s v="CMTP"/>
    <x v="0"/>
    <x v="2"/>
    <n v="1"/>
    <n v="917.375"/>
  </r>
  <r>
    <m/>
    <x v="6"/>
    <x v="0"/>
    <s v="155-95"/>
    <x v="3"/>
    <n v="800"/>
    <d v="2023-03-01T00:00:00"/>
    <d v="2023-03-01T00:00:00"/>
    <x v="2"/>
    <d v="2023-03-03T00:00:00"/>
    <s v="Ontime"/>
    <s v="3.March"/>
    <n v="1.49"/>
    <n v="1.6"/>
    <n v="1192"/>
    <n v="1280"/>
    <s v="CMTP"/>
    <x v="0"/>
    <x v="2"/>
    <n v="1"/>
    <n v="833.97727272727275"/>
  </r>
  <r>
    <m/>
    <x v="6"/>
    <x v="0"/>
    <s v="155-71"/>
    <x v="3"/>
    <n v="300"/>
    <d v="2023-03-02T00:00:00"/>
    <d v="2023-03-02T00:00:00"/>
    <x v="2"/>
    <d v="2023-03-10T00:00:00"/>
    <s v="Ontime"/>
    <s v="3.March"/>
    <n v="1.49"/>
    <n v="1.6"/>
    <n v="447"/>
    <n v="480"/>
    <s v="CMTP"/>
    <x v="0"/>
    <x v="2"/>
    <n v="1"/>
    <n v="833.97727272727275"/>
  </r>
  <r>
    <m/>
    <x v="6"/>
    <x v="0"/>
    <s v="155-83"/>
    <x v="3"/>
    <n v="920"/>
    <d v="2023-03-03T00:00:00"/>
    <d v="2023-03-07T00:00:00"/>
    <x v="2"/>
    <d v="2023-03-10T00:00:00"/>
    <s v="Ontime"/>
    <s v="3.March"/>
    <n v="1.49"/>
    <n v="1.6"/>
    <n v="1370.8"/>
    <n v="1472"/>
    <s v="CMTP"/>
    <x v="0"/>
    <x v="2"/>
    <n v="3"/>
    <n v="2501.931818181818"/>
  </r>
  <r>
    <m/>
    <x v="6"/>
    <x v="0"/>
    <s v="155-85"/>
    <x v="3"/>
    <n v="810"/>
    <d v="2023-03-08T00:00:00"/>
    <d v="2023-03-09T00:00:00"/>
    <x v="2"/>
    <d v="2023-03-17T00:00:00"/>
    <s v="Ontime"/>
    <s v="3.March"/>
    <n v="1.49"/>
    <n v="1.6"/>
    <n v="1206.9000000000001"/>
    <n v="1296"/>
    <s v="CMTP"/>
    <x v="0"/>
    <x v="2"/>
    <n v="2"/>
    <n v="1667.9545454545455"/>
  </r>
  <r>
    <m/>
    <x v="6"/>
    <x v="0"/>
    <s v="155-99"/>
    <x v="3"/>
    <n v="1025"/>
    <d v="2023-03-10T00:00:00"/>
    <d v="2023-03-14T00:00:00"/>
    <x v="2"/>
    <d v="2023-03-17T00:00:00"/>
    <s v="Ontime"/>
    <s v="3.March"/>
    <n v="1.49"/>
    <n v="1.6"/>
    <n v="1527.25"/>
    <n v="1640"/>
    <s v="CMTP"/>
    <x v="0"/>
    <x v="2"/>
    <n v="3"/>
    <n v="2501.931818181818"/>
  </r>
  <r>
    <m/>
    <x v="6"/>
    <x v="19"/>
    <s v="PO#0146219"/>
    <x v="3"/>
    <n v="5184"/>
    <d v="2023-03-15T00:00:00"/>
    <d v="2023-03-23T00:00:00"/>
    <x v="2"/>
    <d v="2023-05-01T00:00:00"/>
    <s v="Ontime"/>
    <s v="4.April"/>
    <n v="0.57333333333333336"/>
    <n v="1.72"/>
    <n v="2972.1600000000003"/>
    <n v="8916.48"/>
    <s v="FOB"/>
    <x v="0"/>
    <x v="2"/>
    <n v="6"/>
    <n v="5003.863636363636"/>
  </r>
  <r>
    <m/>
    <x v="6"/>
    <x v="19"/>
    <s v="PO#0146248"/>
    <x v="3"/>
    <n v="7128"/>
    <d v="2023-03-24T00:00:00"/>
    <d v="2023-03-31T00:00:00"/>
    <x v="2"/>
    <d v="2023-05-01T00:00:00"/>
    <s v="Ontime"/>
    <s v="4.April"/>
    <n v="0.43"/>
    <n v="1.72"/>
    <n v="3065.04"/>
    <n v="12260.16"/>
    <s v="FOB"/>
    <x v="0"/>
    <x v="2"/>
    <n v="6"/>
    <n v="5003.863636363636"/>
  </r>
  <r>
    <m/>
    <x v="6"/>
    <x v="19"/>
    <s v="PO#0146331"/>
    <x v="3"/>
    <n v="5454"/>
    <d v="2023-04-03T00:00:00"/>
    <d v="2023-04-10T00:00:00"/>
    <x v="3"/>
    <d v="2023-05-31T00:00:00"/>
    <s v="Ontime"/>
    <s v="5.May"/>
    <n v="0.57333333333333336"/>
    <n v="1.72"/>
    <n v="3126.96"/>
    <n v="9380.8799999999992"/>
    <s v="FOB"/>
    <x v="0"/>
    <x v="2"/>
    <n v="5"/>
    <n v="6115.8333333333339"/>
  </r>
  <r>
    <m/>
    <x v="6"/>
    <x v="19"/>
    <s v="PO#0146331"/>
    <x v="3"/>
    <n v="19764"/>
    <d v="2023-04-11T00:00:00"/>
    <d v="2023-04-24T00:00:00"/>
    <x v="3"/>
    <d v="2023-05-31T00:00:00"/>
    <s v="Ontime"/>
    <s v="5.May"/>
    <n v="0.57333333333333336"/>
    <n v="1.72"/>
    <n v="11331.36"/>
    <n v="33994.080000000002"/>
    <s v="FOB"/>
    <x v="0"/>
    <x v="2"/>
    <n v="7"/>
    <n v="8562.1666666666679"/>
  </r>
  <r>
    <m/>
    <x v="6"/>
    <x v="19"/>
    <s v="PROJECTION"/>
    <x v="3"/>
    <n v="5400"/>
    <d v="2023-04-25T00:00:00"/>
    <d v="2023-04-28T00:00:00"/>
    <x v="3"/>
    <d v="2023-05-31T00:00:00"/>
    <s v="Ontime"/>
    <s v="5.May"/>
    <n v="0.57333333333333336"/>
    <n v="1.72"/>
    <n v="3096"/>
    <n v="9288"/>
    <s v="FOB"/>
    <x v="0"/>
    <x v="2"/>
    <n v="3"/>
    <n v="3669.5"/>
  </r>
  <r>
    <m/>
    <x v="6"/>
    <x v="19"/>
    <s v="PROJECTION"/>
    <x v="3"/>
    <n v="37800"/>
    <d v="2023-05-02T00:00:00"/>
    <d v="2023-05-31T00:00:00"/>
    <x v="4"/>
    <s v="6/31/2023"/>
    <s v="Ontime"/>
    <s v="6.Juni"/>
    <n v="0.76"/>
    <n v="1.9"/>
    <n v="28728"/>
    <n v="71820"/>
    <s v="FOB"/>
    <x v="0"/>
    <x v="2"/>
    <n v="21"/>
    <n v="18347.5"/>
  </r>
  <r>
    <m/>
    <x v="6"/>
    <x v="19"/>
    <s v="PROJECTION"/>
    <x v="3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30"/>
    <s v="BIKE Uderwear"/>
    <x v="3"/>
    <n v="30000"/>
    <d v="2023-07-03T00:00:00"/>
    <d v="2023-07-24T00:00:00"/>
    <x v="6"/>
    <d v="2023-08-31T00:00:00"/>
    <s v="Ontime"/>
    <s v="8.agustus"/>
    <n v="0.69"/>
    <n v="2.25"/>
    <n v="20700"/>
    <n v="67500"/>
    <s v="FOB"/>
    <x v="0"/>
    <x v="2"/>
    <n v="15"/>
    <n v="13945.125"/>
  </r>
  <r>
    <m/>
    <x v="6"/>
    <x v="19"/>
    <s v="PROJECTION"/>
    <x v="3"/>
    <n v="9000"/>
    <d v="2023-08-25T00:00:00"/>
    <d v="2023-08-31T00:00:00"/>
    <x v="6"/>
    <s v="9/31/2023"/>
    <s v="Ontime"/>
    <s v="8.agustus"/>
    <n v="0.76"/>
    <n v="1.9"/>
    <n v="6840"/>
    <n v="17100"/>
    <s v="FOB"/>
    <x v="0"/>
    <x v="2"/>
    <n v="5"/>
    <n v="4648.375"/>
  </r>
  <r>
    <m/>
    <x v="6"/>
    <x v="19"/>
    <s v="PROJECTION"/>
    <x v="3"/>
    <n v="35200"/>
    <d v="2023-08-01T00:00:00"/>
    <d v="2023-08-31T00:00:00"/>
    <x v="7"/>
    <s v="9/31/2023"/>
    <s v="Ontime"/>
    <s v="9.September"/>
    <n v="0.76"/>
    <n v="1.9"/>
    <n v="26752"/>
    <n v="66880"/>
    <s v="FOB"/>
    <x v="0"/>
    <x v="2"/>
    <n v="22"/>
    <n v="18593.5"/>
  </r>
  <r>
    <m/>
    <x v="6"/>
    <x v="31"/>
    <s v="PROJECTION"/>
    <x v="3"/>
    <n v="15000"/>
    <d v="2023-09-01T00:00:00"/>
    <d v="2023-09-12T00:00:00"/>
    <x v="8"/>
    <d v="2023-10-31T00:00:00"/>
    <s v="Ontime"/>
    <s v="10.Oktober"/>
    <n v="0.6"/>
    <n v="1.64"/>
    <n v="9000"/>
    <n v="24600"/>
    <s v="FOB"/>
    <x v="0"/>
    <x v="2"/>
    <n v="8"/>
    <n v="7437.4"/>
  </r>
  <r>
    <m/>
    <x v="6"/>
    <x v="19"/>
    <s v="PROJECTION"/>
    <x v="3"/>
    <n v="19200"/>
    <d v="2023-09-13T00:00:00"/>
    <d v="2023-09-30T00:00:00"/>
    <x v="8"/>
    <d v="2023-10-31T00:00:00"/>
    <s v="Ontime"/>
    <s v="10.Oktober"/>
    <n v="0.76"/>
    <n v="1.64"/>
    <n v="14592"/>
    <n v="31487.999999999996"/>
    <s v="FOB"/>
    <x v="0"/>
    <x v="2"/>
    <n v="12"/>
    <n v="11156.099999999999"/>
  </r>
  <r>
    <m/>
    <x v="6"/>
    <x v="19"/>
    <s v="PROJECTION"/>
    <x v="3"/>
    <n v="35200"/>
    <d v="2023-10-01T00:00:00"/>
    <d v="2023-10-31T00:00:00"/>
    <x v="9"/>
    <s v="11/31/2023"/>
    <s v="Ontime"/>
    <s v="11.November"/>
    <n v="0.76"/>
    <n v="1.9"/>
    <n v="26752"/>
    <n v="66880"/>
    <s v="FOB"/>
    <x v="0"/>
    <x v="2"/>
    <n v="22"/>
    <n v="18593.5"/>
  </r>
  <r>
    <m/>
    <x v="6"/>
    <x v="19"/>
    <s v="PROJECTION"/>
    <x v="3"/>
    <n v="35200"/>
    <d v="2023-11-01T00:00:00"/>
    <d v="2023-11-30T00:00:00"/>
    <x v="10"/>
    <d v="2023-12-31T00:00:00"/>
    <s v="Ontime"/>
    <s v="12.Desember"/>
    <n v="0.76"/>
    <n v="1.9"/>
    <n v="26752"/>
    <n v="66880"/>
    <s v="FOB"/>
    <x v="0"/>
    <x v="2"/>
    <n v="22"/>
    <n v="18593.5"/>
  </r>
  <r>
    <m/>
    <x v="6"/>
    <x v="19"/>
    <s v="PROJECTION"/>
    <x v="3"/>
    <n v="32000"/>
    <d v="2023-12-01T00:00:00"/>
    <d v="2023-12-31T00:00:00"/>
    <x v="11"/>
    <d v="2024-01-31T00:00:00"/>
    <s v="Ontime"/>
    <s v="1.January"/>
    <n v="0.76"/>
    <n v="1.9"/>
    <n v="24320"/>
    <n v="60800"/>
    <s v="FOB"/>
    <x v="0"/>
    <x v="2"/>
    <n v="20"/>
    <n v="18593.5"/>
  </r>
  <r>
    <m/>
    <x v="6"/>
    <x v="32"/>
    <s v="AZ-717"/>
    <x v="10"/>
    <n v="722"/>
    <d v="2023-01-02T00:00:00"/>
    <d v="2023-01-03T00:00:00"/>
    <x v="0"/>
    <n v="44832"/>
    <s v="Delay"/>
    <s v="9.September"/>
    <n v="1.28"/>
    <n v="2.8544"/>
    <n v="924.16"/>
    <n v="2060.8768"/>
    <s v="FOB"/>
    <x v="0"/>
    <x v="2"/>
    <n v="2"/>
    <n v="1667.9545454545455"/>
  </r>
  <r>
    <m/>
    <x v="6"/>
    <x v="20"/>
    <s v="EY1019TW"/>
    <x v="10"/>
    <n v="7540"/>
    <d v="2023-01-04T00:00:00"/>
    <d v="2023-01-14T00:00:00"/>
    <x v="0"/>
    <n v="44939"/>
    <s v="Delay"/>
    <s v="1.January"/>
    <n v="1.45"/>
    <n v="2.0449999999999999"/>
    <n v="10933"/>
    <n v="15419.3"/>
    <s v="FOB"/>
    <x v="0"/>
    <x v="2"/>
    <n v="8"/>
    <n v="6671.818181818182"/>
  </r>
  <r>
    <m/>
    <x v="6"/>
    <x v="19"/>
    <n v="5156852"/>
    <x v="10"/>
    <n v="1037"/>
    <d v="2023-01-15T00:00:00"/>
    <d v="2023-01-19T00:00:00"/>
    <x v="0"/>
    <d v="2023-02-10T00:00:00"/>
    <s v="Ontime"/>
    <s v="2.February"/>
    <n v="0.82"/>
    <n v="2.5499999999999998"/>
    <n v="850.33999999999992"/>
    <n v="2644.35"/>
    <s v="FOB"/>
    <x v="0"/>
    <x v="2"/>
    <n v="4"/>
    <n v="3335.909090909091"/>
  </r>
  <r>
    <m/>
    <x v="6"/>
    <x v="19"/>
    <n v="5156850"/>
    <x v="10"/>
    <n v="2206"/>
    <d v="2023-01-20T00:00:00"/>
    <d v="2023-01-31T00:00:00"/>
    <x v="0"/>
    <d v="2023-02-17T00:00:00"/>
    <s v="Ontime"/>
    <s v="2.February"/>
    <n v="0.8"/>
    <n v="2.1549999999999998"/>
    <n v="1764.8000000000002"/>
    <n v="4753.9299999999994"/>
    <s v="FOB"/>
    <x v="0"/>
    <x v="2"/>
    <n v="8"/>
    <n v="6671.818181818182"/>
  </r>
  <r>
    <m/>
    <x v="6"/>
    <x v="19"/>
    <n v="5156850"/>
    <x v="10"/>
    <n v="2881"/>
    <d v="2023-02-01T00:00:00"/>
    <d v="2023-02-06T00:00:00"/>
    <x v="1"/>
    <d v="2023-02-17T00:00:00"/>
    <s v="Ontime"/>
    <s v="2.February"/>
    <n v="0.8"/>
    <n v="2.1549999999999998"/>
    <n v="2304.8000000000002"/>
    <n v="6208.5549999999994"/>
    <s v="FOB"/>
    <x v="0"/>
    <x v="2"/>
    <n v="4"/>
    <n v="3669.5"/>
  </r>
  <r>
    <m/>
    <x v="6"/>
    <x v="19"/>
    <s v="5156850XXL"/>
    <x v="10"/>
    <n v="1224"/>
    <d v="2023-02-07T00:00:00"/>
    <d v="2023-02-08T00:00:00"/>
    <x v="1"/>
    <d v="2023-02-17T00:00:00"/>
    <s v="Ontime"/>
    <s v="2.February"/>
    <n v="0.72"/>
    <n v="2.3125"/>
    <n v="881.28"/>
    <n v="2830.5"/>
    <s v="FOB"/>
    <x v="0"/>
    <x v="2"/>
    <n v="2"/>
    <n v="1834.75"/>
  </r>
  <r>
    <m/>
    <x v="6"/>
    <x v="20"/>
    <s v="EY1019TW"/>
    <x v="10"/>
    <n v="7147"/>
    <d v="2023-02-09T00:00:00"/>
    <d v="2023-02-14T00:00:00"/>
    <x v="1"/>
    <d v="2023-04-13T00:00:00"/>
    <s v="Ontime"/>
    <s v="4.April"/>
    <n v="1.45"/>
    <n v="2.0449999999999999"/>
    <n v="10363.15"/>
    <n v="14615.615"/>
    <s v="FOB"/>
    <x v="0"/>
    <x v="2"/>
    <n v="4"/>
    <n v="3669.5"/>
  </r>
  <r>
    <m/>
    <x v="6"/>
    <x v="19"/>
    <n v="5156851"/>
    <x v="10"/>
    <n v="6547"/>
    <d v="2023-02-15T00:00:00"/>
    <d v="2023-02-17T00:00:00"/>
    <x v="1"/>
    <d v="2023-02-17T00:00:00"/>
    <s v="Ontime"/>
    <s v="2.February"/>
    <n v="0.79"/>
    <n v="2.1524999999999999"/>
    <n v="5172.13"/>
    <n v="14092.4175"/>
    <s v="FOB"/>
    <x v="0"/>
    <x v="2"/>
    <n v="3"/>
    <n v="2752.125"/>
  </r>
  <r>
    <m/>
    <x v="6"/>
    <x v="19"/>
    <n v="5156872"/>
    <x v="10"/>
    <n v="7695"/>
    <d v="2023-02-20T00:00:00"/>
    <d v="2023-02-24T00:00:00"/>
    <x v="1"/>
    <d v="2023-03-10T00:00:00"/>
    <s v="Ontime"/>
    <s v="3.March"/>
    <n v="0.8"/>
    <n v="2.1549999999999998"/>
    <n v="6156"/>
    <n v="16582.724999999999"/>
    <s v="FOB"/>
    <x v="0"/>
    <x v="2"/>
    <n v="5"/>
    <n v="4586.875"/>
  </r>
  <r>
    <m/>
    <x v="6"/>
    <x v="21"/>
    <s v="M5156849"/>
    <x v="10"/>
    <n v="951"/>
    <d v="2023-02-27T00:00:00"/>
    <d v="2023-02-27T00:00:00"/>
    <x v="1"/>
    <d v="2023-02-15T00:00:00"/>
    <s v="Ontime"/>
    <s v="2.February"/>
    <n v="1.75"/>
    <n v="8.8699999999999992"/>
    <n v="1664.25"/>
    <n v="8435.369999999999"/>
    <s v="FOB"/>
    <x v="0"/>
    <x v="2"/>
    <n v="1"/>
    <n v="917.375"/>
  </r>
  <r>
    <m/>
    <x v="6"/>
    <x v="19"/>
    <s v="5156872XXL"/>
    <x v="10"/>
    <n v="5256"/>
    <d v="2023-02-28T00:00:00"/>
    <d v="2023-02-28T00:00:00"/>
    <x v="1"/>
    <d v="2023-03-10T00:00:00"/>
    <s v="Ontime"/>
    <s v="3.March"/>
    <n v="0.72"/>
    <n v="2.3125"/>
    <n v="3784.3199999999997"/>
    <n v="12154.5"/>
    <s v="FOB"/>
    <x v="0"/>
    <x v="2"/>
    <n v="1"/>
    <n v="917.375"/>
  </r>
  <r>
    <m/>
    <x v="6"/>
    <x v="19"/>
    <n v="5156864"/>
    <x v="10"/>
    <n v="4585"/>
    <d v="2023-03-01T00:00:00"/>
    <d v="2023-03-03T00:00:00"/>
    <x v="2"/>
    <d v="2023-02-10T00:00:00"/>
    <s v="Delay"/>
    <s v="2.February"/>
    <n v="0.79"/>
    <n v="2.1524999999999999"/>
    <n v="3622.15"/>
    <n v="9869.2124999999996"/>
    <s v="FOB"/>
    <x v="0"/>
    <x v="2"/>
    <n v="3"/>
    <n v="2501.931818181818"/>
  </r>
  <r>
    <m/>
    <x v="6"/>
    <x v="19"/>
    <n v="5156868"/>
    <x v="10"/>
    <n v="6696"/>
    <d v="2023-03-06T00:00:00"/>
    <d v="2023-03-09T00:00:00"/>
    <x v="2"/>
    <d v="2023-03-10T00:00:00"/>
    <s v="Ontime"/>
    <s v="3.March"/>
    <n v="0.8"/>
    <n v="2.1549999999999998"/>
    <n v="5356.8"/>
    <n v="14429.88"/>
    <s v="FOB"/>
    <x v="0"/>
    <x v="2"/>
    <n v="4"/>
    <n v="3335.909090909091"/>
  </r>
  <r>
    <m/>
    <x v="6"/>
    <x v="19"/>
    <s v="GC3032"/>
    <x v="10"/>
    <n v="1080"/>
    <d v="2023-03-10T00:00:00"/>
    <d v="2023-03-10T00:00:00"/>
    <x v="2"/>
    <d v="2023-03-10T00:00:00"/>
    <s v="Ontime"/>
    <s v="3.March"/>
    <n v="0.88"/>
    <n v="1.7633333333333334"/>
    <n v="950.4"/>
    <n v="1904.4"/>
    <s v="FOB"/>
    <x v="0"/>
    <x v="2"/>
    <n v="1"/>
    <n v="833.97727272727275"/>
  </r>
  <r>
    <m/>
    <x v="6"/>
    <x v="19"/>
    <n v="5156849"/>
    <x v="10"/>
    <n v="1512"/>
    <d v="2023-03-13T00:00:00"/>
    <d v="2023-03-13T00:00:00"/>
    <x v="2"/>
    <d v="2023-03-10T00:00:00"/>
    <s v="Ontime"/>
    <s v="3.March"/>
    <n v="0.79"/>
    <n v="2.42"/>
    <n v="1194.48"/>
    <n v="3659.04"/>
    <s v="FOB"/>
    <x v="0"/>
    <x v="2"/>
    <n v="1"/>
    <n v="833.97727272727275"/>
  </r>
  <r>
    <m/>
    <x v="6"/>
    <x v="19"/>
    <s v="PO#0146219"/>
    <x v="10"/>
    <n v="2124"/>
    <d v="2023-03-14T00:00:00"/>
    <d v="2023-03-15T00:00:00"/>
    <x v="2"/>
    <d v="2023-04-14T00:00:00"/>
    <s v="Ontime"/>
    <s v="4.April"/>
    <n v="0.79"/>
    <n v="2.42"/>
    <n v="1677.96"/>
    <n v="5140.08"/>
    <s v="FOB"/>
    <x v="0"/>
    <x v="2"/>
    <n v="2"/>
    <n v="1667.9545454545455"/>
  </r>
  <r>
    <m/>
    <x v="6"/>
    <x v="19"/>
    <s v="PO#0146219"/>
    <x v="10"/>
    <n v="4131"/>
    <d v="2023-03-16T00:00:00"/>
    <d v="2023-03-20T00:00:00"/>
    <x v="2"/>
    <d v="2023-04-14T00:00:00"/>
    <s v="Ontime"/>
    <s v="4.April"/>
    <n v="0.57111111111111101"/>
    <n v="1.7133333333333332"/>
    <n v="2359.2599999999998"/>
    <n v="7077.7799999999988"/>
    <s v="FOB"/>
    <x v="0"/>
    <x v="2"/>
    <n v="3"/>
    <n v="2501.931818181818"/>
  </r>
  <r>
    <m/>
    <x v="6"/>
    <x v="19"/>
    <s v="PO#0146220"/>
    <x v="10"/>
    <n v="15876"/>
    <d v="2023-03-21T00:00:00"/>
    <d v="2023-03-31T00:00:00"/>
    <x v="2"/>
    <d v="2023-04-14T00:00:00"/>
    <s v="Ontime"/>
    <s v="4.April"/>
    <n v="0.43166666666666664"/>
    <n v="1.7266666666666666"/>
    <n v="6853.1399999999994"/>
    <n v="27412.559999999998"/>
    <s v="FOB"/>
    <x v="0"/>
    <x v="2"/>
    <n v="8"/>
    <n v="6671.818181818182"/>
  </r>
  <r>
    <m/>
    <x v="6"/>
    <x v="19"/>
    <s v="PO#0146329"/>
    <x v="10"/>
    <n v="23634"/>
    <d v="2023-04-03T00:00:00"/>
    <d v="2023-04-20T00:00:00"/>
    <x v="3"/>
    <d v="2023-05-31T00:00:00"/>
    <s v="Ontime"/>
    <s v="5.May"/>
    <n v="1.57"/>
    <n v="2.0966666666666667"/>
    <n v="37105.380000000005"/>
    <n v="49552.62"/>
    <s v="FOB"/>
    <x v="0"/>
    <x v="2"/>
    <n v="12"/>
    <n v="14678"/>
  </r>
  <r>
    <m/>
    <x v="6"/>
    <x v="19"/>
    <s v="PO#0146332"/>
    <x v="10"/>
    <n v="12000"/>
    <d v="2023-04-21T00:00:00"/>
    <d v="2023-04-28T00:00:00"/>
    <x v="3"/>
    <d v="2023-05-31T00:00:00"/>
    <s v="Ontime"/>
    <s v="5.May"/>
    <n v="0.73"/>
    <n v="2.0966666666666667"/>
    <n v="8760"/>
    <n v="25160"/>
    <s v="FOB"/>
    <x v="0"/>
    <x v="2"/>
    <n v="3"/>
    <n v="3669.5"/>
  </r>
  <r>
    <m/>
    <x v="6"/>
    <x v="19"/>
    <s v="PO#0146332"/>
    <x v="10"/>
    <n v="13542"/>
    <d v="2023-05-02T00:00:00"/>
    <d v="2023-05-09T00:00:00"/>
    <x v="4"/>
    <s v="6/31/2023"/>
    <s v="Ontime"/>
    <s v="6.Juni"/>
    <n v="0.73"/>
    <n v="2.0966666666666667"/>
    <n v="9885.66"/>
    <n v="28393.06"/>
    <s v="FOB"/>
    <x v="0"/>
    <x v="2"/>
    <n v="6"/>
    <n v="5242.1428571428569"/>
  </r>
  <r>
    <m/>
    <x v="6"/>
    <x v="19"/>
    <s v="PROJECTION"/>
    <x v="10"/>
    <n v="27000"/>
    <d v="2023-05-10T00:00:00"/>
    <d v="2023-05-31T00:00:00"/>
    <x v="4"/>
    <s v="6/31/2023"/>
    <s v="Ontime"/>
    <s v="6.Juni"/>
    <n v="0.57999999999999996"/>
    <n v="1.64"/>
    <n v="15659.999999999998"/>
    <n v="44280"/>
    <s v="FOB"/>
    <x v="0"/>
    <x v="2"/>
    <n v="15"/>
    <n v="13105.357142857141"/>
  </r>
  <r>
    <m/>
    <x v="6"/>
    <x v="19"/>
    <s v="PROJECTION"/>
    <x v="10"/>
    <n v="36000"/>
    <d v="2023-06-02T00:00:00"/>
    <d v="2023-06-30T00:00:00"/>
    <x v="5"/>
    <n v="45138"/>
    <s v="Ontime"/>
    <s v="7.Juli"/>
    <n v="0.76"/>
    <n v="1.9"/>
    <n v="27360"/>
    <n v="68400"/>
    <s v="FOB"/>
    <x v="0"/>
    <x v="2"/>
    <n v="20"/>
    <n v="18347.5"/>
  </r>
  <r>
    <m/>
    <x v="6"/>
    <x v="19"/>
    <s v="PROJECTION"/>
    <x v="10"/>
    <n v="36000"/>
    <d v="2023-07-03T00:00:00"/>
    <d v="2023-07-31T00:00:00"/>
    <x v="6"/>
    <d v="2023-08-31T00:00:00"/>
    <s v="Ontime"/>
    <s v="8.agustus"/>
    <n v="0.76"/>
    <n v="1.9"/>
    <n v="27360"/>
    <n v="68400"/>
    <s v="FOB"/>
    <x v="0"/>
    <x v="2"/>
    <n v="20"/>
    <n v="18593.5"/>
  </r>
  <r>
    <m/>
    <x v="6"/>
    <x v="19"/>
    <s v="PROJECTION"/>
    <x v="10"/>
    <n v="39600"/>
    <d v="2023-08-01T00:00:00"/>
    <d v="2023-08-31T00:00:00"/>
    <x v="7"/>
    <s v="9/31/2023"/>
    <s v="Ontime"/>
    <s v="9.September"/>
    <n v="0.76"/>
    <n v="1.9"/>
    <n v="30096"/>
    <n v="75240"/>
    <s v="FOB"/>
    <x v="0"/>
    <x v="2"/>
    <n v="22"/>
    <n v="18593.5"/>
  </r>
  <r>
    <m/>
    <x v="6"/>
    <x v="19"/>
    <s v="PROJECTION"/>
    <x v="10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0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0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0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20"/>
    <s v="EY1019TW"/>
    <x v="11"/>
    <n v="7539"/>
    <d v="2023-01-02T00:00:00"/>
    <d v="2023-01-14T00:00:00"/>
    <x v="0"/>
    <d v="2023-01-13T00:00:00"/>
    <s v="Delay"/>
    <s v="1.January"/>
    <n v="1.45"/>
    <n v="8.18"/>
    <n v="10931.55"/>
    <n v="61669.02"/>
    <s v="FOB"/>
    <x v="0"/>
    <x v="2"/>
    <n v="10"/>
    <n v="8339.7727272727279"/>
  </r>
  <r>
    <m/>
    <x v="6"/>
    <x v="19"/>
    <n v="5156873"/>
    <x v="11"/>
    <n v="457"/>
    <d v="2023-01-16T00:00:00"/>
    <d v="2023-01-19T00:00:00"/>
    <x v="0"/>
    <d v="2023-02-17T00:00:00"/>
    <s v="Ontime"/>
    <s v="2.February"/>
    <n v="0.82"/>
    <n v="2.5499999999999998"/>
    <n v="374.73999999999995"/>
    <n v="1165.3499999999999"/>
    <s v="FOB"/>
    <x v="0"/>
    <x v="2"/>
    <n v="4"/>
    <n v="3335.909090909091"/>
  </r>
  <r>
    <m/>
    <x v="6"/>
    <x v="19"/>
    <n v="5156851"/>
    <x v="11"/>
    <n v="2900"/>
    <d v="2023-01-20T00:00:00"/>
    <d v="2023-01-31T00:00:00"/>
    <x v="0"/>
    <d v="2023-02-17T00:00:00"/>
    <s v="Ontime"/>
    <s v="2.February"/>
    <n v="0.79"/>
    <n v="2.1524999999999999"/>
    <n v="2291"/>
    <n v="6242.25"/>
    <s v="FOB"/>
    <x v="0"/>
    <x v="2"/>
    <n v="8"/>
    <n v="6671.818181818182"/>
  </r>
  <r>
    <m/>
    <x v="6"/>
    <x v="19"/>
    <n v="5156850"/>
    <x v="11"/>
    <n v="4048"/>
    <d v="2023-02-01T00:00:00"/>
    <d v="2023-02-06T00:00:00"/>
    <x v="1"/>
    <d v="2023-02-17T00:00:00"/>
    <s v="Ontime"/>
    <s v="2.February"/>
    <n v="0.79"/>
    <n v="2.1524999999999999"/>
    <n v="3197.92"/>
    <n v="8713.32"/>
    <s v="FOB"/>
    <x v="0"/>
    <x v="2"/>
    <n v="4"/>
    <n v="3669.5"/>
  </r>
  <r>
    <m/>
    <x v="6"/>
    <x v="19"/>
    <n v="5156852"/>
    <x v="11"/>
    <n v="1143"/>
    <d v="2023-02-07T00:00:00"/>
    <d v="2023-02-07T00:00:00"/>
    <x v="1"/>
    <d v="2023-02-10T00:00:00"/>
    <s v="Ontime"/>
    <s v="2.February"/>
    <n v="0.82"/>
    <n v="2.5499999999999998"/>
    <n v="937.26"/>
    <n v="2914.6499999999996"/>
    <s v="FOB"/>
    <x v="0"/>
    <x v="2"/>
    <n v="1"/>
    <n v="917.375"/>
  </r>
  <r>
    <m/>
    <x v="6"/>
    <x v="19"/>
    <n v="5156864"/>
    <x v="11"/>
    <n v="8445"/>
    <d v="2023-02-08T00:00:00"/>
    <d v="2023-02-14T00:00:00"/>
    <x v="1"/>
    <d v="2023-02-17T00:00:00"/>
    <s v="Ontime"/>
    <s v="2.February"/>
    <n v="0.79"/>
    <n v="2.1524999999999999"/>
    <n v="6671.55"/>
    <n v="18177.862499999999"/>
    <s v="FOB"/>
    <x v="0"/>
    <x v="2"/>
    <n v="5"/>
    <n v="4586.875"/>
  </r>
  <r>
    <m/>
    <x v="6"/>
    <x v="21"/>
    <s v="M5156849"/>
    <x v="11"/>
    <n v="951"/>
    <d v="2023-02-15T00:00:00"/>
    <d v="2023-02-15T00:00:00"/>
    <x v="1"/>
    <d v="2023-02-15T00:00:00"/>
    <s v="Ontime"/>
    <s v="2.February"/>
    <n v="1.75"/>
    <n v="8.8699999999999992"/>
    <n v="1664.25"/>
    <n v="8435.369999999999"/>
    <s v="FOB"/>
    <x v="0"/>
    <x v="2"/>
    <n v="1"/>
    <n v="917.375"/>
  </r>
  <r>
    <m/>
    <x v="6"/>
    <x v="19"/>
    <n v="5156872"/>
    <x v="11"/>
    <n v="6975"/>
    <d v="2023-02-16T00:00:00"/>
    <d v="2023-02-20T00:00:00"/>
    <x v="1"/>
    <d v="2023-03-10T00:00:00"/>
    <s v="Ontime"/>
    <s v="3.March"/>
    <n v="0.8"/>
    <n v="2.1549999999999998"/>
    <n v="5580"/>
    <n v="15031.124999999998"/>
    <s v="FOB"/>
    <x v="0"/>
    <x v="2"/>
    <n v="3"/>
    <n v="2752.125"/>
  </r>
  <r>
    <m/>
    <x v="6"/>
    <x v="19"/>
    <s v="5156850XXL"/>
    <x v="11"/>
    <n v="1273"/>
    <d v="2023-02-21T00:00:00"/>
    <d v="2023-02-21T00:00:00"/>
    <x v="1"/>
    <d v="2023-02-17T00:00:00"/>
    <s v="Ontime"/>
    <s v="2.February"/>
    <n v="0.72"/>
    <n v="2.3125"/>
    <n v="916.56"/>
    <n v="2943.8125"/>
    <s v="FOB"/>
    <x v="0"/>
    <x v="2"/>
    <n v="1"/>
    <n v="917.375"/>
  </r>
  <r>
    <m/>
    <x v="6"/>
    <x v="20"/>
    <s v="EY1019TW"/>
    <x v="11"/>
    <n v="7172"/>
    <d v="2023-02-22T00:00:00"/>
    <d v="2023-02-24T00:00:00"/>
    <x v="1"/>
    <d v="2023-04-13T00:00:00"/>
    <s v="Ontime"/>
    <s v="4.April"/>
    <n v="1.45"/>
    <n v="8.18"/>
    <n v="10399.4"/>
    <n v="58666.96"/>
    <s v="FOB"/>
    <x v="0"/>
    <x v="2"/>
    <n v="3"/>
    <n v="2752.125"/>
  </r>
  <r>
    <m/>
    <x v="6"/>
    <x v="19"/>
    <s v="5156864XXL"/>
    <x v="11"/>
    <n v="1224"/>
    <d v="2023-02-27T00:00:00"/>
    <d v="2023-02-27T00:00:00"/>
    <x v="1"/>
    <d v="2023-02-17T00:00:00"/>
    <s v="Ontime"/>
    <s v="2.February"/>
    <n v="0.72"/>
    <n v="2.31"/>
    <n v="881.28"/>
    <n v="2827.44"/>
    <s v="FOB"/>
    <x v="0"/>
    <x v="2"/>
    <n v="1"/>
    <n v="917.375"/>
  </r>
  <r>
    <m/>
    <x v="6"/>
    <x v="19"/>
    <s v="5156872XXL"/>
    <x v="11"/>
    <n v="1116"/>
    <d v="2023-02-28T00:00:00"/>
    <d v="2023-02-28T00:00:00"/>
    <x v="1"/>
    <d v="2023-03-10T00:00:00"/>
    <s v="Ontime"/>
    <s v="3.March"/>
    <n v="0.72"/>
    <n v="2.3125"/>
    <n v="803.52"/>
    <n v="2580.75"/>
    <s v="FOB"/>
    <x v="0"/>
    <x v="2"/>
    <n v="1"/>
    <n v="917.375"/>
  </r>
  <r>
    <m/>
    <x v="6"/>
    <x v="19"/>
    <n v="5156851"/>
    <x v="11"/>
    <n v="4140"/>
    <d v="2023-03-01T00:00:00"/>
    <d v="2023-03-03T00:00:00"/>
    <x v="2"/>
    <d v="2023-03-10T00:00:00"/>
    <s v="Ontime"/>
    <s v="3.March"/>
    <n v="0.79"/>
    <n v="2.1524999999999999"/>
    <n v="3270.6000000000004"/>
    <n v="8911.3499999999985"/>
    <s v="FOB"/>
    <x v="0"/>
    <x v="2"/>
    <n v="3"/>
    <n v="2501.931818181818"/>
  </r>
  <r>
    <m/>
    <x v="6"/>
    <x v="19"/>
    <n v="5156868"/>
    <x v="11"/>
    <n v="6696"/>
    <d v="2023-03-06T00:00:00"/>
    <d v="2023-03-15T00:00:00"/>
    <x v="2"/>
    <n v="44995"/>
    <s v="Ontime"/>
    <s v="3.March"/>
    <n v="0.8"/>
    <n v="2.1549999999999998"/>
    <n v="5356.8"/>
    <n v="14429.88"/>
    <s v="FOB"/>
    <x v="0"/>
    <x v="2"/>
    <n v="8"/>
    <n v="6671.818181818182"/>
  </r>
  <r>
    <m/>
    <x v="6"/>
    <x v="19"/>
    <s v="GC3032"/>
    <x v="11"/>
    <n v="1080"/>
    <d v="2023-03-16T00:00:00"/>
    <d v="2023-03-16T00:00:00"/>
    <x v="2"/>
    <n v="44995"/>
    <s v="Ontime"/>
    <s v="3.March"/>
    <n v="0.88"/>
    <n v="1.7633333333333334"/>
    <n v="950.4"/>
    <n v="1904.4"/>
    <s v="FOB"/>
    <x v="0"/>
    <x v="2"/>
    <n v="1"/>
    <n v="833.97727272727275"/>
  </r>
  <r>
    <m/>
    <x v="6"/>
    <x v="19"/>
    <n v="5156849"/>
    <x v="11"/>
    <n v="873"/>
    <d v="2023-03-17T00:00:00"/>
    <d v="2023-03-17T00:00:00"/>
    <x v="2"/>
    <d v="2023-03-10T00:00:00"/>
    <s v="Ontime"/>
    <s v="3.March"/>
    <n v="0.79"/>
    <n v="2.42"/>
    <n v="689.67000000000007"/>
    <n v="2112.66"/>
    <s v="FOB"/>
    <x v="0"/>
    <x v="2"/>
    <n v="1"/>
    <n v="833.97727272727275"/>
  </r>
  <r>
    <m/>
    <x v="6"/>
    <x v="19"/>
    <s v="5156851XXL"/>
    <x v="11"/>
    <n v="720"/>
    <d v="2023-03-20T00:00:00"/>
    <d v="2023-03-20T00:00:00"/>
    <x v="2"/>
    <d v="2023-03-10T00:00:00"/>
    <s v="Ontime"/>
    <s v="3.March"/>
    <n v="0.72"/>
    <n v="2.31"/>
    <n v="518.4"/>
    <n v="1663.2"/>
    <s v="FOB"/>
    <x v="0"/>
    <x v="2"/>
    <n v="1"/>
    <n v="833.97727272727275"/>
  </r>
  <r>
    <m/>
    <x v="6"/>
    <x v="19"/>
    <s v="PO#0146219"/>
    <x v="11"/>
    <n v="2124"/>
    <d v="2023-03-21T00:00:00"/>
    <d v="2023-03-23T00:00:00"/>
    <x v="2"/>
    <d v="2023-04-14T00:00:00"/>
    <s v="Ontime"/>
    <s v="4.April"/>
    <n v="0.79"/>
    <n v="2.42"/>
    <n v="1677.96"/>
    <n v="5140.08"/>
    <s v="FOB"/>
    <x v="0"/>
    <x v="2"/>
    <n v="2"/>
    <n v="1667.9545454545455"/>
  </r>
  <r>
    <m/>
    <x v="6"/>
    <x v="19"/>
    <s v="PO#0146219"/>
    <x v="11"/>
    <n v="4131"/>
    <d v="2023-03-24T00:00:00"/>
    <d v="2023-03-28T00:00:00"/>
    <x v="2"/>
    <d v="2023-04-14T00:00:00"/>
    <s v="Ontime"/>
    <s v="4.April"/>
    <n v="0.57111111111111101"/>
    <n v="1.7133333333333332"/>
    <n v="2359.2599999999998"/>
    <n v="7077.7799999999988"/>
    <s v="FOB"/>
    <x v="0"/>
    <x v="2"/>
    <n v="3"/>
    <n v="2501.931818181818"/>
  </r>
  <r>
    <m/>
    <x v="6"/>
    <x v="19"/>
    <s v="PO#0146220"/>
    <x v="11"/>
    <n v="5400"/>
    <d v="2023-03-29T00:00:00"/>
    <d v="2023-03-31T00:00:00"/>
    <x v="2"/>
    <d v="2023-04-14T00:00:00"/>
    <s v="Ontime"/>
    <s v="4.April"/>
    <n v="0.43166666666666664"/>
    <n v="1.7266666666666666"/>
    <n v="2331"/>
    <n v="9324"/>
    <s v="FOB"/>
    <x v="0"/>
    <x v="2"/>
    <n v="3"/>
    <n v="2501.931818181818"/>
  </r>
  <r>
    <m/>
    <x v="6"/>
    <x v="19"/>
    <s v="PO#0146220"/>
    <x v="11"/>
    <n v="10476"/>
    <d v="2023-04-03T00:00:00"/>
    <d v="2023-04-11T00:00:00"/>
    <x v="3"/>
    <d v="2023-04-14T00:00:00"/>
    <s v="Ontime"/>
    <s v="4.April"/>
    <n v="0.43166666666666664"/>
    <n v="1.7266666666666666"/>
    <n v="4522.1399999999994"/>
    <n v="18088.559999999998"/>
    <s v="FOB"/>
    <x v="0"/>
    <x v="2"/>
    <n v="6"/>
    <n v="7339"/>
  </r>
  <r>
    <m/>
    <x v="6"/>
    <x v="19"/>
    <s v="PO#0146329"/>
    <x v="11"/>
    <n v="23634"/>
    <d v="2023-04-12T00:00:00"/>
    <d v="2023-04-28T00:00:00"/>
    <x v="3"/>
    <d v="2023-05-31T00:00:00"/>
    <s v="Ontime"/>
    <s v="5.May"/>
    <n v="1.57"/>
    <n v="2.0966666666666667"/>
    <n v="37105.380000000005"/>
    <n v="49552.62"/>
    <s v="FOB"/>
    <x v="0"/>
    <x v="2"/>
    <n v="9"/>
    <n v="11008.5"/>
  </r>
  <r>
    <m/>
    <x v="6"/>
    <x v="19"/>
    <s v="PO#0146332"/>
    <x v="11"/>
    <n v="25542"/>
    <d v="2023-05-02T00:00:00"/>
    <d v="2023-05-17T00:00:00"/>
    <x v="4"/>
    <s v="6/31/2023"/>
    <s v="Ontime"/>
    <s v="6.Juni"/>
    <n v="0.73"/>
    <n v="2.0966666666666667"/>
    <n v="18645.66"/>
    <n v="53553.06"/>
    <s v="FOB"/>
    <x v="0"/>
    <x v="2"/>
    <n v="12"/>
    <n v="10484.285714285714"/>
  </r>
  <r>
    <m/>
    <x v="6"/>
    <x v="19"/>
    <s v="PO#0146332"/>
    <x v="11"/>
    <n v="16200"/>
    <d v="2023-05-18T00:00:00"/>
    <d v="2023-05-31T00:00:00"/>
    <x v="4"/>
    <s v="6/31/2023"/>
    <s v="Ontime"/>
    <s v="6.Juni"/>
    <n v="0.73"/>
    <n v="2.0966666666666667"/>
    <n v="11826"/>
    <n v="33966"/>
    <s v="FOB"/>
    <x v="0"/>
    <x v="2"/>
    <n v="9"/>
    <n v="7863.2142857142853"/>
  </r>
  <r>
    <m/>
    <x v="6"/>
    <x v="19"/>
    <s v="PROJECTION"/>
    <x v="11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19"/>
    <s v="PROJECTION"/>
    <x v="11"/>
    <n v="36000"/>
    <d v="2023-07-03T00:00:00"/>
    <d v="2023-07-31T00:00:00"/>
    <x v="6"/>
    <d v="2023-08-31T00:00:00"/>
    <s v="Ontime"/>
    <s v="8.agustus"/>
    <n v="0.76"/>
    <n v="1.9"/>
    <n v="27360"/>
    <n v="68400"/>
    <s v="FOB"/>
    <x v="0"/>
    <x v="2"/>
    <n v="20"/>
    <n v="18593.5"/>
  </r>
  <r>
    <m/>
    <x v="6"/>
    <x v="19"/>
    <s v="PROJECTION"/>
    <x v="11"/>
    <n v="39600"/>
    <d v="2023-08-01T00:00:00"/>
    <d v="2023-08-31T00:00:00"/>
    <x v="7"/>
    <s v="9/31/2023"/>
    <s v="Ontime"/>
    <s v="9.September"/>
    <n v="0.76"/>
    <n v="1.9"/>
    <n v="30096"/>
    <n v="75240"/>
    <s v="FOB"/>
    <x v="0"/>
    <x v="2"/>
    <n v="22"/>
    <n v="18593.5"/>
  </r>
  <r>
    <m/>
    <x v="6"/>
    <x v="19"/>
    <s v="PROJECTION"/>
    <x v="11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1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1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1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20"/>
    <s v="EY1019TW"/>
    <x v="12"/>
    <n v="7098"/>
    <d v="2023-01-02T00:00:00"/>
    <d v="2023-01-23T00:00:00"/>
    <x v="0"/>
    <d v="2023-01-13T00:00:00"/>
    <s v="Delay"/>
    <s v="1.January"/>
    <n v="1.45"/>
    <n v="8.18"/>
    <n v="10292.1"/>
    <n v="58061.64"/>
    <s v="FOB"/>
    <x v="0"/>
    <x v="2"/>
    <n v="16"/>
    <n v="13343.636363636364"/>
  </r>
  <r>
    <m/>
    <x v="6"/>
    <x v="19"/>
    <n v="5156850"/>
    <x v="12"/>
    <n v="4687"/>
    <d v="2023-01-24T00:00:00"/>
    <d v="2023-01-31T00:00:00"/>
    <x v="0"/>
    <d v="2023-02-17T00:00:00"/>
    <s v="Ontime"/>
    <s v="2.February"/>
    <n v="0.8"/>
    <n v="2.1549999999999998"/>
    <n v="3749.6000000000004"/>
    <n v="10100.484999999999"/>
    <s v="FOB"/>
    <x v="0"/>
    <x v="2"/>
    <n v="6"/>
    <n v="5003.863636363636"/>
  </r>
  <r>
    <m/>
    <x v="6"/>
    <x v="19"/>
    <n v="5156850"/>
    <x v="12"/>
    <n v="2795"/>
    <d v="2023-02-01T00:00:00"/>
    <d v="2023-02-02T00:00:00"/>
    <x v="1"/>
    <d v="2023-02-17T00:00:00"/>
    <s v="Ontime"/>
    <s v="2.February"/>
    <n v="0.8"/>
    <n v="2.1549999999999998"/>
    <n v="2236"/>
    <n v="6023.2249999999995"/>
    <s v="FOB"/>
    <x v="0"/>
    <x v="2"/>
    <n v="2"/>
    <n v="1834.75"/>
  </r>
  <r>
    <m/>
    <x v="6"/>
    <x v="19"/>
    <n v="5156864"/>
    <x v="12"/>
    <n v="3240"/>
    <d v="2023-02-03T00:00:00"/>
    <d v="2023-02-06T00:00:00"/>
    <x v="1"/>
    <n v="44974"/>
    <s v="Ontime"/>
    <s v="2.February"/>
    <n v="0.79"/>
    <n v="2.1524999999999999"/>
    <n v="2559.6"/>
    <n v="6974.0999999999995"/>
    <s v="FOB"/>
    <x v="0"/>
    <x v="2"/>
    <n v="2"/>
    <n v="1834.75"/>
  </r>
  <r>
    <m/>
    <x v="6"/>
    <x v="19"/>
    <n v="5156873"/>
    <x v="12"/>
    <n v="1649"/>
    <d v="2023-02-07T00:00:00"/>
    <d v="2023-02-07T00:00:00"/>
    <x v="1"/>
    <n v="44974"/>
    <s v="Ontime"/>
    <s v="2.February"/>
    <n v="0.82"/>
    <n v="2.5499999999999998"/>
    <n v="1352.1799999999998"/>
    <n v="4204.95"/>
    <s v="FOB"/>
    <x v="0"/>
    <x v="2"/>
    <n v="1"/>
    <n v="917.375"/>
  </r>
  <r>
    <m/>
    <x v="6"/>
    <x v="19"/>
    <n v="5156852"/>
    <x v="12"/>
    <n v="1070"/>
    <d v="2023-02-08T00:00:00"/>
    <d v="2023-02-08T00:00:00"/>
    <x v="1"/>
    <d v="2023-02-10T00:00:00"/>
    <s v="Ontime"/>
    <s v="2.February"/>
    <n v="0.82"/>
    <n v="2.5499999999999998"/>
    <n v="877.4"/>
    <n v="2728.5"/>
    <s v="FOB"/>
    <x v="0"/>
    <x v="2"/>
    <n v="1"/>
    <n v="917.375"/>
  </r>
  <r>
    <m/>
    <x v="6"/>
    <x v="19"/>
    <n v="5156851"/>
    <x v="12"/>
    <n v="4175"/>
    <d v="2023-02-09T00:00:00"/>
    <d v="2023-02-10T00:00:00"/>
    <x v="1"/>
    <d v="2023-02-17T00:00:00"/>
    <s v="Ontime"/>
    <s v="2.February"/>
    <n v="0.79"/>
    <n v="2.1524999999999999"/>
    <n v="3298.25"/>
    <n v="8986.6875"/>
    <s v="FOB"/>
    <x v="0"/>
    <x v="2"/>
    <n v="2"/>
    <n v="1834.75"/>
  </r>
  <r>
    <m/>
    <x v="6"/>
    <x v="19"/>
    <s v="5156851XXL"/>
    <x v="12"/>
    <n v="612"/>
    <d v="2023-02-13T00:00:00"/>
    <d v="2023-02-13T00:00:00"/>
    <x v="1"/>
    <d v="2023-02-10T00:00:00"/>
    <s v="Ontime"/>
    <s v="2.February"/>
    <n v="0.72"/>
    <n v="2.31"/>
    <n v="440.64"/>
    <n v="1413.72"/>
    <s v="FOB"/>
    <x v="0"/>
    <x v="2"/>
    <n v="1"/>
    <n v="917.375"/>
  </r>
  <r>
    <m/>
    <x v="6"/>
    <x v="19"/>
    <s v="5156864XXL"/>
    <x v="12"/>
    <n v="1224"/>
    <d v="2023-02-14T00:00:00"/>
    <d v="2023-02-14T00:00:00"/>
    <x v="1"/>
    <d v="2023-02-17T00:00:00"/>
    <s v="Ontime"/>
    <s v="2.February"/>
    <n v="0.72"/>
    <n v="2.31"/>
    <n v="881.28"/>
    <n v="2827.44"/>
    <s v="FOB"/>
    <x v="0"/>
    <x v="2"/>
    <n v="1"/>
    <n v="917.375"/>
  </r>
  <r>
    <m/>
    <x v="6"/>
    <x v="20"/>
    <s v="EY1019TW"/>
    <x v="12"/>
    <n v="5204"/>
    <d v="2023-02-15T00:00:00"/>
    <d v="2023-02-16T00:00:00"/>
    <x v="1"/>
    <d v="2023-04-13T00:00:00"/>
    <s v="Ontime"/>
    <s v="4.April"/>
    <n v="1.45"/>
    <n v="8.18"/>
    <n v="7545.8"/>
    <n v="42568.72"/>
    <s v="FOB"/>
    <x v="0"/>
    <x v="2"/>
    <n v="2"/>
    <n v="1834.75"/>
  </r>
  <r>
    <m/>
    <x v="6"/>
    <x v="19"/>
    <n v="5156872"/>
    <x v="12"/>
    <n v="6975"/>
    <d v="2023-02-17T00:00:00"/>
    <d v="2023-02-21T00:00:00"/>
    <x v="1"/>
    <d v="2023-03-10T00:00:00"/>
    <s v="Ontime"/>
    <s v="3.March"/>
    <n v="0.8"/>
    <n v="2.1549999999999998"/>
    <n v="5580"/>
    <n v="15031.124999999998"/>
    <s v="FOB"/>
    <x v="0"/>
    <x v="2"/>
    <n v="3"/>
    <n v="2752.125"/>
  </r>
  <r>
    <m/>
    <x v="6"/>
    <x v="21"/>
    <s v="M5156849"/>
    <x v="12"/>
    <n v="2238"/>
    <d v="2023-02-22T00:00:00"/>
    <d v="2023-02-23T00:00:00"/>
    <x v="1"/>
    <d v="2023-02-15T00:00:00"/>
    <s v="Ontime"/>
    <s v="2.February"/>
    <n v="1.75"/>
    <n v="8.8699999999999992"/>
    <n v="3916.5"/>
    <n v="19851.059999999998"/>
    <s v="FOB"/>
    <x v="0"/>
    <x v="2"/>
    <n v="2"/>
    <n v="1834.75"/>
  </r>
  <r>
    <m/>
    <x v="6"/>
    <x v="19"/>
    <s v="5156872XXL"/>
    <x v="12"/>
    <n v="1116"/>
    <d v="2023-02-24T00:00:00"/>
    <d v="2023-02-24T00:00:00"/>
    <x v="1"/>
    <d v="2023-03-10T00:00:00"/>
    <s v="Ontime"/>
    <s v="3.March"/>
    <n v="0.72"/>
    <n v="2.3125"/>
    <n v="803.52"/>
    <n v="2580.75"/>
    <s v="FOB"/>
    <x v="0"/>
    <x v="2"/>
    <n v="1"/>
    <n v="917.375"/>
  </r>
  <r>
    <m/>
    <x v="6"/>
    <x v="19"/>
    <n v="5156851"/>
    <x v="12"/>
    <n v="4140"/>
    <d v="2023-02-27T00:00:00"/>
    <d v="2023-02-28T00:00:00"/>
    <x v="1"/>
    <d v="2023-03-10T00:00:00"/>
    <s v="Ontime"/>
    <s v="3.March"/>
    <n v="0.79"/>
    <n v="2.1524999999999999"/>
    <n v="3270.6000000000004"/>
    <n v="8911.3499999999985"/>
    <s v="FOB"/>
    <x v="0"/>
    <x v="2"/>
    <n v="2"/>
    <n v="1834.75"/>
  </r>
  <r>
    <m/>
    <x v="6"/>
    <x v="19"/>
    <n v="5157291"/>
    <x v="12"/>
    <n v="800"/>
    <d v="2023-03-01T00:00:00"/>
    <d v="2023-03-01T00:00:00"/>
    <x v="2"/>
    <d v="2023-02-17T00:00:00"/>
    <s v="Delay"/>
    <s v="2.February"/>
    <n v="0.76"/>
    <n v="2.02"/>
    <n v="608"/>
    <n v="1616"/>
    <s v="FOB"/>
    <x v="0"/>
    <x v="2"/>
    <n v="1"/>
    <n v="833.97727272727275"/>
  </r>
  <r>
    <m/>
    <x v="6"/>
    <x v="19"/>
    <n v="5156868"/>
    <x v="12"/>
    <n v="6696"/>
    <d v="2023-03-02T00:00:00"/>
    <d v="2023-03-06T00:00:00"/>
    <x v="2"/>
    <d v="2023-03-10T00:00:00"/>
    <s v="Ontime"/>
    <s v="3.March"/>
    <n v="0.8"/>
    <n v="2.1549999999999998"/>
    <n v="5356.8"/>
    <n v="14429.88"/>
    <s v="FOB"/>
    <x v="0"/>
    <x v="2"/>
    <n v="3"/>
    <n v="2501.931818181818"/>
  </r>
  <r>
    <m/>
    <x v="6"/>
    <x v="19"/>
    <s v="5156851XXL"/>
    <x v="12"/>
    <n v="720"/>
    <d v="2023-03-07T00:00:00"/>
    <d v="2023-03-07T00:00:00"/>
    <x v="2"/>
    <d v="2023-03-10T00:00:00"/>
    <s v="Ontime"/>
    <s v="3.March"/>
    <n v="0.72"/>
    <n v="2.31"/>
    <n v="518.4"/>
    <n v="1663.2"/>
    <s v="FOB"/>
    <x v="0"/>
    <x v="2"/>
    <n v="1"/>
    <n v="833.97727272727275"/>
  </r>
  <r>
    <m/>
    <x v="6"/>
    <x v="19"/>
    <s v="GC3032"/>
    <x v="12"/>
    <n v="1080"/>
    <d v="2023-03-08T00:00:00"/>
    <d v="2023-03-08T00:00:00"/>
    <x v="2"/>
    <d v="2023-03-10T00:00:00"/>
    <s v="Ontime"/>
    <s v="3.March"/>
    <n v="0.88"/>
    <n v="1.7633333333333334"/>
    <n v="950.4"/>
    <n v="1904.4"/>
    <s v="FOB"/>
    <x v="0"/>
    <x v="2"/>
    <n v="1"/>
    <n v="833.97727272727275"/>
  </r>
  <r>
    <m/>
    <x v="6"/>
    <x v="19"/>
    <n v="5156857"/>
    <x v="12"/>
    <n v="1278"/>
    <d v="2023-03-09T00:00:00"/>
    <d v="2023-03-09T00:00:00"/>
    <x v="2"/>
    <d v="2023-03-10T00:00:00"/>
    <s v="Ontime"/>
    <s v="3.March"/>
    <n v="0.79"/>
    <n v="2.42"/>
    <n v="1009.62"/>
    <n v="3092.7599999999998"/>
    <s v="FOB"/>
    <x v="0"/>
    <x v="2"/>
    <n v="1"/>
    <n v="833.97727272727275"/>
  </r>
  <r>
    <m/>
    <x v="6"/>
    <x v="19"/>
    <s v="PO#0146219"/>
    <x v="12"/>
    <n v="2124"/>
    <d v="2023-03-10T00:00:00"/>
    <d v="2023-03-13T00:00:00"/>
    <x v="2"/>
    <d v="2023-04-14T00:00:00"/>
    <s v="Ontime"/>
    <s v="4.April"/>
    <n v="0.79"/>
    <n v="2.42"/>
    <n v="1677.96"/>
    <n v="5140.08"/>
    <s v="FOB"/>
    <x v="0"/>
    <x v="2"/>
    <n v="2"/>
    <n v="1667.9545454545455"/>
  </r>
  <r>
    <m/>
    <x v="6"/>
    <x v="19"/>
    <s v="PO#0146219"/>
    <x v="12"/>
    <n v="4131"/>
    <d v="2023-03-14T00:00:00"/>
    <d v="2023-03-16T00:00:00"/>
    <x v="2"/>
    <d v="2023-04-14T00:00:00"/>
    <s v="Ontime"/>
    <s v="4.April"/>
    <n v="0.57111111111111101"/>
    <n v="1.7133333333333332"/>
    <n v="2359.2599999999998"/>
    <n v="7077.7799999999988"/>
    <s v="FOB"/>
    <x v="0"/>
    <x v="2"/>
    <n v="3"/>
    <n v="2501.931818181818"/>
  </r>
  <r>
    <m/>
    <x v="6"/>
    <x v="19"/>
    <s v="PO#0146220"/>
    <x v="12"/>
    <n v="15876"/>
    <d v="2023-03-17T00:00:00"/>
    <d v="2023-03-27T00:00:00"/>
    <x v="2"/>
    <d v="2023-04-14T00:00:00"/>
    <s v="Ontime"/>
    <s v="4.April"/>
    <n v="0.43166666666666664"/>
    <n v="1.7266666666666666"/>
    <n v="6853.1399999999994"/>
    <n v="27412.559999999998"/>
    <s v="FOB"/>
    <x v="0"/>
    <x v="2"/>
    <n v="6"/>
    <n v="5003.863636363636"/>
  </r>
  <r>
    <m/>
    <x v="6"/>
    <x v="19"/>
    <s v="PO#0146329"/>
    <x v="12"/>
    <n v="7200"/>
    <d v="2023-03-28T00:00:00"/>
    <d v="2023-03-31T00:00:00"/>
    <x v="2"/>
    <d v="2023-05-31T00:00:00"/>
    <s v="Ontime"/>
    <s v="5.May"/>
    <n v="1.57"/>
    <n v="2.0966666666666667"/>
    <n v="11304"/>
    <n v="15096"/>
    <s v="FOB"/>
    <x v="0"/>
    <x v="2"/>
    <n v="4"/>
    <n v="3335.909090909091"/>
  </r>
  <r>
    <m/>
    <x v="6"/>
    <x v="19"/>
    <s v="PO#0146329"/>
    <x v="12"/>
    <n v="16434"/>
    <d v="2023-04-03T00:00:00"/>
    <d v="2023-04-14T00:00:00"/>
    <x v="3"/>
    <d v="2023-05-31T00:00:00"/>
    <s v="Ontime"/>
    <s v="5.May"/>
    <n v="1.57"/>
    <n v="2.0966666666666667"/>
    <n v="25801.38"/>
    <n v="34456.620000000003"/>
    <s v="FOB"/>
    <x v="0"/>
    <x v="2"/>
    <n v="9"/>
    <n v="11008.5"/>
  </r>
  <r>
    <m/>
    <x v="6"/>
    <x v="19"/>
    <s v="PO#0146332"/>
    <x v="12"/>
    <n v="20000"/>
    <d v="2023-04-17T00:00:00"/>
    <d v="2023-04-28T00:00:00"/>
    <x v="3"/>
    <s v="6/31/2023"/>
    <s v="Ontime"/>
    <s v="6.Juni"/>
    <n v="0.73"/>
    <n v="2.0966666666666667"/>
    <n v="14600"/>
    <n v="41933.333333333336"/>
    <s v="FOB"/>
    <x v="0"/>
    <x v="2"/>
    <n v="6"/>
    <n v="7339"/>
  </r>
  <r>
    <m/>
    <x v="6"/>
    <x v="19"/>
    <s v="PO#0146332"/>
    <x v="12"/>
    <n v="5542"/>
    <d v="2023-05-02T00:00:00"/>
    <d v="2023-05-04T00:00:00"/>
    <x v="4"/>
    <s v="6/31/2023"/>
    <s v="Ontime"/>
    <s v="6.Juni"/>
    <n v="0.73"/>
    <n v="2.0966666666666667"/>
    <n v="4045.66"/>
    <n v="11619.726666666667"/>
    <s v="FOB"/>
    <x v="0"/>
    <x v="2"/>
    <n v="3"/>
    <n v="2621.0714285714284"/>
  </r>
  <r>
    <m/>
    <x v="6"/>
    <x v="19"/>
    <s v="PROJECTION"/>
    <x v="12"/>
    <n v="32400"/>
    <d v="2023-05-05T00:00:00"/>
    <d v="2023-05-31T00:00:00"/>
    <x v="4"/>
    <s v="6/31/2023"/>
    <s v="Ontime"/>
    <s v="6.Juni"/>
    <n v="0.57999999999999996"/>
    <n v="1.64"/>
    <n v="18792"/>
    <n v="53136"/>
    <s v="FOB"/>
    <x v="0"/>
    <x v="2"/>
    <n v="18"/>
    <n v="15726.428571428571"/>
  </r>
  <r>
    <m/>
    <x v="6"/>
    <x v="19"/>
    <s v="PROJECTION"/>
    <x v="12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19"/>
    <s v="PROJECTION"/>
    <x v="12"/>
    <n v="36000"/>
    <d v="2023-07-03T00:00:00"/>
    <d v="2023-07-31T00:00:00"/>
    <x v="6"/>
    <d v="2023-08-31T00:00:00"/>
    <s v="Ontime"/>
    <s v="8.agustus"/>
    <n v="0.76"/>
    <n v="1.9"/>
    <n v="27360"/>
    <n v="68400"/>
    <s v="FOB"/>
    <x v="0"/>
    <x v="2"/>
    <n v="20"/>
    <n v="18593.5"/>
  </r>
  <r>
    <m/>
    <x v="6"/>
    <x v="19"/>
    <s v="PROJECTION"/>
    <x v="12"/>
    <n v="39600"/>
    <d v="2023-08-01T00:00:00"/>
    <d v="2023-08-31T00:00:00"/>
    <x v="7"/>
    <s v="9/31/2023"/>
    <s v="Ontime"/>
    <s v="9.September"/>
    <n v="0.76"/>
    <n v="1.9"/>
    <n v="30096"/>
    <n v="75240"/>
    <s v="FOB"/>
    <x v="0"/>
    <x v="2"/>
    <n v="22"/>
    <n v="18593.5"/>
  </r>
  <r>
    <m/>
    <x v="6"/>
    <x v="19"/>
    <s v="PROJECTION"/>
    <x v="12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2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2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2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20"/>
    <s v="EY1019TW"/>
    <x v="13"/>
    <n v="7095"/>
    <d v="2023-01-02T00:00:00"/>
    <d v="2023-01-23T00:00:00"/>
    <x v="0"/>
    <d v="2023-01-13T00:00:00"/>
    <s v="Delay"/>
    <s v="1.January"/>
    <n v="1.45"/>
    <n v="8.18"/>
    <n v="10287.75"/>
    <n v="58037.1"/>
    <s v="FOB"/>
    <x v="0"/>
    <x v="2"/>
    <n v="16"/>
    <n v="13343.636363636364"/>
  </r>
  <r>
    <m/>
    <x v="6"/>
    <x v="19"/>
    <n v="5156851"/>
    <x v="13"/>
    <n v="3156"/>
    <d v="2023-01-24T00:00:00"/>
    <d v="2023-01-31T00:00:00"/>
    <x v="0"/>
    <d v="2023-02-17T00:00:00"/>
    <s v="Ontime"/>
    <s v="2.February"/>
    <n v="0.79"/>
    <n v="2.1524999999999999"/>
    <n v="2493.2400000000002"/>
    <n v="6793.29"/>
    <s v="FOB"/>
    <x v="0"/>
    <x v="2"/>
    <n v="6"/>
    <n v="5003.863636363636"/>
  </r>
  <r>
    <m/>
    <x v="6"/>
    <x v="19"/>
    <n v="5156864"/>
    <x v="13"/>
    <n v="5545"/>
    <d v="2023-02-01T00:00:00"/>
    <d v="2023-02-03T00:00:00"/>
    <x v="1"/>
    <d v="2023-02-17T00:00:00"/>
    <s v="Ontime"/>
    <s v="2.February"/>
    <n v="0.79"/>
    <n v="2.1524999999999999"/>
    <n v="4380.55"/>
    <n v="11935.612499999999"/>
    <s v="FOB"/>
    <x v="0"/>
    <x v="2"/>
    <n v="3"/>
    <n v="2752.125"/>
  </r>
  <r>
    <m/>
    <x v="6"/>
    <x v="19"/>
    <n v="5156852"/>
    <x v="13"/>
    <n v="1075"/>
    <d v="2023-02-06T00:00:00"/>
    <d v="2023-02-06T00:00:00"/>
    <x v="1"/>
    <d v="2023-02-10T00:00:00"/>
    <s v="Ontime"/>
    <s v="2.February"/>
    <n v="0.82"/>
    <n v="2.5499999999999998"/>
    <n v="881.5"/>
    <n v="2741.25"/>
    <s v="FOB"/>
    <x v="0"/>
    <x v="2"/>
    <n v="1"/>
    <n v="917.375"/>
  </r>
  <r>
    <m/>
    <x v="6"/>
    <x v="21"/>
    <s v="M5156849"/>
    <x v="13"/>
    <n v="2233"/>
    <d v="2023-02-07T00:00:00"/>
    <d v="2023-02-07T00:00:00"/>
    <x v="1"/>
    <d v="2023-02-15T00:00:00"/>
    <s v="Ontime"/>
    <s v="2.February"/>
    <n v="1.75"/>
    <n v="8.8699999999999992"/>
    <n v="3907.75"/>
    <n v="19806.71"/>
    <s v="FOB"/>
    <x v="0"/>
    <x v="2"/>
    <n v="1"/>
    <n v="917.375"/>
  </r>
  <r>
    <m/>
    <x v="6"/>
    <x v="19"/>
    <s v="5156851XXL"/>
    <x v="13"/>
    <n v="1451"/>
    <d v="2023-02-08T00:00:00"/>
    <d v="2023-02-08T00:00:00"/>
    <x v="1"/>
    <d v="2023-02-17T00:00:00"/>
    <s v="Ontime"/>
    <s v="2.February"/>
    <n v="0.72"/>
    <n v="2.31"/>
    <n v="1044.72"/>
    <n v="3351.81"/>
    <s v="FOB"/>
    <x v="0"/>
    <x v="2"/>
    <n v="1"/>
    <n v="917.375"/>
  </r>
  <r>
    <m/>
    <x v="6"/>
    <x v="19"/>
    <n v="5156873"/>
    <x v="13"/>
    <n v="1839"/>
    <d v="2023-02-09T00:00:00"/>
    <d v="2023-02-09T00:00:00"/>
    <x v="1"/>
    <d v="2023-02-10T00:00:00"/>
    <s v="Ontime"/>
    <s v="2.February"/>
    <n v="0.82"/>
    <n v="2.5499999999999998"/>
    <n v="1507.98"/>
    <n v="4689.45"/>
    <s v="FOB"/>
    <x v="0"/>
    <x v="2"/>
    <n v="1"/>
    <n v="917.375"/>
  </r>
  <r>
    <m/>
    <x v="6"/>
    <x v="19"/>
    <s v="5156864XXL"/>
    <x v="13"/>
    <n v="1224"/>
    <d v="2023-02-10T00:00:00"/>
    <d v="2023-02-10T00:00:00"/>
    <x v="1"/>
    <d v="2023-02-17T00:00:00"/>
    <s v="Ontime"/>
    <s v="2.February"/>
    <n v="0.72"/>
    <n v="2.31"/>
    <n v="881.28"/>
    <n v="2827.44"/>
    <s v="FOB"/>
    <x v="0"/>
    <x v="2"/>
    <n v="1"/>
    <n v="917.375"/>
  </r>
  <r>
    <m/>
    <x v="6"/>
    <x v="20"/>
    <s v="EY1019TW"/>
    <x v="13"/>
    <n v="5515"/>
    <d v="2023-02-13T00:00:00"/>
    <d v="2023-02-15T00:00:00"/>
    <x v="1"/>
    <d v="2023-04-13T00:00:00"/>
    <s v="Ontime"/>
    <s v="4.April"/>
    <n v="1.45"/>
    <n v="8.18"/>
    <n v="7996.75"/>
    <n v="45112.7"/>
    <s v="FOB"/>
    <x v="0"/>
    <x v="2"/>
    <n v="3"/>
    <n v="2752.125"/>
  </r>
  <r>
    <m/>
    <x v="6"/>
    <x v="19"/>
    <n v="5156872"/>
    <x v="13"/>
    <n v="6975"/>
    <d v="2023-02-16T00:00:00"/>
    <d v="2023-02-21T00:00:00"/>
    <x v="1"/>
    <d v="2023-03-10T00:00:00"/>
    <s v="Ontime"/>
    <s v="3.March"/>
    <n v="0.8"/>
    <n v="2.1549999999999998"/>
    <n v="5580"/>
    <n v="15031.124999999998"/>
    <s v="FOB"/>
    <x v="0"/>
    <x v="2"/>
    <n v="4"/>
    <n v="3669.5"/>
  </r>
  <r>
    <m/>
    <x v="6"/>
    <x v="19"/>
    <s v="5156872XXL"/>
    <x v="13"/>
    <n v="1116"/>
    <d v="2023-02-22T00:00:00"/>
    <d v="2023-02-22T00:00:00"/>
    <x v="1"/>
    <n v="44995"/>
    <s v="Ontime"/>
    <s v="3.March"/>
    <n v="0.72"/>
    <n v="2.3125"/>
    <n v="803.52"/>
    <n v="2580.75"/>
    <s v="FOB"/>
    <x v="0"/>
    <x v="2"/>
    <n v="1"/>
    <n v="917.375"/>
  </r>
  <r>
    <m/>
    <x v="6"/>
    <x v="19"/>
    <n v="5156851"/>
    <x v="13"/>
    <n v="4340"/>
    <d v="2023-02-23T00:00:00"/>
    <d v="2023-02-23T00:00:00"/>
    <x v="1"/>
    <d v="2023-03-10T00:00:00"/>
    <s v="Ontime"/>
    <s v="3.March"/>
    <n v="0.79"/>
    <n v="2.1524999999999999"/>
    <n v="3428.6000000000004"/>
    <n v="9341.8499999999985"/>
    <s v="FOB"/>
    <x v="0"/>
    <x v="2"/>
    <n v="1"/>
    <n v="917.375"/>
  </r>
  <r>
    <m/>
    <x v="6"/>
    <x v="19"/>
    <n v="5156868"/>
    <x v="13"/>
    <n v="6696"/>
    <d v="2023-02-24T00:00:00"/>
    <d v="2023-02-28T00:00:00"/>
    <x v="1"/>
    <d v="2023-03-10T00:00:00"/>
    <s v="Ontime"/>
    <s v="3.March"/>
    <n v="0.8"/>
    <n v="2.1549999999999998"/>
    <n v="5356.8"/>
    <n v="14429.88"/>
    <s v="FOB"/>
    <x v="0"/>
    <x v="2"/>
    <n v="3"/>
    <n v="2752.125"/>
  </r>
  <r>
    <m/>
    <x v="6"/>
    <x v="19"/>
    <s v="GC3032"/>
    <x v="13"/>
    <n v="1080"/>
    <d v="2023-03-01T00:00:00"/>
    <d v="2023-03-01T00:00:00"/>
    <x v="2"/>
    <d v="2023-03-10T00:00:00"/>
    <s v="Ontime"/>
    <s v="3.March"/>
    <n v="0.88"/>
    <n v="1.7633333333333334"/>
    <n v="950.4"/>
    <n v="1904.4"/>
    <s v="FOB"/>
    <x v="0"/>
    <x v="2"/>
    <n v="1"/>
    <n v="833.97727272727275"/>
  </r>
  <r>
    <m/>
    <x v="6"/>
    <x v="19"/>
    <s v="5156851XXL"/>
    <x v="13"/>
    <n v="2032"/>
    <d v="2023-03-02T00:00:00"/>
    <d v="2023-03-03T00:00:00"/>
    <x v="2"/>
    <d v="2023-03-10T00:00:00"/>
    <s v="Ontime"/>
    <s v="3.March"/>
    <n v="0.72"/>
    <n v="2.31"/>
    <n v="1463.04"/>
    <n v="4693.92"/>
    <s v="FOB"/>
    <x v="0"/>
    <x v="2"/>
    <n v="2"/>
    <n v="1667.9545454545455"/>
  </r>
  <r>
    <m/>
    <x v="6"/>
    <x v="19"/>
    <n v="5156850"/>
    <x v="13"/>
    <n v="3229"/>
    <d v="2023-03-06T00:00:00"/>
    <d v="2023-03-07T00:00:00"/>
    <x v="2"/>
    <d v="2023-02-10T00:00:00"/>
    <s v="Delay"/>
    <s v="2.February"/>
    <n v="0.8"/>
    <n v="2.1549999999999998"/>
    <n v="2583.2000000000003"/>
    <n v="6958.494999999999"/>
    <s v="FOB"/>
    <x v="0"/>
    <x v="2"/>
    <n v="2"/>
    <n v="1667.9545454545455"/>
  </r>
  <r>
    <m/>
    <x v="6"/>
    <x v="19"/>
    <s v="5156850XXL"/>
    <x v="13"/>
    <n v="1110"/>
    <d v="2023-03-08T00:00:00"/>
    <d v="2023-03-08T00:00:00"/>
    <x v="2"/>
    <d v="2023-02-10T00:00:00"/>
    <s v="Delay"/>
    <s v="2.February"/>
    <n v="0.72"/>
    <n v="2.3125"/>
    <n v="799.19999999999993"/>
    <n v="2566.875"/>
    <s v="FOB"/>
    <x v="0"/>
    <x v="2"/>
    <n v="1"/>
    <n v="833.97727272727275"/>
  </r>
  <r>
    <m/>
    <x v="6"/>
    <x v="19"/>
    <s v="PO#0146219"/>
    <x v="13"/>
    <n v="2124"/>
    <d v="2023-03-09T00:00:00"/>
    <d v="2023-03-10T00:00:00"/>
    <x v="2"/>
    <d v="2023-04-14T00:00:00"/>
    <s v="Ontime"/>
    <s v="4.April"/>
    <n v="0.79"/>
    <n v="2.42"/>
    <n v="1677.96"/>
    <n v="5140.08"/>
    <s v="FOB"/>
    <x v="0"/>
    <x v="2"/>
    <n v="2"/>
    <n v="1667.9545454545455"/>
  </r>
  <r>
    <m/>
    <x v="6"/>
    <x v="19"/>
    <s v="PO#0146219"/>
    <x v="13"/>
    <n v="4131"/>
    <d v="2023-03-13T00:00:00"/>
    <d v="2023-03-15T00:00:00"/>
    <x v="2"/>
    <d v="2023-04-14T00:00:00"/>
    <s v="Ontime"/>
    <s v="4.April"/>
    <n v="0.57111111111111101"/>
    <n v="1.7133333333333332"/>
    <n v="2359.2599999999998"/>
    <n v="7077.7799999999988"/>
    <s v="FOB"/>
    <x v="0"/>
    <x v="2"/>
    <n v="3"/>
    <n v="2501.931818181818"/>
  </r>
  <r>
    <m/>
    <x v="6"/>
    <x v="19"/>
    <s v="PO#0146220"/>
    <x v="13"/>
    <n v="15876"/>
    <d v="2023-03-16T00:00:00"/>
    <d v="2023-03-24T00:00:00"/>
    <x v="2"/>
    <d v="2023-04-14T00:00:00"/>
    <s v="Ontime"/>
    <s v="4.April"/>
    <n v="0.43166666666666664"/>
    <n v="1.7266666666666666"/>
    <n v="6853.1399999999994"/>
    <n v="27412.559999999998"/>
    <s v="FOB"/>
    <x v="0"/>
    <x v="2"/>
    <n v="6"/>
    <n v="5003.863636363636"/>
  </r>
  <r>
    <m/>
    <x v="6"/>
    <x v="19"/>
    <s v="PO#0146329"/>
    <x v="13"/>
    <n v="7200"/>
    <d v="2023-03-27T00:00:00"/>
    <d v="2023-03-31T00:00:00"/>
    <x v="2"/>
    <d v="2023-05-31T00:00:00"/>
    <s v="Ontime"/>
    <s v="5.May"/>
    <n v="0.32374999999999998"/>
    <n v="1.2949999999999999"/>
    <n v="2331"/>
    <n v="9324"/>
    <s v="FOB"/>
    <x v="0"/>
    <x v="2"/>
    <n v="5"/>
    <n v="4169.886363636364"/>
  </r>
  <r>
    <m/>
    <x v="6"/>
    <x v="19"/>
    <s v="PO#0146329"/>
    <x v="13"/>
    <n v="16434"/>
    <d v="2023-04-03T00:00:00"/>
    <d v="2023-04-14T00:00:00"/>
    <x v="3"/>
    <d v="2023-05-31T00:00:00"/>
    <s v="Ontime"/>
    <s v="5.May"/>
    <n v="0.57999999999999996"/>
    <n v="1.64"/>
    <n v="9531.7199999999993"/>
    <n v="26951.759999999998"/>
    <s v="FOB"/>
    <x v="0"/>
    <x v="2"/>
    <n v="9"/>
    <n v="11008.5"/>
  </r>
  <r>
    <m/>
    <x v="6"/>
    <x v="19"/>
    <s v="PO#0146332"/>
    <x v="13"/>
    <n v="20000"/>
    <d v="2023-04-17T00:00:00"/>
    <d v="2023-04-28T00:00:00"/>
    <x v="3"/>
    <s v="6/31/2023"/>
    <s v="Ontime"/>
    <s v="6.Juni"/>
    <n v="0.73"/>
    <n v="2.0966666666666667"/>
    <n v="14600"/>
    <n v="41933.333333333336"/>
    <s v="FOB"/>
    <x v="0"/>
    <x v="2"/>
    <n v="6"/>
    <n v="7339"/>
  </r>
  <r>
    <m/>
    <x v="6"/>
    <x v="19"/>
    <s v="PO#0146332"/>
    <x v="13"/>
    <n v="5542"/>
    <d v="2023-05-02T00:00:00"/>
    <d v="2023-05-04T00:00:00"/>
    <x v="4"/>
    <s v="6/31/2023"/>
    <s v="Ontime"/>
    <s v="6.Juni"/>
    <n v="0.73"/>
    <n v="2.0966666666666667"/>
    <n v="4045.66"/>
    <n v="11619.726666666667"/>
    <s v="FOB"/>
    <x v="0"/>
    <x v="2"/>
    <n v="3"/>
    <n v="2621.0714285714284"/>
  </r>
  <r>
    <m/>
    <x v="6"/>
    <x v="19"/>
    <s v="PROJECTION"/>
    <x v="13"/>
    <n v="32400"/>
    <d v="2023-05-05T00:00:00"/>
    <d v="2023-05-31T00:00:00"/>
    <x v="4"/>
    <s v="6/31/2023"/>
    <s v="Ontime"/>
    <s v="6.Juni"/>
    <n v="0.57999999999999996"/>
    <n v="1.64"/>
    <n v="18792"/>
    <n v="53136"/>
    <s v="FOB"/>
    <x v="0"/>
    <x v="2"/>
    <n v="18"/>
    <n v="15726.428571428571"/>
  </r>
  <r>
    <m/>
    <x v="6"/>
    <x v="19"/>
    <s v="PROJECTION"/>
    <x v="13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19"/>
    <s v="PROJECTION"/>
    <x v="13"/>
    <n v="36000"/>
    <d v="2023-07-03T00:00:00"/>
    <d v="2023-07-31T00:00:00"/>
    <x v="6"/>
    <d v="2023-08-31T00:00:00"/>
    <s v="Ontime"/>
    <s v="8.agustus"/>
    <n v="0.76"/>
    <n v="1.9"/>
    <n v="27360"/>
    <n v="68400"/>
    <s v="FOB"/>
    <x v="0"/>
    <x v="2"/>
    <n v="20"/>
    <n v="18593.5"/>
  </r>
  <r>
    <m/>
    <x v="6"/>
    <x v="19"/>
    <s v="PROJECTION"/>
    <x v="13"/>
    <n v="39600"/>
    <d v="2023-08-01T00:00:00"/>
    <d v="2023-08-31T00:00:00"/>
    <x v="7"/>
    <s v="9/31/2023"/>
    <s v="Ontime"/>
    <s v="9.September"/>
    <n v="0.76"/>
    <n v="1.9"/>
    <n v="30096"/>
    <n v="75240"/>
    <s v="FOB"/>
    <x v="0"/>
    <x v="2"/>
    <n v="22"/>
    <n v="18593.5"/>
  </r>
  <r>
    <m/>
    <x v="6"/>
    <x v="19"/>
    <s v="PROJECTION"/>
    <x v="13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3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3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3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20"/>
    <s v="EY1019TW"/>
    <x v="14"/>
    <n v="1786"/>
    <d v="2023-01-02T00:00:00"/>
    <d v="2023-01-03T00:00:00"/>
    <x v="0"/>
    <n v="44939"/>
    <s v="Delay"/>
    <s v="1.January"/>
    <n v="1.45"/>
    <n v="8.18"/>
    <n v="2589.6999999999998"/>
    <n v="14609.48"/>
    <s v="FOB"/>
    <x v="0"/>
    <x v="2"/>
    <n v="2"/>
    <n v="1667.9545454545455"/>
  </r>
  <r>
    <m/>
    <x v="6"/>
    <x v="19"/>
    <n v="5156849"/>
    <x v="14"/>
    <n v="4240"/>
    <d v="2023-01-04T00:00:00"/>
    <d v="2023-01-06T00:00:00"/>
    <x v="0"/>
    <d v="2023-02-17T00:00:00"/>
    <s v="Ontime"/>
    <s v="2.February"/>
    <n v="0.82"/>
    <n v="2.5499999999999998"/>
    <n v="3476.7999999999997"/>
    <n v="10812"/>
    <s v="FOB"/>
    <x v="0"/>
    <x v="2"/>
    <n v="3"/>
    <n v="2501.931818181818"/>
  </r>
  <r>
    <m/>
    <x v="6"/>
    <x v="32"/>
    <s v="2033A110"/>
    <x v="14"/>
    <n v="836"/>
    <d v="2023-01-09T00:00:00"/>
    <d v="2023-01-09T00:00:00"/>
    <x v="0"/>
    <d v="2022-12-05T00:00:00"/>
    <s v="Delay"/>
    <s v="12.December"/>
    <n v="0.75"/>
    <n v="1.875"/>
    <n v="627"/>
    <n v="1567.5"/>
    <s v="FOB"/>
    <x v="0"/>
    <x v="2"/>
    <n v="1"/>
    <n v="833.97727272727275"/>
  </r>
  <r>
    <m/>
    <x v="6"/>
    <x v="32"/>
    <s v="2033A114"/>
    <x v="14"/>
    <n v="40"/>
    <d v="2023-01-10T00:00:00"/>
    <d v="2023-01-10T00:00:00"/>
    <x v="0"/>
    <d v="2022-12-05T00:00:00"/>
    <s v="Delay"/>
    <s v="12.December"/>
    <n v="1.79"/>
    <n v="4.4749999999999996"/>
    <n v="71.599999999999994"/>
    <n v="179"/>
    <s v="FOB"/>
    <x v="0"/>
    <x v="2"/>
    <n v="1"/>
    <n v="833.97727272727275"/>
  </r>
  <r>
    <m/>
    <x v="6"/>
    <x v="32"/>
    <s v="2033A115"/>
    <x v="14"/>
    <n v="91"/>
    <d v="2023-01-11T00:00:00"/>
    <d v="2023-01-11T00:00:00"/>
    <x v="0"/>
    <d v="2023-01-20T00:00:00"/>
    <s v="Delay"/>
    <s v="1.January"/>
    <n v="1.95"/>
    <n v="4.875"/>
    <n v="177.45"/>
    <n v="443.625"/>
    <s v="FOB"/>
    <x v="0"/>
    <x v="2"/>
    <n v="1"/>
    <n v="833.97727272727275"/>
  </r>
  <r>
    <m/>
    <x v="6"/>
    <x v="19"/>
    <n v="5156856"/>
    <x v="14"/>
    <n v="2840"/>
    <d v="2023-01-12T00:00:00"/>
    <d v="2023-01-13T00:00:00"/>
    <x v="0"/>
    <d v="2023-02-17T00:00:00"/>
    <s v="Ontime"/>
    <s v="2.February"/>
    <n v="0.82"/>
    <n v="2.5499999999999998"/>
    <n v="2328.7999999999997"/>
    <n v="7241.9999999999991"/>
    <s v="FOB"/>
    <x v="0"/>
    <x v="2"/>
    <n v="2"/>
    <n v="1667.9545454545455"/>
  </r>
  <r>
    <m/>
    <x v="6"/>
    <x v="19"/>
    <n v="5156857"/>
    <x v="14"/>
    <n v="1215"/>
    <d v="2023-01-16T00:00:00"/>
    <d v="2023-01-16T00:00:00"/>
    <x v="0"/>
    <d v="2023-03-10T00:00:00"/>
    <s v="Ontime"/>
    <s v="3.March"/>
    <n v="0.82"/>
    <n v="2.5499999999999998"/>
    <n v="996.3"/>
    <n v="3098.25"/>
    <s v="CMTP"/>
    <x v="0"/>
    <x v="2"/>
    <n v="1"/>
    <n v="833.97727272727275"/>
  </r>
  <r>
    <m/>
    <x v="6"/>
    <x v="20"/>
    <s v="EY1019TW"/>
    <x v="14"/>
    <n v="536"/>
    <d v="2023-01-17T00:00:00"/>
    <d v="2023-01-17T00:00:00"/>
    <x v="0"/>
    <d v="2023-04-13T00:00:00"/>
    <s v="Ontime"/>
    <s v="4.April"/>
    <n v="1.45"/>
    <n v="8.18"/>
    <n v="777.19999999999993"/>
    <n v="4384.4799999999996"/>
    <s v="FOB"/>
    <x v="0"/>
    <x v="2"/>
    <n v="1"/>
    <n v="833.97727272727275"/>
  </r>
  <r>
    <m/>
    <x v="6"/>
    <x v="19"/>
    <n v="5156852"/>
    <x v="14"/>
    <n v="4045"/>
    <d v="2023-01-18T00:00:00"/>
    <d v="2023-01-20T00:00:00"/>
    <x v="0"/>
    <d v="2023-03-10T00:00:00"/>
    <s v="Ontime"/>
    <s v="3.March"/>
    <n v="0.82"/>
    <n v="2.5499999999999998"/>
    <n v="3316.8999999999996"/>
    <n v="10314.75"/>
    <s v="FOB"/>
    <x v="0"/>
    <x v="2"/>
    <n v="3"/>
    <n v="2501.931818181818"/>
  </r>
  <r>
    <m/>
    <x v="6"/>
    <x v="19"/>
    <n v="5156850"/>
    <x v="14"/>
    <n v="6696"/>
    <d v="2023-01-23T00:00:00"/>
    <d v="2023-01-26T00:00:00"/>
    <x v="0"/>
    <d v="2023-03-10T00:00:00"/>
    <s v="Ontime"/>
    <s v="3.March"/>
    <n v="0.8"/>
    <n v="2.1549999999999998"/>
    <n v="5356.8"/>
    <n v="14429.88"/>
    <s v="FOB"/>
    <x v="0"/>
    <x v="2"/>
    <n v="4"/>
    <n v="3335.909090909091"/>
  </r>
  <r>
    <m/>
    <x v="6"/>
    <x v="19"/>
    <n v="5156873"/>
    <x v="14"/>
    <n v="3447"/>
    <d v="2023-01-27T00:00:00"/>
    <d v="2023-01-31T00:00:00"/>
    <x v="0"/>
    <d v="2023-03-10T00:00:00"/>
    <s v="Ontime"/>
    <s v="3.March"/>
    <n v="0.82"/>
    <n v="2.5499999999999998"/>
    <n v="2826.54"/>
    <n v="8789.8499999999985"/>
    <s v="FOB"/>
    <x v="0"/>
    <x v="2"/>
    <n v="3"/>
    <n v="2501.931818181818"/>
  </r>
  <r>
    <m/>
    <x v="6"/>
    <x v="19"/>
    <n v="5156864"/>
    <x v="14"/>
    <n v="6696"/>
    <d v="2023-02-01T00:00:00"/>
    <d v="2023-02-03T00:00:00"/>
    <x v="1"/>
    <d v="2023-03-10T00:00:00"/>
    <s v="Ontime"/>
    <s v="3.March"/>
    <n v="0.79"/>
    <n v="2.1524999999999999"/>
    <n v="5289.84"/>
    <n v="14413.14"/>
    <s v="FOB"/>
    <x v="0"/>
    <x v="2"/>
    <n v="3"/>
    <n v="2752.125"/>
  </r>
  <r>
    <m/>
    <x v="6"/>
    <x v="21"/>
    <s v="M5156849"/>
    <x v="14"/>
    <n v="9215"/>
    <d v="2023-02-06T00:00:00"/>
    <d v="2023-02-10T00:00:00"/>
    <x v="1"/>
    <d v="2023-03-15T00:00:00"/>
    <s v="Ontime"/>
    <s v="3.March"/>
    <n v="1.75"/>
    <n v="8.8699999999999992"/>
    <n v="16126.25"/>
    <n v="81737.049999999988"/>
    <s v="FOB"/>
    <x v="0"/>
    <x v="2"/>
    <n v="5"/>
    <n v="4586.875"/>
  </r>
  <r>
    <m/>
    <x v="6"/>
    <x v="19"/>
    <n v="5156860"/>
    <x v="14"/>
    <n v="5472"/>
    <d v="2023-02-13T00:00:00"/>
    <d v="2023-02-15T00:00:00"/>
    <x v="1"/>
    <d v="2023-03-10T00:00:00"/>
    <s v="Ontime"/>
    <s v="3.March"/>
    <n v="0.8"/>
    <n v="2.1549999999999998"/>
    <n v="4377.6000000000004"/>
    <n v="11792.159999999998"/>
    <s v="FOB"/>
    <x v="0"/>
    <x v="2"/>
    <n v="3"/>
    <n v="2752.125"/>
  </r>
  <r>
    <m/>
    <x v="6"/>
    <x v="19"/>
    <n v="5156864"/>
    <x v="14"/>
    <n v="1944"/>
    <d v="2023-02-16T00:00:00"/>
    <d v="2023-02-17T00:00:00"/>
    <x v="1"/>
    <d v="2023-03-10T00:00:00"/>
    <s v="Ontime"/>
    <s v="3.March"/>
    <n v="0.79"/>
    <n v="2.1524999999999999"/>
    <n v="1535.76"/>
    <n v="4184.46"/>
    <s v="FOB"/>
    <x v="0"/>
    <x v="2"/>
    <n v="2"/>
    <n v="1834.75"/>
  </r>
  <r>
    <m/>
    <x v="6"/>
    <x v="19"/>
    <s v="PO#0146249"/>
    <x v="14"/>
    <n v="14000"/>
    <d v="2023-02-20T00:00:00"/>
    <d v="2023-02-28T00:00:00"/>
    <x v="1"/>
    <d v="2023-03-10T00:00:00"/>
    <s v="Ontime"/>
    <s v="3.March"/>
    <n v="0.43166666666666664"/>
    <n v="1.7266666666666666"/>
    <n v="6043.333333333333"/>
    <n v="24173.333333333332"/>
    <s v="FOB"/>
    <x v="0"/>
    <x v="2"/>
    <n v="7"/>
    <n v="6421.625"/>
  </r>
  <r>
    <m/>
    <x v="6"/>
    <x v="19"/>
    <s v="PO#0146249"/>
    <x v="14"/>
    <n v="21352"/>
    <d v="2023-03-01T00:00:00"/>
    <d v="2023-03-15T00:00:00"/>
    <x v="2"/>
    <d v="2023-04-14T00:00:00"/>
    <s v="Ontime"/>
    <s v="4.April"/>
    <n v="0.43166666666666664"/>
    <n v="1.7266666666666666"/>
    <n v="9216.9466666666667"/>
    <n v="36867.786666666667"/>
    <s v="FOB"/>
    <x v="0"/>
    <x v="2"/>
    <n v="11"/>
    <n v="9173.75"/>
  </r>
  <r>
    <m/>
    <x v="6"/>
    <x v="19"/>
    <s v="PO#0146330"/>
    <x v="14"/>
    <n v="2754"/>
    <d v="2023-03-16T00:00:00"/>
    <d v="2023-03-17T00:00:00"/>
    <x v="2"/>
    <d v="2023-05-31T00:00:00"/>
    <s v="Ontime"/>
    <s v="4.April"/>
    <n v="0.57999999999999996"/>
    <n v="2.42"/>
    <n v="1597.32"/>
    <n v="6664.6799999999994"/>
    <s v="FOB"/>
    <x v="0"/>
    <x v="2"/>
    <n v="2"/>
    <n v="1667.9545454545455"/>
  </r>
  <r>
    <m/>
    <x v="6"/>
    <x v="19"/>
    <s v="PO#0146331"/>
    <x v="14"/>
    <n v="15822"/>
    <d v="2023-03-20T00:00:00"/>
    <d v="2023-03-31T00:00:00"/>
    <x v="2"/>
    <d v="2023-05-31T00:00:00"/>
    <s v="Ontime"/>
    <s v="5.May"/>
    <n v="0.57999999999999996"/>
    <n v="1.64"/>
    <n v="9176.76"/>
    <n v="25948.079999999998"/>
    <s v="FOB"/>
    <x v="0"/>
    <x v="2"/>
    <n v="9"/>
    <n v="7505.795454545455"/>
  </r>
  <r>
    <m/>
    <x v="6"/>
    <x v="19"/>
    <s v="PO#0146331"/>
    <x v="14"/>
    <n v="2970"/>
    <d v="2023-04-03T00:00:00"/>
    <d v="2023-04-04T00:00:00"/>
    <x v="3"/>
    <d v="2023-05-31T00:00:00"/>
    <s v="Ontime"/>
    <s v="5.May"/>
    <n v="0.57999999999999996"/>
    <n v="1.64"/>
    <n v="1722.6"/>
    <n v="4870.7999999999993"/>
    <s v="FOB"/>
    <x v="0"/>
    <x v="2"/>
    <n v="2"/>
    <n v="2446.3333333333335"/>
  </r>
  <r>
    <m/>
    <x v="6"/>
    <x v="19"/>
    <s v="PO#0146331"/>
    <x v="14"/>
    <n v="3168"/>
    <d v="2023-04-05T00:00:00"/>
    <d v="2023-04-28T00:00:00"/>
    <x v="3"/>
    <d v="2023-05-31T00:00:00"/>
    <s v="Ontime"/>
    <s v="5.May"/>
    <n v="0.57999999999999996"/>
    <n v="1.64"/>
    <n v="1837.4399999999998"/>
    <n v="5195.5199999999995"/>
    <s v="FOB"/>
    <x v="0"/>
    <x v="2"/>
    <n v="13"/>
    <n v="15901.166666666668"/>
  </r>
  <r>
    <m/>
    <x v="6"/>
    <x v="19"/>
    <s v="PROJECTION"/>
    <x v="14"/>
    <n v="33600"/>
    <d v="2023-05-02T00:00:00"/>
    <d v="2023-05-31T00:00:00"/>
    <x v="4"/>
    <s v="6/31/2023"/>
    <s v="Ontime"/>
    <s v="6.Juni"/>
    <n v="0.57999999999999996"/>
    <n v="1.64"/>
    <n v="19488"/>
    <n v="55104"/>
    <s v="FOB"/>
    <x v="0"/>
    <x v="2"/>
    <n v="21"/>
    <n v="18347.5"/>
  </r>
  <r>
    <m/>
    <x v="6"/>
    <x v="19"/>
    <s v="PROJECTION"/>
    <x v="14"/>
    <n v="32000"/>
    <d v="2023-06-02T00:00:00"/>
    <d v="2023-06-30T00:00:00"/>
    <x v="5"/>
    <d v="2023-07-31T00:00:00"/>
    <s v="Ontime"/>
    <s v="7.Juli"/>
    <n v="0.76"/>
    <n v="1.9"/>
    <n v="24320"/>
    <n v="60800"/>
    <s v="FOB"/>
    <x v="0"/>
    <x v="2"/>
    <n v="20"/>
    <n v="18347.5"/>
  </r>
  <r>
    <m/>
    <x v="6"/>
    <x v="19"/>
    <s v="PROJECTION"/>
    <x v="14"/>
    <n v="32000"/>
    <d v="2023-07-03T00:00:00"/>
    <d v="2023-07-31T00:00:00"/>
    <x v="6"/>
    <d v="2023-08-31T00:00:00"/>
    <s v="Ontime"/>
    <s v="8.agustus"/>
    <n v="0.76"/>
    <n v="1.9"/>
    <n v="24320"/>
    <n v="60800"/>
    <s v="FOB"/>
    <x v="0"/>
    <x v="2"/>
    <n v="20"/>
    <n v="18593.5"/>
  </r>
  <r>
    <m/>
    <x v="6"/>
    <x v="19"/>
    <s v="PROJECTION"/>
    <x v="14"/>
    <n v="35200"/>
    <d v="2023-08-01T00:00:00"/>
    <d v="2023-08-31T00:00:00"/>
    <x v="7"/>
    <s v="9/31/2023"/>
    <s v="Ontime"/>
    <s v="9.September"/>
    <n v="0.76"/>
    <n v="1.9"/>
    <n v="26752"/>
    <n v="66880"/>
    <s v="FOB"/>
    <x v="0"/>
    <x v="2"/>
    <n v="22"/>
    <n v="18593.5"/>
  </r>
  <r>
    <m/>
    <x v="6"/>
    <x v="19"/>
    <s v="PROJECTION"/>
    <x v="14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4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4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4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20"/>
    <s v="EY1019TW"/>
    <x v="15"/>
    <n v="2456"/>
    <d v="2023-01-02T00:00:00"/>
    <d v="2023-01-03T00:00:00"/>
    <x v="0"/>
    <d v="2023-01-13T00:00:00"/>
    <s v="Delay"/>
    <s v="1.January"/>
    <n v="1.45"/>
    <n v="8.18"/>
    <n v="3561.2"/>
    <n v="20090.079999999998"/>
    <s v="FOB"/>
    <x v="0"/>
    <x v="2"/>
    <n v="2"/>
    <n v="1667.9545454545455"/>
  </r>
  <r>
    <m/>
    <x v="6"/>
    <x v="19"/>
    <n v="5156874"/>
    <x v="15"/>
    <n v="7328"/>
    <d v="2023-01-04T00:00:00"/>
    <d v="2023-01-06T00:00:00"/>
    <x v="0"/>
    <d v="2023-02-17T00:00:00"/>
    <s v="Ontime"/>
    <s v="2.February"/>
    <n v="0.82"/>
    <n v="2.5499999999999998"/>
    <n v="6008.96"/>
    <n v="18686.399999999998"/>
    <s v="FOB"/>
    <x v="0"/>
    <x v="2"/>
    <n v="3"/>
    <n v="2501.931818181818"/>
  </r>
  <r>
    <m/>
    <x v="6"/>
    <x v="32"/>
    <s v="2033A110"/>
    <x v="15"/>
    <n v="205"/>
    <d v="2023-01-09T00:00:00"/>
    <d v="2023-01-12T00:00:00"/>
    <x v="0"/>
    <d v="2022-12-05T00:00:00"/>
    <s v="Delay"/>
    <s v="12.December"/>
    <n v="0.75"/>
    <n v="1.875"/>
    <n v="153.75"/>
    <n v="384.375"/>
    <s v="FOB"/>
    <x v="0"/>
    <x v="2"/>
    <n v="4"/>
    <n v="3335.909090909091"/>
  </r>
  <r>
    <m/>
    <x v="6"/>
    <x v="19"/>
    <n v="5156856"/>
    <x v="15"/>
    <n v="2286"/>
    <d v="2023-01-13T00:00:00"/>
    <d v="2023-01-13T00:00:00"/>
    <x v="0"/>
    <d v="2023-02-17T00:00:00"/>
    <s v="Ontime"/>
    <s v="2.February"/>
    <n v="0.82"/>
    <n v="2.5499999999999998"/>
    <n v="1874.52"/>
    <n v="5829.2999999999993"/>
    <s v="FOB"/>
    <x v="0"/>
    <x v="2"/>
    <n v="1"/>
    <n v="833.97727272727275"/>
  </r>
  <r>
    <m/>
    <x v="6"/>
    <x v="32"/>
    <s v="2033A114"/>
    <x v="15"/>
    <n v="39"/>
    <d v="2023-01-14T00:00:00"/>
    <d v="2023-01-15T00:00:00"/>
    <x v="0"/>
    <d v="2023-01-20T00:00:00"/>
    <s v="Delay"/>
    <s v="1.January"/>
    <n v="1.79"/>
    <n v="4.4749999999999996"/>
    <n v="69.81"/>
    <n v="174.52499999999998"/>
    <s v="FOB"/>
    <x v="0"/>
    <x v="2"/>
    <n v="0"/>
    <n v="0"/>
  </r>
  <r>
    <m/>
    <x v="6"/>
    <x v="19"/>
    <n v="5156873"/>
    <x v="15"/>
    <n v="1215"/>
    <d v="2023-01-16T00:00:00"/>
    <d v="2023-01-17T00:00:00"/>
    <x v="0"/>
    <d v="2023-03-10T00:00:00"/>
    <s v="Ontime"/>
    <s v="3.March"/>
    <n v="0.82"/>
    <n v="2.5499999999999998"/>
    <n v="996.3"/>
    <n v="3098.25"/>
    <s v="FOB"/>
    <x v="0"/>
    <x v="2"/>
    <n v="2"/>
    <n v="1667.9545454545455"/>
  </r>
  <r>
    <m/>
    <x v="6"/>
    <x v="32"/>
    <s v="2033A115"/>
    <x v="15"/>
    <n v="90"/>
    <d v="2023-01-18T00:00:00"/>
    <d v="2023-01-18T00:00:00"/>
    <x v="0"/>
    <d v="2023-01-20T00:00:00"/>
    <s v="Delay"/>
    <s v="1.January"/>
    <n v="1.95"/>
    <n v="4.875"/>
    <n v="175.5"/>
    <n v="438.75"/>
    <s v="FOB"/>
    <x v="0"/>
    <x v="2"/>
    <n v="1"/>
    <n v="833.97727272727275"/>
  </r>
  <r>
    <m/>
    <x v="6"/>
    <x v="19"/>
    <n v="5156856"/>
    <x v="15"/>
    <n v="1300"/>
    <d v="2023-01-19T00:00:00"/>
    <d v="2023-01-19T00:00:00"/>
    <x v="0"/>
    <d v="2023-03-10T00:00:00"/>
    <s v="Ontime"/>
    <s v="3.March"/>
    <n v="0.82"/>
    <n v="2.5499999999999998"/>
    <n v="1066"/>
    <n v="3314.9999999999995"/>
    <s v="FOB"/>
    <x v="0"/>
    <x v="2"/>
    <n v="1"/>
    <n v="833.97727272727275"/>
  </r>
  <r>
    <m/>
    <x v="6"/>
    <x v="19"/>
    <n v="5156850"/>
    <x v="15"/>
    <n v="6696"/>
    <d v="2023-01-20T00:00:00"/>
    <d v="2023-01-24T00:00:00"/>
    <x v="0"/>
    <d v="2023-03-10T00:00:00"/>
    <s v="Ontime"/>
    <s v="3.March"/>
    <n v="0.8"/>
    <n v="2.1549999999999998"/>
    <n v="5356.8"/>
    <n v="14429.88"/>
    <s v="FOB"/>
    <x v="0"/>
    <x v="2"/>
    <n v="3"/>
    <n v="2501.931818181818"/>
  </r>
  <r>
    <m/>
    <x v="6"/>
    <x v="19"/>
    <s v="5156850XXL"/>
    <x v="15"/>
    <n v="1116"/>
    <d v="2023-01-25T00:00:00"/>
    <d v="2023-01-25T00:00:00"/>
    <x v="0"/>
    <d v="2023-03-10T00:00:00"/>
    <s v="Ontime"/>
    <s v="3.March"/>
    <n v="0.72"/>
    <n v="2.3125"/>
    <n v="803.52"/>
    <n v="2580.75"/>
    <s v="FOB"/>
    <x v="0"/>
    <x v="2"/>
    <n v="1"/>
    <n v="833.97727272727275"/>
  </r>
  <r>
    <m/>
    <x v="6"/>
    <x v="19"/>
    <n v="5156864"/>
    <x v="15"/>
    <n v="6696"/>
    <d v="2023-01-26T00:00:00"/>
    <d v="2023-01-30T00:00:00"/>
    <x v="0"/>
    <d v="2023-03-10T00:00:00"/>
    <s v="Ontime"/>
    <s v="3.March"/>
    <n v="0.79"/>
    <n v="2.1524999999999999"/>
    <n v="5289.84"/>
    <n v="14413.14"/>
    <s v="FOB"/>
    <x v="0"/>
    <x v="2"/>
    <n v="3"/>
    <n v="2501.931818181818"/>
  </r>
  <r>
    <m/>
    <x v="6"/>
    <x v="19"/>
    <s v="5156864XXL"/>
    <x v="15"/>
    <n v="1116"/>
    <d v="2023-01-31T00:00:00"/>
    <d v="2023-01-31T00:00:00"/>
    <x v="0"/>
    <d v="2023-03-10T00:00:00"/>
    <s v="Ontime"/>
    <s v="3.March"/>
    <n v="0.72"/>
    <n v="2.31"/>
    <n v="803.52"/>
    <n v="2577.96"/>
    <s v="FOB"/>
    <x v="0"/>
    <x v="2"/>
    <n v="1"/>
    <n v="833.97727272727275"/>
  </r>
  <r>
    <m/>
    <x v="6"/>
    <x v="21"/>
    <s v="M5156849"/>
    <x v="15"/>
    <n v="8959"/>
    <d v="2023-02-01T00:00:00"/>
    <d v="2023-02-07T00:00:00"/>
    <x v="1"/>
    <d v="2023-03-15T00:00:00"/>
    <s v="Ontime"/>
    <s v="3.March"/>
    <n v="1.75"/>
    <n v="8.8699999999999992"/>
    <n v="15678.25"/>
    <n v="79466.329999999987"/>
    <s v="FOB"/>
    <x v="0"/>
    <x v="2"/>
    <n v="5"/>
    <n v="4586.875"/>
  </r>
  <r>
    <m/>
    <x v="6"/>
    <x v="19"/>
    <n v="5156860"/>
    <x v="15"/>
    <n v="2952"/>
    <d v="2023-02-08T00:00:00"/>
    <d v="2023-02-10T00:00:00"/>
    <x v="1"/>
    <n v="44995"/>
    <s v="Ontime"/>
    <s v="3.March"/>
    <n v="0.8"/>
    <n v="2.1549999999999998"/>
    <n v="2361.6"/>
    <n v="6361.5599999999995"/>
    <s v="FOB"/>
    <x v="0"/>
    <x v="2"/>
    <n v="3"/>
    <n v="2752.125"/>
  </r>
  <r>
    <m/>
    <x v="6"/>
    <x v="19"/>
    <n v="5156864"/>
    <x v="15"/>
    <n v="1944"/>
    <d v="2023-02-13T00:00:00"/>
    <d v="2023-02-14T00:00:00"/>
    <x v="1"/>
    <d v="2023-03-10T00:00:00"/>
    <s v="Ontime"/>
    <s v="3.March"/>
    <n v="0.79"/>
    <n v="2.1524999999999999"/>
    <n v="1535.76"/>
    <n v="4184.46"/>
    <s v="FOB"/>
    <x v="0"/>
    <x v="2"/>
    <n v="2"/>
    <n v="1834.75"/>
  </r>
  <r>
    <m/>
    <x v="6"/>
    <x v="19"/>
    <s v="PO#0146249"/>
    <x v="15"/>
    <n v="18000"/>
    <d v="2023-02-15T00:00:00"/>
    <d v="2023-02-28T00:00:00"/>
    <x v="1"/>
    <d v="2023-03-10T00:00:00"/>
    <s v="Ontime"/>
    <s v="3.March"/>
    <n v="0.43166666666666664"/>
    <n v="1.7266666666666666"/>
    <n v="7770"/>
    <n v="31080"/>
    <s v="FOB"/>
    <x v="0"/>
    <x v="2"/>
    <n v="10"/>
    <n v="9173.75"/>
  </r>
  <r>
    <m/>
    <x v="6"/>
    <x v="19"/>
    <s v="PO#0146249"/>
    <x v="15"/>
    <n v="17352"/>
    <d v="2023-03-01T00:00:00"/>
    <d v="2023-03-10T00:00:00"/>
    <x v="2"/>
    <d v="2023-04-14T00:00:00"/>
    <s v="Ontime"/>
    <s v="4.April"/>
    <n v="0.43166666666666664"/>
    <n v="1.7266666666666666"/>
    <n v="7490.28"/>
    <n v="29961.119999999999"/>
    <s v="FOB"/>
    <x v="0"/>
    <x v="2"/>
    <n v="8"/>
    <n v="6671.818181818182"/>
  </r>
  <r>
    <m/>
    <x v="6"/>
    <x v="19"/>
    <s v="PO#0146330"/>
    <x v="15"/>
    <n v="2754"/>
    <d v="2023-03-11T00:00:00"/>
    <d v="2023-03-12T00:00:00"/>
    <x v="2"/>
    <d v="2023-05-31T00:00:00"/>
    <s v="Ontime"/>
    <s v="4.April"/>
    <n v="0.57999999999999996"/>
    <n v="2.42"/>
    <n v="1597.32"/>
    <n v="6664.6799999999994"/>
    <s v="FOB"/>
    <x v="0"/>
    <x v="2"/>
    <n v="0"/>
    <n v="0"/>
  </r>
  <r>
    <m/>
    <x v="6"/>
    <x v="19"/>
    <s v="PO#0146331"/>
    <x v="15"/>
    <n v="15822"/>
    <d v="2023-03-13T00:00:00"/>
    <d v="2023-03-24T00:00:00"/>
    <x v="2"/>
    <d v="2023-05-31T00:00:00"/>
    <s v="Ontime"/>
    <s v="5.May"/>
    <n v="0.76"/>
    <n v="1.9"/>
    <n v="12024.72"/>
    <n v="30061.8"/>
    <s v="FOB"/>
    <x v="0"/>
    <x v="2"/>
    <n v="9"/>
    <n v="7505.795454545455"/>
  </r>
  <r>
    <m/>
    <x v="6"/>
    <x v="19"/>
    <s v="PO#0146331"/>
    <x v="15"/>
    <n v="2970"/>
    <d v="2023-03-27T00:00:00"/>
    <d v="2023-03-31T00:00:00"/>
    <x v="2"/>
    <d v="2023-05-31T00:00:00"/>
    <s v="Ontime"/>
    <s v="5.May"/>
    <n v="0.76"/>
    <n v="1.9"/>
    <n v="2257.1999999999998"/>
    <n v="5643"/>
    <s v="FOB"/>
    <x v="0"/>
    <x v="2"/>
    <n v="5"/>
    <n v="4169.886363636364"/>
  </r>
  <r>
    <m/>
    <x v="6"/>
    <x v="19"/>
    <s v="PO#0146331"/>
    <x v="15"/>
    <n v="3168"/>
    <d v="2023-04-03T00:00:00"/>
    <d v="2023-04-05T00:00:00"/>
    <x v="3"/>
    <d v="2023-05-31T00:00:00"/>
    <s v="Ontime"/>
    <s v="5.May"/>
    <n v="0.76"/>
    <n v="1.9"/>
    <n v="2407.6799999999998"/>
    <n v="6019.2"/>
    <s v="FOB"/>
    <x v="0"/>
    <x v="2"/>
    <n v="3"/>
    <n v="3669.5"/>
  </r>
  <r>
    <m/>
    <x v="6"/>
    <x v="19"/>
    <s v="PO#0146332"/>
    <x v="15"/>
    <n v="25542"/>
    <d v="2023-04-06T00:00:00"/>
    <d v="2023-04-25T00:00:00"/>
    <x v="3"/>
    <s v="6/31/2023"/>
    <s v="Ontime"/>
    <s v="6.Juni"/>
    <n v="0.57999999999999996"/>
    <n v="1.64"/>
    <n v="14814.359999999999"/>
    <n v="41888.879999999997"/>
    <s v="FOB"/>
    <x v="0"/>
    <x v="2"/>
    <n v="9"/>
    <n v="11008.5"/>
  </r>
  <r>
    <m/>
    <x v="6"/>
    <x v="19"/>
    <s v="PROJECTION"/>
    <x v="15"/>
    <n v="5400"/>
    <d v="2023-04-26T00:00:00"/>
    <d v="2023-04-28T00:00:00"/>
    <x v="3"/>
    <s v="6/31/2023"/>
    <s v="Ontime"/>
    <s v="6.Juni"/>
    <n v="0.57999999999999996"/>
    <n v="1.64"/>
    <n v="3132"/>
    <n v="8856"/>
    <s v="FOB"/>
    <x v="0"/>
    <x v="2"/>
    <n v="3"/>
    <n v="3669.5"/>
  </r>
  <r>
    <m/>
    <x v="6"/>
    <x v="19"/>
    <s v="PROJECTION"/>
    <x v="15"/>
    <n v="33600"/>
    <d v="2023-05-02T00:00:00"/>
    <d v="2023-05-31T00:00:00"/>
    <x v="4"/>
    <s v="6/31/2023"/>
    <s v="Ontime"/>
    <s v="6.Juni"/>
    <n v="0.76"/>
    <n v="1.9"/>
    <n v="25536"/>
    <n v="63840"/>
    <s v="FOB"/>
    <x v="0"/>
    <x v="2"/>
    <n v="21"/>
    <n v="18347.5"/>
  </r>
  <r>
    <m/>
    <x v="6"/>
    <x v="19"/>
    <s v="PROJECTION"/>
    <x v="15"/>
    <n v="32000"/>
    <d v="2023-06-02T00:00:00"/>
    <d v="2023-06-30T00:00:00"/>
    <x v="5"/>
    <d v="2023-07-31T00:00:00"/>
    <s v="Ontime"/>
    <s v="7.Juli"/>
    <n v="0.76"/>
    <n v="1.9"/>
    <n v="24320"/>
    <n v="60800"/>
    <s v="FOB"/>
    <x v="0"/>
    <x v="2"/>
    <n v="20"/>
    <n v="18347.5"/>
  </r>
  <r>
    <m/>
    <x v="6"/>
    <x v="19"/>
    <s v="PROJECTION"/>
    <x v="15"/>
    <n v="32000"/>
    <d v="2023-07-03T00:00:00"/>
    <d v="2023-07-31T00:00:00"/>
    <x v="6"/>
    <d v="2023-08-31T00:00:00"/>
    <s v="Ontime"/>
    <s v="8.agustus"/>
    <n v="0.76"/>
    <n v="1.9"/>
    <n v="24320"/>
    <n v="60800"/>
    <s v="FOB"/>
    <x v="0"/>
    <x v="2"/>
    <n v="20"/>
    <n v="18593.5"/>
  </r>
  <r>
    <m/>
    <x v="6"/>
    <x v="19"/>
    <s v="PROJECTION"/>
    <x v="15"/>
    <n v="35200"/>
    <d v="2023-08-01T00:00:00"/>
    <d v="2023-08-31T00:00:00"/>
    <x v="7"/>
    <s v="9/31/2023"/>
    <s v="Ontime"/>
    <s v="9.September"/>
    <n v="0.76"/>
    <n v="1.9"/>
    <n v="26752"/>
    <n v="66880"/>
    <s v="FOB"/>
    <x v="0"/>
    <x v="2"/>
    <n v="22"/>
    <n v="18593.5"/>
  </r>
  <r>
    <m/>
    <x v="6"/>
    <x v="19"/>
    <s v="PROJECTION"/>
    <x v="15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5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5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5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32"/>
    <s v="2011C778"/>
    <x v="16"/>
    <n v="1776"/>
    <d v="2023-01-02T00:00:00"/>
    <d v="2023-01-03T00:00:00"/>
    <x v="0"/>
    <d v="2023-01-20T00:00:00"/>
    <s v="Ontime"/>
    <s v="1.January"/>
    <n v="3.5"/>
    <n v="8.75"/>
    <n v="6216"/>
    <n v="15540"/>
    <s v="FOB"/>
    <x v="0"/>
    <x v="2"/>
    <n v="2"/>
    <n v="1667.9545454545455"/>
  </r>
  <r>
    <m/>
    <x v="6"/>
    <x v="32"/>
    <s v="2033A110"/>
    <x v="16"/>
    <n v="158"/>
    <d v="2023-01-04T00:00:00"/>
    <d v="2023-01-05T00:00:00"/>
    <x v="0"/>
    <d v="2022-12-05T00:00:00"/>
    <s v="Delay"/>
    <s v="12.December"/>
    <n v="0.75"/>
    <n v="1.875"/>
    <n v="118.5"/>
    <n v="296.25"/>
    <s v="FOB"/>
    <x v="0"/>
    <x v="2"/>
    <n v="2"/>
    <n v="1667.9545454545455"/>
  </r>
  <r>
    <m/>
    <x v="6"/>
    <x v="32"/>
    <s v="2051A324"/>
    <x v="16"/>
    <n v="180"/>
    <d v="2023-01-06T00:00:00"/>
    <d v="2023-01-09T00:00:00"/>
    <x v="0"/>
    <n v="44946"/>
    <s v="Delay"/>
    <s v="1.January"/>
    <n v="2.9"/>
    <n v="7.25"/>
    <n v="522"/>
    <n v="1305"/>
    <s v="FOB"/>
    <x v="0"/>
    <x v="2"/>
    <n v="2"/>
    <n v="1667.9545454545455"/>
  </r>
  <r>
    <m/>
    <x v="6"/>
    <x v="32"/>
    <s v="2033A114"/>
    <x v="16"/>
    <n v="39"/>
    <d v="2023-01-10T00:00:00"/>
    <d v="2023-01-12T00:00:00"/>
    <x v="0"/>
    <d v="2022-12-05T00:00:00"/>
    <s v="Delay"/>
    <s v="12.December"/>
    <n v="1.79"/>
    <n v="4.4749999999999996"/>
    <n v="69.81"/>
    <n v="174.52499999999998"/>
    <s v="FOB"/>
    <x v="0"/>
    <x v="2"/>
    <n v="3"/>
    <n v="2501.931818181818"/>
  </r>
  <r>
    <m/>
    <x v="6"/>
    <x v="32"/>
    <s v="2101A211"/>
    <x v="16"/>
    <n v="11"/>
    <d v="2023-01-13T00:00:00"/>
    <d v="2023-01-13T00:00:00"/>
    <x v="0"/>
    <d v="2022-10-31T00:00:00"/>
    <s v="Delay"/>
    <s v="10.October"/>
    <n v="3.3"/>
    <n v="8.25"/>
    <n v="36.299999999999997"/>
    <n v="90.75"/>
    <s v="FOB"/>
    <x v="0"/>
    <x v="2"/>
    <n v="1"/>
    <n v="833.97727272727275"/>
  </r>
  <r>
    <m/>
    <x v="6"/>
    <x v="32"/>
    <s v="2033A115"/>
    <x v="16"/>
    <n v="68"/>
    <d v="2023-01-16T00:00:00"/>
    <d v="2023-01-16T00:00:00"/>
    <x v="0"/>
    <d v="2023-01-20T00:00:00"/>
    <s v="Delay"/>
    <s v="1.January"/>
    <n v="1.95"/>
    <n v="4.875"/>
    <n v="132.6"/>
    <n v="331.5"/>
    <s v="FOB"/>
    <x v="0"/>
    <x v="2"/>
    <n v="1"/>
    <n v="833.97727272727275"/>
  </r>
  <r>
    <m/>
    <x v="6"/>
    <x v="32"/>
    <s v="2011C779"/>
    <x v="16"/>
    <n v="1784"/>
    <d v="2023-01-17T00:00:00"/>
    <d v="2023-01-19T00:00:00"/>
    <x v="0"/>
    <d v="2023-01-20T00:00:00"/>
    <s v="Delay"/>
    <s v="1.January"/>
    <n v="5.5"/>
    <n v="13.75"/>
    <n v="9812"/>
    <n v="24530"/>
    <s v="CMT"/>
    <x v="0"/>
    <x v="2"/>
    <n v="3"/>
    <n v="2501.931818181818"/>
  </r>
  <r>
    <m/>
    <x v="6"/>
    <x v="20"/>
    <s v="EY1019TW"/>
    <x v="16"/>
    <n v="2563"/>
    <d v="2023-01-20T00:00:00"/>
    <d v="2023-01-20T00:00:00"/>
    <x v="0"/>
    <d v="2023-01-13T00:00:00"/>
    <s v="Delay"/>
    <s v="1.January"/>
    <n v="1.45"/>
    <n v="8.18"/>
    <n v="3716.35"/>
    <n v="20965.34"/>
    <s v="FOB"/>
    <x v="0"/>
    <x v="2"/>
    <n v="1"/>
    <n v="833.97727272727275"/>
  </r>
  <r>
    <m/>
    <x v="6"/>
    <x v="19"/>
    <n v="5156857"/>
    <x v="16"/>
    <n v="3507"/>
    <d v="2023-01-23T00:00:00"/>
    <d v="2023-01-24T00:00:00"/>
    <x v="0"/>
    <d v="2023-02-17T00:00:00"/>
    <s v="Ontime"/>
    <s v="2.February"/>
    <n v="0.82"/>
    <n v="2.5499999999999998"/>
    <n v="2875.74"/>
    <n v="8942.8499999999985"/>
    <s v="FOB"/>
    <x v="0"/>
    <x v="2"/>
    <n v="2"/>
    <n v="1667.9545454545455"/>
  </r>
  <r>
    <m/>
    <x v="6"/>
    <x v="19"/>
    <n v="5156850"/>
    <x v="16"/>
    <n v="9126"/>
    <d v="2023-01-25T00:00:00"/>
    <d v="2023-01-27T00:00:00"/>
    <x v="0"/>
    <d v="2023-03-10T00:00:00"/>
    <s v="Ontime"/>
    <s v="3.March"/>
    <n v="0.8"/>
    <n v="2.1549999999999998"/>
    <n v="7300.8"/>
    <n v="19666.53"/>
    <s v="FOB"/>
    <x v="0"/>
    <x v="2"/>
    <n v="3"/>
    <n v="2501.931818181818"/>
  </r>
  <r>
    <m/>
    <x v="6"/>
    <x v="19"/>
    <n v="5156852"/>
    <x v="16"/>
    <n v="4231"/>
    <d v="2023-01-30T00:00:00"/>
    <d v="2023-01-31T00:00:00"/>
    <x v="0"/>
    <d v="2023-03-10T00:00:00"/>
    <s v="Ontime"/>
    <s v="3.March"/>
    <n v="0.82"/>
    <n v="2.5499999999999998"/>
    <n v="3469.4199999999996"/>
    <n v="10789.05"/>
    <s v="FOB"/>
    <x v="0"/>
    <x v="2"/>
    <n v="2"/>
    <n v="1667.9545454545455"/>
  </r>
  <r>
    <m/>
    <x v="6"/>
    <x v="19"/>
    <n v="5156856"/>
    <x v="16"/>
    <n v="3422"/>
    <d v="2023-02-01T00:00:00"/>
    <d v="2023-02-02T00:00:00"/>
    <x v="1"/>
    <d v="2023-03-10T00:00:00"/>
    <s v="Ontime"/>
    <s v="3.March"/>
    <n v="0.82"/>
    <n v="2.5499999999999998"/>
    <n v="2806.04"/>
    <n v="8726.0999999999985"/>
    <s v="FOB"/>
    <x v="0"/>
    <x v="2"/>
    <n v="2"/>
    <n v="1834.75"/>
  </r>
  <r>
    <m/>
    <x v="6"/>
    <x v="19"/>
    <n v="5156864"/>
    <x v="16"/>
    <n v="7812"/>
    <d v="2023-02-03T00:00:00"/>
    <d v="2023-02-08T00:00:00"/>
    <x v="1"/>
    <d v="2023-03-10T00:00:00"/>
    <s v="Ontime"/>
    <s v="3.March"/>
    <n v="0.79"/>
    <n v="2.1524999999999999"/>
    <n v="6171.4800000000005"/>
    <n v="16815.329999999998"/>
    <s v="FOB"/>
    <x v="0"/>
    <x v="2"/>
    <n v="4"/>
    <n v="3669.5"/>
  </r>
  <r>
    <m/>
    <x v="6"/>
    <x v="21"/>
    <s v="M5156849"/>
    <x v="16"/>
    <n v="9214"/>
    <d v="2023-02-09T00:00:00"/>
    <d v="2023-02-15T00:00:00"/>
    <x v="1"/>
    <d v="2023-03-15T00:00:00"/>
    <s v="Ontime"/>
    <s v="3.March"/>
    <n v="1.75"/>
    <n v="8.8699999999999992"/>
    <n v="16124.5"/>
    <n v="81728.179999999993"/>
    <s v="FOB"/>
    <x v="0"/>
    <x v="2"/>
    <n v="5"/>
    <n v="4586.875"/>
  </r>
  <r>
    <m/>
    <x v="6"/>
    <x v="19"/>
    <n v="5156860"/>
    <x v="16"/>
    <n v="5436"/>
    <d v="2023-02-16T00:00:00"/>
    <d v="2023-02-21T00:00:00"/>
    <x v="1"/>
    <d v="2023-03-10T00:00:00"/>
    <s v="Ontime"/>
    <s v="3.March"/>
    <n v="0.8"/>
    <n v="2.1549999999999998"/>
    <n v="4348.8"/>
    <n v="11714.579999999998"/>
    <s v="FOB"/>
    <x v="0"/>
    <x v="2"/>
    <n v="4"/>
    <n v="3669.5"/>
  </r>
  <r>
    <m/>
    <x v="6"/>
    <x v="19"/>
    <s v="PO#0146249"/>
    <x v="16"/>
    <n v="10000"/>
    <d v="2023-02-22T00:00:00"/>
    <d v="2023-02-28T00:00:00"/>
    <x v="1"/>
    <d v="2023-03-10T00:00:00"/>
    <s v="Ontime"/>
    <s v="3.March"/>
    <n v="0.43166666666666664"/>
    <n v="1.7266666666666666"/>
    <n v="4316.6666666666661"/>
    <n v="17266.666666666664"/>
    <s v="FOB"/>
    <x v="0"/>
    <x v="2"/>
    <n v="5"/>
    <n v="4586.875"/>
  </r>
  <r>
    <m/>
    <x v="6"/>
    <x v="19"/>
    <s v="PO#0146249"/>
    <x v="16"/>
    <n v="25352"/>
    <d v="2023-03-01T00:00:00"/>
    <d v="2023-03-16T00:00:00"/>
    <x v="2"/>
    <d v="2023-04-14T00:00:00"/>
    <s v="Ontime"/>
    <s v="4.April"/>
    <n v="0.43166666666666664"/>
    <n v="1.7266666666666666"/>
    <n v="10943.613333333333"/>
    <n v="43774.453333333331"/>
    <s v="FOB"/>
    <x v="0"/>
    <x v="2"/>
    <n v="12"/>
    <n v="10007.727272727272"/>
  </r>
  <r>
    <m/>
    <x v="6"/>
    <x v="19"/>
    <s v="PO#0146330"/>
    <x v="16"/>
    <n v="2754"/>
    <d v="2023-03-17T00:00:00"/>
    <d v="2023-03-18T00:00:00"/>
    <x v="2"/>
    <d v="2023-05-31T00:00:00"/>
    <s v="Ontime"/>
    <s v="4.April"/>
    <n v="0.57999999999999996"/>
    <n v="2.42"/>
    <n v="1597.32"/>
    <n v="6664.6799999999994"/>
    <s v="FOB"/>
    <x v="0"/>
    <x v="2"/>
    <n v="1"/>
    <n v="833.97727272727275"/>
  </r>
  <r>
    <m/>
    <x v="6"/>
    <x v="19"/>
    <s v="PO#0146331"/>
    <x v="16"/>
    <n v="15822"/>
    <d v="2023-03-20T00:00:00"/>
    <d v="2023-03-31T00:00:00"/>
    <x v="2"/>
    <d v="2023-05-31T00:00:00"/>
    <s v="Ontime"/>
    <s v="5.May"/>
    <n v="0.76"/>
    <n v="1.9"/>
    <n v="12024.72"/>
    <n v="30061.8"/>
    <s v="FOB"/>
    <x v="0"/>
    <x v="2"/>
    <n v="9"/>
    <n v="7505.795454545455"/>
  </r>
  <r>
    <m/>
    <x v="6"/>
    <x v="19"/>
    <s v="PO#0146331"/>
    <x v="16"/>
    <n v="2754"/>
    <d v="2023-04-03T00:00:00"/>
    <d v="2023-04-04T00:00:00"/>
    <x v="3"/>
    <d v="2023-05-31T00:00:00"/>
    <s v="Ontime"/>
    <s v="5.May"/>
    <n v="0.76"/>
    <n v="1.9"/>
    <n v="2093.04"/>
    <n v="5232.5999999999995"/>
    <s v="FOB"/>
    <x v="0"/>
    <x v="2"/>
    <n v="2"/>
    <n v="2446.3333333333335"/>
  </r>
  <r>
    <m/>
    <x v="6"/>
    <x v="19"/>
    <s v="PO#0146331"/>
    <x v="16"/>
    <n v="3168"/>
    <d v="2023-04-05T00:00:00"/>
    <d v="2023-04-06T00:00:00"/>
    <x v="3"/>
    <d v="2023-05-31T00:00:00"/>
    <s v="Ontime"/>
    <s v="5.May"/>
    <n v="0.76"/>
    <n v="1.9"/>
    <n v="2407.6799999999998"/>
    <n v="6019.2"/>
    <s v="FOB"/>
    <x v="0"/>
    <x v="2"/>
    <n v="2"/>
    <n v="2446.3333333333335"/>
  </r>
  <r>
    <m/>
    <x v="6"/>
    <x v="19"/>
    <s v="PO#0146332"/>
    <x v="16"/>
    <n v="25542"/>
    <d v="2023-04-10T00:00:00"/>
    <d v="2023-04-25T00:00:00"/>
    <x v="3"/>
    <s v="6/31/2023"/>
    <s v="Ontime"/>
    <s v="6.Juni"/>
    <n v="0.57999999999999996"/>
    <n v="1.64"/>
    <n v="14814.359999999999"/>
    <n v="41888.879999999997"/>
    <s v="FOB"/>
    <x v="0"/>
    <x v="2"/>
    <n v="8"/>
    <n v="9785.3333333333339"/>
  </r>
  <r>
    <m/>
    <x v="6"/>
    <x v="19"/>
    <s v="PROJECTION"/>
    <x v="16"/>
    <n v="4800"/>
    <d v="2023-04-26T00:00:00"/>
    <d v="2023-04-28T00:00:00"/>
    <x v="3"/>
    <d v="2023-05-31T00:00:00"/>
    <s v="Ontime"/>
    <s v="5.May"/>
    <n v="0.57999999999999996"/>
    <n v="1.64"/>
    <n v="2784"/>
    <n v="7871.9999999999991"/>
    <s v="FOB"/>
    <x v="0"/>
    <x v="2"/>
    <n v="3"/>
    <n v="3669.5"/>
  </r>
  <r>
    <m/>
    <x v="6"/>
    <x v="19"/>
    <s v="PROJECTION"/>
    <x v="16"/>
    <n v="33600"/>
    <d v="2023-05-02T00:00:00"/>
    <d v="2023-05-31T00:00:00"/>
    <x v="4"/>
    <s v="6/31/2023"/>
    <s v="Ontime"/>
    <s v="6.Juni"/>
    <n v="0.57999999999999996"/>
    <n v="1.64"/>
    <n v="19488"/>
    <n v="55104"/>
    <s v="FOB"/>
    <x v="0"/>
    <x v="2"/>
    <n v="21"/>
    <n v="18347.5"/>
  </r>
  <r>
    <m/>
    <x v="6"/>
    <x v="19"/>
    <s v="PROJECTION"/>
    <x v="16"/>
    <n v="32000"/>
    <d v="2023-06-02T00:00:00"/>
    <d v="2023-06-30T00:00:00"/>
    <x v="5"/>
    <d v="2023-07-31T00:00:00"/>
    <s v="Ontime"/>
    <s v="7.Juli"/>
    <n v="0.76"/>
    <n v="1.9"/>
    <n v="24320"/>
    <n v="60800"/>
    <s v="FOB"/>
    <x v="0"/>
    <x v="2"/>
    <n v="20"/>
    <n v="18347.5"/>
  </r>
  <r>
    <m/>
    <x v="6"/>
    <x v="19"/>
    <s v="PROJECTION"/>
    <x v="16"/>
    <n v="32000"/>
    <d v="2023-07-03T00:00:00"/>
    <d v="2023-07-31T00:00:00"/>
    <x v="6"/>
    <d v="2023-08-31T00:00:00"/>
    <s v="Ontime"/>
    <s v="8.agustus"/>
    <n v="0.76"/>
    <n v="1.9"/>
    <n v="24320"/>
    <n v="60800"/>
    <s v="FOB"/>
    <x v="0"/>
    <x v="2"/>
    <n v="20"/>
    <n v="18593.5"/>
  </r>
  <r>
    <m/>
    <x v="6"/>
    <x v="19"/>
    <s v="PROJECTION"/>
    <x v="16"/>
    <n v="35200"/>
    <d v="2023-08-01T00:00:00"/>
    <d v="2023-08-31T00:00:00"/>
    <x v="7"/>
    <s v="9/31/2023"/>
    <s v="Ontime"/>
    <s v="9.September"/>
    <n v="0.76"/>
    <n v="1.9"/>
    <n v="26752"/>
    <n v="66880"/>
    <s v="FOB"/>
    <x v="0"/>
    <x v="2"/>
    <n v="22"/>
    <n v="18593.5"/>
  </r>
  <r>
    <m/>
    <x v="6"/>
    <x v="19"/>
    <s v="PROJECTION"/>
    <x v="16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6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6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6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32"/>
    <s v="2033A110"/>
    <x v="17"/>
    <n v="1560"/>
    <d v="2023-01-02T00:00:00"/>
    <d v="2023-01-18T00:00:00"/>
    <x v="0"/>
    <d v="2023-01-20T00:00:00"/>
    <s v="Ontime"/>
    <s v="1.January"/>
    <n v="0.75"/>
    <n v="1.875"/>
    <n v="1170"/>
    <n v="2925"/>
    <s v="FOB"/>
    <x v="0"/>
    <x v="2"/>
    <n v="13"/>
    <n v="10841.704545454546"/>
  </r>
  <r>
    <m/>
    <x v="6"/>
    <x v="32"/>
    <s v="2033A115"/>
    <x v="17"/>
    <n v="68"/>
    <d v="2023-01-19T00:00:00"/>
    <d v="2023-01-19T00:00:00"/>
    <x v="0"/>
    <d v="2023-01-20T00:00:00"/>
    <s v="Ontime"/>
    <s v="1.January"/>
    <n v="1.95"/>
    <n v="4.875"/>
    <n v="132.6"/>
    <n v="331.5"/>
    <s v="FOB"/>
    <x v="0"/>
    <x v="2"/>
    <n v="1"/>
    <n v="833.97727272727275"/>
  </r>
  <r>
    <m/>
    <x v="6"/>
    <x v="32"/>
    <s v="2033A114"/>
    <x v="17"/>
    <n v="40"/>
    <d v="2023-01-20T00:00:00"/>
    <d v="2023-01-20T00:00:00"/>
    <x v="0"/>
    <d v="2022-12-05T00:00:00"/>
    <s v="Delay"/>
    <s v="12.December"/>
    <n v="1.79"/>
    <n v="4.4749999999999996"/>
    <n v="71.599999999999994"/>
    <n v="179"/>
    <s v="FOB"/>
    <x v="0"/>
    <x v="2"/>
    <n v="1"/>
    <n v="833.97727272727275"/>
  </r>
  <r>
    <m/>
    <x v="6"/>
    <x v="20"/>
    <s v="EY1019TW"/>
    <x v="17"/>
    <n v="2716"/>
    <d v="2023-01-23T00:00:00"/>
    <d v="2023-01-23T00:00:00"/>
    <x v="0"/>
    <d v="2023-01-13T00:00:00"/>
    <s v="Delay"/>
    <s v="1.January"/>
    <n v="1.45"/>
    <n v="2.0449999999999999"/>
    <n v="3938.2"/>
    <n v="5554.22"/>
    <s v="FOB"/>
    <x v="0"/>
    <x v="2"/>
    <n v="1"/>
    <n v="833.97727272727275"/>
  </r>
  <r>
    <m/>
    <x v="6"/>
    <x v="19"/>
    <n v="5156856"/>
    <x v="17"/>
    <n v="1726"/>
    <d v="2023-01-24T00:00:00"/>
    <d v="2023-01-24T00:00:00"/>
    <x v="0"/>
    <d v="2023-02-17T00:00:00"/>
    <s v="Ontime"/>
    <s v="2.February"/>
    <n v="0.82"/>
    <n v="2.5499999999999998"/>
    <n v="1415.32"/>
    <n v="4401.2999999999993"/>
    <s v="FOB"/>
    <x v="0"/>
    <x v="2"/>
    <n v="1"/>
    <n v="833.97727272727275"/>
  </r>
  <r>
    <m/>
    <x v="6"/>
    <x v="19"/>
    <n v="5156849"/>
    <x v="17"/>
    <n v="2191"/>
    <d v="2023-01-25T00:00:00"/>
    <d v="2023-01-26T00:00:00"/>
    <x v="0"/>
    <d v="2023-02-17T00:00:00"/>
    <s v="Ontime"/>
    <s v="2.February"/>
    <n v="0.82"/>
    <n v="2.5499999999999998"/>
    <n v="1796.62"/>
    <n v="5587.0499999999993"/>
    <s v="FOB"/>
    <x v="0"/>
    <x v="2"/>
    <n v="2"/>
    <n v="1667.9545454545455"/>
  </r>
  <r>
    <m/>
    <x v="6"/>
    <x v="19"/>
    <n v="5156852"/>
    <x v="17"/>
    <n v="3394"/>
    <d v="2023-01-27T00:00:00"/>
    <d v="2023-01-31T00:00:00"/>
    <x v="0"/>
    <d v="2023-03-10T00:00:00"/>
    <s v="Ontime"/>
    <s v="3.March"/>
    <n v="0.82"/>
    <n v="2.5499999999999998"/>
    <n v="2783.08"/>
    <n v="8654.6999999999989"/>
    <s v="FOB"/>
    <x v="0"/>
    <x v="2"/>
    <n v="3"/>
    <n v="2501.931818181818"/>
  </r>
  <r>
    <m/>
    <x v="6"/>
    <x v="19"/>
    <n v="5156857"/>
    <x v="17"/>
    <n v="3520"/>
    <d v="2023-02-01T00:00:00"/>
    <d v="2023-02-02T00:00:00"/>
    <x v="1"/>
    <d v="2023-02-17T00:00:00"/>
    <s v="Ontime"/>
    <s v="2.February"/>
    <n v="0.82"/>
    <n v="2.5499999999999998"/>
    <n v="2886.3999999999996"/>
    <n v="8976"/>
    <s v="FOB"/>
    <x v="0"/>
    <x v="2"/>
    <n v="2"/>
    <n v="1834.75"/>
  </r>
  <r>
    <m/>
    <x v="6"/>
    <x v="19"/>
    <n v="5156850"/>
    <x v="17"/>
    <n v="6696"/>
    <d v="2023-02-03T00:00:00"/>
    <d v="2023-02-08T00:00:00"/>
    <x v="1"/>
    <d v="2023-03-10T00:00:00"/>
    <s v="Ontime"/>
    <s v="3.March"/>
    <n v="0.8"/>
    <n v="2.1549999999999998"/>
    <n v="5356.8"/>
    <n v="14429.88"/>
    <s v="FOB"/>
    <x v="0"/>
    <x v="2"/>
    <n v="4"/>
    <n v="3669.5"/>
  </r>
  <r>
    <m/>
    <x v="6"/>
    <x v="19"/>
    <n v="5156873"/>
    <x v="17"/>
    <n v="10153"/>
    <d v="2023-02-09T00:00:00"/>
    <d v="2023-02-16T00:00:00"/>
    <x v="1"/>
    <d v="2023-03-10T00:00:00"/>
    <s v="Ontime"/>
    <s v="3.March"/>
    <n v="0.82"/>
    <n v="2.5499999999999998"/>
    <n v="8325.4599999999991"/>
    <n v="25890.149999999998"/>
    <s v="FOB"/>
    <x v="0"/>
    <x v="2"/>
    <n v="6"/>
    <n v="5504.25"/>
  </r>
  <r>
    <m/>
    <x v="6"/>
    <x v="21"/>
    <s v="M5156849"/>
    <x v="17"/>
    <n v="9214"/>
    <d v="2023-02-17T00:00:00"/>
    <d v="2023-02-23T00:00:00"/>
    <x v="1"/>
    <d v="2023-03-15T00:00:00"/>
    <s v="Ontime"/>
    <s v="3.March"/>
    <n v="1.75"/>
    <n v="2.2174999999999998"/>
    <n v="16124.5"/>
    <n v="20432.044999999998"/>
    <s v="FOB"/>
    <x v="0"/>
    <x v="2"/>
    <n v="5"/>
    <n v="4586.875"/>
  </r>
  <r>
    <m/>
    <x v="6"/>
    <x v="19"/>
    <n v="5156860"/>
    <x v="17"/>
    <n v="4196"/>
    <d v="2023-02-24T00:00:00"/>
    <d v="2023-02-27T00:00:00"/>
    <x v="1"/>
    <d v="2023-03-10T00:00:00"/>
    <s v="Ontime"/>
    <s v="3.March"/>
    <n v="0.8"/>
    <n v="2.1549999999999998"/>
    <n v="3356.8"/>
    <n v="9042.3799999999992"/>
    <s v="FOB"/>
    <x v="0"/>
    <x v="2"/>
    <n v="2"/>
    <n v="1834.75"/>
  </r>
  <r>
    <m/>
    <x v="6"/>
    <x v="19"/>
    <n v="5156864"/>
    <x v="17"/>
    <n v="2833"/>
    <d v="2023-02-28T00:00:00"/>
    <d v="2023-02-28T00:00:00"/>
    <x v="1"/>
    <d v="2023-03-10T00:00:00"/>
    <s v="Ontime"/>
    <s v="3.March"/>
    <n v="0.79"/>
    <n v="2.1524999999999999"/>
    <n v="2238.0700000000002"/>
    <n v="6098.0324999999993"/>
    <s v="FOB"/>
    <x v="0"/>
    <x v="2"/>
    <n v="1"/>
    <n v="917.375"/>
  </r>
  <r>
    <m/>
    <x v="6"/>
    <x v="19"/>
    <s v="PO#0146249"/>
    <x v="17"/>
    <n v="35352"/>
    <d v="2023-03-01T00:00:00"/>
    <d v="2023-03-27T00:00:00"/>
    <x v="2"/>
    <d v="2023-04-14T00:00:00"/>
    <s v="Ontime"/>
    <s v="4.April"/>
    <n v="0.32374999999999998"/>
    <n v="1.2949999999999999"/>
    <n v="11445.21"/>
    <n v="45780.84"/>
    <s v="FOB"/>
    <x v="0"/>
    <x v="2"/>
    <n v="18"/>
    <n v="15011.59090909091"/>
  </r>
  <r>
    <m/>
    <x v="6"/>
    <x v="19"/>
    <s v="PO#0146330"/>
    <x v="17"/>
    <n v="2754"/>
    <d v="2023-03-28T00:00:00"/>
    <d v="2023-03-31T00:00:00"/>
    <x v="2"/>
    <d v="2023-05-31T00:00:00"/>
    <s v="Ontime"/>
    <s v="4.April"/>
    <n v="0.57999999999999996"/>
    <n v="2.42"/>
    <n v="1597.32"/>
    <n v="6664.6799999999994"/>
    <s v="FOB"/>
    <x v="0"/>
    <x v="2"/>
    <n v="4"/>
    <n v="3335.909090909091"/>
  </r>
  <r>
    <m/>
    <x v="6"/>
    <x v="19"/>
    <s v="PO#0146331"/>
    <x v="17"/>
    <n v="15822"/>
    <d v="2023-04-03T00:00:00"/>
    <d v="2023-04-14T00:00:00"/>
    <x v="3"/>
    <d v="2023-05-31T00:00:00"/>
    <s v="Ontime"/>
    <s v="5.May"/>
    <n v="0.76"/>
    <n v="1.9"/>
    <n v="12024.72"/>
    <n v="30061.8"/>
    <s v="FOB"/>
    <x v="0"/>
    <x v="2"/>
    <n v="9"/>
    <n v="11008.5"/>
  </r>
  <r>
    <m/>
    <x v="6"/>
    <x v="19"/>
    <s v="PO#0146331"/>
    <x v="17"/>
    <n v="2754"/>
    <d v="2023-04-17T00:00:00"/>
    <d v="2023-04-18T00:00:00"/>
    <x v="3"/>
    <d v="2023-04-14T00:00:00"/>
    <s v="Ontime"/>
    <s v="4.April"/>
    <n v="0.76"/>
    <n v="1.9"/>
    <n v="2093.04"/>
    <n v="5232.5999999999995"/>
    <s v="FOB"/>
    <x v="0"/>
    <x v="2"/>
    <n v="2"/>
    <n v="2446.3333333333335"/>
  </r>
  <r>
    <m/>
    <x v="6"/>
    <x v="19"/>
    <s v="PO#0146331"/>
    <x v="17"/>
    <n v="3168"/>
    <d v="2023-04-19T00:00:00"/>
    <d v="2023-04-20T00:00:00"/>
    <x v="3"/>
    <d v="2023-05-31T00:00:00"/>
    <s v="Ontime"/>
    <s v="5.May"/>
    <n v="0.76"/>
    <n v="1.9"/>
    <n v="2407.6799999999998"/>
    <n v="6019.2"/>
    <s v="FOB"/>
    <x v="0"/>
    <x v="2"/>
    <n v="1"/>
    <n v="1223.1666666666667"/>
  </r>
  <r>
    <m/>
    <x v="6"/>
    <x v="19"/>
    <s v="PO#0146332"/>
    <x v="17"/>
    <n v="12000"/>
    <d v="2023-04-21T00:00:00"/>
    <d v="2023-04-28T00:00:00"/>
    <x v="3"/>
    <s v="6/31/2023"/>
    <s v="Ontime"/>
    <s v="6.Juni"/>
    <n v="0.57999999999999996"/>
    <n v="1.64"/>
    <n v="6959.9999999999991"/>
    <n v="19680"/>
    <s v="FOB"/>
    <x v="0"/>
    <x v="2"/>
    <n v="3"/>
    <n v="3669.5"/>
  </r>
  <r>
    <m/>
    <x v="6"/>
    <x v="19"/>
    <s v="PROJECTION"/>
    <x v="17"/>
    <n v="13542"/>
    <d v="2023-05-02T00:00:00"/>
    <d v="2023-05-10T00:00:00"/>
    <x v="4"/>
    <s v="6/31/2023"/>
    <s v="Ontime"/>
    <s v="6.Juni"/>
    <n v="0.76"/>
    <n v="1.9"/>
    <n v="10291.92"/>
    <n v="25729.8"/>
    <s v="FOB"/>
    <x v="0"/>
    <x v="2"/>
    <n v="7"/>
    <n v="6115.833333333333"/>
  </r>
  <r>
    <m/>
    <x v="6"/>
    <x v="19"/>
    <s v="PROJECTION"/>
    <x v="17"/>
    <n v="22400"/>
    <d v="2023-05-11T00:00:00"/>
    <d v="2023-05-31T00:00:00"/>
    <x v="4"/>
    <s v="6/31/2023"/>
    <s v="Ontime"/>
    <s v="6.Juni"/>
    <n v="0.76"/>
    <n v="1.9"/>
    <n v="17024"/>
    <n v="42560"/>
    <s v="FOB"/>
    <x v="0"/>
    <x v="2"/>
    <n v="14"/>
    <n v="12231.666666666666"/>
  </r>
  <r>
    <m/>
    <x v="6"/>
    <x v="19"/>
    <s v="PROJECTION"/>
    <x v="17"/>
    <n v="32000"/>
    <d v="2023-06-02T00:00:00"/>
    <d v="2023-06-30T00:00:00"/>
    <x v="5"/>
    <d v="2023-07-31T00:00:00"/>
    <s v="Ontime"/>
    <s v="7.Juli"/>
    <n v="0.76"/>
    <n v="1.9"/>
    <n v="24320"/>
    <n v="60800"/>
    <s v="FOB"/>
    <x v="0"/>
    <x v="2"/>
    <n v="20"/>
    <n v="18347.5"/>
  </r>
  <r>
    <m/>
    <x v="6"/>
    <x v="19"/>
    <s v="PROJECTION"/>
    <x v="17"/>
    <n v="32000"/>
    <d v="2023-07-03T00:00:00"/>
    <d v="2023-07-31T00:00:00"/>
    <x v="6"/>
    <d v="2023-08-31T00:00:00"/>
    <s v="Ontime"/>
    <s v="8.agustus"/>
    <n v="0.76"/>
    <n v="1.9"/>
    <n v="24320"/>
    <n v="60800"/>
    <s v="FOB"/>
    <x v="0"/>
    <x v="2"/>
    <n v="20"/>
    <n v="18593.5"/>
  </r>
  <r>
    <m/>
    <x v="6"/>
    <x v="19"/>
    <s v="PROJECTION"/>
    <x v="17"/>
    <n v="35200"/>
    <d v="2023-08-01T00:00:00"/>
    <d v="2023-08-31T00:00:00"/>
    <x v="7"/>
    <s v="9/31/2023"/>
    <s v="Ontime"/>
    <s v="9.September"/>
    <n v="0.76"/>
    <n v="1.9"/>
    <n v="26752"/>
    <n v="66880"/>
    <s v="FOB"/>
    <x v="0"/>
    <x v="2"/>
    <n v="22"/>
    <n v="18593.5"/>
  </r>
  <r>
    <m/>
    <x v="6"/>
    <x v="19"/>
    <s v="PROJECTION"/>
    <x v="17"/>
    <n v="30563"/>
    <d v="2023-09-01T00:00:00"/>
    <d v="2023-09-30T00:00:00"/>
    <x v="8"/>
    <d v="2023-10-31T00:00:00"/>
    <s v="Ontime"/>
    <s v="10.Oktober"/>
    <n v="0.76"/>
    <n v="1.64"/>
    <n v="23227.88"/>
    <n v="50123.32"/>
    <s v="FOB"/>
    <x v="0"/>
    <x v="2"/>
    <n v="20"/>
    <n v="18593.5"/>
  </r>
  <r>
    <m/>
    <x v="6"/>
    <x v="19"/>
    <s v="PROJECTION"/>
    <x v="17"/>
    <n v="33763"/>
    <d v="2023-10-01T00:00:00"/>
    <d v="2023-10-31T00:00:00"/>
    <x v="9"/>
    <s v="11/31/2023"/>
    <s v="Ontime"/>
    <s v="11.November"/>
    <n v="0.76"/>
    <n v="1.9"/>
    <n v="25659.88"/>
    <n v="64149.7"/>
    <s v="FOB"/>
    <x v="0"/>
    <x v="2"/>
    <n v="22"/>
    <n v="18593.5"/>
  </r>
  <r>
    <m/>
    <x v="6"/>
    <x v="19"/>
    <s v="PROJECTION"/>
    <x v="17"/>
    <n v="33763"/>
    <d v="2023-11-01T00:00:00"/>
    <d v="2023-11-30T00:00:00"/>
    <x v="10"/>
    <d v="2023-12-31T00:00:00"/>
    <s v="Ontime"/>
    <s v="12.Desember"/>
    <n v="0.76"/>
    <n v="1.9"/>
    <n v="25659.88"/>
    <n v="64149.7"/>
    <s v="FOB"/>
    <x v="0"/>
    <x v="2"/>
    <n v="22"/>
    <n v="18593.5"/>
  </r>
  <r>
    <m/>
    <x v="6"/>
    <x v="19"/>
    <s v="PROJECTION"/>
    <x v="17"/>
    <n v="30563"/>
    <d v="2023-12-01T00:00:00"/>
    <d v="2023-12-31T00:00:00"/>
    <x v="11"/>
    <d v="2024-01-31T00:00:00"/>
    <s v="Ontime"/>
    <s v="1.January"/>
    <n v="0.76"/>
    <n v="1.9"/>
    <n v="23227.88"/>
    <n v="58069.7"/>
    <s v="FOB"/>
    <x v="0"/>
    <x v="2"/>
    <n v="20"/>
    <n v="18593.5"/>
  </r>
  <r>
    <m/>
    <x v="6"/>
    <x v="10"/>
    <s v="T61279"/>
    <x v="18"/>
    <n v="9094"/>
    <d v="2023-01-02T00:00:00"/>
    <d v="2023-01-06T00:00:00"/>
    <x v="0"/>
    <d v="2023-01-26T00:00:00"/>
    <s v="Ontime"/>
    <s v="1.January"/>
    <n v="0.68"/>
    <n v="1"/>
    <n v="6183.92"/>
    <n v="9094"/>
    <s v="FOB"/>
    <x v="0"/>
    <x v="2"/>
    <n v="5"/>
    <n v="4169.886363636364"/>
  </r>
  <r>
    <m/>
    <x v="6"/>
    <x v="32"/>
    <s v="2033A110"/>
    <x v="18"/>
    <n v="834"/>
    <d v="2023-01-09T00:00:00"/>
    <d v="2023-01-10T00:00:00"/>
    <x v="0"/>
    <d v="2023-01-20T00:00:00"/>
    <s v="Delay"/>
    <s v="1.January"/>
    <n v="0.75"/>
    <n v="1.875"/>
    <n v="625.5"/>
    <n v="1563.75"/>
    <s v="FOB"/>
    <x v="0"/>
    <x v="2"/>
    <n v="2"/>
    <n v="1667.9545454545455"/>
  </r>
  <r>
    <m/>
    <x v="6"/>
    <x v="21"/>
    <s v="M5156849"/>
    <x v="18"/>
    <n v="6534"/>
    <d v="2023-01-11T00:00:00"/>
    <d v="2023-01-13T00:00:00"/>
    <x v="0"/>
    <d v="2023-02-15T00:00:00"/>
    <s v="Ontime"/>
    <s v="2.February"/>
    <n v="1.75"/>
    <n v="2.2174999999999998"/>
    <n v="11434.5"/>
    <n v="14489.144999999999"/>
    <s v="FOB"/>
    <x v="0"/>
    <x v="2"/>
    <n v="3"/>
    <n v="2501.931818181818"/>
  </r>
  <r>
    <m/>
    <x v="6"/>
    <x v="19"/>
    <n v="5156871"/>
    <x v="18"/>
    <n v="15912"/>
    <d v="2023-01-16T00:00:00"/>
    <d v="2023-01-25T00:00:00"/>
    <x v="0"/>
    <d v="2023-02-17T00:00:00"/>
    <s v="Ontime"/>
    <s v="2.February"/>
    <n v="0.76"/>
    <n v="2.02"/>
    <n v="12093.12"/>
    <n v="32142.240000000002"/>
    <s v="FOB"/>
    <x v="0"/>
    <x v="2"/>
    <n v="8"/>
    <n v="6671.818181818182"/>
  </r>
  <r>
    <m/>
    <x v="6"/>
    <x v="20"/>
    <s v="EY1019TW"/>
    <x v="18"/>
    <n v="8008"/>
    <d v="2023-01-26T00:00:00"/>
    <d v="2023-01-31T00:00:00"/>
    <x v="0"/>
    <d v="2023-04-13T00:00:00"/>
    <s v="Ontime"/>
    <s v="4.April"/>
    <n v="1.45"/>
    <n v="2.0459999999999998"/>
    <n v="11611.6"/>
    <n v="16384.367999999999"/>
    <s v="FOB"/>
    <x v="0"/>
    <x v="2"/>
    <n v="4"/>
    <n v="3335.909090909091"/>
  </r>
  <r>
    <m/>
    <x v="6"/>
    <x v="19"/>
    <n v="5156864"/>
    <x v="18"/>
    <n v="4248"/>
    <d v="2023-02-01T00:00:00"/>
    <d v="2023-02-02T00:00:00"/>
    <x v="1"/>
    <d v="2023-02-17T00:00:00"/>
    <s v="Ontime"/>
    <s v="2.February"/>
    <n v="0.72"/>
    <n v="2.31"/>
    <n v="3058.56"/>
    <n v="9812.880000000001"/>
    <s v="FOB"/>
    <x v="0"/>
    <x v="2"/>
    <n v="2"/>
    <n v="1834.75"/>
  </r>
  <r>
    <m/>
    <x v="6"/>
    <x v="19"/>
    <n v="5157291"/>
    <x v="18"/>
    <n v="1224"/>
    <d v="2023-02-03T00:00:00"/>
    <d v="2023-02-03T00:00:00"/>
    <x v="1"/>
    <d v="2023-02-17T00:00:00"/>
    <s v="Ontime"/>
    <s v="2.February"/>
    <n v="0.74"/>
    <n v="2.1549999999999998"/>
    <n v="905.76"/>
    <n v="2637.72"/>
    <s v="FOB"/>
    <x v="0"/>
    <x v="2"/>
    <n v="1"/>
    <n v="917.375"/>
  </r>
  <r>
    <m/>
    <x v="6"/>
    <x v="19"/>
    <n v="5156871"/>
    <x v="18"/>
    <n v="9720"/>
    <d v="2023-02-06T00:00:00"/>
    <d v="2023-02-10T00:00:00"/>
    <x v="1"/>
    <d v="2023-03-10T00:00:00"/>
    <s v="Ontime"/>
    <s v="3.March"/>
    <n v="0.76"/>
    <n v="2.02"/>
    <n v="7387.2"/>
    <n v="19634.400000000001"/>
    <s v="FOB"/>
    <x v="0"/>
    <x v="2"/>
    <n v="5"/>
    <n v="4586.875"/>
  </r>
  <r>
    <m/>
    <x v="6"/>
    <x v="19"/>
    <n v="5157291"/>
    <x v="18"/>
    <n v="9720"/>
    <d v="2023-02-13T00:00:00"/>
    <d v="2023-02-17T00:00:00"/>
    <x v="1"/>
    <d v="2023-03-10T00:00:00"/>
    <s v="Ontime"/>
    <s v="3.March"/>
    <n v="0.76"/>
    <n v="2.02"/>
    <n v="7387.2"/>
    <n v="19634.400000000001"/>
    <s v="FOB"/>
    <x v="0"/>
    <x v="2"/>
    <n v="5"/>
    <n v="4586.875"/>
  </r>
  <r>
    <m/>
    <x v="6"/>
    <x v="19"/>
    <n v="5156850"/>
    <x v="18"/>
    <n v="10936"/>
    <d v="2023-02-20T00:00:00"/>
    <d v="2023-02-24T00:00:00"/>
    <x v="1"/>
    <d v="2023-02-10T00:00:00"/>
    <s v="Delay"/>
    <s v="2.February"/>
    <n v="0.8"/>
    <n v="2.1549999999999998"/>
    <n v="8748.8000000000011"/>
    <n v="23567.079999999998"/>
    <s v="FOB"/>
    <x v="0"/>
    <x v="2"/>
    <n v="5"/>
    <n v="4586.875"/>
  </r>
  <r>
    <m/>
    <x v="6"/>
    <x v="21"/>
    <s v="M5156849"/>
    <x v="18"/>
    <n v="5760"/>
    <d v="2023-02-27T00:00:00"/>
    <d v="2023-02-28T00:00:00"/>
    <x v="1"/>
    <d v="2023-04-15T00:00:00"/>
    <s v="Ontime"/>
    <s v="4.April"/>
    <n v="1.75"/>
    <n v="2.2174999999999998"/>
    <n v="10080"/>
    <n v="12772.8"/>
    <s v="FOB"/>
    <x v="0"/>
    <x v="2"/>
    <n v="2"/>
    <n v="1834.75"/>
  </r>
  <r>
    <m/>
    <x v="6"/>
    <x v="19"/>
    <n v="5156868"/>
    <x v="18"/>
    <n v="4464"/>
    <d v="2023-03-01T00:00:00"/>
    <d v="2023-03-03T00:00:00"/>
    <x v="2"/>
    <d v="2023-03-10T00:00:00"/>
    <s v="Ontime"/>
    <s v="3.March"/>
    <n v="0.8"/>
    <n v="2.1549999999999998"/>
    <n v="3571.2000000000003"/>
    <n v="9619.9199999999983"/>
    <s v="FOB"/>
    <x v="0"/>
    <x v="2"/>
    <n v="3"/>
    <n v="2501.931818181818"/>
  </r>
  <r>
    <m/>
    <x v="6"/>
    <x v="19"/>
    <n v="5156872"/>
    <x v="18"/>
    <n v="4536"/>
    <d v="2023-03-06T00:00:00"/>
    <d v="2023-03-08T00:00:00"/>
    <x v="2"/>
    <d v="2023-03-10T00:00:00"/>
    <s v="Delay"/>
    <s v="3.March"/>
    <n v="0.8"/>
    <n v="2.1549999999999998"/>
    <n v="3628.8"/>
    <n v="9775.08"/>
    <s v="FOB"/>
    <x v="0"/>
    <x v="2"/>
    <n v="3"/>
    <n v="2501.931818181818"/>
  </r>
  <r>
    <m/>
    <x v="6"/>
    <x v="19"/>
    <s v="PO#0146219"/>
    <x v="18"/>
    <n v="7704"/>
    <d v="2023-03-09T00:00:00"/>
    <d v="2023-03-15T00:00:00"/>
    <x v="2"/>
    <d v="2023-03-10T00:00:00"/>
    <s v="Delay"/>
    <s v="3.March"/>
    <n v="0.505"/>
    <n v="2.02"/>
    <n v="3890.52"/>
    <n v="15562.08"/>
    <s v="FOB"/>
    <x v="0"/>
    <x v="2"/>
    <n v="5"/>
    <n v="4169.886363636364"/>
  </r>
  <r>
    <m/>
    <x v="6"/>
    <x v="19"/>
    <s v="PROJECTION"/>
    <x v="18"/>
    <n v="19800"/>
    <d v="2023-03-16T00:00:00"/>
    <d v="2023-03-31T00:00:00"/>
    <x v="2"/>
    <d v="2023-04-14T00:00:00"/>
    <s v="Ontime"/>
    <s v="4.April"/>
    <n v="0.57999999999999996"/>
    <n v="1.64"/>
    <n v="11484"/>
    <n v="32471.999999999996"/>
    <s v="FOB"/>
    <x v="0"/>
    <x v="2"/>
    <n v="11"/>
    <n v="9173.75"/>
  </r>
  <r>
    <m/>
    <x v="6"/>
    <x v="19"/>
    <s v="PROJECTION"/>
    <x v="18"/>
    <n v="27000"/>
    <d v="2023-04-03T00:00:00"/>
    <d v="2023-04-28T00:00:00"/>
    <x v="3"/>
    <d v="2023-05-31T00:00:00"/>
    <s v="Ontime"/>
    <s v="5.May"/>
    <n v="0.57999999999999996"/>
    <n v="1.64"/>
    <n v="15659.999999999998"/>
    <n v="44280"/>
    <s v="FOB"/>
    <x v="0"/>
    <x v="2"/>
    <n v="15"/>
    <n v="18347.5"/>
  </r>
  <r>
    <m/>
    <x v="6"/>
    <x v="19"/>
    <s v="PROJECTION"/>
    <x v="18"/>
    <n v="37800"/>
    <d v="2023-05-02T00:00:00"/>
    <d v="2023-05-31T00:00:00"/>
    <x v="4"/>
    <s v="6/31/2023"/>
    <s v="Ontime"/>
    <s v="6.Juni"/>
    <n v="0.76"/>
    <n v="1.9"/>
    <n v="28728"/>
    <n v="71820"/>
    <s v="FOB"/>
    <x v="0"/>
    <x v="2"/>
    <n v="21"/>
    <n v="18347.5"/>
  </r>
  <r>
    <m/>
    <x v="6"/>
    <x v="19"/>
    <s v="PROJECTION"/>
    <x v="18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19"/>
    <s v="PROJECTION"/>
    <x v="18"/>
    <n v="36000"/>
    <d v="2023-07-03T00:00:00"/>
    <d v="2023-07-31T00:00:00"/>
    <x v="6"/>
    <d v="2023-08-31T00:00:00"/>
    <s v="Ontime"/>
    <s v="8.agustus"/>
    <n v="0.76"/>
    <n v="1.9"/>
    <n v="27360"/>
    <n v="68400"/>
    <s v="FOB"/>
    <x v="0"/>
    <x v="2"/>
    <n v="20"/>
    <n v="18593.5"/>
  </r>
  <r>
    <m/>
    <x v="6"/>
    <x v="19"/>
    <s v="PROJECTION"/>
    <x v="18"/>
    <n v="35200"/>
    <d v="2023-08-01T00:00:00"/>
    <d v="2023-08-31T00:00:00"/>
    <x v="7"/>
    <s v="9/31/2023"/>
    <s v="Ontime"/>
    <s v="9.September"/>
    <n v="0.76"/>
    <n v="1.9"/>
    <n v="26752"/>
    <n v="66880"/>
    <s v="FOB"/>
    <x v="0"/>
    <x v="2"/>
    <n v="22"/>
    <n v="18593.5"/>
  </r>
  <r>
    <m/>
    <x v="6"/>
    <x v="19"/>
    <s v="PROJECTION"/>
    <x v="18"/>
    <n v="32000"/>
    <d v="2023-09-01T00:00:00"/>
    <d v="2023-09-30T00:00:00"/>
    <x v="8"/>
    <d v="2023-10-31T00:00:00"/>
    <s v="Ontime"/>
    <s v="10.Oktober"/>
    <n v="0.76"/>
    <n v="1.64"/>
    <n v="24320"/>
    <n v="52480"/>
    <s v="FOB"/>
    <x v="0"/>
    <x v="2"/>
    <n v="20"/>
    <n v="18593.5"/>
  </r>
  <r>
    <m/>
    <x v="6"/>
    <x v="19"/>
    <s v="PROJECTION"/>
    <x v="18"/>
    <n v="35200"/>
    <d v="2023-10-01T00:00:00"/>
    <d v="2023-10-31T00:00:00"/>
    <x v="9"/>
    <s v="11/31/2023"/>
    <s v="Ontime"/>
    <s v="11.November"/>
    <n v="0.76"/>
    <n v="1.9"/>
    <n v="26752"/>
    <n v="66880"/>
    <s v="FOB"/>
    <x v="0"/>
    <x v="2"/>
    <n v="22"/>
    <n v="18593.5"/>
  </r>
  <r>
    <m/>
    <x v="6"/>
    <x v="19"/>
    <s v="PROJECTION"/>
    <x v="18"/>
    <n v="35200"/>
    <d v="2023-11-01T00:00:00"/>
    <d v="2023-11-30T00:00:00"/>
    <x v="10"/>
    <d v="2023-12-31T00:00:00"/>
    <s v="Ontime"/>
    <s v="12.Desember"/>
    <n v="0.76"/>
    <n v="1.9"/>
    <n v="26752"/>
    <n v="66880"/>
    <s v="FOB"/>
    <x v="0"/>
    <x v="2"/>
    <n v="22"/>
    <n v="18593.5"/>
  </r>
  <r>
    <m/>
    <x v="6"/>
    <x v="19"/>
    <s v="PROJECTION"/>
    <x v="18"/>
    <n v="32000"/>
    <d v="2023-12-01T00:00:00"/>
    <d v="2023-12-31T00:00:00"/>
    <x v="11"/>
    <d v="2024-01-31T00:00:00"/>
    <s v="Ontime"/>
    <s v="1.January"/>
    <n v="0.76"/>
    <n v="1.9"/>
    <n v="24320"/>
    <n v="60800"/>
    <s v="FOB"/>
    <x v="0"/>
    <x v="2"/>
    <n v="20"/>
    <n v="18593.5"/>
  </r>
  <r>
    <m/>
    <x v="6"/>
    <x v="10"/>
    <s v="T61279"/>
    <x v="19"/>
    <n v="12800"/>
    <d v="2023-01-02T00:00:00"/>
    <d v="2023-01-11T00:00:00"/>
    <x v="0"/>
    <d v="2023-01-05T00:00:00"/>
    <s v="Delay"/>
    <s v="1.January"/>
    <n v="0.68"/>
    <n v="1"/>
    <n v="8704"/>
    <n v="12800"/>
    <s v="FOB"/>
    <x v="0"/>
    <x v="2"/>
    <n v="8"/>
    <n v="6671.818181818182"/>
  </r>
  <r>
    <m/>
    <x v="6"/>
    <x v="32"/>
    <s v="2033A110"/>
    <x v="19"/>
    <n v="3200"/>
    <d v="2023-01-12T00:00:00"/>
    <d v="2023-01-14T00:00:00"/>
    <x v="0"/>
    <d v="2022-12-05T00:00:00"/>
    <s v="Delay"/>
    <s v="12.December"/>
    <n v="0.75"/>
    <n v="1.875"/>
    <n v="2400"/>
    <n v="6000"/>
    <s v="FOB"/>
    <x v="0"/>
    <x v="2"/>
    <n v="2"/>
    <n v="1667.9545454545455"/>
  </r>
  <r>
    <m/>
    <x v="6"/>
    <x v="21"/>
    <s v="M5156849"/>
    <x v="19"/>
    <n v="8091"/>
    <d v="2023-01-16T00:00:00"/>
    <d v="2023-01-20T00:00:00"/>
    <x v="0"/>
    <d v="2023-03-15T00:00:00"/>
    <s v="Ontime"/>
    <s v="3.March"/>
    <n v="1.75"/>
    <n v="2.2174999999999998"/>
    <n v="14159.25"/>
    <n v="17941.7925"/>
    <s v="FOB"/>
    <x v="0"/>
    <x v="2"/>
    <n v="5"/>
    <n v="4169.886363636364"/>
  </r>
  <r>
    <m/>
    <x v="6"/>
    <x v="19"/>
    <n v="5156850"/>
    <x v="19"/>
    <n v="4955"/>
    <d v="2023-01-23T00:00:00"/>
    <d v="2023-01-24T00:00:00"/>
    <x v="0"/>
    <d v="2023-02-10T00:00:00"/>
    <s v="Ontime"/>
    <s v="2.February"/>
    <n v="0.8"/>
    <n v="2.1549999999999998"/>
    <n v="3964"/>
    <n v="10678.025"/>
    <s v="FOB"/>
    <x v="0"/>
    <x v="2"/>
    <n v="2"/>
    <n v="1667.9545454545455"/>
  </r>
  <r>
    <m/>
    <x v="6"/>
    <x v="19"/>
    <n v="5156871"/>
    <x v="19"/>
    <n v="7534"/>
    <d v="2023-01-25T00:00:00"/>
    <d v="2023-01-27T00:00:00"/>
    <x v="0"/>
    <d v="2023-02-17T00:00:00"/>
    <s v="Ontime"/>
    <s v="2.February"/>
    <n v="0.76"/>
    <n v="2.02"/>
    <n v="5725.84"/>
    <n v="15218.68"/>
    <s v="FOB"/>
    <x v="0"/>
    <x v="2"/>
    <n v="3"/>
    <n v="2501.931818181818"/>
  </r>
  <r>
    <m/>
    <x v="6"/>
    <x v="19"/>
    <n v="5157291"/>
    <x v="19"/>
    <n v="6544"/>
    <d v="2023-01-30T00:00:00"/>
    <d v="2023-01-31T00:00:00"/>
    <x v="0"/>
    <d v="2023-02-17T00:00:00"/>
    <s v="Ontime"/>
    <s v="2.February"/>
    <n v="0.76"/>
    <n v="2.02"/>
    <n v="4973.4400000000005"/>
    <n v="13218.880000000001"/>
    <s v="FOB"/>
    <x v="0"/>
    <x v="2"/>
    <n v="2"/>
    <n v="1667.9545454545455"/>
  </r>
  <r>
    <m/>
    <x v="6"/>
    <x v="19"/>
    <n v="5156864"/>
    <x v="19"/>
    <n v="4248"/>
    <d v="2023-02-01T00:00:00"/>
    <d v="2023-02-02T00:00:00"/>
    <x v="1"/>
    <d v="2023-02-17T00:00:00"/>
    <s v="Ontime"/>
    <s v="2.February"/>
    <n v="0.79"/>
    <n v="2.1524999999999999"/>
    <n v="3355.92"/>
    <n v="9143.82"/>
    <s v="FOB"/>
    <x v="0"/>
    <x v="2"/>
    <n v="2"/>
    <n v="1834.75"/>
  </r>
  <r>
    <m/>
    <x v="6"/>
    <x v="20"/>
    <s v="EY1019TW"/>
    <x v="19"/>
    <n v="5865"/>
    <d v="2023-02-03T00:00:00"/>
    <d v="2023-02-10T00:00:00"/>
    <x v="1"/>
    <d v="2023-04-13T00:00:00"/>
    <s v="Ontime"/>
    <s v="4.April"/>
    <n v="1.45"/>
    <n v="8.18"/>
    <n v="8504.25"/>
    <n v="47975.7"/>
    <s v="FOB"/>
    <x v="0"/>
    <x v="2"/>
    <n v="6"/>
    <n v="5504.25"/>
  </r>
  <r>
    <m/>
    <x v="6"/>
    <x v="19"/>
    <n v="5156871"/>
    <x v="19"/>
    <n v="11334"/>
    <d v="2023-02-13T00:00:00"/>
    <d v="2023-02-17T00:00:00"/>
    <x v="1"/>
    <d v="2023-03-10T00:00:00"/>
    <s v="Ontime"/>
    <s v="3.March"/>
    <n v="0.76"/>
    <n v="2.02"/>
    <n v="8613.84"/>
    <n v="22894.68"/>
    <s v="FOB"/>
    <x v="0"/>
    <x v="2"/>
    <n v="5"/>
    <n v="4586.875"/>
  </r>
  <r>
    <m/>
    <x v="6"/>
    <x v="19"/>
    <n v="5157291"/>
    <x v="19"/>
    <n v="10048"/>
    <d v="2023-02-20T00:00:00"/>
    <d v="2023-02-27T00:00:00"/>
    <x v="1"/>
    <d v="2023-03-10T00:00:00"/>
    <s v="Ontime"/>
    <s v="3.March"/>
    <n v="0.76"/>
    <n v="2.02"/>
    <n v="7636.4800000000005"/>
    <n v="20296.96"/>
    <s v="FOB"/>
    <x v="0"/>
    <x v="2"/>
    <n v="6"/>
    <n v="5504.25"/>
  </r>
  <r>
    <m/>
    <x v="6"/>
    <x v="21"/>
    <s v="M5156849"/>
    <x v="19"/>
    <n v="1600"/>
    <d v="2023-02-28T00:00:00"/>
    <d v="2023-02-28T00:00:00"/>
    <x v="1"/>
    <d v="2023-04-15T00:00:00"/>
    <s v="Ontime"/>
    <s v="4.April"/>
    <n v="1.75"/>
    <n v="8.8699999999999992"/>
    <n v="2800"/>
    <n v="14191.999999999998"/>
    <s v="FOB"/>
    <x v="0"/>
    <x v="2"/>
    <n v="1"/>
    <n v="917.375"/>
  </r>
  <r>
    <m/>
    <x v="6"/>
    <x v="21"/>
    <s v="M5156849"/>
    <x v="19"/>
    <n v="4160"/>
    <d v="2023-03-01T00:00:00"/>
    <d v="2023-03-02T00:00:00"/>
    <x v="2"/>
    <d v="2023-04-15T00:00:00"/>
    <s v="Ontime"/>
    <s v="4.April"/>
    <n v="1.75"/>
    <n v="8.8699999999999992"/>
    <n v="7280"/>
    <n v="36899.199999999997"/>
    <s v="FOB"/>
    <x v="0"/>
    <x v="2"/>
    <n v="2"/>
    <n v="1667.9545454545455"/>
  </r>
  <r>
    <m/>
    <x v="6"/>
    <x v="19"/>
    <n v="5156868"/>
    <x v="19"/>
    <n v="4464"/>
    <d v="2023-03-03T00:00:00"/>
    <d v="2023-03-07T00:00:00"/>
    <x v="2"/>
    <d v="2023-03-10T00:00:00"/>
    <s v="Ontime"/>
    <s v="3.March"/>
    <n v="0.8"/>
    <n v="2.1549999999999998"/>
    <n v="3571.2000000000003"/>
    <n v="9619.9199999999983"/>
    <s v="FOB"/>
    <x v="0"/>
    <x v="2"/>
    <n v="3"/>
    <n v="2501.931818181818"/>
  </r>
  <r>
    <m/>
    <x v="6"/>
    <x v="19"/>
    <n v="5156850"/>
    <x v="19"/>
    <n v="4392"/>
    <d v="2023-03-08T00:00:00"/>
    <d v="2023-03-10T00:00:00"/>
    <x v="2"/>
    <d v="2023-03-10T00:00:00"/>
    <s v="Ontime"/>
    <s v="3.March"/>
    <n v="0.8"/>
    <n v="2.1549999999999998"/>
    <n v="3513.6000000000004"/>
    <n v="9464.7599999999984"/>
    <s v="FOB"/>
    <x v="0"/>
    <x v="2"/>
    <n v="3"/>
    <n v="2501.931818181818"/>
  </r>
  <r>
    <m/>
    <x v="6"/>
    <x v="19"/>
    <n v="5156872"/>
    <x v="19"/>
    <n v="4536"/>
    <d v="2023-03-13T00:00:00"/>
    <d v="2023-03-15T00:00:00"/>
    <x v="2"/>
    <d v="2023-03-10T00:00:00"/>
    <s v="Delay"/>
    <s v="3.March"/>
    <n v="0.8"/>
    <n v="2.1549999999999998"/>
    <n v="3628.8"/>
    <n v="9775.08"/>
    <s v="FOB"/>
    <x v="0"/>
    <x v="2"/>
    <n v="3"/>
    <n v="2501.931818181818"/>
  </r>
  <r>
    <m/>
    <x v="6"/>
    <x v="19"/>
    <s v="PO#0146219"/>
    <x v="19"/>
    <n v="7704"/>
    <d v="2023-03-16T00:00:00"/>
    <d v="2023-03-21T00:00:00"/>
    <x v="2"/>
    <d v="2023-03-10T00:00:00"/>
    <s v="Delay"/>
    <s v="3.March"/>
    <n v="0.505"/>
    <n v="2.02"/>
    <n v="3890.52"/>
    <n v="15562.08"/>
    <s v="FOB"/>
    <x v="0"/>
    <x v="2"/>
    <n v="4"/>
    <n v="3335.909090909091"/>
  </r>
  <r>
    <m/>
    <x v="6"/>
    <x v="19"/>
    <s v="PROJECTION"/>
    <x v="19"/>
    <n v="12600"/>
    <d v="2023-03-23T00:00:00"/>
    <d v="2023-03-31T00:00:00"/>
    <x v="2"/>
    <d v="2023-04-14T00:00:00"/>
    <s v="Ontime"/>
    <s v="4.April"/>
    <n v="0.57999999999999996"/>
    <n v="1.64"/>
    <n v="7307.9999999999991"/>
    <n v="20664"/>
    <s v="FOB"/>
    <x v="0"/>
    <x v="2"/>
    <n v="7"/>
    <n v="5837.840909090909"/>
  </r>
  <r>
    <m/>
    <x v="6"/>
    <x v="19"/>
    <s v="PROJECTION"/>
    <x v="19"/>
    <n v="27000"/>
    <d v="2023-04-03T00:00:00"/>
    <d v="2023-04-28T00:00:00"/>
    <x v="3"/>
    <d v="2023-05-31T00:00:00"/>
    <s v="Ontime"/>
    <s v="5.May"/>
    <n v="0.57999999999999996"/>
    <n v="1.64"/>
    <n v="15659.999999999998"/>
    <n v="44280"/>
    <s v="FOB"/>
    <x v="0"/>
    <x v="2"/>
    <n v="15"/>
    <n v="18347.5"/>
  </r>
  <r>
    <m/>
    <x v="6"/>
    <x v="19"/>
    <s v="PROJECTION"/>
    <x v="19"/>
    <n v="37800"/>
    <d v="2023-05-02T00:00:00"/>
    <d v="2023-05-31T00:00:00"/>
    <x v="4"/>
    <s v="6/31/2023"/>
    <s v="Ontime"/>
    <s v="6.Juni"/>
    <n v="0.76"/>
    <n v="1.9"/>
    <n v="28728"/>
    <n v="71820"/>
    <s v="FOB"/>
    <x v="0"/>
    <x v="2"/>
    <n v="21"/>
    <n v="18347.5"/>
  </r>
  <r>
    <m/>
    <x v="6"/>
    <x v="19"/>
    <s v="PROJECTION"/>
    <x v="19"/>
    <n v="36000"/>
    <d v="2023-06-02T00:00:00"/>
    <d v="2023-06-30T00:00:00"/>
    <x v="5"/>
    <d v="2023-07-31T00:00:00"/>
    <s v="Ontime"/>
    <s v="7.Juli"/>
    <n v="0.76"/>
    <n v="1.9"/>
    <n v="27360"/>
    <n v="68400"/>
    <s v="FOB"/>
    <x v="0"/>
    <x v="2"/>
    <n v="20"/>
    <n v="18347.5"/>
  </r>
  <r>
    <m/>
    <x v="6"/>
    <x v="19"/>
    <s v="PROJECTION"/>
    <x v="19"/>
    <n v="36000"/>
    <d v="2023-07-03T00:00:00"/>
    <d v="2023-07-31T00:00:00"/>
    <x v="6"/>
    <d v="2023-08-31T00:00:00"/>
    <s v="Ontime"/>
    <s v="8.agustus"/>
    <n v="0.76"/>
    <n v="1.9"/>
    <n v="27360"/>
    <n v="68400"/>
    <s v="FOB"/>
    <x v="0"/>
    <x v="2"/>
    <n v="20"/>
    <n v="18593.5"/>
  </r>
  <r>
    <m/>
    <x v="6"/>
    <x v="19"/>
    <s v="PROJECTION"/>
    <x v="19"/>
    <n v="39600"/>
    <d v="2023-08-01T00:00:00"/>
    <d v="2023-08-31T00:00:00"/>
    <x v="7"/>
    <s v="9/31/2023"/>
    <s v="Ontime"/>
    <s v="9.September"/>
    <n v="0.76"/>
    <n v="1.9"/>
    <n v="30096"/>
    <n v="75240"/>
    <s v="FOB"/>
    <x v="0"/>
    <x v="2"/>
    <n v="22"/>
    <n v="18593.5"/>
  </r>
  <r>
    <m/>
    <x v="6"/>
    <x v="19"/>
    <s v="PROJECTION"/>
    <x v="19"/>
    <n v="32000"/>
    <d v="2023-09-01T00:00:00"/>
    <d v="2023-09-30T00:00:00"/>
    <x v="8"/>
    <d v="2023-10-31T00:00:00"/>
    <s v="Ontime"/>
    <s v="10.Oktober"/>
    <n v="0.76"/>
    <n v="1.64"/>
    <n v="24320"/>
    <n v="52480"/>
    <s v="FOB"/>
    <x v="0"/>
    <x v="2"/>
    <n v="20"/>
    <n v="18593.5"/>
  </r>
  <r>
    <m/>
    <x v="6"/>
    <x v="19"/>
    <s v="PROJECTION"/>
    <x v="19"/>
    <n v="35200"/>
    <d v="2023-10-01T00:00:00"/>
    <d v="2023-10-31T00:00:00"/>
    <x v="9"/>
    <s v="11/31/2023"/>
    <s v="Ontime"/>
    <s v="11.November"/>
    <n v="0.76"/>
    <n v="1.9"/>
    <n v="26752"/>
    <n v="66880"/>
    <s v="FOB"/>
    <x v="0"/>
    <x v="2"/>
    <n v="22"/>
    <n v="18593.5"/>
  </r>
  <r>
    <m/>
    <x v="6"/>
    <x v="19"/>
    <s v="PROJECTION"/>
    <x v="19"/>
    <n v="35200"/>
    <d v="2023-11-01T00:00:00"/>
    <d v="2023-11-30T00:00:00"/>
    <x v="10"/>
    <d v="2023-12-31T00:00:00"/>
    <s v="Ontime"/>
    <s v="12.Desember"/>
    <n v="0.76"/>
    <n v="1.9"/>
    <n v="26752"/>
    <n v="66880"/>
    <s v="FOB"/>
    <x v="0"/>
    <x v="2"/>
    <n v="22"/>
    <n v="18593.5"/>
  </r>
  <r>
    <m/>
    <x v="6"/>
    <x v="19"/>
    <s v="PROJECTION"/>
    <x v="19"/>
    <n v="32000"/>
    <d v="2023-12-01T00:00:00"/>
    <d v="2023-12-31T00:00:00"/>
    <x v="11"/>
    <d v="2024-01-31T00:00:00"/>
    <s v="Ontime"/>
    <s v="1.January"/>
    <n v="0.76"/>
    <n v="1.9"/>
    <n v="24320"/>
    <n v="60800"/>
    <s v="FOB"/>
    <x v="0"/>
    <x v="2"/>
    <n v="20"/>
    <n v="18593.5"/>
  </r>
  <r>
    <m/>
    <x v="1"/>
    <x v="13"/>
    <m/>
    <x v="2"/>
    <m/>
    <m/>
    <m/>
    <x v="12"/>
    <m/>
    <m/>
    <m/>
    <m/>
    <m/>
    <m/>
    <m/>
    <m/>
    <x v="1"/>
    <x v="1"/>
    <m/>
    <m/>
  </r>
  <r>
    <m/>
    <x v="7"/>
    <x v="33"/>
    <s v="SPANTARASH-FLEX 1 SN22"/>
    <x v="0"/>
    <n v="166"/>
    <d v="2023-01-04T00:00:00"/>
    <d v="2023-01-04T00:00:00"/>
    <x v="0"/>
    <d v="2023-01-09T00:00:00"/>
    <s v="Delay"/>
    <s v="1.January"/>
    <n v="2.98"/>
    <n v="6.6453999999999995"/>
    <n v="494.68"/>
    <n v="1103.1363999999999"/>
    <s v="FOB"/>
    <x v="0"/>
    <x v="2"/>
    <n v="1"/>
    <n v="472.38461538461536"/>
  </r>
  <r>
    <m/>
    <x v="7"/>
    <x v="17"/>
    <s v="DRESSMOTEA578     LC22"/>
    <x v="0"/>
    <n v="778"/>
    <d v="2023-01-02T00:00:00"/>
    <d v="2023-01-03T00:00:00"/>
    <x v="0"/>
    <d v="2023-01-31T00:00:00"/>
    <s v="Delay"/>
    <s v="1.January"/>
    <n v="1.23"/>
    <n v="2.625"/>
    <n v="956.93999999999994"/>
    <n v="2042.25"/>
    <s v="FOB"/>
    <x v="0"/>
    <x v="2"/>
    <n v="2"/>
    <n v="944.76923076923072"/>
  </r>
  <r>
    <m/>
    <x v="7"/>
    <x v="34"/>
    <s v="34319-38321-34330-08330   "/>
    <x v="0"/>
    <n v="11346"/>
    <d v="2023-01-05T00:00:00"/>
    <d v="2023-01-31T00:00:00"/>
    <x v="0"/>
    <d v="2023-02-07T00:00:00"/>
    <s v="Delay"/>
    <s v="1.January"/>
    <n v="1.0703807509254364"/>
    <n v="2.19"/>
    <n v="12144.54"/>
    <n v="24847.739999999998"/>
    <s v="FOB"/>
    <x v="0"/>
    <x v="2"/>
    <n v="23"/>
    <n v="10864.846153846152"/>
  </r>
  <r>
    <m/>
    <x v="7"/>
    <x v="17"/>
    <s v="DRESSMOTEA578     LC22"/>
    <x v="1"/>
    <n v="1002"/>
    <d v="2023-01-04T00:00:00"/>
    <d v="2023-01-06T00:00:00"/>
    <x v="0"/>
    <d v="2023-01-31T00:00:00"/>
    <s v="Delay"/>
    <s v="1.January"/>
    <n v="1.23"/>
    <n v="2.625"/>
    <n v="1232.46"/>
    <n v="2630.25"/>
    <s v="FOB"/>
    <x v="0"/>
    <x v="2"/>
    <n v="3"/>
    <n v="1417.1538461538462"/>
  </r>
  <r>
    <m/>
    <x v="7"/>
    <x v="33"/>
    <s v="SHIRTARAM ADR POLOSN22"/>
    <x v="1"/>
    <n v="54"/>
    <d v="2023-01-05T00:00:00"/>
    <d v="2023-01-05T00:00:00"/>
    <x v="0"/>
    <d v="2023-01-09T00:00:00"/>
    <s v="Delay"/>
    <s v="1.January"/>
    <n v="2.71"/>
    <n v="6.0432999999999995"/>
    <n v="146.34"/>
    <n v="326.33819999999997"/>
    <s v="FOB"/>
    <x v="0"/>
    <x v="2"/>
    <n v="1"/>
    <n v="472.38461538461536"/>
  </r>
  <r>
    <m/>
    <x v="7"/>
    <x v="33"/>
    <s v="SHIRTARATS-FLEX 2 SN22"/>
    <x v="1"/>
    <n v="93"/>
    <d v="2023-01-05T00:00:00"/>
    <d v="2023-01-05T00:00:00"/>
    <x v="0"/>
    <d v="2023-01-09T00:00:00"/>
    <s v="Delay"/>
    <s v="1.January"/>
    <n v="2.15"/>
    <n v="4.7945000000000002"/>
    <n v="199.95"/>
    <n v="445.88850000000002"/>
    <s v="FOB"/>
    <x v="0"/>
    <x v="2"/>
    <n v="1"/>
    <n v="472.38461538461536"/>
  </r>
  <r>
    <m/>
    <x v="7"/>
    <x v="34"/>
    <s v="34319-34330-08330 "/>
    <x v="1"/>
    <n v="10839"/>
    <d v="2023-01-07T00:00:00"/>
    <d v="2023-01-31T00:00:00"/>
    <x v="0"/>
    <d v="2023-02-07T00:00:00"/>
    <s v="Delay"/>
    <s v="1.January"/>
    <n v="1.0709382784389703"/>
    <n v="2.19"/>
    <n v="11607.9"/>
    <n v="23737.41"/>
    <s v="FOB"/>
    <x v="0"/>
    <x v="2"/>
    <n v="21"/>
    <n v="9920.076923076922"/>
  </r>
  <r>
    <m/>
    <x v="7"/>
    <x v="34"/>
    <s v="TSHRTMFL08319     23SS"/>
    <x v="3"/>
    <n v="1958"/>
    <d v="2023-01-02T00:00:00"/>
    <d v="2023-01-05T00:00:00"/>
    <x v="0"/>
    <d v="2023-01-17T00:00:00"/>
    <s v="Delay"/>
    <s v="1.January"/>
    <n v="1.01"/>
    <n v="1.8680000000000001"/>
    <n v="1977.58"/>
    <n v="3657.5440000000003"/>
    <s v="FOB"/>
    <x v="0"/>
    <x v="2"/>
    <n v="4"/>
    <n v="1889.5384615384614"/>
  </r>
  <r>
    <m/>
    <x v="7"/>
    <x v="17"/>
    <s v="EA438-EA606-EA514"/>
    <x v="3"/>
    <n v="2449"/>
    <d v="2023-01-06T00:00:00"/>
    <d v="2023-01-12T00:00:00"/>
    <x v="0"/>
    <d v="2023-01-31T00:00:00"/>
    <s v="Delay"/>
    <s v="1.January"/>
    <n v="2.1500000000000004"/>
    <n v="5.25"/>
    <n v="5265.3500000000013"/>
    <n v="12857.25"/>
    <s v="FOB"/>
    <x v="0"/>
    <x v="2"/>
    <n v="6"/>
    <n v="2834.3076923076924"/>
  </r>
  <r>
    <m/>
    <x v="7"/>
    <x v="34"/>
    <s v="SP-TSMFL44303     23SS"/>
    <x v="3"/>
    <n v="6732"/>
    <d v="2023-01-13T00:00:00"/>
    <d v="2023-01-31T00:00:00"/>
    <x v="0"/>
    <d v="2023-02-07T00:00:00"/>
    <s v="Delay"/>
    <s v="1.January"/>
    <n v="1.44"/>
    <n v="2.19"/>
    <n v="9694.08"/>
    <n v="14743.08"/>
    <s v="FOB"/>
    <x v="0"/>
    <x v="2"/>
    <n v="16"/>
    <n v="7558.1538461538457"/>
  </r>
  <r>
    <m/>
    <x v="7"/>
    <x v="34"/>
    <s v="TSHRTMFL08319     23SS"/>
    <x v="10"/>
    <n v="1980"/>
    <d v="2023-01-02T00:00:00"/>
    <d v="2023-01-05T00:00:00"/>
    <x v="0"/>
    <d v="2023-01-17T00:00:00"/>
    <s v="Delay"/>
    <s v="1.January"/>
    <n v="1.01"/>
    <n v="1.8680000000000001"/>
    <n v="1999.8"/>
    <n v="3698.6400000000003"/>
    <s v="FOB"/>
    <x v="0"/>
    <x v="2"/>
    <n v="4"/>
    <n v="1889.5384615384614"/>
  </r>
  <r>
    <m/>
    <x v="7"/>
    <x v="17"/>
    <s v="EA438-EA606-EA514"/>
    <x v="10"/>
    <n v="2366"/>
    <d v="2023-01-06T00:00:00"/>
    <d v="2023-01-12T00:00:00"/>
    <x v="0"/>
    <d v="2023-01-31T00:00:00"/>
    <s v="Delay"/>
    <s v="1.January"/>
    <n v="2.15"/>
    <n v="5.25"/>
    <n v="5086.8999999999996"/>
    <n v="12421.5"/>
    <s v="FOB"/>
    <x v="0"/>
    <x v="2"/>
    <n v="6"/>
    <n v="2834.3076923076924"/>
  </r>
  <r>
    <m/>
    <x v="7"/>
    <x v="34"/>
    <s v="SP-TSMFL44303     23SS"/>
    <x v="10"/>
    <n v="6539"/>
    <d v="2023-01-13T00:00:00"/>
    <d v="2023-01-31T00:00:00"/>
    <x v="0"/>
    <d v="2023-02-07T00:00:00"/>
    <s v="Delay"/>
    <s v="1.January"/>
    <n v="1.44"/>
    <n v="2.19"/>
    <n v="9416.16"/>
    <n v="14320.41"/>
    <s v="FOB"/>
    <x v="0"/>
    <x v="2"/>
    <n v="16"/>
    <n v="7558.1538461538457"/>
  </r>
  <r>
    <m/>
    <x v="7"/>
    <x v="34"/>
    <s v="TSHRTMFL08321     23SS"/>
    <x v="11"/>
    <n v="1680"/>
    <d v="2023-01-02T00:00:00"/>
    <d v="2023-01-04T00:00:00"/>
    <x v="0"/>
    <d v="2023-01-17T00:00:00"/>
    <s v="Delay"/>
    <s v="1.January"/>
    <n v="1.1299999999999999"/>
    <n v="1.8680000000000001"/>
    <n v="1898.3999999999999"/>
    <n v="3138.2400000000002"/>
    <s v="FOB"/>
    <x v="0"/>
    <x v="2"/>
    <n v="3"/>
    <n v="1417.1538461538462"/>
  </r>
  <r>
    <m/>
    <x v="7"/>
    <x v="34"/>
    <s v="TSHRTMFL34319     23SS"/>
    <x v="11"/>
    <n v="3023"/>
    <d v="2023-01-05T00:00:00"/>
    <d v="2023-01-14T00:00:00"/>
    <x v="0"/>
    <d v="2023-01-17T00:00:00"/>
    <s v="Delay"/>
    <s v="1.January"/>
    <n v="1.0099999999999998"/>
    <n v="1.8680000000000001"/>
    <n v="3053.2299999999996"/>
    <n v="5646.9639999999999"/>
    <s v="FOB"/>
    <x v="0"/>
    <x v="2"/>
    <n v="9"/>
    <n v="4251.4615384615381"/>
  </r>
  <r>
    <m/>
    <x v="7"/>
    <x v="34"/>
    <s v="PSHRTMFL07ML301   23SS"/>
    <x v="11"/>
    <n v="5185"/>
    <d v="2023-01-15T00:00:00"/>
    <d v="2023-01-31T00:00:00"/>
    <x v="0"/>
    <d v="2023-02-07T00:00:00"/>
    <s v="Delay"/>
    <s v="1.January"/>
    <n v="0.94"/>
    <n v="2.19"/>
    <n v="4873.8999999999996"/>
    <n v="11355.15"/>
    <s v="FOB"/>
    <x v="0"/>
    <x v="2"/>
    <n v="14"/>
    <n v="6613.3846153846152"/>
  </r>
  <r>
    <m/>
    <x v="7"/>
    <x v="34"/>
    <s v="TSHRTMFL08321     23SS"/>
    <x v="12"/>
    <n v="1491"/>
    <d v="2023-01-02T00:00:00"/>
    <d v="2023-01-04T00:00:00"/>
    <x v="0"/>
    <d v="2023-01-17T00:00:00"/>
    <s v="Delay"/>
    <s v="1.January"/>
    <n v="1.1299999999999999"/>
    <n v="1.8680000000000001"/>
    <n v="1684.83"/>
    <n v="2785.1880000000001"/>
    <s v="FOB"/>
    <x v="0"/>
    <x v="2"/>
    <n v="3"/>
    <n v="1417.1538461538462"/>
  </r>
  <r>
    <m/>
    <x v="7"/>
    <x v="34"/>
    <s v="TSHRTMFL34319     23SS"/>
    <x v="12"/>
    <n v="2650"/>
    <d v="2023-01-05T00:00:00"/>
    <d v="2023-01-14T00:00:00"/>
    <x v="0"/>
    <d v="2023-01-17T00:00:00"/>
    <s v="Delay"/>
    <s v="1.January"/>
    <n v="1.01"/>
    <n v="1.8680000000000001"/>
    <n v="2676.5"/>
    <n v="4950.2000000000007"/>
    <s v="FOB"/>
    <x v="0"/>
    <x v="2"/>
    <n v="9"/>
    <n v="4251.4615384615381"/>
  </r>
  <r>
    <m/>
    <x v="7"/>
    <x v="34"/>
    <s v="PSHRTMFL07ML301   23SS"/>
    <x v="12"/>
    <n v="3772"/>
    <d v="2023-01-15T00:00:00"/>
    <d v="2023-01-31T00:00:00"/>
    <x v="0"/>
    <d v="2023-02-07T00:00:00"/>
    <s v="Delay"/>
    <s v="1.January"/>
    <n v="0.94"/>
    <n v="2.19"/>
    <n v="3545.68"/>
    <n v="8260.68"/>
    <s v="FOB"/>
    <x v="0"/>
    <x v="2"/>
    <n v="14"/>
    <n v="6613.3846153846152"/>
  </r>
  <r>
    <m/>
    <x v="7"/>
    <x v="10"/>
    <s v="PANT POSL660437-60454-60456-60687  "/>
    <x v="13"/>
    <n v="1597"/>
    <d v="2023-01-02T00:00:00"/>
    <d v="2023-01-07T00:00:00"/>
    <x v="0"/>
    <d v="2023-02-06T00:00:00"/>
    <s v="Delay"/>
    <s v="1.January"/>
    <n v="1.4113087038196619"/>
    <n v="1.61"/>
    <n v="2253.86"/>
    <n v="2571.17"/>
    <s v="FOB"/>
    <x v="0"/>
    <x v="2"/>
    <n v="6"/>
    <n v="2834.3076923076924"/>
  </r>
  <r>
    <m/>
    <x v="7"/>
    <x v="17"/>
    <s v="SPANTMOTEA584-EA417-EA730-EA732 "/>
    <x v="13"/>
    <n v="3959"/>
    <d v="2023-01-09T00:00:00"/>
    <d v="2023-01-21T00:00:00"/>
    <x v="0"/>
    <d v="2023-01-31T00:00:00"/>
    <s v="Delay"/>
    <s v="1.January"/>
    <n v="1.4474084364738571"/>
    <n v="3.11"/>
    <n v="5730.29"/>
    <n v="12312.49"/>
    <s v="FOB"/>
    <x v="0"/>
    <x v="2"/>
    <n v="12"/>
    <n v="5668.6153846153848"/>
  </r>
  <r>
    <m/>
    <x v="7"/>
    <x v="17"/>
    <s v="LEG  MOTEA472-EA705"/>
    <x v="13"/>
    <n v="2831"/>
    <d v="2023-01-22T00:00:00"/>
    <d v="2023-01-31T00:00:00"/>
    <x v="0"/>
    <d v="2023-01-31T00:00:00"/>
    <s v="Delay"/>
    <s v="1.January"/>
    <n v="1.2814023313316849"/>
    <n v="3.36"/>
    <n v="3627.65"/>
    <n v="9512.16"/>
    <s v="FOB"/>
    <x v="0"/>
    <x v="2"/>
    <n v="8"/>
    <n v="3779.0769230769229"/>
  </r>
  <r>
    <m/>
    <x v="7"/>
    <x v="10"/>
    <s v="PANT POSL60454-60437"/>
    <x v="14"/>
    <n v="2197"/>
    <d v="2023-01-02T00:00:00"/>
    <d v="2023-01-07T00:00:00"/>
    <x v="0"/>
    <d v="2023-02-06T00:00:00"/>
    <s v="Delay"/>
    <s v="1.January"/>
    <n v="1.3903504779244424"/>
    <n v="1.61"/>
    <n v="3054.6"/>
    <n v="3537.17"/>
    <s v="FOB"/>
    <x v="0"/>
    <x v="2"/>
    <n v="6"/>
    <n v="2834.3076923076924"/>
  </r>
  <r>
    <m/>
    <x v="7"/>
    <x v="17"/>
    <s v="SPANTMOTEA584-EA417-EA730-EA732 "/>
    <x v="14"/>
    <n v="4380"/>
    <d v="2023-01-09T00:00:00"/>
    <d v="2023-01-31T00:00:00"/>
    <x v="0"/>
    <d v="2023-01-31T00:00:00"/>
    <s v="Delay"/>
    <s v="1.January"/>
    <n v="1.32"/>
    <n v="3.11"/>
    <n v="5781.6"/>
    <n v="13621.8"/>
    <s v="FOB"/>
    <x v="0"/>
    <x v="2"/>
    <n v="20"/>
    <n v="9447.6923076923067"/>
  </r>
  <r>
    <m/>
    <x v="7"/>
    <x v="17"/>
    <s v="LEG  MOTEA555-EA705 "/>
    <x v="15"/>
    <n v="2620"/>
    <d v="2023-01-02T00:00:00"/>
    <d v="2023-01-31T00:00:00"/>
    <x v="0"/>
    <d v="2023-01-31T00:00:00"/>
    <s v="Delay"/>
    <s v="1.January"/>
    <n v="1.32"/>
    <n v="3.36"/>
    <n v="3458.4"/>
    <n v="8803.1999999999989"/>
    <s v="FOB"/>
    <x v="0"/>
    <x v="2"/>
    <n v="26"/>
    <n v="12282"/>
  </r>
  <r>
    <m/>
    <x v="7"/>
    <x v="34"/>
    <n v="8330"/>
    <x v="0"/>
    <n v="2980"/>
    <d v="2023-02-01T00:00:00"/>
    <d v="2023-02-05T00:00:00"/>
    <x v="1"/>
    <d v="2023-02-06T00:00:00"/>
    <s v="Delay"/>
    <s v="1.January"/>
    <n v="1.1000000000000001"/>
    <n v="2.2000000000000002"/>
    <n v="3278.0000000000005"/>
    <n v="6556.0000000000009"/>
    <s v="FOB"/>
    <x v="0"/>
    <x v="2"/>
    <n v="4"/>
    <n v="2047"/>
  </r>
  <r>
    <m/>
    <x v="7"/>
    <x v="34"/>
    <s v="NM23SS54373N"/>
    <x v="0"/>
    <n v="2900"/>
    <d v="2023-02-06T00:00:00"/>
    <d v="2023-02-07T00:00:00"/>
    <x v="1"/>
    <d v="2023-02-06T00:00:00"/>
    <s v="Ontime"/>
    <s v="2.February"/>
    <n v="0.76"/>
    <n v="1"/>
    <n v="2204"/>
    <n v="2900"/>
    <s v="FOB"/>
    <x v="0"/>
    <x v="2"/>
    <n v="2"/>
    <n v="1023.5"/>
  </r>
  <r>
    <m/>
    <x v="7"/>
    <x v="34"/>
    <s v="EC23SS54350"/>
    <x v="0"/>
    <n v="11500"/>
    <d v="2023-02-08T00:00:00"/>
    <d v="2023-02-19T00:00:00"/>
    <x v="1"/>
    <d v="2023-03-02T00:00:00"/>
    <s v="Ontime"/>
    <s v="2.February"/>
    <n v="0.42"/>
    <n v="1.05"/>
    <n v="4830"/>
    <n v="12075"/>
    <s v="FOB"/>
    <x v="0"/>
    <x v="2"/>
    <n v="10"/>
    <n v="5117.5"/>
  </r>
  <r>
    <m/>
    <x v="7"/>
    <x v="10"/>
    <s v="MAXCT18296 WB63175"/>
    <x v="0"/>
    <n v="2450"/>
    <d v="2023-02-20T00:00:00"/>
    <d v="2023-02-28T00:00:00"/>
    <x v="1"/>
    <d v="2023-04-04T00:00:00"/>
    <s v="Ontime"/>
    <s v="4.April"/>
    <n v="1.55"/>
    <n v="3.6115000000000004"/>
    <n v="3797.5"/>
    <n v="8848.1750000000011"/>
    <s v="FOB"/>
    <x v="0"/>
    <x v="2"/>
    <n v="8"/>
    <n v="4094"/>
  </r>
  <r>
    <m/>
    <x v="7"/>
    <x v="34"/>
    <n v="8330"/>
    <x v="1"/>
    <n v="2980"/>
    <d v="2023-02-01T00:00:00"/>
    <d v="2023-02-05T00:00:00"/>
    <x v="1"/>
    <d v="2023-02-06T00:00:00"/>
    <s v="Delay"/>
    <s v="1.January"/>
    <n v="1.1000000000000001"/>
    <n v="2.2000000000000002"/>
    <n v="3278.0000000000005"/>
    <n v="6556.0000000000009"/>
    <s v="FOB"/>
    <x v="0"/>
    <x v="2"/>
    <n v="4"/>
    <n v="2047"/>
  </r>
  <r>
    <m/>
    <x v="7"/>
    <x v="34"/>
    <s v="NM23SS54373N"/>
    <x v="1"/>
    <n v="2900"/>
    <d v="2023-02-06T00:00:00"/>
    <d v="2023-02-07T00:00:00"/>
    <x v="1"/>
    <d v="2023-02-06T00:00:00"/>
    <s v="Ontime"/>
    <s v="2.February"/>
    <n v="0.76"/>
    <n v="1"/>
    <n v="2204"/>
    <n v="2900"/>
    <s v="FOB"/>
    <x v="0"/>
    <x v="2"/>
    <n v="2"/>
    <n v="1023.5"/>
  </r>
  <r>
    <m/>
    <x v="7"/>
    <x v="34"/>
    <s v="EC23SS54350"/>
    <x v="1"/>
    <n v="11500"/>
    <d v="2023-02-08T00:00:00"/>
    <d v="2023-02-19T00:00:00"/>
    <x v="1"/>
    <d v="2023-03-02T00:00:00"/>
    <s v="Ontime"/>
    <s v="2.February"/>
    <n v="0.42"/>
    <n v="1.05"/>
    <n v="4830"/>
    <n v="12075"/>
    <s v="FOB"/>
    <x v="0"/>
    <x v="2"/>
    <n v="10"/>
    <n v="5117.5"/>
  </r>
  <r>
    <m/>
    <x v="7"/>
    <x v="10"/>
    <s v="MAXCT18296 WB63175"/>
    <x v="1"/>
    <n v="2450"/>
    <d v="2023-02-20T00:00:00"/>
    <d v="2023-02-28T00:00:00"/>
    <x v="1"/>
    <d v="2023-04-04T00:00:00"/>
    <s v="Ontime"/>
    <s v="4.April"/>
    <n v="1.55"/>
    <n v="3.6115000000000004"/>
    <n v="3797.5"/>
    <n v="8848.1750000000011"/>
    <s v="FOB"/>
    <x v="0"/>
    <x v="2"/>
    <n v="8"/>
    <n v="4094"/>
  </r>
  <r>
    <m/>
    <x v="7"/>
    <x v="34"/>
    <s v="EC23SS37ML301"/>
    <x v="3"/>
    <n v="3538"/>
    <d v="2023-02-01T00:00:00"/>
    <d v="2023-02-07T00:00:00"/>
    <x v="1"/>
    <d v="2023-02-07T00:00:00"/>
    <s v="Delay"/>
    <s v="1.January"/>
    <n v="0.94"/>
    <n v="1.85"/>
    <n v="3325.72"/>
    <n v="6545.3"/>
    <s v="FOB"/>
    <x v="0"/>
    <x v="2"/>
    <n v="6"/>
    <n v="3070.5"/>
  </r>
  <r>
    <m/>
    <x v="7"/>
    <x v="34"/>
    <s v="EC22SS07ML301"/>
    <x v="3"/>
    <n v="3125"/>
    <d v="2023-02-08T00:00:00"/>
    <d v="2023-02-14T00:00:00"/>
    <x v="1"/>
    <d v="2023-02-07T00:00:00"/>
    <s v="Ontime"/>
    <s v="1.January"/>
    <n v="0.94"/>
    <n v="1.85"/>
    <n v="2937.5"/>
    <n v="5781.25"/>
    <s v="FOB"/>
    <x v="0"/>
    <x v="2"/>
    <n v="6"/>
    <n v="3070.5"/>
  </r>
  <r>
    <m/>
    <x v="7"/>
    <x v="34"/>
    <s v="EC23SS24351"/>
    <x v="3"/>
    <n v="16000"/>
    <d v="2023-02-15T00:00:00"/>
    <d v="2023-02-28T00:00:00"/>
    <x v="1"/>
    <d v="2023-02-28T00:00:00"/>
    <s v="Ontime"/>
    <s v="3.March"/>
    <n v="0.42"/>
    <n v="1.05"/>
    <n v="6720"/>
    <n v="16800"/>
    <s v="FOB"/>
    <x v="0"/>
    <x v="2"/>
    <n v="12"/>
    <n v="6141"/>
  </r>
  <r>
    <m/>
    <x v="7"/>
    <x v="34"/>
    <s v="EC23SS07ML301"/>
    <x v="10"/>
    <n v="3538"/>
    <d v="2023-02-01T00:00:00"/>
    <d v="2023-02-07T00:00:00"/>
    <x v="1"/>
    <d v="2023-02-07T00:00:00"/>
    <s v="Delay"/>
    <s v="1.January"/>
    <n v="0.94"/>
    <n v="1.85"/>
    <n v="3325.72"/>
    <n v="6545.3"/>
    <s v="FOB"/>
    <x v="0"/>
    <x v="2"/>
    <n v="6"/>
    <n v="3070.5"/>
  </r>
  <r>
    <m/>
    <x v="7"/>
    <x v="34"/>
    <s v="EC23SS07ML301"/>
    <x v="10"/>
    <n v="3124"/>
    <d v="2023-02-08T00:00:00"/>
    <d v="2023-02-14T00:00:00"/>
    <x v="1"/>
    <d v="2023-02-07T00:00:00"/>
    <s v="Ontime"/>
    <s v="1.January"/>
    <n v="0.94"/>
    <n v="1.85"/>
    <n v="2936.56"/>
    <n v="5779.4000000000005"/>
    <s v="FOB"/>
    <x v="0"/>
    <x v="2"/>
    <n v="6"/>
    <n v="3070.5"/>
  </r>
  <r>
    <m/>
    <x v="7"/>
    <x v="34"/>
    <s v="EC23SS24351"/>
    <x v="10"/>
    <n v="16000"/>
    <d v="2023-02-15T00:00:00"/>
    <d v="2023-02-28T00:00:00"/>
    <x v="1"/>
    <d v="2023-02-28T00:00:00"/>
    <s v="Ontime"/>
    <s v="3.March"/>
    <n v="0.42"/>
    <n v="1.05"/>
    <n v="6720"/>
    <n v="16800"/>
    <s v="FOB"/>
    <x v="0"/>
    <x v="2"/>
    <n v="12"/>
    <n v="6141"/>
  </r>
  <r>
    <m/>
    <x v="7"/>
    <x v="34"/>
    <s v="EC23SS37ML301"/>
    <x v="11"/>
    <n v="5835"/>
    <d v="2023-02-01T00:00:00"/>
    <d v="2023-02-17T00:00:00"/>
    <x v="1"/>
    <d v="2023-02-07T00:00:00"/>
    <s v="Delay"/>
    <s v="1.January"/>
    <n v="0.94"/>
    <n v="1.85"/>
    <n v="5484.9"/>
    <n v="10794.75"/>
    <s v="FOB"/>
    <x v="0"/>
    <x v="2"/>
    <n v="15"/>
    <n v="7676.25"/>
  </r>
  <r>
    <m/>
    <x v="7"/>
    <x v="34"/>
    <s v="EC23AH54142N"/>
    <x v="11"/>
    <n v="13950"/>
    <d v="2023-02-18T00:00:00"/>
    <d v="2023-02-28T00:00:00"/>
    <x v="1"/>
    <d v="2023-04-24T00:00:00"/>
    <s v="Ontime"/>
    <s v="4.April"/>
    <n v="0.38"/>
    <n v="1.1000000000000001"/>
    <n v="5301"/>
    <n v="15345.000000000002"/>
    <s v="FOB"/>
    <x v="0"/>
    <x v="2"/>
    <n v="9"/>
    <n v="4605.75"/>
  </r>
  <r>
    <m/>
    <x v="7"/>
    <x v="34"/>
    <s v="EC23SS37ML301"/>
    <x v="12"/>
    <n v="5835"/>
    <d v="2023-02-01T00:00:00"/>
    <d v="2023-02-17T00:00:00"/>
    <x v="1"/>
    <d v="2023-02-07T00:00:00"/>
    <s v="Delay"/>
    <s v="1.January"/>
    <n v="0.94"/>
    <n v="1.85"/>
    <n v="5484.9"/>
    <n v="10794.75"/>
    <s v="FOB"/>
    <x v="0"/>
    <x v="2"/>
    <n v="15"/>
    <n v="7676.25"/>
  </r>
  <r>
    <m/>
    <x v="7"/>
    <x v="34"/>
    <s v="EC23AH54142N"/>
    <x v="12"/>
    <n v="13950"/>
    <d v="2023-02-18T00:00:00"/>
    <d v="2023-02-28T00:00:00"/>
    <x v="1"/>
    <d v="2023-04-24T00:00:00"/>
    <s v="Ontime"/>
    <s v="4.April"/>
    <n v="0.38"/>
    <n v="1.1000000000000001"/>
    <n v="5301"/>
    <n v="15345.000000000002"/>
    <s v="FOB"/>
    <x v="0"/>
    <x v="2"/>
    <n v="9"/>
    <n v="4605.75"/>
  </r>
  <r>
    <m/>
    <x v="7"/>
    <x v="17"/>
    <s v="EA711"/>
    <x v="13"/>
    <n v="600"/>
    <d v="2023-02-01T00:00:00"/>
    <d v="2023-02-03T00:00:00"/>
    <x v="1"/>
    <d v="2023-01-14T00:00:00"/>
    <s v="Delay"/>
    <s v="1.January"/>
    <n v="1.17"/>
    <n v="3.5693333333333337"/>
    <n v="702"/>
    <n v="2141.6000000000004"/>
    <s v="FOB"/>
    <x v="0"/>
    <x v="2"/>
    <n v="3"/>
    <n v="1535.25"/>
  </r>
  <r>
    <m/>
    <x v="7"/>
    <x v="17"/>
    <s v="EA691"/>
    <x v="13"/>
    <n v="750"/>
    <d v="2023-02-04T00:00:00"/>
    <d v="2023-02-07T00:00:00"/>
    <x v="1"/>
    <d v="2023-01-14T00:00:00"/>
    <s v="Ontime"/>
    <s v="1.January"/>
    <n v="2.15"/>
    <n v="5.6373333333333333"/>
    <n v="1612.5"/>
    <n v="4228"/>
    <s v="FOB"/>
    <x v="0"/>
    <x v="2"/>
    <n v="3"/>
    <n v="1535.25"/>
  </r>
  <r>
    <m/>
    <x v="7"/>
    <x v="17"/>
    <s v="EA437"/>
    <x v="13"/>
    <n v="750"/>
    <d v="2023-02-09T00:00:00"/>
    <d v="2023-02-12T00:00:00"/>
    <x v="1"/>
    <d v="2023-01-14T00:00:00"/>
    <s v="Delay"/>
    <s v="1.January"/>
    <n v="2.15"/>
    <n v="5.6373333333333333"/>
    <n v="1612.5"/>
    <n v="4228"/>
    <s v="FOB"/>
    <x v="0"/>
    <x v="2"/>
    <n v="3"/>
    <n v="1535.25"/>
  </r>
  <r>
    <m/>
    <x v="7"/>
    <x v="17"/>
    <s v="EA607"/>
    <x v="13"/>
    <n v="750"/>
    <d v="2023-02-14T00:00:00"/>
    <d v="2023-02-15T00:00:00"/>
    <x v="1"/>
    <d v="2023-01-14T00:00:00"/>
    <s v="Delay"/>
    <s v="1.January"/>
    <n v="1.17"/>
    <n v="3.5693333333333337"/>
    <n v="877.5"/>
    <n v="2677.0000000000005"/>
    <s v="FOB"/>
    <x v="0"/>
    <x v="2"/>
    <n v="2"/>
    <n v="1023.5"/>
  </r>
  <r>
    <m/>
    <x v="7"/>
    <x v="17"/>
    <s v="EA472"/>
    <x v="13"/>
    <n v="750"/>
    <d v="2023-02-16T00:00:00"/>
    <d v="2023-02-18T00:00:00"/>
    <x v="1"/>
    <d v="2023-01-14T00:00:00"/>
    <s v="Delay"/>
    <s v="1.January"/>
    <n v="1.38"/>
    <n v="4.1841666666666653"/>
    <n v="1035"/>
    <n v="3138.1249999999991"/>
    <s v="FOB"/>
    <x v="0"/>
    <x v="2"/>
    <n v="3"/>
    <n v="1535.25"/>
  </r>
  <r>
    <m/>
    <x v="7"/>
    <x v="34"/>
    <s v="EC23SS54354"/>
    <x v="13"/>
    <n v="12500"/>
    <d v="2023-02-16T00:00:00"/>
    <d v="2023-02-27T00:00:00"/>
    <x v="1"/>
    <d v="2023-03-02T00:00:00"/>
    <s v="Ontime"/>
    <s v="3.March"/>
    <n v="0.42"/>
    <n v="1.05"/>
    <n v="5250"/>
    <n v="13125"/>
    <s v="FOB"/>
    <x v="0"/>
    <x v="2"/>
    <n v="10"/>
    <n v="5117.5"/>
  </r>
  <r>
    <m/>
    <x v="7"/>
    <x v="17"/>
    <s v="EA711"/>
    <x v="14"/>
    <n v="600"/>
    <d v="2023-02-01T00:00:00"/>
    <d v="2023-02-03T00:00:00"/>
    <x v="1"/>
    <d v="2023-01-14T00:00:00"/>
    <s v="Delay"/>
    <s v="1.January"/>
    <n v="1.38"/>
    <n v="4.1841666666666653"/>
    <n v="827.99999999999989"/>
    <n v="2510.4999999999991"/>
    <s v="FOB"/>
    <x v="0"/>
    <x v="2"/>
    <n v="3"/>
    <n v="1535.25"/>
  </r>
  <r>
    <m/>
    <x v="7"/>
    <x v="17"/>
    <s v="EA691"/>
    <x v="14"/>
    <n v="750"/>
    <d v="2023-02-04T00:00:00"/>
    <d v="2023-02-07T00:00:00"/>
    <x v="1"/>
    <d v="2023-01-14T00:00:00"/>
    <s v="Delay"/>
    <s v="1.January"/>
    <n v="1.17"/>
    <n v="3.5693333333333337"/>
    <n v="877.5"/>
    <n v="2677.0000000000005"/>
    <s v="FOB"/>
    <x v="0"/>
    <x v="2"/>
    <n v="3"/>
    <n v="1535.25"/>
  </r>
  <r>
    <m/>
    <x v="7"/>
    <x v="17"/>
    <s v="EA437"/>
    <x v="14"/>
    <n v="750"/>
    <d v="2023-02-08T00:00:00"/>
    <d v="2023-02-12T00:00:00"/>
    <x v="1"/>
    <d v="2023-01-14T00:00:00"/>
    <s v="Ontime"/>
    <s v="1.January"/>
    <n v="2.15"/>
    <n v="5.6373333333333333"/>
    <n v="1612.5"/>
    <n v="4228"/>
    <s v="FOB"/>
    <x v="0"/>
    <x v="2"/>
    <n v="4"/>
    <n v="2047"/>
  </r>
  <r>
    <m/>
    <x v="7"/>
    <x v="17"/>
    <s v="EA607"/>
    <x v="14"/>
    <n v="750"/>
    <d v="2023-02-13T00:00:00"/>
    <d v="2023-02-15T00:00:00"/>
    <x v="1"/>
    <d v="2023-01-14T00:00:00"/>
    <s v="Delay"/>
    <s v="1.January"/>
    <n v="2.15"/>
    <n v="5.6373333333333333"/>
    <n v="1612.5"/>
    <n v="4228"/>
    <s v="FOB"/>
    <x v="0"/>
    <x v="2"/>
    <n v="3"/>
    <n v="1535.25"/>
  </r>
  <r>
    <m/>
    <x v="7"/>
    <x v="17"/>
    <s v="EA472"/>
    <x v="14"/>
    <n v="750"/>
    <d v="2023-02-16T00:00:00"/>
    <d v="2023-02-18T00:00:00"/>
    <x v="1"/>
    <d v="2023-01-14T00:00:00"/>
    <s v="Delay"/>
    <s v="1.January"/>
    <n v="1.17"/>
    <n v="3.5693333333333337"/>
    <n v="877.5"/>
    <n v="2677.0000000000005"/>
    <s v="FOB"/>
    <x v="0"/>
    <x v="2"/>
    <n v="3"/>
    <n v="1535.25"/>
  </r>
  <r>
    <m/>
    <x v="7"/>
    <x v="34"/>
    <s v="EC23SS54354"/>
    <x v="14"/>
    <n v="12500"/>
    <d v="2023-02-19T00:00:00"/>
    <d v="2023-02-28T00:00:00"/>
    <x v="1"/>
    <d v="2023-03-02T00:00:00"/>
    <s v="Ontime"/>
    <s v="3.March"/>
    <n v="0.42"/>
    <n v="1.05"/>
    <n v="5250"/>
    <n v="13125"/>
    <s v="FOB"/>
    <x v="0"/>
    <x v="2"/>
    <n v="8"/>
    <n v="4094"/>
  </r>
  <r>
    <m/>
    <x v="7"/>
    <x v="17"/>
    <s v="EA452"/>
    <x v="15"/>
    <n v="1500"/>
    <d v="2023-02-01T00:00:00"/>
    <d v="2023-02-06T00:00:00"/>
    <x v="1"/>
    <d v="2023-01-14T00:00:00"/>
    <s v="Ontime"/>
    <s v="1.January"/>
    <n v="1.17"/>
    <n v="3.5693333333333337"/>
    <n v="1755"/>
    <n v="5354.0000000000009"/>
    <s v="FOB"/>
    <x v="0"/>
    <x v="2"/>
    <n v="5"/>
    <n v="2558.75"/>
  </r>
  <r>
    <m/>
    <x v="7"/>
    <x v="34"/>
    <s v="EC23SS24351ï¼®"/>
    <x v="15"/>
    <n v="14000"/>
    <d v="2023-02-07T00:00:00"/>
    <d v="2023-02-28T00:00:00"/>
    <x v="1"/>
    <d v="2023-01-26T00:00:00"/>
    <s v="Ontime"/>
    <s v="1.January"/>
    <n v="0.42"/>
    <n v="1.05"/>
    <n v="5880"/>
    <n v="14700"/>
    <s v="FOB"/>
    <x v="0"/>
    <x v="2"/>
    <n v="19"/>
    <n v="9723.25"/>
  </r>
  <r>
    <m/>
    <x v="7"/>
    <x v="10"/>
    <s v="MAXCT18296 WB63175"/>
    <x v="0"/>
    <n v="2765"/>
    <d v="2023-03-01T00:00:00"/>
    <d v="2023-03-10T00:00:00"/>
    <x v="2"/>
    <d v="2023-04-04T00:00:00"/>
    <s v="Ontime"/>
    <s v="4.April"/>
    <n v="1.55"/>
    <n v="3.6115000000000004"/>
    <n v="4285.75"/>
    <n v="9985.7975000000006"/>
    <s v="FOB"/>
    <x v="0"/>
    <x v="2"/>
    <n v="9"/>
    <n v="4251.4615384615381"/>
  </r>
  <r>
    <m/>
    <x v="7"/>
    <x v="10"/>
    <s v="MAXCT18298 WB63176"/>
    <x v="0"/>
    <n v="4715"/>
    <d v="2023-03-11T00:00:00"/>
    <d v="2023-03-31T00:00:00"/>
    <x v="2"/>
    <d v="2023-04-04T00:00:00"/>
    <s v="Ontime"/>
    <s v="4.April"/>
    <n v="1.55"/>
    <n v="3.6115000000000004"/>
    <n v="7308.25"/>
    <n v="17028.222500000003"/>
    <s v="FOB"/>
    <x v="0"/>
    <x v="2"/>
    <n v="17"/>
    <n v="8030.538461538461"/>
  </r>
  <r>
    <m/>
    <x v="7"/>
    <x v="10"/>
    <s v="MAXCT18296 WB63175"/>
    <x v="1"/>
    <n v="2765"/>
    <d v="2023-03-01T00:00:00"/>
    <d v="2023-03-10T00:00:00"/>
    <x v="2"/>
    <d v="2023-04-04T00:00:00"/>
    <s v="Ontime"/>
    <s v="4.April"/>
    <n v="1.55"/>
    <n v="3.6115000000000004"/>
    <n v="4285.75"/>
    <n v="9985.7975000000006"/>
    <s v="FOB"/>
    <x v="0"/>
    <x v="2"/>
    <n v="9"/>
    <n v="4251.4615384615381"/>
  </r>
  <r>
    <m/>
    <x v="7"/>
    <x v="10"/>
    <s v="MAXCT18298 WB63176"/>
    <x v="1"/>
    <n v="4715"/>
    <d v="2023-03-11T00:00:00"/>
    <d v="2023-03-31T00:00:00"/>
    <x v="2"/>
    <d v="2023-04-04T00:00:00"/>
    <s v="Ontime"/>
    <s v="4.April"/>
    <n v="1.55"/>
    <n v="3.6115000000000004"/>
    <n v="7308.25"/>
    <n v="17028.222500000003"/>
    <s v="FOB"/>
    <x v="0"/>
    <x v="2"/>
    <n v="17"/>
    <n v="8030.538461538461"/>
  </r>
  <r>
    <m/>
    <x v="7"/>
    <x v="34"/>
    <s v="EC23AH24140"/>
    <x v="3"/>
    <n v="40000"/>
    <d v="2023-03-01T00:00:00"/>
    <d v="2023-03-31T00:00:00"/>
    <x v="2"/>
    <d v="2023-04-24T00:00:00"/>
    <s v="Ontime"/>
    <s v="4.April"/>
    <n v="0.45"/>
    <n v="1.1399999999999999"/>
    <n v="18000"/>
    <n v="45599.999999999993"/>
    <s v="FOB"/>
    <x v="0"/>
    <x v="2"/>
    <n v="26"/>
    <n v="12282"/>
  </r>
  <r>
    <m/>
    <x v="7"/>
    <x v="34"/>
    <s v="EC23AH24140"/>
    <x v="10"/>
    <n v="40000"/>
    <d v="2023-03-01T00:00:00"/>
    <d v="2023-03-31T00:00:00"/>
    <x v="2"/>
    <d v="2023-04-24T00:00:00"/>
    <s v="Ontime"/>
    <s v="4.April"/>
    <n v="0.45"/>
    <n v="1.1399999999999999"/>
    <n v="18000"/>
    <n v="45599.999999999993"/>
    <s v="FOB"/>
    <x v="0"/>
    <x v="2"/>
    <n v="26"/>
    <n v="12282"/>
  </r>
  <r>
    <m/>
    <x v="7"/>
    <x v="34"/>
    <s v="EC23AH54142N"/>
    <x v="11"/>
    <n v="4000"/>
    <d v="2023-03-01T00:00:00"/>
    <d v="2023-03-03T00:00:00"/>
    <x v="2"/>
    <d v="2023-04-24T00:00:00"/>
    <s v="Ontime"/>
    <s v="4.April"/>
    <n v="0.38"/>
    <n v="1.1000000000000001"/>
    <n v="1520"/>
    <n v="4400"/>
    <s v="FOB"/>
    <x v="0"/>
    <x v="2"/>
    <n v="3"/>
    <n v="1417.1538461538462"/>
  </r>
  <r>
    <m/>
    <x v="7"/>
    <x v="34"/>
    <s v="EC23AH54145N"/>
    <x v="11"/>
    <n v="18750"/>
    <d v="2023-03-04T00:00:00"/>
    <d v="2023-03-20T00:00:00"/>
    <x v="2"/>
    <d v="2023-04-24T00:00:00"/>
    <s v="Ontime"/>
    <s v="4.April"/>
    <n v="0.38"/>
    <n v="1.1000000000000001"/>
    <n v="7125"/>
    <n v="20625"/>
    <s v="FOB"/>
    <x v="0"/>
    <x v="2"/>
    <n v="14"/>
    <n v="6613.3846153846152"/>
  </r>
  <r>
    <m/>
    <x v="7"/>
    <x v="34"/>
    <s v="EC23AH24140N"/>
    <x v="11"/>
    <n v="13750"/>
    <d v="2023-03-21T00:00:00"/>
    <d v="2023-03-31T00:00:00"/>
    <x v="2"/>
    <d v="2023-04-24T00:00:00"/>
    <s v="Ontime"/>
    <s v="4.April"/>
    <n v="0.45"/>
    <n v="1.1000000000000001"/>
    <n v="6187.5"/>
    <n v="15125.000000000002"/>
    <s v="FOB"/>
    <x v="0"/>
    <x v="2"/>
    <n v="9"/>
    <n v="4251.4615384615381"/>
  </r>
  <r>
    <m/>
    <x v="7"/>
    <x v="34"/>
    <s v="EC23AH54142N"/>
    <x v="12"/>
    <n v="4000"/>
    <d v="2023-03-01T00:00:00"/>
    <d v="2023-03-03T00:00:00"/>
    <x v="2"/>
    <d v="2023-04-24T00:00:00"/>
    <s v="Ontime"/>
    <s v="4.April"/>
    <n v="0.38"/>
    <n v="1.1000000000000001"/>
    <n v="1520"/>
    <n v="4400"/>
    <s v="FOB"/>
    <x v="0"/>
    <x v="2"/>
    <n v="3"/>
    <n v="1417.1538461538462"/>
  </r>
  <r>
    <m/>
    <x v="7"/>
    <x v="34"/>
    <s v="EC23AH54145N"/>
    <x v="12"/>
    <n v="18750"/>
    <d v="2023-03-04T00:00:00"/>
    <d v="2023-03-20T00:00:00"/>
    <x v="2"/>
    <d v="2023-04-24T00:00:00"/>
    <s v="Ontime"/>
    <s v="4.April"/>
    <n v="0.38"/>
    <n v="1.1000000000000001"/>
    <n v="7125"/>
    <n v="20625"/>
    <s v="FOB"/>
    <x v="0"/>
    <x v="2"/>
    <n v="14"/>
    <n v="6613.3846153846152"/>
  </r>
  <r>
    <m/>
    <x v="7"/>
    <x v="34"/>
    <s v="EC23AH24140N"/>
    <x v="12"/>
    <n v="13750"/>
    <d v="2023-03-21T00:00:00"/>
    <d v="2023-03-31T00:00:00"/>
    <x v="2"/>
    <d v="2023-04-24T00:00:00"/>
    <s v="Ontime"/>
    <s v="4.April"/>
    <n v="0.45"/>
    <n v="1.1000000000000001"/>
    <n v="6187.5"/>
    <n v="15125.000000000002"/>
    <s v="FOB"/>
    <x v="0"/>
    <x v="2"/>
    <n v="9"/>
    <n v="4251.4615384615381"/>
  </r>
  <r>
    <m/>
    <x v="7"/>
    <x v="34"/>
    <s v="EC23AH54142"/>
    <x v="13"/>
    <n v="27000"/>
    <d v="2023-03-01T00:00:00"/>
    <d v="2023-03-31T00:00:00"/>
    <x v="2"/>
    <d v="2023-04-24T00:00:00"/>
    <s v="Ontime"/>
    <s v="4.April"/>
    <n v="0.38"/>
    <n v="1.1499999999999999"/>
    <n v="10260"/>
    <n v="31049.999999999996"/>
    <s v="FOB"/>
    <x v="0"/>
    <x v="2"/>
    <n v="26"/>
    <n v="12282"/>
  </r>
  <r>
    <m/>
    <x v="7"/>
    <x v="34"/>
    <s v="EC23AH54142"/>
    <x v="14"/>
    <n v="25000"/>
    <d v="2023-03-01T00:00:00"/>
    <d v="2023-03-31T00:00:00"/>
    <x v="2"/>
    <d v="2023-04-24T00:00:00"/>
    <s v="Ontime"/>
    <s v="4.April"/>
    <n v="0.38"/>
    <n v="1.1499999999999999"/>
    <n v="9500"/>
    <n v="28749.999999999996"/>
    <s v="FOB"/>
    <x v="0"/>
    <x v="2"/>
    <n v="26"/>
    <n v="12282"/>
  </r>
  <r>
    <m/>
    <x v="7"/>
    <x v="34"/>
    <s v="EC23AH54142"/>
    <x v="15"/>
    <n v="19000"/>
    <d v="2023-03-01T00:00:00"/>
    <d v="2023-03-31T00:00:00"/>
    <x v="2"/>
    <d v="2023-04-24T00:00:00"/>
    <s v="Ontime"/>
    <s v="4.April"/>
    <n v="0.38"/>
    <n v="1.1499999999999999"/>
    <n v="7220"/>
    <n v="21850"/>
    <s v="FOB"/>
    <x v="0"/>
    <x v="2"/>
    <n v="26"/>
    <n v="12282"/>
  </r>
  <r>
    <m/>
    <x v="7"/>
    <x v="34"/>
    <s v="EC23AH24140"/>
    <x v="0"/>
    <n v="17270"/>
    <d v="2023-04-01T00:00:00"/>
    <d v="2023-04-14T00:00:00"/>
    <x v="3"/>
    <d v="2023-04-24T00:00:00"/>
    <s v="Ontime"/>
    <s v="4.April"/>
    <n v="0.45"/>
    <n v="1.1399999999999999"/>
    <n v="7771.5"/>
    <n v="19687.8"/>
    <s v="FOB"/>
    <x v="0"/>
    <x v="2"/>
    <n v="11"/>
    <n v="6755.1"/>
  </r>
  <r>
    <m/>
    <x v="7"/>
    <x v="34"/>
    <s v="EC23AH24140"/>
    <x v="0"/>
    <n v="6500"/>
    <d v="2023-04-15T00:00:00"/>
    <d v="2023-04-23T00:00:00"/>
    <x v="3"/>
    <d v="2023-06-26T00:00:00"/>
    <s v="Ontime"/>
    <s v="6.June"/>
    <n v="0.45"/>
    <n v="1.1399999999999999"/>
    <n v="2925"/>
    <n v="7409.9999999999991"/>
    <s v="FOB"/>
    <x v="0"/>
    <x v="2"/>
    <n v="5"/>
    <n v="3070.5"/>
  </r>
  <r>
    <m/>
    <x v="7"/>
    <x v="34"/>
    <s v="EC23AH28145"/>
    <x v="0"/>
    <n v="6500"/>
    <d v="2023-04-26T00:00:00"/>
    <d v="2023-04-29T00:00:00"/>
    <x v="3"/>
    <d v="2023-04-24T00:00:00"/>
    <s v="Ontime"/>
    <s v="4.April"/>
    <n v="0.38"/>
    <n v="1.24"/>
    <n v="2470"/>
    <n v="8060"/>
    <s v="FOB"/>
    <x v="0"/>
    <x v="2"/>
    <n v="4"/>
    <n v="2456.4"/>
  </r>
  <r>
    <m/>
    <x v="7"/>
    <x v="34"/>
    <s v="EC23AH24140"/>
    <x v="1"/>
    <n v="13270"/>
    <d v="2023-04-01T00:00:00"/>
    <d v="2023-04-11T00:00:00"/>
    <x v="3"/>
    <d v="2023-04-24T00:00:00"/>
    <s v="Ontime"/>
    <s v="4.April"/>
    <n v="0.45"/>
    <n v="1.1399999999999999"/>
    <n v="5971.5"/>
    <n v="15127.8"/>
    <s v="FOB"/>
    <x v="0"/>
    <x v="2"/>
    <n v="8"/>
    <n v="4912.8"/>
  </r>
  <r>
    <m/>
    <x v="7"/>
    <x v="34"/>
    <s v="44101N"/>
    <x v="1"/>
    <n v="5000"/>
    <d v="2023-04-12T00:00:00"/>
    <d v="2023-04-26T00:00:00"/>
    <x v="3"/>
    <d v="2023-04-17T00:00:00"/>
    <s v="Delay"/>
    <s v="4.April"/>
    <n v="1.1200000000000001"/>
    <n v="3.25"/>
    <n v="5600.0000000000009"/>
    <n v="16250"/>
    <s v="FOB"/>
    <x v="0"/>
    <x v="2"/>
    <n v="9"/>
    <n v="5526.9000000000005"/>
  </r>
  <r>
    <m/>
    <x v="7"/>
    <x v="34"/>
    <s v="EC23AH24140"/>
    <x v="1"/>
    <n v="2000"/>
    <d v="2023-04-27T00:00:00"/>
    <d v="2023-04-29T00:00:00"/>
    <x v="3"/>
    <d v="2023-06-26T00:00:00"/>
    <s v="Ontime"/>
    <s v="6.June"/>
    <n v="0.45"/>
    <n v="1.1399999999999999"/>
    <n v="900"/>
    <n v="2280"/>
    <s v="FOB"/>
    <x v="0"/>
    <x v="2"/>
    <n v="3"/>
    <n v="1842.3000000000002"/>
  </r>
  <r>
    <m/>
    <x v="7"/>
    <x v="34"/>
    <s v="EC23AH54145"/>
    <x v="3"/>
    <n v="21520"/>
    <d v="2023-04-01T00:00:00"/>
    <d v="2023-04-17T00:00:00"/>
    <x v="3"/>
    <d v="2023-04-24T00:00:00"/>
    <s v="Ontime"/>
    <s v="4.April"/>
    <n v="0.38"/>
    <n v="1.1499999999999999"/>
    <n v="8177.6"/>
    <n v="24747.999999999996"/>
    <s v="FOB"/>
    <x v="0"/>
    <x v="2"/>
    <n v="13"/>
    <n v="7983.3"/>
  </r>
  <r>
    <m/>
    <x v="7"/>
    <x v="34"/>
    <s v="EC23AH28116"/>
    <x v="3"/>
    <n v="11750"/>
    <d v="2023-04-18T00:00:00"/>
    <d v="2023-04-29T00:00:00"/>
    <x v="3"/>
    <d v="2023-05-08T00:00:00"/>
    <s v="Ontime"/>
    <s v="5.May"/>
    <n v="0.76"/>
    <n v="1.95"/>
    <n v="8930"/>
    <n v="22912.5"/>
    <s v="FOB"/>
    <x v="0"/>
    <x v="2"/>
    <n v="7"/>
    <n v="4298.7"/>
  </r>
  <r>
    <m/>
    <x v="7"/>
    <x v="34"/>
    <s v="EC23AH54145"/>
    <x v="10"/>
    <n v="21520"/>
    <d v="2023-04-01T00:00:00"/>
    <d v="2023-04-17T00:00:00"/>
    <x v="3"/>
    <d v="2023-04-24T00:00:00"/>
    <s v="Ontime"/>
    <s v="4.April"/>
    <n v="0.38"/>
    <n v="1.1499999999999999"/>
    <n v="8177.6"/>
    <n v="24747.999999999996"/>
    <s v="FOB"/>
    <x v="0"/>
    <x v="2"/>
    <n v="13"/>
    <n v="7983.3"/>
  </r>
  <r>
    <m/>
    <x v="7"/>
    <x v="34"/>
    <s v="EC23AH28116"/>
    <x v="10"/>
    <n v="11750"/>
    <d v="2023-04-18T00:00:00"/>
    <d v="2023-04-29T00:00:00"/>
    <x v="3"/>
    <d v="2023-05-08T00:00:00"/>
    <s v="Ontime"/>
    <s v="5.May"/>
    <n v="0.76"/>
    <n v="1.95"/>
    <n v="8930"/>
    <n v="22912.5"/>
    <s v="FOB"/>
    <x v="0"/>
    <x v="2"/>
    <n v="7"/>
    <n v="4298.7"/>
  </r>
  <r>
    <m/>
    <x v="7"/>
    <x v="34"/>
    <s v="EC23AH24140N"/>
    <x v="11"/>
    <n v="11710"/>
    <d v="2023-04-01T00:00:00"/>
    <d v="2023-04-10T00:00:00"/>
    <x v="3"/>
    <d v="2023-04-24T00:00:00"/>
    <s v="Ontime"/>
    <s v="4.April"/>
    <n v="0.45"/>
    <n v="1.1000000000000001"/>
    <n v="5269.5"/>
    <n v="12881.000000000002"/>
    <s v="FOB"/>
    <x v="0"/>
    <x v="2"/>
    <n v="7"/>
    <n v="4298.7"/>
  </r>
  <r>
    <m/>
    <x v="7"/>
    <x v="34"/>
    <s v="EC23AH34116"/>
    <x v="11"/>
    <n v="5000"/>
    <d v="2023-04-11T00:00:00"/>
    <d v="2023-04-13T00:00:00"/>
    <x v="3"/>
    <d v="2023-05-15T00:00:00"/>
    <s v="Ontime"/>
    <s v="5.May"/>
    <n v="0.81"/>
    <n v="2.35"/>
    <n v="4050.0000000000005"/>
    <n v="11750"/>
    <s v="FOB"/>
    <x v="0"/>
    <x v="2"/>
    <n v="3"/>
    <n v="1842.3000000000002"/>
  </r>
  <r>
    <m/>
    <x v="7"/>
    <x v="34"/>
    <s v="EC23AH08116"/>
    <x v="11"/>
    <n v="5000"/>
    <d v="2023-04-14T00:00:00"/>
    <d v="2023-04-17T00:00:00"/>
    <x v="3"/>
    <d v="2023-05-18T00:00:00"/>
    <s v="Ontime"/>
    <s v="5.May"/>
    <n v="0.81"/>
    <n v="2.7"/>
    <n v="4050.0000000000005"/>
    <n v="13500"/>
    <s v="FOB"/>
    <x v="0"/>
    <x v="2"/>
    <n v="3"/>
    <n v="1842.3000000000002"/>
  </r>
  <r>
    <m/>
    <x v="7"/>
    <x v="34"/>
    <s v="EC23AH28142"/>
    <x v="11"/>
    <n v="11040"/>
    <d v="2023-04-18T00:00:00"/>
    <d v="2023-04-29T00:00:00"/>
    <x v="3"/>
    <d v="2023-06-26T00:00:00"/>
    <s v="Ontime"/>
    <s v="6.June"/>
    <n v="0.38"/>
    <n v="1.1499999999999999"/>
    <n v="4195.2"/>
    <n v="12695.999999999998"/>
    <s v="FOB"/>
    <x v="0"/>
    <x v="2"/>
    <n v="7"/>
    <n v="4298.7"/>
  </r>
  <r>
    <m/>
    <x v="7"/>
    <x v="34"/>
    <s v="EC23AH24140N"/>
    <x v="12"/>
    <n v="10000"/>
    <d v="2023-04-01T00:00:00"/>
    <d v="2023-04-08T00:00:00"/>
    <x v="3"/>
    <d v="2023-04-24T00:00:00"/>
    <s v="Ontime"/>
    <s v="4.April"/>
    <n v="0.45"/>
    <n v="1.1000000000000001"/>
    <n v="4500"/>
    <n v="11000"/>
    <s v="FOB"/>
    <x v="0"/>
    <x v="2"/>
    <n v="6"/>
    <n v="3684.6000000000004"/>
  </r>
  <r>
    <m/>
    <x v="7"/>
    <x v="34"/>
    <s v="EC23AH34116"/>
    <x v="12"/>
    <n v="4000"/>
    <d v="2023-04-09T00:00:00"/>
    <d v="2023-04-14T00:00:00"/>
    <x v="3"/>
    <d v="2023-05-15T00:00:00"/>
    <s v="Ontime"/>
    <s v="5.May"/>
    <n v="0.81"/>
    <n v="2.35"/>
    <n v="3240"/>
    <n v="9400"/>
    <s v="FOB"/>
    <x v="0"/>
    <x v="2"/>
    <n v="5"/>
    <n v="3070.5"/>
  </r>
  <r>
    <m/>
    <x v="7"/>
    <x v="34"/>
    <s v="EC23AH08116"/>
    <x v="12"/>
    <n v="6000"/>
    <d v="2023-04-15T00:00:00"/>
    <d v="2023-04-27T00:00:00"/>
    <x v="3"/>
    <d v="2023-05-18T00:00:00"/>
    <s v="Ontime"/>
    <s v="5.May"/>
    <n v="0.81"/>
    <n v="2.7"/>
    <n v="4860"/>
    <n v="16200.000000000002"/>
    <s v="FOB"/>
    <x v="0"/>
    <x v="2"/>
    <n v="7"/>
    <n v="4298.7"/>
  </r>
  <r>
    <m/>
    <x v="7"/>
    <x v="34"/>
    <s v="EC23AH28142"/>
    <x v="12"/>
    <n v="2000"/>
    <d v="2023-04-28T00:00:00"/>
    <d v="2023-04-29T00:00:00"/>
    <x v="3"/>
    <d v="2023-06-26T00:00:00"/>
    <s v="Ontime"/>
    <s v="6.June"/>
    <n v="0.38"/>
    <n v="1.1499999999999999"/>
    <n v="760"/>
    <n v="2300"/>
    <s v="FOB"/>
    <x v="0"/>
    <x v="2"/>
    <n v="2"/>
    <n v="1228.2"/>
  </r>
  <r>
    <m/>
    <x v="7"/>
    <x v="34"/>
    <s v="EC23AH54142"/>
    <x v="13"/>
    <n v="21000"/>
    <d v="2023-04-01T00:00:00"/>
    <d v="2023-04-29T00:00:00"/>
    <x v="3"/>
    <d v="2023-04-24T00:00:00"/>
    <s v="Ontime"/>
    <s v="4.April"/>
    <n v="0.38"/>
    <n v="1.1499999999999999"/>
    <n v="7980"/>
    <n v="24149.999999999996"/>
    <s v="FOB"/>
    <x v="0"/>
    <x v="2"/>
    <n v="20"/>
    <n v="12282"/>
  </r>
  <r>
    <m/>
    <x v="7"/>
    <x v="34"/>
    <s v="EC23AH54142"/>
    <x v="14"/>
    <n v="21000"/>
    <d v="2023-04-01T00:00:00"/>
    <d v="2023-04-29T00:00:00"/>
    <x v="3"/>
    <d v="2023-04-24T00:00:00"/>
    <s v="Ontime"/>
    <s v="4.April"/>
    <n v="0.38"/>
    <n v="1.1499999999999999"/>
    <n v="7980"/>
    <n v="24149.999999999996"/>
    <s v="FOB"/>
    <x v="0"/>
    <x v="2"/>
    <n v="20"/>
    <n v="12282"/>
  </r>
  <r>
    <m/>
    <x v="7"/>
    <x v="34"/>
    <s v="EC23AH58116"/>
    <x v="15"/>
    <n v="11000"/>
    <d v="2023-04-01T00:00:00"/>
    <d v="2023-04-14T00:00:00"/>
    <x v="3"/>
    <d v="2023-06-26T00:00:00"/>
    <s v="Ontime"/>
    <s v="6.June"/>
    <n v="0.76"/>
    <n v="2.25"/>
    <n v="8360"/>
    <n v="24750"/>
    <s v="FOB"/>
    <x v="0"/>
    <x v="2"/>
    <n v="11"/>
    <n v="6755.1"/>
  </r>
  <r>
    <m/>
    <x v="7"/>
    <x v="34"/>
    <s v="EC23AH28116"/>
    <x v="15"/>
    <n v="9400"/>
    <d v="2023-04-15T00:00:00"/>
    <d v="2023-04-29T00:00:00"/>
    <x v="3"/>
    <d v="2023-06-26T00:00:00"/>
    <s v="Ontime"/>
    <s v="6.June"/>
    <n v="0.76"/>
    <n v="1.95"/>
    <n v="7144"/>
    <n v="18330"/>
    <s v="FOB"/>
    <x v="0"/>
    <x v="2"/>
    <n v="9"/>
    <n v="5526.9000000000005"/>
  </r>
  <r>
    <m/>
    <x v="7"/>
    <x v="34"/>
    <s v="EC23AH28145"/>
    <x v="0"/>
    <n v="19000"/>
    <d v="2023-05-02T00:00:00"/>
    <d v="2023-05-15T00:00:00"/>
    <x v="4"/>
    <d v="2023-04-24T00:00:00"/>
    <s v="Ontime"/>
    <s v="4.April"/>
    <n v="0.38"/>
    <n v="1.24"/>
    <n v="7220"/>
    <n v="23560"/>
    <s v="FOB"/>
    <x v="0"/>
    <x v="2"/>
    <n v="12"/>
    <n v="5895.36"/>
  </r>
  <r>
    <m/>
    <x v="7"/>
    <x v="34"/>
    <s v="EC23AH24140"/>
    <x v="0"/>
    <n v="3000"/>
    <d v="2023-05-16T00:00:00"/>
    <d v="2023-05-17T00:00:00"/>
    <x v="4"/>
    <d v="2023-06-26T00:00:00"/>
    <s v="Ontime"/>
    <s v="6.June"/>
    <n v="0.45"/>
    <n v="1.1399999999999999"/>
    <n v="1350"/>
    <n v="3419.9999999999995"/>
    <s v="FOB"/>
    <x v="0"/>
    <x v="2"/>
    <n v="2"/>
    <n v="982.56"/>
  </r>
  <r>
    <m/>
    <x v="7"/>
    <x v="34"/>
    <s v="EC23AH24140"/>
    <x v="0"/>
    <n v="18000"/>
    <d v="2023-05-18T00:00:00"/>
    <d v="2023-05-31T00:00:00"/>
    <x v="4"/>
    <d v="2023-06-26T00:00:00"/>
    <s v="Ontime"/>
    <s v="6.June"/>
    <n v="0.45"/>
    <n v="1.1399999999999999"/>
    <n v="8100"/>
    <n v="20520"/>
    <s v="FOB"/>
    <x v="0"/>
    <x v="2"/>
    <n v="11"/>
    <n v="5404.08"/>
  </r>
  <r>
    <m/>
    <x v="7"/>
    <x v="34"/>
    <s v="EC23AH28145"/>
    <x v="1"/>
    <n v="23000"/>
    <d v="2023-05-02T00:00:00"/>
    <d v="2023-05-17T00:00:00"/>
    <x v="4"/>
    <d v="2023-04-24T00:00:00"/>
    <s v="Ontime"/>
    <s v="4.April"/>
    <n v="0.38"/>
    <n v="1.24"/>
    <n v="8740"/>
    <n v="28520"/>
    <s v="FOB"/>
    <x v="0"/>
    <x v="2"/>
    <n v="14"/>
    <n v="6877.92"/>
  </r>
  <r>
    <m/>
    <x v="7"/>
    <x v="34"/>
    <s v="EC23AH24140"/>
    <x v="1"/>
    <n v="18400"/>
    <d v="2023-05-18T00:00:00"/>
    <d v="2023-05-31T00:00:00"/>
    <x v="4"/>
    <d v="2023-06-26T00:00:00"/>
    <s v="Ontime"/>
    <s v="6.June"/>
    <n v="0.45"/>
    <n v="1.1399999999999999"/>
    <n v="8280"/>
    <n v="20976"/>
    <s v="FOB"/>
    <x v="0"/>
    <x v="2"/>
    <n v="11"/>
    <n v="5404.08"/>
  </r>
  <r>
    <m/>
    <x v="7"/>
    <x v="34"/>
    <s v="EC23AH24140"/>
    <x v="3"/>
    <n v="3000"/>
    <d v="2023-05-02T00:00:00"/>
    <d v="2023-05-03T00:00:00"/>
    <x v="4"/>
    <d v="2023-06-26T00:00:00"/>
    <s v="Ontime"/>
    <s v="6.June"/>
    <n v="0.45"/>
    <n v="1.1399999999999999"/>
    <n v="1350"/>
    <n v="3419.9999999999995"/>
    <s v="FOB"/>
    <x v="0"/>
    <x v="2"/>
    <n v="2"/>
    <n v="982.56"/>
  </r>
  <r>
    <m/>
    <x v="7"/>
    <x v="34"/>
    <s v="EC23AH28142"/>
    <x v="3"/>
    <n v="36000"/>
    <d v="2023-05-04T00:00:00"/>
    <d v="2023-05-31T00:00:00"/>
    <x v="4"/>
    <d v="2023-04-24T00:00:00"/>
    <s v="Delay"/>
    <s v="4.April"/>
    <n v="0.38"/>
    <n v="1.1499999999999999"/>
    <n v="13680"/>
    <n v="41400"/>
    <s v="FOB"/>
    <x v="0"/>
    <x v="2"/>
    <n v="23"/>
    <n v="11299.439999999999"/>
  </r>
  <r>
    <m/>
    <x v="7"/>
    <x v="34"/>
    <s v="EC23AH24140"/>
    <x v="10"/>
    <n v="3000"/>
    <d v="2023-05-02T00:00:00"/>
    <d v="2023-05-03T00:00:00"/>
    <x v="4"/>
    <d v="2023-06-26T00:00:00"/>
    <s v="Ontime"/>
    <s v="6.June"/>
    <n v="0.45"/>
    <n v="1.1399999999999999"/>
    <n v="1350"/>
    <n v="3419.9999999999995"/>
    <s v="FOB"/>
    <x v="0"/>
    <x v="2"/>
    <n v="2"/>
    <n v="982.56"/>
  </r>
  <r>
    <m/>
    <x v="7"/>
    <x v="34"/>
    <s v="EC23AH28142"/>
    <x v="10"/>
    <n v="36000"/>
    <d v="2023-05-04T00:00:00"/>
    <d v="2023-05-31T00:00:00"/>
    <x v="4"/>
    <d v="2023-04-24T00:00:00"/>
    <s v="Delay"/>
    <s v="4.April"/>
    <n v="0.38"/>
    <n v="1.1499999999999999"/>
    <n v="13680"/>
    <n v="41400"/>
    <s v="FOB"/>
    <x v="0"/>
    <x v="2"/>
    <n v="23"/>
    <n v="11299.439999999999"/>
  </r>
  <r>
    <m/>
    <x v="7"/>
    <x v="34"/>
    <s v="EC23AH28142"/>
    <x v="11"/>
    <n v="2960"/>
    <d v="2023-05-02T00:00:00"/>
    <d v="2023-05-03T00:00:00"/>
    <x v="4"/>
    <d v="2023-06-26T00:00:00"/>
    <s v="Ontime"/>
    <s v="6.June"/>
    <n v="0.38"/>
    <n v="1.1499999999999999"/>
    <n v="1124.8"/>
    <n v="3403.9999999999995"/>
    <s v="FOB"/>
    <x v="0"/>
    <x v="2"/>
    <n v="2"/>
    <n v="982.56"/>
  </r>
  <r>
    <m/>
    <x v="7"/>
    <x v="34"/>
    <s v="EC23AH54142"/>
    <x v="11"/>
    <n v="12750"/>
    <d v="2023-05-04T00:00:00"/>
    <d v="2023-05-12T00:00:00"/>
    <x v="4"/>
    <d v="2023-07-24T00:00:00"/>
    <s v="Ontime"/>
    <s v="7.July"/>
    <n v="0.38"/>
    <n v="1.1499999999999999"/>
    <n v="4845"/>
    <n v="14662.499999999998"/>
    <s v="FOB"/>
    <x v="0"/>
    <x v="2"/>
    <n v="8"/>
    <n v="3930.24"/>
  </r>
  <r>
    <m/>
    <x v="7"/>
    <x v="34"/>
    <s v="EC23AH54142N"/>
    <x v="11"/>
    <n v="9550"/>
    <d v="2023-05-13T00:00:00"/>
    <d v="2023-05-22T00:00:00"/>
    <x v="4"/>
    <d v="2023-07-05T00:00:00"/>
    <s v="Ontime"/>
    <s v="7.July"/>
    <n v="0.38"/>
    <n v="1.1000000000000001"/>
    <n v="3629"/>
    <n v="10505"/>
    <s v="FOB"/>
    <x v="0"/>
    <x v="2"/>
    <n v="7"/>
    <n v="3438.96"/>
  </r>
  <r>
    <m/>
    <x v="7"/>
    <x v="34"/>
    <s v="EC23AH28142"/>
    <x v="12"/>
    <n v="4160"/>
    <d v="2023-05-02T00:00:00"/>
    <d v="2023-05-04T00:00:00"/>
    <x v="4"/>
    <d v="2023-06-26T00:00:00"/>
    <s v="Ontime"/>
    <s v="6.June"/>
    <n v="0.38"/>
    <n v="1.1499999999999999"/>
    <n v="1580.8"/>
    <n v="4784"/>
    <s v="FOB"/>
    <x v="0"/>
    <x v="2"/>
    <n v="3"/>
    <n v="1473.84"/>
  </r>
  <r>
    <m/>
    <x v="7"/>
    <x v="34"/>
    <s v="EC23AH54142"/>
    <x v="12"/>
    <n v="12750"/>
    <d v="2023-05-05T00:00:00"/>
    <d v="2023-05-13T00:00:00"/>
    <x v="4"/>
    <d v="2023-07-24T00:00:00"/>
    <s v="Ontime"/>
    <s v="7.July"/>
    <n v="0.38"/>
    <n v="1.1499999999999999"/>
    <n v="4845"/>
    <n v="14662.499999999998"/>
    <s v="FOB"/>
    <x v="0"/>
    <x v="2"/>
    <n v="8"/>
    <n v="3930.24"/>
  </r>
  <r>
    <m/>
    <x v="7"/>
    <x v="34"/>
    <s v="EC23AH54142N"/>
    <x v="12"/>
    <n v="9550"/>
    <d v="2023-05-14T00:00:00"/>
    <d v="2023-05-23T00:00:00"/>
    <x v="4"/>
    <d v="2023-07-05T00:00:00"/>
    <s v="Ontime"/>
    <s v="7.July"/>
    <n v="0.38"/>
    <n v="1.1000000000000001"/>
    <n v="3629"/>
    <n v="10505"/>
    <s v="FOB"/>
    <x v="0"/>
    <x v="2"/>
    <n v="7"/>
    <n v="3438.96"/>
  </r>
  <r>
    <m/>
    <x v="7"/>
    <x v="34"/>
    <s v="EC23AH54151"/>
    <x v="13"/>
    <n v="9600"/>
    <d v="2023-05-02T00:00:00"/>
    <d v="2023-05-11T00:00:00"/>
    <x v="4"/>
    <d v="2023-06-26T00:00:00"/>
    <s v="Ontime"/>
    <s v="6.June"/>
    <n v="0.43"/>
    <n v="1.1499999999999999"/>
    <n v="4128"/>
    <n v="11040"/>
    <s v="FOB"/>
    <x v="0"/>
    <x v="2"/>
    <n v="9"/>
    <n v="4421.5199999999995"/>
  </r>
  <r>
    <m/>
    <x v="7"/>
    <x v="35"/>
    <s v="Chutex - JCP - SJB T-shirt"/>
    <x v="13"/>
    <n v="17000"/>
    <d v="2023-05-12T00:00:00"/>
    <d v="2023-05-31T00:00:00"/>
    <x v="4"/>
    <d v="2023-06-26T00:00:00"/>
    <s v="Ontime"/>
    <s v="6.June"/>
    <n v="0.69"/>
    <n v="1.73"/>
    <n v="11730"/>
    <n v="29410"/>
    <s v="FOB"/>
    <x v="0"/>
    <x v="2"/>
    <n v="16"/>
    <n v="7860.48"/>
  </r>
  <r>
    <m/>
    <x v="7"/>
    <x v="35"/>
    <s v="Chutex - JCP - SJB T-shirt"/>
    <x v="14"/>
    <n v="10000"/>
    <d v="2023-05-02T00:00:00"/>
    <d v="2023-05-11T00:00:00"/>
    <x v="4"/>
    <d v="2023-06-26T00:00:00"/>
    <s v="Ontime"/>
    <s v="6.June"/>
    <n v="0.69"/>
    <n v="1.73"/>
    <n v="6899.9999999999991"/>
    <n v="17300"/>
    <s v="FOB"/>
    <x v="0"/>
    <x v="2"/>
    <n v="9"/>
    <n v="4421.5199999999995"/>
  </r>
  <r>
    <m/>
    <x v="7"/>
    <x v="35"/>
    <s v="Chutex - JCP - SJB T-shirt"/>
    <x v="14"/>
    <n v="16800"/>
    <d v="2023-05-12T00:00:00"/>
    <d v="2023-05-31T00:00:00"/>
    <x v="4"/>
    <d v="2023-06-26T00:00:00"/>
    <s v="Ontime"/>
    <s v="6.June"/>
    <n v="0.69"/>
    <n v="1.73"/>
    <n v="11592"/>
    <n v="29064"/>
    <s v="FOB"/>
    <x v="0"/>
    <x v="2"/>
    <n v="16"/>
    <n v="7860.48"/>
  </r>
  <r>
    <m/>
    <x v="7"/>
    <x v="35"/>
    <s v="Chutex - JCP - SJB T-shirt"/>
    <x v="15"/>
    <n v="9400"/>
    <d v="2023-05-02T00:00:00"/>
    <d v="2023-05-11T00:00:00"/>
    <x v="4"/>
    <d v="2023-06-26T00:00:00"/>
    <s v="Ontime"/>
    <s v="6.June"/>
    <n v="0.69"/>
    <n v="1.73"/>
    <n v="6485.9999999999991"/>
    <n v="16262"/>
    <s v="FOB"/>
    <x v="0"/>
    <x v="2"/>
    <n v="9"/>
    <n v="4421.5199999999995"/>
  </r>
  <r>
    <m/>
    <x v="7"/>
    <x v="35"/>
    <s v="Chutex - JCP - SJB T-shirt"/>
    <x v="11"/>
    <n v="5200"/>
    <d v="2023-05-23T00:00:00"/>
    <d v="2023-05-31T00:00:00"/>
    <x v="4"/>
    <s v="5 May"/>
    <s v="Ontime"/>
    <s v="6.June"/>
    <n v="0.69"/>
    <n v="1.73"/>
    <n v="3587.9999999999995"/>
    <n v="8996"/>
    <s v="FOB"/>
    <x v="0"/>
    <x v="2"/>
    <n v="8"/>
    <n v="3930.24"/>
  </r>
  <r>
    <m/>
    <x v="7"/>
    <x v="35"/>
    <s v="Chutex - JCP - SJB T-shirt"/>
    <x v="12"/>
    <n v="4600"/>
    <d v="2023-05-24T00:00:00"/>
    <d v="2023-05-31T00:00:00"/>
    <x v="4"/>
    <s v="5 May"/>
    <s v="Ontime"/>
    <s v="6.June"/>
    <n v="0.69"/>
    <n v="1.73"/>
    <n v="3173.9999999999995"/>
    <n v="7958"/>
    <s v="FOB"/>
    <x v="0"/>
    <x v="2"/>
    <n v="7"/>
    <n v="3438.96"/>
  </r>
  <r>
    <m/>
    <x v="7"/>
    <x v="35"/>
    <s v="Chutex - JCP - SJB T-shirt"/>
    <x v="15"/>
    <n v="7000"/>
    <d v="2023-05-12T00:00:00"/>
    <d v="2023-05-31T00:00:00"/>
    <x v="4"/>
    <s v="6 Juni"/>
    <s v="Ontime"/>
    <s v="5.May"/>
    <n v="0.69"/>
    <n v="1.73"/>
    <n v="4830"/>
    <n v="12110"/>
    <s v="FOB"/>
    <x v="0"/>
    <x v="2"/>
    <n v="16"/>
    <n v="7860.48"/>
  </r>
  <r>
    <m/>
    <x v="7"/>
    <x v="34"/>
    <s v="EC23AH54142"/>
    <x v="3"/>
    <n v="12750"/>
    <d v="2023-06-01T00:00:00"/>
    <d v="2023-06-10T00:00:00"/>
    <x v="5"/>
    <d v="2023-06-29T00:00:00"/>
    <s v="Ontime"/>
    <s v="6.June"/>
    <n v="0.38"/>
    <n v="1.1499999999999999"/>
    <n v="4845"/>
    <n v="14662.499999999998"/>
    <s v="FOB"/>
    <x v="0"/>
    <x v="2"/>
    <n v="8"/>
    <n v="4094"/>
  </r>
  <r>
    <m/>
    <x v="7"/>
    <x v="34"/>
    <s v="EC23AH24140N"/>
    <x v="3"/>
    <n v="9000"/>
    <d v="2023-06-11T00:00:00"/>
    <d v="2023-06-17T00:00:00"/>
    <x v="5"/>
    <d v="2023-07-03T00:00:00"/>
    <s v="Ontime"/>
    <s v="7.July"/>
    <n v="0.45"/>
    <n v="1.1000000000000001"/>
    <n v="4050"/>
    <n v="9900"/>
    <s v="FOB"/>
    <x v="0"/>
    <x v="2"/>
    <n v="6"/>
    <n v="3070.5"/>
  </r>
  <r>
    <m/>
    <x v="7"/>
    <x v="34"/>
    <s v="EC23AH54145"/>
    <x v="3"/>
    <n v="6000"/>
    <d v="2023-06-18T00:00:00"/>
    <d v="2023-06-22T00:00:00"/>
    <x v="5"/>
    <d v="2023-07-24T00:00:00"/>
    <s v="Ontime"/>
    <s v="7.July"/>
    <n v="0.38"/>
    <n v="1.1499999999999999"/>
    <n v="2280"/>
    <n v="6899.9999999999991"/>
    <s v="FOB"/>
    <x v="0"/>
    <x v="2"/>
    <n v="4"/>
    <n v="2047"/>
  </r>
  <r>
    <m/>
    <x v="7"/>
    <x v="34"/>
    <s v="EC23AH54145"/>
    <x v="3"/>
    <n v="7500"/>
    <d v="2023-06-23T00:00:00"/>
    <d v="2023-06-30T00:00:00"/>
    <x v="5"/>
    <d v="2023-07-24T00:00:00"/>
    <s v="Ontime"/>
    <s v="7.July"/>
    <n v="0.38"/>
    <n v="1.1499999999999999"/>
    <n v="2850"/>
    <n v="8625"/>
    <s v="FOB"/>
    <x v="0"/>
    <x v="2"/>
    <n v="6"/>
    <n v="3070.5"/>
  </r>
  <r>
    <m/>
    <x v="7"/>
    <x v="34"/>
    <s v="EC23AH54142"/>
    <x v="10"/>
    <n v="12750"/>
    <d v="2023-06-01T00:00:00"/>
    <d v="2023-06-10T00:00:00"/>
    <x v="5"/>
    <d v="2023-06-29T00:00:00"/>
    <s v="Ontime"/>
    <s v="6.June"/>
    <n v="0.38"/>
    <n v="1.1499999999999999"/>
    <n v="4845"/>
    <n v="14662.499999999998"/>
    <s v="FOB"/>
    <x v="0"/>
    <x v="2"/>
    <n v="8"/>
    <n v="4094"/>
  </r>
  <r>
    <m/>
    <x v="7"/>
    <x v="34"/>
    <s v="EC23AH24140N"/>
    <x v="10"/>
    <n v="9000"/>
    <d v="2023-06-11T00:00:00"/>
    <d v="2023-06-17T00:00:00"/>
    <x v="5"/>
    <d v="2023-07-03T00:00:00"/>
    <s v="Ontime"/>
    <s v="7.July"/>
    <n v="0.45"/>
    <n v="1.1000000000000001"/>
    <n v="4050"/>
    <n v="9900"/>
    <s v="FOB"/>
    <x v="0"/>
    <x v="2"/>
    <n v="6"/>
    <n v="3070.5"/>
  </r>
  <r>
    <m/>
    <x v="7"/>
    <x v="34"/>
    <s v="EC23AH54145"/>
    <x v="10"/>
    <n v="6000"/>
    <d v="2023-06-18T00:00:00"/>
    <d v="2023-06-22T00:00:00"/>
    <x v="5"/>
    <d v="2023-07-24T00:00:00"/>
    <s v="Ontime"/>
    <s v="7.July"/>
    <n v="0.38"/>
    <n v="1.1499999999999999"/>
    <n v="2280"/>
    <n v="6899.9999999999991"/>
    <s v="FOB"/>
    <x v="0"/>
    <x v="2"/>
    <n v="4"/>
    <n v="2047"/>
  </r>
  <r>
    <m/>
    <x v="7"/>
    <x v="34"/>
    <s v="EC23AH54145"/>
    <x v="10"/>
    <n v="7500"/>
    <d v="2023-06-23T00:00:00"/>
    <d v="2023-06-30T00:00:00"/>
    <x v="5"/>
    <d v="2023-07-24T00:00:00"/>
    <s v="Ontime"/>
    <s v="7.July"/>
    <n v="0.38"/>
    <n v="1.1499999999999999"/>
    <n v="2850"/>
    <n v="8625"/>
    <s v="FOB"/>
    <x v="0"/>
    <x v="2"/>
    <n v="6"/>
    <n v="3070.5"/>
  </r>
  <r>
    <m/>
    <x v="7"/>
    <x v="34"/>
    <s v="EC23AH24140"/>
    <x v="13"/>
    <n v="5300"/>
    <d v="2023-06-01T00:00:00"/>
    <d v="2023-06-07T00:00:00"/>
    <x v="5"/>
    <d v="2023-07-24T00:00:00"/>
    <s v="Ontime"/>
    <s v="7.July"/>
    <n v="0.45"/>
    <n v="1.1399999999999999"/>
    <n v="2385"/>
    <n v="6041.9999999999991"/>
    <s v="FOB"/>
    <x v="0"/>
    <x v="2"/>
    <n v="5"/>
    <n v="2558.75"/>
  </r>
  <r>
    <m/>
    <x v="7"/>
    <x v="34"/>
    <s v="EC23AH24140"/>
    <x v="13"/>
    <n v="19800"/>
    <d v="2023-06-08T00:00:00"/>
    <d v="2023-06-30T00:00:00"/>
    <x v="5"/>
    <d v="2023-07-24T00:00:00"/>
    <s v="Ontime"/>
    <s v="7.July"/>
    <n v="0.45"/>
    <n v="1.1399999999999999"/>
    <n v="8910"/>
    <n v="22571.999999999996"/>
    <s v="FOB"/>
    <x v="0"/>
    <x v="2"/>
    <n v="19"/>
    <n v="9723.25"/>
  </r>
  <r>
    <m/>
    <x v="7"/>
    <x v="34"/>
    <s v="EC23AH24140"/>
    <x v="14"/>
    <n v="5300"/>
    <d v="2023-06-01T00:00:00"/>
    <d v="2023-06-07T00:00:00"/>
    <x v="5"/>
    <d v="2023-07-24T00:00:00"/>
    <s v="Ontime"/>
    <s v="7.July"/>
    <n v="0.45"/>
    <n v="1.1399999999999999"/>
    <n v="2385"/>
    <n v="6041.9999999999991"/>
    <s v="FOB"/>
    <x v="0"/>
    <x v="2"/>
    <n v="5"/>
    <n v="2558.75"/>
  </r>
  <r>
    <m/>
    <x v="7"/>
    <x v="34"/>
    <s v="EC23AH24140"/>
    <x v="14"/>
    <n v="19800"/>
    <d v="2023-06-08T00:00:00"/>
    <d v="2023-06-30T00:00:00"/>
    <x v="5"/>
    <d v="2023-07-24T00:00:00"/>
    <s v="Ontime"/>
    <s v="7.July"/>
    <n v="0.45"/>
    <n v="1.1399999999999999"/>
    <n v="8910"/>
    <n v="22571.999999999996"/>
    <s v="FOB"/>
    <x v="0"/>
    <x v="2"/>
    <n v="19"/>
    <n v="9723.25"/>
  </r>
  <r>
    <m/>
    <x v="7"/>
    <x v="33"/>
    <s v="ADRENALIN"/>
    <x v="0"/>
    <n v="3380"/>
    <d v="2023-06-01T00:00:00"/>
    <d v="2023-06-07T00:00:00"/>
    <x v="5"/>
    <s v="6 Juni"/>
    <s v="Ontime"/>
    <s v="6.June"/>
    <n v="2"/>
    <n v="6.15"/>
    <n v="6760"/>
    <n v="20787"/>
    <s v="FOB"/>
    <x v="2"/>
    <x v="2"/>
    <n v="5"/>
    <n v="2558.75"/>
  </r>
  <r>
    <m/>
    <x v="7"/>
    <x v="33"/>
    <s v="ADRENALIN"/>
    <x v="0"/>
    <n v="3200"/>
    <d v="2023-06-08T00:00:00"/>
    <d v="2023-06-13T00:00:00"/>
    <x v="5"/>
    <s v="6 Juni"/>
    <s v="Ontime"/>
    <s v="6.June"/>
    <n v="2"/>
    <n v="6.15"/>
    <n v="6400"/>
    <n v="19680"/>
    <s v="FOB"/>
    <x v="2"/>
    <x v="2"/>
    <n v="5"/>
    <n v="2558.75"/>
  </r>
  <r>
    <m/>
    <x v="7"/>
    <x v="33"/>
    <s v="ADRENALIN"/>
    <x v="0"/>
    <n v="3000"/>
    <d v="2023-06-14T00:00:00"/>
    <d v="2023-06-18T00:00:00"/>
    <x v="5"/>
    <s v="6 Juni"/>
    <s v="Ontime"/>
    <s v="6.June"/>
    <n v="2"/>
    <n v="6.15"/>
    <n v="6000"/>
    <n v="18450"/>
    <s v="FOB"/>
    <x v="2"/>
    <x v="2"/>
    <n v="4"/>
    <n v="2047"/>
  </r>
  <r>
    <m/>
    <x v="7"/>
    <x v="34"/>
    <s v="NISHIMATSUYA"/>
    <x v="0"/>
    <n v="5600"/>
    <d v="2023-06-19T00:00:00"/>
    <d v="2023-06-30T00:00:00"/>
    <x v="5"/>
    <s v="7 July"/>
    <s v="Ontime"/>
    <s v="7.July"/>
    <n v="0.92"/>
    <n v="2.4"/>
    <n v="5152"/>
    <n v="13440"/>
    <s v="FOB"/>
    <x v="0"/>
    <x v="2"/>
    <n v="10"/>
    <n v="5117.5"/>
  </r>
  <r>
    <m/>
    <x v="7"/>
    <x v="33"/>
    <s v="ADRENALIN"/>
    <x v="1"/>
    <n v="3380"/>
    <d v="2023-06-01T00:00:00"/>
    <d v="2023-06-07T00:00:00"/>
    <x v="5"/>
    <s v="6 Juni"/>
    <s v="Ontime"/>
    <s v="6.June"/>
    <n v="2"/>
    <n v="6.15"/>
    <n v="6760"/>
    <n v="20787"/>
    <s v="FOB"/>
    <x v="2"/>
    <x v="2"/>
    <n v="5"/>
    <n v="2558.75"/>
  </r>
  <r>
    <m/>
    <x v="7"/>
    <x v="33"/>
    <s v="ADRENALIN"/>
    <x v="1"/>
    <n v="3800"/>
    <d v="2023-06-08T00:00:00"/>
    <d v="2023-06-14T00:00:00"/>
    <x v="5"/>
    <s v="6 Juni"/>
    <s v="Ontime"/>
    <s v="6.June"/>
    <n v="2"/>
    <n v="6.15"/>
    <n v="7600"/>
    <n v="23370"/>
    <s v="FOB"/>
    <x v="2"/>
    <x v="2"/>
    <n v="6"/>
    <n v="3070.5"/>
  </r>
  <r>
    <m/>
    <x v="7"/>
    <x v="33"/>
    <s v="ADRENALIN"/>
    <x v="1"/>
    <n v="3000"/>
    <d v="2023-06-15T00:00:00"/>
    <d v="2023-06-19T00:00:00"/>
    <x v="5"/>
    <s v="6 Juni"/>
    <s v="Ontime"/>
    <s v="6.June"/>
    <n v="2"/>
    <n v="6.15"/>
    <n v="6000"/>
    <n v="18450"/>
    <s v="FOB"/>
    <x v="2"/>
    <x v="2"/>
    <n v="4"/>
    <n v="2047"/>
  </r>
  <r>
    <m/>
    <x v="7"/>
    <x v="34"/>
    <s v="NISHIMATSUYA"/>
    <x v="1"/>
    <n v="5000"/>
    <d v="2023-06-20T00:00:00"/>
    <d v="2023-06-30T00:00:00"/>
    <x v="5"/>
    <s v="7 July"/>
    <s v="Ontime"/>
    <s v="7.July"/>
    <n v="0.92"/>
    <n v="2.4"/>
    <n v="4600"/>
    <n v="12000"/>
    <s v="FOB"/>
    <x v="0"/>
    <x v="2"/>
    <n v="9"/>
    <n v="4605.75"/>
  </r>
  <r>
    <m/>
    <x v="7"/>
    <x v="34"/>
    <s v="NISHIMATSUYA"/>
    <x v="11"/>
    <n v="13380"/>
    <d v="2023-06-01T00:00:00"/>
    <d v="2023-06-10T00:00:00"/>
    <x v="5"/>
    <s v="6 Juni"/>
    <s v="Ontime"/>
    <s v="6.June"/>
    <n v="0.38"/>
    <n v="0.91199999999999992"/>
    <n v="5084.3999999999996"/>
    <n v="12202.56"/>
    <s v="FOB"/>
    <x v="0"/>
    <x v="2"/>
    <n v="8"/>
    <n v="4094"/>
  </r>
  <r>
    <m/>
    <x v="7"/>
    <x v="35"/>
    <s v="Chutex - JCP - SJB T-shirt"/>
    <x v="11"/>
    <n v="5800"/>
    <d v="2023-06-11T00:00:00"/>
    <d v="2023-06-20T00:00:00"/>
    <x v="5"/>
    <s v="6 Juni"/>
    <s v="Ontime"/>
    <s v="6.June"/>
    <n v="0.69"/>
    <n v="1.73"/>
    <n v="4001.9999999999995"/>
    <n v="10034"/>
    <s v="FOB"/>
    <x v="2"/>
    <x v="2"/>
    <n v="8"/>
    <n v="4094"/>
  </r>
  <r>
    <m/>
    <x v="7"/>
    <x v="34"/>
    <s v="NISHIMATSUYA"/>
    <x v="11"/>
    <n v="13440"/>
    <d v="2023-06-21T00:00:00"/>
    <d v="2023-06-30T00:00:00"/>
    <x v="5"/>
    <s v="7 July"/>
    <s v="Ontime"/>
    <s v="7.July"/>
    <n v="0.38"/>
    <n v="0.91199999999999992"/>
    <n v="5107.2"/>
    <n v="12257.279999999999"/>
    <s v="FOB"/>
    <x v="0"/>
    <x v="2"/>
    <n v="8"/>
    <n v="4094"/>
  </r>
  <r>
    <m/>
    <x v="7"/>
    <x v="34"/>
    <s v="NISHIMATSUYA"/>
    <x v="12"/>
    <n v="13380"/>
    <d v="2023-06-01T00:00:00"/>
    <d v="2023-06-10T00:00:00"/>
    <x v="5"/>
    <s v="6 Juni"/>
    <s v="Ontime"/>
    <s v="6.June"/>
    <n v="0.38"/>
    <n v="0.91199999999999992"/>
    <n v="5084.3999999999996"/>
    <n v="12202.56"/>
    <s v="FOB"/>
    <x v="0"/>
    <x v="2"/>
    <n v="8"/>
    <n v="4094"/>
  </r>
  <r>
    <m/>
    <x v="7"/>
    <x v="35"/>
    <s v="Chutex - JCP - SJB T-shirt"/>
    <x v="12"/>
    <n v="5800"/>
    <d v="2023-06-11T00:00:00"/>
    <d v="2023-06-20T00:00:00"/>
    <x v="5"/>
    <s v="6 Juni"/>
    <s v="Ontime"/>
    <s v="6.June"/>
    <n v="0.69"/>
    <n v="1.73"/>
    <n v="4001.9999999999995"/>
    <n v="10034"/>
    <s v="FOB"/>
    <x v="2"/>
    <x v="2"/>
    <n v="8"/>
    <n v="4094"/>
  </r>
  <r>
    <m/>
    <x v="7"/>
    <x v="35"/>
    <s v="Chutex - JCP - SJB T-shirt"/>
    <x v="12"/>
    <n v="10000"/>
    <d v="2023-06-21T00:00:00"/>
    <d v="2023-06-30T00:00:00"/>
    <x v="5"/>
    <s v="7 July"/>
    <s v="Ontime"/>
    <s v="7.July"/>
    <n v="0.69"/>
    <n v="1.73"/>
    <n v="6899.9999999999991"/>
    <n v="17300"/>
    <s v="FOB"/>
    <x v="0"/>
    <x v="2"/>
    <n v="8"/>
    <n v="4094"/>
  </r>
  <r>
    <m/>
    <x v="7"/>
    <x v="35"/>
    <s v="Chutex - JCP - SJB T-shirt"/>
    <x v="15"/>
    <n v="9500"/>
    <d v="2023-06-01T00:00:00"/>
    <d v="2023-06-12T00:00:00"/>
    <x v="5"/>
    <s v="6 Juni"/>
    <s v="Ontime"/>
    <s v="6.June"/>
    <n v="0.69"/>
    <n v="1.73"/>
    <n v="6554.9999999999991"/>
    <n v="16435"/>
    <s v="FOB"/>
    <x v="0"/>
    <x v="2"/>
    <n v="9"/>
    <n v="4605.75"/>
  </r>
  <r>
    <m/>
    <x v="7"/>
    <x v="35"/>
    <s v="Chutex - JCP - SJB T-shirt"/>
    <x v="15"/>
    <n v="3900"/>
    <d v="2023-06-13T00:00:00"/>
    <d v="2023-06-17T00:00:00"/>
    <x v="5"/>
    <s v="6 Juni"/>
    <s v="Ontime"/>
    <s v="6.June"/>
    <n v="0.69"/>
    <n v="1.73"/>
    <n v="2691"/>
    <n v="6747"/>
    <s v="FOB"/>
    <x v="2"/>
    <x v="2"/>
    <n v="5"/>
    <n v="2558.75"/>
  </r>
  <r>
    <m/>
    <x v="7"/>
    <x v="34"/>
    <s v="NISHIMATSUYA"/>
    <x v="15"/>
    <n v="9800"/>
    <d v="2023-06-18T00:00:00"/>
    <d v="2023-06-30T00:00:00"/>
    <x v="5"/>
    <s v="7 July"/>
    <s v="Ontime"/>
    <s v="7.July"/>
    <n v="0.38"/>
    <n v="0.91199999999999992"/>
    <n v="3724"/>
    <n v="8937.5999999999985"/>
    <s v="FOB"/>
    <x v="0"/>
    <x v="2"/>
    <n v="10"/>
    <n v="5117.5"/>
  </r>
  <r>
    <m/>
    <x v="7"/>
    <x v="17"/>
    <s v="MOTHERCARE"/>
    <x v="0"/>
    <n v="15050"/>
    <d v="2023-07-10T00:00:00"/>
    <d v="2023-07-31T00:00:00"/>
    <x v="6"/>
    <s v="7 July"/>
    <s v="Ontime"/>
    <s v="7.July"/>
    <n v="1.1000000000000001"/>
    <n v="2.95"/>
    <n v="16555"/>
    <n v="44397.5"/>
    <s v="FOB"/>
    <x v="2"/>
    <x v="2"/>
    <n v="18"/>
    <n v="9091.44"/>
  </r>
  <r>
    <m/>
    <x v="7"/>
    <x v="33"/>
    <s v="ADRENALIN"/>
    <x v="0"/>
    <n v="5000"/>
    <d v="2023-07-01T00:00:00"/>
    <d v="2023-07-09T00:00:00"/>
    <x v="6"/>
    <s v="9 September"/>
    <s v="Ontime"/>
    <s v="9 Sept"/>
    <n v="2"/>
    <n v="6.15"/>
    <n v="10000"/>
    <n v="30750"/>
    <s v="FOB"/>
    <x v="2"/>
    <x v="2"/>
    <n v="7"/>
    <n v="3535.56"/>
  </r>
  <r>
    <m/>
    <x v="7"/>
    <x v="17"/>
    <s v="MOTHERCARE"/>
    <x v="1"/>
    <n v="11050"/>
    <d v="2023-07-01T00:00:00"/>
    <d v="2023-07-20T00:00:00"/>
    <x v="6"/>
    <s v="7 July"/>
    <s v="Ontime"/>
    <s v="7.July"/>
    <n v="1.1000000000000001"/>
    <n v="2.95"/>
    <n v="12155.000000000002"/>
    <n v="32597.500000000004"/>
    <s v="FOB"/>
    <x v="2"/>
    <x v="2"/>
    <n v="16"/>
    <n v="8081.28"/>
  </r>
  <r>
    <m/>
    <x v="7"/>
    <x v="34"/>
    <s v="NISHIMATSUYA"/>
    <x v="1"/>
    <n v="5000"/>
    <d v="2023-07-21T00:00:00"/>
    <d v="2023-07-31T00:00:00"/>
    <x v="6"/>
    <s v="7 July"/>
    <s v="Ontime"/>
    <s v="9 Sept"/>
    <n v="0.92"/>
    <n v="2.4"/>
    <n v="4600"/>
    <n v="12000"/>
    <s v="FOB"/>
    <x v="0"/>
    <x v="2"/>
    <n v="9"/>
    <n v="4545.72"/>
  </r>
  <r>
    <m/>
    <x v="7"/>
    <x v="17"/>
    <s v="MOTHERCARE"/>
    <x v="3"/>
    <n v="15050"/>
    <d v="2023-07-01T00:00:00"/>
    <d v="2023-07-31T00:00:00"/>
    <x v="6"/>
    <s v="7 July"/>
    <s v="Ontime"/>
    <s v="7.July"/>
    <n v="1.1000000000000001"/>
    <n v="2.95"/>
    <n v="16555"/>
    <n v="44397.5"/>
    <s v="FOB"/>
    <x v="2"/>
    <x v="2"/>
    <n v="25"/>
    <n v="12627"/>
  </r>
  <r>
    <m/>
    <x v="7"/>
    <x v="17"/>
    <s v="MOTHERCARE"/>
    <x v="10"/>
    <n v="15050"/>
    <d v="2023-07-01T00:00:00"/>
    <d v="2023-07-22T00:00:00"/>
    <x v="6"/>
    <s v="7 July"/>
    <s v="Ontime"/>
    <s v="7.July"/>
    <n v="1.1000000000000001"/>
    <n v="2.95"/>
    <n v="16555"/>
    <n v="44397.5"/>
    <s v="FOB"/>
    <x v="2"/>
    <x v="2"/>
    <n v="18"/>
    <n v="9091.44"/>
  </r>
  <r>
    <m/>
    <x v="7"/>
    <x v="33"/>
    <s v="ADRENALIN"/>
    <x v="10"/>
    <n v="4600"/>
    <d v="2023-07-23T00:00:00"/>
    <d v="2023-07-31T00:00:00"/>
    <x v="6"/>
    <s v="7 July"/>
    <s v="Ontime"/>
    <s v="7.July"/>
    <n v="2"/>
    <n v="6.15"/>
    <n v="9200"/>
    <n v="28290"/>
    <s v="FOB"/>
    <x v="2"/>
    <x v="2"/>
    <n v="7"/>
    <n v="3535.56"/>
  </r>
  <r>
    <m/>
    <x v="7"/>
    <x v="33"/>
    <s v="ADRENALIN"/>
    <x v="11"/>
    <n v="5200"/>
    <d v="2023-07-01T00:00:00"/>
    <d v="2023-07-10T00:00:00"/>
    <x v="6"/>
    <s v="7 July"/>
    <s v="Ontime"/>
    <s v="7.July"/>
    <n v="2"/>
    <n v="6.15"/>
    <n v="10400"/>
    <n v="31980.000000000004"/>
    <s v="FOB"/>
    <x v="2"/>
    <x v="2"/>
    <n v="8"/>
    <n v="4040.64"/>
  </r>
  <r>
    <m/>
    <x v="7"/>
    <x v="35"/>
    <s v="Chutex - JCP - SJB T-shirt"/>
    <x v="11"/>
    <n v="12500"/>
    <d v="2023-07-11T00:00:00"/>
    <d v="2023-07-31T00:00:00"/>
    <x v="6"/>
    <s v="6 Juni"/>
    <s v="Ontime"/>
    <s v="8 Agustus"/>
    <n v="0.69"/>
    <n v="2.4642857142857144"/>
    <n v="8625"/>
    <n v="30803.571428571431"/>
    <s v="FOB"/>
    <x v="2"/>
    <x v="2"/>
    <n v="17"/>
    <n v="8586.36"/>
  </r>
  <r>
    <m/>
    <x v="7"/>
    <x v="34"/>
    <s v="NISHIMATSUYA"/>
    <x v="12"/>
    <n v="11200"/>
    <d v="2023-07-01T00:00:00"/>
    <d v="2023-07-20T00:00:00"/>
    <x v="6"/>
    <s v="8 Agustus"/>
    <s v="Ontime"/>
    <s v="8 Agustus"/>
    <n v="0.38"/>
    <n v="0.91199999999999992"/>
    <n v="4256"/>
    <n v="10214.4"/>
    <s v="FOB"/>
    <x v="2"/>
    <x v="2"/>
    <n v="16"/>
    <n v="8081.28"/>
  </r>
  <r>
    <m/>
    <x v="7"/>
    <x v="34"/>
    <s v="NISHIMATSUYA"/>
    <x v="12"/>
    <n v="10000"/>
    <d v="2023-07-21T00:00:00"/>
    <d v="2023-07-31T00:00:00"/>
    <x v="6"/>
    <s v="9 September"/>
    <s v="Ontime"/>
    <s v="9 Sept"/>
    <n v="0.38"/>
    <n v="0.91199999999999992"/>
    <n v="3800"/>
    <n v="9120"/>
    <s v="FOB"/>
    <x v="2"/>
    <x v="2"/>
    <n v="9"/>
    <n v="4545.72"/>
  </r>
  <r>
    <m/>
    <x v="7"/>
    <x v="35"/>
    <s v="Chutex - JCP - SJB T-shirt"/>
    <x v="13"/>
    <n v="4700"/>
    <d v="2023-07-01T00:00:00"/>
    <d v="2023-07-08T00:00:00"/>
    <x v="6"/>
    <s v="8 Agustus"/>
    <s v="Ontime"/>
    <s v="8 Agustus"/>
    <n v="0.69"/>
    <n v="2.4642857142857144"/>
    <n v="3242.9999999999995"/>
    <n v="11582.142857142857"/>
    <s v="FOB"/>
    <x v="2"/>
    <x v="2"/>
    <n v="7"/>
    <n v="3535.56"/>
  </r>
  <r>
    <m/>
    <x v="7"/>
    <x v="34"/>
    <s v="NISHIMATSUYA"/>
    <x v="13"/>
    <n v="16000"/>
    <d v="2023-07-09T00:00:00"/>
    <d v="2023-07-31T00:00:00"/>
    <x v="6"/>
    <s v="8 Agustus"/>
    <s v="Ontime"/>
    <s v="8 Agustus"/>
    <n v="0.38"/>
    <n v="0.91199999999999992"/>
    <n v="6080"/>
    <n v="14591.999999999998"/>
    <s v="FOB"/>
    <x v="2"/>
    <x v="2"/>
    <n v="18"/>
    <n v="9091.44"/>
  </r>
  <r>
    <m/>
    <x v="7"/>
    <x v="34"/>
    <s v="NISHIMATSUYA"/>
    <x v="14"/>
    <n v="4400"/>
    <d v="2023-07-01T00:00:00"/>
    <d v="2023-07-08T00:00:00"/>
    <x v="6"/>
    <s v="8 Agustus"/>
    <s v="Ontime"/>
    <s v="8 Agustus"/>
    <n v="0.38"/>
    <n v="0.91199999999999992"/>
    <n v="1672"/>
    <n v="4012.7999999999997"/>
    <s v="FOB"/>
    <x v="2"/>
    <x v="2"/>
    <n v="7"/>
    <n v="3535.56"/>
  </r>
  <r>
    <m/>
    <x v="7"/>
    <x v="34"/>
    <s v="NISHIMATSUYA"/>
    <x v="14"/>
    <n v="16000"/>
    <d v="2023-07-09T00:00:00"/>
    <d v="2023-07-31T00:00:00"/>
    <x v="6"/>
    <s v="8 Agustus"/>
    <s v="Ontime"/>
    <s v="8 Agustus"/>
    <n v="0.38"/>
    <n v="0.91199999999999992"/>
    <n v="6080"/>
    <n v="14591.999999999998"/>
    <s v="FOB"/>
    <x v="2"/>
    <x v="2"/>
    <n v="18"/>
    <n v="9091.44"/>
  </r>
  <r>
    <m/>
    <x v="7"/>
    <x v="34"/>
    <s v="NISHIMATSUYA"/>
    <x v="15"/>
    <n v="15700"/>
    <d v="2023-07-01T00:00:00"/>
    <d v="2023-07-31T00:00:00"/>
    <x v="6"/>
    <s v="7 July"/>
    <s v="Ontime"/>
    <s v="7.July"/>
    <n v="0.38"/>
    <n v="0.91199999999999992"/>
    <n v="5966"/>
    <n v="14318.4"/>
    <s v="FOB"/>
    <x v="2"/>
    <x v="2"/>
    <n v="25"/>
    <n v="12627"/>
  </r>
  <r>
    <m/>
    <x v="7"/>
    <x v="35"/>
    <s v="Chutex - JCP - SJB T-shirt"/>
    <x v="0"/>
    <n v="5000"/>
    <d v="2023-08-01T00:00:00"/>
    <d v="2023-08-08T00:00:00"/>
    <x v="7"/>
    <s v="11 November"/>
    <s v="Ontime"/>
    <s v="11 November"/>
    <n v="0.69"/>
    <n v="2.4642857142857144"/>
    <n v="3449.9999999999995"/>
    <n v="12321.428571428572"/>
    <s v="FOB"/>
    <x v="2"/>
    <x v="2"/>
    <n v="7"/>
    <n v="3399.5769230769229"/>
  </r>
  <r>
    <m/>
    <x v="7"/>
    <x v="35"/>
    <s v="Chutex - JCP - SJB T-shirt"/>
    <x v="0"/>
    <n v="6000"/>
    <d v="2023-08-09T00:00:00"/>
    <d v="2023-08-18T00:00:00"/>
    <x v="7"/>
    <s v="10 Oktober"/>
    <s v="Ontime"/>
    <s v="10 Oktober"/>
    <n v="0.69"/>
    <n v="2.4642857142857144"/>
    <n v="4140"/>
    <n v="14785.714285714286"/>
    <s v="FOB"/>
    <x v="2"/>
    <x v="2"/>
    <n v="8"/>
    <n v="3885.2307692307691"/>
  </r>
  <r>
    <m/>
    <x v="7"/>
    <x v="35"/>
    <s v="Chutex - JCP - SJB T-shirt"/>
    <x v="0"/>
    <n v="6000"/>
    <d v="2023-08-19T00:00:00"/>
    <d v="2023-08-28T00:00:00"/>
    <x v="7"/>
    <s v="11 November"/>
    <s v="Ontime"/>
    <s v="11 November"/>
    <n v="0.69"/>
    <n v="2.4642857142857144"/>
    <n v="4140"/>
    <n v="14785.714285714286"/>
    <s v="FOB"/>
    <x v="2"/>
    <x v="2"/>
    <n v="8"/>
    <n v="3885.2307692307691"/>
  </r>
  <r>
    <m/>
    <x v="7"/>
    <x v="35"/>
    <s v="Chutex - JCP - SJB T-shirt"/>
    <x v="0"/>
    <n v="1900"/>
    <d v="2023-08-29T00:00:00"/>
    <d v="2023-08-31T00:00:00"/>
    <x v="7"/>
    <s v="11 November"/>
    <s v="Ontime"/>
    <s v="11 November"/>
    <n v="0.69"/>
    <n v="2.4642857142857144"/>
    <n v="1311"/>
    <n v="4682.1428571428578"/>
    <s v="FOB"/>
    <x v="2"/>
    <x v="2"/>
    <n v="3"/>
    <n v="1456.9615384615383"/>
  </r>
  <r>
    <m/>
    <x v="7"/>
    <x v="35"/>
    <s v="Chutex - JCP - SJB T-shirt"/>
    <x v="1"/>
    <n v="8800"/>
    <d v="2023-08-01T00:00:00"/>
    <d v="2023-08-16T00:00:00"/>
    <x v="7"/>
    <s v="9 Sept"/>
    <s v="Ontime"/>
    <s v="10 Oktober"/>
    <n v="0.69"/>
    <n v="2.4642857142857144"/>
    <n v="6071.9999999999991"/>
    <n v="21685.714285714286"/>
    <s v="FOB"/>
    <x v="2"/>
    <x v="2"/>
    <n v="14"/>
    <n v="6799.1538461538457"/>
  </r>
  <r>
    <m/>
    <x v="7"/>
    <x v="34"/>
    <s v="NISHIMATSUYA"/>
    <x v="1"/>
    <n v="7000"/>
    <d v="2023-08-17T00:00:00"/>
    <d v="2023-08-31T00:00:00"/>
    <x v="7"/>
    <s v="10 Oktober"/>
    <s v="Ontime"/>
    <s v="10 Oktober"/>
    <n v="0.92"/>
    <n v="2.4"/>
    <n v="6440"/>
    <n v="16800"/>
    <s v="FOB"/>
    <x v="2"/>
    <x v="2"/>
    <n v="12"/>
    <n v="5827.8461538461534"/>
  </r>
  <r>
    <m/>
    <x v="7"/>
    <x v="34"/>
    <s v="NISHIMATSUYA"/>
    <x v="3"/>
    <n v="6300"/>
    <d v="2023-08-01T00:00:00"/>
    <d v="2023-08-10T00:00:00"/>
    <x v="7"/>
    <s v="9 September"/>
    <s v="Ontime"/>
    <s v="9 Sept"/>
    <n v="0.92"/>
    <n v="2.4"/>
    <n v="5796"/>
    <n v="15120"/>
    <s v="FOB"/>
    <x v="2"/>
    <x v="2"/>
    <n v="9"/>
    <n v="4370.8846153846152"/>
  </r>
  <r>
    <m/>
    <x v="7"/>
    <x v="34"/>
    <s v="NISHIMATSUYA"/>
    <x v="3"/>
    <n v="6000"/>
    <d v="2023-08-11T00:00:00"/>
    <d v="2023-08-22T00:00:00"/>
    <x v="7"/>
    <s v="7 July"/>
    <s v="Ontime"/>
    <s v="10 Oktober"/>
    <n v="0.92"/>
    <n v="2.4"/>
    <n v="5520"/>
    <n v="14400"/>
    <s v="FOB"/>
    <x v="2"/>
    <x v="2"/>
    <n v="9"/>
    <n v="4370.8846153846152"/>
  </r>
  <r>
    <m/>
    <x v="7"/>
    <x v="34"/>
    <s v="NISHIMATSUYA"/>
    <x v="3"/>
    <n v="5600"/>
    <d v="2023-08-23T00:00:00"/>
    <d v="2023-08-31T00:00:00"/>
    <x v="7"/>
    <s v="10 Oktober"/>
    <s v="Ontime"/>
    <s v="10 Oktober"/>
    <n v="0.92"/>
    <n v="2.4"/>
    <n v="5152"/>
    <n v="13440"/>
    <s v="FOB"/>
    <x v="2"/>
    <x v="2"/>
    <n v="8"/>
    <n v="3885.2307692307691"/>
  </r>
  <r>
    <m/>
    <x v="7"/>
    <x v="34"/>
    <s v="NISHIMATSUYA"/>
    <x v="10"/>
    <n v="14300"/>
    <d v="2023-08-01T00:00:00"/>
    <d v="2023-08-11T00:00:00"/>
    <x v="7"/>
    <s v="9 September"/>
    <s v="Ontime"/>
    <s v="9 Sept"/>
    <n v="0.38"/>
    <n v="0.91199999999999992"/>
    <n v="5434"/>
    <n v="13041.599999999999"/>
    <s v="FOB"/>
    <x v="2"/>
    <x v="2"/>
    <n v="10"/>
    <n v="4856.538461538461"/>
  </r>
  <r>
    <m/>
    <x v="7"/>
    <x v="34"/>
    <s v="NISHIMATSUYA"/>
    <x v="10"/>
    <n v="11300"/>
    <d v="2023-08-12T00:00:00"/>
    <d v="2023-08-22T00:00:00"/>
    <x v="7"/>
    <s v="7 July"/>
    <s v="Ontime"/>
    <s v="10 Oktober"/>
    <n v="0.38"/>
    <n v="0.91199999999999992"/>
    <n v="4294"/>
    <n v="10305.599999999999"/>
    <s v="FOB"/>
    <x v="2"/>
    <x v="2"/>
    <n v="8"/>
    <n v="3885.2307692307691"/>
  </r>
  <r>
    <m/>
    <x v="7"/>
    <x v="34"/>
    <s v="NISHIMATSUYA"/>
    <x v="10"/>
    <n v="12300"/>
    <d v="2023-08-23T00:00:00"/>
    <d v="2023-08-31T00:00:00"/>
    <x v="7"/>
    <s v="10 Oktober"/>
    <s v="Ontime"/>
    <s v="10 Oktober"/>
    <n v="0.38"/>
    <n v="0.91199999999999992"/>
    <n v="4674"/>
    <n v="11217.599999999999"/>
    <s v="FOB"/>
    <x v="2"/>
    <x v="2"/>
    <n v="8"/>
    <n v="3885.2307692307691"/>
  </r>
  <r>
    <m/>
    <x v="7"/>
    <x v="34"/>
    <s v="NISHIMATSUYA"/>
    <x v="11"/>
    <n v="14300"/>
    <d v="2023-08-01T00:00:00"/>
    <d v="2023-08-10T00:00:00"/>
    <x v="7"/>
    <s v="9 September"/>
    <s v="Ontime"/>
    <s v="9 Sept"/>
    <n v="0.38"/>
    <n v="0.91199999999999992"/>
    <n v="5434"/>
    <n v="13041.599999999999"/>
    <s v="FOB"/>
    <x v="2"/>
    <x v="2"/>
    <n v="9"/>
    <n v="4370.8846153846152"/>
  </r>
  <r>
    <m/>
    <x v="7"/>
    <x v="34"/>
    <s v="NISHIMATSUYA"/>
    <x v="11"/>
    <n v="14300"/>
    <d v="2023-08-11T00:00:00"/>
    <d v="2023-08-22T00:00:00"/>
    <x v="7"/>
    <s v="7 July"/>
    <s v="Ontime"/>
    <s v="10 Oktober"/>
    <n v="0.38"/>
    <n v="0.91199999999999992"/>
    <n v="5434"/>
    <n v="13041.599999999999"/>
    <s v="FOB"/>
    <x v="2"/>
    <x v="2"/>
    <n v="9"/>
    <n v="4370.8846153846152"/>
  </r>
  <r>
    <m/>
    <x v="7"/>
    <x v="34"/>
    <s v="NISHIMATSUYA"/>
    <x v="11"/>
    <n v="12300"/>
    <d v="2023-08-23T00:00:00"/>
    <d v="2023-08-31T00:00:00"/>
    <x v="7"/>
    <s v="10 Oktober"/>
    <s v="Ontime"/>
    <s v="10 Oktober"/>
    <n v="0.38"/>
    <n v="0.91199999999999992"/>
    <n v="4674"/>
    <n v="11217.599999999999"/>
    <s v="FOB"/>
    <x v="2"/>
    <x v="2"/>
    <n v="8"/>
    <n v="3885.2307692307691"/>
  </r>
  <r>
    <m/>
    <x v="7"/>
    <x v="34"/>
    <s v="NISHIMATSUYA"/>
    <x v="12"/>
    <n v="10000"/>
    <d v="2023-08-01T00:00:00"/>
    <d v="2023-08-10T00:00:00"/>
    <x v="7"/>
    <s v="9 September"/>
    <s v="Ontime"/>
    <s v="9 Sept"/>
    <n v="0.38"/>
    <n v="0.91199999999999992"/>
    <n v="3800"/>
    <n v="9120"/>
    <s v="FOB"/>
    <x v="2"/>
    <x v="2"/>
    <n v="9"/>
    <n v="4370.8846153846152"/>
  </r>
  <r>
    <m/>
    <x v="7"/>
    <x v="34"/>
    <s v="NISHIMATSUYA"/>
    <x v="12"/>
    <n v="10000"/>
    <d v="2023-08-11T00:00:00"/>
    <d v="2023-08-22T00:00:00"/>
    <x v="7"/>
    <s v="7 July"/>
    <s v="Ontime"/>
    <s v="10 Oktober"/>
    <n v="0.38"/>
    <n v="0.91199999999999992"/>
    <n v="3800"/>
    <n v="9120"/>
    <s v="FOB"/>
    <x v="2"/>
    <x v="2"/>
    <n v="9"/>
    <n v="4370.8846153846152"/>
  </r>
  <r>
    <m/>
    <x v="7"/>
    <x v="34"/>
    <s v="NISHIMATSUYA"/>
    <x v="12"/>
    <n v="12300"/>
    <d v="2023-08-23T00:00:00"/>
    <d v="2023-08-31T00:00:00"/>
    <x v="7"/>
    <s v="10 Oktober"/>
    <s v="Ontime"/>
    <s v="10 Oktober"/>
    <n v="0.38"/>
    <n v="0.91199999999999992"/>
    <n v="4674"/>
    <n v="11217.599999999999"/>
    <s v="FOB"/>
    <x v="2"/>
    <x v="2"/>
    <n v="8"/>
    <n v="3885.2307692307691"/>
  </r>
  <r>
    <m/>
    <x v="7"/>
    <x v="34"/>
    <s v="NISHIMATSUYA"/>
    <x v="13"/>
    <n v="9400"/>
    <d v="2023-08-01T00:00:00"/>
    <d v="2023-08-10T00:00:00"/>
    <x v="7"/>
    <s v="9 September"/>
    <s v="Ontime"/>
    <s v="9 Sept"/>
    <n v="0.38"/>
    <n v="0.91199999999999992"/>
    <n v="3572"/>
    <n v="8572.7999999999993"/>
    <s v="FOB"/>
    <x v="2"/>
    <x v="2"/>
    <n v="9"/>
    <n v="4370.8846153846152"/>
  </r>
  <r>
    <m/>
    <x v="7"/>
    <x v="34"/>
    <s v="NISHIMATSUYA"/>
    <x v="13"/>
    <n v="9400"/>
    <d v="2023-08-11T00:00:00"/>
    <d v="2023-08-22T00:00:00"/>
    <x v="7"/>
    <s v="7 July"/>
    <s v="Ontime"/>
    <s v="10 Oktober"/>
    <n v="0.38"/>
    <n v="0.91199999999999992"/>
    <n v="3572"/>
    <n v="8572.7999999999993"/>
    <s v="FOB"/>
    <x v="2"/>
    <x v="2"/>
    <n v="9"/>
    <n v="4370.8846153846152"/>
  </r>
  <r>
    <m/>
    <x v="7"/>
    <x v="34"/>
    <s v="NISHIMATSUYA"/>
    <x v="13"/>
    <n v="8400"/>
    <d v="2023-08-23T00:00:00"/>
    <d v="2023-08-31T00:00:00"/>
    <x v="7"/>
    <s v="11 November"/>
    <s v="Ontime"/>
    <s v="11 November"/>
    <n v="0.38"/>
    <n v="0.91199999999999992"/>
    <n v="3192"/>
    <n v="7660.7999999999993"/>
    <s v="FOB"/>
    <x v="2"/>
    <x v="2"/>
    <n v="8"/>
    <n v="3885.2307692307691"/>
  </r>
  <r>
    <m/>
    <x v="7"/>
    <x v="34"/>
    <s v="NISHIMATSUYA"/>
    <x v="14"/>
    <n v="9400"/>
    <d v="2023-08-01T00:00:00"/>
    <d v="2023-08-10T00:00:00"/>
    <x v="7"/>
    <s v="9 September"/>
    <s v="Ontime"/>
    <s v="9 Sept"/>
    <n v="0.38"/>
    <n v="0.91199999999999992"/>
    <n v="3572"/>
    <n v="8572.7999999999993"/>
    <s v="FOB"/>
    <x v="2"/>
    <x v="2"/>
    <n v="9"/>
    <n v="4370.8846153846152"/>
  </r>
  <r>
    <m/>
    <x v="7"/>
    <x v="34"/>
    <s v="NISHIMATSUYA"/>
    <x v="14"/>
    <n v="9400"/>
    <d v="2023-08-11T00:00:00"/>
    <d v="2023-08-22T00:00:00"/>
    <x v="7"/>
    <s v="7 July"/>
    <s v="Ontime"/>
    <s v="10 Oktober"/>
    <n v="0.38"/>
    <n v="0.91199999999999992"/>
    <n v="3572"/>
    <n v="8572.7999999999993"/>
    <s v="FOB"/>
    <x v="2"/>
    <x v="2"/>
    <n v="9"/>
    <n v="4370.8846153846152"/>
  </r>
  <r>
    <m/>
    <x v="7"/>
    <x v="34"/>
    <s v="NISHIMATSUYA"/>
    <x v="14"/>
    <n v="8400"/>
    <d v="2023-08-23T00:00:00"/>
    <d v="2023-08-31T00:00:00"/>
    <x v="7"/>
    <s v="11 November"/>
    <s v="Ontime"/>
    <s v="11 November"/>
    <n v="0.38"/>
    <n v="0.91199999999999992"/>
    <n v="3192"/>
    <n v="7660.7999999999993"/>
    <s v="FOB"/>
    <x v="2"/>
    <x v="2"/>
    <n v="8"/>
    <n v="3885.2307692307691"/>
  </r>
  <r>
    <m/>
    <x v="7"/>
    <x v="34"/>
    <s v="NISHIMATSUYA"/>
    <x v="15"/>
    <n v="17900"/>
    <d v="2023-08-01T00:00:00"/>
    <d v="2023-08-19T00:00:00"/>
    <x v="7"/>
    <s v="9 September"/>
    <s v="Ontime"/>
    <s v="9 Sept"/>
    <n v="0.38"/>
    <n v="0.91199999999999992"/>
    <n v="6802"/>
    <n v="16324.8"/>
    <s v="FOB"/>
    <x v="2"/>
    <x v="2"/>
    <n v="16"/>
    <n v="7770.4615384615381"/>
  </r>
  <r>
    <m/>
    <x v="7"/>
    <x v="34"/>
    <s v="NISHIMATSUYA"/>
    <x v="15"/>
    <n v="10500"/>
    <d v="2023-08-20T00:00:00"/>
    <d v="2023-08-31T00:00:00"/>
    <x v="7"/>
    <s v="7 July"/>
    <s v="Ontime"/>
    <s v="10 Oktober"/>
    <n v="0.38"/>
    <n v="0.91199999999999992"/>
    <n v="3990"/>
    <n v="9576"/>
    <s v="FOB"/>
    <x v="2"/>
    <x v="2"/>
    <n v="10"/>
    <n v="4856.538461538461"/>
  </r>
  <r>
    <m/>
    <x v="7"/>
    <x v="35"/>
    <s v="Chutex - JCP - SJB T-shirt"/>
    <x v="0"/>
    <n v="11400"/>
    <d v="2023-09-01T00:00:00"/>
    <d v="2023-09-21T00:00:00"/>
    <x v="8"/>
    <s v="11 November"/>
    <s v="Ontime"/>
    <s v="11 November"/>
    <n v="0.69"/>
    <n v="2.4642857142857144"/>
    <n v="7865.9999999999991"/>
    <n v="28092.857142857145"/>
    <s v="FOB"/>
    <x v="2"/>
    <x v="2"/>
    <n v="18"/>
    <n v="9091.44"/>
  </r>
  <r>
    <m/>
    <x v="7"/>
    <x v="34"/>
    <s v="NISHIMATSUYA"/>
    <x v="0"/>
    <n v="11270"/>
    <d v="2023-09-22T00:00:00"/>
    <d v="2023-09-30T00:00:00"/>
    <x v="8"/>
    <s v="12 Desember"/>
    <s v="Ontime"/>
    <s v="12 Desember"/>
    <n v="0.38"/>
    <n v="0.91199999999999992"/>
    <n v="4282.6000000000004"/>
    <n v="10278.24"/>
    <s v="FOB"/>
    <x v="2"/>
    <x v="2"/>
    <n v="7"/>
    <n v="3535.56"/>
  </r>
  <r>
    <m/>
    <x v="7"/>
    <x v="34"/>
    <s v="NISHIMATSUYA"/>
    <x v="1"/>
    <n v="3220"/>
    <d v="2023-09-01T00:00:00"/>
    <d v="2023-09-02T00:00:00"/>
    <x v="8"/>
    <s v="10 Oktober"/>
    <s v="Ontime"/>
    <s v="10 Oktober"/>
    <n v="0.38"/>
    <n v="0.91199999999999992"/>
    <n v="1223.5999999999999"/>
    <n v="2936.64"/>
    <s v="FOB"/>
    <x v="2"/>
    <x v="2"/>
    <n v="2"/>
    <n v="1010.16"/>
  </r>
  <r>
    <m/>
    <x v="7"/>
    <x v="35"/>
    <s v="Chutex - JCP - SJB T-shirt"/>
    <x v="1"/>
    <n v="5200"/>
    <d v="2023-09-03T00:00:00"/>
    <d v="2023-09-11T00:00:00"/>
    <x v="8"/>
    <s v="12 Desember"/>
    <s v="Ontime"/>
    <s v="12 Desember"/>
    <n v="0.69"/>
    <n v="2.4642857142857144"/>
    <n v="3587.9999999999995"/>
    <n v="12814.285714285716"/>
    <s v="FOB"/>
    <x v="2"/>
    <x v="2"/>
    <n v="7"/>
    <n v="3535.56"/>
  </r>
  <r>
    <m/>
    <x v="7"/>
    <x v="34"/>
    <s v="NISHIMATSUYA"/>
    <x v="1"/>
    <n v="12880"/>
    <d v="2023-09-12T00:00:00"/>
    <d v="2023-09-20T00:00:00"/>
    <x v="8"/>
    <s v="12 Desember"/>
    <s v="Ontime"/>
    <s v="12 Desember"/>
    <n v="0.38"/>
    <n v="0.91199999999999992"/>
    <n v="4894.3999999999996"/>
    <n v="11746.56"/>
    <s v="FOB"/>
    <x v="2"/>
    <x v="2"/>
    <n v="8"/>
    <n v="4040.64"/>
  </r>
  <r>
    <m/>
    <x v="7"/>
    <x v="35"/>
    <s v="Chutex - JCP - SJB T-shirt"/>
    <x v="1"/>
    <n v="5200"/>
    <d v="2023-09-21T00:00:00"/>
    <d v="2023-09-30T00:00:00"/>
    <x v="8"/>
    <s v="12 Desember"/>
    <s v="Ontime"/>
    <s v="12 Desember"/>
    <n v="0.69"/>
    <n v="2.4642857142857144"/>
    <n v="3587.9999999999995"/>
    <n v="12814.285714285716"/>
    <s v="FOB"/>
    <x v="2"/>
    <x v="2"/>
    <n v="8"/>
    <n v="4040.64"/>
  </r>
  <r>
    <m/>
    <x v="7"/>
    <x v="34"/>
    <s v="NISHIMATSUYA"/>
    <x v="3"/>
    <n v="40250"/>
    <d v="2023-09-01T00:00:00"/>
    <d v="2023-09-30T00:00:00"/>
    <x v="8"/>
    <s v="12 Desember"/>
    <s v="Ontime"/>
    <s v="12 Desember"/>
    <n v="0.38"/>
    <n v="0.91199999999999992"/>
    <n v="15295"/>
    <n v="36708"/>
    <s v="FOB"/>
    <x v="2"/>
    <x v="2"/>
    <n v="25"/>
    <n v="12627"/>
  </r>
  <r>
    <m/>
    <x v="7"/>
    <x v="34"/>
    <s v="NISHIMATSUYA"/>
    <x v="10"/>
    <n v="40250"/>
    <d v="2023-09-01T00:00:00"/>
    <d v="2023-09-30T00:00:00"/>
    <x v="8"/>
    <s v="12 Desember"/>
    <s v="Ontime"/>
    <s v="12 Desember"/>
    <n v="0.38"/>
    <n v="0.91199999999999992"/>
    <n v="15295"/>
    <n v="36708"/>
    <s v="FOB"/>
    <x v="2"/>
    <x v="2"/>
    <n v="25"/>
    <n v="12627"/>
  </r>
  <r>
    <m/>
    <x v="7"/>
    <x v="34"/>
    <s v="NISHIMATSUYA"/>
    <x v="11"/>
    <n v="3220"/>
    <d v="2023-09-01T00:00:00"/>
    <d v="2023-09-02T00:00:00"/>
    <x v="8"/>
    <s v="10 Oktober"/>
    <s v="Ontime"/>
    <s v="10 Oktober"/>
    <n v="0.38"/>
    <n v="0.91199999999999992"/>
    <n v="1223.5999999999999"/>
    <n v="2936.64"/>
    <s v="FOB"/>
    <x v="2"/>
    <x v="2"/>
    <n v="2"/>
    <n v="1010.16"/>
  </r>
  <r>
    <m/>
    <x v="7"/>
    <x v="34"/>
    <s v="NISHIMATSUYA"/>
    <x v="11"/>
    <n v="37030"/>
    <d v="2023-09-03T00:00:00"/>
    <d v="2023-09-30T00:00:00"/>
    <x v="8"/>
    <s v="12 Desember"/>
    <s v="Ontime"/>
    <s v="12 Desember"/>
    <n v="0.38"/>
    <n v="0.91199999999999992"/>
    <n v="14071.4"/>
    <n v="33771.360000000001"/>
    <s v="FOB"/>
    <x v="2"/>
    <x v="2"/>
    <n v="23"/>
    <n v="11616.84"/>
  </r>
  <r>
    <m/>
    <x v="7"/>
    <x v="34"/>
    <s v="NISHIMATSUYA"/>
    <x v="12"/>
    <n v="3220"/>
    <d v="2023-09-01T00:00:00"/>
    <d v="2023-09-02T00:00:00"/>
    <x v="8"/>
    <s v="11 November"/>
    <s v="Ontime"/>
    <s v="11 November"/>
    <n v="0.38"/>
    <n v="0.91199999999999992"/>
    <n v="1223.5999999999999"/>
    <n v="2936.64"/>
    <s v="FOB"/>
    <x v="2"/>
    <x v="2"/>
    <n v="2"/>
    <n v="1010.16"/>
  </r>
  <r>
    <m/>
    <x v="7"/>
    <x v="34"/>
    <s v="NISHIMATSUYA"/>
    <x v="12"/>
    <n v="27900"/>
    <d v="2023-09-03T00:00:00"/>
    <d v="2023-09-30T00:00:00"/>
    <x v="8"/>
    <s v="12 Desember"/>
    <s v="Ontime"/>
    <s v="12 Desember"/>
    <n v="0.38"/>
    <n v="0.91199999999999992"/>
    <n v="10602"/>
    <n v="25444.799999999999"/>
    <s v="FOB"/>
    <x v="2"/>
    <x v="2"/>
    <n v="23"/>
    <n v="11616.84"/>
  </r>
  <r>
    <m/>
    <x v="7"/>
    <x v="34"/>
    <s v="NISHIMATSUYA"/>
    <x v="13"/>
    <n v="26200"/>
    <d v="2023-09-01T00:00:00"/>
    <d v="2023-09-30T00:00:00"/>
    <x v="8"/>
    <s v="12 Desember"/>
    <s v="Ontime"/>
    <s v="12 Desember"/>
    <n v="0.38"/>
    <n v="0.91199999999999992"/>
    <n v="9956"/>
    <n v="23894.399999999998"/>
    <s v="FOB"/>
    <x v="2"/>
    <x v="2"/>
    <n v="25"/>
    <n v="12627"/>
  </r>
  <r>
    <m/>
    <x v="7"/>
    <x v="34"/>
    <s v="NISHIMATSUYA"/>
    <x v="14"/>
    <n v="26200"/>
    <d v="2023-09-01T00:00:00"/>
    <d v="2023-09-30T00:00:00"/>
    <x v="8"/>
    <s v="11 November"/>
    <s v="Ontime"/>
    <s v="11 November"/>
    <n v="0.38"/>
    <n v="0.91199999999999992"/>
    <n v="9956"/>
    <n v="23894.399999999998"/>
    <s v="FOB"/>
    <x v="2"/>
    <x v="2"/>
    <n v="25"/>
    <n v="12627"/>
  </r>
  <r>
    <m/>
    <x v="7"/>
    <x v="34"/>
    <s v="NISHIMATSUYA"/>
    <x v="15"/>
    <n v="26200"/>
    <d v="2023-09-01T00:00:00"/>
    <d v="2023-09-30T00:00:00"/>
    <x v="8"/>
    <s v="11 November"/>
    <s v="Ontime"/>
    <s v="11 November"/>
    <n v="0.38"/>
    <n v="0.91199999999999992"/>
    <n v="9956"/>
    <n v="23894.399999999998"/>
    <s v="FOB"/>
    <x v="2"/>
    <x v="2"/>
    <n v="25"/>
    <n v="12627"/>
  </r>
  <r>
    <m/>
    <x v="7"/>
    <x v="34"/>
    <s v="NISHIMATSUYA"/>
    <x v="0"/>
    <n v="41860"/>
    <d v="2023-10-01T00:00:00"/>
    <d v="2023-10-31T00:00:00"/>
    <x v="9"/>
    <s v="12 Desember"/>
    <s v="Ontime"/>
    <s v="12 Desember"/>
    <n v="0.38"/>
    <n v="0.91199999999999992"/>
    <n v="15906.800000000001"/>
    <n v="38176.32"/>
    <s v="FOB"/>
    <x v="2"/>
    <x v="2"/>
    <n v="26"/>
    <n v="12627"/>
  </r>
  <r>
    <m/>
    <x v="7"/>
    <x v="34"/>
    <s v="NISHIMATSUYA"/>
    <x v="1"/>
    <n v="41860"/>
    <d v="2023-10-02T00:00:00"/>
    <d v="2023-10-31T00:00:00"/>
    <x v="9"/>
    <s v="6 Juni"/>
    <s v="Ontime"/>
    <s v="6.June"/>
    <n v="0.38"/>
    <n v="0.91199999999999992"/>
    <n v="15906.800000000001"/>
    <n v="38176.32"/>
    <s v="FOB"/>
    <x v="2"/>
    <x v="2"/>
    <n v="26"/>
    <n v="12627"/>
  </r>
  <r>
    <m/>
    <x v="7"/>
    <x v="34"/>
    <s v="NISHIMATSUYA"/>
    <x v="3"/>
    <n v="22540"/>
    <d v="2023-10-02T00:00:00"/>
    <d v="2023-10-17T00:00:00"/>
    <x v="9"/>
    <s v="7 July"/>
    <s v="Ontime"/>
    <s v="7.July"/>
    <n v="0.38"/>
    <n v="0.91199999999999992"/>
    <n v="8565.2000000000007"/>
    <n v="20556.48"/>
    <s v="FOB"/>
    <x v="2"/>
    <x v="2"/>
    <n v="14"/>
    <n v="6799.1538461538457"/>
  </r>
  <r>
    <m/>
    <x v="7"/>
    <x v="34"/>
    <s v="NISHIMATSUYA"/>
    <x v="3"/>
    <n v="19320"/>
    <d v="2023-10-18T00:00:00"/>
    <d v="2023-10-31T00:00:00"/>
    <x v="9"/>
    <s v="6 Juni"/>
    <s v="Ontime"/>
    <s v="7.July"/>
    <n v="0.38"/>
    <n v="0.91199999999999992"/>
    <n v="7341.6"/>
    <n v="17619.84"/>
    <s v="FOB"/>
    <x v="2"/>
    <x v="2"/>
    <n v="12"/>
    <n v="5827.8461538461534"/>
  </r>
  <r>
    <m/>
    <x v="7"/>
    <x v="35"/>
    <s v="Chutex - JCP - SJB T-shirt"/>
    <x v="10"/>
    <n v="11400"/>
    <d v="2023-10-02T00:00:00"/>
    <d v="2023-10-18T00:00:00"/>
    <x v="9"/>
    <s v="6 Juni"/>
    <s v="Ontime"/>
    <s v="6.June"/>
    <n v="0.69"/>
    <n v="2.4642857142857144"/>
    <n v="7865.9999999999991"/>
    <n v="28092.857142857145"/>
    <s v="FOB"/>
    <x v="2"/>
    <x v="2"/>
    <n v="15"/>
    <n v="7284.8076923076924"/>
  </r>
  <r>
    <m/>
    <x v="7"/>
    <x v="34"/>
    <s v="NISHIMATSUYA"/>
    <x v="10"/>
    <n v="17710"/>
    <d v="2023-10-19T00:00:00"/>
    <d v="2023-10-31T00:00:00"/>
    <x v="9"/>
    <s v="7 July"/>
    <s v="Ontime"/>
    <s v="7.July"/>
    <n v="0.38"/>
    <n v="0.91199999999999992"/>
    <n v="6729.8"/>
    <n v="16151.519999999999"/>
    <s v="FOB"/>
    <x v="2"/>
    <x v="2"/>
    <n v="11"/>
    <n v="5342.1923076923076"/>
  </r>
  <r>
    <m/>
    <x v="7"/>
    <x v="34"/>
    <s v="NISHIMATSUYA"/>
    <x v="11"/>
    <n v="22540"/>
    <d v="2023-10-02T00:00:00"/>
    <d v="2023-10-17T00:00:00"/>
    <x v="9"/>
    <s v="6 Juni"/>
    <s v="Ontime"/>
    <s v="6.June"/>
    <n v="0.38"/>
    <n v="0.91199999999999992"/>
    <n v="8565.2000000000007"/>
    <n v="20556.48"/>
    <s v="FOB"/>
    <x v="2"/>
    <x v="2"/>
    <n v="14"/>
    <n v="6799.1538461538457"/>
  </r>
  <r>
    <m/>
    <x v="7"/>
    <x v="34"/>
    <s v="NISHIMATSUYA"/>
    <x v="11"/>
    <n v="19320"/>
    <d v="2023-10-18T00:00:00"/>
    <d v="2023-10-31T00:00:00"/>
    <x v="9"/>
    <s v="6 Juni"/>
    <s v="Ontime"/>
    <s v="6.June"/>
    <n v="0.38"/>
    <n v="0.91199999999999992"/>
    <n v="7341.6"/>
    <n v="17619.84"/>
    <s v="FOB"/>
    <x v="2"/>
    <x v="2"/>
    <n v="12"/>
    <n v="5827.8461538461534"/>
  </r>
  <r>
    <m/>
    <x v="7"/>
    <x v="34"/>
    <s v="NISHIMATSUYA"/>
    <x v="12"/>
    <n v="9660"/>
    <d v="2023-10-01T00:00:00"/>
    <d v="2023-10-08T00:00:00"/>
    <x v="9"/>
    <s v="12 Desember"/>
    <s v="Ontime"/>
    <s v="12 Desember"/>
    <n v="0.38"/>
    <n v="0.91199999999999992"/>
    <n v="3670.8"/>
    <n v="8809.92"/>
    <s v="FOB"/>
    <x v="2"/>
    <x v="2"/>
    <n v="6"/>
    <n v="2913.9230769230767"/>
  </r>
  <r>
    <m/>
    <x v="7"/>
    <x v="34"/>
    <s v="NISHIMATSUYA"/>
    <x v="12"/>
    <n v="14490"/>
    <d v="2023-10-09T00:00:00"/>
    <d v="2023-10-18T00:00:00"/>
    <x v="9"/>
    <s v="6 Juni"/>
    <s v="Ontime"/>
    <s v="6.June"/>
    <n v="0.38"/>
    <n v="0.91199999999999992"/>
    <n v="5506.2"/>
    <n v="13214.88"/>
    <s v="FOB"/>
    <x v="2"/>
    <x v="2"/>
    <n v="9"/>
    <n v="4370.8846153846152"/>
  </r>
  <r>
    <m/>
    <x v="7"/>
    <x v="34"/>
    <s v="NISHIMATSUYA"/>
    <x v="12"/>
    <n v="11550"/>
    <d v="2023-10-19T00:00:00"/>
    <d v="2023-10-31T00:00:00"/>
    <x v="9"/>
    <s v="6 Juni"/>
    <s v="Ontime"/>
    <s v="6.June"/>
    <n v="0.38"/>
    <n v="0.91199999999999992"/>
    <n v="4389"/>
    <n v="10533.599999999999"/>
    <s v="FOB"/>
    <x v="2"/>
    <x v="2"/>
    <n v="11"/>
    <n v="5342.1923076923076"/>
  </r>
  <r>
    <m/>
    <x v="7"/>
    <x v="34"/>
    <s v="NISHIMATSUYA"/>
    <x v="13"/>
    <n v="8400"/>
    <d v="2023-10-02T00:00:00"/>
    <d v="2023-10-10T00:00:00"/>
    <x v="9"/>
    <s v="6 Juni"/>
    <s v="Ontime"/>
    <s v="6.June"/>
    <n v="0.38"/>
    <n v="0.91199999999999992"/>
    <n v="3192"/>
    <n v="7660.7999999999993"/>
    <s v="FOB"/>
    <x v="2"/>
    <x v="2"/>
    <n v="8"/>
    <n v="3885.2307692307691"/>
  </r>
  <r>
    <m/>
    <x v="7"/>
    <x v="34"/>
    <s v="NISHIMATSUYA"/>
    <x v="13"/>
    <n v="4200"/>
    <d v="2023-10-11T00:00:00"/>
    <d v="2023-10-14T00:00:00"/>
    <x v="9"/>
    <s v="6 Juni"/>
    <s v="Ontime"/>
    <s v="6.June"/>
    <n v="0.38"/>
    <n v="0.91199999999999992"/>
    <n v="1596"/>
    <n v="3830.3999999999996"/>
    <s v="FOB"/>
    <x v="2"/>
    <x v="2"/>
    <n v="4"/>
    <n v="1942.6153846153845"/>
  </r>
  <r>
    <m/>
    <x v="7"/>
    <x v="33"/>
    <s v="ADRENALIN"/>
    <x v="13"/>
    <n v="3380"/>
    <d v="2023-10-15T00:00:00"/>
    <d v="2023-10-31T00:00:00"/>
    <x v="9"/>
    <s v="6 Juni"/>
    <s v="Ontime"/>
    <s v="6.June"/>
    <n v="2"/>
    <n v="6.15"/>
    <n v="6760"/>
    <n v="20787"/>
    <s v="FOB"/>
    <x v="2"/>
    <x v="2"/>
    <n v="14"/>
    <n v="6799.1538461538457"/>
  </r>
  <r>
    <m/>
    <x v="7"/>
    <x v="34"/>
    <s v="NISHIMATSUYA"/>
    <x v="14"/>
    <n v="19950"/>
    <d v="2023-10-02T00:00:00"/>
    <d v="2023-10-23T00:00:00"/>
    <x v="9"/>
    <s v="5 May"/>
    <s v="Ontime"/>
    <s v="6.June"/>
    <n v="0.38"/>
    <n v="0.91199999999999992"/>
    <n v="7581"/>
    <n v="18194.399999999998"/>
    <s v="CMT"/>
    <x v="2"/>
    <x v="2"/>
    <n v="19"/>
    <n v="9227.4230769230762"/>
  </r>
  <r>
    <m/>
    <x v="7"/>
    <x v="33"/>
    <s v="ADRENALIN"/>
    <x v="14"/>
    <n v="2350"/>
    <d v="2023-10-24T00:00:00"/>
    <d v="2023-10-31T00:00:00"/>
    <x v="9"/>
    <s v="12 Desember"/>
    <s v="Ontime"/>
    <s v="12 Desember"/>
    <n v="2"/>
    <n v="6.15"/>
    <n v="4700"/>
    <n v="14452.5"/>
    <s v="FOB"/>
    <x v="2"/>
    <x v="2"/>
    <n v="7"/>
    <n v="3399.5769230769229"/>
  </r>
  <r>
    <m/>
    <x v="7"/>
    <x v="34"/>
    <s v="NISHIMATSUYA"/>
    <x v="15"/>
    <n v="13650"/>
    <d v="2023-10-02T00:00:00"/>
    <d v="2023-10-16T00:00:00"/>
    <x v="9"/>
    <s v="7 July"/>
    <s v="Ontime"/>
    <s v="7.July"/>
    <n v="0.38"/>
    <n v="0.91199999999999992"/>
    <n v="5187"/>
    <n v="12448.8"/>
    <s v="FOB"/>
    <x v="2"/>
    <x v="2"/>
    <n v="13"/>
    <n v="6313.5"/>
  </r>
  <r>
    <m/>
    <x v="7"/>
    <x v="34"/>
    <s v="NISHIMATSUYA"/>
    <x v="15"/>
    <n v="7350"/>
    <d v="2023-10-17T00:00:00"/>
    <d v="2023-10-24T00:00:00"/>
    <x v="9"/>
    <s v="7 July"/>
    <s v="Ontime"/>
    <s v="7.July"/>
    <n v="0.38"/>
    <n v="0.91199999999999992"/>
    <n v="2793"/>
    <n v="6703.2"/>
    <s v="FOB"/>
    <x v="2"/>
    <x v="2"/>
    <n v="7"/>
    <n v="3399.5769230769229"/>
  </r>
  <r>
    <m/>
    <x v="7"/>
    <x v="33"/>
    <s v="ADRENALIN"/>
    <x v="15"/>
    <n v="2350"/>
    <d v="2023-10-25T00:00:00"/>
    <d v="2023-10-31T00:00:00"/>
    <x v="9"/>
    <s v="12 Desember"/>
    <s v="Ontime"/>
    <s v="12 Desember"/>
    <n v="2"/>
    <n v="6.15"/>
    <n v="4700"/>
    <n v="14452.5"/>
    <s v="FOB"/>
    <x v="2"/>
    <x v="2"/>
    <n v="6"/>
    <n v="2913.9230769230767"/>
  </r>
  <r>
    <m/>
    <x v="7"/>
    <x v="33"/>
    <s v="ADRENALIN"/>
    <x v="0"/>
    <n v="2000"/>
    <d v="2023-11-01T00:00:00"/>
    <d v="2023-11-06T00:00:00"/>
    <x v="10"/>
    <s v="12 Desember"/>
    <s v="Ontime"/>
    <s v="12 Desember"/>
    <n v="2"/>
    <n v="6.15"/>
    <n v="4000"/>
    <n v="12300"/>
    <s v="FOB"/>
    <x v="2"/>
    <x v="2"/>
    <n v="5"/>
    <n v="2428.2692307692305"/>
  </r>
  <r>
    <m/>
    <x v="7"/>
    <x v="10"/>
    <s v="Pentex - MAX"/>
    <x v="0"/>
    <n v="13230"/>
    <d v="2023-11-07T00:00:00"/>
    <d v="2023-11-30T00:00:00"/>
    <x v="10"/>
    <s v="6 Juni"/>
    <s v="Ontime"/>
    <s v="6.June"/>
    <n v="1.25"/>
    <n v="3.13"/>
    <n v="16537.5"/>
    <n v="41409.9"/>
    <s v="FOB"/>
    <x v="2"/>
    <x v="2"/>
    <n v="21"/>
    <n v="10198.73076923077"/>
  </r>
  <r>
    <m/>
    <x v="7"/>
    <x v="33"/>
    <s v="ADRENALIN"/>
    <x v="1"/>
    <n v="11375"/>
    <d v="2023-11-01T00:00:00"/>
    <d v="2023-11-30T00:00:00"/>
    <x v="10"/>
    <s v="6 Juni"/>
    <s v="Ontime"/>
    <s v="6.June"/>
    <n v="2"/>
    <n v="6.15"/>
    <n v="22750"/>
    <n v="69956.25"/>
    <s v="FOB"/>
    <x v="2"/>
    <x v="2"/>
    <n v="26"/>
    <n v="12627"/>
  </r>
  <r>
    <m/>
    <x v="7"/>
    <x v="17"/>
    <s v="MOTHERCARE"/>
    <x v="3"/>
    <n v="4000"/>
    <d v="2023-11-01T00:00:00"/>
    <d v="2023-11-12T00:00:00"/>
    <x v="10"/>
    <s v="7 July"/>
    <s v="Ontime"/>
    <s v="7.July"/>
    <n v="1.1000000000000001"/>
    <n v="2.95"/>
    <n v="4400"/>
    <n v="11800"/>
    <s v="FOB"/>
    <x v="2"/>
    <x v="2"/>
    <n v="10"/>
    <n v="4856.538461538461"/>
  </r>
  <r>
    <m/>
    <x v="7"/>
    <x v="10"/>
    <s v="Pentex - MAX"/>
    <x v="3"/>
    <n v="10400"/>
    <d v="2023-11-13T00:00:00"/>
    <d v="2023-11-30T00:00:00"/>
    <x v="10"/>
    <s v="6 Juni"/>
    <s v="Ontime"/>
    <s v="6.June"/>
    <n v="1.25"/>
    <n v="3.13"/>
    <n v="13000"/>
    <n v="32552"/>
    <s v="FOB"/>
    <x v="2"/>
    <x v="2"/>
    <n v="16"/>
    <n v="7770.4615384615381"/>
  </r>
  <r>
    <m/>
    <x v="7"/>
    <x v="33"/>
    <s v="ADRENALIN"/>
    <x v="10"/>
    <n v="13396"/>
    <d v="2023-11-01T00:00:00"/>
    <d v="2023-11-30T00:00:00"/>
    <x v="10"/>
    <s v="12 Desember"/>
    <s v="Ontime"/>
    <s v="12 Desember"/>
    <n v="2"/>
    <n v="6.15"/>
    <n v="26792"/>
    <n v="82385.400000000009"/>
    <s v="FOB"/>
    <x v="2"/>
    <x v="2"/>
    <n v="26"/>
    <n v="12627"/>
  </r>
  <r>
    <m/>
    <x v="7"/>
    <x v="10"/>
    <s v="Pentex - MAX"/>
    <x v="11"/>
    <n v="19110"/>
    <d v="2023-11-01T00:00:00"/>
    <d v="2023-11-30T00:00:00"/>
    <x v="10"/>
    <s v="6 Juni"/>
    <s v="Ontime"/>
    <s v="6.June"/>
    <n v="1.25"/>
    <n v="3.13"/>
    <n v="23887.5"/>
    <n v="59814.299999999996"/>
    <s v="FOB"/>
    <x v="2"/>
    <x v="2"/>
    <n v="26"/>
    <n v="12627"/>
  </r>
  <r>
    <m/>
    <x v="7"/>
    <x v="10"/>
    <s v="Pentex - MAX"/>
    <x v="12"/>
    <n v="19000"/>
    <d v="2023-11-01T00:00:00"/>
    <d v="2023-11-30T00:00:00"/>
    <x v="10"/>
    <s v="6 Juni"/>
    <s v="Ontime"/>
    <s v="6.June"/>
    <n v="1.25"/>
    <n v="3.13"/>
    <n v="23750"/>
    <n v="59470"/>
    <s v="FOB"/>
    <x v="2"/>
    <x v="2"/>
    <n v="26"/>
    <n v="12627"/>
  </r>
  <r>
    <m/>
    <x v="7"/>
    <x v="17"/>
    <s v="MOTHERCARE"/>
    <x v="13"/>
    <n v="5187"/>
    <d v="2023-11-01T00:00:00"/>
    <d v="2023-11-15T00:00:00"/>
    <x v="10"/>
    <s v="12 Desember"/>
    <s v="Ontime"/>
    <s v="12 Desember"/>
    <n v="1.1000000000000001"/>
    <n v="2.95"/>
    <n v="5705.7000000000007"/>
    <n v="15301.650000000001"/>
    <s v="FOB"/>
    <x v="2"/>
    <x v="2"/>
    <n v="13"/>
    <n v="6313.5"/>
  </r>
  <r>
    <m/>
    <x v="7"/>
    <x v="10"/>
    <s v="Pentex - MAX"/>
    <x v="13"/>
    <n v="9500"/>
    <d v="2023-11-16T00:00:00"/>
    <d v="2023-11-30T00:00:00"/>
    <x v="10"/>
    <s v="12 Desember"/>
    <s v="Ontime"/>
    <s v="12 Desember"/>
    <n v="1.25"/>
    <n v="3.13"/>
    <n v="11875"/>
    <n v="29735"/>
    <s v="FOB"/>
    <x v="2"/>
    <x v="2"/>
    <n v="13"/>
    <n v="6313.5"/>
  </r>
  <r>
    <m/>
    <x v="7"/>
    <x v="17"/>
    <s v="MOTHERCARE"/>
    <x v="14"/>
    <n v="5187"/>
    <d v="2023-11-01T00:00:00"/>
    <d v="2023-11-15T00:00:00"/>
    <x v="10"/>
    <s v="11 November"/>
    <s v="Ontime"/>
    <s v="11 November"/>
    <n v="1.1000000000000001"/>
    <n v="2.95"/>
    <n v="5705.7000000000007"/>
    <n v="15301.650000000001"/>
    <s v="FOB"/>
    <x v="2"/>
    <x v="2"/>
    <n v="13"/>
    <n v="6313.5"/>
  </r>
  <r>
    <m/>
    <x v="7"/>
    <x v="10"/>
    <s v="Pentex - MAX"/>
    <x v="14"/>
    <n v="9500"/>
    <d v="2023-11-16T00:00:00"/>
    <d v="2023-11-30T00:00:00"/>
    <x v="10"/>
    <s v="12 Desember"/>
    <s v="Ontime"/>
    <s v="12 Desember"/>
    <n v="1.25"/>
    <n v="3.13"/>
    <n v="11875"/>
    <n v="29735"/>
    <s v="FOB"/>
    <x v="2"/>
    <x v="2"/>
    <n v="13"/>
    <n v="6313.5"/>
  </r>
  <r>
    <m/>
    <x v="7"/>
    <x v="17"/>
    <s v="MOTHERCARE"/>
    <x v="15"/>
    <n v="10374"/>
    <d v="2023-11-01T00:00:00"/>
    <d v="2023-11-30T00:00:00"/>
    <x v="10"/>
    <s v="11 November"/>
    <s v="Ontime"/>
    <s v="11 November"/>
    <n v="1.1000000000000001"/>
    <n v="2.95"/>
    <n v="11411.400000000001"/>
    <n v="30603.300000000003"/>
    <s v="FOB"/>
    <x v="2"/>
    <x v="2"/>
    <n v="26"/>
    <n v="12627"/>
  </r>
  <r>
    <m/>
    <x v="7"/>
    <x v="34"/>
    <s v="NISHIMATSUYA"/>
    <x v="0"/>
    <n v="14000"/>
    <d v="2023-12-01T00:00:00"/>
    <d v="2023-12-31T00:00:00"/>
    <x v="11"/>
    <s v="12 Desember"/>
    <s v="Ontime"/>
    <s v="12 Desember"/>
    <n v="0.92"/>
    <n v="2.4"/>
    <n v="12880"/>
    <n v="33600"/>
    <s v="FOB"/>
    <x v="2"/>
    <x v="2"/>
    <n v="25"/>
    <n v="12627"/>
  </r>
  <r>
    <m/>
    <x v="7"/>
    <x v="34"/>
    <s v="NISHIMATSUYA"/>
    <x v="1"/>
    <n v="14000"/>
    <d v="2023-12-01T00:00:00"/>
    <d v="2023-12-31T00:00:00"/>
    <x v="11"/>
    <s v="12 Desember"/>
    <s v="Ontime"/>
    <s v="12 Desember"/>
    <n v="0.92"/>
    <n v="2.4"/>
    <n v="12880"/>
    <n v="33600"/>
    <s v="FOB"/>
    <x v="2"/>
    <x v="2"/>
    <n v="25"/>
    <n v="12627"/>
  </r>
  <r>
    <m/>
    <x v="7"/>
    <x v="34"/>
    <s v="NISHIMATSUYA"/>
    <x v="3"/>
    <n v="14000"/>
    <d v="2023-12-01T00:00:00"/>
    <d v="2023-12-31T00:00:00"/>
    <x v="11"/>
    <s v="12 Desember"/>
    <s v="Ontime"/>
    <s v="12 Desember"/>
    <n v="0.92"/>
    <n v="2.4"/>
    <n v="12880"/>
    <n v="33600"/>
    <s v="FOB"/>
    <x v="2"/>
    <x v="2"/>
    <n v="25"/>
    <n v="12627"/>
  </r>
  <r>
    <m/>
    <x v="7"/>
    <x v="34"/>
    <s v="NISHIMATSUYA"/>
    <x v="10"/>
    <n v="14000"/>
    <d v="2023-12-01T00:00:00"/>
    <d v="2023-12-31T00:00:00"/>
    <x v="11"/>
    <s v="12 Desember"/>
    <s v="Ontime"/>
    <s v="12 Desember"/>
    <n v="0.92"/>
    <n v="2.4"/>
    <n v="12880"/>
    <n v="33600"/>
    <s v="FOB"/>
    <x v="2"/>
    <x v="2"/>
    <n v="25"/>
    <n v="12627"/>
  </r>
  <r>
    <m/>
    <x v="7"/>
    <x v="34"/>
    <s v="NISHIMATSUYA"/>
    <x v="11"/>
    <n v="18000"/>
    <d v="2023-12-01T00:00:00"/>
    <d v="2023-12-31T00:00:00"/>
    <x v="11"/>
    <s v="12 Desember"/>
    <s v="Ontime"/>
    <s v="12 Desember"/>
    <n v="0.92"/>
    <n v="2.4"/>
    <n v="16560"/>
    <n v="43200"/>
    <s v="FOB"/>
    <x v="2"/>
    <x v="2"/>
    <n v="25"/>
    <n v="12627"/>
  </r>
  <r>
    <m/>
    <x v="7"/>
    <x v="17"/>
    <s v="MOTHERCARE"/>
    <x v="12"/>
    <n v="8813"/>
    <d v="2023-12-01T00:00:00"/>
    <d v="2023-12-31T00:00:00"/>
    <x v="11"/>
    <s v="12 Desember"/>
    <s v="Ontime"/>
    <s v="12 Desember"/>
    <n v="1.1000000000000001"/>
    <n v="2.95"/>
    <n v="9694.3000000000011"/>
    <n v="25998.350000000002"/>
    <s v="FOB"/>
    <x v="2"/>
    <x v="2"/>
    <n v="25"/>
    <n v="12627"/>
  </r>
  <r>
    <m/>
    <x v="7"/>
    <x v="17"/>
    <s v="MOTHERCARE"/>
    <x v="13"/>
    <n v="8813"/>
    <d v="2023-12-01T00:00:00"/>
    <d v="2023-12-31T00:00:00"/>
    <x v="11"/>
    <s v="12 Desember"/>
    <s v="Ontime"/>
    <s v="12 Desember"/>
    <n v="1.1000000000000001"/>
    <n v="2.95"/>
    <n v="9694.3000000000011"/>
    <n v="25998.350000000002"/>
    <s v="FOB"/>
    <x v="2"/>
    <x v="2"/>
    <n v="25"/>
    <n v="12627"/>
  </r>
  <r>
    <m/>
    <x v="7"/>
    <x v="17"/>
    <s v="MOTHERCARE"/>
    <x v="14"/>
    <n v="8813"/>
    <d v="2023-12-01T00:00:00"/>
    <d v="2023-12-31T00:00:00"/>
    <x v="11"/>
    <s v="12 Desember"/>
    <s v="Ontime"/>
    <s v="12 Desember"/>
    <n v="1.1000000000000001"/>
    <n v="2.95"/>
    <n v="9694.3000000000011"/>
    <n v="25998.350000000002"/>
    <s v="FOB"/>
    <x v="2"/>
    <x v="2"/>
    <n v="25"/>
    <n v="12627"/>
  </r>
  <r>
    <m/>
    <x v="7"/>
    <x v="17"/>
    <s v="MOTHERCARE"/>
    <x v="15"/>
    <n v="8813"/>
    <d v="2023-12-01T00:00:00"/>
    <d v="2023-12-31T00:00:00"/>
    <x v="11"/>
    <s v="12 Desember"/>
    <s v="Ontime"/>
    <s v="12 Desember"/>
    <n v="1.1000000000000001"/>
    <n v="2.95"/>
    <n v="9694.3000000000011"/>
    <n v="25998.350000000002"/>
    <s v="FOB"/>
    <x v="2"/>
    <x v="2"/>
    <n v="25"/>
    <n v="12627"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8"/>
    <x v="0"/>
    <n v="5560"/>
    <x v="0"/>
    <n v="2220"/>
    <d v="2023-01-02T00:00:00"/>
    <d v="2023-01-17T00:00:00"/>
    <x v="0"/>
    <d v="2023-02-07T00:00:00"/>
    <s v="Ontime"/>
    <s v="2.February"/>
    <s v="4.13"/>
    <n v="9.2098999999999993"/>
    <n v="9168.6"/>
    <n v="20445.977999999999"/>
    <s v="CMTP"/>
    <x v="0"/>
    <x v="2"/>
    <n v="14"/>
    <n v="8173.8461538461534"/>
  </r>
  <r>
    <m/>
    <x v="8"/>
    <x v="0"/>
    <n v="6550"/>
    <x v="0"/>
    <n v="220"/>
    <d v="2023-01-18T00:00:00"/>
    <d v="2023-01-19T00:00:00"/>
    <x v="0"/>
    <d v="2023-01-27T00:00:00"/>
    <s v="Ontime"/>
    <s v="1.January"/>
    <s v="4.63"/>
    <n v="10.3249"/>
    <n v="1018.6"/>
    <n v="2271.4780000000001"/>
    <s v="CMTP"/>
    <x v="0"/>
    <x v="2"/>
    <n v="2"/>
    <n v="1167.6923076923076"/>
  </r>
  <r>
    <m/>
    <x v="8"/>
    <x v="0"/>
    <n v="5554"/>
    <x v="0"/>
    <n v="1210"/>
    <d v="2023-01-20T00:00:00"/>
    <d v="2023-01-31T00:00:00"/>
    <x v="0"/>
    <d v="2023-02-17T00:00:00"/>
    <s v="Ontime"/>
    <s v="2.February"/>
    <s v="3.86"/>
    <n v="8.6077999999999992"/>
    <n v="4670.5999999999995"/>
    <n v="10415.437999999998"/>
    <s v="CMTP"/>
    <x v="0"/>
    <x v="2"/>
    <n v="10"/>
    <n v="5838.4615384615381"/>
  </r>
  <r>
    <m/>
    <x v="8"/>
    <x v="0"/>
    <n v="5554"/>
    <x v="0"/>
    <n v="525"/>
    <d v="2023-02-01T00:00:00"/>
    <d v="2023-02-03T00:00:00"/>
    <x v="1"/>
    <d v="2023-02-17T00:00:00"/>
    <s v="Ontime"/>
    <s v="2.February"/>
    <s v="3.86"/>
    <n v="8.6077999999999992"/>
    <n v="2026.5"/>
    <n v="4519.0949999999993"/>
    <s v="CMTP"/>
    <x v="0"/>
    <x v="2"/>
    <n v="3"/>
    <n v="1897.5"/>
  </r>
  <r>
    <m/>
    <x v="8"/>
    <x v="0"/>
    <n v="5550"/>
    <x v="0"/>
    <n v="2150"/>
    <d v="2023-02-04T00:00:00"/>
    <d v="2023-02-21T00:00:00"/>
    <x v="1"/>
    <d v="2023-03-13T00:00:00"/>
    <s v="Ontime"/>
    <s v="3.March"/>
    <s v="4.18"/>
    <n v="9.3213999999999988"/>
    <n v="8987"/>
    <n v="20041.009999999998"/>
    <s v="CMTP"/>
    <x v="0"/>
    <x v="2"/>
    <n v="15"/>
    <n v="9487.5"/>
  </r>
  <r>
    <m/>
    <x v="8"/>
    <x v="0"/>
    <n v="5560"/>
    <x v="0"/>
    <n v="904"/>
    <d v="2023-02-22T00:00:00"/>
    <d v="2023-02-28T00:00:00"/>
    <x v="1"/>
    <d v="2023-03-31T00:00:00"/>
    <s v="Ontime"/>
    <s v="3.March"/>
    <s v="4.13"/>
    <n v="9.2098999999999993"/>
    <n v="3733.52"/>
    <n v="8325.7495999999992"/>
    <s v="CMTP"/>
    <x v="0"/>
    <x v="2"/>
    <n v="6"/>
    <n v="3795"/>
  </r>
  <r>
    <m/>
    <x v="8"/>
    <x v="0"/>
    <n v="5560"/>
    <x v="0"/>
    <n v="1877"/>
    <d v="2023-03-01T00:00:00"/>
    <d v="2023-03-13T00:00:00"/>
    <x v="2"/>
    <d v="2023-03-31T00:00:00"/>
    <s v="Ontime"/>
    <s v="3.March"/>
    <s v="4.13"/>
    <n v="9.2098999999999993"/>
    <n v="7752.01"/>
    <n v="17286.9823"/>
    <s v="CMTP"/>
    <x v="0"/>
    <x v="2"/>
    <n v="11"/>
    <n v="6422.3076923076915"/>
  </r>
  <r>
    <m/>
    <x v="8"/>
    <x v="0"/>
    <s v="GA-3910"/>
    <x v="0"/>
    <n v="2841"/>
    <d v="2023-03-14T00:00:00"/>
    <d v="2023-03-28T00:00:00"/>
    <x v="2"/>
    <d v="2023-04-06T00:00:00"/>
    <s v="Ontime"/>
    <s v="4.April"/>
    <s v="3.75"/>
    <n v="8.3625000000000007"/>
    <n v="10653.75"/>
    <n v="23757.862500000003"/>
    <s v="CMTP"/>
    <x v="0"/>
    <x v="2"/>
    <n v="12"/>
    <n v="7006.1538461538457"/>
  </r>
  <r>
    <m/>
    <x v="8"/>
    <x v="0"/>
    <s v="GA-3915"/>
    <x v="0"/>
    <n v="457"/>
    <d v="2023-03-29T00:00:00"/>
    <d v="2023-03-31T00:00:00"/>
    <x v="2"/>
    <d v="2023-04-06T00:00:00"/>
    <s v="Ontime"/>
    <s v="4.April"/>
    <s v="2.75"/>
    <n v="6.1325000000000003"/>
    <n v="1256.75"/>
    <n v="2802.5525000000002"/>
    <s v="CMTP"/>
    <x v="0"/>
    <x v="2"/>
    <n v="3"/>
    <n v="1751.5384615384614"/>
  </r>
  <r>
    <m/>
    <x v="8"/>
    <x v="0"/>
    <s v="GA-3915"/>
    <x v="0"/>
    <n v="23"/>
    <d v="2023-04-01T00:00:00"/>
    <d v="2023-04-01T00:00:00"/>
    <x v="3"/>
    <d v="2023-04-06T00:00:00"/>
    <s v="Ontime"/>
    <s v="4.April"/>
    <s v="2.75"/>
    <n v="6.1325000000000003"/>
    <n v="63.25"/>
    <n v="141.04750000000001"/>
    <s v="CMTP"/>
    <x v="0"/>
    <x v="2"/>
    <n v="1"/>
    <n v="759"/>
  </r>
  <r>
    <m/>
    <x v="8"/>
    <x v="0"/>
    <n v="5561"/>
    <x v="1"/>
    <n v="510"/>
    <d v="2023-01-02T00:00:00"/>
    <d v="2023-01-05T00:00:00"/>
    <x v="0"/>
    <d v="2023-01-27T00:00:00"/>
    <s v="Ontime"/>
    <s v="1.January"/>
    <s v="3.93"/>
    <n v="8.7638999999999996"/>
    <n v="2004.3000000000002"/>
    <n v="4469.5889999999999"/>
    <s v="CMTP"/>
    <x v="0"/>
    <x v="2"/>
    <n v="4"/>
    <n v="2335.3846153846152"/>
  </r>
  <r>
    <m/>
    <x v="8"/>
    <x v="0"/>
    <n v="5550"/>
    <x v="1"/>
    <n v="176"/>
    <d v="2023-01-06T00:00:00"/>
    <d v="2023-01-09T00:00:00"/>
    <x v="0"/>
    <d v="2023-02-07T00:00:00"/>
    <s v="Ontime"/>
    <s v="2.February"/>
    <s v="4.18"/>
    <n v="9.3213999999999988"/>
    <n v="735.68"/>
    <n v="1640.5663999999997"/>
    <s v="CMTP"/>
    <x v="0"/>
    <x v="2"/>
    <n v="3"/>
    <n v="1751.5384615384614"/>
  </r>
  <r>
    <m/>
    <x v="8"/>
    <x v="0"/>
    <s v="GA-3915"/>
    <x v="1"/>
    <n v="421"/>
    <d v="2023-01-10T00:00:00"/>
    <d v="2023-01-12T00:00:00"/>
    <x v="0"/>
    <d v="2023-01-27T00:00:00"/>
    <s v="Ontime"/>
    <s v="1.January"/>
    <s v="2.75"/>
    <n v="6.1325000000000003"/>
    <n v="1157.75"/>
    <n v="2581.7825000000003"/>
    <s v="CMTP"/>
    <x v="0"/>
    <x v="2"/>
    <n v="3"/>
    <n v="1751.5384615384614"/>
  </r>
  <r>
    <m/>
    <x v="8"/>
    <x v="0"/>
    <n v="6564"/>
    <x v="1"/>
    <n v="2670"/>
    <d v="2023-01-13T00:00:00"/>
    <d v="2023-01-31T00:00:00"/>
    <x v="0"/>
    <d v="2023-02-17T00:00:00"/>
    <s v="Ontime"/>
    <s v="2.February"/>
    <s v="3.33"/>
    <n v="7.4259000000000004"/>
    <n v="8891.1"/>
    <n v="19827.153000000002"/>
    <s v="CMTP"/>
    <x v="0"/>
    <x v="2"/>
    <n v="16"/>
    <n v="9341.538461538461"/>
  </r>
  <r>
    <m/>
    <x v="8"/>
    <x v="0"/>
    <n v="5553"/>
    <x v="1"/>
    <n v="1040"/>
    <d v="2023-02-01T00:00:00"/>
    <d v="2023-02-09T00:00:00"/>
    <x v="1"/>
    <d v="2023-03-13T00:00:00"/>
    <s v="Ontime"/>
    <s v="3.March"/>
    <s v="2.87"/>
    <n v="6.4001000000000001"/>
    <n v="2984.8"/>
    <n v="6656.1040000000003"/>
    <s v="CMTP"/>
    <x v="0"/>
    <x v="2"/>
    <n v="8"/>
    <n v="5060"/>
  </r>
  <r>
    <m/>
    <x v="8"/>
    <x v="0"/>
    <n v="5561"/>
    <x v="1"/>
    <n v="2005"/>
    <d v="2023-02-10T00:00:00"/>
    <d v="2023-02-24T00:00:00"/>
    <x v="1"/>
    <d v="2023-03-13T00:00:00"/>
    <s v="Ontime"/>
    <s v="3.March"/>
    <s v="3.93"/>
    <n v="8.7638999999999996"/>
    <n v="7879.6500000000005"/>
    <n v="17571.619500000001"/>
    <s v="CMTP"/>
    <x v="0"/>
    <x v="2"/>
    <n v="13"/>
    <n v="8222.5"/>
  </r>
  <r>
    <m/>
    <x v="8"/>
    <x v="0"/>
    <n v="5551"/>
    <x v="1"/>
    <n v="369"/>
    <d v="2023-02-25T00:00:00"/>
    <d v="2023-02-28T00:00:00"/>
    <x v="1"/>
    <d v="2023-03-31T00:00:00"/>
    <s v="Ontime"/>
    <s v="3.March"/>
    <s v="4.41"/>
    <n v="9.8343000000000007"/>
    <n v="1627.29"/>
    <n v="3628.8567000000003"/>
    <s v="CMTP"/>
    <x v="0"/>
    <x v="2"/>
    <n v="3"/>
    <n v="1897.5"/>
  </r>
  <r>
    <m/>
    <x v="8"/>
    <x v="0"/>
    <n v="5551"/>
    <x v="1"/>
    <n v="651"/>
    <d v="2023-03-01T00:00:00"/>
    <d v="2023-03-06T00:00:00"/>
    <x v="2"/>
    <d v="2023-03-31T00:00:00"/>
    <s v="Ontime"/>
    <s v="3.March"/>
    <s v="4.41"/>
    <n v="9.8343000000000007"/>
    <n v="2870.9100000000003"/>
    <n v="6402.1293000000005"/>
    <s v="CMTP"/>
    <x v="0"/>
    <x v="2"/>
    <n v="5"/>
    <n v="2919.2307692307691"/>
  </r>
  <r>
    <m/>
    <x v="8"/>
    <x v="0"/>
    <n v="5560"/>
    <x v="1"/>
    <n v="945"/>
    <d v="2023-03-07T00:00:00"/>
    <d v="2023-03-11T00:00:00"/>
    <x v="2"/>
    <d v="2023-03-31T00:00:00"/>
    <s v="Ontime"/>
    <s v="3.March"/>
    <s v="4.13"/>
    <n v="9.2098999999999993"/>
    <n v="3902.85"/>
    <n v="8703.3554999999997"/>
    <s v="CMTP"/>
    <x v="0"/>
    <x v="2"/>
    <n v="5"/>
    <n v="2919.2307692307691"/>
  </r>
  <r>
    <m/>
    <x v="8"/>
    <x v="0"/>
    <s v="GA-3910"/>
    <x v="1"/>
    <n v="1791"/>
    <d v="2023-03-12T00:00:00"/>
    <d v="2023-03-21T00:00:00"/>
    <x v="2"/>
    <d v="2023-04-06T00:00:00"/>
    <s v="Ontime"/>
    <s v="4.April"/>
    <s v="3.75"/>
    <n v="8.3625000000000007"/>
    <n v="6716.25"/>
    <n v="14977.237500000001"/>
    <s v="CMTP"/>
    <x v="0"/>
    <x v="2"/>
    <n v="8"/>
    <n v="4670.7692307692305"/>
  </r>
  <r>
    <m/>
    <x v="8"/>
    <x v="0"/>
    <s v="GA-3915"/>
    <x v="1"/>
    <n v="680"/>
    <d v="2023-03-23T00:00:00"/>
    <d v="2023-03-31T00:00:00"/>
    <x v="2"/>
    <d v="2023-04-06T00:00:00"/>
    <s v="Ontime"/>
    <s v="4.April"/>
    <s v="2.75"/>
    <n v="6.1325000000000003"/>
    <n v="1870"/>
    <n v="4170.1000000000004"/>
    <s v="CMTP"/>
    <x v="0"/>
    <x v="2"/>
    <n v="8"/>
    <n v="4670.7692307692305"/>
  </r>
  <r>
    <m/>
    <x v="8"/>
    <x v="0"/>
    <n v="5552"/>
    <x v="3"/>
    <n v="2692"/>
    <d v="2023-01-02T00:00:00"/>
    <d v="2023-01-31T00:00:00"/>
    <x v="0"/>
    <d v="2023-02-07T00:00:00"/>
    <s v="Ontime"/>
    <s v="2.February"/>
    <s v="2.43"/>
    <n v="5.4189000000000007"/>
    <n v="6541.56"/>
    <n v="14587.678800000002"/>
    <s v="CMTP"/>
    <x v="0"/>
    <x v="2"/>
    <n v="26"/>
    <n v="15180"/>
  </r>
  <r>
    <m/>
    <x v="8"/>
    <x v="0"/>
    <n v="5552"/>
    <x v="3"/>
    <n v="1"/>
    <d v="2023-02-01T00:00:00"/>
    <d v="2023-02-02T00:00:00"/>
    <x v="1"/>
    <d v="2023-02-07T00:00:00"/>
    <s v="Ontime"/>
    <s v="2.February"/>
    <s v="2.43"/>
    <n v="5.4189000000000007"/>
    <n v="2.4300000000000002"/>
    <n v="5.4189000000000007"/>
    <s v="CMTP"/>
    <x v="0"/>
    <x v="2"/>
    <n v="2"/>
    <n v="1265"/>
  </r>
  <r>
    <m/>
    <x v="8"/>
    <x v="0"/>
    <n v="5564"/>
    <x v="3"/>
    <n v="4493"/>
    <d v="2023-02-03T00:00:00"/>
    <d v="2023-02-28T00:00:00"/>
    <x v="1"/>
    <d v="2023-03-31T00:00:00"/>
    <s v="Ontime"/>
    <s v="3.March"/>
    <s v="3.33"/>
    <n v="7.4259000000000004"/>
    <n v="14961.69"/>
    <n v="33364.568700000003"/>
    <s v="CMTP"/>
    <x v="0"/>
    <x v="2"/>
    <n v="22"/>
    <n v="13915"/>
  </r>
  <r>
    <m/>
    <x v="8"/>
    <x v="0"/>
    <n v="5564"/>
    <x v="3"/>
    <n v="287"/>
    <d v="2023-03-01T00:00:00"/>
    <d v="2023-03-02T00:00:00"/>
    <x v="2"/>
    <d v="2023-03-31T00:00:00"/>
    <s v="Ontime"/>
    <s v="3.March"/>
    <s v="3.33"/>
    <n v="7.4259000000000004"/>
    <n v="955.71"/>
    <n v="2131.2333000000003"/>
    <s v="CMTP"/>
    <x v="0"/>
    <x v="2"/>
    <n v="2"/>
    <n v="1167.6923076923076"/>
  </r>
  <r>
    <m/>
    <x v="8"/>
    <x v="0"/>
    <s v="GA-3916"/>
    <x v="3"/>
    <n v="1021"/>
    <d v="2023-03-03T00:00:00"/>
    <d v="2023-03-11T00:00:00"/>
    <x v="2"/>
    <d v="2023-04-06T00:00:00"/>
    <s v="Ontime"/>
    <s v="4.April"/>
    <s v="2.6"/>
    <n v="5.798"/>
    <n v="2654.6"/>
    <n v="5919.7579999999998"/>
    <s v="CMTP"/>
    <x v="0"/>
    <x v="2"/>
    <n v="8"/>
    <n v="4670.7692307692305"/>
  </r>
  <r>
    <m/>
    <x v="8"/>
    <x v="0"/>
    <s v="GA-3915"/>
    <x v="3"/>
    <n v="1440"/>
    <d v="2023-03-12T00:00:00"/>
    <d v="2023-03-28T00:00:00"/>
    <x v="2"/>
    <d v="2023-04-06T00:00:00"/>
    <s v="Ontime"/>
    <s v="4.April"/>
    <s v="2.75"/>
    <n v="6.1325000000000003"/>
    <n v="3960"/>
    <n v="8830.8000000000011"/>
    <s v="CMTP"/>
    <x v="0"/>
    <x v="2"/>
    <n v="13"/>
    <n v="7590"/>
  </r>
  <r>
    <m/>
    <x v="8"/>
    <x v="0"/>
    <s v="GA-3910"/>
    <x v="0"/>
    <n v="3115"/>
    <d v="2023-04-03T00:00:00"/>
    <d v="2023-04-29T00:00:00"/>
    <x v="3"/>
    <d v="2023-06-27T00:00:00"/>
    <s v="Ontime"/>
    <s v="6.June"/>
    <s v="3.75"/>
    <n v="8.3625000000000007"/>
    <n v="11681.25"/>
    <n v="26049.187500000004"/>
    <s v="CMTP"/>
    <x v="0"/>
    <x v="2"/>
    <n v="19"/>
    <n v="14421"/>
  </r>
  <r>
    <m/>
    <x v="8"/>
    <x v="0"/>
    <s v="GA-3910"/>
    <x v="0"/>
    <n v="4725"/>
    <d v="2023-05-01T00:00:00"/>
    <d v="2023-05-31T00:00:00"/>
    <x v="4"/>
    <d v="2023-06-27T00:00:00"/>
    <s v="Ontime"/>
    <s v="6.June"/>
    <s v="3.75"/>
    <n v="8.3625000000000007"/>
    <n v="17718.75"/>
    <n v="39512.8125"/>
    <s v="CMTP"/>
    <x v="0"/>
    <x v="2"/>
    <n v="25"/>
    <n v="15180.000000000002"/>
  </r>
  <r>
    <m/>
    <x v="8"/>
    <x v="0"/>
    <s v="GA-3910"/>
    <x v="0"/>
    <n v="1280"/>
    <d v="2023-06-02T00:00:00"/>
    <d v="2023-06-09T00:00:00"/>
    <x v="5"/>
    <d v="2023-06-27T00:00:00"/>
    <s v="Ontime"/>
    <s v="6.June"/>
    <s v="3.75"/>
    <n v="8.3625000000000007"/>
    <n v="4800"/>
    <n v="10704"/>
    <s v="CMTP"/>
    <x v="0"/>
    <x v="2"/>
    <n v="7"/>
    <n v="4427.5"/>
  </r>
  <r>
    <m/>
    <x v="8"/>
    <x v="0"/>
    <s v="EBA 156"/>
    <x v="0"/>
    <n v="2320"/>
    <d v="2023-06-10T00:00:00"/>
    <d v="2023-06-30T00:00:00"/>
    <x v="5"/>
    <d v="2023-07-15T00:00:00"/>
    <s v="Ontime"/>
    <s v="7.July"/>
    <s v="3.45"/>
    <n v="7.6935000000000002"/>
    <n v="8004"/>
    <n v="17848.920000000002"/>
    <s v="CMTP"/>
    <x v="0"/>
    <x v="2"/>
    <n v="17"/>
    <n v="10752.5"/>
  </r>
  <r>
    <m/>
    <x v="8"/>
    <x v="0"/>
    <s v="EBA 153"/>
    <x v="0"/>
    <n v="1230"/>
    <d v="2023-07-01T00:00:00"/>
    <d v="2023-07-08T00:00:00"/>
    <x v="6"/>
    <d v="2023-07-27T00:00:00"/>
    <s v="Ontime"/>
    <s v="7.July"/>
    <s v="2.55"/>
    <n v="5.6864999999999997"/>
    <n v="3136.5"/>
    <n v="6994.3949999999995"/>
    <s v="CMTP"/>
    <x v="0"/>
    <x v="2"/>
    <n v="7"/>
    <n v="4334.12"/>
  </r>
  <r>
    <m/>
    <x v="8"/>
    <x v="0"/>
    <s v="GA-3915"/>
    <x v="1"/>
    <n v="4090"/>
    <d v="2023-04-01T00:00:00"/>
    <d v="2023-04-29T00:00:00"/>
    <x v="3"/>
    <d v="2023-07-07T00:00:00"/>
    <s v="Ontime"/>
    <s v="7.July"/>
    <s v="2.75"/>
    <n v="6.1325000000000003"/>
    <n v="11247.5"/>
    <n v="25081.925000000003"/>
    <s v="CMTP"/>
    <x v="0"/>
    <x v="2"/>
    <n v="20"/>
    <n v="15180"/>
  </r>
  <r>
    <m/>
    <x v="8"/>
    <x v="0"/>
    <s v="GA-3915"/>
    <x v="1"/>
    <n v="5720"/>
    <d v="2023-05-01T00:00:00"/>
    <d v="2023-05-31T00:00:00"/>
    <x v="4"/>
    <d v="2023-07-07T00:00:00"/>
    <s v="Ontime"/>
    <s v="7.July"/>
    <s v="2.75"/>
    <n v="6.1325000000000003"/>
    <n v="15730"/>
    <n v="35077.9"/>
    <s v="CMTP"/>
    <x v="0"/>
    <x v="2"/>
    <n v="25"/>
    <n v="15180.000000000002"/>
  </r>
  <r>
    <m/>
    <x v="8"/>
    <x v="0"/>
    <s v="GA-3915"/>
    <x v="1"/>
    <n v="3130"/>
    <d v="2023-06-01T00:00:00"/>
    <d v="2023-06-19T00:00:00"/>
    <x v="5"/>
    <d v="2023-07-07T00:00:00"/>
    <s v="Ontime"/>
    <s v="7.July"/>
    <s v="2.75"/>
    <n v="6.1325000000000003"/>
    <n v="8607.5"/>
    <n v="19194.725000000002"/>
    <s v="CMTP"/>
    <x v="0"/>
    <x v="2"/>
    <n v="15"/>
    <n v="9487.5"/>
  </r>
  <r>
    <m/>
    <x v="8"/>
    <x v="0"/>
    <s v="EBA 153"/>
    <x v="1"/>
    <n v="1520"/>
    <d v="2023-06-20T00:00:00"/>
    <d v="2023-06-30T00:00:00"/>
    <x v="5"/>
    <d v="2023-07-27T00:00:00"/>
    <s v="Ontime"/>
    <s v="7.July"/>
    <s v="2.55"/>
    <n v="5.6864999999999997"/>
    <n v="3875.9999999999995"/>
    <n v="8643.48"/>
    <s v="CMTP"/>
    <x v="0"/>
    <x v="2"/>
    <n v="9"/>
    <n v="5692.5"/>
  </r>
  <r>
    <m/>
    <x v="8"/>
    <x v="0"/>
    <s v="EBA 153"/>
    <x v="1"/>
    <n v="1490"/>
    <d v="2023-07-01T00:00:00"/>
    <d v="2023-07-10T00:00:00"/>
    <x v="6"/>
    <d v="2023-07-27T00:00:00"/>
    <s v="Ontime"/>
    <s v="7.July"/>
    <s v="2.55"/>
    <n v="5.6864999999999997"/>
    <n v="3799.4999999999995"/>
    <n v="8472.8850000000002"/>
    <s v="CMTP"/>
    <x v="0"/>
    <x v="2"/>
    <n v="8"/>
    <n v="4953.28"/>
  </r>
  <r>
    <m/>
    <x v="8"/>
    <x v="0"/>
    <s v="medical scrub top"/>
    <x v="3"/>
    <n v="1200"/>
    <d v="2023-03-29T00:00:00"/>
    <d v="2023-03-31T00:00:00"/>
    <x v="2"/>
    <m/>
    <m/>
    <m/>
    <n v="1.54"/>
    <n v="3.4342000000000001"/>
    <n v="1848"/>
    <n v="4121.04"/>
    <s v="CMTP"/>
    <x v="0"/>
    <x v="2"/>
    <n v="3"/>
    <n v="1751.5384615384614"/>
  </r>
  <r>
    <m/>
    <x v="8"/>
    <x v="0"/>
    <s v="medical scrub top"/>
    <x v="3"/>
    <n v="2100"/>
    <d v="2023-04-01T00:00:00"/>
    <d v="2023-04-10T00:00:00"/>
    <x v="3"/>
    <m/>
    <m/>
    <m/>
    <n v="1.54"/>
    <n v="3.4342000000000001"/>
    <n v="3234"/>
    <n v="7211.8200000000006"/>
    <s v="CMTP"/>
    <x v="0"/>
    <x v="2"/>
    <n v="7"/>
    <n v="5313"/>
  </r>
  <r>
    <m/>
    <x v="8"/>
    <x v="0"/>
    <s v="medical scrub top"/>
    <x v="3"/>
    <n v="2450"/>
    <d v="2023-04-11T00:00:00"/>
    <d v="2023-04-18T00:00:00"/>
    <x v="3"/>
    <m/>
    <m/>
    <m/>
    <n v="1.54"/>
    <n v="3.4342000000000001"/>
    <n v="3773"/>
    <n v="8413.7900000000009"/>
    <s v="CMTP"/>
    <x v="0"/>
    <x v="2"/>
    <n v="7"/>
    <n v="5313"/>
  </r>
  <r>
    <m/>
    <x v="8"/>
    <x v="0"/>
    <s v="medical scrub top"/>
    <x v="3"/>
    <n v="1200"/>
    <d v="2023-04-19T00:00:00"/>
    <d v="2023-04-26T00:00:00"/>
    <x v="3"/>
    <m/>
    <m/>
    <m/>
    <n v="1.54"/>
    <n v="3.4342000000000001"/>
    <n v="1848"/>
    <n v="4121.04"/>
    <s v="CMTP"/>
    <x v="0"/>
    <x v="2"/>
    <n v="3"/>
    <n v="2277"/>
  </r>
  <r>
    <m/>
    <x v="8"/>
    <x v="0"/>
    <s v="medical scrub top"/>
    <x v="3"/>
    <n v="1200"/>
    <d v="2023-04-27T00:00:00"/>
    <d v="2023-04-29T00:00:00"/>
    <x v="3"/>
    <m/>
    <m/>
    <m/>
    <n v="1.54"/>
    <n v="3.4342000000000001"/>
    <n v="1848"/>
    <n v="4121.04"/>
    <s v="CMTP"/>
    <x v="0"/>
    <x v="2"/>
    <n v="3"/>
    <n v="2277"/>
  </r>
  <r>
    <m/>
    <x v="8"/>
    <x v="0"/>
    <s v="medical scrub top"/>
    <x v="3"/>
    <n v="12500"/>
    <d v="2023-05-02T00:00:00"/>
    <d v="2023-05-31T00:00:00"/>
    <x v="4"/>
    <m/>
    <m/>
    <m/>
    <n v="1.54"/>
    <n v="3.4342000000000001"/>
    <n v="19250"/>
    <n v="42927.5"/>
    <s v="CMTP"/>
    <x v="0"/>
    <x v="2"/>
    <n v="25"/>
    <n v="15180.000000000002"/>
  </r>
  <r>
    <m/>
    <x v="8"/>
    <x v="0"/>
    <s v="medical scrub top"/>
    <x v="3"/>
    <n v="12000"/>
    <d v="2023-06-02T00:00:00"/>
    <d v="2023-06-30T00:00:00"/>
    <x v="5"/>
    <m/>
    <m/>
    <m/>
    <n v="1.54"/>
    <n v="3.4342000000000001"/>
    <n v="18480"/>
    <n v="41210.400000000001"/>
    <s v="CMTP"/>
    <x v="0"/>
    <x v="2"/>
    <n v="24"/>
    <n v="15180"/>
  </r>
  <r>
    <m/>
    <x v="8"/>
    <x v="0"/>
    <s v="medical scrub top"/>
    <x v="3"/>
    <n v="12500"/>
    <d v="2023-07-01T00:00:00"/>
    <d v="2023-07-31T00:00:00"/>
    <x v="6"/>
    <m/>
    <m/>
    <m/>
    <n v="1.54"/>
    <n v="3.4342000000000001"/>
    <n v="19250"/>
    <n v="42927.5"/>
    <s v="CMTP"/>
    <x v="0"/>
    <x v="2"/>
    <n v="25"/>
    <n v="15479"/>
  </r>
  <r>
    <m/>
    <x v="8"/>
    <x v="0"/>
    <s v="medical scrub top"/>
    <x v="3"/>
    <n v="13000"/>
    <d v="2023-08-01T00:00:00"/>
    <d v="2023-08-31T00:00:00"/>
    <x v="7"/>
    <m/>
    <m/>
    <m/>
    <n v="1.54"/>
    <n v="3.4342000000000001"/>
    <n v="20020"/>
    <n v="44644.6"/>
    <s v="CMTP"/>
    <x v="0"/>
    <x v="2"/>
    <n v="26"/>
    <n v="15479"/>
  </r>
  <r>
    <m/>
    <x v="8"/>
    <x v="0"/>
    <s v="medical scrub top"/>
    <x v="3"/>
    <n v="12500"/>
    <d v="2023-09-01T00:00:00"/>
    <d v="2023-09-30T00:00:00"/>
    <x v="8"/>
    <m/>
    <m/>
    <m/>
    <n v="1.54"/>
    <n v="3.4342000000000001"/>
    <n v="19250"/>
    <n v="42927.5"/>
    <s v="CMTP"/>
    <x v="0"/>
    <x v="2"/>
    <n v="25"/>
    <n v="15479"/>
  </r>
  <r>
    <m/>
    <x v="8"/>
    <x v="0"/>
    <s v="medical scrub top"/>
    <x v="3"/>
    <n v="13000"/>
    <d v="2023-10-01T00:00:00"/>
    <d v="2023-10-31T00:00:00"/>
    <x v="9"/>
    <m/>
    <m/>
    <m/>
    <n v="1.54"/>
    <n v="3.4342000000000001"/>
    <n v="20020"/>
    <n v="44644.6"/>
    <s v="CMTP"/>
    <x v="0"/>
    <x v="2"/>
    <n v="26"/>
    <n v="15479"/>
  </r>
  <r>
    <m/>
    <x v="8"/>
    <x v="0"/>
    <s v="medical scrub top"/>
    <x v="3"/>
    <n v="13000"/>
    <d v="2023-11-01T00:00:00"/>
    <d v="2023-11-30T00:00:00"/>
    <x v="10"/>
    <m/>
    <m/>
    <m/>
    <n v="1.54"/>
    <n v="3.4342000000000001"/>
    <n v="20020"/>
    <n v="44644.6"/>
    <s v="CMTP"/>
    <x v="0"/>
    <x v="2"/>
    <n v="26"/>
    <n v="15479"/>
  </r>
  <r>
    <m/>
    <x v="8"/>
    <x v="0"/>
    <s v="medical scrub top"/>
    <x v="3"/>
    <n v="12500"/>
    <d v="2023-12-01T00:00:00"/>
    <d v="2023-12-31T00:00:00"/>
    <x v="11"/>
    <m/>
    <m/>
    <m/>
    <n v="1.54"/>
    <n v="3.4342000000000001"/>
    <n v="19250"/>
    <n v="42927.5"/>
    <s v="CMTP"/>
    <x v="0"/>
    <x v="2"/>
    <n v="25"/>
    <n v="15479"/>
  </r>
  <r>
    <m/>
    <x v="8"/>
    <x v="0"/>
    <s v="PROJECTION GA-3910"/>
    <x v="0"/>
    <n v="4140"/>
    <d v="2023-07-09T00:00:00"/>
    <d v="2023-07-31T00:00:00"/>
    <x v="6"/>
    <m/>
    <m/>
    <m/>
    <n v="3.75"/>
    <n v="8.3625000000000007"/>
    <n v="15525"/>
    <n v="34620.75"/>
    <s v="CMTP"/>
    <x v="2"/>
    <x v="2"/>
    <n v="18"/>
    <n v="11144.88"/>
  </r>
  <r>
    <m/>
    <x v="8"/>
    <x v="0"/>
    <s v="PROJECTION GA-3910"/>
    <x v="0"/>
    <n v="5980"/>
    <d v="2023-08-01T00:00:00"/>
    <d v="2023-08-31T00:00:00"/>
    <x v="7"/>
    <m/>
    <m/>
    <m/>
    <n v="3.75"/>
    <n v="8.3625000000000007"/>
    <n v="22425"/>
    <n v="50007.750000000007"/>
    <s v="CMTP"/>
    <x v="2"/>
    <x v="2"/>
    <n v="26"/>
    <n v="15479"/>
  </r>
  <r>
    <m/>
    <x v="8"/>
    <x v="0"/>
    <s v="PROJECTION GA-3910"/>
    <x v="0"/>
    <n v="5750"/>
    <d v="2023-09-01T00:00:00"/>
    <d v="2023-09-30T00:00:00"/>
    <x v="8"/>
    <m/>
    <m/>
    <m/>
    <n v="3.75"/>
    <n v="8.3625000000000007"/>
    <n v="21562.5"/>
    <n v="48084.375000000007"/>
    <s v="CMTP"/>
    <x v="2"/>
    <x v="2"/>
    <n v="25"/>
    <n v="15479"/>
  </r>
  <r>
    <m/>
    <x v="8"/>
    <x v="0"/>
    <s v="PROJECTION GA-3910"/>
    <x v="0"/>
    <n v="5980"/>
    <d v="2023-10-01T00:00:00"/>
    <d v="2023-10-31T00:00:00"/>
    <x v="9"/>
    <m/>
    <m/>
    <m/>
    <n v="3.75"/>
    <n v="8.3625000000000007"/>
    <n v="22425"/>
    <n v="50007.750000000007"/>
    <s v="CMTP"/>
    <x v="2"/>
    <x v="2"/>
    <n v="26"/>
    <n v="15479"/>
  </r>
  <r>
    <m/>
    <x v="8"/>
    <x v="0"/>
    <s v="PROJECTION GA-3910"/>
    <x v="0"/>
    <n v="5980"/>
    <d v="2023-11-01T00:00:00"/>
    <d v="2023-11-30T00:00:00"/>
    <x v="10"/>
    <m/>
    <m/>
    <m/>
    <n v="3.75"/>
    <n v="8.3625000000000007"/>
    <n v="22425"/>
    <n v="50007.750000000007"/>
    <s v="CMTP"/>
    <x v="2"/>
    <x v="2"/>
    <n v="26"/>
    <n v="15479"/>
  </r>
  <r>
    <m/>
    <x v="8"/>
    <x v="0"/>
    <s v="PROJECTION GA-3910"/>
    <x v="0"/>
    <n v="5750"/>
    <d v="2023-12-01T00:00:00"/>
    <d v="2023-12-31T00:00:00"/>
    <x v="11"/>
    <m/>
    <m/>
    <m/>
    <n v="3.75"/>
    <n v="8.3625000000000007"/>
    <n v="21562.5"/>
    <n v="48084.375000000007"/>
    <s v="CMTP"/>
    <x v="2"/>
    <x v="2"/>
    <n v="25"/>
    <n v="15479"/>
  </r>
  <r>
    <m/>
    <x v="8"/>
    <x v="0"/>
    <s v="PROJECTION GA-3910"/>
    <x v="1"/>
    <n v="3910"/>
    <d v="2023-07-11T00:00:00"/>
    <d v="2023-07-31T00:00:00"/>
    <x v="6"/>
    <m/>
    <m/>
    <m/>
    <n v="3.75"/>
    <n v="8.3625000000000007"/>
    <n v="14662.5"/>
    <n v="32697.375000000004"/>
    <s v="CMTP"/>
    <x v="2"/>
    <x v="2"/>
    <n v="17"/>
    <n v="10525.72"/>
  </r>
  <r>
    <m/>
    <x v="8"/>
    <x v="0"/>
    <s v="PROJECTION GA-3910"/>
    <x v="1"/>
    <n v="5980"/>
    <d v="2023-08-01T00:00:00"/>
    <d v="2023-08-31T00:00:00"/>
    <x v="7"/>
    <m/>
    <m/>
    <m/>
    <n v="3.75"/>
    <n v="8.3625000000000007"/>
    <n v="22425"/>
    <n v="50007.750000000007"/>
    <s v="CMTP"/>
    <x v="2"/>
    <x v="2"/>
    <n v="26"/>
    <n v="15479"/>
  </r>
  <r>
    <m/>
    <x v="8"/>
    <x v="0"/>
    <s v="PROJECTION GA-3910"/>
    <x v="1"/>
    <n v="5750"/>
    <d v="2023-09-01T00:00:00"/>
    <d v="2023-09-30T00:00:00"/>
    <x v="8"/>
    <m/>
    <m/>
    <m/>
    <n v="3.75"/>
    <n v="8.3625000000000007"/>
    <n v="21562.5"/>
    <n v="48084.375000000007"/>
    <s v="CMTP"/>
    <x v="2"/>
    <x v="2"/>
    <n v="25"/>
    <n v="15479"/>
  </r>
  <r>
    <m/>
    <x v="8"/>
    <x v="0"/>
    <s v="PROJECTION GA-3910"/>
    <x v="1"/>
    <n v="5980"/>
    <d v="2023-10-01T00:00:00"/>
    <d v="2023-10-31T00:00:00"/>
    <x v="9"/>
    <m/>
    <m/>
    <m/>
    <n v="3.75"/>
    <n v="8.3625000000000007"/>
    <n v="22425"/>
    <n v="50007.750000000007"/>
    <s v="CMTP"/>
    <x v="2"/>
    <x v="2"/>
    <n v="26"/>
    <n v="15479"/>
  </r>
  <r>
    <m/>
    <x v="8"/>
    <x v="0"/>
    <s v="PROJECTION GA-3910"/>
    <x v="1"/>
    <n v="5980"/>
    <d v="2023-11-01T00:00:00"/>
    <d v="2023-11-30T00:00:00"/>
    <x v="10"/>
    <m/>
    <m/>
    <m/>
    <n v="3.75"/>
    <n v="8.3625000000000007"/>
    <n v="22425"/>
    <n v="50007.750000000007"/>
    <s v="CMTP"/>
    <x v="2"/>
    <x v="2"/>
    <n v="26"/>
    <n v="15479"/>
  </r>
  <r>
    <m/>
    <x v="8"/>
    <x v="0"/>
    <s v="PROJECTION GA-3910"/>
    <x v="1"/>
    <n v="5750"/>
    <d v="2023-12-01T00:00:00"/>
    <d v="2023-12-31T00:00:00"/>
    <x v="11"/>
    <m/>
    <m/>
    <m/>
    <n v="3.75"/>
    <n v="8.3625000000000007"/>
    <n v="21562.5"/>
    <n v="48084.375000000007"/>
    <s v="CMTP"/>
    <x v="2"/>
    <x v="2"/>
    <n v="25"/>
    <n v="15479"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9"/>
    <x v="22"/>
    <s v="454873OU"/>
    <x v="0"/>
    <n v="4000"/>
    <d v="2023-01-02T00:00:00"/>
    <d v="2023-01-26T00:00:00"/>
    <x v="0"/>
    <d v="2023-01-02T00:00:00"/>
    <s v="Delay"/>
    <s v="1.January"/>
    <n v="1.18"/>
    <n v="2.6313999999999997"/>
    <n v="4720"/>
    <n v="10525.599999999999"/>
    <s v="FOB"/>
    <x v="0"/>
    <x v="2"/>
    <n v="19"/>
    <n v="22325.431818181816"/>
  </r>
  <r>
    <m/>
    <x v="9"/>
    <x v="22"/>
    <n v="464469"/>
    <x v="0"/>
    <n v="2245"/>
    <d v="2023-01-27T00:00:00"/>
    <d v="2023-01-31T00:00:00"/>
    <x v="0"/>
    <d v="2023-01-23T00:00:00"/>
    <s v="Ontime"/>
    <s v="1.January"/>
    <n v="0.55000000000000004"/>
    <n v="1.6120000000000001"/>
    <n v="1234.75"/>
    <n v="3618.94"/>
    <s v="FOB"/>
    <x v="0"/>
    <x v="2"/>
    <n v="3"/>
    <n v="3525.068181818182"/>
  </r>
  <r>
    <m/>
    <x v="9"/>
    <x v="22"/>
    <n v="464469"/>
    <x v="0"/>
    <n v="5400"/>
    <d v="2023-02-01T00:00:00"/>
    <d v="2023-02-08T00:00:00"/>
    <x v="1"/>
    <d v="2023-02-13T00:00:00"/>
    <s v="Ontime"/>
    <s v="2.February"/>
    <n v="0.55000000000000004"/>
    <n v="1.6120000000000001"/>
    <n v="2970.0000000000005"/>
    <n v="8704.8000000000011"/>
    <s v="FOB"/>
    <x v="0"/>
    <x v="2"/>
    <n v="6"/>
    <n v="7755.1500000000005"/>
  </r>
  <r>
    <m/>
    <x v="9"/>
    <x v="22"/>
    <n v="464469"/>
    <x v="0"/>
    <n v="6000"/>
    <d v="2023-02-09T00:00:00"/>
    <d v="2023-02-16T00:00:00"/>
    <x v="1"/>
    <d v="2023-02-13T00:00:00"/>
    <s v="Ontime"/>
    <s v="2.February"/>
    <n v="0.55000000000000004"/>
    <n v="1.6120000000000001"/>
    <n v="3300.0000000000005"/>
    <n v="9672"/>
    <s v="FOB"/>
    <x v="0"/>
    <x v="2"/>
    <n v="6"/>
    <n v="7755.1500000000005"/>
  </r>
  <r>
    <m/>
    <x v="9"/>
    <x v="22"/>
    <s v="469503OU"/>
    <x v="0"/>
    <n v="3240"/>
    <d v="2023-02-17T00:00:00"/>
    <d v="2023-02-21T00:00:00"/>
    <x v="1"/>
    <d v="2023-02-13T00:00:00"/>
    <s v="Ontime"/>
    <s v="2.February"/>
    <n v="0.55000000000000004"/>
    <n v="1.6120000000000001"/>
    <n v="1782.0000000000002"/>
    <n v="5222.88"/>
    <s v="FOB"/>
    <x v="0"/>
    <x v="2"/>
    <n v="3"/>
    <n v="3877.5750000000003"/>
  </r>
  <r>
    <m/>
    <x v="9"/>
    <x v="22"/>
    <s v="454873OD"/>
    <x v="0"/>
    <n v="1234"/>
    <d v="2023-02-22T00:00:00"/>
    <d v="2023-02-24T00:00:00"/>
    <x v="1"/>
    <d v="2023-02-13T00:00:00"/>
    <s v="Ontime"/>
    <s v="2.February"/>
    <n v="1.18"/>
    <n v="2.6313999999999997"/>
    <n v="1456.12"/>
    <n v="3247.1475999999998"/>
    <s v="FOB"/>
    <x v="0"/>
    <x v="2"/>
    <n v="3"/>
    <n v="3877.5750000000003"/>
  </r>
  <r>
    <m/>
    <x v="9"/>
    <x v="22"/>
    <s v="459712NLOE"/>
    <x v="0"/>
    <n v="694"/>
    <d v="2023-02-27T00:00:00"/>
    <d v="2023-02-28T00:00:00"/>
    <x v="1"/>
    <d v="2023-02-20T00:00:00"/>
    <s v="Ontime"/>
    <s v="2.February"/>
    <n v="1.19"/>
    <n v="2.6536999999999997"/>
    <n v="825.86"/>
    <n v="1841.6677999999997"/>
    <s v="FOB"/>
    <x v="0"/>
    <x v="2"/>
    <n v="2"/>
    <n v="2585.0500000000002"/>
  </r>
  <r>
    <m/>
    <x v="9"/>
    <x v="22"/>
    <s v="459710VN"/>
    <x v="0"/>
    <n v="2204"/>
    <d v="2023-03-01T00:00:00"/>
    <d v="2023-03-08T00:00:00"/>
    <x v="2"/>
    <d v="2023-02-27T00:00:00"/>
    <s v="Ontime"/>
    <s v="2.February"/>
    <n v="1.19"/>
    <n v="2.6536999999999997"/>
    <n v="2622.7599999999998"/>
    <n v="5848.7547999999997"/>
    <s v="FOB"/>
    <x v="0"/>
    <x v="2"/>
    <n v="6"/>
    <n v="7050.136363636364"/>
  </r>
  <r>
    <m/>
    <x v="9"/>
    <x v="36"/>
    <s v="legging EC065,66,67,68,"/>
    <x v="0"/>
    <n v="3400"/>
    <d v="2023-03-09T00:00:00"/>
    <d v="2023-03-13T00:00:00"/>
    <x v="2"/>
    <d v="2023-04-30T00:00:00"/>
    <s v="Ontime"/>
    <s v="4.April"/>
    <n v="1.2556053811659191"/>
    <n v="2.8"/>
    <n v="4269.0582959641251"/>
    <n v="9520"/>
    <s v="FOB"/>
    <x v="0"/>
    <x v="2"/>
    <n v="3"/>
    <n v="3525.068181818182"/>
  </r>
  <r>
    <m/>
    <x v="9"/>
    <x v="36"/>
    <s v="legging EC027"/>
    <x v="0"/>
    <n v="2700"/>
    <d v="2023-03-14T00:00:00"/>
    <d v="2023-03-20T00:00:00"/>
    <x v="2"/>
    <d v="2023-05-30T00:00:00"/>
    <s v="Ontime"/>
    <s v="5.May"/>
    <n v="1.18"/>
    <n v="2.75"/>
    <n v="3186"/>
    <n v="7425"/>
    <s v="FOB"/>
    <x v="0"/>
    <x v="2"/>
    <n v="5"/>
    <n v="5875.113636363636"/>
  </r>
  <r>
    <m/>
    <x v="9"/>
    <x v="36"/>
    <s v="legging EC042"/>
    <x v="0"/>
    <n v="2400"/>
    <d v="2023-03-21T00:00:00"/>
    <d v="2023-03-23T00:00:00"/>
    <x v="2"/>
    <d v="2023-07-30T00:00:00"/>
    <s v="Ontime"/>
    <s v="6.Juni"/>
    <n v="1.36"/>
    <n v="2.4833333333333334"/>
    <n v="3264.0000000000005"/>
    <n v="5960"/>
    <s v="FOB"/>
    <x v="0"/>
    <x v="2"/>
    <n v="2"/>
    <n v="2350.0454545454545"/>
  </r>
  <r>
    <m/>
    <x v="9"/>
    <x v="36"/>
    <s v="shirt EC049"/>
    <x v="0"/>
    <n v="2700"/>
    <d v="2023-03-24T00:00:00"/>
    <d v="2023-03-29T00:00:00"/>
    <x v="2"/>
    <d v="2023-06-30T00:00:00"/>
    <s v="Ontime"/>
    <s v="6.Juni"/>
    <n v="1.1100000000000001"/>
    <n v="2.9833333333333329"/>
    <n v="2997.0000000000005"/>
    <n v="8054.9999999999991"/>
    <s v="FOB"/>
    <x v="0"/>
    <x v="2"/>
    <n v="4"/>
    <n v="4700.090909090909"/>
  </r>
  <r>
    <m/>
    <x v="9"/>
    <x v="36"/>
    <s v="shirt EC172"/>
    <x v="0"/>
    <n v="1280"/>
    <d v="2023-03-30T00:00:00"/>
    <d v="2023-03-31T00:00:00"/>
    <x v="2"/>
    <d v="2023-06-30T00:00:00"/>
    <s v="Ontime"/>
    <s v="6.Juni"/>
    <n v="1.0900000000000001"/>
    <n v="3.15"/>
    <n v="1395.2"/>
    <n v="4032"/>
    <s v="FOB"/>
    <x v="0"/>
    <x v="2"/>
    <n v="2"/>
    <n v="2350.0454545454545"/>
  </r>
  <r>
    <m/>
    <x v="9"/>
    <x v="22"/>
    <s v="422973CL-PE-UY"/>
    <x v="0"/>
    <n v="2030"/>
    <d v="2023-04-03T00:00:00"/>
    <d v="2023-04-07T00:00:00"/>
    <x v="3"/>
    <d v="2023-04-24T00:00:00"/>
    <s v="Ontime"/>
    <s v="4.April"/>
    <n v="1.03"/>
    <n v="3.78"/>
    <n v="2090.9"/>
    <n v="7673.4"/>
    <s v="FOB"/>
    <x v="0"/>
    <x v="2"/>
    <n v="4"/>
    <n v="6893.4666666666662"/>
  </r>
  <r>
    <m/>
    <x v="9"/>
    <x v="22"/>
    <s v="422973AU-ZA"/>
    <x v="0"/>
    <n v="1700"/>
    <d v="2023-04-10T00:00:00"/>
    <d v="2023-04-14T00:00:00"/>
    <x v="3"/>
    <d v="2023-06-05T00:00:00"/>
    <s v="Ontime"/>
    <s v="6.Juni"/>
    <n v="1.03"/>
    <n v="3.78"/>
    <n v="1751"/>
    <n v="6426"/>
    <s v="FOB"/>
    <x v="0"/>
    <x v="2"/>
    <n v="5"/>
    <n v="8616.8333333333321"/>
  </r>
  <r>
    <m/>
    <x v="9"/>
    <x v="37"/>
    <m/>
    <x v="0"/>
    <s v="-"/>
    <d v="2023-04-17T00:00:00"/>
    <d v="2023-04-29T00:00:00"/>
    <x v="3"/>
    <m/>
    <m/>
    <m/>
    <m/>
    <m/>
    <m/>
    <m/>
    <m/>
    <x v="2"/>
    <x v="1"/>
    <n v="6"/>
    <n v="10340.199999999999"/>
  </r>
  <r>
    <m/>
    <x v="9"/>
    <x v="37"/>
    <m/>
    <x v="0"/>
    <s v="-"/>
    <d v="2023-05-02T00:00:00"/>
    <d v="2023-05-31T00:00:00"/>
    <x v="4"/>
    <m/>
    <m/>
    <m/>
    <m/>
    <m/>
    <m/>
    <m/>
    <m/>
    <x v="2"/>
    <x v="1"/>
    <n v="21"/>
    <n v="25850.499999999996"/>
  </r>
  <r>
    <m/>
    <x v="9"/>
    <x v="37"/>
    <m/>
    <x v="0"/>
    <s v="-"/>
    <d v="2023-06-02T00:00:00"/>
    <d v="2023-06-30T00:00:00"/>
    <x v="5"/>
    <m/>
    <m/>
    <m/>
    <m/>
    <m/>
    <m/>
    <m/>
    <m/>
    <x v="2"/>
    <x v="1"/>
    <n v="20"/>
    <n v="25850.5"/>
  </r>
  <r>
    <m/>
    <x v="9"/>
    <x v="38"/>
    <n v="3067"/>
    <x v="1"/>
    <n v="640"/>
    <d v="2023-01-02T00:00:00"/>
    <d v="2023-01-18T00:00:00"/>
    <x v="0"/>
    <d v="2023-01-16T00:00:00"/>
    <s v="Ontime"/>
    <s v="1.January"/>
    <n v="5.5"/>
    <n v="12.265000000000001"/>
    <n v="3520"/>
    <n v="7849.6"/>
    <s v="FOB"/>
    <x v="0"/>
    <x v="2"/>
    <n v="13"/>
    <n v="15275.295454545454"/>
  </r>
  <r>
    <m/>
    <x v="9"/>
    <x v="5"/>
    <s v="50030901 DENSO"/>
    <x v="1"/>
    <n v="1800"/>
    <d v="2023-01-19T00:00:00"/>
    <d v="2023-01-31T00:00:00"/>
    <x v="0"/>
    <d v="2023-02-24T00:00:00"/>
    <s v="Ontime"/>
    <s v="2.February"/>
    <n v="5"/>
    <n v="11.15"/>
    <n v="9000"/>
    <n v="20070"/>
    <s v="FOB"/>
    <x v="0"/>
    <x v="2"/>
    <n v="9"/>
    <n v="10575.204545454546"/>
  </r>
  <r>
    <m/>
    <x v="9"/>
    <x v="5"/>
    <s v="50030901 DENSO"/>
    <x v="1"/>
    <n v="3000"/>
    <d v="2023-02-01T00:00:00"/>
    <d v="2023-02-28T00:00:00"/>
    <x v="1"/>
    <d v="2023-03-31T00:00:00"/>
    <s v="Ontime"/>
    <s v="3.March"/>
    <n v="5"/>
    <n v="11.15"/>
    <n v="15000"/>
    <n v="33450"/>
    <s v="CMT"/>
    <x v="0"/>
    <x v="2"/>
    <n v="20"/>
    <n v="25850.5"/>
  </r>
  <r>
    <m/>
    <x v="9"/>
    <x v="5"/>
    <s v="50030901 DENSO"/>
    <x v="1"/>
    <n v="2200"/>
    <d v="2023-03-01T00:00:00"/>
    <d v="2023-03-07T00:00:00"/>
    <x v="2"/>
    <d v="2023-03-31T00:00:00"/>
    <s v="Ontime"/>
    <s v="3.March"/>
    <n v="5"/>
    <n v="11.15"/>
    <n v="11000"/>
    <n v="24530"/>
    <s v="CMT"/>
    <x v="0"/>
    <x v="2"/>
    <n v="5"/>
    <n v="5875.113636363636"/>
  </r>
  <r>
    <m/>
    <x v="9"/>
    <x v="5"/>
    <s v="50030901 DENSO"/>
    <x v="1"/>
    <n v="1970"/>
    <d v="2023-03-08T00:00:00"/>
    <d v="2023-03-31T00:00:00"/>
    <x v="2"/>
    <d v="2023-04-28T00:00:00"/>
    <s v="Ontime"/>
    <s v="4.April"/>
    <n v="5"/>
    <n v="11.15"/>
    <n v="9850"/>
    <n v="21965.5"/>
    <s v="CMT"/>
    <x v="0"/>
    <x v="2"/>
    <n v="17"/>
    <n v="19975.386363636364"/>
  </r>
  <r>
    <m/>
    <x v="9"/>
    <x v="36"/>
    <s v="shirt EC172"/>
    <x v="1"/>
    <n v="1120"/>
    <d v="2023-04-03T00:00:00"/>
    <d v="2023-04-04T00:00:00"/>
    <x v="3"/>
    <d v="2023-06-30T00:00:00"/>
    <s v="Ontime"/>
    <s v="6.Juni"/>
    <n v="1.0900000000000001"/>
    <n v="3.15"/>
    <n v="1220.8000000000002"/>
    <n v="3528"/>
    <s v="FOB"/>
    <x v="0"/>
    <x v="2"/>
    <n v="2"/>
    <n v="3446.7333333333331"/>
  </r>
  <r>
    <m/>
    <x v="9"/>
    <x v="36"/>
    <s v="shirt EC002"/>
    <x v="1"/>
    <n v="3000"/>
    <d v="2023-04-05T00:00:00"/>
    <d v="2023-04-11T00:00:00"/>
    <x v="3"/>
    <d v="2023-04-30T00:00:00"/>
    <s v="Ontime"/>
    <s v="4.April"/>
    <n v="1.1599999999999999"/>
    <n v="3.0666666666666664"/>
    <n v="3479.9999999999995"/>
    <n v="9200"/>
    <s v="FOB"/>
    <x v="0"/>
    <x v="2"/>
    <n v="4"/>
    <n v="6893.4666666666662"/>
  </r>
  <r>
    <m/>
    <x v="9"/>
    <x v="36"/>
    <s v="shirt EC021"/>
    <x v="1"/>
    <n v="3000"/>
    <d v="2023-04-12T00:00:00"/>
    <d v="2023-04-18T00:00:00"/>
    <x v="3"/>
    <d v="2023-05-30T00:00:00"/>
    <s v="Ontime"/>
    <s v="5.May"/>
    <n v="1.1399999999999999"/>
    <n v="2.8333333333333335"/>
    <n v="3419.9999999999995"/>
    <n v="8500"/>
    <s v="FOB"/>
    <x v="0"/>
    <x v="2"/>
    <n v="5"/>
    <n v="8616.8333333333321"/>
  </r>
  <r>
    <m/>
    <x v="9"/>
    <x v="36"/>
    <s v="shirt EC037"/>
    <x v="1"/>
    <n v="640"/>
    <d v="2023-04-19T00:00:00"/>
    <d v="2023-04-20T00:00:00"/>
    <x v="3"/>
    <d v="2023-06-30T00:00:00"/>
    <s v="Ontime"/>
    <s v="6.Juni"/>
    <n v="1.18"/>
    <n v="2.75"/>
    <n v="755.19999999999993"/>
    <n v="1760"/>
    <s v="FOB"/>
    <x v="0"/>
    <x v="2"/>
    <n v="1"/>
    <n v="1723.3666666666666"/>
  </r>
  <r>
    <m/>
    <x v="9"/>
    <x v="36"/>
    <s v="shirt EC037"/>
    <x v="1"/>
    <n v="1760"/>
    <d v="2023-04-26T00:00:00"/>
    <d v="2023-04-28T00:00:00"/>
    <x v="3"/>
    <d v="2023-06-30T00:00:00"/>
    <s v="Ontime"/>
    <s v="6.Juni"/>
    <n v="1.18"/>
    <n v="2.75"/>
    <n v="2076.7999999999997"/>
    <n v="4840"/>
    <s v="FOB"/>
    <x v="0"/>
    <x v="2"/>
    <n v="3"/>
    <n v="5170.0999999999995"/>
  </r>
  <r>
    <m/>
    <x v="9"/>
    <x v="39"/>
    <s v="TSHIRT"/>
    <x v="1"/>
    <n v="20160"/>
    <d v="2023-05-02T00:00:00"/>
    <d v="2023-05-31T00:00:00"/>
    <x v="4"/>
    <d v="2023-06-30T00:00:00"/>
    <s v="Ontime"/>
    <s v="5.May"/>
    <n v="0.69"/>
    <n v="1.5387"/>
    <n v="13910.4"/>
    <n v="31020.191999999999"/>
    <s v="CMT"/>
    <x v="2"/>
    <x v="2"/>
    <n v="21"/>
    <n v="25850.499999999996"/>
  </r>
  <r>
    <m/>
    <x v="9"/>
    <x v="39"/>
    <s v="TSHIRT"/>
    <x v="1"/>
    <n v="19200"/>
    <d v="2023-06-02T00:00:00"/>
    <d v="2023-06-30T00:00:00"/>
    <x v="5"/>
    <d v="2023-06-30T00:00:00"/>
    <s v="Ontime"/>
    <s v="6.Juni"/>
    <n v="0.69"/>
    <n v="1.5387"/>
    <n v="13247.999999999998"/>
    <n v="29543.040000000001"/>
    <s v="CMT"/>
    <x v="2"/>
    <x v="2"/>
    <n v="20"/>
    <n v="25850.5"/>
  </r>
  <r>
    <m/>
    <x v="9"/>
    <x v="30"/>
    <s v="BIKE T-shirt"/>
    <x v="1"/>
    <n v="16000"/>
    <d v="2023-07-03T00:00:00"/>
    <d v="2023-07-31T00:00:00"/>
    <x v="6"/>
    <d v="2023-07-31T00:00:00"/>
    <s v="Delay"/>
    <s v="7.Juli"/>
    <n v="1.1033333333333333"/>
    <n v="2.7722222222222221"/>
    <n v="17653.333333333332"/>
    <n v="44355.555555555555"/>
    <s v="CMT"/>
    <x v="2"/>
    <x v="2"/>
    <n v="20"/>
    <n v="22837"/>
  </r>
  <r>
    <m/>
    <x v="9"/>
    <x v="30"/>
    <s v="BIKE T-shirt"/>
    <x v="1"/>
    <n v="17600"/>
    <d v="2023-08-01T00:00:00"/>
    <d v="2023-08-31T00:00:00"/>
    <x v="7"/>
    <d v="2023-08-31T00:00:00"/>
    <s v="Delay"/>
    <s v="8.Agustus"/>
    <n v="1.1033333333333333"/>
    <n v="2.7722222222222221"/>
    <n v="19418.666666666664"/>
    <n v="48791.111111111109"/>
    <s v="CMT"/>
    <x v="2"/>
    <x v="2"/>
    <n v="22"/>
    <n v="22837"/>
  </r>
  <r>
    <m/>
    <x v="9"/>
    <x v="30"/>
    <s v="BIKE T-shirt"/>
    <x v="1"/>
    <n v="16000"/>
    <d v="2023-09-01T00:00:00"/>
    <d v="2023-09-29T00:00:00"/>
    <x v="8"/>
    <d v="2023-09-29T00:00:00"/>
    <s v="Delay"/>
    <s v="9.September"/>
    <n v="1.1033333333333333"/>
    <n v="2.7722222222222221"/>
    <n v="17653.333333333332"/>
    <n v="44355.555555555555"/>
    <s v="CMT"/>
    <x v="2"/>
    <x v="2"/>
    <n v="20"/>
    <n v="22837"/>
  </r>
  <r>
    <m/>
    <x v="9"/>
    <x v="19"/>
    <s v="PROJECTION"/>
    <x v="1"/>
    <n v="17600"/>
    <d v="2023-10-02T00:00:00"/>
    <d v="2023-10-31T00:00:00"/>
    <x v="9"/>
    <d v="2023-10-31T00:00:00"/>
    <s v="Delay"/>
    <s v="10.Oktober"/>
    <n v="1"/>
    <n v="2.23"/>
    <n v="17600"/>
    <n v="39248"/>
    <s v="CMT"/>
    <x v="2"/>
    <x v="2"/>
    <n v="22"/>
    <n v="22837"/>
  </r>
  <r>
    <m/>
    <x v="9"/>
    <x v="38"/>
    <s v="PROJECTION"/>
    <x v="1"/>
    <n v="5060"/>
    <d v="2023-11-01T00:00:00"/>
    <d v="2023-11-30T00:00:00"/>
    <x v="10"/>
    <d v="2023-11-30T00:00:00"/>
    <s v="Delay"/>
    <s v="11.November"/>
    <n v="5.28"/>
    <n v="13.2"/>
    <n v="26716.800000000003"/>
    <n v="66792"/>
    <s v="CMT"/>
    <x v="2"/>
    <x v="2"/>
    <n v="22"/>
    <n v="22837"/>
  </r>
  <r>
    <m/>
    <x v="9"/>
    <x v="38"/>
    <s v="PROJECTION"/>
    <x v="1"/>
    <n v="4600"/>
    <d v="2023-12-01T00:00:00"/>
    <d v="2023-12-29T00:00:00"/>
    <x v="11"/>
    <d v="2023-12-29T00:00:00"/>
    <s v="Delay"/>
    <s v="12.Desember"/>
    <n v="5.28"/>
    <n v="13.2"/>
    <n v="24288"/>
    <n v="60720"/>
    <s v="CMT"/>
    <x v="2"/>
    <x v="2"/>
    <n v="20"/>
    <n v="22837"/>
  </r>
  <r>
    <m/>
    <x v="9"/>
    <x v="0"/>
    <s v="396 - 90"/>
    <x v="3"/>
    <n v="950"/>
    <d v="2023-01-02T00:00:00"/>
    <d v="2023-01-18T00:00:00"/>
    <x v="0"/>
    <d v="2023-01-31T00:00:00"/>
    <s v="Ontime"/>
    <s v="1.January"/>
    <n v="1.7"/>
    <n v="3.7909999999999999"/>
    <n v="1615"/>
    <n v="3601.45"/>
    <s v="CMT"/>
    <x v="0"/>
    <x v="2"/>
    <n v="13"/>
    <n v="15275.295454545454"/>
  </r>
  <r>
    <m/>
    <x v="9"/>
    <x v="5"/>
    <s v="50011901 JTEXT"/>
    <x v="3"/>
    <n v="1250"/>
    <d v="2023-01-19T00:00:00"/>
    <d v="2023-01-31T00:00:00"/>
    <x v="0"/>
    <d v="2023-03-16T00:00:00"/>
    <s v="Ontime"/>
    <s v="3.March"/>
    <n v="5"/>
    <n v="11.15"/>
    <n v="6250"/>
    <n v="13937.5"/>
    <s v="CMT"/>
    <x v="0"/>
    <x v="2"/>
    <n v="9"/>
    <n v="10575.204545454546"/>
  </r>
  <r>
    <m/>
    <x v="9"/>
    <x v="5"/>
    <s v="50011901 JTEXT"/>
    <x v="3"/>
    <n v="4350"/>
    <d v="2023-02-01T00:00:00"/>
    <d v="2023-02-28T00:00:00"/>
    <x v="1"/>
    <d v="2023-03-16T00:00:00"/>
    <s v="Ontime"/>
    <s v="3.March"/>
    <n v="5"/>
    <n v="11.15"/>
    <n v="21750"/>
    <n v="48502.5"/>
    <s v="CMT"/>
    <x v="0"/>
    <x v="2"/>
    <n v="20"/>
    <n v="25850.5"/>
  </r>
  <r>
    <m/>
    <x v="9"/>
    <x v="5"/>
    <s v="50011901 JTEXT"/>
    <x v="3"/>
    <n v="5280"/>
    <d v="2023-03-01T00:00:00"/>
    <d v="2023-03-31T00:00:00"/>
    <x v="2"/>
    <d v="2023-04-28T00:00:00"/>
    <s v="Ontime"/>
    <s v="4.April"/>
    <n v="5"/>
    <n v="11.15"/>
    <n v="26400"/>
    <n v="58872"/>
    <s v="CMT"/>
    <x v="0"/>
    <x v="2"/>
    <n v="22"/>
    <n v="25850.5"/>
  </r>
  <r>
    <m/>
    <x v="9"/>
    <x v="5"/>
    <s v="50011901 JTEXT"/>
    <x v="3"/>
    <n v="2160"/>
    <d v="2023-04-03T00:00:00"/>
    <d v="2023-04-14T00:00:00"/>
    <x v="3"/>
    <d v="2023-04-03T00:00:00"/>
    <s v="Ontime"/>
    <s v="4.April"/>
    <n v="5"/>
    <n v="11.15"/>
    <n v="10800"/>
    <n v="24084"/>
    <s v="CMT"/>
    <x v="0"/>
    <x v="2"/>
    <n v="9"/>
    <n v="15510.3"/>
  </r>
  <r>
    <m/>
    <x v="9"/>
    <x v="5"/>
    <s v="50011901 JTEXT"/>
    <x v="3"/>
    <n v="720"/>
    <d v="2023-04-17T00:00:00"/>
    <d v="2023-04-20T00:00:00"/>
    <x v="3"/>
    <d v="2023-05-31T00:00:00"/>
    <s v="Ontime"/>
    <s v="5.May"/>
    <n v="5"/>
    <n v="11.15"/>
    <n v="3600"/>
    <n v="8028"/>
    <s v="CMT"/>
    <x v="0"/>
    <x v="2"/>
    <n v="3"/>
    <n v="5170.0999999999995"/>
  </r>
  <r>
    <m/>
    <x v="9"/>
    <x v="5"/>
    <s v="50011901 JTEXT"/>
    <x v="3"/>
    <n v="1023"/>
    <d v="2023-04-26T00:00:00"/>
    <d v="2023-04-28T00:00:00"/>
    <x v="3"/>
    <d v="2023-05-31T00:00:00"/>
    <s v="Ontime"/>
    <s v="5.May"/>
    <n v="5"/>
    <n v="11.15"/>
    <n v="5115"/>
    <n v="11406.45"/>
    <s v="CMT"/>
    <x v="0"/>
    <x v="2"/>
    <n v="3"/>
    <n v="5170.0999999999995"/>
  </r>
  <r>
    <m/>
    <x v="9"/>
    <x v="37"/>
    <m/>
    <x v="3"/>
    <s v="-"/>
    <d v="2023-05-02T00:00:00"/>
    <d v="2023-05-31T00:00:00"/>
    <x v="4"/>
    <m/>
    <m/>
    <m/>
    <m/>
    <m/>
    <m/>
    <m/>
    <m/>
    <x v="2"/>
    <x v="1"/>
    <n v="21"/>
    <n v="25850.499999999996"/>
  </r>
  <r>
    <m/>
    <x v="9"/>
    <x v="37"/>
    <m/>
    <x v="3"/>
    <s v="-"/>
    <d v="2023-06-02T00:00:00"/>
    <d v="2023-06-30T00:00:00"/>
    <x v="5"/>
    <m/>
    <m/>
    <m/>
    <m/>
    <m/>
    <m/>
    <m/>
    <m/>
    <x v="2"/>
    <x v="1"/>
    <n v="20"/>
    <n v="25850.5"/>
  </r>
  <r>
    <m/>
    <x v="9"/>
    <x v="5"/>
    <s v="50011901 JTEXT"/>
    <x v="10"/>
    <n v="177"/>
    <d v="2023-01-23T00:00:00"/>
    <d v="2023-01-31T00:00:00"/>
    <x v="0"/>
    <d v="2023-03-16T00:00:00"/>
    <s v="Ontime"/>
    <s v="3.March"/>
    <n v="5"/>
    <n v="11.15"/>
    <n v="885"/>
    <n v="1973.55"/>
    <s v="CMT"/>
    <x v="0"/>
    <x v="2"/>
    <n v="7"/>
    <n v="8225.1590909090901"/>
  </r>
  <r>
    <m/>
    <x v="9"/>
    <x v="5"/>
    <s v="50011901 JTEXT"/>
    <x v="10"/>
    <n v="4480"/>
    <d v="2023-02-01T00:00:00"/>
    <d v="2023-02-28T00:00:00"/>
    <x v="1"/>
    <d v="2023-03-16T00:00:00"/>
    <s v="Ontime"/>
    <s v="3.March"/>
    <n v="5"/>
    <n v="11.15"/>
    <n v="22400"/>
    <n v="49952"/>
    <s v="CMT"/>
    <x v="0"/>
    <x v="2"/>
    <n v="20"/>
    <n v="25850.5"/>
  </r>
  <r>
    <m/>
    <x v="9"/>
    <x v="5"/>
    <s v="50011901 JTEXT"/>
    <x v="10"/>
    <n v="5280"/>
    <d v="2023-03-01T00:00:00"/>
    <d v="2023-03-31T00:00:00"/>
    <x v="2"/>
    <d v="2023-03-16T00:00:00"/>
    <s v="Ontime"/>
    <s v="3.March"/>
    <n v="5"/>
    <n v="11.15"/>
    <n v="26400"/>
    <n v="58872"/>
    <s v="CMT"/>
    <x v="0"/>
    <x v="2"/>
    <n v="22"/>
    <n v="25850.5"/>
  </r>
  <r>
    <m/>
    <x v="9"/>
    <x v="5"/>
    <s v="50011901 JTEXT"/>
    <x v="10"/>
    <n v="2880"/>
    <d v="2023-04-03T00:00:00"/>
    <d v="2023-04-20T00:00:00"/>
    <x v="3"/>
    <d v="2023-04-28T00:00:00"/>
    <s v="Ontime"/>
    <s v="4.April"/>
    <n v="5"/>
    <n v="11.15"/>
    <n v="14400"/>
    <n v="32112"/>
    <s v="CMT"/>
    <x v="0"/>
    <x v="2"/>
    <n v="12"/>
    <n v="20680.399999999998"/>
  </r>
  <r>
    <m/>
    <x v="9"/>
    <x v="5"/>
    <s v="50011901 JTEXT"/>
    <x v="10"/>
    <n v="700"/>
    <d v="2023-04-26T00:00:00"/>
    <d v="2023-04-28T00:00:00"/>
    <x v="3"/>
    <d v="2023-05-31T00:00:00"/>
    <s v="Ontime"/>
    <s v="5.May"/>
    <n v="5"/>
    <n v="11.15"/>
    <n v="3500"/>
    <n v="7805"/>
    <s v="CMT"/>
    <x v="0"/>
    <x v="2"/>
    <n v="3"/>
    <n v="5170.0999999999995"/>
  </r>
  <r>
    <m/>
    <x v="9"/>
    <x v="39"/>
    <s v="TSHIRT"/>
    <x v="10"/>
    <n v="20160"/>
    <d v="2023-05-02T00:00:00"/>
    <d v="2023-05-31T00:00:00"/>
    <x v="4"/>
    <d v="2023-05-31T00:00:00"/>
    <s v="Ontime"/>
    <s v="5.May"/>
    <n v="0.69"/>
    <n v="1.5387"/>
    <n v="13910.4"/>
    <n v="31020.191999999999"/>
    <s v="CMT"/>
    <x v="2"/>
    <x v="2"/>
    <n v="21"/>
    <n v="25850.499999999996"/>
  </r>
  <r>
    <m/>
    <x v="9"/>
    <x v="39"/>
    <s v="TSHIRT"/>
    <x v="10"/>
    <n v="19200"/>
    <d v="2023-06-02T00:00:00"/>
    <d v="2023-06-30T00:00:00"/>
    <x v="5"/>
    <d v="2023-06-30T00:00:00"/>
    <s v="Ontime"/>
    <s v="6.Juni"/>
    <n v="0.69"/>
    <n v="1.5387"/>
    <n v="13247.999999999998"/>
    <n v="29543.040000000001"/>
    <s v="CMT"/>
    <x v="2"/>
    <x v="2"/>
    <n v="20"/>
    <n v="25850.5"/>
  </r>
  <r>
    <m/>
    <x v="9"/>
    <x v="19"/>
    <s v="PROJECTION"/>
    <x v="10"/>
    <n v="16000"/>
    <d v="2023-07-03T00:00:00"/>
    <d v="2023-07-31T00:00:00"/>
    <x v="6"/>
    <d v="2023-07-31T00:00:00"/>
    <s v="Ontime"/>
    <s v="7.Juli"/>
    <n v="1"/>
    <n v="2.23"/>
    <n v="16000"/>
    <n v="35680"/>
    <s v="CMT"/>
    <x v="2"/>
    <x v="2"/>
    <n v="20"/>
    <n v="22837"/>
  </r>
  <r>
    <m/>
    <x v="9"/>
    <x v="19"/>
    <s v="PROJECTION"/>
    <x v="10"/>
    <n v="17600"/>
    <d v="2023-08-01T00:00:00"/>
    <d v="2023-08-31T00:00:00"/>
    <x v="7"/>
    <d v="2023-08-31T00:00:00"/>
    <s v="Ontime"/>
    <s v="8.Agustus"/>
    <n v="1"/>
    <n v="2.23"/>
    <n v="17600"/>
    <n v="39248"/>
    <s v="CMT"/>
    <x v="2"/>
    <x v="2"/>
    <n v="22"/>
    <n v="22837"/>
  </r>
  <r>
    <m/>
    <x v="9"/>
    <x v="19"/>
    <s v="PROJECTION"/>
    <x v="10"/>
    <n v="16000"/>
    <d v="2023-09-01T00:00:00"/>
    <d v="2023-09-29T00:00:00"/>
    <x v="8"/>
    <d v="2023-09-29T00:00:00"/>
    <s v="Ontime"/>
    <s v="9.September"/>
    <n v="1"/>
    <n v="2.23"/>
    <n v="16000"/>
    <n v="35680"/>
    <s v="CMT"/>
    <x v="2"/>
    <x v="2"/>
    <n v="20"/>
    <n v="22837"/>
  </r>
  <r>
    <m/>
    <x v="9"/>
    <x v="19"/>
    <s v="PROJECTION"/>
    <x v="10"/>
    <n v="17600"/>
    <d v="2023-10-02T00:00:00"/>
    <d v="2023-10-31T00:00:00"/>
    <x v="9"/>
    <d v="2023-10-31T00:00:00"/>
    <s v="Ontime"/>
    <s v="10.Oktober"/>
    <n v="1"/>
    <n v="2.23"/>
    <n v="17600"/>
    <n v="39248"/>
    <s v="CMT"/>
    <x v="2"/>
    <x v="2"/>
    <n v="22"/>
    <n v="22837"/>
  </r>
  <r>
    <m/>
    <x v="9"/>
    <x v="19"/>
    <s v="PROJECTION"/>
    <x v="10"/>
    <n v="18480"/>
    <d v="2023-11-01T00:00:00"/>
    <d v="2023-11-30T00:00:00"/>
    <x v="10"/>
    <d v="2023-11-30T00:00:00"/>
    <s v="Ontime"/>
    <s v="11.November"/>
    <n v="1"/>
    <n v="2.23"/>
    <n v="18480"/>
    <n v="41210.400000000001"/>
    <s v="CMT"/>
    <x v="2"/>
    <x v="2"/>
    <n v="22"/>
    <n v="22837"/>
  </r>
  <r>
    <m/>
    <x v="9"/>
    <x v="19"/>
    <s v="PROJECTION"/>
    <x v="10"/>
    <n v="16800"/>
    <d v="2023-12-01T00:00:00"/>
    <d v="2023-12-29T00:00:00"/>
    <x v="11"/>
    <d v="2023-12-29T00:00:00"/>
    <s v="Ontime"/>
    <s v="12.Desember"/>
    <n v="1"/>
    <n v="2.23"/>
    <n v="16800"/>
    <n v="37464"/>
    <s v="CMT"/>
    <x v="2"/>
    <x v="2"/>
    <n v="20"/>
    <n v="22837"/>
  </r>
  <r>
    <m/>
    <x v="9"/>
    <x v="40"/>
    <s v="EA685,567,409,407"/>
    <x v="11"/>
    <n v="3467"/>
    <d v="2023-01-02T00:00:00"/>
    <d v="2023-01-26T00:00:00"/>
    <x v="0"/>
    <d v="2023-01-14T00:00:00"/>
    <s v="Ontime"/>
    <s v="1.January"/>
    <n v="1.34"/>
    <n v="2.9882"/>
    <n v="4645.7800000000007"/>
    <n v="10360.089400000001"/>
    <s v="CMT"/>
    <x v="2"/>
    <x v="2"/>
    <n v="19"/>
    <n v="22325.431818181816"/>
  </r>
  <r>
    <m/>
    <x v="9"/>
    <x v="22"/>
    <n v="464469"/>
    <x v="11"/>
    <n v="2530"/>
    <d v="2023-01-27T00:00:00"/>
    <d v="2023-01-31T00:00:00"/>
    <x v="0"/>
    <d v="2023-01-23T00:00:00"/>
    <s v="Ontime"/>
    <s v="1.January"/>
    <n v="0.55000000000000004"/>
    <n v="1.6120000000000001"/>
    <n v="1391.5"/>
    <n v="4078.36"/>
    <s v="CMT"/>
    <x v="2"/>
    <x v="2"/>
    <n v="3"/>
    <n v="3525.068181818182"/>
  </r>
  <r>
    <m/>
    <x v="9"/>
    <x v="22"/>
    <n v="464469"/>
    <x v="11"/>
    <n v="5300"/>
    <d v="2023-02-01T00:00:00"/>
    <d v="2023-02-06T00:00:00"/>
    <x v="1"/>
    <d v="2023-02-06T00:00:00"/>
    <s v="Ontime"/>
    <s v="2.February"/>
    <n v="0.55000000000000004"/>
    <n v="1.6120000000000001"/>
    <n v="2915.0000000000005"/>
    <n v="8543.6"/>
    <s v="CMT"/>
    <x v="2"/>
    <x v="2"/>
    <n v="4"/>
    <n v="5170.1000000000004"/>
  </r>
  <r>
    <m/>
    <x v="9"/>
    <x v="22"/>
    <n v="464469"/>
    <x v="11"/>
    <n v="4800"/>
    <d v="2023-02-07T00:00:00"/>
    <d v="2023-02-10T00:00:00"/>
    <x v="1"/>
    <d v="2023-02-13T00:00:00"/>
    <s v="Ontime"/>
    <s v="2.February"/>
    <n v="0.55000000000000004"/>
    <n v="1.6120000000000001"/>
    <n v="2640"/>
    <n v="7737.6"/>
    <s v="CMT"/>
    <x v="2"/>
    <x v="2"/>
    <n v="4"/>
    <n v="5170.1000000000004"/>
  </r>
  <r>
    <m/>
    <x v="9"/>
    <x v="40"/>
    <s v="EA589,EA494"/>
    <x v="11"/>
    <n v="1600"/>
    <d v="2023-02-13T00:00:00"/>
    <d v="2023-02-17T00:00:00"/>
    <x v="1"/>
    <d v="2023-02-14T00:00:00"/>
    <s v="Ontime"/>
    <s v="2.February"/>
    <n v="1.34"/>
    <n v="2.9882"/>
    <n v="2144"/>
    <n v="4781.12"/>
    <s v="CMT"/>
    <x v="0"/>
    <x v="2"/>
    <n v="5"/>
    <n v="6462.625"/>
  </r>
  <r>
    <m/>
    <x v="9"/>
    <x v="36"/>
    <s v="legging EC179"/>
    <x v="11"/>
    <n v="2400"/>
    <d v="2023-02-20T00:00:00"/>
    <d v="2023-02-22T00:00:00"/>
    <x v="1"/>
    <d v="2023-06-30T00:00:00"/>
    <s v="Ontime"/>
    <s v="6.Juni"/>
    <n v="1.1733931240657698"/>
    <n v="2.6166666666666667"/>
    <n v="2816.1434977578474"/>
    <n v="6280"/>
    <s v="CMT"/>
    <x v="0"/>
    <x v="2"/>
    <n v="3"/>
    <n v="3877.5750000000003"/>
  </r>
  <r>
    <m/>
    <x v="9"/>
    <x v="36"/>
    <s v="legging EC220"/>
    <x v="11"/>
    <n v="2400"/>
    <d v="2023-02-23T00:00:00"/>
    <d v="2023-02-24T00:00:00"/>
    <x v="1"/>
    <d v="2023-06-30T00:00:00"/>
    <s v="Ontime"/>
    <s v="6.Juni"/>
    <n v="1.7152466367713006"/>
    <n v="3.8250000000000002"/>
    <n v="4116.5919282511213"/>
    <n v="9180"/>
    <s v="CMT"/>
    <x v="0"/>
    <x v="2"/>
    <n v="2"/>
    <n v="2585.0500000000002"/>
  </r>
  <r>
    <m/>
    <x v="9"/>
    <x v="36"/>
    <s v="legging EC055"/>
    <x v="11"/>
    <n v="2400"/>
    <d v="2023-02-27T00:00:00"/>
    <d v="2023-02-28T00:00:00"/>
    <x v="1"/>
    <d v="2023-06-30T00:00:00"/>
    <s v="Ontime"/>
    <s v="6.Juni"/>
    <n v="1.1136023916292974"/>
    <n v="2.4833333333333334"/>
    <n v="2672.6457399103138"/>
    <n v="5960"/>
    <s v="CMT"/>
    <x v="0"/>
    <x v="2"/>
    <n v="2"/>
    <n v="2585.0500000000002"/>
  </r>
  <r>
    <m/>
    <x v="9"/>
    <x v="36"/>
    <s v="legging EC009"/>
    <x v="11"/>
    <n v="2700"/>
    <d v="2023-03-01T00:00:00"/>
    <d v="2023-03-02T00:00:00"/>
    <x v="2"/>
    <d v="2023-04-30T00:00:00"/>
    <s v="Ontime"/>
    <s v="4.April"/>
    <n v="1.1000000000000001"/>
    <n v="2.4530000000000003"/>
    <n v="2970.0000000000005"/>
    <n v="6623.1"/>
    <s v="CMT"/>
    <x v="0"/>
    <x v="2"/>
    <n v="2"/>
    <n v="2350.0454545454545"/>
  </r>
  <r>
    <m/>
    <x v="9"/>
    <x v="36"/>
    <s v="legging EC011"/>
    <x v="11"/>
    <n v="1600"/>
    <d v="2023-03-03T00:00:00"/>
    <d v="2023-03-06T00:00:00"/>
    <x v="2"/>
    <d v="2023-04-30T00:00:00"/>
    <s v="Ontime"/>
    <s v="4.April"/>
    <n v="1.2331838565022422"/>
    <n v="2.75"/>
    <n v="1973.0941704035874"/>
    <n v="4400"/>
    <s v="CMT"/>
    <x v="0"/>
    <x v="2"/>
    <n v="2"/>
    <n v="2350.0454545454545"/>
  </r>
  <r>
    <m/>
    <x v="9"/>
    <x v="36"/>
    <s v="short EC029"/>
    <x v="11"/>
    <n v="1600"/>
    <d v="2023-03-07T00:00:00"/>
    <d v="2023-03-08T00:00:00"/>
    <x v="2"/>
    <d v="2023-05-30T00:00:00"/>
    <s v="Ontime"/>
    <s v="5.May"/>
    <n v="1.2331838565022422"/>
    <n v="2.75"/>
    <n v="1973.0941704035874"/>
    <n v="4400"/>
    <s v="FOB"/>
    <x v="2"/>
    <x v="2"/>
    <n v="2"/>
    <n v="2350.0454545454545"/>
  </r>
  <r>
    <m/>
    <x v="9"/>
    <x v="36"/>
    <s v="short EC043"/>
    <x v="11"/>
    <n v="1600"/>
    <d v="2023-03-09T00:00:00"/>
    <d v="2023-03-10T00:00:00"/>
    <x v="2"/>
    <d v="2023-06-30T00:00:00"/>
    <s v="Ontime"/>
    <s v="6.Juni"/>
    <n v="1.2331838565022422"/>
    <n v="2.75"/>
    <n v="1973.0941704035874"/>
    <n v="4400"/>
    <s v="FOB"/>
    <x v="2"/>
    <x v="2"/>
    <n v="2"/>
    <n v="2350.0454545454545"/>
  </r>
  <r>
    <m/>
    <x v="9"/>
    <x v="36"/>
    <s v="EC185-252830 bottom+top"/>
    <x v="11"/>
    <n v="1600"/>
    <d v="2023-03-13T00:00:00"/>
    <d v="2023-03-14T00:00:00"/>
    <x v="2"/>
    <d v="2023-04-30T00:00:00"/>
    <s v="Ontime"/>
    <s v="4.April"/>
    <n v="1.46"/>
    <n v="3.4750000000000001"/>
    <n v="2336"/>
    <n v="5560"/>
    <s v="FOB"/>
    <x v="2"/>
    <x v="2"/>
    <n v="2"/>
    <n v="2350.0454545454545"/>
  </r>
  <r>
    <m/>
    <x v="9"/>
    <x v="36"/>
    <s v="shirt EC174-176-025-051-191"/>
    <x v="11"/>
    <n v="4000"/>
    <d v="2023-03-15T00:00:00"/>
    <d v="2023-03-20T00:00:00"/>
    <x v="2"/>
    <d v="2023-06-30T00:00:00"/>
    <s v="Ontime"/>
    <s v="6.Juni"/>
    <n v="1.1599999999999999"/>
    <n v="3.0833333333333335"/>
    <n v="4640"/>
    <n v="12333.333333333334"/>
    <s v="CMT"/>
    <x v="2"/>
    <x v="2"/>
    <n v="4"/>
    <n v="4700.090909090909"/>
  </r>
  <r>
    <m/>
    <x v="9"/>
    <x v="36"/>
    <s v="shirt EC006"/>
    <x v="11"/>
    <n v="1600"/>
    <d v="2023-03-21T00:00:00"/>
    <d v="2023-03-22T00:00:00"/>
    <x v="2"/>
    <d v="2023-04-30T00:00:00"/>
    <s v="Ontime"/>
    <s v="4.April"/>
    <n v="1.2780269058295965"/>
    <n v="2.85"/>
    <n v="2044.8430493273545"/>
    <n v="4560"/>
    <s v="CMT"/>
    <x v="2"/>
    <x v="2"/>
    <n v="1"/>
    <n v="1175.0227272727273"/>
  </r>
  <r>
    <m/>
    <x v="9"/>
    <x v="36"/>
    <s v="shirt EC041"/>
    <x v="11"/>
    <n v="1600"/>
    <d v="2023-03-23T00:00:00"/>
    <d v="2023-03-24T00:00:00"/>
    <x v="2"/>
    <d v="2023-06-30T00:00:00"/>
    <s v="Ontime"/>
    <s v="6.Juni"/>
    <n v="1.2780269058295965"/>
    <n v="2.85"/>
    <n v="2044.8430493273545"/>
    <n v="4560"/>
    <s v="CMT"/>
    <x v="0"/>
    <x v="2"/>
    <n v="2"/>
    <n v="2350.0454545454545"/>
  </r>
  <r>
    <m/>
    <x v="9"/>
    <x v="28"/>
    <s v="TREK PANT 6018590"/>
    <x v="11"/>
    <n v="1296"/>
    <d v="2023-03-27T00:00:00"/>
    <d v="2023-03-31T00:00:00"/>
    <x v="2"/>
    <d v="2023-05-01T00:00:00"/>
    <s v="Ontime"/>
    <s v="5.May"/>
    <n v="3.95"/>
    <n v="8.8085000000000004"/>
    <n v="5119.2"/>
    <n v="11415.816000000001"/>
    <s v="CMT"/>
    <x v="0"/>
    <x v="2"/>
    <n v="5"/>
    <n v="5875.113636363636"/>
  </r>
  <r>
    <m/>
    <x v="9"/>
    <x v="28"/>
    <s v="PANT YOUTH 5034829"/>
    <x v="11"/>
    <n v="1256"/>
    <d v="2023-04-03T00:00:00"/>
    <d v="2023-04-07T00:00:00"/>
    <x v="3"/>
    <d v="2023-04-30T00:00:00"/>
    <s v="Ontime"/>
    <s v="4.April"/>
    <n v="2.95"/>
    <n v="6.5785"/>
    <n v="3705.2000000000003"/>
    <n v="8262.5959999999995"/>
    <s v="CMT"/>
    <x v="0"/>
    <x v="2"/>
    <n v="4"/>
    <n v="6893.4666666666662"/>
  </r>
  <r>
    <m/>
    <x v="9"/>
    <x v="28"/>
    <s v="TIMELESS PANT 6020518"/>
    <x v="11"/>
    <n v="1412"/>
    <d v="2023-04-10T00:00:00"/>
    <d v="2023-04-17T00:00:00"/>
    <x v="3"/>
    <d v="2023-04-30T00:00:00"/>
    <s v="Ontime"/>
    <s v="4.April"/>
    <n v="1.2"/>
    <n v="2.6759999999999997"/>
    <n v="1694.3999999999999"/>
    <n v="3778.5119999999997"/>
    <s v="CMT"/>
    <x v="0"/>
    <x v="2"/>
    <n v="6"/>
    <n v="10340.199999999999"/>
  </r>
  <r>
    <m/>
    <x v="9"/>
    <x v="28"/>
    <s v="TREK PANT 6018574"/>
    <x v="11"/>
    <n v="720"/>
    <d v="2023-04-18T00:00:00"/>
    <d v="2023-04-20T00:00:00"/>
    <x v="3"/>
    <d v="2023-04-30T00:00:00"/>
    <s v="Ontime"/>
    <s v="4.April"/>
    <n v="3.85"/>
    <n v="8.5854999999999997"/>
    <n v="2772"/>
    <n v="6181.5599999999995"/>
    <s v="CMT"/>
    <x v="0"/>
    <x v="2"/>
    <n v="2"/>
    <n v="3446.7333333333331"/>
  </r>
  <r>
    <m/>
    <x v="9"/>
    <x v="28"/>
    <s v="TREK PANT 6018574"/>
    <x v="11"/>
    <n v="855"/>
    <d v="2023-04-26T00:00:00"/>
    <d v="2023-04-28T00:00:00"/>
    <x v="3"/>
    <d v="2023-04-30T00:00:00"/>
    <s v="Ontime"/>
    <s v="4.April"/>
    <n v="3.85"/>
    <n v="8.5854999999999997"/>
    <n v="3291.75"/>
    <n v="7340.6025"/>
    <s v="CMT"/>
    <x v="0"/>
    <x v="2"/>
    <n v="3"/>
    <n v="5170.0999999999995"/>
  </r>
  <r>
    <m/>
    <x v="9"/>
    <x v="28"/>
    <s v="TREK PANT 6018574"/>
    <x v="11"/>
    <n v="1050"/>
    <d v="2023-05-02T00:00:00"/>
    <d v="2023-05-08T00:00:00"/>
    <x v="4"/>
    <d v="2023-05-31T00:00:00"/>
    <s v="Ontime"/>
    <s v="5.May"/>
    <n v="3.85"/>
    <n v="8.5854999999999997"/>
    <n v="4042.5"/>
    <n v="9014.7749999999996"/>
    <s v="CMT"/>
    <x v="0"/>
    <x v="2"/>
    <n v="5"/>
    <n v="6154.8809523809523"/>
  </r>
  <r>
    <m/>
    <x v="9"/>
    <x v="41"/>
    <s v="MENS TECHTRAIL LIGHT PANT"/>
    <x v="11"/>
    <n v="2400"/>
    <d v="2023-05-09T00:00:00"/>
    <d v="2023-05-25T00:00:00"/>
    <x v="4"/>
    <d v="2023-05-31T00:00:00"/>
    <s v="Ontime"/>
    <s v="5.May"/>
    <n v="5.87"/>
    <n v="13.0901"/>
    <n v="14088"/>
    <n v="31416.239999999998"/>
    <s v="FOB"/>
    <x v="0"/>
    <x v="2"/>
    <n v="12"/>
    <n v="14771.714285714284"/>
  </r>
  <r>
    <m/>
    <x v="9"/>
    <x v="41"/>
    <s v="MENS TECHTRAIL LIGHT SHORT"/>
    <x v="11"/>
    <n v="800"/>
    <d v="2023-05-26T00:00:00"/>
    <d v="2023-05-31T00:00:00"/>
    <x v="4"/>
    <d v="2023-06-30T00:00:00"/>
    <s v="Ontime"/>
    <s v="5.May"/>
    <n v="4.5"/>
    <n v="10.035"/>
    <n v="3600"/>
    <n v="8028"/>
    <s v="FOB"/>
    <x v="0"/>
    <x v="2"/>
    <n v="4"/>
    <n v="4923.9047619047615"/>
  </r>
  <r>
    <m/>
    <x v="9"/>
    <x v="41"/>
    <s v="MENS TECHTRAIL LIGHT SHORT"/>
    <x v="11"/>
    <n v="1600"/>
    <d v="2023-06-02T00:00:00"/>
    <d v="2023-06-13T00:00:00"/>
    <x v="5"/>
    <d v="2023-06-30T00:00:00"/>
    <s v="Ontime"/>
    <s v="5.May"/>
    <n v="4.5"/>
    <n v="10.035"/>
    <n v="7200"/>
    <n v="16056"/>
    <s v="FOB"/>
    <x v="0"/>
    <x v="2"/>
    <n v="8"/>
    <n v="10340.200000000001"/>
  </r>
  <r>
    <m/>
    <x v="9"/>
    <x v="41"/>
    <s v="BRINDLED SHORT PANT"/>
    <x v="11"/>
    <n v="2000"/>
    <d v="2023-06-14T00:00:00"/>
    <d v="2023-06-27T00:00:00"/>
    <x v="5"/>
    <d v="2023-07-31T00:00:00"/>
    <s v="Ontime"/>
    <s v="7.Juli"/>
    <n v="3.2"/>
    <n v="7.1360000000000001"/>
    <n v="6400"/>
    <n v="14272"/>
    <s v="FOB"/>
    <x v="0"/>
    <x v="2"/>
    <n v="10"/>
    <n v="12925.25"/>
  </r>
  <r>
    <m/>
    <x v="9"/>
    <x v="41"/>
    <s v="BRINDLED LONG PANT"/>
    <x v="11"/>
    <n v="400"/>
    <d v="2023-06-28T00:00:00"/>
    <d v="2023-06-30T00:00:00"/>
    <x v="5"/>
    <d v="2023-09-29T00:00:00"/>
    <s v="Ontime"/>
    <s v="9.September"/>
    <n v="4.5999999999999996"/>
    <n v="10.257999999999999"/>
    <n v="1839.9999999999998"/>
    <n v="4103.2"/>
    <s v="FOB"/>
    <x v="0"/>
    <x v="2"/>
    <n v="2"/>
    <n v="2585.0500000000002"/>
  </r>
  <r>
    <m/>
    <x v="9"/>
    <x v="41"/>
    <s v="BRINDLED LONG PANT"/>
    <x v="11"/>
    <n v="1600"/>
    <d v="2023-07-03T00:00:00"/>
    <d v="2023-07-12T00:00:00"/>
    <x v="6"/>
    <d v="2023-09-29T00:00:00"/>
    <s v="Ontime"/>
    <s v="9.September"/>
    <n v="4.5999999999999996"/>
    <n v="10.257999999999999"/>
    <n v="7359.9999999999991"/>
    <n v="16412.8"/>
    <s v="FOB"/>
    <x v="0"/>
    <x v="2"/>
    <n v="8"/>
    <n v="9134.7999999999993"/>
  </r>
  <r>
    <m/>
    <x v="9"/>
    <x v="42"/>
    <s v="BLACK DRESS "/>
    <x v="11"/>
    <n v="6720"/>
    <d v="2023-07-13T00:00:00"/>
    <d v="2023-07-31T00:00:00"/>
    <x v="6"/>
    <d v="2023-08-31T00:00:00"/>
    <s v="Ontime"/>
    <s v="8.Agustus"/>
    <n v="1.8"/>
    <n v="4.0140000000000002"/>
    <n v="12096"/>
    <n v="26974.080000000002"/>
    <s v="CMT"/>
    <x v="2"/>
    <x v="2"/>
    <n v="12"/>
    <n v="13702.199999999999"/>
  </r>
  <r>
    <m/>
    <x v="9"/>
    <x v="42"/>
    <s v="BLACK DRESS "/>
    <x v="11"/>
    <n v="12320"/>
    <d v="2023-08-01T00:00:00"/>
    <d v="2023-08-31T00:00:00"/>
    <x v="7"/>
    <d v="2023-08-31T00:00:00"/>
    <s v="Ontime"/>
    <s v="8.Agustus"/>
    <n v="1.8"/>
    <n v="4.0140000000000002"/>
    <n v="22176"/>
    <n v="49452.480000000003"/>
    <s v="CMT"/>
    <x v="2"/>
    <x v="2"/>
    <n v="22"/>
    <n v="22837"/>
  </r>
  <r>
    <m/>
    <x v="9"/>
    <x v="42"/>
    <s v="BLACK DRESS "/>
    <x v="11"/>
    <n v="11200"/>
    <d v="2023-09-01T00:00:00"/>
    <d v="2023-09-29T00:00:00"/>
    <x v="8"/>
    <d v="2023-09-29T00:00:00"/>
    <s v="Ontime"/>
    <s v="9.September"/>
    <n v="1.8"/>
    <n v="4.0140000000000002"/>
    <n v="20160"/>
    <n v="44956.800000000003"/>
    <s v="CMT"/>
    <x v="2"/>
    <x v="2"/>
    <n v="20"/>
    <n v="22837"/>
  </r>
  <r>
    <m/>
    <x v="9"/>
    <x v="42"/>
    <s v="BLACK DRESS "/>
    <x v="11"/>
    <n v="4400"/>
    <d v="2023-10-02T00:00:00"/>
    <d v="2023-10-31T00:00:00"/>
    <x v="9"/>
    <d v="2023-10-31T00:00:00"/>
    <s v="Ontime"/>
    <s v="10.Oktober"/>
    <n v="7"/>
    <n v="15.61"/>
    <n v="30800"/>
    <n v="68684"/>
    <s v="CMT"/>
    <x v="2"/>
    <x v="2"/>
    <n v="22"/>
    <n v="22837"/>
  </r>
  <r>
    <m/>
    <x v="9"/>
    <x v="42"/>
    <s v="BLACK DRESS "/>
    <x v="11"/>
    <n v="4400"/>
    <d v="2023-11-01T00:00:00"/>
    <d v="2023-11-30T00:00:00"/>
    <x v="10"/>
    <d v="2023-11-30T00:00:00"/>
    <s v="Ontime"/>
    <s v="11.November"/>
    <n v="7"/>
    <n v="15.61"/>
    <n v="30800"/>
    <n v="68684"/>
    <s v="CMT"/>
    <x v="2"/>
    <x v="2"/>
    <n v="22"/>
    <n v="22837"/>
  </r>
  <r>
    <m/>
    <x v="9"/>
    <x v="42"/>
    <s v="BLACK DRESS "/>
    <x v="11"/>
    <n v="4000"/>
    <d v="2023-12-01T00:00:00"/>
    <d v="2023-12-29T00:00:00"/>
    <x v="11"/>
    <d v="2023-12-29T00:00:00"/>
    <s v="Ontime"/>
    <s v="12.Desember"/>
    <n v="7"/>
    <n v="15.61"/>
    <n v="28000"/>
    <n v="62440"/>
    <s v="CMT"/>
    <x v="2"/>
    <x v="2"/>
    <n v="20"/>
    <n v="22837"/>
  </r>
  <r>
    <m/>
    <x v="9"/>
    <x v="0"/>
    <s v="261-93 BP 0518"/>
    <x v="12"/>
    <n v="1990"/>
    <d v="2023-01-02T00:00:00"/>
    <d v="2023-01-18T00:00:00"/>
    <x v="0"/>
    <d v="2023-01-31T00:00:00"/>
    <s v="Ontime"/>
    <s v="1.January"/>
    <n v="3.6"/>
    <n v="8.0280000000000005"/>
    <n v="7164"/>
    <n v="15975.720000000001"/>
    <s v="CMT"/>
    <x v="0"/>
    <x v="2"/>
    <n v="13"/>
    <n v="15275.295454545454"/>
  </r>
  <r>
    <m/>
    <x v="9"/>
    <x v="0"/>
    <s v="396-90  BP 0568"/>
    <x v="12"/>
    <n v="1285"/>
    <d v="2023-01-19T00:00:00"/>
    <d v="2023-01-31T00:00:00"/>
    <x v="0"/>
    <d v="2023-01-31T00:00:00"/>
    <s v="Ontime"/>
    <s v="1.January"/>
    <n v="1.7"/>
    <n v="3.7909999999999999"/>
    <n v="2184.5"/>
    <n v="4871.4349999999995"/>
    <s v="CMT"/>
    <x v="0"/>
    <x v="2"/>
    <n v="9"/>
    <n v="10575.204545454546"/>
  </r>
  <r>
    <m/>
    <x v="9"/>
    <x v="0"/>
    <s v="250-90 BP 0518"/>
    <x v="12"/>
    <n v="2000"/>
    <d v="2023-02-01T00:00:00"/>
    <d v="2023-02-09T00:00:00"/>
    <x v="1"/>
    <d v="2023-02-28T00:00:00"/>
    <s v="Ontime"/>
    <s v="2.February"/>
    <n v="2.9"/>
    <n v="6.4669999999999996"/>
    <n v="5800"/>
    <n v="12934"/>
    <s v="CMT"/>
    <x v="0"/>
    <x v="2"/>
    <n v="7"/>
    <n v="9047.6750000000011"/>
  </r>
  <r>
    <m/>
    <x v="9"/>
    <x v="0"/>
    <s v="260-90 BP 0518"/>
    <x v="12"/>
    <n v="2000"/>
    <d v="2023-02-10T00:00:00"/>
    <d v="2023-02-20T00:00:00"/>
    <x v="1"/>
    <d v="2023-02-28T00:00:00"/>
    <s v="Ontime"/>
    <s v="2.February"/>
    <n v="2.9"/>
    <n v="6.4669999999999996"/>
    <n v="5800"/>
    <n v="12934"/>
    <s v="CMT"/>
    <x v="0"/>
    <x v="2"/>
    <n v="7"/>
    <n v="9047.6750000000011"/>
  </r>
  <r>
    <m/>
    <x v="9"/>
    <x v="0"/>
    <s v="251-90"/>
    <x v="12"/>
    <n v="2410"/>
    <d v="2023-02-21T00:00:00"/>
    <d v="2023-02-28T00:00:00"/>
    <x v="1"/>
    <d v="2023-02-28T00:00:00"/>
    <s v="Ontime"/>
    <s v="2.February"/>
    <n v="3.35"/>
    <n v="7.4705000000000004"/>
    <n v="8073.5"/>
    <n v="18003.905000000002"/>
    <s v="CMT"/>
    <x v="0"/>
    <x v="2"/>
    <n v="6"/>
    <n v="7755.1500000000005"/>
  </r>
  <r>
    <m/>
    <x v="9"/>
    <x v="0"/>
    <s v="Z7860024 (2)"/>
    <x v="12"/>
    <n v="2330"/>
    <d v="2023-03-01T00:00:00"/>
    <d v="2023-03-14T00:00:00"/>
    <x v="2"/>
    <d v="2023-03-31T00:00:00"/>
    <s v="Ontime"/>
    <s v="3.March"/>
    <n v="3.65"/>
    <n v="8.1395"/>
    <n v="8504.5"/>
    <n v="18965.035"/>
    <s v="CMT"/>
    <x v="0"/>
    <x v="2"/>
    <n v="10"/>
    <n v="11750.227272727272"/>
  </r>
  <r>
    <m/>
    <x v="9"/>
    <x v="0"/>
    <s v="Z7860025"/>
    <x v="12"/>
    <n v="2200"/>
    <d v="2023-03-15T00:00:00"/>
    <d v="2023-03-27T00:00:00"/>
    <x v="2"/>
    <d v="2023-03-31T00:00:00"/>
    <s v="Ontime"/>
    <s v="4.April"/>
    <n v="3.5"/>
    <n v="7.8049999999999997"/>
    <n v="7700"/>
    <n v="17171"/>
    <s v="CMT"/>
    <x v="0"/>
    <x v="2"/>
    <n v="8"/>
    <n v="9400.181818181818"/>
  </r>
  <r>
    <m/>
    <x v="9"/>
    <x v="0"/>
    <s v="251-90"/>
    <x v="12"/>
    <n v="800"/>
    <d v="2023-03-28T00:00:00"/>
    <d v="2023-03-31T00:00:00"/>
    <x v="2"/>
    <d v="2023-04-07T00:00:00"/>
    <s v="Ontime"/>
    <s v="4.April"/>
    <n v="3.2"/>
    <n v="7.1360000000000001"/>
    <n v="2560"/>
    <n v="5708.8"/>
    <s v="CMT"/>
    <x v="0"/>
    <x v="2"/>
    <n v="4"/>
    <n v="4700.090909090909"/>
  </r>
  <r>
    <m/>
    <x v="9"/>
    <x v="0"/>
    <s v="251-90"/>
    <x v="12"/>
    <n v="1580"/>
    <d v="2023-04-03T00:00:00"/>
    <d v="2023-04-12T00:00:00"/>
    <x v="3"/>
    <d v="2023-04-10T00:00:00"/>
    <s v="Ontime"/>
    <s v="4.April"/>
    <n v="3.2"/>
    <n v="7.1360000000000001"/>
    <n v="5056"/>
    <n v="11274.880000000001"/>
    <s v="CMT"/>
    <x v="0"/>
    <x v="2"/>
    <n v="7"/>
    <n v="12063.566666666666"/>
  </r>
  <r>
    <m/>
    <x v="9"/>
    <x v="0"/>
    <s v="261-90 BP 0659"/>
    <x v="12"/>
    <n v="1200"/>
    <d v="2023-04-13T00:00:00"/>
    <d v="2023-04-20T00:00:00"/>
    <x v="3"/>
    <d v="2023-04-20T00:00:00"/>
    <s v="Ontime"/>
    <s v="4.April"/>
    <n v="3.6"/>
    <n v="8.0280000000000005"/>
    <n v="4320"/>
    <n v="9633.6"/>
    <s v="CMT"/>
    <x v="0"/>
    <x v="2"/>
    <n v="5"/>
    <n v="8616.8333333333321"/>
  </r>
  <r>
    <m/>
    <x v="9"/>
    <x v="0"/>
    <s v="261-90 BP 0659"/>
    <x v="12"/>
    <n v="720"/>
    <d v="2023-04-26T00:00:00"/>
    <d v="2023-04-28T00:00:00"/>
    <x v="3"/>
    <d v="2023-04-28T00:00:00"/>
    <s v="Ontime"/>
    <s v="4.April"/>
    <n v="3.6"/>
    <n v="8.0280000000000005"/>
    <n v="2592"/>
    <n v="5780.1600000000008"/>
    <s v="CMT"/>
    <x v="0"/>
    <x v="2"/>
    <n v="3"/>
    <n v="5170.0999999999995"/>
  </r>
  <r>
    <m/>
    <x v="9"/>
    <x v="0"/>
    <s v="261-90 BP 0659"/>
    <x v="12"/>
    <n v="540"/>
    <d v="2023-05-02T00:00:00"/>
    <d v="2023-05-03T00:00:00"/>
    <x v="4"/>
    <d v="2023-05-12T00:00:00"/>
    <s v="Ontime"/>
    <s v="5.May"/>
    <n v="3.6"/>
    <n v="8.0280000000000005"/>
    <n v="1944"/>
    <n v="4335.12"/>
    <s v="CMT"/>
    <x v="0"/>
    <x v="2"/>
    <n v="2"/>
    <n v="2461.9523809523807"/>
  </r>
  <r>
    <m/>
    <x v="9"/>
    <x v="0"/>
    <s v="KZN407-90"/>
    <x v="12"/>
    <n v="1040"/>
    <d v="2023-05-04T00:00:00"/>
    <d v="2023-05-09T00:00:00"/>
    <x v="4"/>
    <d v="2023-05-12T00:00:00"/>
    <s v="Ontime"/>
    <s v="5.May"/>
    <n v="4.07"/>
    <n v="9.0761000000000003"/>
    <n v="4232.8"/>
    <n v="9439.1440000000002"/>
    <s v="CMT"/>
    <x v="0"/>
    <x v="2"/>
    <n v="4"/>
    <n v="4923.9047619047615"/>
  </r>
  <r>
    <m/>
    <x v="9"/>
    <x v="0"/>
    <s v="Z4726012"/>
    <x v="12"/>
    <n v="2000"/>
    <d v="2023-05-10T00:00:00"/>
    <d v="2023-05-22T00:00:00"/>
    <x v="4"/>
    <d v="2023-05-31T00:00:00"/>
    <s v="Ontime"/>
    <s v="5.May"/>
    <n v="3.65"/>
    <n v="8.1395"/>
    <n v="7300"/>
    <n v="16279"/>
    <s v="CMT"/>
    <x v="0"/>
    <x v="2"/>
    <n v="8"/>
    <n v="9847.8095238095229"/>
  </r>
  <r>
    <m/>
    <x v="9"/>
    <x v="0"/>
    <s v="Z4726021"/>
    <x v="12"/>
    <n v="2000"/>
    <d v="2023-05-23T00:00:00"/>
    <d v="2023-05-31T00:00:00"/>
    <x v="4"/>
    <d v="2023-05-31T00:00:00"/>
    <s v="Ontime"/>
    <s v="5.May"/>
    <n v="3.65"/>
    <n v="8.1395"/>
    <n v="7300"/>
    <n v="16279"/>
    <s v="CMT"/>
    <x v="0"/>
    <x v="2"/>
    <n v="7"/>
    <n v="8616.8333333333321"/>
  </r>
  <r>
    <m/>
    <x v="9"/>
    <x v="0"/>
    <s v="Z4726019"/>
    <x v="12"/>
    <n v="2000"/>
    <d v="2023-06-02T00:00:00"/>
    <d v="2023-06-13T00:00:00"/>
    <x v="5"/>
    <d v="2023-06-30T00:00:00"/>
    <s v="Ontime"/>
    <s v="6.Juni"/>
    <n v="3.65"/>
    <n v="8.1395"/>
    <n v="7300"/>
    <n v="16279"/>
    <s v="CMT"/>
    <x v="0"/>
    <x v="2"/>
    <n v="8"/>
    <n v="10340.200000000001"/>
  </r>
  <r>
    <m/>
    <x v="9"/>
    <x v="43"/>
    <s v="BONJOYFUL LONG SLEEVE"/>
    <x v="12"/>
    <n v="2880"/>
    <d v="2023-06-14T00:00:00"/>
    <d v="2023-06-30T00:00:00"/>
    <x v="5"/>
    <d v="2023-06-30T00:00:00"/>
    <s v="Ontime"/>
    <s v="6.Juni"/>
    <n v="4.2"/>
    <n v="9.3659999999999997"/>
    <n v="12096"/>
    <n v="26974.079999999998"/>
    <s v="CMT"/>
    <x v="0"/>
    <x v="2"/>
    <n v="12"/>
    <n v="15510.300000000001"/>
  </r>
  <r>
    <m/>
    <x v="9"/>
    <x v="43"/>
    <s v="BONJOYFUL LONG SLEEVE"/>
    <x v="12"/>
    <n v="3120"/>
    <d v="2023-07-03T00:00:00"/>
    <d v="2023-07-20T00:00:00"/>
    <x v="6"/>
    <d v="2023-07-31T00:00:00"/>
    <s v="Ontime"/>
    <s v="7.Juli"/>
    <n v="4.2"/>
    <n v="9.3659999999999997"/>
    <n v="13104"/>
    <n v="29221.919999999998"/>
    <s v="CMT"/>
    <x v="0"/>
    <x v="2"/>
    <n v="13"/>
    <n v="14844.05"/>
  </r>
  <r>
    <m/>
    <x v="9"/>
    <x v="42"/>
    <s v="COOKWEAR"/>
    <x v="12"/>
    <n v="3920"/>
    <d v="2023-07-21T00:00:00"/>
    <d v="2023-07-31T00:00:00"/>
    <x v="6"/>
    <d v="2023-07-31T00:00:00"/>
    <s v="Ontime"/>
    <s v="7.Juli"/>
    <n v="1.8"/>
    <n v="4.0140000000000002"/>
    <n v="7056"/>
    <n v="15734.880000000001"/>
    <s v="CMT"/>
    <x v="2"/>
    <x v="2"/>
    <n v="7"/>
    <n v="7992.9499999999989"/>
  </r>
  <r>
    <m/>
    <x v="9"/>
    <x v="42"/>
    <s v="COOKWEAR"/>
    <x v="12"/>
    <n v="12320"/>
    <d v="2023-08-01T00:00:00"/>
    <d v="2023-08-31T00:00:00"/>
    <x v="7"/>
    <d v="2023-08-31T00:00:00"/>
    <s v="Ontime"/>
    <s v="8.Agustus"/>
    <n v="1.8"/>
    <n v="4.0140000000000002"/>
    <n v="22176"/>
    <n v="49452.480000000003"/>
    <s v="CMT"/>
    <x v="2"/>
    <x v="2"/>
    <n v="22"/>
    <n v="22837"/>
  </r>
  <r>
    <m/>
    <x v="9"/>
    <x v="42"/>
    <s v="COOKWEAR"/>
    <x v="12"/>
    <n v="11200"/>
    <d v="2023-09-01T00:00:00"/>
    <d v="2023-09-29T00:00:00"/>
    <x v="8"/>
    <d v="2023-09-29T00:00:00"/>
    <s v="Ontime"/>
    <s v="9.September"/>
    <n v="1.8"/>
    <n v="4.0140000000000002"/>
    <n v="20160"/>
    <n v="44956.800000000003"/>
    <s v="CMT"/>
    <x v="2"/>
    <x v="2"/>
    <n v="20"/>
    <n v="22837"/>
  </r>
  <r>
    <m/>
    <x v="9"/>
    <x v="42"/>
    <s v="COOKWEAR"/>
    <x v="12"/>
    <n v="7560"/>
    <d v="2023-10-02T00:00:00"/>
    <d v="2023-10-19T00:00:00"/>
    <x v="9"/>
    <d v="2023-10-31T00:00:00"/>
    <s v="Ontime"/>
    <s v="10.Oktober"/>
    <n v="1.8"/>
    <n v="4.0140000000000002"/>
    <n v="13608"/>
    <n v="30345.84"/>
    <s v="CMT"/>
    <x v="2"/>
    <x v="2"/>
    <n v="14"/>
    <n v="14532.636363636364"/>
  </r>
  <r>
    <m/>
    <x v="9"/>
    <x v="42"/>
    <s v="PANT INDRUSTRIAL"/>
    <x v="12"/>
    <n v="1920"/>
    <d v="2023-10-20T00:00:00"/>
    <d v="2023-10-31T00:00:00"/>
    <x v="9"/>
    <d v="2023-10-31T00:00:00"/>
    <s v="Ontime"/>
    <s v="10.Oktober"/>
    <n v="3.4"/>
    <n v="7.5819999999999999"/>
    <n v="6528"/>
    <n v="14557.44"/>
    <s v="CMT"/>
    <x v="2"/>
    <x v="2"/>
    <n v="8"/>
    <n v="8304.363636363636"/>
  </r>
  <r>
    <m/>
    <x v="9"/>
    <x v="42"/>
    <s v="PANT INDRUSTRIAL"/>
    <x v="12"/>
    <n v="5080"/>
    <d v="2023-11-01T00:00:00"/>
    <d v="2023-11-30T00:00:00"/>
    <x v="10"/>
    <d v="2023-11-30T00:00:00"/>
    <s v="Ontime"/>
    <s v="11.November"/>
    <n v="3.4"/>
    <n v="7.5819999999999999"/>
    <n v="17272"/>
    <n v="38516.559999999998"/>
    <s v="CMT"/>
    <x v="2"/>
    <x v="2"/>
    <n v="22"/>
    <n v="22837"/>
  </r>
  <r>
    <m/>
    <x v="9"/>
    <x v="42"/>
    <s v="PANT INDRUSTRIAL"/>
    <x v="12"/>
    <n v="5080"/>
    <d v="2023-12-01T00:00:00"/>
    <d v="2023-12-29T00:00:00"/>
    <x v="11"/>
    <d v="2023-12-29T00:00:00"/>
    <s v="Ontime"/>
    <s v="12.Desember"/>
    <n v="3.4"/>
    <n v="7.5819999999999999"/>
    <n v="17272"/>
    <n v="38516.559999999998"/>
    <s v="CMT"/>
    <x v="2"/>
    <x v="2"/>
    <n v="20"/>
    <n v="22837"/>
  </r>
  <r>
    <m/>
    <x v="9"/>
    <x v="44"/>
    <s v="LS SHIRT"/>
    <x v="13"/>
    <n v="6795"/>
    <d v="2023-01-02T00:00:00"/>
    <d v="2023-01-31T00:00:00"/>
    <x v="0"/>
    <d v="2023-02-24T00:00:00"/>
    <s v="Ontime"/>
    <s v="2.February"/>
    <n v="2.88"/>
    <n v="6.4223999999999997"/>
    <n v="19569.599999999999"/>
    <n v="43640.207999999999"/>
    <s v="CMT"/>
    <x v="0"/>
    <x v="2"/>
    <n v="22"/>
    <n v="25850.5"/>
  </r>
  <r>
    <m/>
    <x v="9"/>
    <x v="44"/>
    <s v="SS SHIRT"/>
    <x v="13"/>
    <n v="1902"/>
    <d v="2023-02-01T00:00:00"/>
    <d v="2023-02-07T00:00:00"/>
    <x v="1"/>
    <d v="2023-02-24T00:00:00"/>
    <s v="Ontime"/>
    <s v="2.February"/>
    <n v="2.88"/>
    <n v="6.4223999999999997"/>
    <n v="5477.76"/>
    <n v="12215.4048"/>
    <s v="CMT"/>
    <x v="0"/>
    <x v="2"/>
    <n v="5"/>
    <n v="6462.625"/>
  </r>
  <r>
    <m/>
    <x v="9"/>
    <x v="44"/>
    <s v="SS SHIRT"/>
    <x v="13"/>
    <n v="4800"/>
    <d v="2023-02-08T00:00:00"/>
    <d v="2023-02-28T00:00:00"/>
    <x v="1"/>
    <d v="2023-03-31T00:00:00"/>
    <s v="Ontime"/>
    <s v="3.March"/>
    <n v="2.78"/>
    <n v="6.1993999999999998"/>
    <n v="13343.999999999998"/>
    <n v="29757.119999999999"/>
    <s v="CMT"/>
    <x v="0"/>
    <x v="2"/>
    <n v="15"/>
    <n v="19387.875"/>
  </r>
  <r>
    <m/>
    <x v="9"/>
    <x v="44"/>
    <s v="SS SHIRT"/>
    <x v="13"/>
    <n v="5822"/>
    <d v="2023-03-01T00:00:00"/>
    <d v="2023-03-31T00:00:00"/>
    <x v="2"/>
    <d v="2023-03-31T00:00:00"/>
    <s v="Ontime"/>
    <s v="3.March"/>
    <n v="2.78"/>
    <n v="6.1993999999999998"/>
    <n v="16185.159999999998"/>
    <n v="36092.906799999997"/>
    <s v="CMT"/>
    <x v="0"/>
    <x v="2"/>
    <n v="22"/>
    <n v="25850.5"/>
  </r>
  <r>
    <m/>
    <x v="9"/>
    <x v="44"/>
    <s v="PROJECTION"/>
    <x v="13"/>
    <n v="4320"/>
    <d v="2023-04-03T00:00:00"/>
    <d v="2023-04-20T00:00:00"/>
    <x v="3"/>
    <d v="2023-05-01T00:00:00"/>
    <s v="Ontime"/>
    <s v="5.May"/>
    <n v="2.88"/>
    <n v="6.4223999999999997"/>
    <n v="12441.6"/>
    <n v="27744.768"/>
    <s v="CMT"/>
    <x v="2"/>
    <x v="2"/>
    <n v="12"/>
    <n v="20680.399999999998"/>
  </r>
  <r>
    <m/>
    <x v="9"/>
    <x v="44"/>
    <s v="PROJECTION"/>
    <x v="13"/>
    <n v="1080"/>
    <d v="2023-04-26T00:00:00"/>
    <d v="2023-04-28T00:00:00"/>
    <x v="3"/>
    <d v="2023-05-29T00:00:00"/>
    <s v="Ontime"/>
    <s v="5.May"/>
    <n v="2.88"/>
    <n v="6.4223999999999997"/>
    <n v="3110.4"/>
    <n v="6936.192"/>
    <s v="CMT"/>
    <x v="2"/>
    <x v="2"/>
    <n v="3"/>
    <n v="5170.0999999999995"/>
  </r>
  <r>
    <m/>
    <x v="9"/>
    <x v="45"/>
    <s v="PROJECTION"/>
    <x v="13"/>
    <n v="1976"/>
    <d v="2023-05-01T00:00:00"/>
    <d v="2023-05-31T00:00:00"/>
    <x v="4"/>
    <d v="2023-05-31T00:00:00"/>
    <s v="Ontime"/>
    <s v="5.May"/>
    <n v="11.42"/>
    <n v="25.4666"/>
    <n v="22565.919999999998"/>
    <n v="50322.001599999996"/>
    <s v="CMT"/>
    <x v="2"/>
    <x v="2"/>
    <n v="21"/>
    <n v="25850.499999999996"/>
  </r>
  <r>
    <m/>
    <x v="9"/>
    <x v="45"/>
    <s v="PROJECTION"/>
    <x v="13"/>
    <n v="2320"/>
    <d v="2023-06-02T00:00:00"/>
    <d v="2023-06-30T00:00:00"/>
    <x v="5"/>
    <d v="2023-06-30T00:00:00"/>
    <s v="Ontime"/>
    <s v="6.Juni"/>
    <n v="11.42"/>
    <n v="25.4666"/>
    <n v="26494.400000000001"/>
    <n v="59082.512000000002"/>
    <s v="CMT"/>
    <x v="2"/>
    <x v="2"/>
    <n v="20"/>
    <n v="25850.5"/>
  </r>
  <r>
    <m/>
    <x v="9"/>
    <x v="45"/>
    <s v="PROJECTION"/>
    <x v="13"/>
    <n v="3040"/>
    <d v="2023-07-03T00:00:00"/>
    <d v="2023-07-31T00:00:00"/>
    <x v="6"/>
    <d v="2023-07-31T00:00:00"/>
    <s v="Ontime"/>
    <s v="7.Juli"/>
    <n v="11.42"/>
    <n v="25.4666"/>
    <n v="34716.800000000003"/>
    <n v="77418.463999999993"/>
    <s v="CMT"/>
    <x v="2"/>
    <x v="2"/>
    <n v="20"/>
    <n v="22837"/>
  </r>
  <r>
    <m/>
    <x v="9"/>
    <x v="45"/>
    <s v="PROJECTION"/>
    <x v="13"/>
    <n v="3520"/>
    <d v="2023-08-01T00:00:00"/>
    <d v="2023-08-31T00:00:00"/>
    <x v="7"/>
    <d v="2023-08-31T00:00:00"/>
    <s v="Ontime"/>
    <s v="8.Agustus"/>
    <n v="11.42"/>
    <n v="25.4666"/>
    <n v="40198.400000000001"/>
    <n v="89642.432000000001"/>
    <s v="CMT"/>
    <x v="2"/>
    <x v="2"/>
    <n v="22"/>
    <n v="22837"/>
  </r>
  <r>
    <m/>
    <x v="9"/>
    <x v="45"/>
    <s v="PROJECTION"/>
    <x v="13"/>
    <n v="3200"/>
    <d v="2023-09-01T00:00:00"/>
    <d v="2023-09-29T00:00:00"/>
    <x v="8"/>
    <d v="2023-09-29T00:00:00"/>
    <s v="Ontime"/>
    <s v="9.September"/>
    <n v="11.42"/>
    <n v="25.4666"/>
    <n v="36544"/>
    <n v="81493.119999999995"/>
    <s v="CMT"/>
    <x v="2"/>
    <x v="2"/>
    <n v="20"/>
    <n v="22837"/>
  </r>
  <r>
    <m/>
    <x v="9"/>
    <x v="45"/>
    <s v="PROJECTION"/>
    <x v="13"/>
    <n v="3520"/>
    <d v="2023-10-02T00:00:00"/>
    <d v="2023-10-31T00:00:00"/>
    <x v="9"/>
    <d v="2023-10-31T00:00:00"/>
    <s v="Ontime"/>
    <s v="10.Oktober"/>
    <n v="11.42"/>
    <n v="25.4666"/>
    <n v="40198.400000000001"/>
    <n v="89642.432000000001"/>
    <s v="CMT"/>
    <x v="2"/>
    <x v="2"/>
    <n v="22"/>
    <n v="22837"/>
  </r>
  <r>
    <m/>
    <x v="9"/>
    <x v="45"/>
    <s v="PROJECTION"/>
    <x v="13"/>
    <n v="3520"/>
    <d v="2023-11-01T00:00:00"/>
    <d v="2023-11-30T00:00:00"/>
    <x v="10"/>
    <d v="2023-11-30T00:00:00"/>
    <s v="Ontime"/>
    <s v="11.November"/>
    <n v="11.42"/>
    <n v="25.4666"/>
    <n v="40198.400000000001"/>
    <n v="89642.432000000001"/>
    <s v="CMT"/>
    <x v="2"/>
    <x v="2"/>
    <n v="22"/>
    <n v="22837"/>
  </r>
  <r>
    <m/>
    <x v="9"/>
    <x v="45"/>
    <s v="PROJECTION"/>
    <x v="13"/>
    <n v="3200"/>
    <d v="2023-12-01T00:00:00"/>
    <d v="2023-12-29T00:00:00"/>
    <x v="11"/>
    <d v="2023-12-29T00:00:00"/>
    <s v="Ontime"/>
    <s v="12.Desember"/>
    <n v="11.42"/>
    <n v="25.4666"/>
    <n v="36544"/>
    <n v="81493.119999999995"/>
    <s v="CMT"/>
    <x v="2"/>
    <x v="2"/>
    <n v="20"/>
    <n v="22837"/>
  </r>
  <r>
    <m/>
    <x v="9"/>
    <x v="44"/>
    <s v="LS SHIRT"/>
    <x v="14"/>
    <n v="6789"/>
    <d v="2023-01-02T00:00:00"/>
    <d v="2023-01-31T00:00:00"/>
    <x v="0"/>
    <d v="2023-02-24T00:00:00"/>
    <s v="Ontime"/>
    <s v="2.February"/>
    <n v="2.88"/>
    <n v="6.4223999999999997"/>
    <n v="19552.32"/>
    <n v="43601.673599999995"/>
    <s v="CMT"/>
    <x v="0"/>
    <x v="2"/>
    <n v="22"/>
    <n v="25850.5"/>
  </r>
  <r>
    <m/>
    <x v="9"/>
    <x v="44"/>
    <s v="SS SHIRT"/>
    <x v="14"/>
    <n v="1674"/>
    <d v="2023-02-01T00:00:00"/>
    <d v="2023-02-07T00:00:00"/>
    <x v="1"/>
    <d v="2023-03-10T00:00:00"/>
    <s v="Ontime"/>
    <s v="3.March"/>
    <n v="2.78"/>
    <n v="6.1993999999999998"/>
    <n v="4653.7199999999993"/>
    <n v="10377.795599999999"/>
    <s v="CMT"/>
    <x v="0"/>
    <x v="2"/>
    <n v="5"/>
    <n v="6462.625"/>
  </r>
  <r>
    <m/>
    <x v="9"/>
    <x v="44"/>
    <s v="SS SHIRT"/>
    <x v="14"/>
    <n v="4993"/>
    <d v="2023-02-08T00:00:00"/>
    <d v="2023-02-28T00:00:00"/>
    <x v="1"/>
    <d v="2023-03-31T00:00:00"/>
    <s v="Ontime"/>
    <s v="3.March"/>
    <n v="2.78"/>
    <n v="6.1993999999999998"/>
    <n v="13880.539999999999"/>
    <n v="30953.604199999998"/>
    <s v="CMT"/>
    <x v="0"/>
    <x v="2"/>
    <n v="15"/>
    <n v="19387.875"/>
  </r>
  <r>
    <m/>
    <x v="9"/>
    <x v="44"/>
    <s v="SS SHIRT"/>
    <x v="14"/>
    <n v="6000"/>
    <d v="2023-03-01T00:00:00"/>
    <d v="2023-03-31T00:00:00"/>
    <x v="2"/>
    <d v="2023-03-10T00:00:00"/>
    <s v="Ontime"/>
    <s v="3.March"/>
    <n v="2.78"/>
    <n v="6.1993999999999998"/>
    <n v="16680"/>
    <n v="37196.400000000001"/>
    <s v="CMT"/>
    <x v="0"/>
    <x v="2"/>
    <n v="22"/>
    <n v="25850.5"/>
  </r>
  <r>
    <m/>
    <x v="9"/>
    <x v="44"/>
    <s v="PROJECTION"/>
    <x v="14"/>
    <n v="4320"/>
    <d v="2023-04-03T00:00:00"/>
    <d v="2023-04-20T00:00:00"/>
    <x v="3"/>
    <d v="2023-04-06T00:00:00"/>
    <s v="Ontime"/>
    <s v="4.April"/>
    <n v="2.88"/>
    <n v="6.4223999999999997"/>
    <n v="12441.6"/>
    <n v="27744.768"/>
    <s v="CMT"/>
    <x v="2"/>
    <x v="2"/>
    <n v="12"/>
    <n v="20680.399999999998"/>
  </r>
  <r>
    <m/>
    <x v="9"/>
    <x v="44"/>
    <s v="PROJECTION"/>
    <x v="14"/>
    <n v="1080"/>
    <d v="2023-04-26T00:00:00"/>
    <d v="2023-04-28T00:00:00"/>
    <x v="3"/>
    <d v="2023-06-09T00:00:00"/>
    <s v="Ontime"/>
    <s v="6.Juni"/>
    <n v="2.88"/>
    <n v="6.4223999999999997"/>
    <n v="3110.4"/>
    <n v="6936.192"/>
    <s v="CMT"/>
    <x v="2"/>
    <x v="2"/>
    <n v="3"/>
    <n v="5170.0999999999995"/>
  </r>
  <r>
    <m/>
    <x v="9"/>
    <x v="44"/>
    <s v="PROJECTION"/>
    <x v="14"/>
    <n v="7560"/>
    <d v="2023-05-01T00:00:00"/>
    <d v="2023-05-31T00:00:00"/>
    <x v="4"/>
    <d v="2023-05-31T00:00:00"/>
    <s v="Ontime"/>
    <s v="5.May"/>
    <n v="2.88"/>
    <n v="6.4223999999999997"/>
    <n v="21772.799999999999"/>
    <n v="48553.343999999997"/>
    <s v="CMT"/>
    <x v="2"/>
    <x v="2"/>
    <n v="21"/>
    <n v="25850.499999999996"/>
  </r>
  <r>
    <m/>
    <x v="9"/>
    <x v="45"/>
    <s v="PROJECTION"/>
    <x v="14"/>
    <n v="2320"/>
    <d v="2023-06-02T00:00:00"/>
    <d v="2023-06-30T00:00:00"/>
    <x v="5"/>
    <d v="2023-07-07T00:00:00"/>
    <s v="Ontime"/>
    <s v="7.Juli"/>
    <n v="11.42"/>
    <n v="25.4666"/>
    <n v="26494.400000000001"/>
    <n v="59082.512000000002"/>
    <s v="CMT"/>
    <x v="2"/>
    <x v="2"/>
    <n v="20"/>
    <n v="25850.5"/>
  </r>
  <r>
    <m/>
    <x v="9"/>
    <x v="45"/>
    <s v="PROJECTION"/>
    <x v="14"/>
    <n v="3040"/>
    <d v="2023-07-01T00:00:00"/>
    <d v="2023-07-31T00:00:00"/>
    <x v="6"/>
    <d v="2023-07-31T00:00:00"/>
    <s v="Ontime"/>
    <s v="7.Juli"/>
    <n v="11.42"/>
    <n v="25.4666"/>
    <n v="34716.800000000003"/>
    <n v="77418.463999999993"/>
    <s v="CMT"/>
    <x v="2"/>
    <x v="2"/>
    <n v="20"/>
    <n v="22837"/>
  </r>
  <r>
    <m/>
    <x v="9"/>
    <x v="45"/>
    <s v="PROJECTION"/>
    <x v="14"/>
    <n v="3520"/>
    <d v="2023-08-01T00:00:00"/>
    <d v="2023-08-31T00:00:00"/>
    <x v="7"/>
    <d v="2023-08-31T00:00:00"/>
    <s v="Ontime"/>
    <s v="8.Agustus"/>
    <n v="11.42"/>
    <n v="25.4666"/>
    <n v="40198.400000000001"/>
    <n v="89642.432000000001"/>
    <s v="CMT"/>
    <x v="2"/>
    <x v="2"/>
    <n v="22"/>
    <n v="22837"/>
  </r>
  <r>
    <m/>
    <x v="9"/>
    <x v="45"/>
    <s v="PROJECTION"/>
    <x v="14"/>
    <n v="3200"/>
    <d v="2023-09-01T00:00:00"/>
    <d v="2023-09-29T00:00:00"/>
    <x v="8"/>
    <d v="2023-09-29T00:00:00"/>
    <s v="Delay"/>
    <s v="9.September"/>
    <n v="11.42"/>
    <n v="25.4666"/>
    <n v="36544"/>
    <n v="81493.119999999995"/>
    <s v="CMT"/>
    <x v="2"/>
    <x v="2"/>
    <n v="20"/>
    <n v="22837"/>
  </r>
  <r>
    <m/>
    <x v="9"/>
    <x v="45"/>
    <s v="PROJECTION"/>
    <x v="14"/>
    <n v="3520"/>
    <d v="2023-10-02T00:00:00"/>
    <d v="2023-10-31T00:00:00"/>
    <x v="9"/>
    <d v="2023-10-31T00:00:00"/>
    <s v="Delay"/>
    <s v="10.Oktober"/>
    <n v="11.42"/>
    <n v="25.4666"/>
    <n v="40198.400000000001"/>
    <n v="89642.432000000001"/>
    <s v="CMT"/>
    <x v="2"/>
    <x v="2"/>
    <n v="22"/>
    <n v="22837"/>
  </r>
  <r>
    <m/>
    <x v="9"/>
    <x v="45"/>
    <s v="PROJECTION"/>
    <x v="14"/>
    <n v="3520"/>
    <d v="2023-11-01T00:00:00"/>
    <d v="2023-11-30T00:00:00"/>
    <x v="10"/>
    <d v="2023-11-30T00:00:00"/>
    <s v="Ontime"/>
    <s v="11.November"/>
    <n v="11.42"/>
    <n v="25.4666"/>
    <n v="40198.400000000001"/>
    <n v="89642.432000000001"/>
    <s v="CMT"/>
    <x v="2"/>
    <x v="2"/>
    <n v="22"/>
    <n v="22837"/>
  </r>
  <r>
    <m/>
    <x v="9"/>
    <x v="45"/>
    <s v="PROJECTION"/>
    <x v="14"/>
    <n v="3200"/>
    <d v="2023-12-01T00:00:00"/>
    <d v="2023-12-29T00:00:00"/>
    <x v="11"/>
    <d v="2023-12-29T00:00:00"/>
    <s v="Ontime"/>
    <s v="12.Desember"/>
    <n v="11.42"/>
    <n v="25.4666"/>
    <n v="36544"/>
    <n v="81493.119999999995"/>
    <s v="CMT"/>
    <x v="2"/>
    <x v="2"/>
    <n v="20"/>
    <n v="22837"/>
  </r>
  <r>
    <m/>
    <x v="9"/>
    <x v="44"/>
    <s v="LS SHIRT"/>
    <x v="15"/>
    <n v="5804"/>
    <d v="2023-01-02T00:00:00"/>
    <d v="2023-01-31T00:00:00"/>
    <x v="0"/>
    <d v="2023-02-28T00:00:00"/>
    <s v="Ontime"/>
    <s v="2.February"/>
    <n v="2.88"/>
    <n v="6.4223999999999997"/>
    <n v="16715.52"/>
    <n v="37275.609599999996"/>
    <s v="CMT"/>
    <x v="0"/>
    <x v="2"/>
    <n v="22"/>
    <n v="25850.5"/>
  </r>
  <r>
    <m/>
    <x v="9"/>
    <x v="44"/>
    <s v="SS SHIRT"/>
    <x v="15"/>
    <n v="1455"/>
    <d v="2023-02-01T00:00:00"/>
    <d v="2023-02-07T00:00:00"/>
    <x v="1"/>
    <d v="2023-03-10T00:00:00"/>
    <s v="Ontime"/>
    <s v="3.March"/>
    <n v="2.78"/>
    <n v="6.1993999999999998"/>
    <n v="4044.8999999999996"/>
    <n v="9020.1270000000004"/>
    <s v="CMT"/>
    <x v="0"/>
    <x v="2"/>
    <n v="5"/>
    <n v="6462.625"/>
  </r>
  <r>
    <m/>
    <x v="9"/>
    <x v="44"/>
    <s v="LS SHIRT"/>
    <x v="15"/>
    <n v="4800"/>
    <d v="2023-02-08T00:00:00"/>
    <d v="2023-02-28T00:00:00"/>
    <x v="1"/>
    <d v="2023-02-28T00:00:00"/>
    <s v="Ontime"/>
    <s v="2.February"/>
    <n v="2.88"/>
    <n v="6.4223999999999997"/>
    <n v="13824"/>
    <n v="30827.519999999997"/>
    <s v="CMT"/>
    <x v="0"/>
    <x v="2"/>
    <n v="15"/>
    <n v="19387.875"/>
  </r>
  <r>
    <m/>
    <x v="9"/>
    <x v="44"/>
    <s v="LS SHIRT"/>
    <x v="15"/>
    <n v="1920"/>
    <d v="2023-03-01T00:00:00"/>
    <d v="2023-03-08T00:00:00"/>
    <x v="2"/>
    <d v="2023-02-28T00:00:00"/>
    <s v="Delay"/>
    <s v="2.February"/>
    <n v="2.88"/>
    <n v="6.4223999999999997"/>
    <n v="5529.5999999999995"/>
    <n v="12331.008"/>
    <s v="CMT"/>
    <x v="0"/>
    <x v="2"/>
    <n v="6"/>
    <n v="7050.136363636364"/>
  </r>
  <r>
    <m/>
    <x v="9"/>
    <x v="5"/>
    <s v="50011901 JTEXT"/>
    <x v="15"/>
    <n v="3400"/>
    <d v="2023-03-09T00:00:00"/>
    <d v="2023-03-31T00:00:00"/>
    <x v="2"/>
    <d v="2023-02-28T00:00:00"/>
    <s v="Delay"/>
    <s v="2.February"/>
    <n v="5"/>
    <n v="11.15"/>
    <n v="17000"/>
    <n v="37910"/>
    <s v="CMT"/>
    <x v="0"/>
    <x v="2"/>
    <n v="16"/>
    <n v="18800.363636363636"/>
  </r>
  <r>
    <m/>
    <x v="9"/>
    <x v="44"/>
    <s v="PROJECTION"/>
    <x v="15"/>
    <n v="4320"/>
    <d v="2023-04-03T00:00:00"/>
    <d v="2023-04-20T00:00:00"/>
    <x v="3"/>
    <d v="2023-04-06T00:00:00"/>
    <s v="Ontime"/>
    <s v="4.April"/>
    <n v="2.88"/>
    <n v="6.4223999999999997"/>
    <n v="12441.6"/>
    <n v="27744.768"/>
    <s v="CMT"/>
    <x v="2"/>
    <x v="2"/>
    <n v="12"/>
    <n v="20680.399999999998"/>
  </r>
  <r>
    <m/>
    <x v="9"/>
    <x v="44"/>
    <s v="PROJECTION"/>
    <x v="15"/>
    <n v="1080"/>
    <d v="2023-04-26T00:00:00"/>
    <d v="2023-04-28T00:00:00"/>
    <x v="3"/>
    <d v="2023-04-28T00:00:00"/>
    <s v="Ontime"/>
    <s v="4.April"/>
    <n v="2.88"/>
    <n v="6.4223999999999997"/>
    <n v="3110.4"/>
    <n v="6936.192"/>
    <s v="CMT"/>
    <x v="2"/>
    <x v="2"/>
    <n v="3"/>
    <n v="5170.0999999999995"/>
  </r>
  <r>
    <m/>
    <x v="9"/>
    <x v="44"/>
    <s v="PROJECTION"/>
    <x v="15"/>
    <n v="7560"/>
    <d v="2023-05-01T00:00:00"/>
    <d v="2023-05-31T00:00:00"/>
    <x v="4"/>
    <d v="2023-05-31T00:00:00"/>
    <s v="Ontime"/>
    <s v="5.May"/>
    <n v="2.88"/>
    <n v="6.4223999999999997"/>
    <n v="21772.799999999999"/>
    <n v="48553.343999999997"/>
    <s v="CMT"/>
    <x v="2"/>
    <x v="2"/>
    <n v="21"/>
    <n v="25850.499999999996"/>
  </r>
  <r>
    <m/>
    <x v="9"/>
    <x v="42"/>
    <s v="APRON"/>
    <x v="15"/>
    <n v="11293"/>
    <d v="2023-06-02T00:00:00"/>
    <d v="2023-06-30T00:00:00"/>
    <x v="5"/>
    <d v="2023-06-30T00:00:00"/>
    <s v="Delay"/>
    <s v="6.Juni"/>
    <n v="1.5"/>
    <n v="3.3449999999999998"/>
    <n v="16939.5"/>
    <n v="37775.084999999999"/>
    <s v="CMT"/>
    <x v="2"/>
    <x v="2"/>
    <n v="20"/>
    <n v="25850.5"/>
  </r>
  <r>
    <m/>
    <x v="9"/>
    <x v="42"/>
    <s v="APRON"/>
    <x v="15"/>
    <n v="11293"/>
    <d v="2023-07-03T00:00:00"/>
    <d v="2023-07-31T00:00:00"/>
    <x v="6"/>
    <d v="2023-07-31T00:00:00"/>
    <s v="Ontime"/>
    <s v="7.Juli"/>
    <n v="1.5"/>
    <n v="3.3449999999999998"/>
    <n v="16939.5"/>
    <n v="37775.084999999999"/>
    <s v="CMT"/>
    <x v="2"/>
    <x v="2"/>
    <n v="20"/>
    <n v="22837"/>
  </r>
  <r>
    <m/>
    <x v="9"/>
    <x v="42"/>
    <s v="APRON"/>
    <x v="15"/>
    <n v="12414"/>
    <d v="2023-08-01T00:00:00"/>
    <d v="2023-08-31T00:00:00"/>
    <x v="7"/>
    <d v="2023-08-31T00:00:00"/>
    <s v="Ontime"/>
    <s v="8.Agustus"/>
    <n v="1.5"/>
    <n v="3.3449999999999998"/>
    <n v="18621"/>
    <n v="41524.829999999994"/>
    <s v="CMT"/>
    <x v="2"/>
    <x v="2"/>
    <n v="22"/>
    <n v="22837"/>
  </r>
  <r>
    <m/>
    <x v="9"/>
    <x v="38"/>
    <s v="PROJECTION"/>
    <x v="15"/>
    <n v="4000"/>
    <d v="2023-09-01T00:00:00"/>
    <d v="2023-09-29T00:00:00"/>
    <x v="8"/>
    <d v="2023-09-29T00:00:00"/>
    <s v="Ontime"/>
    <s v="9.September"/>
    <n v="5.28"/>
    <n v="11.7744"/>
    <n v="21120"/>
    <n v="47097.599999999999"/>
    <s v="CMT"/>
    <x v="2"/>
    <x v="2"/>
    <n v="20"/>
    <n v="22837"/>
  </r>
  <r>
    <m/>
    <x v="9"/>
    <x v="38"/>
    <s v="PROJECTION"/>
    <x v="15"/>
    <n v="5160"/>
    <d v="2023-10-02T00:00:00"/>
    <d v="2023-10-31T00:00:00"/>
    <x v="9"/>
    <d v="2023-10-31T00:00:00"/>
    <s v="Ontime"/>
    <s v="10.Oktober"/>
    <n v="5.28"/>
    <n v="11.7744"/>
    <n v="27244.800000000003"/>
    <n v="60755.904000000002"/>
    <s v="CMT"/>
    <x v="2"/>
    <x v="2"/>
    <n v="22"/>
    <n v="22837"/>
  </r>
  <r>
    <m/>
    <x v="9"/>
    <x v="38"/>
    <s v="PROJECTION"/>
    <x v="15"/>
    <n v="5200"/>
    <d v="2023-11-01T00:00:00"/>
    <d v="2023-11-30T00:00:00"/>
    <x v="10"/>
    <d v="2023-11-30T00:00:00"/>
    <s v="Delay"/>
    <s v="11.November"/>
    <n v="5.28"/>
    <n v="11.7744"/>
    <n v="27456"/>
    <n v="61226.879999999997"/>
    <s v="CMT"/>
    <x v="2"/>
    <x v="2"/>
    <n v="22"/>
    <n v="22837"/>
  </r>
  <r>
    <m/>
    <x v="9"/>
    <x v="38"/>
    <s v="PROJECTION"/>
    <x v="15"/>
    <n v="4800"/>
    <d v="2023-12-01T00:00:00"/>
    <d v="2023-12-29T00:00:00"/>
    <x v="11"/>
    <d v="2023-12-29T00:00:00"/>
    <s v="Delay"/>
    <s v="12.Desember"/>
    <n v="5.28"/>
    <n v="11.7744"/>
    <n v="25344"/>
    <n v="56517.120000000003"/>
    <s v="CMT"/>
    <x v="2"/>
    <x v="2"/>
    <n v="20"/>
    <n v="22837"/>
  </r>
  <r>
    <m/>
    <x v="9"/>
    <x v="44"/>
    <s v="LS SHIRT"/>
    <x v="16"/>
    <n v="5724"/>
    <d v="2023-01-02T00:00:00"/>
    <d v="2023-01-31T00:00:00"/>
    <x v="0"/>
    <d v="2023-02-24T00:00:00"/>
    <s v="Ontime"/>
    <s v="2.February"/>
    <n v="2.88"/>
    <n v="6.4223999999999997"/>
    <n v="16485.12"/>
    <n v="36761.817599999995"/>
    <s v="CMT"/>
    <x v="0"/>
    <x v="2"/>
    <n v="22"/>
    <n v="25850.5"/>
  </r>
  <r>
    <m/>
    <x v="9"/>
    <x v="44"/>
    <s v="SS SHIRT"/>
    <x v="16"/>
    <n v="1375"/>
    <d v="2023-02-01T00:00:00"/>
    <d v="2023-02-07T00:00:00"/>
    <x v="1"/>
    <d v="2023-03-10T00:00:00"/>
    <s v="Ontime"/>
    <s v="3.March"/>
    <n v="2.78"/>
    <n v="6.1993999999999998"/>
    <n v="3822.4999999999995"/>
    <n v="8524.1749999999993"/>
    <s v="CMT"/>
    <x v="0"/>
    <x v="2"/>
    <n v="5"/>
    <n v="6462.625"/>
  </r>
  <r>
    <m/>
    <x v="9"/>
    <x v="44"/>
    <s v="LS SHIRT"/>
    <x v="16"/>
    <n v="4800"/>
    <d v="2023-02-08T00:00:00"/>
    <d v="2023-02-28T00:00:00"/>
    <x v="1"/>
    <d v="2023-02-28T00:00:00"/>
    <s v="Ontime"/>
    <s v="2.February"/>
    <n v="2.88"/>
    <n v="6.4223999999999997"/>
    <n v="13824"/>
    <n v="30827.519999999997"/>
    <s v="CMT"/>
    <x v="0"/>
    <x v="2"/>
    <n v="15"/>
    <n v="19387.875"/>
  </r>
  <r>
    <m/>
    <x v="9"/>
    <x v="44"/>
    <s v="LS SHIRT"/>
    <x v="16"/>
    <n v="1857"/>
    <d v="2023-03-01T00:00:00"/>
    <d v="2023-03-08T00:00:00"/>
    <x v="2"/>
    <d v="2023-02-28T00:00:00"/>
    <s v="Delay"/>
    <s v="2.February"/>
    <n v="2.88"/>
    <n v="6.4223999999999997"/>
    <n v="5348.16"/>
    <n v="11926.396799999999"/>
    <s v="CMT"/>
    <x v="0"/>
    <x v="2"/>
    <n v="6"/>
    <n v="7050.136363636364"/>
  </r>
  <r>
    <m/>
    <x v="9"/>
    <x v="5"/>
    <s v="50011901 JTEXT"/>
    <x v="16"/>
    <n v="3400"/>
    <d v="2023-03-09T00:00:00"/>
    <d v="2023-03-31T00:00:00"/>
    <x v="2"/>
    <d v="2023-02-28T00:00:00"/>
    <s v="Delay"/>
    <s v="2.February"/>
    <n v="5"/>
    <n v="11.15"/>
    <n v="17000"/>
    <n v="37910"/>
    <s v="CMT"/>
    <x v="0"/>
    <x v="2"/>
    <n v="16"/>
    <n v="18800.363636363636"/>
  </r>
  <r>
    <m/>
    <x v="9"/>
    <x v="44"/>
    <s v="PROJECTION"/>
    <x v="16"/>
    <n v="4320"/>
    <d v="2023-04-03T00:00:00"/>
    <d v="2023-04-20T00:00:00"/>
    <x v="3"/>
    <d v="2023-04-28T00:00:00"/>
    <s v="Ontime"/>
    <s v="4.April"/>
    <n v="2.88"/>
    <n v="6.4223999999999997"/>
    <n v="12441.6"/>
    <n v="27744.768"/>
    <s v="CMT"/>
    <x v="2"/>
    <x v="2"/>
    <n v="12"/>
    <n v="20680.399999999998"/>
  </r>
  <r>
    <m/>
    <x v="9"/>
    <x v="44"/>
    <s v="PROJECTION"/>
    <x v="16"/>
    <n v="1080"/>
    <d v="2023-04-26T00:00:00"/>
    <d v="2023-04-28T00:00:00"/>
    <x v="3"/>
    <d v="2023-04-28T00:00:00"/>
    <s v="Ontime"/>
    <s v="4.April"/>
    <n v="2.88"/>
    <n v="6.4223999999999997"/>
    <n v="3110.4"/>
    <n v="6936.192"/>
    <s v="CMT"/>
    <x v="2"/>
    <x v="2"/>
    <n v="3"/>
    <n v="5170.0999999999995"/>
  </r>
  <r>
    <m/>
    <x v="9"/>
    <x v="42"/>
    <s v="BLACK DRESS "/>
    <x v="16"/>
    <n v="4200"/>
    <d v="2023-05-01T00:00:00"/>
    <d v="2023-05-31T00:00:00"/>
    <x v="4"/>
    <d v="2023-05-31T00:00:00"/>
    <s v="Ontime"/>
    <s v="5.May"/>
    <n v="7"/>
    <n v="15.61"/>
    <n v="29400"/>
    <n v="65562"/>
    <s v="CMT"/>
    <x v="2"/>
    <x v="2"/>
    <n v="21"/>
    <n v="25850.499999999996"/>
  </r>
  <r>
    <m/>
    <x v="9"/>
    <x v="42"/>
    <s v="BLACK DRESS "/>
    <x v="16"/>
    <n v="4000"/>
    <d v="2023-06-02T00:00:00"/>
    <d v="2023-06-30T00:00:00"/>
    <x v="5"/>
    <d v="2023-06-30T00:00:00"/>
    <s v="Delay"/>
    <s v="6.Juni"/>
    <n v="7"/>
    <n v="15.61"/>
    <n v="28000"/>
    <n v="62440"/>
    <s v="CMT"/>
    <x v="2"/>
    <x v="2"/>
    <n v="20"/>
    <n v="25850.5"/>
  </r>
  <r>
    <m/>
    <x v="9"/>
    <x v="42"/>
    <s v="BLACK DRESS "/>
    <x v="16"/>
    <n v="4000"/>
    <d v="2023-07-01T00:00:00"/>
    <d v="2023-07-31T00:00:00"/>
    <x v="6"/>
    <d v="2023-07-31T00:00:00"/>
    <s v="Delay"/>
    <s v="7.Juli"/>
    <n v="7"/>
    <n v="15.61"/>
    <n v="28000"/>
    <n v="62440"/>
    <s v="CMT"/>
    <x v="2"/>
    <x v="2"/>
    <n v="20"/>
    <n v="22837"/>
  </r>
  <r>
    <m/>
    <x v="9"/>
    <x v="42"/>
    <s v="BLACK DRESS "/>
    <x v="16"/>
    <n v="4400"/>
    <d v="2023-08-01T00:00:00"/>
    <d v="2023-08-31T00:00:00"/>
    <x v="7"/>
    <d v="2023-08-31T00:00:00"/>
    <s v="Delay"/>
    <s v="8.Agustus"/>
    <n v="7"/>
    <n v="15.61"/>
    <n v="30800"/>
    <n v="68684"/>
    <s v="CMT"/>
    <x v="2"/>
    <x v="2"/>
    <n v="22"/>
    <n v="22837"/>
  </r>
  <r>
    <m/>
    <x v="9"/>
    <x v="42"/>
    <s v="BLACK DRESS "/>
    <x v="16"/>
    <n v="4000"/>
    <d v="2023-09-01T00:00:00"/>
    <d v="2023-09-29T00:00:00"/>
    <x v="8"/>
    <d v="2023-09-29T00:00:00"/>
    <s v="Delay"/>
    <s v="9.September"/>
    <n v="7"/>
    <n v="15.61"/>
    <n v="28000"/>
    <n v="62440"/>
    <s v="CMT"/>
    <x v="2"/>
    <x v="2"/>
    <n v="20"/>
    <n v="22837"/>
  </r>
  <r>
    <m/>
    <x v="9"/>
    <x v="42"/>
    <s v="BLACK DRESS "/>
    <x v="16"/>
    <n v="4000"/>
    <d v="2023-10-02T00:00:00"/>
    <d v="2023-10-31T00:00:00"/>
    <x v="9"/>
    <d v="2023-10-31T00:00:00"/>
    <s v="Delay"/>
    <s v="10.Oktober"/>
    <n v="7"/>
    <n v="15.61"/>
    <n v="28000"/>
    <n v="62440"/>
    <s v="CMT"/>
    <x v="2"/>
    <x v="2"/>
    <n v="22"/>
    <n v="22837"/>
  </r>
  <r>
    <m/>
    <x v="9"/>
    <x v="42"/>
    <s v="BLACK DRESS "/>
    <x v="16"/>
    <n v="4000"/>
    <d v="2023-11-01T00:00:00"/>
    <d v="2023-11-30T00:00:00"/>
    <x v="10"/>
    <d v="2023-11-30T00:00:00"/>
    <s v="Delay"/>
    <s v="11.November"/>
    <n v="7"/>
    <n v="15.61"/>
    <n v="28000"/>
    <n v="62440"/>
    <s v="CMT"/>
    <x v="2"/>
    <x v="2"/>
    <n v="22"/>
    <n v="22837"/>
  </r>
  <r>
    <m/>
    <x v="9"/>
    <x v="42"/>
    <s v="BLACK DRESS "/>
    <x v="16"/>
    <n v="4000"/>
    <d v="2023-12-01T00:00:00"/>
    <d v="2023-12-29T00:00:00"/>
    <x v="11"/>
    <d v="2023-12-29T00:00:00"/>
    <s v="Delay"/>
    <s v="12.Desember"/>
    <n v="7"/>
    <n v="15.61"/>
    <n v="28000"/>
    <n v="62440"/>
    <s v="CMT"/>
    <x v="2"/>
    <x v="2"/>
    <n v="20"/>
    <n v="22837"/>
  </r>
  <r>
    <m/>
    <x v="9"/>
    <x v="38"/>
    <s v="3064 (2),3065,3066,3067,3068,3069"/>
    <x v="17"/>
    <n v="4409"/>
    <d v="2023-01-02T00:00:00"/>
    <d v="2023-01-30T00:00:00"/>
    <x v="0"/>
    <d v="2023-01-29T00:00:00"/>
    <s v="Ontime"/>
    <s v="1.January"/>
    <n v="5.55"/>
    <n v="12.3765"/>
    <n v="24469.95"/>
    <n v="54567.988499999999"/>
    <s v="CMT"/>
    <x v="0"/>
    <x v="2"/>
    <n v="21"/>
    <n v="24675.477272727272"/>
  </r>
  <r>
    <m/>
    <x v="9"/>
    <x v="22"/>
    <n v="464469"/>
    <x v="17"/>
    <n v="1200"/>
    <d v="2023-01-31T00:00:00"/>
    <d v="2023-01-31T00:00:00"/>
    <x v="0"/>
    <d v="2023-01-30T00:00:00"/>
    <s v="Ontime"/>
    <s v="1.January"/>
    <n v="0.55000000000000004"/>
    <n v="1.6120000000000001"/>
    <n v="660"/>
    <n v="1934.4"/>
    <s v="FOB"/>
    <x v="0"/>
    <x v="2"/>
    <n v="1"/>
    <n v="1175.0227272727273"/>
  </r>
  <r>
    <m/>
    <x v="9"/>
    <x v="22"/>
    <n v="464469"/>
    <x v="17"/>
    <n v="6000"/>
    <d v="2023-02-01T00:00:00"/>
    <d v="2023-02-06T00:00:00"/>
    <x v="1"/>
    <d v="2023-01-30T00:00:00"/>
    <s v="Ontime"/>
    <s v="1.January"/>
    <n v="0.55000000000000004"/>
    <n v="1.6120000000000001"/>
    <n v="3300.0000000000005"/>
    <n v="9672"/>
    <s v="FOB"/>
    <x v="0"/>
    <x v="2"/>
    <n v="4"/>
    <n v="5170.1000000000004"/>
  </r>
  <r>
    <m/>
    <x v="9"/>
    <x v="22"/>
    <n v="464469"/>
    <x v="17"/>
    <n v="18000"/>
    <d v="2023-02-07T00:00:00"/>
    <d v="2023-02-24T00:00:00"/>
    <x v="1"/>
    <d v="2023-02-13T00:00:00"/>
    <s v="Ontime"/>
    <s v="2.February"/>
    <n v="0.55000000000000004"/>
    <n v="1.6120000000000001"/>
    <n v="9900"/>
    <n v="29016"/>
    <s v="FOB"/>
    <x v="0"/>
    <x v="2"/>
    <n v="14"/>
    <n v="18095.350000000002"/>
  </r>
  <r>
    <m/>
    <x v="9"/>
    <x v="22"/>
    <n v="469503"/>
    <x v="17"/>
    <n v="800"/>
    <d v="2023-02-27T00:00:00"/>
    <d v="2023-02-28T00:00:00"/>
    <x v="1"/>
    <d v="2023-02-13T00:00:00"/>
    <s v="Ontime"/>
    <s v="2.February"/>
    <n v="0.55000000000000004"/>
    <n v="1.6120000000000001"/>
    <n v="440.00000000000006"/>
    <n v="1289.6000000000001"/>
    <s v="FOB"/>
    <x v="0"/>
    <x v="2"/>
    <n v="2"/>
    <n v="2585.0500000000002"/>
  </r>
  <r>
    <m/>
    <x v="9"/>
    <x v="0"/>
    <s v="261-92"/>
    <x v="17"/>
    <n v="2350"/>
    <d v="2023-03-01T00:00:00"/>
    <d v="2023-03-16T00:00:00"/>
    <x v="2"/>
    <d v="2023-02-28T00:00:00"/>
    <s v="Delay"/>
    <s v="2.February"/>
    <n v="3.6"/>
    <n v="8.0280000000000005"/>
    <n v="8460"/>
    <n v="18865.800000000003"/>
    <s v="CMT"/>
    <x v="0"/>
    <x v="2"/>
    <n v="12"/>
    <n v="14100.272727272728"/>
  </r>
  <r>
    <m/>
    <x v="9"/>
    <x v="0"/>
    <s v="261-93"/>
    <x v="17"/>
    <n v="1500"/>
    <d v="2023-03-17T00:00:00"/>
    <d v="2023-03-27T00:00:00"/>
    <x v="2"/>
    <d v="2023-02-28T00:00:00"/>
    <s v="Delay"/>
    <s v="2.February"/>
    <n v="3.6"/>
    <n v="8.0280000000000005"/>
    <n v="5400"/>
    <n v="12042"/>
    <s v="CMT"/>
    <x v="0"/>
    <x v="2"/>
    <n v="6"/>
    <n v="7050.136363636364"/>
  </r>
  <r>
    <m/>
    <x v="9"/>
    <x v="0"/>
    <s v="261-90 BP 0692"/>
    <x v="17"/>
    <n v="800"/>
    <d v="2023-03-28T00:00:00"/>
    <d v="2023-03-31T00:00:00"/>
    <x v="2"/>
    <d v="2023-02-28T00:00:00"/>
    <s v="Delay"/>
    <s v="2.February"/>
    <n v="3.6"/>
    <n v="8.0280000000000005"/>
    <n v="2880"/>
    <n v="6422.4000000000005"/>
    <s v="CMT"/>
    <x v="0"/>
    <x v="2"/>
    <n v="4"/>
    <n v="4700.090909090909"/>
  </r>
  <r>
    <m/>
    <x v="9"/>
    <x v="0"/>
    <s v="261-90 BP 0692"/>
    <x v="17"/>
    <n v="1610"/>
    <d v="2023-04-03T00:00:00"/>
    <d v="2023-04-12T00:00:00"/>
    <x v="3"/>
    <d v="2023-02-28T00:00:00"/>
    <s v="Delay"/>
    <s v="2.February"/>
    <n v="3.6"/>
    <n v="8.0280000000000005"/>
    <n v="5796"/>
    <n v="12925.08"/>
    <s v="CMT"/>
    <x v="0"/>
    <x v="2"/>
    <n v="7"/>
    <n v="12063.566666666666"/>
  </r>
  <r>
    <m/>
    <x v="9"/>
    <x v="28"/>
    <s v="ARM WARMER 5029977"/>
    <x v="17"/>
    <n v="1290"/>
    <d v="2023-04-13T00:00:00"/>
    <d v="2023-04-14T00:00:00"/>
    <x v="3"/>
    <d v="2023-05-31T00:00:00"/>
    <s v="Ontime"/>
    <s v="5.May"/>
    <n v="1.2"/>
    <n v="2.6759999999999997"/>
    <n v="1548"/>
    <n v="3452.0399999999995"/>
    <s v="CMT"/>
    <x v="0"/>
    <x v="2"/>
    <n v="2"/>
    <n v="3446.7333333333331"/>
  </r>
  <r>
    <m/>
    <x v="9"/>
    <x v="28"/>
    <s v="BEANIEQ 6023004"/>
    <x v="17"/>
    <n v="1022"/>
    <d v="2023-04-17T00:00:00"/>
    <d v="2023-04-18T00:00:00"/>
    <x v="3"/>
    <d v="2023-05-31T00:00:00"/>
    <s v="Ontime"/>
    <s v="5.May"/>
    <n v="1.1000000000000001"/>
    <n v="2.4530000000000003"/>
    <n v="1124.2"/>
    <n v="2506.9660000000003"/>
    <s v="CMT"/>
    <x v="0"/>
    <x v="2"/>
    <n v="2"/>
    <n v="3446.7333333333331"/>
  </r>
  <r>
    <m/>
    <x v="9"/>
    <x v="28"/>
    <s v="KNEE WARMER  5029980"/>
    <x v="17"/>
    <n v="1032"/>
    <d v="2023-04-19T00:00:00"/>
    <d v="2023-04-20T00:00:00"/>
    <x v="3"/>
    <d v="2023-05-31T00:00:00"/>
    <s v="Ontime"/>
    <s v="5.May"/>
    <n v="1.2"/>
    <n v="2.6759999999999997"/>
    <n v="1238.3999999999999"/>
    <n v="2761.6319999999996"/>
    <s v="CMT"/>
    <x v="0"/>
    <x v="2"/>
    <n v="1"/>
    <n v="1723.3666666666666"/>
  </r>
  <r>
    <m/>
    <x v="9"/>
    <x v="28"/>
    <s v="LEG WARMER 5029982"/>
    <x v="17"/>
    <n v="1260"/>
    <d v="2023-04-26T00:00:00"/>
    <d v="2023-04-28T00:00:00"/>
    <x v="3"/>
    <d v="2023-05-31T00:00:00"/>
    <s v="Ontime"/>
    <s v="5.May"/>
    <n v="2.5"/>
    <n v="5.5750000000000002"/>
    <n v="3150"/>
    <n v="7024.5"/>
    <s v="CMT"/>
    <x v="0"/>
    <x v="2"/>
    <n v="3"/>
    <n v="5170.0999999999995"/>
  </r>
  <r>
    <m/>
    <x v="9"/>
    <x v="41"/>
    <s v="STERLLAR TIGHTS"/>
    <x v="17"/>
    <n v="2000"/>
    <d v="2023-05-01T00:00:00"/>
    <d v="2023-05-10T00:00:00"/>
    <x v="4"/>
    <d v="2023-06-30T00:00:00"/>
    <s v="Ontime"/>
    <s v="6.Juni"/>
    <n v="3"/>
    <n v="6.6899999999999995"/>
    <n v="6000"/>
    <n v="13379.999999999998"/>
    <s v="CMT"/>
    <x v="0"/>
    <x v="2"/>
    <n v="7"/>
    <n v="8616.8333333333321"/>
  </r>
  <r>
    <m/>
    <x v="9"/>
    <x v="37"/>
    <m/>
    <x v="17"/>
    <s v="-"/>
    <d v="2023-05-11T00:00:00"/>
    <d v="2023-05-31T00:00:00"/>
    <x v="4"/>
    <m/>
    <m/>
    <m/>
    <m/>
    <m/>
    <m/>
    <m/>
    <m/>
    <x v="2"/>
    <x v="1"/>
    <n v="14"/>
    <n v="17233.666666666664"/>
  </r>
  <r>
    <m/>
    <x v="9"/>
    <x v="37"/>
    <m/>
    <x v="17"/>
    <s v="-"/>
    <d v="2023-06-02T00:00:00"/>
    <d v="2023-06-30T00:00:00"/>
    <x v="5"/>
    <m/>
    <m/>
    <m/>
    <m/>
    <m/>
    <m/>
    <m/>
    <m/>
    <x v="2"/>
    <x v="1"/>
    <n v="20"/>
    <n v="25850.5"/>
  </r>
  <r>
    <m/>
    <x v="9"/>
    <x v="14"/>
    <s v="SNW6502,"/>
    <x v="18"/>
    <n v="1919"/>
    <d v="2023-01-02T00:00:00"/>
    <d v="2023-01-13T00:00:00"/>
    <x v="0"/>
    <d v="2023-01-20T00:00:00"/>
    <s v="Ontime"/>
    <s v="1.January"/>
    <n v="5"/>
    <n v="11.15"/>
    <n v="9595"/>
    <n v="21396.850000000002"/>
    <s v="CMT"/>
    <x v="0"/>
    <x v="2"/>
    <n v="10"/>
    <n v="11750.227272727272"/>
  </r>
  <r>
    <m/>
    <x v="9"/>
    <x v="14"/>
    <s v="S-1422R"/>
    <x v="19"/>
    <n v="1715"/>
    <d v="2023-01-02T00:00:00"/>
    <d v="2023-01-13T00:00:00"/>
    <x v="0"/>
    <d v="2023-01-20T00:00:00"/>
    <s v="Ontime"/>
    <s v="1.January"/>
    <n v="3.7"/>
    <n v="8.2509999999999994"/>
    <n v="6345.5"/>
    <n v="14150.464999999998"/>
    <s v="CMT"/>
    <x v="0"/>
    <x v="2"/>
    <n v="10"/>
    <n v="11750.227272727272"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s v=" "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46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  <r>
    <m/>
    <x v="1"/>
    <x v="13"/>
    <m/>
    <x v="2"/>
    <m/>
    <m/>
    <m/>
    <x v="12"/>
    <m/>
    <m/>
    <m/>
    <m/>
    <m/>
    <m/>
    <m/>
    <m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E5876-585A-426F-8B7F-A2CC81066B24}" name="PivotTable5" cacheId="10" applyNumberFormats="0" applyBorderFormats="0" applyFontFormats="0" applyPatternFormats="0" applyAlignmentFormats="0" applyWidthHeightFormats="1" dataCaption=" " updatedVersion="8" minRefreshableVersion="3" useAutoFormatting="1" itemPrintTitles="1" createdVersion="8" indent="0" compact="0" compactData="0" multipleFieldFilters="0" rowHeaderCaption="Factory" colHeaderCaption=" ">
  <location ref="B4:I114" firstHeaderRow="1" firstDataRow="2" firstDataCol="2"/>
  <pivotFields count="23">
    <pivotField compact="0" outline="0" showAll="0"/>
    <pivotField axis="axisRow" compact="0" outline="0" showAll="0" defaultSubtotal="0">
      <items count="11">
        <item x="8"/>
        <item x="5"/>
        <item x="2"/>
        <item x="4"/>
        <item m="1" x="10"/>
        <item x="3"/>
        <item x="9"/>
        <item x="6"/>
        <item h="1" x="0"/>
        <item h="1" x="1"/>
        <item x="7"/>
      </items>
    </pivotField>
    <pivotField compact="0" outline="0" showAll="0">
      <items count="98">
        <item x="21"/>
        <item x="20"/>
        <item m="1" x="47"/>
        <item x="9"/>
        <item x="8"/>
        <item x="12"/>
        <item x="26"/>
        <item x="6"/>
        <item x="22"/>
        <item m="1" x="72"/>
        <item x="1"/>
        <item x="17"/>
        <item x="0"/>
        <item x="34"/>
        <item x="14"/>
        <item x="10"/>
        <item x="4"/>
        <item x="11"/>
        <item x="2"/>
        <item x="5"/>
        <item x="16"/>
        <item x="15"/>
        <item x="7"/>
        <item x="3"/>
        <item x="13"/>
        <item m="1" x="56"/>
        <item m="1" x="77"/>
        <item x="28"/>
        <item m="1" x="91"/>
        <item x="35"/>
        <item m="1" x="55"/>
        <item m="1" x="59"/>
        <item m="1" x="62"/>
        <item m="1" x="64"/>
        <item x="18"/>
        <item m="1" x="94"/>
        <item x="19"/>
        <item x="25"/>
        <item m="1" x="61"/>
        <item m="1" x="86"/>
        <item m="1" x="75"/>
        <item m="1" x="73"/>
        <item x="38"/>
        <item m="1" x="74"/>
        <item m="1" x="48"/>
        <item m="1" x="79"/>
        <item m="1" x="87"/>
        <item m="1" x="82"/>
        <item x="31"/>
        <item m="1" x="83"/>
        <item m="1" x="85"/>
        <item m="1" x="65"/>
        <item m="1" x="63"/>
        <item m="1" x="57"/>
        <item m="1" x="66"/>
        <item m="1" x="50"/>
        <item m="1" x="88"/>
        <item m="1" x="70"/>
        <item m="1" x="80"/>
        <item m="1" x="58"/>
        <item m="1" x="92"/>
        <item m="1" x="49"/>
        <item m="1" x="69"/>
        <item m="1" x="95"/>
        <item m="1" x="68"/>
        <item x="41"/>
        <item m="1" x="93"/>
        <item m="1" x="84"/>
        <item x="36"/>
        <item m="1" x="51"/>
        <item m="1" x="67"/>
        <item x="40"/>
        <item m="1" x="76"/>
        <item x="45"/>
        <item m="1" x="54"/>
        <item m="1" x="81"/>
        <item m="1" x="71"/>
        <item x="33"/>
        <item m="1" x="89"/>
        <item m="1" x="78"/>
        <item x="43"/>
        <item x="39"/>
        <item x="29"/>
        <item x="32"/>
        <item m="1" x="53"/>
        <item m="1" x="60"/>
        <item m="1" x="96"/>
        <item x="23"/>
        <item x="24"/>
        <item m="1" x="90"/>
        <item m="1" x="52"/>
        <item x="42"/>
        <item x="27"/>
        <item x="30"/>
        <item x="44"/>
        <item x="46"/>
        <item x="37"/>
        <item t="default"/>
      </items>
    </pivotField>
    <pivotField compact="0" outline="0" showAll="0"/>
    <pivotField compact="0" outline="0" showAll="0" sortType="ascending" defaultSubtotal="0">
      <items count="22">
        <item m="1" x="21"/>
        <item x="0"/>
        <item x="16"/>
        <item x="17"/>
        <item x="18"/>
        <item x="19"/>
        <item m="1" x="20"/>
        <item x="4"/>
        <item x="5"/>
        <item x="1"/>
        <item x="6"/>
        <item x="7"/>
        <item x="3"/>
        <item x="8"/>
        <item x="9"/>
        <item x="10"/>
        <item x="11"/>
        <item x="12"/>
        <item x="13"/>
        <item x="14"/>
        <item x="15"/>
        <item x="2"/>
      </items>
    </pivotField>
    <pivotField dataField="1" compact="0" outline="0" showAll="0"/>
    <pivotField compact="0" outline="0" showAll="0"/>
    <pivotField compact="0" outline="0" showAll="0"/>
    <pivotField axis="axisRow" compact="0" outline="0" showAll="0" sortType="ascending">
      <items count="25">
        <item x="0"/>
        <item x="1"/>
        <item x="2"/>
        <item x="3"/>
        <item x="4"/>
        <item x="5"/>
        <item m="1" x="14"/>
        <item x="6"/>
        <item x="7"/>
        <item x="8"/>
        <item m="1" x="22"/>
        <item x="9"/>
        <item x="10"/>
        <item x="11"/>
        <item m="1" x="21"/>
        <item m="1" x="19"/>
        <item m="1" x="20"/>
        <item m="1" x="17"/>
        <item m="1" x="18"/>
        <item m="1" x="16"/>
        <item h="1" m="1" x="23"/>
        <item m="1" x="13"/>
        <item m="1" x="15"/>
        <item h="1"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ubtotalTop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</pivotFields>
  <rowFields count="2">
    <field x="8"/>
    <field x="1"/>
  </rowFields>
  <rowItems count="109">
    <i>
      <x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/>
    </i>
    <i>
      <x v="1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2"/>
    </i>
    <i>
      <x v="3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3"/>
    </i>
    <i>
      <x v="4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4"/>
    </i>
    <i>
      <x v="5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5"/>
    </i>
    <i>
      <x v="7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7"/>
    </i>
    <i>
      <x v="8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8"/>
    </i>
    <i>
      <x v="9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9"/>
    </i>
    <i>
      <x v="11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11"/>
    </i>
    <i>
      <x v="12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12"/>
    </i>
    <i>
      <x v="13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10"/>
    </i>
    <i t="default"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 Qty" fld="5" baseField="0" baseItem="0" numFmtId="165"/>
    <dataField name="Sum of Am.FOB" fld="15" baseField="0" baseItem="0" numFmtId="44"/>
    <dataField name="Sum of Am.CM" fld="14" baseField="0" baseItem="0" numFmtId="44"/>
    <dataField name="Sum of Cost Line" fld="20" baseField="1" baseItem="0" numFmtId="44"/>
    <dataField name="Sum of Profit/Loss" fld="21" baseField="0" baseItem="0" numFmtId="44"/>
    <dataField name="Sum of %" fld="22" baseField="0" baseItem="0" numFmtId="9"/>
  </dataFields>
  <formats count="62">
    <format dxfId="64">
      <pivotArea outline="0" fieldPosition="0"/>
    </format>
    <format dxfId="65">
      <pivotArea type="origin" dataOnly="0" labelOnly="1" outline="0" fieldPosition="0"/>
    </format>
    <format dxfId="66">
      <pivotArea field="-2" type="button" dataOnly="0" labelOnly="1" outline="0" axis="axisCol" fieldPosition="0"/>
    </format>
    <format dxfId="67">
      <pivotArea type="topRight" dataOnly="0" labelOnly="1" outline="0" fieldPosition="0"/>
    </format>
    <format dxfId="68">
      <pivotArea field="1" type="button" dataOnly="0" labelOnly="1" outline="0" axis="axisRow" fieldPosition="1"/>
    </format>
    <format dxfId="69">
      <pivotArea field="8" type="button" dataOnly="0" labelOnly="1" outline="0" axis="axisRow" fieldPosition="0"/>
    </format>
    <format dxfId="70">
      <pivotArea field="4" type="button" dataOnly="0" labelOnly="1" outline="0"/>
    </format>
    <format dxfId="71">
      <pivotArea field="2" type="button" dataOnly="0" labelOnly="1" outline="0"/>
    </format>
    <format dxfId="72">
      <pivotArea type="origin" dataOnly="0" labelOnly="1" outline="0" fieldPosition="0"/>
    </format>
    <format dxfId="73">
      <pivotArea field="-2" type="button" dataOnly="0" labelOnly="1" outline="0" axis="axisCol" fieldPosition="0"/>
    </format>
    <format dxfId="74">
      <pivotArea type="topRight" dataOnly="0" labelOnly="1" outline="0" fieldPosition="0"/>
    </format>
    <format dxfId="75">
      <pivotArea field="1" type="button" dataOnly="0" labelOnly="1" outline="0" axis="axisRow" fieldPosition="1"/>
    </format>
    <format dxfId="76">
      <pivotArea field="8" type="button" dataOnly="0" labelOnly="1" outline="0" axis="axisRow" fieldPosition="0"/>
    </format>
    <format dxfId="77">
      <pivotArea field="4" type="button" dataOnly="0" labelOnly="1" outline="0"/>
    </format>
    <format dxfId="78">
      <pivotArea field="2" type="button" dataOnly="0" labelOnly="1" outline="0"/>
    </format>
    <format dxfId="79">
      <pivotArea field="-2" type="button" dataOnly="0" labelOnly="1" outline="0" axis="axisCol" fieldPosition="0"/>
    </format>
    <format dxfId="80">
      <pivotArea field="-2" type="button" dataOnly="0" labelOnly="1" outline="0" axis="axisCol" fieldPosition="0"/>
    </format>
    <format dxfId="81">
      <pivotArea type="topRight" dataOnly="0" labelOnly="1" outline="0" fieldPosition="0"/>
    </format>
    <format dxfId="82">
      <pivotArea field="-2" type="button" dataOnly="0" labelOnly="1" outline="0" axis="axisCol" fieldPosition="0"/>
    </format>
    <format dxfId="83">
      <pivotArea type="topRight" dataOnly="0" labelOnly="1" outline="0" fieldPosition="0"/>
    </format>
    <format dxfId="84">
      <pivotArea type="origin" dataOnly="0" labelOnly="1" outline="0" fieldPosition="0"/>
    </format>
    <format dxfId="85">
      <pivotArea field="1" type="button" dataOnly="0" labelOnly="1" outline="0" axis="axisRow" fieldPosition="1"/>
    </format>
    <format dxfId="86">
      <pivotArea field="8" type="button" dataOnly="0" labelOnly="1" outline="0" axis="axisRow" fieldPosition="0"/>
    </format>
    <format dxfId="87">
      <pivotArea field="4" type="button" dataOnly="0" labelOnly="1" outline="0"/>
    </format>
    <format dxfId="88">
      <pivotArea field="2" type="button" dataOnly="0" labelOnly="1" outline="0"/>
    </format>
    <format dxfId="89">
      <pivotArea type="all" dataOnly="0" outline="0" fieldPosition="0"/>
    </format>
    <format dxfId="90">
      <pivotArea outline="0" fieldPosition="0"/>
    </format>
    <format dxfId="91">
      <pivotArea type="origin" dataOnly="0" labelOnly="1" outline="0" fieldPosition="0"/>
    </format>
    <format dxfId="92">
      <pivotArea field="-2" type="button" dataOnly="0" labelOnly="1" outline="0" axis="axisCol" fieldPosition="0"/>
    </format>
    <format dxfId="93">
      <pivotArea type="topRight" dataOnly="0" labelOnly="1" outline="0" fieldPosition="0"/>
    </format>
    <format dxfId="94">
      <pivotArea field="1" type="button" dataOnly="0" labelOnly="1" outline="0" axis="axisRow" fieldPosition="1"/>
    </format>
    <format dxfId="95">
      <pivotArea field="8" type="button" dataOnly="0" labelOnly="1" outline="0" axis="axisRow" fieldPosition="0"/>
    </format>
    <format dxfId="96">
      <pivotArea field="4" type="button" dataOnly="0" labelOnly="1" outline="0"/>
    </format>
    <format dxfId="97">
      <pivotArea field="2" type="button" dataOnly="0" labelOnly="1" outline="0"/>
    </format>
    <format dxfId="98">
      <pivotArea dataOnly="0" labelOnly="1" grandRow="1" outline="0" fieldPosition="0"/>
    </format>
    <format dxfId="99">
      <pivotArea type="all" dataOnly="0" outline="0" fieldPosition="0"/>
    </format>
    <format dxfId="100">
      <pivotArea outline="0" fieldPosition="0"/>
    </format>
    <format dxfId="101">
      <pivotArea field="-2" type="button" dataOnly="0" labelOnly="1" outline="0" axis="axisCol" fieldPosition="0"/>
    </format>
    <format dxfId="102">
      <pivotArea type="topRight" dataOnly="0" labelOnly="1" outline="0" fieldPosition="0"/>
    </format>
    <format dxfId="103">
      <pivotArea outline="0" fieldPosition="0"/>
    </format>
    <format dxfId="104">
      <pivotArea field="1" type="button" dataOnly="0" labelOnly="1" outline="0" axis="axisRow" fieldPosition="1"/>
    </format>
    <format dxfId="105">
      <pivotArea type="topRight" dataOnly="0" labelOnly="1" outline="0" fieldPosition="0"/>
    </format>
    <format dxfId="106">
      <pivotArea outline="0" fieldPosition="0"/>
    </format>
    <format dxfId="107">
      <pivotArea dataOnly="0" labelOnly="1" grandCol="1" outline="0" fieldPosition="0"/>
    </format>
    <format dxfId="108">
      <pivotArea type="all" dataOnly="0" outline="0" fieldPosition="0"/>
    </format>
    <format dxfId="109">
      <pivotArea outline="0" fieldPosition="0"/>
    </format>
    <format dxfId="110">
      <pivotArea type="origin" dataOnly="0" labelOnly="1" outline="0" fieldPosition="0"/>
    </format>
    <format dxfId="111">
      <pivotArea type="topRight" dataOnly="0" labelOnly="1" outline="0" fieldPosition="0"/>
    </format>
    <format dxfId="112">
      <pivotArea dataOnly="0" labelOnly="1" outline="0" fieldPosition="0">
        <references count="1">
          <reference field="8" count="0"/>
        </references>
      </pivotArea>
    </format>
    <format dxfId="113">
      <pivotArea dataOnly="0" labelOnly="1" grandRow="1" outline="0" fieldPosition="0"/>
    </format>
    <format dxfId="114">
      <pivotArea dataOnly="0" labelOnly="1" grandCol="1" outline="0" fieldPosition="0"/>
    </format>
    <format dxfId="115">
      <pivotArea outline="0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116">
      <pivotArea outline="0" fieldPosition="0">
        <references count="1">
          <reference field="4294967294" count="1" selected="0">
            <x v="5"/>
          </reference>
        </references>
      </pivotArea>
    </format>
    <format dxfId="117">
      <pivotArea field="8" type="button" dataOnly="0" labelOnly="1" outline="0" axis="axisRow" fieldPosition="0"/>
    </format>
    <format dxfId="118">
      <pivotArea field="1" type="button" dataOnly="0" labelOnly="1" outline="0" axis="axisRow" fieldPosition="1"/>
    </format>
    <format dxfId="1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0">
      <pivotArea field="8" type="button" dataOnly="0" labelOnly="1" outline="0" axis="axisRow" fieldPosition="0"/>
    </format>
    <format dxfId="121">
      <pivotArea field="1" type="button" dataOnly="0" labelOnly="1" outline="0" axis="axisRow" fieldPosition="1"/>
    </format>
    <format dxfId="12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3">
      <pivotArea field="8" type="button" dataOnly="0" labelOnly="1" outline="0" axis="axisRow" fieldPosition="0"/>
    </format>
    <format dxfId="124">
      <pivotArea field="1" type="button" dataOnly="0" labelOnly="1" outline="0" axis="axisRow" fieldPosition="1"/>
    </format>
    <format dxfId="12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/>
      </pivotAreas>
    </conditionalFormat>
  </conditional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F1A2E6-0158-4216-8DBC-E841157B66B9}" name="PivotTable6" cacheId="10" applyNumberFormats="0" applyBorderFormats="0" applyFontFormats="0" applyPatternFormats="0" applyAlignmentFormats="0" applyWidthHeightFormats="1" dataCaption=" " updatedVersion="8" minRefreshableVersion="3" useAutoFormatting="1" itemPrintTitles="1" createdVersion="8" indent="0" compact="0" compactData="0" multipleFieldFilters="0" rowHeaderCaption="Factory" colHeaderCaption=" ">
  <location ref="B2:J235" firstHeaderRow="1" firstDataRow="2" firstDataCol="3"/>
  <pivotFields count="23">
    <pivotField compact="0" outline="0" showAll="0"/>
    <pivotField axis="axisRow" compact="0" outline="0" showAll="0" defaultSubtotal="0">
      <items count="11">
        <item x="8"/>
        <item x="5"/>
        <item x="2"/>
        <item x="4"/>
        <item m="1" x="10"/>
        <item x="3"/>
        <item x="9"/>
        <item x="6"/>
        <item h="1" x="0"/>
        <item h="1" x="1"/>
        <item x="7"/>
      </items>
    </pivotField>
    <pivotField axis="axisRow" compact="0" outline="0" showAll="0">
      <items count="98">
        <item x="21"/>
        <item x="20"/>
        <item m="1" x="47"/>
        <item x="9"/>
        <item x="8"/>
        <item x="12"/>
        <item x="26"/>
        <item x="6"/>
        <item x="22"/>
        <item m="1" x="72"/>
        <item x="1"/>
        <item x="17"/>
        <item x="0"/>
        <item x="34"/>
        <item x="14"/>
        <item x="10"/>
        <item x="4"/>
        <item x="11"/>
        <item x="2"/>
        <item x="5"/>
        <item x="16"/>
        <item x="15"/>
        <item x="7"/>
        <item x="3"/>
        <item x="13"/>
        <item m="1" x="56"/>
        <item m="1" x="77"/>
        <item x="28"/>
        <item m="1" x="91"/>
        <item x="35"/>
        <item m="1" x="55"/>
        <item m="1" x="59"/>
        <item m="1" x="62"/>
        <item m="1" x="64"/>
        <item x="18"/>
        <item m="1" x="94"/>
        <item x="19"/>
        <item x="25"/>
        <item m="1" x="61"/>
        <item m="1" x="86"/>
        <item m="1" x="75"/>
        <item m="1" x="73"/>
        <item x="38"/>
        <item m="1" x="74"/>
        <item m="1" x="48"/>
        <item m="1" x="79"/>
        <item m="1" x="87"/>
        <item m="1" x="82"/>
        <item x="31"/>
        <item m="1" x="83"/>
        <item m="1" x="85"/>
        <item m="1" x="65"/>
        <item m="1" x="63"/>
        <item m="1" x="57"/>
        <item m="1" x="66"/>
        <item m="1" x="50"/>
        <item m="1" x="88"/>
        <item m="1" x="70"/>
        <item m="1" x="80"/>
        <item m="1" x="58"/>
        <item m="1" x="92"/>
        <item m="1" x="49"/>
        <item m="1" x="69"/>
        <item m="1" x="95"/>
        <item m="1" x="68"/>
        <item x="41"/>
        <item m="1" x="93"/>
        <item m="1" x="84"/>
        <item x="36"/>
        <item m="1" x="51"/>
        <item m="1" x="67"/>
        <item x="40"/>
        <item m="1" x="76"/>
        <item x="45"/>
        <item m="1" x="54"/>
        <item m="1" x="81"/>
        <item m="1" x="71"/>
        <item x="33"/>
        <item m="1" x="89"/>
        <item m="1" x="78"/>
        <item x="43"/>
        <item x="39"/>
        <item x="29"/>
        <item x="32"/>
        <item m="1" x="53"/>
        <item m="1" x="60"/>
        <item m="1" x="96"/>
        <item x="23"/>
        <item x="24"/>
        <item m="1" x="90"/>
        <item m="1" x="52"/>
        <item x="42"/>
        <item x="27"/>
        <item x="30"/>
        <item x="44"/>
        <item x="46"/>
        <item x="37"/>
        <item t="default"/>
      </items>
    </pivotField>
    <pivotField compact="0" outline="0" showAll="0"/>
    <pivotField compact="0" outline="0" showAll="0" sortType="ascending" defaultSubtotal="0">
      <items count="22">
        <item m="1" x="21"/>
        <item x="0"/>
        <item x="16"/>
        <item x="17"/>
        <item x="18"/>
        <item x="19"/>
        <item m="1" x="20"/>
        <item x="4"/>
        <item x="5"/>
        <item x="1"/>
        <item x="6"/>
        <item x="7"/>
        <item x="3"/>
        <item x="8"/>
        <item x="9"/>
        <item x="10"/>
        <item x="11"/>
        <item x="12"/>
        <item x="13"/>
        <item x="14"/>
        <item x="15"/>
        <item x="2"/>
      </items>
    </pivotField>
    <pivotField dataField="1" compact="0" outline="0" showAll="0"/>
    <pivotField compact="0" outline="0" showAll="0"/>
    <pivotField compact="0" outline="0" showAll="0"/>
    <pivotField axis="axisRow" compact="0" outline="0" showAll="0" sortType="ascending">
      <items count="25">
        <item x="0"/>
        <item x="1"/>
        <item x="2"/>
        <item x="3"/>
        <item x="4"/>
        <item x="5"/>
        <item m="1" x="14"/>
        <item x="6"/>
        <item x="7"/>
        <item x="8"/>
        <item m="1" x="22"/>
        <item x="9"/>
        <item x="10"/>
        <item x="11"/>
        <item m="1" x="21"/>
        <item m="1" x="19"/>
        <item m="1" x="20"/>
        <item m="1" x="17"/>
        <item m="1" x="18"/>
        <item m="1" x="16"/>
        <item h="1" m="1" x="23"/>
        <item m="1" x="13"/>
        <item m="1" x="15"/>
        <item h="1"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ubtotalTop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</pivotFields>
  <rowFields count="3">
    <field x="8"/>
    <field x="1"/>
    <field x="2"/>
  </rowFields>
  <rowItems count="232">
    <i>
      <x/>
      <x/>
      <x v="12"/>
    </i>
    <i r="1">
      <x v="1"/>
      <x v="6"/>
    </i>
    <i r="2">
      <x v="14"/>
    </i>
    <i r="1">
      <x v="2"/>
      <x v="14"/>
    </i>
    <i r="1">
      <x v="3"/>
      <x v="8"/>
    </i>
    <i r="2">
      <x v="12"/>
    </i>
    <i r="1">
      <x v="5"/>
      <x v="1"/>
    </i>
    <i r="2">
      <x v="36"/>
    </i>
    <i r="1">
      <x v="6"/>
      <x v="8"/>
    </i>
    <i r="2">
      <x v="12"/>
    </i>
    <i r="2">
      <x v="14"/>
    </i>
    <i r="2">
      <x v="19"/>
    </i>
    <i r="2">
      <x v="42"/>
    </i>
    <i r="2">
      <x v="71"/>
    </i>
    <i r="2">
      <x v="94"/>
    </i>
    <i r="1">
      <x v="7"/>
      <x/>
    </i>
    <i r="2">
      <x v="1"/>
    </i>
    <i r="2">
      <x v="12"/>
    </i>
    <i r="2">
      <x v="15"/>
    </i>
    <i r="2">
      <x v="36"/>
    </i>
    <i r="2">
      <x v="82"/>
    </i>
    <i r="2">
      <x v="83"/>
    </i>
    <i r="1">
      <x v="10"/>
      <x v="11"/>
    </i>
    <i r="2">
      <x v="13"/>
    </i>
    <i r="2">
      <x v="15"/>
    </i>
    <i r="2">
      <x v="77"/>
    </i>
    <i t="default">
      <x/>
    </i>
    <i>
      <x v="1"/>
      <x/>
      <x v="12"/>
    </i>
    <i r="1">
      <x v="1"/>
      <x v="6"/>
    </i>
    <i r="2">
      <x v="14"/>
    </i>
    <i r="2">
      <x v="92"/>
    </i>
    <i r="1">
      <x v="2"/>
      <x v="20"/>
    </i>
    <i r="2">
      <x v="21"/>
    </i>
    <i r="1">
      <x v="3"/>
      <x v="8"/>
    </i>
    <i r="2">
      <x v="12"/>
    </i>
    <i r="2">
      <x v="87"/>
    </i>
    <i r="2">
      <x v="88"/>
    </i>
    <i r="1">
      <x v="5"/>
      <x/>
    </i>
    <i r="2">
      <x v="1"/>
    </i>
    <i r="2">
      <x v="36"/>
    </i>
    <i r="1">
      <x v="6"/>
      <x v="8"/>
    </i>
    <i r="2">
      <x v="12"/>
    </i>
    <i r="2">
      <x v="19"/>
    </i>
    <i r="2">
      <x v="68"/>
    </i>
    <i r="2">
      <x v="71"/>
    </i>
    <i r="2">
      <x v="94"/>
    </i>
    <i r="1">
      <x v="7"/>
      <x/>
    </i>
    <i r="2">
      <x v="1"/>
    </i>
    <i r="2">
      <x v="12"/>
    </i>
    <i r="2">
      <x v="36"/>
    </i>
    <i r="1">
      <x v="10"/>
      <x v="11"/>
    </i>
    <i r="2">
      <x v="13"/>
    </i>
    <i r="2">
      <x v="15"/>
    </i>
    <i t="default">
      <x v="1"/>
    </i>
    <i>
      <x v="2"/>
      <x/>
      <x v="12"/>
    </i>
    <i r="1">
      <x v="1"/>
      <x v="6"/>
    </i>
    <i r="2">
      <x v="14"/>
    </i>
    <i r="2">
      <x v="27"/>
    </i>
    <i r="1">
      <x v="2"/>
      <x v="11"/>
    </i>
    <i r="2">
      <x v="34"/>
    </i>
    <i r="1">
      <x v="3"/>
      <x v="8"/>
    </i>
    <i r="2">
      <x v="12"/>
    </i>
    <i r="1">
      <x v="5"/>
      <x/>
    </i>
    <i r="2">
      <x v="1"/>
    </i>
    <i r="2">
      <x v="36"/>
    </i>
    <i r="1">
      <x v="6"/>
      <x v="8"/>
    </i>
    <i r="2">
      <x v="12"/>
    </i>
    <i r="2">
      <x v="19"/>
    </i>
    <i r="2">
      <x v="27"/>
    </i>
    <i r="2">
      <x v="68"/>
    </i>
    <i r="2">
      <x v="94"/>
    </i>
    <i r="1">
      <x v="7"/>
      <x/>
    </i>
    <i r="2">
      <x v="12"/>
    </i>
    <i r="2">
      <x v="36"/>
    </i>
    <i r="1">
      <x v="10"/>
      <x v="13"/>
    </i>
    <i r="2">
      <x v="15"/>
    </i>
    <i t="default">
      <x v="2"/>
    </i>
    <i>
      <x v="3"/>
      <x/>
      <x v="12"/>
    </i>
    <i r="1">
      <x v="1"/>
      <x v="14"/>
    </i>
    <i r="1">
      <x v="2"/>
      <x v="34"/>
    </i>
    <i r="1">
      <x v="3"/>
      <x v="8"/>
    </i>
    <i r="2">
      <x v="12"/>
    </i>
    <i r="1">
      <x v="5"/>
      <x v="36"/>
    </i>
    <i r="1">
      <x v="6"/>
      <x v="8"/>
    </i>
    <i r="2">
      <x v="12"/>
    </i>
    <i r="2">
      <x v="19"/>
    </i>
    <i r="2">
      <x v="27"/>
    </i>
    <i r="2">
      <x v="68"/>
    </i>
    <i r="2">
      <x v="94"/>
    </i>
    <i r="2">
      <x v="96"/>
    </i>
    <i r="1">
      <x v="7"/>
      <x v="12"/>
    </i>
    <i r="2">
      <x v="36"/>
    </i>
    <i r="1">
      <x v="10"/>
      <x v="13"/>
    </i>
    <i t="default">
      <x v="3"/>
    </i>
    <i>
      <x v="4"/>
      <x/>
      <x v="12"/>
    </i>
    <i r="1">
      <x v="1"/>
      <x v="14"/>
    </i>
    <i r="1">
      <x v="2"/>
      <x v="34"/>
    </i>
    <i r="1">
      <x v="3"/>
      <x v="8"/>
    </i>
    <i r="2">
      <x v="12"/>
    </i>
    <i r="1">
      <x v="5"/>
      <x v="36"/>
    </i>
    <i r="1">
      <x v="6"/>
      <x v="12"/>
    </i>
    <i r="2">
      <x v="27"/>
    </i>
    <i r="2">
      <x v="65"/>
    </i>
    <i r="2">
      <x v="73"/>
    </i>
    <i r="2">
      <x v="81"/>
    </i>
    <i r="2">
      <x v="91"/>
    </i>
    <i r="2">
      <x v="94"/>
    </i>
    <i r="2">
      <x v="96"/>
    </i>
    <i r="1">
      <x v="7"/>
      <x v="12"/>
    </i>
    <i r="2">
      <x v="36"/>
    </i>
    <i r="1">
      <x v="10"/>
      <x v="13"/>
    </i>
    <i r="2">
      <x v="29"/>
    </i>
    <i t="default">
      <x v="4"/>
    </i>
    <i>
      <x v="5"/>
      <x/>
      <x v="12"/>
    </i>
    <i r="1">
      <x v="1"/>
      <x v="14"/>
    </i>
    <i r="1">
      <x v="2"/>
      <x v="36"/>
    </i>
    <i r="1">
      <x v="3"/>
      <x v="8"/>
    </i>
    <i r="2">
      <x v="12"/>
    </i>
    <i r="2">
      <x v="37"/>
    </i>
    <i r="1">
      <x v="5"/>
      <x v="36"/>
    </i>
    <i r="1">
      <x v="6"/>
      <x v="12"/>
    </i>
    <i r="2">
      <x v="65"/>
    </i>
    <i r="2">
      <x v="73"/>
    </i>
    <i r="2">
      <x v="80"/>
    </i>
    <i r="2">
      <x v="81"/>
    </i>
    <i r="2">
      <x v="91"/>
    </i>
    <i r="2">
      <x v="96"/>
    </i>
    <i r="1">
      <x v="7"/>
      <x v="12"/>
    </i>
    <i r="2">
      <x v="36"/>
    </i>
    <i r="1">
      <x v="10"/>
      <x v="13"/>
    </i>
    <i r="2">
      <x v="29"/>
    </i>
    <i r="2">
      <x v="77"/>
    </i>
    <i t="default">
      <x v="5"/>
    </i>
    <i>
      <x v="7"/>
      <x/>
      <x v="12"/>
    </i>
    <i r="1">
      <x v="1"/>
      <x v="14"/>
    </i>
    <i r="1">
      <x v="2"/>
      <x v="36"/>
    </i>
    <i r="1">
      <x v="3"/>
      <x v="12"/>
    </i>
    <i r="2">
      <x v="37"/>
    </i>
    <i r="1">
      <x v="5"/>
      <x v="36"/>
    </i>
    <i r="1">
      <x v="6"/>
      <x v="36"/>
    </i>
    <i r="2">
      <x v="65"/>
    </i>
    <i r="2">
      <x v="73"/>
    </i>
    <i r="2">
      <x v="80"/>
    </i>
    <i r="2">
      <x v="91"/>
    </i>
    <i r="2">
      <x v="93"/>
    </i>
    <i r="1">
      <x v="7"/>
      <x v="36"/>
    </i>
    <i r="2">
      <x v="93"/>
    </i>
    <i r="1">
      <x v="10"/>
      <x v="11"/>
    </i>
    <i r="2">
      <x v="13"/>
    </i>
    <i r="2">
      <x v="29"/>
    </i>
    <i r="2">
      <x v="77"/>
    </i>
    <i t="default">
      <x v="7"/>
    </i>
    <i>
      <x v="8"/>
      <x/>
      <x v="12"/>
    </i>
    <i r="1">
      <x v="1"/>
      <x v="14"/>
    </i>
    <i r="1">
      <x v="2"/>
      <x v="36"/>
    </i>
    <i r="1">
      <x v="3"/>
      <x v="8"/>
    </i>
    <i r="2">
      <x v="12"/>
    </i>
    <i r="2">
      <x v="37"/>
    </i>
    <i r="1">
      <x v="5"/>
      <x v="36"/>
    </i>
    <i r="1">
      <x v="6"/>
      <x v="36"/>
    </i>
    <i r="2">
      <x v="73"/>
    </i>
    <i r="2">
      <x v="91"/>
    </i>
    <i r="2">
      <x v="93"/>
    </i>
    <i r="1">
      <x v="7"/>
      <x v="36"/>
    </i>
    <i r="1">
      <x v="10"/>
      <x v="13"/>
    </i>
    <i r="2">
      <x v="29"/>
    </i>
    <i t="default">
      <x v="8"/>
    </i>
    <i>
      <x v="9"/>
      <x/>
      <x v="12"/>
    </i>
    <i r="1">
      <x v="1"/>
      <x v="14"/>
    </i>
    <i r="1">
      <x v="2"/>
      <x v="36"/>
    </i>
    <i r="1">
      <x v="3"/>
      <x v="8"/>
    </i>
    <i r="2">
      <x v="12"/>
    </i>
    <i r="1">
      <x v="5"/>
      <x v="36"/>
    </i>
    <i r="1">
      <x v="6"/>
      <x v="36"/>
    </i>
    <i r="2">
      <x v="42"/>
    </i>
    <i r="2">
      <x v="73"/>
    </i>
    <i r="2">
      <x v="91"/>
    </i>
    <i r="2">
      <x v="93"/>
    </i>
    <i r="1">
      <x v="7"/>
      <x v="24"/>
    </i>
    <i r="2">
      <x v="36"/>
    </i>
    <i r="2">
      <x v="48"/>
    </i>
    <i r="1">
      <x v="10"/>
      <x v="13"/>
    </i>
    <i r="2">
      <x v="29"/>
    </i>
    <i t="default">
      <x v="9"/>
    </i>
    <i>
      <x v="11"/>
      <x/>
      <x v="12"/>
    </i>
    <i r="1">
      <x v="1"/>
      <x v="14"/>
    </i>
    <i r="1">
      <x v="2"/>
      <x v="36"/>
    </i>
    <i r="1">
      <x v="3"/>
      <x v="8"/>
    </i>
    <i r="2">
      <x v="12"/>
    </i>
    <i r="1">
      <x v="5"/>
      <x v="36"/>
    </i>
    <i r="1">
      <x v="6"/>
      <x v="36"/>
    </i>
    <i r="2">
      <x v="42"/>
    </i>
    <i r="2">
      <x v="73"/>
    </i>
    <i r="2">
      <x v="91"/>
    </i>
    <i r="1">
      <x v="7"/>
      <x v="24"/>
    </i>
    <i r="2">
      <x v="36"/>
    </i>
    <i r="1">
      <x v="10"/>
      <x v="13"/>
    </i>
    <i r="2">
      <x v="29"/>
    </i>
    <i r="2">
      <x v="77"/>
    </i>
    <i t="default">
      <x v="11"/>
    </i>
    <i>
      <x v="12"/>
      <x/>
      <x v="12"/>
    </i>
    <i r="1">
      <x v="1"/>
      <x v="14"/>
    </i>
    <i r="1">
      <x v="2"/>
      <x v="36"/>
    </i>
    <i r="1">
      <x v="3"/>
      <x v="12"/>
    </i>
    <i r="2">
      <x v="37"/>
    </i>
    <i r="1">
      <x v="5"/>
      <x v="36"/>
    </i>
    <i r="1">
      <x v="6"/>
      <x v="36"/>
    </i>
    <i r="2">
      <x v="42"/>
    </i>
    <i r="2">
      <x v="73"/>
    </i>
    <i r="2">
      <x v="91"/>
    </i>
    <i r="1">
      <x v="7"/>
      <x v="24"/>
    </i>
    <i r="2">
      <x v="36"/>
    </i>
    <i r="1">
      <x v="10"/>
      <x v="11"/>
    </i>
    <i r="2">
      <x v="15"/>
    </i>
    <i r="2">
      <x v="77"/>
    </i>
    <i t="default">
      <x v="12"/>
    </i>
    <i>
      <x v="13"/>
      <x/>
      <x v="12"/>
    </i>
    <i r="1">
      <x v="1"/>
      <x v="14"/>
    </i>
    <i r="1">
      <x v="2"/>
      <x v="36"/>
    </i>
    <i r="1">
      <x v="3"/>
      <x v="12"/>
    </i>
    <i r="2">
      <x v="37"/>
    </i>
    <i r="1">
      <x v="5"/>
      <x v="36"/>
    </i>
    <i r="1">
      <x v="6"/>
      <x v="36"/>
    </i>
    <i r="2">
      <x v="42"/>
    </i>
    <i r="2">
      <x v="73"/>
    </i>
    <i r="2">
      <x v="91"/>
    </i>
    <i r="1">
      <x v="7"/>
      <x v="24"/>
    </i>
    <i r="2">
      <x v="36"/>
    </i>
    <i r="1">
      <x v="10"/>
      <x v="11"/>
    </i>
    <i r="2">
      <x v="13"/>
    </i>
    <i t="default"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 Qty" fld="5" baseField="0" baseItem="0" numFmtId="165"/>
    <dataField name="Sum of Am.FOB" fld="15" baseField="0" baseItem="0" numFmtId="44"/>
    <dataField name="Sum of Am.CM" fld="14" baseField="0" baseItem="0" numFmtId="44"/>
    <dataField name="Sum of Cost Line" fld="20" baseField="1" baseItem="0" numFmtId="44"/>
    <dataField name="Sum of Profit/Loss" fld="21" baseField="0" baseItem="0" numFmtId="44"/>
    <dataField name="Sum of %" fld="22" baseField="0" baseItem="0" numFmtId="9"/>
  </dataFields>
  <formats count="62">
    <format dxfId="2">
      <pivotArea outline="0" fieldPosition="0"/>
    </format>
    <format dxfId="3">
      <pivotArea type="origin" dataOnly="0" labelOnly="1" outline="0" fieldPosition="0"/>
    </format>
    <format dxfId="4">
      <pivotArea field="-2" type="button" dataOnly="0" labelOnly="1" outline="0" axis="axisCol" fieldPosition="0"/>
    </format>
    <format dxfId="5">
      <pivotArea type="topRight" dataOnly="0" labelOnly="1" outline="0" fieldPosition="0"/>
    </format>
    <format dxfId="6">
      <pivotArea field="1" type="button" dataOnly="0" labelOnly="1" outline="0" axis="axisRow" fieldPosition="1"/>
    </format>
    <format dxfId="7">
      <pivotArea field="8" type="button" dataOnly="0" labelOnly="1" outline="0" axis="axisRow" fieldPosition="0"/>
    </format>
    <format dxfId="8">
      <pivotArea field="4" type="button" dataOnly="0" labelOnly="1" outline="0"/>
    </format>
    <format dxfId="9">
      <pivotArea field="2" type="button" dataOnly="0" labelOnly="1" outline="0" axis="axisRow" fieldPosition="2"/>
    </format>
    <format dxfId="10">
      <pivotArea type="origin" dataOnly="0" labelOnly="1" outline="0" fieldPosition="0"/>
    </format>
    <format dxfId="11">
      <pivotArea field="-2" type="button" dataOnly="0" labelOnly="1" outline="0" axis="axisCol" fieldPosition="0"/>
    </format>
    <format dxfId="12">
      <pivotArea type="topRight" dataOnly="0" labelOnly="1" outline="0" fieldPosition="0"/>
    </format>
    <format dxfId="13">
      <pivotArea field="1" type="button" dataOnly="0" labelOnly="1" outline="0" axis="axisRow" fieldPosition="1"/>
    </format>
    <format dxfId="14">
      <pivotArea field="8" type="button" dataOnly="0" labelOnly="1" outline="0" axis="axisRow" fieldPosition="0"/>
    </format>
    <format dxfId="15">
      <pivotArea field="4" type="button" dataOnly="0" labelOnly="1" outline="0"/>
    </format>
    <format dxfId="16">
      <pivotArea field="2" type="button" dataOnly="0" labelOnly="1" outline="0" axis="axisRow" fieldPosition="2"/>
    </format>
    <format dxfId="17">
      <pivotArea field="-2" type="button" dataOnly="0" labelOnly="1" outline="0" axis="axisCol" fieldPosition="0"/>
    </format>
    <format dxfId="18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20">
      <pivotArea field="-2" type="button" dataOnly="0" labelOnly="1" outline="0" axis="axisCol" fieldPosition="0"/>
    </format>
    <format dxfId="21">
      <pivotArea type="topRight" dataOnly="0" labelOnly="1" outline="0" fieldPosition="0"/>
    </format>
    <format dxfId="22">
      <pivotArea type="origin" dataOnly="0" labelOnly="1" outline="0" fieldPosition="0"/>
    </format>
    <format dxfId="23">
      <pivotArea field="1" type="button" dataOnly="0" labelOnly="1" outline="0" axis="axisRow" fieldPosition="1"/>
    </format>
    <format dxfId="24">
      <pivotArea field="8" type="button" dataOnly="0" labelOnly="1" outline="0" axis="axisRow" fieldPosition="0"/>
    </format>
    <format dxfId="25">
      <pivotArea field="4" type="button" dataOnly="0" labelOnly="1" outline="0"/>
    </format>
    <format dxfId="26">
      <pivotArea field="2" type="button" dataOnly="0" labelOnly="1" outline="0" axis="axisRow" fieldPosition="2"/>
    </format>
    <format dxfId="27">
      <pivotArea type="all" dataOnly="0" outline="0" fieldPosition="0"/>
    </format>
    <format dxfId="28">
      <pivotArea outline="0" fieldPosition="0"/>
    </format>
    <format dxfId="29">
      <pivotArea type="origin" dataOnly="0" labelOnly="1" outline="0" fieldPosition="0"/>
    </format>
    <format dxfId="30">
      <pivotArea field="-2" type="button" dataOnly="0" labelOnly="1" outline="0" axis="axisCol" fieldPosition="0"/>
    </format>
    <format dxfId="31">
      <pivotArea type="topRight" dataOnly="0" labelOnly="1" outline="0" fieldPosition="0"/>
    </format>
    <format dxfId="32">
      <pivotArea field="1" type="button" dataOnly="0" labelOnly="1" outline="0" axis="axisRow" fieldPosition="1"/>
    </format>
    <format dxfId="33">
      <pivotArea field="8" type="button" dataOnly="0" labelOnly="1" outline="0" axis="axisRow" fieldPosition="0"/>
    </format>
    <format dxfId="34">
      <pivotArea field="4" type="button" dataOnly="0" labelOnly="1" outline="0"/>
    </format>
    <format dxfId="35">
      <pivotArea field="2" type="button" dataOnly="0" labelOnly="1" outline="0" axis="axisRow" fieldPosition="2"/>
    </format>
    <format dxfId="36">
      <pivotArea dataOnly="0" labelOnly="1" grandRow="1" outline="0" fieldPosition="0"/>
    </format>
    <format dxfId="37">
      <pivotArea type="all" dataOnly="0" outline="0" fieldPosition="0"/>
    </format>
    <format dxfId="38">
      <pivotArea outline="0" fieldPosition="0"/>
    </format>
    <format dxfId="39">
      <pivotArea field="-2" type="button" dataOnly="0" labelOnly="1" outline="0" axis="axisCol" fieldPosition="0"/>
    </format>
    <format dxfId="40">
      <pivotArea type="topRight" dataOnly="0" labelOnly="1" outline="0" fieldPosition="0"/>
    </format>
    <format dxfId="41">
      <pivotArea outline="0" fieldPosition="0"/>
    </format>
    <format dxfId="42">
      <pivotArea field="1" type="button" dataOnly="0" labelOnly="1" outline="0" axis="axisRow" fieldPosition="1"/>
    </format>
    <format dxfId="43">
      <pivotArea type="topRight" dataOnly="0" labelOnly="1" outline="0" fieldPosition="0"/>
    </format>
    <format dxfId="44">
      <pivotArea outline="0" fieldPosition="0"/>
    </format>
    <format dxfId="45">
      <pivotArea dataOnly="0" labelOnly="1" grandCol="1" outline="0" fieldPosition="0"/>
    </format>
    <format dxfId="46">
      <pivotArea type="all" dataOnly="0" outline="0" fieldPosition="0"/>
    </format>
    <format dxfId="47">
      <pivotArea outline="0" fieldPosition="0"/>
    </format>
    <format dxfId="48">
      <pivotArea type="origin" dataOnly="0" labelOnly="1" outline="0" fieldPosition="0"/>
    </format>
    <format dxfId="49">
      <pivotArea type="topRight" dataOnly="0" labelOnly="1" outline="0" fieldPosition="0"/>
    </format>
    <format dxfId="50">
      <pivotArea dataOnly="0" labelOnly="1" outline="0" fieldPosition="0">
        <references count="1">
          <reference field="8" count="0"/>
        </references>
      </pivotArea>
    </format>
    <format dxfId="51">
      <pivotArea dataOnly="0" labelOnly="1" grandRow="1" outline="0" fieldPosition="0"/>
    </format>
    <format dxfId="52">
      <pivotArea dataOnly="0" labelOnly="1" grandCol="1" outline="0" fieldPosition="0"/>
    </format>
    <format dxfId="53">
      <pivotArea outline="0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54">
      <pivotArea outline="0" fieldPosition="0">
        <references count="1">
          <reference field="4294967294" count="1" selected="0">
            <x v="5"/>
          </reference>
        </references>
      </pivotArea>
    </format>
    <format dxfId="55">
      <pivotArea field="8" type="button" dataOnly="0" labelOnly="1" outline="0" axis="axisRow" fieldPosition="0"/>
    </format>
    <format dxfId="56">
      <pivotArea field="1" type="button" dataOnly="0" labelOnly="1" outline="0" axis="axisRow" fieldPosition="1"/>
    </format>
    <format dxfId="5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8">
      <pivotArea field="8" type="button" dataOnly="0" labelOnly="1" outline="0" axis="axisRow" fieldPosition="0"/>
    </format>
    <format dxfId="59">
      <pivotArea field="1" type="button" dataOnly="0" labelOnly="1" outline="0" axis="axisRow" fieldPosition="1"/>
    </format>
    <format dxfId="6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1">
      <pivotArea field="8" type="button" dataOnly="0" labelOnly="1" outline="0" axis="axisRow" fieldPosition="0"/>
    </format>
    <format dxfId="62">
      <pivotArea field="1" type="button" dataOnly="0" labelOnly="1" outline="0" axis="axisRow" fieldPosition="1"/>
    </format>
    <format dxfId="6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/>
      </pivotAreas>
    </conditionalFormat>
  </conditional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Report%20Kapasitas%20From%20Sales%202%20Feb%202023.xl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RESULTS%20REPORT" TargetMode="External"/><Relationship Id="rId1" Type="http://schemas.openxmlformats.org/officeDocument/2006/relationships/hyperlink" Target="RESULTS%20REPORT" TargetMode="External"/><Relationship Id="rId6" Type="http://schemas.openxmlformats.org/officeDocument/2006/relationships/hyperlink" Target="Tarikan%20dari%20GCC" TargetMode="External"/><Relationship Id="rId5" Type="http://schemas.openxmlformats.org/officeDocument/2006/relationships/hyperlink" Target="FOB%20Value/FOB.xlsx" TargetMode="External"/><Relationship Id="rId4" Type="http://schemas.openxmlformats.org/officeDocument/2006/relationships/hyperlink" Target="Resume%20Income%20Factory%20Th%202023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B93-711F-43B9-9FC5-537C0B1E6F13}">
  <sheetPr codeName="Sheet1">
    <tabColor rgb="FFFFC000"/>
  </sheetPr>
  <dimension ref="B1:T17"/>
  <sheetViews>
    <sheetView tabSelected="1" topLeftCell="A3" workbookViewId="0">
      <selection activeCell="A5" sqref="A5"/>
    </sheetView>
  </sheetViews>
  <sheetFormatPr defaultRowHeight="15" x14ac:dyDescent="0.25"/>
  <cols>
    <col min="1" max="2" width="9.140625" style="40"/>
    <col min="3" max="3" width="10.7109375" style="40" customWidth="1"/>
    <col min="4" max="4" width="11.5703125" style="40" customWidth="1"/>
    <col min="5" max="5" width="14" style="40" customWidth="1"/>
    <col min="6" max="6" width="30.5703125" style="40" customWidth="1"/>
    <col min="7" max="7" width="20.85546875" style="40" customWidth="1"/>
    <col min="8" max="18" width="9.140625" style="40"/>
    <col min="19" max="19" width="14.140625" style="51" bestFit="1" customWidth="1"/>
    <col min="20" max="20" width="9.140625" style="51"/>
    <col min="21" max="16384" width="9.140625" style="40"/>
  </cols>
  <sheetData>
    <row r="1" spans="2:20" ht="18.75" hidden="1" x14ac:dyDescent="0.3">
      <c r="S1" s="50" t="s">
        <v>4</v>
      </c>
      <c r="T1" s="50" t="s">
        <v>4</v>
      </c>
    </row>
    <row r="2" spans="2:20" ht="18.75" hidden="1" x14ac:dyDescent="0.3">
      <c r="S2" s="50" t="s">
        <v>23</v>
      </c>
      <c r="T2" s="50" t="s">
        <v>5</v>
      </c>
    </row>
    <row r="3" spans="2:20" ht="18.75" x14ac:dyDescent="0.3">
      <c r="S3" s="50" t="s">
        <v>24</v>
      </c>
      <c r="T3" s="50" t="s">
        <v>6</v>
      </c>
    </row>
    <row r="4" spans="2:20" ht="18.75" x14ac:dyDescent="0.3">
      <c r="S4" s="50" t="s">
        <v>7</v>
      </c>
      <c r="T4" s="50" t="s">
        <v>7</v>
      </c>
    </row>
    <row r="5" spans="2:20" ht="18.75" x14ac:dyDescent="0.3">
      <c r="B5" s="39"/>
      <c r="C5" s="39"/>
      <c r="D5" s="39"/>
      <c r="F5" s="44" t="s">
        <v>0</v>
      </c>
      <c r="G5" s="44"/>
      <c r="H5" s="44"/>
      <c r="I5" s="44"/>
      <c r="J5" s="44"/>
      <c r="K5" s="44"/>
      <c r="S5" s="50" t="s">
        <v>25</v>
      </c>
      <c r="T5" s="50" t="s">
        <v>9</v>
      </c>
    </row>
    <row r="6" spans="2:20" ht="18.75" x14ac:dyDescent="0.3">
      <c r="B6" s="39"/>
      <c r="C6" s="39"/>
      <c r="D6" s="39"/>
      <c r="F6" s="42" t="s">
        <v>1</v>
      </c>
      <c r="G6" s="43"/>
      <c r="H6" s="43"/>
      <c r="I6" s="43"/>
      <c r="J6" s="43"/>
      <c r="K6" s="43"/>
      <c r="S6" s="50" t="s">
        <v>26</v>
      </c>
      <c r="T6" s="50" t="s">
        <v>10</v>
      </c>
    </row>
    <row r="7" spans="2:20" ht="18.75" x14ac:dyDescent="0.3">
      <c r="B7" s="39"/>
      <c r="C7" s="39"/>
      <c r="D7" s="39"/>
      <c r="F7" s="44" t="s">
        <v>2</v>
      </c>
      <c r="G7" s="44"/>
      <c r="H7" s="44"/>
      <c r="I7" s="44"/>
      <c r="J7" s="44"/>
      <c r="K7" s="44"/>
      <c r="S7" s="50" t="s">
        <v>27</v>
      </c>
      <c r="T7" s="50" t="s">
        <v>11</v>
      </c>
    </row>
    <row r="8" spans="2:20" ht="18.75" x14ac:dyDescent="0.3">
      <c r="B8" s="39"/>
      <c r="C8" s="39"/>
      <c r="D8" s="39"/>
      <c r="F8" s="42" t="s">
        <v>3</v>
      </c>
      <c r="G8" s="43"/>
      <c r="H8" s="43"/>
      <c r="I8" s="43"/>
      <c r="J8" s="43"/>
      <c r="K8" s="43"/>
      <c r="S8" s="50" t="s">
        <v>28</v>
      </c>
      <c r="T8" s="50" t="s">
        <v>8</v>
      </c>
    </row>
    <row r="9" spans="2:20" x14ac:dyDescent="0.25">
      <c r="B9" s="39"/>
      <c r="C9" s="39"/>
      <c r="D9" s="39"/>
      <c r="F9" s="44" t="s">
        <v>52</v>
      </c>
      <c r="G9" s="44"/>
      <c r="H9" s="44"/>
      <c r="I9" s="44"/>
      <c r="J9" s="44"/>
      <c r="K9" s="44"/>
    </row>
    <row r="10" spans="2:20" x14ac:dyDescent="0.25">
      <c r="B10" s="39"/>
      <c r="C10" s="39"/>
      <c r="D10" s="39"/>
      <c r="F10" s="42" t="s">
        <v>53</v>
      </c>
      <c r="G10" s="43"/>
      <c r="H10" s="43"/>
      <c r="I10" s="43"/>
      <c r="J10" s="43"/>
      <c r="K10" s="43"/>
    </row>
    <row r="11" spans="2:20" x14ac:dyDescent="0.25">
      <c r="B11" s="39"/>
      <c r="C11" s="39"/>
      <c r="D11" s="39"/>
      <c r="F11" s="44" t="s">
        <v>54</v>
      </c>
      <c r="G11" s="44"/>
      <c r="H11" s="44"/>
      <c r="I11" s="44"/>
      <c r="J11" s="44"/>
      <c r="K11" s="44"/>
    </row>
    <row r="12" spans="2:20" x14ac:dyDescent="0.25">
      <c r="B12" s="39"/>
      <c r="C12" s="39"/>
      <c r="D12" s="39"/>
      <c r="F12" s="42" t="s">
        <v>55</v>
      </c>
      <c r="G12" s="43"/>
      <c r="H12" s="43"/>
      <c r="I12" s="43"/>
      <c r="J12" s="43"/>
      <c r="K12" s="43"/>
    </row>
    <row r="15" spans="2:20" x14ac:dyDescent="0.25">
      <c r="F15" s="41" t="s">
        <v>97</v>
      </c>
      <c r="G15" s="45" t="s">
        <v>93</v>
      </c>
      <c r="H15" s="45"/>
      <c r="I15" s="45"/>
      <c r="J15" s="45"/>
      <c r="K15" s="45"/>
    </row>
    <row r="16" spans="2:20" x14ac:dyDescent="0.25">
      <c r="F16" s="41" t="s">
        <v>96</v>
      </c>
      <c r="G16" s="46" t="s">
        <v>95</v>
      </c>
      <c r="H16" s="46"/>
      <c r="I16" s="46"/>
      <c r="J16" s="46"/>
      <c r="K16" s="46"/>
    </row>
    <row r="17" spans="6:11" x14ac:dyDescent="0.25">
      <c r="F17" s="41" t="s">
        <v>94</v>
      </c>
      <c r="G17" s="47" t="s">
        <v>95</v>
      </c>
      <c r="H17" s="47"/>
      <c r="I17" s="47"/>
      <c r="J17" s="47"/>
      <c r="K17" s="47"/>
    </row>
  </sheetData>
  <mergeCells count="11">
    <mergeCell ref="F11:K11"/>
    <mergeCell ref="F12:K12"/>
    <mergeCell ref="G15:K15"/>
    <mergeCell ref="G16:K16"/>
    <mergeCell ref="G17:K17"/>
    <mergeCell ref="F10:K10"/>
    <mergeCell ref="F5:K5"/>
    <mergeCell ref="F6:K6"/>
    <mergeCell ref="F7:K7"/>
    <mergeCell ref="F8:K8"/>
    <mergeCell ref="F9:K9"/>
  </mergeCells>
  <hyperlinks>
    <hyperlink ref="G16" r:id="rId1" xr:uid="{FDCDC5AE-A339-4DB2-BC0C-6FD827702F3D}"/>
    <hyperlink ref="G17" r:id="rId2" xr:uid="{5110E8DD-18A2-4838-9933-DFBA380BAD46}"/>
    <hyperlink ref="F6" r:id="rId3" xr:uid="{C1A5BDFE-9B0D-423F-8C6F-E753367B459F}"/>
    <hyperlink ref="F8" r:id="rId4" xr:uid="{82E85899-4730-4F68-9783-A157EB692408}"/>
    <hyperlink ref="F10" r:id="rId5" xr:uid="{320508DD-943D-4E56-987D-C1BC518906F4}"/>
    <hyperlink ref="F12" r:id="rId6" xr:uid="{03304ED9-63D9-4BA5-B10C-CC06EB510C60}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A199-9D70-489B-AE89-1246E3A443C4}">
  <sheetPr codeName="Sheet4">
    <tabColor rgb="FF008B8B"/>
  </sheetPr>
  <dimension ref="A1:AG300"/>
  <sheetViews>
    <sheetView zoomScale="60" zoomScaleNormal="60" workbookViewId="0">
      <pane ySplit="5" topLeftCell="A6" activePane="bottomLeft" state="frozen"/>
      <selection pane="bottomLeft"/>
    </sheetView>
  </sheetViews>
  <sheetFormatPr defaultColWidth="15.5703125" defaultRowHeight="18.75" x14ac:dyDescent="0.3"/>
  <cols>
    <col min="1" max="1" width="4.140625" style="1" bestFit="1" customWidth="1"/>
    <col min="2" max="2" width="31.85546875" style="1" bestFit="1" customWidth="1"/>
    <col min="3" max="3" width="20.7109375" style="4" bestFit="1" customWidth="1"/>
    <col min="4" max="4" width="19.28515625" style="4" bestFit="1" customWidth="1"/>
    <col min="5" max="5" width="26.140625" style="4" bestFit="1" customWidth="1"/>
    <col min="6" max="6" width="26.7109375" style="4" bestFit="1" customWidth="1"/>
    <col min="7" max="7" width="25.28515625" style="4" bestFit="1" customWidth="1"/>
    <col min="8" max="8" width="26.42578125" style="4" bestFit="1" customWidth="1"/>
    <col min="9" max="9" width="13.5703125" style="4" bestFit="1" customWidth="1"/>
    <col min="10" max="10" width="13.140625" style="4" customWidth="1"/>
    <col min="11" max="11" width="31.85546875" style="17" bestFit="1" customWidth="1"/>
    <col min="12" max="12" width="17.5703125" style="17" bestFit="1" customWidth="1"/>
    <col min="13" max="13" width="18.7109375" style="24" bestFit="1" customWidth="1"/>
    <col min="14" max="14" width="26.7109375" style="24" bestFit="1" customWidth="1"/>
    <col min="15" max="15" width="25.28515625" style="24" bestFit="1" customWidth="1"/>
    <col min="16" max="16" width="24.7109375" style="24" bestFit="1" customWidth="1"/>
    <col min="17" max="17" width="26.42578125" style="24" bestFit="1" customWidth="1"/>
    <col min="18" max="18" width="13.5703125" style="24" bestFit="1" customWidth="1"/>
    <col min="19" max="26" width="15.5703125" style="24"/>
    <col min="27" max="33" width="15.5703125" style="17"/>
    <col min="34" max="256" width="15.5703125" style="1"/>
    <col min="257" max="257" width="7.85546875" style="1" customWidth="1"/>
    <col min="258" max="258" width="24.140625" style="1" bestFit="1" customWidth="1"/>
    <col min="259" max="259" width="17.5703125" style="1" bestFit="1" customWidth="1"/>
    <col min="260" max="260" width="16" style="1" bestFit="1" customWidth="1"/>
    <col min="261" max="261" width="21.85546875" style="1" bestFit="1" customWidth="1"/>
    <col min="262" max="262" width="21.140625" style="1" bestFit="1" customWidth="1"/>
    <col min="263" max="263" width="23" style="1" bestFit="1" customWidth="1"/>
    <col min="264" max="264" width="25.5703125" style="1" bestFit="1" customWidth="1"/>
    <col min="265" max="265" width="13.140625" style="1" bestFit="1" customWidth="1"/>
    <col min="266" max="266" width="13.140625" style="1" customWidth="1"/>
    <col min="267" max="267" width="17.7109375" style="1" bestFit="1" customWidth="1"/>
    <col min="268" max="268" width="28" style="1" bestFit="1" customWidth="1"/>
    <col min="269" max="269" width="15.5703125" style="1"/>
    <col min="270" max="270" width="23.85546875" style="1" customWidth="1"/>
    <col min="271" max="271" width="22.140625" style="1" customWidth="1"/>
    <col min="272" max="512" width="15.5703125" style="1"/>
    <col min="513" max="513" width="7.85546875" style="1" customWidth="1"/>
    <col min="514" max="514" width="24.140625" style="1" bestFit="1" customWidth="1"/>
    <col min="515" max="515" width="17.5703125" style="1" bestFit="1" customWidth="1"/>
    <col min="516" max="516" width="16" style="1" bestFit="1" customWidth="1"/>
    <col min="517" max="517" width="21.85546875" style="1" bestFit="1" customWidth="1"/>
    <col min="518" max="518" width="21.140625" style="1" bestFit="1" customWidth="1"/>
    <col min="519" max="519" width="23" style="1" bestFit="1" customWidth="1"/>
    <col min="520" max="520" width="25.5703125" style="1" bestFit="1" customWidth="1"/>
    <col min="521" max="521" width="13.140625" style="1" bestFit="1" customWidth="1"/>
    <col min="522" max="522" width="13.140625" style="1" customWidth="1"/>
    <col min="523" max="523" width="17.7109375" style="1" bestFit="1" customWidth="1"/>
    <col min="524" max="524" width="28" style="1" bestFit="1" customWidth="1"/>
    <col min="525" max="525" width="15.5703125" style="1"/>
    <col min="526" max="526" width="23.85546875" style="1" customWidth="1"/>
    <col min="527" max="527" width="22.140625" style="1" customWidth="1"/>
    <col min="528" max="768" width="15.5703125" style="1"/>
    <col min="769" max="769" width="7.85546875" style="1" customWidth="1"/>
    <col min="770" max="770" width="24.140625" style="1" bestFit="1" customWidth="1"/>
    <col min="771" max="771" width="17.5703125" style="1" bestFit="1" customWidth="1"/>
    <col min="772" max="772" width="16" style="1" bestFit="1" customWidth="1"/>
    <col min="773" max="773" width="21.85546875" style="1" bestFit="1" customWidth="1"/>
    <col min="774" max="774" width="21.140625" style="1" bestFit="1" customWidth="1"/>
    <col min="775" max="775" width="23" style="1" bestFit="1" customWidth="1"/>
    <col min="776" max="776" width="25.5703125" style="1" bestFit="1" customWidth="1"/>
    <col min="777" max="777" width="13.140625" style="1" bestFit="1" customWidth="1"/>
    <col min="778" max="778" width="13.140625" style="1" customWidth="1"/>
    <col min="779" max="779" width="17.7109375" style="1" bestFit="1" customWidth="1"/>
    <col min="780" max="780" width="28" style="1" bestFit="1" customWidth="1"/>
    <col min="781" max="781" width="15.5703125" style="1"/>
    <col min="782" max="782" width="23.85546875" style="1" customWidth="1"/>
    <col min="783" max="783" width="22.140625" style="1" customWidth="1"/>
    <col min="784" max="1024" width="15.5703125" style="1"/>
    <col min="1025" max="1025" width="7.85546875" style="1" customWidth="1"/>
    <col min="1026" max="1026" width="24.140625" style="1" bestFit="1" customWidth="1"/>
    <col min="1027" max="1027" width="17.5703125" style="1" bestFit="1" customWidth="1"/>
    <col min="1028" max="1028" width="16" style="1" bestFit="1" customWidth="1"/>
    <col min="1029" max="1029" width="21.85546875" style="1" bestFit="1" customWidth="1"/>
    <col min="1030" max="1030" width="21.140625" style="1" bestFit="1" customWidth="1"/>
    <col min="1031" max="1031" width="23" style="1" bestFit="1" customWidth="1"/>
    <col min="1032" max="1032" width="25.5703125" style="1" bestFit="1" customWidth="1"/>
    <col min="1033" max="1033" width="13.140625" style="1" bestFit="1" customWidth="1"/>
    <col min="1034" max="1034" width="13.140625" style="1" customWidth="1"/>
    <col min="1035" max="1035" width="17.7109375" style="1" bestFit="1" customWidth="1"/>
    <col min="1036" max="1036" width="28" style="1" bestFit="1" customWidth="1"/>
    <col min="1037" max="1037" width="15.5703125" style="1"/>
    <col min="1038" max="1038" width="23.85546875" style="1" customWidth="1"/>
    <col min="1039" max="1039" width="22.140625" style="1" customWidth="1"/>
    <col min="1040" max="1280" width="15.5703125" style="1"/>
    <col min="1281" max="1281" width="7.85546875" style="1" customWidth="1"/>
    <col min="1282" max="1282" width="24.140625" style="1" bestFit="1" customWidth="1"/>
    <col min="1283" max="1283" width="17.5703125" style="1" bestFit="1" customWidth="1"/>
    <col min="1284" max="1284" width="16" style="1" bestFit="1" customWidth="1"/>
    <col min="1285" max="1285" width="21.85546875" style="1" bestFit="1" customWidth="1"/>
    <col min="1286" max="1286" width="21.140625" style="1" bestFit="1" customWidth="1"/>
    <col min="1287" max="1287" width="23" style="1" bestFit="1" customWidth="1"/>
    <col min="1288" max="1288" width="25.5703125" style="1" bestFit="1" customWidth="1"/>
    <col min="1289" max="1289" width="13.140625" style="1" bestFit="1" customWidth="1"/>
    <col min="1290" max="1290" width="13.140625" style="1" customWidth="1"/>
    <col min="1291" max="1291" width="17.7109375" style="1" bestFit="1" customWidth="1"/>
    <col min="1292" max="1292" width="28" style="1" bestFit="1" customWidth="1"/>
    <col min="1293" max="1293" width="15.5703125" style="1"/>
    <col min="1294" max="1294" width="23.85546875" style="1" customWidth="1"/>
    <col min="1295" max="1295" width="22.140625" style="1" customWidth="1"/>
    <col min="1296" max="1536" width="15.5703125" style="1"/>
    <col min="1537" max="1537" width="7.85546875" style="1" customWidth="1"/>
    <col min="1538" max="1538" width="24.140625" style="1" bestFit="1" customWidth="1"/>
    <col min="1539" max="1539" width="17.5703125" style="1" bestFit="1" customWidth="1"/>
    <col min="1540" max="1540" width="16" style="1" bestFit="1" customWidth="1"/>
    <col min="1541" max="1541" width="21.85546875" style="1" bestFit="1" customWidth="1"/>
    <col min="1542" max="1542" width="21.140625" style="1" bestFit="1" customWidth="1"/>
    <col min="1543" max="1543" width="23" style="1" bestFit="1" customWidth="1"/>
    <col min="1544" max="1544" width="25.5703125" style="1" bestFit="1" customWidth="1"/>
    <col min="1545" max="1545" width="13.140625" style="1" bestFit="1" customWidth="1"/>
    <col min="1546" max="1546" width="13.140625" style="1" customWidth="1"/>
    <col min="1547" max="1547" width="17.7109375" style="1" bestFit="1" customWidth="1"/>
    <col min="1548" max="1548" width="28" style="1" bestFit="1" customWidth="1"/>
    <col min="1549" max="1549" width="15.5703125" style="1"/>
    <col min="1550" max="1550" width="23.85546875" style="1" customWidth="1"/>
    <col min="1551" max="1551" width="22.140625" style="1" customWidth="1"/>
    <col min="1552" max="1792" width="15.5703125" style="1"/>
    <col min="1793" max="1793" width="7.85546875" style="1" customWidth="1"/>
    <col min="1794" max="1794" width="24.140625" style="1" bestFit="1" customWidth="1"/>
    <col min="1795" max="1795" width="17.5703125" style="1" bestFit="1" customWidth="1"/>
    <col min="1796" max="1796" width="16" style="1" bestFit="1" customWidth="1"/>
    <col min="1797" max="1797" width="21.85546875" style="1" bestFit="1" customWidth="1"/>
    <col min="1798" max="1798" width="21.140625" style="1" bestFit="1" customWidth="1"/>
    <col min="1799" max="1799" width="23" style="1" bestFit="1" customWidth="1"/>
    <col min="1800" max="1800" width="25.5703125" style="1" bestFit="1" customWidth="1"/>
    <col min="1801" max="1801" width="13.140625" style="1" bestFit="1" customWidth="1"/>
    <col min="1802" max="1802" width="13.140625" style="1" customWidth="1"/>
    <col min="1803" max="1803" width="17.7109375" style="1" bestFit="1" customWidth="1"/>
    <col min="1804" max="1804" width="28" style="1" bestFit="1" customWidth="1"/>
    <col min="1805" max="1805" width="15.5703125" style="1"/>
    <col min="1806" max="1806" width="23.85546875" style="1" customWidth="1"/>
    <col min="1807" max="1807" width="22.140625" style="1" customWidth="1"/>
    <col min="1808" max="2048" width="15.5703125" style="1"/>
    <col min="2049" max="2049" width="7.85546875" style="1" customWidth="1"/>
    <col min="2050" max="2050" width="24.140625" style="1" bestFit="1" customWidth="1"/>
    <col min="2051" max="2051" width="17.5703125" style="1" bestFit="1" customWidth="1"/>
    <col min="2052" max="2052" width="16" style="1" bestFit="1" customWidth="1"/>
    <col min="2053" max="2053" width="21.85546875" style="1" bestFit="1" customWidth="1"/>
    <col min="2054" max="2054" width="21.140625" style="1" bestFit="1" customWidth="1"/>
    <col min="2055" max="2055" width="23" style="1" bestFit="1" customWidth="1"/>
    <col min="2056" max="2056" width="25.5703125" style="1" bestFit="1" customWidth="1"/>
    <col min="2057" max="2057" width="13.140625" style="1" bestFit="1" customWidth="1"/>
    <col min="2058" max="2058" width="13.140625" style="1" customWidth="1"/>
    <col min="2059" max="2059" width="17.7109375" style="1" bestFit="1" customWidth="1"/>
    <col min="2060" max="2060" width="28" style="1" bestFit="1" customWidth="1"/>
    <col min="2061" max="2061" width="15.5703125" style="1"/>
    <col min="2062" max="2062" width="23.85546875" style="1" customWidth="1"/>
    <col min="2063" max="2063" width="22.140625" style="1" customWidth="1"/>
    <col min="2064" max="2304" width="15.5703125" style="1"/>
    <col min="2305" max="2305" width="7.85546875" style="1" customWidth="1"/>
    <col min="2306" max="2306" width="24.140625" style="1" bestFit="1" customWidth="1"/>
    <col min="2307" max="2307" width="17.5703125" style="1" bestFit="1" customWidth="1"/>
    <col min="2308" max="2308" width="16" style="1" bestFit="1" customWidth="1"/>
    <col min="2309" max="2309" width="21.85546875" style="1" bestFit="1" customWidth="1"/>
    <col min="2310" max="2310" width="21.140625" style="1" bestFit="1" customWidth="1"/>
    <col min="2311" max="2311" width="23" style="1" bestFit="1" customWidth="1"/>
    <col min="2312" max="2312" width="25.5703125" style="1" bestFit="1" customWidth="1"/>
    <col min="2313" max="2313" width="13.140625" style="1" bestFit="1" customWidth="1"/>
    <col min="2314" max="2314" width="13.140625" style="1" customWidth="1"/>
    <col min="2315" max="2315" width="17.7109375" style="1" bestFit="1" customWidth="1"/>
    <col min="2316" max="2316" width="28" style="1" bestFit="1" customWidth="1"/>
    <col min="2317" max="2317" width="15.5703125" style="1"/>
    <col min="2318" max="2318" width="23.85546875" style="1" customWidth="1"/>
    <col min="2319" max="2319" width="22.140625" style="1" customWidth="1"/>
    <col min="2320" max="2560" width="15.5703125" style="1"/>
    <col min="2561" max="2561" width="7.85546875" style="1" customWidth="1"/>
    <col min="2562" max="2562" width="24.140625" style="1" bestFit="1" customWidth="1"/>
    <col min="2563" max="2563" width="17.5703125" style="1" bestFit="1" customWidth="1"/>
    <col min="2564" max="2564" width="16" style="1" bestFit="1" customWidth="1"/>
    <col min="2565" max="2565" width="21.85546875" style="1" bestFit="1" customWidth="1"/>
    <col min="2566" max="2566" width="21.140625" style="1" bestFit="1" customWidth="1"/>
    <col min="2567" max="2567" width="23" style="1" bestFit="1" customWidth="1"/>
    <col min="2568" max="2568" width="25.5703125" style="1" bestFit="1" customWidth="1"/>
    <col min="2569" max="2569" width="13.140625" style="1" bestFit="1" customWidth="1"/>
    <col min="2570" max="2570" width="13.140625" style="1" customWidth="1"/>
    <col min="2571" max="2571" width="17.7109375" style="1" bestFit="1" customWidth="1"/>
    <col min="2572" max="2572" width="28" style="1" bestFit="1" customWidth="1"/>
    <col min="2573" max="2573" width="15.5703125" style="1"/>
    <col min="2574" max="2574" width="23.85546875" style="1" customWidth="1"/>
    <col min="2575" max="2575" width="22.140625" style="1" customWidth="1"/>
    <col min="2576" max="2816" width="15.5703125" style="1"/>
    <col min="2817" max="2817" width="7.85546875" style="1" customWidth="1"/>
    <col min="2818" max="2818" width="24.140625" style="1" bestFit="1" customWidth="1"/>
    <col min="2819" max="2819" width="17.5703125" style="1" bestFit="1" customWidth="1"/>
    <col min="2820" max="2820" width="16" style="1" bestFit="1" customWidth="1"/>
    <col min="2821" max="2821" width="21.85546875" style="1" bestFit="1" customWidth="1"/>
    <col min="2822" max="2822" width="21.140625" style="1" bestFit="1" customWidth="1"/>
    <col min="2823" max="2823" width="23" style="1" bestFit="1" customWidth="1"/>
    <col min="2824" max="2824" width="25.5703125" style="1" bestFit="1" customWidth="1"/>
    <col min="2825" max="2825" width="13.140625" style="1" bestFit="1" customWidth="1"/>
    <col min="2826" max="2826" width="13.140625" style="1" customWidth="1"/>
    <col min="2827" max="2827" width="17.7109375" style="1" bestFit="1" customWidth="1"/>
    <col min="2828" max="2828" width="28" style="1" bestFit="1" customWidth="1"/>
    <col min="2829" max="2829" width="15.5703125" style="1"/>
    <col min="2830" max="2830" width="23.85546875" style="1" customWidth="1"/>
    <col min="2831" max="2831" width="22.140625" style="1" customWidth="1"/>
    <col min="2832" max="3072" width="15.5703125" style="1"/>
    <col min="3073" max="3073" width="7.85546875" style="1" customWidth="1"/>
    <col min="3074" max="3074" width="24.140625" style="1" bestFit="1" customWidth="1"/>
    <col min="3075" max="3075" width="17.5703125" style="1" bestFit="1" customWidth="1"/>
    <col min="3076" max="3076" width="16" style="1" bestFit="1" customWidth="1"/>
    <col min="3077" max="3077" width="21.85546875" style="1" bestFit="1" customWidth="1"/>
    <col min="3078" max="3078" width="21.140625" style="1" bestFit="1" customWidth="1"/>
    <col min="3079" max="3079" width="23" style="1" bestFit="1" customWidth="1"/>
    <col min="3080" max="3080" width="25.5703125" style="1" bestFit="1" customWidth="1"/>
    <col min="3081" max="3081" width="13.140625" style="1" bestFit="1" customWidth="1"/>
    <col min="3082" max="3082" width="13.140625" style="1" customWidth="1"/>
    <col min="3083" max="3083" width="17.7109375" style="1" bestFit="1" customWidth="1"/>
    <col min="3084" max="3084" width="28" style="1" bestFit="1" customWidth="1"/>
    <col min="3085" max="3085" width="15.5703125" style="1"/>
    <col min="3086" max="3086" width="23.85546875" style="1" customWidth="1"/>
    <col min="3087" max="3087" width="22.140625" style="1" customWidth="1"/>
    <col min="3088" max="3328" width="15.5703125" style="1"/>
    <col min="3329" max="3329" width="7.85546875" style="1" customWidth="1"/>
    <col min="3330" max="3330" width="24.140625" style="1" bestFit="1" customWidth="1"/>
    <col min="3331" max="3331" width="17.5703125" style="1" bestFit="1" customWidth="1"/>
    <col min="3332" max="3332" width="16" style="1" bestFit="1" customWidth="1"/>
    <col min="3333" max="3333" width="21.85546875" style="1" bestFit="1" customWidth="1"/>
    <col min="3334" max="3334" width="21.140625" style="1" bestFit="1" customWidth="1"/>
    <col min="3335" max="3335" width="23" style="1" bestFit="1" customWidth="1"/>
    <col min="3336" max="3336" width="25.5703125" style="1" bestFit="1" customWidth="1"/>
    <col min="3337" max="3337" width="13.140625" style="1" bestFit="1" customWidth="1"/>
    <col min="3338" max="3338" width="13.140625" style="1" customWidth="1"/>
    <col min="3339" max="3339" width="17.7109375" style="1" bestFit="1" customWidth="1"/>
    <col min="3340" max="3340" width="28" style="1" bestFit="1" customWidth="1"/>
    <col min="3341" max="3341" width="15.5703125" style="1"/>
    <col min="3342" max="3342" width="23.85546875" style="1" customWidth="1"/>
    <col min="3343" max="3343" width="22.140625" style="1" customWidth="1"/>
    <col min="3344" max="3584" width="15.5703125" style="1"/>
    <col min="3585" max="3585" width="7.85546875" style="1" customWidth="1"/>
    <col min="3586" max="3586" width="24.140625" style="1" bestFit="1" customWidth="1"/>
    <col min="3587" max="3587" width="17.5703125" style="1" bestFit="1" customWidth="1"/>
    <col min="3588" max="3588" width="16" style="1" bestFit="1" customWidth="1"/>
    <col min="3589" max="3589" width="21.85546875" style="1" bestFit="1" customWidth="1"/>
    <col min="3590" max="3590" width="21.140625" style="1" bestFit="1" customWidth="1"/>
    <col min="3591" max="3591" width="23" style="1" bestFit="1" customWidth="1"/>
    <col min="3592" max="3592" width="25.5703125" style="1" bestFit="1" customWidth="1"/>
    <col min="3593" max="3593" width="13.140625" style="1" bestFit="1" customWidth="1"/>
    <col min="3594" max="3594" width="13.140625" style="1" customWidth="1"/>
    <col min="3595" max="3595" width="17.7109375" style="1" bestFit="1" customWidth="1"/>
    <col min="3596" max="3596" width="28" style="1" bestFit="1" customWidth="1"/>
    <col min="3597" max="3597" width="15.5703125" style="1"/>
    <col min="3598" max="3598" width="23.85546875" style="1" customWidth="1"/>
    <col min="3599" max="3599" width="22.140625" style="1" customWidth="1"/>
    <col min="3600" max="3840" width="15.5703125" style="1"/>
    <col min="3841" max="3841" width="7.85546875" style="1" customWidth="1"/>
    <col min="3842" max="3842" width="24.140625" style="1" bestFit="1" customWidth="1"/>
    <col min="3843" max="3843" width="17.5703125" style="1" bestFit="1" customWidth="1"/>
    <col min="3844" max="3844" width="16" style="1" bestFit="1" customWidth="1"/>
    <col min="3845" max="3845" width="21.85546875" style="1" bestFit="1" customWidth="1"/>
    <col min="3846" max="3846" width="21.140625" style="1" bestFit="1" customWidth="1"/>
    <col min="3847" max="3847" width="23" style="1" bestFit="1" customWidth="1"/>
    <col min="3848" max="3848" width="25.5703125" style="1" bestFit="1" customWidth="1"/>
    <col min="3849" max="3849" width="13.140625" style="1" bestFit="1" customWidth="1"/>
    <col min="3850" max="3850" width="13.140625" style="1" customWidth="1"/>
    <col min="3851" max="3851" width="17.7109375" style="1" bestFit="1" customWidth="1"/>
    <col min="3852" max="3852" width="28" style="1" bestFit="1" customWidth="1"/>
    <col min="3853" max="3853" width="15.5703125" style="1"/>
    <col min="3854" max="3854" width="23.85546875" style="1" customWidth="1"/>
    <col min="3855" max="3855" width="22.140625" style="1" customWidth="1"/>
    <col min="3856" max="4096" width="15.5703125" style="1"/>
    <col min="4097" max="4097" width="7.85546875" style="1" customWidth="1"/>
    <col min="4098" max="4098" width="24.140625" style="1" bestFit="1" customWidth="1"/>
    <col min="4099" max="4099" width="17.5703125" style="1" bestFit="1" customWidth="1"/>
    <col min="4100" max="4100" width="16" style="1" bestFit="1" customWidth="1"/>
    <col min="4101" max="4101" width="21.85546875" style="1" bestFit="1" customWidth="1"/>
    <col min="4102" max="4102" width="21.140625" style="1" bestFit="1" customWidth="1"/>
    <col min="4103" max="4103" width="23" style="1" bestFit="1" customWidth="1"/>
    <col min="4104" max="4104" width="25.5703125" style="1" bestFit="1" customWidth="1"/>
    <col min="4105" max="4105" width="13.140625" style="1" bestFit="1" customWidth="1"/>
    <col min="4106" max="4106" width="13.140625" style="1" customWidth="1"/>
    <col min="4107" max="4107" width="17.7109375" style="1" bestFit="1" customWidth="1"/>
    <col min="4108" max="4108" width="28" style="1" bestFit="1" customWidth="1"/>
    <col min="4109" max="4109" width="15.5703125" style="1"/>
    <col min="4110" max="4110" width="23.85546875" style="1" customWidth="1"/>
    <col min="4111" max="4111" width="22.140625" style="1" customWidth="1"/>
    <col min="4112" max="4352" width="15.5703125" style="1"/>
    <col min="4353" max="4353" width="7.85546875" style="1" customWidth="1"/>
    <col min="4354" max="4354" width="24.140625" style="1" bestFit="1" customWidth="1"/>
    <col min="4355" max="4355" width="17.5703125" style="1" bestFit="1" customWidth="1"/>
    <col min="4356" max="4356" width="16" style="1" bestFit="1" customWidth="1"/>
    <col min="4357" max="4357" width="21.85546875" style="1" bestFit="1" customWidth="1"/>
    <col min="4358" max="4358" width="21.140625" style="1" bestFit="1" customWidth="1"/>
    <col min="4359" max="4359" width="23" style="1" bestFit="1" customWidth="1"/>
    <col min="4360" max="4360" width="25.5703125" style="1" bestFit="1" customWidth="1"/>
    <col min="4361" max="4361" width="13.140625" style="1" bestFit="1" customWidth="1"/>
    <col min="4362" max="4362" width="13.140625" style="1" customWidth="1"/>
    <col min="4363" max="4363" width="17.7109375" style="1" bestFit="1" customWidth="1"/>
    <col min="4364" max="4364" width="28" style="1" bestFit="1" customWidth="1"/>
    <col min="4365" max="4365" width="15.5703125" style="1"/>
    <col min="4366" max="4366" width="23.85546875" style="1" customWidth="1"/>
    <col min="4367" max="4367" width="22.140625" style="1" customWidth="1"/>
    <col min="4368" max="4608" width="15.5703125" style="1"/>
    <col min="4609" max="4609" width="7.85546875" style="1" customWidth="1"/>
    <col min="4610" max="4610" width="24.140625" style="1" bestFit="1" customWidth="1"/>
    <col min="4611" max="4611" width="17.5703125" style="1" bestFit="1" customWidth="1"/>
    <col min="4612" max="4612" width="16" style="1" bestFit="1" customWidth="1"/>
    <col min="4613" max="4613" width="21.85546875" style="1" bestFit="1" customWidth="1"/>
    <col min="4614" max="4614" width="21.140625" style="1" bestFit="1" customWidth="1"/>
    <col min="4615" max="4615" width="23" style="1" bestFit="1" customWidth="1"/>
    <col min="4616" max="4616" width="25.5703125" style="1" bestFit="1" customWidth="1"/>
    <col min="4617" max="4617" width="13.140625" style="1" bestFit="1" customWidth="1"/>
    <col min="4618" max="4618" width="13.140625" style="1" customWidth="1"/>
    <col min="4619" max="4619" width="17.7109375" style="1" bestFit="1" customWidth="1"/>
    <col min="4620" max="4620" width="28" style="1" bestFit="1" customWidth="1"/>
    <col min="4621" max="4621" width="15.5703125" style="1"/>
    <col min="4622" max="4622" width="23.85546875" style="1" customWidth="1"/>
    <col min="4623" max="4623" width="22.140625" style="1" customWidth="1"/>
    <col min="4624" max="4864" width="15.5703125" style="1"/>
    <col min="4865" max="4865" width="7.85546875" style="1" customWidth="1"/>
    <col min="4866" max="4866" width="24.140625" style="1" bestFit="1" customWidth="1"/>
    <col min="4867" max="4867" width="17.5703125" style="1" bestFit="1" customWidth="1"/>
    <col min="4868" max="4868" width="16" style="1" bestFit="1" customWidth="1"/>
    <col min="4869" max="4869" width="21.85546875" style="1" bestFit="1" customWidth="1"/>
    <col min="4870" max="4870" width="21.140625" style="1" bestFit="1" customWidth="1"/>
    <col min="4871" max="4871" width="23" style="1" bestFit="1" customWidth="1"/>
    <col min="4872" max="4872" width="25.5703125" style="1" bestFit="1" customWidth="1"/>
    <col min="4873" max="4873" width="13.140625" style="1" bestFit="1" customWidth="1"/>
    <col min="4874" max="4874" width="13.140625" style="1" customWidth="1"/>
    <col min="4875" max="4875" width="17.7109375" style="1" bestFit="1" customWidth="1"/>
    <col min="4876" max="4876" width="28" style="1" bestFit="1" customWidth="1"/>
    <col min="4877" max="4877" width="15.5703125" style="1"/>
    <col min="4878" max="4878" width="23.85546875" style="1" customWidth="1"/>
    <col min="4879" max="4879" width="22.140625" style="1" customWidth="1"/>
    <col min="4880" max="5120" width="15.5703125" style="1"/>
    <col min="5121" max="5121" width="7.85546875" style="1" customWidth="1"/>
    <col min="5122" max="5122" width="24.140625" style="1" bestFit="1" customWidth="1"/>
    <col min="5123" max="5123" width="17.5703125" style="1" bestFit="1" customWidth="1"/>
    <col min="5124" max="5124" width="16" style="1" bestFit="1" customWidth="1"/>
    <col min="5125" max="5125" width="21.85546875" style="1" bestFit="1" customWidth="1"/>
    <col min="5126" max="5126" width="21.140625" style="1" bestFit="1" customWidth="1"/>
    <col min="5127" max="5127" width="23" style="1" bestFit="1" customWidth="1"/>
    <col min="5128" max="5128" width="25.5703125" style="1" bestFit="1" customWidth="1"/>
    <col min="5129" max="5129" width="13.140625" style="1" bestFit="1" customWidth="1"/>
    <col min="5130" max="5130" width="13.140625" style="1" customWidth="1"/>
    <col min="5131" max="5131" width="17.7109375" style="1" bestFit="1" customWidth="1"/>
    <col min="5132" max="5132" width="28" style="1" bestFit="1" customWidth="1"/>
    <col min="5133" max="5133" width="15.5703125" style="1"/>
    <col min="5134" max="5134" width="23.85546875" style="1" customWidth="1"/>
    <col min="5135" max="5135" width="22.140625" style="1" customWidth="1"/>
    <col min="5136" max="5376" width="15.5703125" style="1"/>
    <col min="5377" max="5377" width="7.85546875" style="1" customWidth="1"/>
    <col min="5378" max="5378" width="24.140625" style="1" bestFit="1" customWidth="1"/>
    <col min="5379" max="5379" width="17.5703125" style="1" bestFit="1" customWidth="1"/>
    <col min="5380" max="5380" width="16" style="1" bestFit="1" customWidth="1"/>
    <col min="5381" max="5381" width="21.85546875" style="1" bestFit="1" customWidth="1"/>
    <col min="5382" max="5382" width="21.140625" style="1" bestFit="1" customWidth="1"/>
    <col min="5383" max="5383" width="23" style="1" bestFit="1" customWidth="1"/>
    <col min="5384" max="5384" width="25.5703125" style="1" bestFit="1" customWidth="1"/>
    <col min="5385" max="5385" width="13.140625" style="1" bestFit="1" customWidth="1"/>
    <col min="5386" max="5386" width="13.140625" style="1" customWidth="1"/>
    <col min="5387" max="5387" width="17.7109375" style="1" bestFit="1" customWidth="1"/>
    <col min="5388" max="5388" width="28" style="1" bestFit="1" customWidth="1"/>
    <col min="5389" max="5389" width="15.5703125" style="1"/>
    <col min="5390" max="5390" width="23.85546875" style="1" customWidth="1"/>
    <col min="5391" max="5391" width="22.140625" style="1" customWidth="1"/>
    <col min="5392" max="5632" width="15.5703125" style="1"/>
    <col min="5633" max="5633" width="7.85546875" style="1" customWidth="1"/>
    <col min="5634" max="5634" width="24.140625" style="1" bestFit="1" customWidth="1"/>
    <col min="5635" max="5635" width="17.5703125" style="1" bestFit="1" customWidth="1"/>
    <col min="5636" max="5636" width="16" style="1" bestFit="1" customWidth="1"/>
    <col min="5637" max="5637" width="21.85546875" style="1" bestFit="1" customWidth="1"/>
    <col min="5638" max="5638" width="21.140625" style="1" bestFit="1" customWidth="1"/>
    <col min="5639" max="5639" width="23" style="1" bestFit="1" customWidth="1"/>
    <col min="5640" max="5640" width="25.5703125" style="1" bestFit="1" customWidth="1"/>
    <col min="5641" max="5641" width="13.140625" style="1" bestFit="1" customWidth="1"/>
    <col min="5642" max="5642" width="13.140625" style="1" customWidth="1"/>
    <col min="5643" max="5643" width="17.7109375" style="1" bestFit="1" customWidth="1"/>
    <col min="5644" max="5644" width="28" style="1" bestFit="1" customWidth="1"/>
    <col min="5645" max="5645" width="15.5703125" style="1"/>
    <col min="5646" max="5646" width="23.85546875" style="1" customWidth="1"/>
    <col min="5647" max="5647" width="22.140625" style="1" customWidth="1"/>
    <col min="5648" max="5888" width="15.5703125" style="1"/>
    <col min="5889" max="5889" width="7.85546875" style="1" customWidth="1"/>
    <col min="5890" max="5890" width="24.140625" style="1" bestFit="1" customWidth="1"/>
    <col min="5891" max="5891" width="17.5703125" style="1" bestFit="1" customWidth="1"/>
    <col min="5892" max="5892" width="16" style="1" bestFit="1" customWidth="1"/>
    <col min="5893" max="5893" width="21.85546875" style="1" bestFit="1" customWidth="1"/>
    <col min="5894" max="5894" width="21.140625" style="1" bestFit="1" customWidth="1"/>
    <col min="5895" max="5895" width="23" style="1" bestFit="1" customWidth="1"/>
    <col min="5896" max="5896" width="25.5703125" style="1" bestFit="1" customWidth="1"/>
    <col min="5897" max="5897" width="13.140625" style="1" bestFit="1" customWidth="1"/>
    <col min="5898" max="5898" width="13.140625" style="1" customWidth="1"/>
    <col min="5899" max="5899" width="17.7109375" style="1" bestFit="1" customWidth="1"/>
    <col min="5900" max="5900" width="28" style="1" bestFit="1" customWidth="1"/>
    <col min="5901" max="5901" width="15.5703125" style="1"/>
    <col min="5902" max="5902" width="23.85546875" style="1" customWidth="1"/>
    <col min="5903" max="5903" width="22.140625" style="1" customWidth="1"/>
    <col min="5904" max="6144" width="15.5703125" style="1"/>
    <col min="6145" max="6145" width="7.85546875" style="1" customWidth="1"/>
    <col min="6146" max="6146" width="24.140625" style="1" bestFit="1" customWidth="1"/>
    <col min="6147" max="6147" width="17.5703125" style="1" bestFit="1" customWidth="1"/>
    <col min="6148" max="6148" width="16" style="1" bestFit="1" customWidth="1"/>
    <col min="6149" max="6149" width="21.85546875" style="1" bestFit="1" customWidth="1"/>
    <col min="6150" max="6150" width="21.140625" style="1" bestFit="1" customWidth="1"/>
    <col min="6151" max="6151" width="23" style="1" bestFit="1" customWidth="1"/>
    <col min="6152" max="6152" width="25.5703125" style="1" bestFit="1" customWidth="1"/>
    <col min="6153" max="6153" width="13.140625" style="1" bestFit="1" customWidth="1"/>
    <col min="6154" max="6154" width="13.140625" style="1" customWidth="1"/>
    <col min="6155" max="6155" width="17.7109375" style="1" bestFit="1" customWidth="1"/>
    <col min="6156" max="6156" width="28" style="1" bestFit="1" customWidth="1"/>
    <col min="6157" max="6157" width="15.5703125" style="1"/>
    <col min="6158" max="6158" width="23.85546875" style="1" customWidth="1"/>
    <col min="6159" max="6159" width="22.140625" style="1" customWidth="1"/>
    <col min="6160" max="6400" width="15.5703125" style="1"/>
    <col min="6401" max="6401" width="7.85546875" style="1" customWidth="1"/>
    <col min="6402" max="6402" width="24.140625" style="1" bestFit="1" customWidth="1"/>
    <col min="6403" max="6403" width="17.5703125" style="1" bestFit="1" customWidth="1"/>
    <col min="6404" max="6404" width="16" style="1" bestFit="1" customWidth="1"/>
    <col min="6405" max="6405" width="21.85546875" style="1" bestFit="1" customWidth="1"/>
    <col min="6406" max="6406" width="21.140625" style="1" bestFit="1" customWidth="1"/>
    <col min="6407" max="6407" width="23" style="1" bestFit="1" customWidth="1"/>
    <col min="6408" max="6408" width="25.5703125" style="1" bestFit="1" customWidth="1"/>
    <col min="6409" max="6409" width="13.140625" style="1" bestFit="1" customWidth="1"/>
    <col min="6410" max="6410" width="13.140625" style="1" customWidth="1"/>
    <col min="6411" max="6411" width="17.7109375" style="1" bestFit="1" customWidth="1"/>
    <col min="6412" max="6412" width="28" style="1" bestFit="1" customWidth="1"/>
    <col min="6413" max="6413" width="15.5703125" style="1"/>
    <col min="6414" max="6414" width="23.85546875" style="1" customWidth="1"/>
    <col min="6415" max="6415" width="22.140625" style="1" customWidth="1"/>
    <col min="6416" max="6656" width="15.5703125" style="1"/>
    <col min="6657" max="6657" width="7.85546875" style="1" customWidth="1"/>
    <col min="6658" max="6658" width="24.140625" style="1" bestFit="1" customWidth="1"/>
    <col min="6659" max="6659" width="17.5703125" style="1" bestFit="1" customWidth="1"/>
    <col min="6660" max="6660" width="16" style="1" bestFit="1" customWidth="1"/>
    <col min="6661" max="6661" width="21.85546875" style="1" bestFit="1" customWidth="1"/>
    <col min="6662" max="6662" width="21.140625" style="1" bestFit="1" customWidth="1"/>
    <col min="6663" max="6663" width="23" style="1" bestFit="1" customWidth="1"/>
    <col min="6664" max="6664" width="25.5703125" style="1" bestFit="1" customWidth="1"/>
    <col min="6665" max="6665" width="13.140625" style="1" bestFit="1" customWidth="1"/>
    <col min="6666" max="6666" width="13.140625" style="1" customWidth="1"/>
    <col min="6667" max="6667" width="17.7109375" style="1" bestFit="1" customWidth="1"/>
    <col min="6668" max="6668" width="28" style="1" bestFit="1" customWidth="1"/>
    <col min="6669" max="6669" width="15.5703125" style="1"/>
    <col min="6670" max="6670" width="23.85546875" style="1" customWidth="1"/>
    <col min="6671" max="6671" width="22.140625" style="1" customWidth="1"/>
    <col min="6672" max="6912" width="15.5703125" style="1"/>
    <col min="6913" max="6913" width="7.85546875" style="1" customWidth="1"/>
    <col min="6914" max="6914" width="24.140625" style="1" bestFit="1" customWidth="1"/>
    <col min="6915" max="6915" width="17.5703125" style="1" bestFit="1" customWidth="1"/>
    <col min="6916" max="6916" width="16" style="1" bestFit="1" customWidth="1"/>
    <col min="6917" max="6917" width="21.85546875" style="1" bestFit="1" customWidth="1"/>
    <col min="6918" max="6918" width="21.140625" style="1" bestFit="1" customWidth="1"/>
    <col min="6919" max="6919" width="23" style="1" bestFit="1" customWidth="1"/>
    <col min="6920" max="6920" width="25.5703125" style="1" bestFit="1" customWidth="1"/>
    <col min="6921" max="6921" width="13.140625" style="1" bestFit="1" customWidth="1"/>
    <col min="6922" max="6922" width="13.140625" style="1" customWidth="1"/>
    <col min="6923" max="6923" width="17.7109375" style="1" bestFit="1" customWidth="1"/>
    <col min="6924" max="6924" width="28" style="1" bestFit="1" customWidth="1"/>
    <col min="6925" max="6925" width="15.5703125" style="1"/>
    <col min="6926" max="6926" width="23.85546875" style="1" customWidth="1"/>
    <col min="6927" max="6927" width="22.140625" style="1" customWidth="1"/>
    <col min="6928" max="7168" width="15.5703125" style="1"/>
    <col min="7169" max="7169" width="7.85546875" style="1" customWidth="1"/>
    <col min="7170" max="7170" width="24.140625" style="1" bestFit="1" customWidth="1"/>
    <col min="7171" max="7171" width="17.5703125" style="1" bestFit="1" customWidth="1"/>
    <col min="7172" max="7172" width="16" style="1" bestFit="1" customWidth="1"/>
    <col min="7173" max="7173" width="21.85546875" style="1" bestFit="1" customWidth="1"/>
    <col min="7174" max="7174" width="21.140625" style="1" bestFit="1" customWidth="1"/>
    <col min="7175" max="7175" width="23" style="1" bestFit="1" customWidth="1"/>
    <col min="7176" max="7176" width="25.5703125" style="1" bestFit="1" customWidth="1"/>
    <col min="7177" max="7177" width="13.140625" style="1" bestFit="1" customWidth="1"/>
    <col min="7178" max="7178" width="13.140625" style="1" customWidth="1"/>
    <col min="7179" max="7179" width="17.7109375" style="1" bestFit="1" customWidth="1"/>
    <col min="7180" max="7180" width="28" style="1" bestFit="1" customWidth="1"/>
    <col min="7181" max="7181" width="15.5703125" style="1"/>
    <col min="7182" max="7182" width="23.85546875" style="1" customWidth="1"/>
    <col min="7183" max="7183" width="22.140625" style="1" customWidth="1"/>
    <col min="7184" max="7424" width="15.5703125" style="1"/>
    <col min="7425" max="7425" width="7.85546875" style="1" customWidth="1"/>
    <col min="7426" max="7426" width="24.140625" style="1" bestFit="1" customWidth="1"/>
    <col min="7427" max="7427" width="17.5703125" style="1" bestFit="1" customWidth="1"/>
    <col min="7428" max="7428" width="16" style="1" bestFit="1" customWidth="1"/>
    <col min="7429" max="7429" width="21.85546875" style="1" bestFit="1" customWidth="1"/>
    <col min="7430" max="7430" width="21.140625" style="1" bestFit="1" customWidth="1"/>
    <col min="7431" max="7431" width="23" style="1" bestFit="1" customWidth="1"/>
    <col min="7432" max="7432" width="25.5703125" style="1" bestFit="1" customWidth="1"/>
    <col min="7433" max="7433" width="13.140625" style="1" bestFit="1" customWidth="1"/>
    <col min="7434" max="7434" width="13.140625" style="1" customWidth="1"/>
    <col min="7435" max="7435" width="17.7109375" style="1" bestFit="1" customWidth="1"/>
    <col min="7436" max="7436" width="28" style="1" bestFit="1" customWidth="1"/>
    <col min="7437" max="7437" width="15.5703125" style="1"/>
    <col min="7438" max="7438" width="23.85546875" style="1" customWidth="1"/>
    <col min="7439" max="7439" width="22.140625" style="1" customWidth="1"/>
    <col min="7440" max="7680" width="15.5703125" style="1"/>
    <col min="7681" max="7681" width="7.85546875" style="1" customWidth="1"/>
    <col min="7682" max="7682" width="24.140625" style="1" bestFit="1" customWidth="1"/>
    <col min="7683" max="7683" width="17.5703125" style="1" bestFit="1" customWidth="1"/>
    <col min="7684" max="7684" width="16" style="1" bestFit="1" customWidth="1"/>
    <col min="7685" max="7685" width="21.85546875" style="1" bestFit="1" customWidth="1"/>
    <col min="7686" max="7686" width="21.140625" style="1" bestFit="1" customWidth="1"/>
    <col min="7687" max="7687" width="23" style="1" bestFit="1" customWidth="1"/>
    <col min="7688" max="7688" width="25.5703125" style="1" bestFit="1" customWidth="1"/>
    <col min="7689" max="7689" width="13.140625" style="1" bestFit="1" customWidth="1"/>
    <col min="7690" max="7690" width="13.140625" style="1" customWidth="1"/>
    <col min="7691" max="7691" width="17.7109375" style="1" bestFit="1" customWidth="1"/>
    <col min="7692" max="7692" width="28" style="1" bestFit="1" customWidth="1"/>
    <col min="7693" max="7693" width="15.5703125" style="1"/>
    <col min="7694" max="7694" width="23.85546875" style="1" customWidth="1"/>
    <col min="7695" max="7695" width="22.140625" style="1" customWidth="1"/>
    <col min="7696" max="7936" width="15.5703125" style="1"/>
    <col min="7937" max="7937" width="7.85546875" style="1" customWidth="1"/>
    <col min="7938" max="7938" width="24.140625" style="1" bestFit="1" customWidth="1"/>
    <col min="7939" max="7939" width="17.5703125" style="1" bestFit="1" customWidth="1"/>
    <col min="7940" max="7940" width="16" style="1" bestFit="1" customWidth="1"/>
    <col min="7941" max="7941" width="21.85546875" style="1" bestFit="1" customWidth="1"/>
    <col min="7942" max="7942" width="21.140625" style="1" bestFit="1" customWidth="1"/>
    <col min="7943" max="7943" width="23" style="1" bestFit="1" customWidth="1"/>
    <col min="7944" max="7944" width="25.5703125" style="1" bestFit="1" customWidth="1"/>
    <col min="7945" max="7945" width="13.140625" style="1" bestFit="1" customWidth="1"/>
    <col min="7946" max="7946" width="13.140625" style="1" customWidth="1"/>
    <col min="7947" max="7947" width="17.7109375" style="1" bestFit="1" customWidth="1"/>
    <col min="7948" max="7948" width="28" style="1" bestFit="1" customWidth="1"/>
    <col min="7949" max="7949" width="15.5703125" style="1"/>
    <col min="7950" max="7950" width="23.85546875" style="1" customWidth="1"/>
    <col min="7951" max="7951" width="22.140625" style="1" customWidth="1"/>
    <col min="7952" max="8192" width="15.5703125" style="1"/>
    <col min="8193" max="8193" width="7.85546875" style="1" customWidth="1"/>
    <col min="8194" max="8194" width="24.140625" style="1" bestFit="1" customWidth="1"/>
    <col min="8195" max="8195" width="17.5703125" style="1" bestFit="1" customWidth="1"/>
    <col min="8196" max="8196" width="16" style="1" bestFit="1" customWidth="1"/>
    <col min="8197" max="8197" width="21.85546875" style="1" bestFit="1" customWidth="1"/>
    <col min="8198" max="8198" width="21.140625" style="1" bestFit="1" customWidth="1"/>
    <col min="8199" max="8199" width="23" style="1" bestFit="1" customWidth="1"/>
    <col min="8200" max="8200" width="25.5703125" style="1" bestFit="1" customWidth="1"/>
    <col min="8201" max="8201" width="13.140625" style="1" bestFit="1" customWidth="1"/>
    <col min="8202" max="8202" width="13.140625" style="1" customWidth="1"/>
    <col min="8203" max="8203" width="17.7109375" style="1" bestFit="1" customWidth="1"/>
    <col min="8204" max="8204" width="28" style="1" bestFit="1" customWidth="1"/>
    <col min="8205" max="8205" width="15.5703125" style="1"/>
    <col min="8206" max="8206" width="23.85546875" style="1" customWidth="1"/>
    <col min="8207" max="8207" width="22.140625" style="1" customWidth="1"/>
    <col min="8208" max="8448" width="15.5703125" style="1"/>
    <col min="8449" max="8449" width="7.85546875" style="1" customWidth="1"/>
    <col min="8450" max="8450" width="24.140625" style="1" bestFit="1" customWidth="1"/>
    <col min="8451" max="8451" width="17.5703125" style="1" bestFit="1" customWidth="1"/>
    <col min="8452" max="8452" width="16" style="1" bestFit="1" customWidth="1"/>
    <col min="8453" max="8453" width="21.85546875" style="1" bestFit="1" customWidth="1"/>
    <col min="8454" max="8454" width="21.140625" style="1" bestFit="1" customWidth="1"/>
    <col min="8455" max="8455" width="23" style="1" bestFit="1" customWidth="1"/>
    <col min="8456" max="8456" width="25.5703125" style="1" bestFit="1" customWidth="1"/>
    <col min="8457" max="8457" width="13.140625" style="1" bestFit="1" customWidth="1"/>
    <col min="8458" max="8458" width="13.140625" style="1" customWidth="1"/>
    <col min="8459" max="8459" width="17.7109375" style="1" bestFit="1" customWidth="1"/>
    <col min="8460" max="8460" width="28" style="1" bestFit="1" customWidth="1"/>
    <col min="8461" max="8461" width="15.5703125" style="1"/>
    <col min="8462" max="8462" width="23.85546875" style="1" customWidth="1"/>
    <col min="8463" max="8463" width="22.140625" style="1" customWidth="1"/>
    <col min="8464" max="8704" width="15.5703125" style="1"/>
    <col min="8705" max="8705" width="7.85546875" style="1" customWidth="1"/>
    <col min="8706" max="8706" width="24.140625" style="1" bestFit="1" customWidth="1"/>
    <col min="8707" max="8707" width="17.5703125" style="1" bestFit="1" customWidth="1"/>
    <col min="8708" max="8708" width="16" style="1" bestFit="1" customWidth="1"/>
    <col min="8709" max="8709" width="21.85546875" style="1" bestFit="1" customWidth="1"/>
    <col min="8710" max="8710" width="21.140625" style="1" bestFit="1" customWidth="1"/>
    <col min="8711" max="8711" width="23" style="1" bestFit="1" customWidth="1"/>
    <col min="8712" max="8712" width="25.5703125" style="1" bestFit="1" customWidth="1"/>
    <col min="8713" max="8713" width="13.140625" style="1" bestFit="1" customWidth="1"/>
    <col min="8714" max="8714" width="13.140625" style="1" customWidth="1"/>
    <col min="8715" max="8715" width="17.7109375" style="1" bestFit="1" customWidth="1"/>
    <col min="8716" max="8716" width="28" style="1" bestFit="1" customWidth="1"/>
    <col min="8717" max="8717" width="15.5703125" style="1"/>
    <col min="8718" max="8718" width="23.85546875" style="1" customWidth="1"/>
    <col min="8719" max="8719" width="22.140625" style="1" customWidth="1"/>
    <col min="8720" max="8960" width="15.5703125" style="1"/>
    <col min="8961" max="8961" width="7.85546875" style="1" customWidth="1"/>
    <col min="8962" max="8962" width="24.140625" style="1" bestFit="1" customWidth="1"/>
    <col min="8963" max="8963" width="17.5703125" style="1" bestFit="1" customWidth="1"/>
    <col min="8964" max="8964" width="16" style="1" bestFit="1" customWidth="1"/>
    <col min="8965" max="8965" width="21.85546875" style="1" bestFit="1" customWidth="1"/>
    <col min="8966" max="8966" width="21.140625" style="1" bestFit="1" customWidth="1"/>
    <col min="8967" max="8967" width="23" style="1" bestFit="1" customWidth="1"/>
    <col min="8968" max="8968" width="25.5703125" style="1" bestFit="1" customWidth="1"/>
    <col min="8969" max="8969" width="13.140625" style="1" bestFit="1" customWidth="1"/>
    <col min="8970" max="8970" width="13.140625" style="1" customWidth="1"/>
    <col min="8971" max="8971" width="17.7109375" style="1" bestFit="1" customWidth="1"/>
    <col min="8972" max="8972" width="28" style="1" bestFit="1" customWidth="1"/>
    <col min="8973" max="8973" width="15.5703125" style="1"/>
    <col min="8974" max="8974" width="23.85546875" style="1" customWidth="1"/>
    <col min="8975" max="8975" width="22.140625" style="1" customWidth="1"/>
    <col min="8976" max="9216" width="15.5703125" style="1"/>
    <col min="9217" max="9217" width="7.85546875" style="1" customWidth="1"/>
    <col min="9218" max="9218" width="24.140625" style="1" bestFit="1" customWidth="1"/>
    <col min="9219" max="9219" width="17.5703125" style="1" bestFit="1" customWidth="1"/>
    <col min="9220" max="9220" width="16" style="1" bestFit="1" customWidth="1"/>
    <col min="9221" max="9221" width="21.85546875" style="1" bestFit="1" customWidth="1"/>
    <col min="9222" max="9222" width="21.140625" style="1" bestFit="1" customWidth="1"/>
    <col min="9223" max="9223" width="23" style="1" bestFit="1" customWidth="1"/>
    <col min="9224" max="9224" width="25.5703125" style="1" bestFit="1" customWidth="1"/>
    <col min="9225" max="9225" width="13.140625" style="1" bestFit="1" customWidth="1"/>
    <col min="9226" max="9226" width="13.140625" style="1" customWidth="1"/>
    <col min="9227" max="9227" width="17.7109375" style="1" bestFit="1" customWidth="1"/>
    <col min="9228" max="9228" width="28" style="1" bestFit="1" customWidth="1"/>
    <col min="9229" max="9229" width="15.5703125" style="1"/>
    <col min="9230" max="9230" width="23.85546875" style="1" customWidth="1"/>
    <col min="9231" max="9231" width="22.140625" style="1" customWidth="1"/>
    <col min="9232" max="9472" width="15.5703125" style="1"/>
    <col min="9473" max="9473" width="7.85546875" style="1" customWidth="1"/>
    <col min="9474" max="9474" width="24.140625" style="1" bestFit="1" customWidth="1"/>
    <col min="9475" max="9475" width="17.5703125" style="1" bestFit="1" customWidth="1"/>
    <col min="9476" max="9476" width="16" style="1" bestFit="1" customWidth="1"/>
    <col min="9477" max="9477" width="21.85546875" style="1" bestFit="1" customWidth="1"/>
    <col min="9478" max="9478" width="21.140625" style="1" bestFit="1" customWidth="1"/>
    <col min="9479" max="9479" width="23" style="1" bestFit="1" customWidth="1"/>
    <col min="9480" max="9480" width="25.5703125" style="1" bestFit="1" customWidth="1"/>
    <col min="9481" max="9481" width="13.140625" style="1" bestFit="1" customWidth="1"/>
    <col min="9482" max="9482" width="13.140625" style="1" customWidth="1"/>
    <col min="9483" max="9483" width="17.7109375" style="1" bestFit="1" customWidth="1"/>
    <col min="9484" max="9484" width="28" style="1" bestFit="1" customWidth="1"/>
    <col min="9485" max="9485" width="15.5703125" style="1"/>
    <col min="9486" max="9486" width="23.85546875" style="1" customWidth="1"/>
    <col min="9487" max="9487" width="22.140625" style="1" customWidth="1"/>
    <col min="9488" max="9728" width="15.5703125" style="1"/>
    <col min="9729" max="9729" width="7.85546875" style="1" customWidth="1"/>
    <col min="9730" max="9730" width="24.140625" style="1" bestFit="1" customWidth="1"/>
    <col min="9731" max="9731" width="17.5703125" style="1" bestFit="1" customWidth="1"/>
    <col min="9732" max="9732" width="16" style="1" bestFit="1" customWidth="1"/>
    <col min="9733" max="9733" width="21.85546875" style="1" bestFit="1" customWidth="1"/>
    <col min="9734" max="9734" width="21.140625" style="1" bestFit="1" customWidth="1"/>
    <col min="9735" max="9735" width="23" style="1" bestFit="1" customWidth="1"/>
    <col min="9736" max="9736" width="25.5703125" style="1" bestFit="1" customWidth="1"/>
    <col min="9737" max="9737" width="13.140625" style="1" bestFit="1" customWidth="1"/>
    <col min="9738" max="9738" width="13.140625" style="1" customWidth="1"/>
    <col min="9739" max="9739" width="17.7109375" style="1" bestFit="1" customWidth="1"/>
    <col min="9740" max="9740" width="28" style="1" bestFit="1" customWidth="1"/>
    <col min="9741" max="9741" width="15.5703125" style="1"/>
    <col min="9742" max="9742" width="23.85546875" style="1" customWidth="1"/>
    <col min="9743" max="9743" width="22.140625" style="1" customWidth="1"/>
    <col min="9744" max="9984" width="15.5703125" style="1"/>
    <col min="9985" max="9985" width="7.85546875" style="1" customWidth="1"/>
    <col min="9986" max="9986" width="24.140625" style="1" bestFit="1" customWidth="1"/>
    <col min="9987" max="9987" width="17.5703125" style="1" bestFit="1" customWidth="1"/>
    <col min="9988" max="9988" width="16" style="1" bestFit="1" customWidth="1"/>
    <col min="9989" max="9989" width="21.85546875" style="1" bestFit="1" customWidth="1"/>
    <col min="9990" max="9990" width="21.140625" style="1" bestFit="1" customWidth="1"/>
    <col min="9991" max="9991" width="23" style="1" bestFit="1" customWidth="1"/>
    <col min="9992" max="9992" width="25.5703125" style="1" bestFit="1" customWidth="1"/>
    <col min="9993" max="9993" width="13.140625" style="1" bestFit="1" customWidth="1"/>
    <col min="9994" max="9994" width="13.140625" style="1" customWidth="1"/>
    <col min="9995" max="9995" width="17.7109375" style="1" bestFit="1" customWidth="1"/>
    <col min="9996" max="9996" width="28" style="1" bestFit="1" customWidth="1"/>
    <col min="9997" max="9997" width="15.5703125" style="1"/>
    <col min="9998" max="9998" width="23.85546875" style="1" customWidth="1"/>
    <col min="9999" max="9999" width="22.140625" style="1" customWidth="1"/>
    <col min="10000" max="10240" width="15.5703125" style="1"/>
    <col min="10241" max="10241" width="7.85546875" style="1" customWidth="1"/>
    <col min="10242" max="10242" width="24.140625" style="1" bestFit="1" customWidth="1"/>
    <col min="10243" max="10243" width="17.5703125" style="1" bestFit="1" customWidth="1"/>
    <col min="10244" max="10244" width="16" style="1" bestFit="1" customWidth="1"/>
    <col min="10245" max="10245" width="21.85546875" style="1" bestFit="1" customWidth="1"/>
    <col min="10246" max="10246" width="21.140625" style="1" bestFit="1" customWidth="1"/>
    <col min="10247" max="10247" width="23" style="1" bestFit="1" customWidth="1"/>
    <col min="10248" max="10248" width="25.5703125" style="1" bestFit="1" customWidth="1"/>
    <col min="10249" max="10249" width="13.140625" style="1" bestFit="1" customWidth="1"/>
    <col min="10250" max="10250" width="13.140625" style="1" customWidth="1"/>
    <col min="10251" max="10251" width="17.7109375" style="1" bestFit="1" customWidth="1"/>
    <col min="10252" max="10252" width="28" style="1" bestFit="1" customWidth="1"/>
    <col min="10253" max="10253" width="15.5703125" style="1"/>
    <col min="10254" max="10254" width="23.85546875" style="1" customWidth="1"/>
    <col min="10255" max="10255" width="22.140625" style="1" customWidth="1"/>
    <col min="10256" max="10496" width="15.5703125" style="1"/>
    <col min="10497" max="10497" width="7.85546875" style="1" customWidth="1"/>
    <col min="10498" max="10498" width="24.140625" style="1" bestFit="1" customWidth="1"/>
    <col min="10499" max="10499" width="17.5703125" style="1" bestFit="1" customWidth="1"/>
    <col min="10500" max="10500" width="16" style="1" bestFit="1" customWidth="1"/>
    <col min="10501" max="10501" width="21.85546875" style="1" bestFit="1" customWidth="1"/>
    <col min="10502" max="10502" width="21.140625" style="1" bestFit="1" customWidth="1"/>
    <col min="10503" max="10503" width="23" style="1" bestFit="1" customWidth="1"/>
    <col min="10504" max="10504" width="25.5703125" style="1" bestFit="1" customWidth="1"/>
    <col min="10505" max="10505" width="13.140625" style="1" bestFit="1" customWidth="1"/>
    <col min="10506" max="10506" width="13.140625" style="1" customWidth="1"/>
    <col min="10507" max="10507" width="17.7109375" style="1" bestFit="1" customWidth="1"/>
    <col min="10508" max="10508" width="28" style="1" bestFit="1" customWidth="1"/>
    <col min="10509" max="10509" width="15.5703125" style="1"/>
    <col min="10510" max="10510" width="23.85546875" style="1" customWidth="1"/>
    <col min="10511" max="10511" width="22.140625" style="1" customWidth="1"/>
    <col min="10512" max="10752" width="15.5703125" style="1"/>
    <col min="10753" max="10753" width="7.85546875" style="1" customWidth="1"/>
    <col min="10754" max="10754" width="24.140625" style="1" bestFit="1" customWidth="1"/>
    <col min="10755" max="10755" width="17.5703125" style="1" bestFit="1" customWidth="1"/>
    <col min="10756" max="10756" width="16" style="1" bestFit="1" customWidth="1"/>
    <col min="10757" max="10757" width="21.85546875" style="1" bestFit="1" customWidth="1"/>
    <col min="10758" max="10758" width="21.140625" style="1" bestFit="1" customWidth="1"/>
    <col min="10759" max="10759" width="23" style="1" bestFit="1" customWidth="1"/>
    <col min="10760" max="10760" width="25.5703125" style="1" bestFit="1" customWidth="1"/>
    <col min="10761" max="10761" width="13.140625" style="1" bestFit="1" customWidth="1"/>
    <col min="10762" max="10762" width="13.140625" style="1" customWidth="1"/>
    <col min="10763" max="10763" width="17.7109375" style="1" bestFit="1" customWidth="1"/>
    <col min="10764" max="10764" width="28" style="1" bestFit="1" customWidth="1"/>
    <col min="10765" max="10765" width="15.5703125" style="1"/>
    <col min="10766" max="10766" width="23.85546875" style="1" customWidth="1"/>
    <col min="10767" max="10767" width="22.140625" style="1" customWidth="1"/>
    <col min="10768" max="11008" width="15.5703125" style="1"/>
    <col min="11009" max="11009" width="7.85546875" style="1" customWidth="1"/>
    <col min="11010" max="11010" width="24.140625" style="1" bestFit="1" customWidth="1"/>
    <col min="11011" max="11011" width="17.5703125" style="1" bestFit="1" customWidth="1"/>
    <col min="11012" max="11012" width="16" style="1" bestFit="1" customWidth="1"/>
    <col min="11013" max="11013" width="21.85546875" style="1" bestFit="1" customWidth="1"/>
    <col min="11014" max="11014" width="21.140625" style="1" bestFit="1" customWidth="1"/>
    <col min="11015" max="11015" width="23" style="1" bestFit="1" customWidth="1"/>
    <col min="11016" max="11016" width="25.5703125" style="1" bestFit="1" customWidth="1"/>
    <col min="11017" max="11017" width="13.140625" style="1" bestFit="1" customWidth="1"/>
    <col min="11018" max="11018" width="13.140625" style="1" customWidth="1"/>
    <col min="11019" max="11019" width="17.7109375" style="1" bestFit="1" customWidth="1"/>
    <col min="11020" max="11020" width="28" style="1" bestFit="1" customWidth="1"/>
    <col min="11021" max="11021" width="15.5703125" style="1"/>
    <col min="11022" max="11022" width="23.85546875" style="1" customWidth="1"/>
    <col min="11023" max="11023" width="22.140625" style="1" customWidth="1"/>
    <col min="11024" max="11264" width="15.5703125" style="1"/>
    <col min="11265" max="11265" width="7.85546875" style="1" customWidth="1"/>
    <col min="11266" max="11266" width="24.140625" style="1" bestFit="1" customWidth="1"/>
    <col min="11267" max="11267" width="17.5703125" style="1" bestFit="1" customWidth="1"/>
    <col min="11268" max="11268" width="16" style="1" bestFit="1" customWidth="1"/>
    <col min="11269" max="11269" width="21.85546875" style="1" bestFit="1" customWidth="1"/>
    <col min="11270" max="11270" width="21.140625" style="1" bestFit="1" customWidth="1"/>
    <col min="11271" max="11271" width="23" style="1" bestFit="1" customWidth="1"/>
    <col min="11272" max="11272" width="25.5703125" style="1" bestFit="1" customWidth="1"/>
    <col min="11273" max="11273" width="13.140625" style="1" bestFit="1" customWidth="1"/>
    <col min="11274" max="11274" width="13.140625" style="1" customWidth="1"/>
    <col min="11275" max="11275" width="17.7109375" style="1" bestFit="1" customWidth="1"/>
    <col min="11276" max="11276" width="28" style="1" bestFit="1" customWidth="1"/>
    <col min="11277" max="11277" width="15.5703125" style="1"/>
    <col min="11278" max="11278" width="23.85546875" style="1" customWidth="1"/>
    <col min="11279" max="11279" width="22.140625" style="1" customWidth="1"/>
    <col min="11280" max="11520" width="15.5703125" style="1"/>
    <col min="11521" max="11521" width="7.85546875" style="1" customWidth="1"/>
    <col min="11522" max="11522" width="24.140625" style="1" bestFit="1" customWidth="1"/>
    <col min="11523" max="11523" width="17.5703125" style="1" bestFit="1" customWidth="1"/>
    <col min="11524" max="11524" width="16" style="1" bestFit="1" customWidth="1"/>
    <col min="11525" max="11525" width="21.85546875" style="1" bestFit="1" customWidth="1"/>
    <col min="11526" max="11526" width="21.140625" style="1" bestFit="1" customWidth="1"/>
    <col min="11527" max="11527" width="23" style="1" bestFit="1" customWidth="1"/>
    <col min="11528" max="11528" width="25.5703125" style="1" bestFit="1" customWidth="1"/>
    <col min="11529" max="11529" width="13.140625" style="1" bestFit="1" customWidth="1"/>
    <col min="11530" max="11530" width="13.140625" style="1" customWidth="1"/>
    <col min="11531" max="11531" width="17.7109375" style="1" bestFit="1" customWidth="1"/>
    <col min="11532" max="11532" width="28" style="1" bestFit="1" customWidth="1"/>
    <col min="11533" max="11533" width="15.5703125" style="1"/>
    <col min="11534" max="11534" width="23.85546875" style="1" customWidth="1"/>
    <col min="11535" max="11535" width="22.140625" style="1" customWidth="1"/>
    <col min="11536" max="11776" width="15.5703125" style="1"/>
    <col min="11777" max="11777" width="7.85546875" style="1" customWidth="1"/>
    <col min="11778" max="11778" width="24.140625" style="1" bestFit="1" customWidth="1"/>
    <col min="11779" max="11779" width="17.5703125" style="1" bestFit="1" customWidth="1"/>
    <col min="11780" max="11780" width="16" style="1" bestFit="1" customWidth="1"/>
    <col min="11781" max="11781" width="21.85546875" style="1" bestFit="1" customWidth="1"/>
    <col min="11782" max="11782" width="21.140625" style="1" bestFit="1" customWidth="1"/>
    <col min="11783" max="11783" width="23" style="1" bestFit="1" customWidth="1"/>
    <col min="11784" max="11784" width="25.5703125" style="1" bestFit="1" customWidth="1"/>
    <col min="11785" max="11785" width="13.140625" style="1" bestFit="1" customWidth="1"/>
    <col min="11786" max="11786" width="13.140625" style="1" customWidth="1"/>
    <col min="11787" max="11787" width="17.7109375" style="1" bestFit="1" customWidth="1"/>
    <col min="11788" max="11788" width="28" style="1" bestFit="1" customWidth="1"/>
    <col min="11789" max="11789" width="15.5703125" style="1"/>
    <col min="11790" max="11790" width="23.85546875" style="1" customWidth="1"/>
    <col min="11791" max="11791" width="22.140625" style="1" customWidth="1"/>
    <col min="11792" max="12032" width="15.5703125" style="1"/>
    <col min="12033" max="12033" width="7.85546875" style="1" customWidth="1"/>
    <col min="12034" max="12034" width="24.140625" style="1" bestFit="1" customWidth="1"/>
    <col min="12035" max="12035" width="17.5703125" style="1" bestFit="1" customWidth="1"/>
    <col min="12036" max="12036" width="16" style="1" bestFit="1" customWidth="1"/>
    <col min="12037" max="12037" width="21.85546875" style="1" bestFit="1" customWidth="1"/>
    <col min="12038" max="12038" width="21.140625" style="1" bestFit="1" customWidth="1"/>
    <col min="12039" max="12039" width="23" style="1" bestFit="1" customWidth="1"/>
    <col min="12040" max="12040" width="25.5703125" style="1" bestFit="1" customWidth="1"/>
    <col min="12041" max="12041" width="13.140625" style="1" bestFit="1" customWidth="1"/>
    <col min="12042" max="12042" width="13.140625" style="1" customWidth="1"/>
    <col min="12043" max="12043" width="17.7109375" style="1" bestFit="1" customWidth="1"/>
    <col min="12044" max="12044" width="28" style="1" bestFit="1" customWidth="1"/>
    <col min="12045" max="12045" width="15.5703125" style="1"/>
    <col min="12046" max="12046" width="23.85546875" style="1" customWidth="1"/>
    <col min="12047" max="12047" width="22.140625" style="1" customWidth="1"/>
    <col min="12048" max="12288" width="15.5703125" style="1"/>
    <col min="12289" max="12289" width="7.85546875" style="1" customWidth="1"/>
    <col min="12290" max="12290" width="24.140625" style="1" bestFit="1" customWidth="1"/>
    <col min="12291" max="12291" width="17.5703125" style="1" bestFit="1" customWidth="1"/>
    <col min="12292" max="12292" width="16" style="1" bestFit="1" customWidth="1"/>
    <col min="12293" max="12293" width="21.85546875" style="1" bestFit="1" customWidth="1"/>
    <col min="12294" max="12294" width="21.140625" style="1" bestFit="1" customWidth="1"/>
    <col min="12295" max="12295" width="23" style="1" bestFit="1" customWidth="1"/>
    <col min="12296" max="12296" width="25.5703125" style="1" bestFit="1" customWidth="1"/>
    <col min="12297" max="12297" width="13.140625" style="1" bestFit="1" customWidth="1"/>
    <col min="12298" max="12298" width="13.140625" style="1" customWidth="1"/>
    <col min="12299" max="12299" width="17.7109375" style="1" bestFit="1" customWidth="1"/>
    <col min="12300" max="12300" width="28" style="1" bestFit="1" customWidth="1"/>
    <col min="12301" max="12301" width="15.5703125" style="1"/>
    <col min="12302" max="12302" width="23.85546875" style="1" customWidth="1"/>
    <col min="12303" max="12303" width="22.140625" style="1" customWidth="1"/>
    <col min="12304" max="12544" width="15.5703125" style="1"/>
    <col min="12545" max="12545" width="7.85546875" style="1" customWidth="1"/>
    <col min="12546" max="12546" width="24.140625" style="1" bestFit="1" customWidth="1"/>
    <col min="12547" max="12547" width="17.5703125" style="1" bestFit="1" customWidth="1"/>
    <col min="12548" max="12548" width="16" style="1" bestFit="1" customWidth="1"/>
    <col min="12549" max="12549" width="21.85546875" style="1" bestFit="1" customWidth="1"/>
    <col min="12550" max="12550" width="21.140625" style="1" bestFit="1" customWidth="1"/>
    <col min="12551" max="12551" width="23" style="1" bestFit="1" customWidth="1"/>
    <col min="12552" max="12552" width="25.5703125" style="1" bestFit="1" customWidth="1"/>
    <col min="12553" max="12553" width="13.140625" style="1" bestFit="1" customWidth="1"/>
    <col min="12554" max="12554" width="13.140625" style="1" customWidth="1"/>
    <col min="12555" max="12555" width="17.7109375" style="1" bestFit="1" customWidth="1"/>
    <col min="12556" max="12556" width="28" style="1" bestFit="1" customWidth="1"/>
    <col min="12557" max="12557" width="15.5703125" style="1"/>
    <col min="12558" max="12558" width="23.85546875" style="1" customWidth="1"/>
    <col min="12559" max="12559" width="22.140625" style="1" customWidth="1"/>
    <col min="12560" max="12800" width="15.5703125" style="1"/>
    <col min="12801" max="12801" width="7.85546875" style="1" customWidth="1"/>
    <col min="12802" max="12802" width="24.140625" style="1" bestFit="1" customWidth="1"/>
    <col min="12803" max="12803" width="17.5703125" style="1" bestFit="1" customWidth="1"/>
    <col min="12804" max="12804" width="16" style="1" bestFit="1" customWidth="1"/>
    <col min="12805" max="12805" width="21.85546875" style="1" bestFit="1" customWidth="1"/>
    <col min="12806" max="12806" width="21.140625" style="1" bestFit="1" customWidth="1"/>
    <col min="12807" max="12807" width="23" style="1" bestFit="1" customWidth="1"/>
    <col min="12808" max="12808" width="25.5703125" style="1" bestFit="1" customWidth="1"/>
    <col min="12809" max="12809" width="13.140625" style="1" bestFit="1" customWidth="1"/>
    <col min="12810" max="12810" width="13.140625" style="1" customWidth="1"/>
    <col min="12811" max="12811" width="17.7109375" style="1" bestFit="1" customWidth="1"/>
    <col min="12812" max="12812" width="28" style="1" bestFit="1" customWidth="1"/>
    <col min="12813" max="12813" width="15.5703125" style="1"/>
    <col min="12814" max="12814" width="23.85546875" style="1" customWidth="1"/>
    <col min="12815" max="12815" width="22.140625" style="1" customWidth="1"/>
    <col min="12816" max="13056" width="15.5703125" style="1"/>
    <col min="13057" max="13057" width="7.85546875" style="1" customWidth="1"/>
    <col min="13058" max="13058" width="24.140625" style="1" bestFit="1" customWidth="1"/>
    <col min="13059" max="13059" width="17.5703125" style="1" bestFit="1" customWidth="1"/>
    <col min="13060" max="13060" width="16" style="1" bestFit="1" customWidth="1"/>
    <col min="13061" max="13061" width="21.85546875" style="1" bestFit="1" customWidth="1"/>
    <col min="13062" max="13062" width="21.140625" style="1" bestFit="1" customWidth="1"/>
    <col min="13063" max="13063" width="23" style="1" bestFit="1" customWidth="1"/>
    <col min="13064" max="13064" width="25.5703125" style="1" bestFit="1" customWidth="1"/>
    <col min="13065" max="13065" width="13.140625" style="1" bestFit="1" customWidth="1"/>
    <col min="13066" max="13066" width="13.140625" style="1" customWidth="1"/>
    <col min="13067" max="13067" width="17.7109375" style="1" bestFit="1" customWidth="1"/>
    <col min="13068" max="13068" width="28" style="1" bestFit="1" customWidth="1"/>
    <col min="13069" max="13069" width="15.5703125" style="1"/>
    <col min="13070" max="13070" width="23.85546875" style="1" customWidth="1"/>
    <col min="13071" max="13071" width="22.140625" style="1" customWidth="1"/>
    <col min="13072" max="13312" width="15.5703125" style="1"/>
    <col min="13313" max="13313" width="7.85546875" style="1" customWidth="1"/>
    <col min="13314" max="13314" width="24.140625" style="1" bestFit="1" customWidth="1"/>
    <col min="13315" max="13315" width="17.5703125" style="1" bestFit="1" customWidth="1"/>
    <col min="13316" max="13316" width="16" style="1" bestFit="1" customWidth="1"/>
    <col min="13317" max="13317" width="21.85546875" style="1" bestFit="1" customWidth="1"/>
    <col min="13318" max="13318" width="21.140625" style="1" bestFit="1" customWidth="1"/>
    <col min="13319" max="13319" width="23" style="1" bestFit="1" customWidth="1"/>
    <col min="13320" max="13320" width="25.5703125" style="1" bestFit="1" customWidth="1"/>
    <col min="13321" max="13321" width="13.140625" style="1" bestFit="1" customWidth="1"/>
    <col min="13322" max="13322" width="13.140625" style="1" customWidth="1"/>
    <col min="13323" max="13323" width="17.7109375" style="1" bestFit="1" customWidth="1"/>
    <col min="13324" max="13324" width="28" style="1" bestFit="1" customWidth="1"/>
    <col min="13325" max="13325" width="15.5703125" style="1"/>
    <col min="13326" max="13326" width="23.85546875" style="1" customWidth="1"/>
    <col min="13327" max="13327" width="22.140625" style="1" customWidth="1"/>
    <col min="13328" max="13568" width="15.5703125" style="1"/>
    <col min="13569" max="13569" width="7.85546875" style="1" customWidth="1"/>
    <col min="13570" max="13570" width="24.140625" style="1" bestFit="1" customWidth="1"/>
    <col min="13571" max="13571" width="17.5703125" style="1" bestFit="1" customWidth="1"/>
    <col min="13572" max="13572" width="16" style="1" bestFit="1" customWidth="1"/>
    <col min="13573" max="13573" width="21.85546875" style="1" bestFit="1" customWidth="1"/>
    <col min="13574" max="13574" width="21.140625" style="1" bestFit="1" customWidth="1"/>
    <col min="13575" max="13575" width="23" style="1" bestFit="1" customWidth="1"/>
    <col min="13576" max="13576" width="25.5703125" style="1" bestFit="1" customWidth="1"/>
    <col min="13577" max="13577" width="13.140625" style="1" bestFit="1" customWidth="1"/>
    <col min="13578" max="13578" width="13.140625" style="1" customWidth="1"/>
    <col min="13579" max="13579" width="17.7109375" style="1" bestFit="1" customWidth="1"/>
    <col min="13580" max="13580" width="28" style="1" bestFit="1" customWidth="1"/>
    <col min="13581" max="13581" width="15.5703125" style="1"/>
    <col min="13582" max="13582" width="23.85546875" style="1" customWidth="1"/>
    <col min="13583" max="13583" width="22.140625" style="1" customWidth="1"/>
    <col min="13584" max="13824" width="15.5703125" style="1"/>
    <col min="13825" max="13825" width="7.85546875" style="1" customWidth="1"/>
    <col min="13826" max="13826" width="24.140625" style="1" bestFit="1" customWidth="1"/>
    <col min="13827" max="13827" width="17.5703125" style="1" bestFit="1" customWidth="1"/>
    <col min="13828" max="13828" width="16" style="1" bestFit="1" customWidth="1"/>
    <col min="13829" max="13829" width="21.85546875" style="1" bestFit="1" customWidth="1"/>
    <col min="13830" max="13830" width="21.140625" style="1" bestFit="1" customWidth="1"/>
    <col min="13831" max="13831" width="23" style="1" bestFit="1" customWidth="1"/>
    <col min="13832" max="13832" width="25.5703125" style="1" bestFit="1" customWidth="1"/>
    <col min="13833" max="13833" width="13.140625" style="1" bestFit="1" customWidth="1"/>
    <col min="13834" max="13834" width="13.140625" style="1" customWidth="1"/>
    <col min="13835" max="13835" width="17.7109375" style="1" bestFit="1" customWidth="1"/>
    <col min="13836" max="13836" width="28" style="1" bestFit="1" customWidth="1"/>
    <col min="13837" max="13837" width="15.5703125" style="1"/>
    <col min="13838" max="13838" width="23.85546875" style="1" customWidth="1"/>
    <col min="13839" max="13839" width="22.140625" style="1" customWidth="1"/>
    <col min="13840" max="14080" width="15.5703125" style="1"/>
    <col min="14081" max="14081" width="7.85546875" style="1" customWidth="1"/>
    <col min="14082" max="14082" width="24.140625" style="1" bestFit="1" customWidth="1"/>
    <col min="14083" max="14083" width="17.5703125" style="1" bestFit="1" customWidth="1"/>
    <col min="14084" max="14084" width="16" style="1" bestFit="1" customWidth="1"/>
    <col min="14085" max="14085" width="21.85546875" style="1" bestFit="1" customWidth="1"/>
    <col min="14086" max="14086" width="21.140625" style="1" bestFit="1" customWidth="1"/>
    <col min="14087" max="14087" width="23" style="1" bestFit="1" customWidth="1"/>
    <col min="14088" max="14088" width="25.5703125" style="1" bestFit="1" customWidth="1"/>
    <col min="14089" max="14089" width="13.140625" style="1" bestFit="1" customWidth="1"/>
    <col min="14090" max="14090" width="13.140625" style="1" customWidth="1"/>
    <col min="14091" max="14091" width="17.7109375" style="1" bestFit="1" customWidth="1"/>
    <col min="14092" max="14092" width="28" style="1" bestFit="1" customWidth="1"/>
    <col min="14093" max="14093" width="15.5703125" style="1"/>
    <col min="14094" max="14094" width="23.85546875" style="1" customWidth="1"/>
    <col min="14095" max="14095" width="22.140625" style="1" customWidth="1"/>
    <col min="14096" max="14336" width="15.5703125" style="1"/>
    <col min="14337" max="14337" width="7.85546875" style="1" customWidth="1"/>
    <col min="14338" max="14338" width="24.140625" style="1" bestFit="1" customWidth="1"/>
    <col min="14339" max="14339" width="17.5703125" style="1" bestFit="1" customWidth="1"/>
    <col min="14340" max="14340" width="16" style="1" bestFit="1" customWidth="1"/>
    <col min="14341" max="14341" width="21.85546875" style="1" bestFit="1" customWidth="1"/>
    <col min="14342" max="14342" width="21.140625" style="1" bestFit="1" customWidth="1"/>
    <col min="14343" max="14343" width="23" style="1" bestFit="1" customWidth="1"/>
    <col min="14344" max="14344" width="25.5703125" style="1" bestFit="1" customWidth="1"/>
    <col min="14345" max="14345" width="13.140625" style="1" bestFit="1" customWidth="1"/>
    <col min="14346" max="14346" width="13.140625" style="1" customWidth="1"/>
    <col min="14347" max="14347" width="17.7109375" style="1" bestFit="1" customWidth="1"/>
    <col min="14348" max="14348" width="28" style="1" bestFit="1" customWidth="1"/>
    <col min="14349" max="14349" width="15.5703125" style="1"/>
    <col min="14350" max="14350" width="23.85546875" style="1" customWidth="1"/>
    <col min="14351" max="14351" width="22.140625" style="1" customWidth="1"/>
    <col min="14352" max="14592" width="15.5703125" style="1"/>
    <col min="14593" max="14593" width="7.85546875" style="1" customWidth="1"/>
    <col min="14594" max="14594" width="24.140625" style="1" bestFit="1" customWidth="1"/>
    <col min="14595" max="14595" width="17.5703125" style="1" bestFit="1" customWidth="1"/>
    <col min="14596" max="14596" width="16" style="1" bestFit="1" customWidth="1"/>
    <col min="14597" max="14597" width="21.85546875" style="1" bestFit="1" customWidth="1"/>
    <col min="14598" max="14598" width="21.140625" style="1" bestFit="1" customWidth="1"/>
    <col min="14599" max="14599" width="23" style="1" bestFit="1" customWidth="1"/>
    <col min="14600" max="14600" width="25.5703125" style="1" bestFit="1" customWidth="1"/>
    <col min="14601" max="14601" width="13.140625" style="1" bestFit="1" customWidth="1"/>
    <col min="14602" max="14602" width="13.140625" style="1" customWidth="1"/>
    <col min="14603" max="14603" width="17.7109375" style="1" bestFit="1" customWidth="1"/>
    <col min="14604" max="14604" width="28" style="1" bestFit="1" customWidth="1"/>
    <col min="14605" max="14605" width="15.5703125" style="1"/>
    <col min="14606" max="14606" width="23.85546875" style="1" customWidth="1"/>
    <col min="14607" max="14607" width="22.140625" style="1" customWidth="1"/>
    <col min="14608" max="14848" width="15.5703125" style="1"/>
    <col min="14849" max="14849" width="7.85546875" style="1" customWidth="1"/>
    <col min="14850" max="14850" width="24.140625" style="1" bestFit="1" customWidth="1"/>
    <col min="14851" max="14851" width="17.5703125" style="1" bestFit="1" customWidth="1"/>
    <col min="14852" max="14852" width="16" style="1" bestFit="1" customWidth="1"/>
    <col min="14853" max="14853" width="21.85546875" style="1" bestFit="1" customWidth="1"/>
    <col min="14854" max="14854" width="21.140625" style="1" bestFit="1" customWidth="1"/>
    <col min="14855" max="14855" width="23" style="1" bestFit="1" customWidth="1"/>
    <col min="14856" max="14856" width="25.5703125" style="1" bestFit="1" customWidth="1"/>
    <col min="14857" max="14857" width="13.140625" style="1" bestFit="1" customWidth="1"/>
    <col min="14858" max="14858" width="13.140625" style="1" customWidth="1"/>
    <col min="14859" max="14859" width="17.7109375" style="1" bestFit="1" customWidth="1"/>
    <col min="14860" max="14860" width="28" style="1" bestFit="1" customWidth="1"/>
    <col min="14861" max="14861" width="15.5703125" style="1"/>
    <col min="14862" max="14862" width="23.85546875" style="1" customWidth="1"/>
    <col min="14863" max="14863" width="22.140625" style="1" customWidth="1"/>
    <col min="14864" max="15104" width="15.5703125" style="1"/>
    <col min="15105" max="15105" width="7.85546875" style="1" customWidth="1"/>
    <col min="15106" max="15106" width="24.140625" style="1" bestFit="1" customWidth="1"/>
    <col min="15107" max="15107" width="17.5703125" style="1" bestFit="1" customWidth="1"/>
    <col min="15108" max="15108" width="16" style="1" bestFit="1" customWidth="1"/>
    <col min="15109" max="15109" width="21.85546875" style="1" bestFit="1" customWidth="1"/>
    <col min="15110" max="15110" width="21.140625" style="1" bestFit="1" customWidth="1"/>
    <col min="15111" max="15111" width="23" style="1" bestFit="1" customWidth="1"/>
    <col min="15112" max="15112" width="25.5703125" style="1" bestFit="1" customWidth="1"/>
    <col min="15113" max="15113" width="13.140625" style="1" bestFit="1" customWidth="1"/>
    <col min="15114" max="15114" width="13.140625" style="1" customWidth="1"/>
    <col min="15115" max="15115" width="17.7109375" style="1" bestFit="1" customWidth="1"/>
    <col min="15116" max="15116" width="28" style="1" bestFit="1" customWidth="1"/>
    <col min="15117" max="15117" width="15.5703125" style="1"/>
    <col min="15118" max="15118" width="23.85546875" style="1" customWidth="1"/>
    <col min="15119" max="15119" width="22.140625" style="1" customWidth="1"/>
    <col min="15120" max="15360" width="15.5703125" style="1"/>
    <col min="15361" max="15361" width="7.85546875" style="1" customWidth="1"/>
    <col min="15362" max="15362" width="24.140625" style="1" bestFit="1" customWidth="1"/>
    <col min="15363" max="15363" width="17.5703125" style="1" bestFit="1" customWidth="1"/>
    <col min="15364" max="15364" width="16" style="1" bestFit="1" customWidth="1"/>
    <col min="15365" max="15365" width="21.85546875" style="1" bestFit="1" customWidth="1"/>
    <col min="15366" max="15366" width="21.140625" style="1" bestFit="1" customWidth="1"/>
    <col min="15367" max="15367" width="23" style="1" bestFit="1" customWidth="1"/>
    <col min="15368" max="15368" width="25.5703125" style="1" bestFit="1" customWidth="1"/>
    <col min="15369" max="15369" width="13.140625" style="1" bestFit="1" customWidth="1"/>
    <col min="15370" max="15370" width="13.140625" style="1" customWidth="1"/>
    <col min="15371" max="15371" width="17.7109375" style="1" bestFit="1" customWidth="1"/>
    <col min="15372" max="15372" width="28" style="1" bestFit="1" customWidth="1"/>
    <col min="15373" max="15373" width="15.5703125" style="1"/>
    <col min="15374" max="15374" width="23.85546875" style="1" customWidth="1"/>
    <col min="15375" max="15375" width="22.140625" style="1" customWidth="1"/>
    <col min="15376" max="15616" width="15.5703125" style="1"/>
    <col min="15617" max="15617" width="7.85546875" style="1" customWidth="1"/>
    <col min="15618" max="15618" width="24.140625" style="1" bestFit="1" customWidth="1"/>
    <col min="15619" max="15619" width="17.5703125" style="1" bestFit="1" customWidth="1"/>
    <col min="15620" max="15620" width="16" style="1" bestFit="1" customWidth="1"/>
    <col min="15621" max="15621" width="21.85546875" style="1" bestFit="1" customWidth="1"/>
    <col min="15622" max="15622" width="21.140625" style="1" bestFit="1" customWidth="1"/>
    <col min="15623" max="15623" width="23" style="1" bestFit="1" customWidth="1"/>
    <col min="15624" max="15624" width="25.5703125" style="1" bestFit="1" customWidth="1"/>
    <col min="15625" max="15625" width="13.140625" style="1" bestFit="1" customWidth="1"/>
    <col min="15626" max="15626" width="13.140625" style="1" customWidth="1"/>
    <col min="15627" max="15627" width="17.7109375" style="1" bestFit="1" customWidth="1"/>
    <col min="15628" max="15628" width="28" style="1" bestFit="1" customWidth="1"/>
    <col min="15629" max="15629" width="15.5703125" style="1"/>
    <col min="15630" max="15630" width="23.85546875" style="1" customWidth="1"/>
    <col min="15631" max="15631" width="22.140625" style="1" customWidth="1"/>
    <col min="15632" max="15872" width="15.5703125" style="1"/>
    <col min="15873" max="15873" width="7.85546875" style="1" customWidth="1"/>
    <col min="15874" max="15874" width="24.140625" style="1" bestFit="1" customWidth="1"/>
    <col min="15875" max="15875" width="17.5703125" style="1" bestFit="1" customWidth="1"/>
    <col min="15876" max="15876" width="16" style="1" bestFit="1" customWidth="1"/>
    <col min="15877" max="15877" width="21.85546875" style="1" bestFit="1" customWidth="1"/>
    <col min="15878" max="15878" width="21.140625" style="1" bestFit="1" customWidth="1"/>
    <col min="15879" max="15879" width="23" style="1" bestFit="1" customWidth="1"/>
    <col min="15880" max="15880" width="25.5703125" style="1" bestFit="1" customWidth="1"/>
    <col min="15881" max="15881" width="13.140625" style="1" bestFit="1" customWidth="1"/>
    <col min="15882" max="15882" width="13.140625" style="1" customWidth="1"/>
    <col min="15883" max="15883" width="17.7109375" style="1" bestFit="1" customWidth="1"/>
    <col min="15884" max="15884" width="28" style="1" bestFit="1" customWidth="1"/>
    <col min="15885" max="15885" width="15.5703125" style="1"/>
    <col min="15886" max="15886" width="23.85546875" style="1" customWidth="1"/>
    <col min="15887" max="15887" width="22.140625" style="1" customWidth="1"/>
    <col min="15888" max="16128" width="15.5703125" style="1"/>
    <col min="16129" max="16129" width="7.85546875" style="1" customWidth="1"/>
    <col min="16130" max="16130" width="24.140625" style="1" bestFit="1" customWidth="1"/>
    <col min="16131" max="16131" width="17.5703125" style="1" bestFit="1" customWidth="1"/>
    <col min="16132" max="16132" width="16" style="1" bestFit="1" customWidth="1"/>
    <col min="16133" max="16133" width="21.85546875" style="1" bestFit="1" customWidth="1"/>
    <col min="16134" max="16134" width="21.140625" style="1" bestFit="1" customWidth="1"/>
    <col min="16135" max="16135" width="23" style="1" bestFit="1" customWidth="1"/>
    <col min="16136" max="16136" width="25.5703125" style="1" bestFit="1" customWidth="1"/>
    <col min="16137" max="16137" width="13.140625" style="1" bestFit="1" customWidth="1"/>
    <col min="16138" max="16138" width="13.140625" style="1" customWidth="1"/>
    <col min="16139" max="16139" width="17.7109375" style="1" bestFit="1" customWidth="1"/>
    <col min="16140" max="16140" width="28" style="1" bestFit="1" customWidth="1"/>
    <col min="16141" max="16141" width="15.5703125" style="1"/>
    <col min="16142" max="16142" width="23.85546875" style="1" customWidth="1"/>
    <col min="16143" max="16143" width="22.140625" style="1" customWidth="1"/>
    <col min="16144" max="16384" width="15.5703125" style="1"/>
  </cols>
  <sheetData>
    <row r="1" spans="1:33" x14ac:dyDescent="0.3">
      <c r="K1"/>
      <c r="L1"/>
    </row>
    <row r="2" spans="1:33" x14ac:dyDescent="0.3">
      <c r="B2" s="2"/>
      <c r="C2" s="3"/>
      <c r="D2" s="3"/>
      <c r="E2" s="3"/>
      <c r="F2" s="3"/>
      <c r="G2" s="3"/>
      <c r="H2" s="3"/>
      <c r="I2" s="3"/>
      <c r="J2" s="3"/>
      <c r="K2"/>
      <c r="L2"/>
    </row>
    <row r="3" spans="1:33" ht="19.5" thickBot="1" x14ac:dyDescent="0.35">
      <c r="A3" s="2">
        <v>2</v>
      </c>
      <c r="K3"/>
      <c r="L3"/>
    </row>
    <row r="4" spans="1:33" x14ac:dyDescent="0.3">
      <c r="B4" s="20"/>
      <c r="C4" s="20"/>
      <c r="D4" s="22" t="s">
        <v>13</v>
      </c>
      <c r="E4" s="5"/>
      <c r="F4" s="5"/>
      <c r="G4" s="5"/>
      <c r="H4" s="5"/>
      <c r="I4" s="5"/>
      <c r="J4" s="5"/>
      <c r="K4" s="10"/>
      <c r="L4" s="10"/>
      <c r="M4" s="11" t="s">
        <v>13</v>
      </c>
      <c r="N4" s="12"/>
      <c r="O4" s="12"/>
      <c r="P4" s="12"/>
      <c r="Q4" s="12"/>
      <c r="R4" s="12"/>
    </row>
    <row r="5" spans="1:33" s="6" customFormat="1" ht="32.25" customHeight="1" x14ac:dyDescent="0.25">
      <c r="B5" s="21" t="s">
        <v>14</v>
      </c>
      <c r="C5" s="21" t="s">
        <v>15</v>
      </c>
      <c r="D5" s="7" t="s">
        <v>16</v>
      </c>
      <c r="E5" s="7" t="s">
        <v>17</v>
      </c>
      <c r="F5" s="7" t="s">
        <v>18</v>
      </c>
      <c r="G5" s="7" t="s">
        <v>19</v>
      </c>
      <c r="H5" s="7" t="s">
        <v>20</v>
      </c>
      <c r="I5" s="7" t="s">
        <v>21</v>
      </c>
      <c r="J5" s="7"/>
      <c r="K5" s="13" t="s">
        <v>14</v>
      </c>
      <c r="L5" s="13" t="s">
        <v>15</v>
      </c>
      <c r="M5" s="13" t="s">
        <v>16</v>
      </c>
      <c r="N5" s="13" t="s">
        <v>17</v>
      </c>
      <c r="O5" s="13" t="s">
        <v>18</v>
      </c>
      <c r="P5" s="13" t="s">
        <v>19</v>
      </c>
      <c r="Q5" s="13" t="s">
        <v>20</v>
      </c>
      <c r="R5" s="13" t="s">
        <v>21</v>
      </c>
      <c r="S5" s="24"/>
      <c r="T5" s="24"/>
      <c r="U5" s="24"/>
      <c r="V5" s="24"/>
      <c r="W5" s="24"/>
      <c r="X5" s="24"/>
      <c r="Y5" s="24"/>
      <c r="Z5" s="24"/>
      <c r="AA5" s="17"/>
      <c r="AB5" s="17"/>
      <c r="AC5" s="17"/>
      <c r="AD5" s="17"/>
      <c r="AE5" s="17"/>
      <c r="AF5" s="17"/>
      <c r="AG5" s="17"/>
    </row>
    <row r="6" spans="1:33" x14ac:dyDescent="0.3">
      <c r="B6" s="8" t="s">
        <v>22</v>
      </c>
      <c r="C6" s="8" t="s">
        <v>4</v>
      </c>
      <c r="D6" s="18">
        <v>10119</v>
      </c>
      <c r="E6" s="19">
        <v>76239.663700000005</v>
      </c>
      <c r="F6" s="19">
        <v>34188.189999999995</v>
      </c>
      <c r="G6" s="19">
        <v>45540</v>
      </c>
      <c r="H6" s="19">
        <v>-11351.810000000005</v>
      </c>
      <c r="I6" s="9">
        <v>-0.14889638082178483</v>
      </c>
      <c r="J6" s="9"/>
      <c r="K6" s="14" t="s">
        <v>22</v>
      </c>
      <c r="L6" s="50" t="s">
        <v>4</v>
      </c>
      <c r="M6" s="26">
        <v>11248</v>
      </c>
      <c r="N6" s="27">
        <v>41981.75</v>
      </c>
      <c r="O6" s="27">
        <v>37948.660000000003</v>
      </c>
      <c r="P6" s="27">
        <v>48247.679999999993</v>
      </c>
      <c r="Q6" s="28">
        <v>-10299.01999999999</v>
      </c>
      <c r="R6" s="29">
        <f>IFERROR(Q6/N6,"-")</f>
        <v>-0.2453213598766128</v>
      </c>
    </row>
    <row r="7" spans="1:33" x14ac:dyDescent="0.3">
      <c r="B7" s="8"/>
      <c r="C7" s="8" t="s">
        <v>23</v>
      </c>
      <c r="D7" s="18">
        <v>16666</v>
      </c>
      <c r="E7" s="19">
        <v>101949.67148506893</v>
      </c>
      <c r="F7" s="19">
        <v>42753.689999999995</v>
      </c>
      <c r="G7" s="19">
        <v>33702.000000000007</v>
      </c>
      <c r="H7" s="19">
        <v>9051.6899999999878</v>
      </c>
      <c r="I7" s="9">
        <v>8.8785867263198148E-2</v>
      </c>
      <c r="J7" s="9"/>
      <c r="K7" s="14"/>
      <c r="L7" s="50" t="s">
        <v>23</v>
      </c>
      <c r="M7" s="26">
        <v>16666</v>
      </c>
      <c r="N7" s="27">
        <v>129009.35</v>
      </c>
      <c r="O7" s="27">
        <v>40527.290000000008</v>
      </c>
      <c r="P7" s="27">
        <v>34645</v>
      </c>
      <c r="Q7" s="27">
        <v>5882.2900000000081</v>
      </c>
      <c r="R7" s="30">
        <f>IFERROR(Q7/N7,"-")</f>
        <v>4.5595842471882912E-2</v>
      </c>
    </row>
    <row r="8" spans="1:33" x14ac:dyDescent="0.3">
      <c r="B8" s="8"/>
      <c r="C8" s="8" t="s">
        <v>24</v>
      </c>
      <c r="D8" s="18">
        <v>2409</v>
      </c>
      <c r="E8" s="19">
        <v>27746.378097759596</v>
      </c>
      <c r="F8" s="19">
        <v>11909</v>
      </c>
      <c r="G8" s="19">
        <v>34993.5</v>
      </c>
      <c r="H8" s="19">
        <v>-23084.5</v>
      </c>
      <c r="I8" s="9">
        <v>-0.83198246339272575</v>
      </c>
      <c r="J8" s="9"/>
      <c r="K8" s="14"/>
      <c r="L8" s="50" t="s">
        <v>24</v>
      </c>
      <c r="M8" s="26">
        <v>3751</v>
      </c>
      <c r="N8" s="27">
        <v>43905.069999999978</v>
      </c>
      <c r="O8" s="27">
        <v>17770.850000000002</v>
      </c>
      <c r="P8" s="27">
        <v>37554.000000000015</v>
      </c>
      <c r="Q8" s="28">
        <v>-19783.150000000012</v>
      </c>
      <c r="R8" s="29">
        <f>IFERROR(Q8/N8,"-")</f>
        <v>-0.45058919163549954</v>
      </c>
    </row>
    <row r="9" spans="1:33" x14ac:dyDescent="0.3">
      <c r="B9" s="8"/>
      <c r="C9" s="8" t="s">
        <v>7</v>
      </c>
      <c r="D9" s="18">
        <v>144312</v>
      </c>
      <c r="E9" s="19">
        <v>269378.9062134634</v>
      </c>
      <c r="F9" s="19">
        <v>95215.652247805774</v>
      </c>
      <c r="G9" s="19">
        <v>98670</v>
      </c>
      <c r="H9" s="19">
        <v>-3454.3477521942259</v>
      </c>
      <c r="I9" s="9">
        <v>-1.2823378789194815E-2</v>
      </c>
      <c r="J9" s="9"/>
      <c r="K9" s="14"/>
      <c r="L9" s="50" t="s">
        <v>7</v>
      </c>
      <c r="M9" s="26">
        <v>142624</v>
      </c>
      <c r="N9" s="27">
        <v>895850.91000000015</v>
      </c>
      <c r="O9" s="27">
        <v>91384.700000000012</v>
      </c>
      <c r="P9" s="27">
        <v>96310.5</v>
      </c>
      <c r="Q9" s="28">
        <v>-4925.7999999999884</v>
      </c>
      <c r="R9" s="29">
        <f>IFERROR(Q9/N9,"-")</f>
        <v>-5.4984595595264701E-3</v>
      </c>
    </row>
    <row r="10" spans="1:33" x14ac:dyDescent="0.3">
      <c r="B10" s="8"/>
      <c r="C10" s="8" t="s">
        <v>25</v>
      </c>
      <c r="D10" s="18">
        <v>226588</v>
      </c>
      <c r="E10" s="19">
        <v>593259.67414999998</v>
      </c>
      <c r="F10" s="19">
        <v>230918.61969449997</v>
      </c>
      <c r="G10" s="19">
        <v>108731.99999999997</v>
      </c>
      <c r="H10" s="19">
        <v>122186.6196945</v>
      </c>
      <c r="I10" s="9">
        <v>0.20595807370451122</v>
      </c>
      <c r="J10" s="9"/>
      <c r="K10" s="14"/>
      <c r="L10" s="50" t="s">
        <v>25</v>
      </c>
      <c r="M10" s="26">
        <v>211403</v>
      </c>
      <c r="N10" s="27">
        <v>2260104.3899999997</v>
      </c>
      <c r="O10" s="27">
        <v>219312.13</v>
      </c>
      <c r="P10" s="27">
        <v>104030.40420401043</v>
      </c>
      <c r="Q10" s="27">
        <v>115281.72579598958</v>
      </c>
      <c r="R10" s="30">
        <f>IFERROR(Q10/N10,"-")</f>
        <v>5.1007257145316905E-2</v>
      </c>
    </row>
    <row r="11" spans="1:33" x14ac:dyDescent="0.3">
      <c r="B11" s="8"/>
      <c r="C11" s="8" t="s">
        <v>26</v>
      </c>
      <c r="D11" s="18">
        <v>54689</v>
      </c>
      <c r="E11" s="19">
        <v>350191.25669999991</v>
      </c>
      <c r="F11" s="19">
        <v>156003.54</v>
      </c>
      <c r="G11" s="19">
        <v>290230.61363636365</v>
      </c>
      <c r="H11" s="19">
        <v>-134227.07363636364</v>
      </c>
      <c r="I11" s="9">
        <v>-0.38329647319365434</v>
      </c>
      <c r="J11" s="9"/>
      <c r="K11" s="14"/>
      <c r="L11" s="50" t="s">
        <v>26</v>
      </c>
      <c r="M11" s="26">
        <v>51465</v>
      </c>
      <c r="N11" s="27">
        <v>667105.65000000014</v>
      </c>
      <c r="O11" s="27">
        <v>145890.83999999997</v>
      </c>
      <c r="P11" s="27">
        <v>299145.00000000012</v>
      </c>
      <c r="Q11" s="28">
        <v>-153254.16000000015</v>
      </c>
      <c r="R11" s="29">
        <f>IFERROR(Q11/N11,"-")</f>
        <v>-0.22972996855895331</v>
      </c>
    </row>
    <row r="12" spans="1:33" x14ac:dyDescent="0.3">
      <c r="B12" s="8"/>
      <c r="C12" s="8" t="s">
        <v>27</v>
      </c>
      <c r="D12" s="18">
        <v>250428</v>
      </c>
      <c r="E12" s="19">
        <v>744141.79730000009</v>
      </c>
      <c r="F12" s="19">
        <v>269288.13</v>
      </c>
      <c r="G12" s="19">
        <v>238517.50000000003</v>
      </c>
      <c r="H12" s="19">
        <v>30770.629999999976</v>
      </c>
      <c r="I12" s="9">
        <v>4.1350492757759746E-2</v>
      </c>
      <c r="J12" s="9"/>
      <c r="K12" s="14"/>
      <c r="L12" s="50" t="s">
        <v>27</v>
      </c>
      <c r="M12" s="26">
        <v>241513</v>
      </c>
      <c r="N12" s="27">
        <v>2044561.18</v>
      </c>
      <c r="O12" s="27">
        <v>318830.84999999998</v>
      </c>
      <c r="P12" s="27">
        <v>280973.00000000017</v>
      </c>
      <c r="Q12" s="27">
        <v>37857.849999999802</v>
      </c>
      <c r="R12" s="30">
        <f>IFERROR(Q12/N12,"-")</f>
        <v>1.8516369365870384E-2</v>
      </c>
    </row>
    <row r="13" spans="1:33" x14ac:dyDescent="0.3">
      <c r="B13" s="8"/>
      <c r="C13" s="8" t="s">
        <v>28</v>
      </c>
      <c r="D13" s="18">
        <v>81687</v>
      </c>
      <c r="E13" s="19">
        <v>203325.84910000002</v>
      </c>
      <c r="F13" s="19">
        <v>101861.62</v>
      </c>
      <c r="G13" s="19">
        <v>110537.99999999999</v>
      </c>
      <c r="H13" s="19">
        <v>-8676.3799999999901</v>
      </c>
      <c r="I13" s="9">
        <v>-4.2672291980606757E-2</v>
      </c>
      <c r="J13" s="9"/>
      <c r="K13" s="14"/>
      <c r="L13" s="50" t="s">
        <v>28</v>
      </c>
      <c r="M13" s="26">
        <v>81687</v>
      </c>
      <c r="N13" s="27">
        <v>478293.65</v>
      </c>
      <c r="O13" s="27">
        <v>102317.28000000003</v>
      </c>
      <c r="P13" s="27">
        <v>90925.829999999987</v>
      </c>
      <c r="Q13" s="27">
        <v>11391.450000000041</v>
      </c>
      <c r="R13" s="30">
        <f>IFERROR(Q13/N13,"-")</f>
        <v>2.3816853934816071E-2</v>
      </c>
    </row>
    <row r="14" spans="1:33" x14ac:dyDescent="0.3">
      <c r="B14" s="8" t="s">
        <v>29</v>
      </c>
      <c r="C14" s="8"/>
      <c r="D14" s="18">
        <v>786898</v>
      </c>
      <c r="E14" s="19">
        <v>2366233.1967462921</v>
      </c>
      <c r="F14" s="19">
        <v>942138.44194230577</v>
      </c>
      <c r="G14" s="19">
        <v>960923.61363636365</v>
      </c>
      <c r="H14" s="19">
        <v>-18785.171694058925</v>
      </c>
      <c r="I14" s="9">
        <v>-7.9388505409735636E-3</v>
      </c>
      <c r="J14" s="9"/>
      <c r="K14" s="15" t="s">
        <v>29</v>
      </c>
      <c r="L14" s="25"/>
      <c r="M14" s="31">
        <f t="shared" ref="M14:Q14" si="0">SUM(M6:M13)</f>
        <v>760357</v>
      </c>
      <c r="N14" s="32">
        <f t="shared" si="0"/>
        <v>6560811.9500000002</v>
      </c>
      <c r="O14" s="32">
        <f t="shared" si="0"/>
        <v>973982.6</v>
      </c>
      <c r="P14" s="32">
        <f t="shared" si="0"/>
        <v>991831.41420401062</v>
      </c>
      <c r="Q14" s="34">
        <f t="shared" si="0"/>
        <v>-17848.814204010705</v>
      </c>
      <c r="R14" s="35">
        <f>IFERROR(Q14/N14,"-")</f>
        <v>-2.7205190973368324E-3</v>
      </c>
    </row>
    <row r="15" spans="1:33" x14ac:dyDescent="0.3">
      <c r="B15" s="8" t="s">
        <v>30</v>
      </c>
      <c r="C15" s="8" t="s">
        <v>4</v>
      </c>
      <c r="D15" s="18">
        <v>11487</v>
      </c>
      <c r="E15" s="19">
        <v>94112.422399999981</v>
      </c>
      <c r="F15" s="19">
        <v>42202.880000000005</v>
      </c>
      <c r="G15" s="19">
        <v>45540</v>
      </c>
      <c r="H15" s="19">
        <v>-3337.1199999999953</v>
      </c>
      <c r="I15" s="9">
        <v>-3.5458868392702174E-2</v>
      </c>
      <c r="J15" s="9"/>
      <c r="K15" s="14" t="s">
        <v>30</v>
      </c>
      <c r="L15" s="50" t="s">
        <v>4</v>
      </c>
      <c r="M15" s="26">
        <v>10361</v>
      </c>
      <c r="N15" s="27">
        <v>42329.55</v>
      </c>
      <c r="O15" s="27">
        <v>38532.580000000016</v>
      </c>
      <c r="P15" s="27">
        <v>43510.740000000005</v>
      </c>
      <c r="Q15" s="28">
        <v>-4978.1599999999889</v>
      </c>
      <c r="R15" s="29">
        <f>IFERROR(Q15/N15,"-")</f>
        <v>-0.11760484106256713</v>
      </c>
    </row>
    <row r="16" spans="1:33" x14ac:dyDescent="0.3">
      <c r="B16" s="8"/>
      <c r="C16" s="8" t="s">
        <v>23</v>
      </c>
      <c r="D16" s="18">
        <v>11324</v>
      </c>
      <c r="E16" s="19">
        <v>94246.12</v>
      </c>
      <c r="F16" s="19">
        <v>38094.869999999995</v>
      </c>
      <c r="G16" s="19">
        <v>33702</v>
      </c>
      <c r="H16" s="19">
        <v>4392.8699999999953</v>
      </c>
      <c r="I16" s="9">
        <v>4.6610619089677063E-2</v>
      </c>
      <c r="J16" s="9"/>
      <c r="K16" s="14"/>
      <c r="L16" s="50" t="s">
        <v>23</v>
      </c>
      <c r="M16" s="26">
        <v>8452</v>
      </c>
      <c r="N16" s="27">
        <v>290624.26999999996</v>
      </c>
      <c r="O16" s="27">
        <v>33716.380000000012</v>
      </c>
      <c r="P16" s="27">
        <v>31030</v>
      </c>
      <c r="Q16" s="27">
        <v>2686.3800000000119</v>
      </c>
      <c r="R16" s="30">
        <f>IFERROR(Q16/N16,"-")</f>
        <v>9.2434812825508764E-3</v>
      </c>
    </row>
    <row r="17" spans="2:18" x14ac:dyDescent="0.3">
      <c r="B17" s="8"/>
      <c r="C17" s="8" t="s">
        <v>24</v>
      </c>
      <c r="D17" s="18">
        <v>2663</v>
      </c>
      <c r="E17" s="19">
        <v>19893.941500000001</v>
      </c>
      <c r="F17" s="19">
        <v>8921.0499999999993</v>
      </c>
      <c r="G17" s="19">
        <v>34993.5</v>
      </c>
      <c r="H17" s="19">
        <v>-26072.45</v>
      </c>
      <c r="I17" s="9">
        <v>-1.3105723669691096</v>
      </c>
      <c r="J17" s="9"/>
      <c r="K17" s="14"/>
      <c r="L17" s="50" t="s">
        <v>24</v>
      </c>
      <c r="M17" s="26">
        <v>2642</v>
      </c>
      <c r="N17" s="27">
        <v>6129.96</v>
      </c>
      <c r="O17" s="27">
        <v>8861.3000000000011</v>
      </c>
      <c r="P17" s="27">
        <v>34140</v>
      </c>
      <c r="Q17" s="28">
        <v>-25278.699999999997</v>
      </c>
      <c r="R17" s="29">
        <f>IFERROR(Q17/N17,"-")</f>
        <v>-4.1237952613067614</v>
      </c>
    </row>
    <row r="18" spans="2:18" x14ac:dyDescent="0.3">
      <c r="B18" s="8"/>
      <c r="C18" s="8" t="s">
        <v>7</v>
      </c>
      <c r="D18" s="18">
        <v>111425</v>
      </c>
      <c r="E18" s="19">
        <v>204436.77519071175</v>
      </c>
      <c r="F18" s="19">
        <v>74274.397555486779</v>
      </c>
      <c r="G18" s="19">
        <v>98670</v>
      </c>
      <c r="H18" s="19">
        <v>-24395.602444513221</v>
      </c>
      <c r="I18" s="9">
        <v>-0.11933079271943825</v>
      </c>
      <c r="J18" s="9"/>
      <c r="K18" s="14"/>
      <c r="L18" s="50" t="s">
        <v>7</v>
      </c>
      <c r="M18" s="26">
        <v>108576</v>
      </c>
      <c r="N18" s="27">
        <v>760306.80000000016</v>
      </c>
      <c r="O18" s="27">
        <v>65212.480000000018</v>
      </c>
      <c r="P18" s="27">
        <v>70693.270000000019</v>
      </c>
      <c r="Q18" s="28">
        <v>-5480.7900000000009</v>
      </c>
      <c r="R18" s="29">
        <f>IFERROR(Q18/N18,"-")</f>
        <v>-7.2086557689606352E-3</v>
      </c>
    </row>
    <row r="19" spans="2:18" x14ac:dyDescent="0.3">
      <c r="B19" s="8"/>
      <c r="C19" s="8" t="s">
        <v>25</v>
      </c>
      <c r="D19" s="18">
        <v>231148</v>
      </c>
      <c r="E19" s="19">
        <v>498562.62196031999</v>
      </c>
      <c r="F19" s="19">
        <v>197330.03999999998</v>
      </c>
      <c r="G19" s="19">
        <v>108732</v>
      </c>
      <c r="H19" s="19">
        <v>88598.039999999979</v>
      </c>
      <c r="I19" s="9">
        <v>0.17770694411794752</v>
      </c>
      <c r="J19" s="9"/>
      <c r="K19" s="14"/>
      <c r="L19" s="50" t="s">
        <v>25</v>
      </c>
      <c r="M19" s="26">
        <v>208513</v>
      </c>
      <c r="N19" s="27">
        <v>1769536.4899999998</v>
      </c>
      <c r="O19" s="27">
        <v>232772.82999999996</v>
      </c>
      <c r="P19" s="27">
        <v>110160</v>
      </c>
      <c r="Q19" s="27">
        <v>122612.82999999996</v>
      </c>
      <c r="R19" s="30">
        <f>IFERROR(Q19/N19,"-")</f>
        <v>6.9290930530627251E-2</v>
      </c>
    </row>
    <row r="20" spans="2:18" x14ac:dyDescent="0.3">
      <c r="B20" s="8"/>
      <c r="C20" s="8" t="s">
        <v>26</v>
      </c>
      <c r="D20" s="18">
        <v>104307</v>
      </c>
      <c r="E20" s="19">
        <v>449428.087</v>
      </c>
      <c r="F20" s="19">
        <v>192973.28116591927</v>
      </c>
      <c r="G20" s="19">
        <v>284355.49999999994</v>
      </c>
      <c r="H20" s="19">
        <v>-91382.218834080675</v>
      </c>
      <c r="I20" s="9">
        <v>-0.20333001313752044</v>
      </c>
      <c r="J20" s="9"/>
      <c r="K20" s="14"/>
      <c r="L20" s="50" t="s">
        <v>26</v>
      </c>
      <c r="M20" s="26">
        <v>92211</v>
      </c>
      <c r="N20" s="27">
        <v>888706.31</v>
      </c>
      <c r="O20" s="27">
        <v>179328.5400000001</v>
      </c>
      <c r="P20" s="27">
        <v>295484.00000000006</v>
      </c>
      <c r="Q20" s="28">
        <v>-116155.45999999996</v>
      </c>
      <c r="R20" s="29">
        <f>IFERROR(Q20/N20,"-")</f>
        <v>-0.13070173880052674</v>
      </c>
    </row>
    <row r="21" spans="2:18" x14ac:dyDescent="0.3">
      <c r="B21" s="8"/>
      <c r="C21" s="8" t="s">
        <v>27</v>
      </c>
      <c r="D21" s="18">
        <v>379728</v>
      </c>
      <c r="E21" s="19">
        <v>1190975.7213999997</v>
      </c>
      <c r="F21" s="19">
        <v>371654.89000000007</v>
      </c>
      <c r="G21" s="19">
        <v>238517.5</v>
      </c>
      <c r="H21" s="19">
        <v>133137.39000000007</v>
      </c>
      <c r="I21" s="9">
        <v>0.1117885004771518</v>
      </c>
      <c r="J21" s="9"/>
      <c r="K21" s="14"/>
      <c r="L21" s="50" t="s">
        <v>27</v>
      </c>
      <c r="M21" s="26">
        <v>310112</v>
      </c>
      <c r="N21" s="27">
        <v>2716789.3199999994</v>
      </c>
      <c r="O21" s="27">
        <v>321476.29999999981</v>
      </c>
      <c r="P21" s="27">
        <v>229991.99999999997</v>
      </c>
      <c r="Q21" s="27">
        <v>91484.299999999843</v>
      </c>
      <c r="R21" s="30">
        <f>IFERROR(Q21/N21,"-")</f>
        <v>3.3673682138885865E-2</v>
      </c>
    </row>
    <row r="22" spans="2:18" x14ac:dyDescent="0.3">
      <c r="B22" s="8"/>
      <c r="C22" s="8" t="s">
        <v>28</v>
      </c>
      <c r="D22" s="18">
        <v>172255</v>
      </c>
      <c r="E22" s="19">
        <v>250326.32500000001</v>
      </c>
      <c r="F22" s="19">
        <v>105538.8</v>
      </c>
      <c r="G22" s="19">
        <v>110538</v>
      </c>
      <c r="H22" s="19">
        <v>-4999.1999999999971</v>
      </c>
      <c r="I22" s="9">
        <v>-1.9970732203255077E-2</v>
      </c>
      <c r="J22" s="9"/>
      <c r="K22" s="14"/>
      <c r="L22" s="50" t="s">
        <v>28</v>
      </c>
      <c r="M22" s="26">
        <v>164052</v>
      </c>
      <c r="N22" s="27">
        <v>505971.47999999992</v>
      </c>
      <c r="O22" s="27">
        <v>103812.39000000006</v>
      </c>
      <c r="P22" s="27">
        <v>101628.40000000008</v>
      </c>
      <c r="Q22" s="27">
        <v>2183.9899999999761</v>
      </c>
      <c r="R22" s="30">
        <f>IFERROR(Q22/N22,"-")</f>
        <v>4.316429060388891E-3</v>
      </c>
    </row>
    <row r="23" spans="2:18" x14ac:dyDescent="0.3">
      <c r="B23" s="8" t="s">
        <v>31</v>
      </c>
      <c r="C23" s="8"/>
      <c r="D23" s="18">
        <v>1024337</v>
      </c>
      <c r="E23" s="19">
        <v>2801982.0144510316</v>
      </c>
      <c r="F23" s="19">
        <v>1030990.2087214061</v>
      </c>
      <c r="G23" s="19">
        <v>955048.5</v>
      </c>
      <c r="H23" s="19">
        <v>75941.708721406292</v>
      </c>
      <c r="I23" s="9">
        <v>2.7102853740581523E-2</v>
      </c>
      <c r="J23" s="9"/>
      <c r="K23" s="15" t="s">
        <v>31</v>
      </c>
      <c r="L23" s="25"/>
      <c r="M23" s="31">
        <f t="shared" ref="M23:Q23" si="1">SUM(M15:M22)</f>
        <v>904919</v>
      </c>
      <c r="N23" s="32">
        <f t="shared" si="1"/>
        <v>6980394.1799999988</v>
      </c>
      <c r="O23" s="32">
        <f t="shared" si="1"/>
        <v>983712.79999999993</v>
      </c>
      <c r="P23" s="32">
        <f t="shared" si="1"/>
        <v>916638.41000000015</v>
      </c>
      <c r="Q23" s="32">
        <f t="shared" si="1"/>
        <v>67074.389999999839</v>
      </c>
      <c r="R23" s="33">
        <f>IFERROR(Q23/N23,"-")</f>
        <v>9.608968816142106E-3</v>
      </c>
    </row>
    <row r="24" spans="2:18" x14ac:dyDescent="0.3">
      <c r="B24" s="8" t="s">
        <v>32</v>
      </c>
      <c r="C24" s="8" t="s">
        <v>4</v>
      </c>
      <c r="D24" s="18">
        <v>13190</v>
      </c>
      <c r="E24" s="19">
        <v>99103.050900000017</v>
      </c>
      <c r="F24" s="19">
        <v>44440.83</v>
      </c>
      <c r="G24" s="19">
        <v>45539.999999999993</v>
      </c>
      <c r="H24" s="19">
        <v>-1099.169999999991</v>
      </c>
      <c r="I24" s="9">
        <v>-1.1091182259455453E-2</v>
      </c>
      <c r="J24" s="9"/>
      <c r="K24" s="14" t="s">
        <v>32</v>
      </c>
      <c r="L24" s="50" t="s">
        <v>4</v>
      </c>
      <c r="M24" s="26">
        <v>13157</v>
      </c>
      <c r="N24" s="27">
        <v>48539.74</v>
      </c>
      <c r="O24" s="27">
        <v>44050.69000000001</v>
      </c>
      <c r="P24" s="27">
        <v>51081.48</v>
      </c>
      <c r="Q24" s="28">
        <v>-7030.7899999999936</v>
      </c>
      <c r="R24" s="29">
        <f>IFERROR(Q24/N24,"-")</f>
        <v>-0.14484605809590231</v>
      </c>
    </row>
    <row r="25" spans="2:18" x14ac:dyDescent="0.3">
      <c r="B25" s="8"/>
      <c r="C25" s="8" t="s">
        <v>23</v>
      </c>
      <c r="D25" s="18">
        <v>13982</v>
      </c>
      <c r="E25" s="19">
        <v>90625.06</v>
      </c>
      <c r="F25" s="19">
        <v>39841.279999999999</v>
      </c>
      <c r="G25" s="19">
        <v>33702</v>
      </c>
      <c r="H25" s="19">
        <v>6139.2799999999988</v>
      </c>
      <c r="I25" s="9">
        <v>6.7743734459320623E-2</v>
      </c>
      <c r="J25" s="9"/>
      <c r="K25" s="14"/>
      <c r="L25" s="50" t="s">
        <v>23</v>
      </c>
      <c r="M25" s="26">
        <v>13336</v>
      </c>
      <c r="N25" s="27">
        <v>104869</v>
      </c>
      <c r="O25" s="27">
        <v>40899.950000000012</v>
      </c>
      <c r="P25" s="27">
        <v>40641</v>
      </c>
      <c r="Q25" s="27">
        <v>258.95000000001164</v>
      </c>
      <c r="R25" s="30">
        <f>IFERROR(Q25/N25,"-")</f>
        <v>2.4692711859559224E-3</v>
      </c>
    </row>
    <row r="26" spans="2:18" x14ac:dyDescent="0.3">
      <c r="B26" s="8"/>
      <c r="C26" s="8" t="s">
        <v>24</v>
      </c>
      <c r="D26" s="18">
        <v>8118</v>
      </c>
      <c r="E26" s="19">
        <v>27962</v>
      </c>
      <c r="F26" s="19">
        <v>20964.099999999999</v>
      </c>
      <c r="G26" s="19">
        <v>34993.5</v>
      </c>
      <c r="H26" s="19">
        <v>-14029.400000000001</v>
      </c>
      <c r="I26" s="9">
        <v>-0.50173092053501189</v>
      </c>
      <c r="J26" s="9"/>
      <c r="K26" s="14"/>
      <c r="L26" s="50" t="s">
        <v>24</v>
      </c>
      <c r="M26" s="26">
        <v>4784</v>
      </c>
      <c r="N26" s="27">
        <v>27548.16</v>
      </c>
      <c r="O26" s="27">
        <v>11668.779999999999</v>
      </c>
      <c r="P26" s="27">
        <v>37554</v>
      </c>
      <c r="Q26" s="28">
        <v>-25885.22</v>
      </c>
      <c r="R26" s="29">
        <f>IFERROR(Q26/N26,"-")</f>
        <v>-0.93963516982622441</v>
      </c>
    </row>
    <row r="27" spans="2:18" x14ac:dyDescent="0.3">
      <c r="B27" s="8"/>
      <c r="C27" s="8" t="s">
        <v>7</v>
      </c>
      <c r="D27" s="18">
        <v>89460</v>
      </c>
      <c r="E27" s="19">
        <v>223064.18000000002</v>
      </c>
      <c r="F27" s="19">
        <v>94657.035767207824</v>
      </c>
      <c r="G27" s="19">
        <v>98669.999999999971</v>
      </c>
      <c r="H27" s="19">
        <v>-4012.9642327921465</v>
      </c>
      <c r="I27" s="9">
        <v>-1.7990177682459578E-2</v>
      </c>
      <c r="J27" s="9"/>
      <c r="K27" s="14"/>
      <c r="L27" s="50" t="s">
        <v>7</v>
      </c>
      <c r="M27" s="26">
        <v>77794</v>
      </c>
      <c r="N27" s="27">
        <v>360785.81</v>
      </c>
      <c r="O27" s="27">
        <v>68135.380000000019</v>
      </c>
      <c r="P27" s="27">
        <v>83080.780000000013</v>
      </c>
      <c r="Q27" s="28">
        <v>-14945.399999999994</v>
      </c>
      <c r="R27" s="29">
        <f>IFERROR(Q27/N27,"-")</f>
        <v>-4.142457820056724E-2</v>
      </c>
    </row>
    <row r="28" spans="2:18" x14ac:dyDescent="0.3">
      <c r="B28" s="8"/>
      <c r="C28" s="8" t="s">
        <v>25</v>
      </c>
      <c r="D28" s="18">
        <v>256992</v>
      </c>
      <c r="E28" s="19">
        <v>492712.63512960018</v>
      </c>
      <c r="F28" s="19">
        <v>205130.87999999995</v>
      </c>
      <c r="G28" s="19">
        <v>108732</v>
      </c>
      <c r="H28" s="19">
        <v>96398.879999999946</v>
      </c>
      <c r="I28" s="9">
        <v>0.19564929560745639</v>
      </c>
      <c r="J28" s="9"/>
      <c r="K28" s="14"/>
      <c r="L28" s="50" t="s">
        <v>25</v>
      </c>
      <c r="M28" s="26">
        <v>263444</v>
      </c>
      <c r="N28" s="27">
        <v>1477598.69</v>
      </c>
      <c r="O28" s="27">
        <v>239080.55999999997</v>
      </c>
      <c r="P28" s="27">
        <v>124079.99999999993</v>
      </c>
      <c r="Q28" s="27">
        <v>115000.56000000004</v>
      </c>
      <c r="R28" s="30">
        <f>IFERROR(Q28/N28,"-")</f>
        <v>7.7829359743138413E-2</v>
      </c>
    </row>
    <row r="29" spans="2:18" x14ac:dyDescent="0.3">
      <c r="B29" s="8"/>
      <c r="C29" s="8" t="s">
        <v>26</v>
      </c>
      <c r="D29" s="18">
        <v>79389</v>
      </c>
      <c r="E29" s="19">
        <v>515874.25073333323</v>
      </c>
      <c r="F29" s="19">
        <v>229705.6069058296</v>
      </c>
      <c r="G29" s="19">
        <v>284355.5</v>
      </c>
      <c r="H29" s="19">
        <v>-54649.893094170402</v>
      </c>
      <c r="I29" s="9">
        <v>-0.10593646226087787</v>
      </c>
      <c r="J29" s="9"/>
      <c r="K29" s="14"/>
      <c r="L29" s="50" t="s">
        <v>26</v>
      </c>
      <c r="M29" s="26">
        <v>62509</v>
      </c>
      <c r="N29" s="27">
        <v>354723.30000000005</v>
      </c>
      <c r="O29" s="27">
        <v>171206.84000000017</v>
      </c>
      <c r="P29" s="27">
        <v>269780.59631780215</v>
      </c>
      <c r="Q29" s="28">
        <v>-98573.756317801977</v>
      </c>
      <c r="R29" s="29">
        <f>IFERROR(Q29/N29,"-")</f>
        <v>-0.2778891499876156</v>
      </c>
    </row>
    <row r="30" spans="2:18" x14ac:dyDescent="0.3">
      <c r="B30" s="8"/>
      <c r="C30" s="8" t="s">
        <v>27</v>
      </c>
      <c r="D30" s="18">
        <v>417724</v>
      </c>
      <c r="E30" s="19">
        <v>801538.6455000001</v>
      </c>
      <c r="F30" s="19">
        <v>263354.67</v>
      </c>
      <c r="G30" s="19">
        <v>238517.50000000003</v>
      </c>
      <c r="H30" s="19">
        <v>24837.169999999955</v>
      </c>
      <c r="I30" s="9">
        <v>3.0986865249031777E-2</v>
      </c>
      <c r="J30" s="9"/>
      <c r="K30" s="14"/>
      <c r="L30" s="50" t="s">
        <v>27</v>
      </c>
      <c r="M30" s="26">
        <v>416299</v>
      </c>
      <c r="N30" s="27">
        <v>2351917.39</v>
      </c>
      <c r="O30" s="27">
        <v>315411.83</v>
      </c>
      <c r="P30" s="27">
        <v>288860.00000000006</v>
      </c>
      <c r="Q30" s="27">
        <v>26551.829999999958</v>
      </c>
      <c r="R30" s="30">
        <f>IFERROR(Q30/N30,"-")</f>
        <v>1.1289439889723319E-2</v>
      </c>
    </row>
    <row r="31" spans="2:18" x14ac:dyDescent="0.3">
      <c r="B31" s="8"/>
      <c r="C31" s="8" t="s">
        <v>28</v>
      </c>
      <c r="D31" s="18">
        <v>238960</v>
      </c>
      <c r="E31" s="19">
        <v>307178.03999999998</v>
      </c>
      <c r="F31" s="19">
        <v>115833</v>
      </c>
      <c r="G31" s="19">
        <v>110537.99999999999</v>
      </c>
      <c r="H31" s="19">
        <v>5295.0000000000146</v>
      </c>
      <c r="I31" s="9">
        <v>1.7237560341227566E-2</v>
      </c>
      <c r="J31" s="9"/>
      <c r="K31" s="14"/>
      <c r="L31" s="50" t="s">
        <v>28</v>
      </c>
      <c r="M31" s="26">
        <v>355406</v>
      </c>
      <c r="N31" s="27">
        <v>506547.31999999995</v>
      </c>
      <c r="O31" s="27">
        <v>157006.79000000012</v>
      </c>
      <c r="P31" s="27">
        <v>138788.69999999995</v>
      </c>
      <c r="Q31" s="27">
        <v>18218.090000000171</v>
      </c>
      <c r="R31" s="30">
        <f>IFERROR(Q31/N31,"-")</f>
        <v>3.5965228283115137E-2</v>
      </c>
    </row>
    <row r="32" spans="2:18" x14ac:dyDescent="0.3">
      <c r="B32" s="8" t="s">
        <v>33</v>
      </c>
      <c r="C32" s="8"/>
      <c r="D32" s="18">
        <v>1117815</v>
      </c>
      <c r="E32" s="19">
        <v>2558057.8622629335</v>
      </c>
      <c r="F32" s="19">
        <v>1013927.4026730373</v>
      </c>
      <c r="G32" s="19">
        <v>955048.5</v>
      </c>
      <c r="H32" s="19">
        <v>58878.902673037839</v>
      </c>
      <c r="I32" s="9">
        <v>2.3017033172561558E-2</v>
      </c>
      <c r="J32" s="9"/>
      <c r="K32" s="15" t="s">
        <v>33</v>
      </c>
      <c r="L32" s="25"/>
      <c r="M32" s="31">
        <f t="shared" ref="M32:Q32" si="2">SUM(M24:M31)</f>
        <v>1206729</v>
      </c>
      <c r="N32" s="32">
        <f t="shared" si="2"/>
        <v>5232529.41</v>
      </c>
      <c r="O32" s="32">
        <f t="shared" si="2"/>
        <v>1047460.8200000004</v>
      </c>
      <c r="P32" s="32">
        <f t="shared" si="2"/>
        <v>1033866.5563178021</v>
      </c>
      <c r="Q32" s="32">
        <f t="shared" si="2"/>
        <v>13594.263682198216</v>
      </c>
      <c r="R32" s="33">
        <f>IFERROR(Q32/N32,"-")</f>
        <v>2.5980291016077092E-3</v>
      </c>
    </row>
    <row r="33" spans="2:18" x14ac:dyDescent="0.3">
      <c r="B33" s="8" t="s">
        <v>34</v>
      </c>
      <c r="C33" s="8" t="s">
        <v>4</v>
      </c>
      <c r="D33" s="18">
        <v>14178</v>
      </c>
      <c r="E33" s="19">
        <v>75139.849999999991</v>
      </c>
      <c r="F33" s="19">
        <v>33695</v>
      </c>
      <c r="G33" s="19">
        <v>45540</v>
      </c>
      <c r="H33" s="19">
        <v>-11845</v>
      </c>
      <c r="I33" s="9">
        <v>-0.15763938842039213</v>
      </c>
      <c r="J33" s="9"/>
      <c r="K33" s="14" t="s">
        <v>34</v>
      </c>
      <c r="L33" s="50" t="s">
        <v>4</v>
      </c>
      <c r="M33" s="26">
        <v>42537</v>
      </c>
      <c r="N33" s="27">
        <v>847388.78000000014</v>
      </c>
      <c r="O33" s="27">
        <v>39532.44000000001</v>
      </c>
      <c r="P33" s="27">
        <v>39436.320000000014</v>
      </c>
      <c r="Q33" s="27">
        <v>96.119999999995343</v>
      </c>
      <c r="R33" s="30">
        <f>IFERROR(Q33/N33,"-")</f>
        <v>1.1343081507403877E-4</v>
      </c>
    </row>
    <row r="34" spans="2:18" x14ac:dyDescent="0.3">
      <c r="B34" s="8"/>
      <c r="C34" s="8" t="s">
        <v>23</v>
      </c>
      <c r="D34" s="18">
        <v>5936</v>
      </c>
      <c r="E34" s="19">
        <v>56320.880000000005</v>
      </c>
      <c r="F34" s="19">
        <v>25256</v>
      </c>
      <c r="G34" s="19">
        <v>33702</v>
      </c>
      <c r="H34" s="19">
        <v>-8446</v>
      </c>
      <c r="I34" s="9">
        <v>-0.14996214547784054</v>
      </c>
      <c r="J34" s="9"/>
      <c r="K34" s="14"/>
      <c r="L34" s="50" t="s">
        <v>23</v>
      </c>
      <c r="M34" s="26">
        <v>13702</v>
      </c>
      <c r="N34" s="27">
        <v>119926.13000000002</v>
      </c>
      <c r="O34" s="27">
        <v>36906.789999999994</v>
      </c>
      <c r="P34" s="27">
        <v>24219</v>
      </c>
      <c r="Q34" s="27">
        <v>12687.789999999994</v>
      </c>
      <c r="R34" s="30">
        <f>IFERROR(Q34/N34,"-")</f>
        <v>0.105796710024746</v>
      </c>
    </row>
    <row r="35" spans="2:18" x14ac:dyDescent="0.3">
      <c r="B35" s="8"/>
      <c r="C35" s="8" t="s">
        <v>24</v>
      </c>
      <c r="D35" s="18">
        <v>4209</v>
      </c>
      <c r="E35" s="19">
        <v>26707.850000000002</v>
      </c>
      <c r="F35" s="19">
        <v>25445.149999999998</v>
      </c>
      <c r="G35" s="19">
        <v>34993.5</v>
      </c>
      <c r="H35" s="19">
        <v>-9548.3500000000022</v>
      </c>
      <c r="I35" s="9">
        <v>-0.35751099395870506</v>
      </c>
      <c r="J35" s="9"/>
      <c r="K35" s="14"/>
      <c r="L35" s="50" t="s">
        <v>24</v>
      </c>
      <c r="M35" s="26">
        <v>2350</v>
      </c>
      <c r="N35" s="27">
        <v>23536.7</v>
      </c>
      <c r="O35" s="27">
        <v>14059.9</v>
      </c>
      <c r="P35" s="27">
        <v>23898</v>
      </c>
      <c r="Q35" s="28">
        <v>-9838.1</v>
      </c>
      <c r="R35" s="29">
        <f>IFERROR(Q35/N35,"-")</f>
        <v>-0.41798977766636786</v>
      </c>
    </row>
    <row r="36" spans="2:18" x14ac:dyDescent="0.3">
      <c r="B36" s="8"/>
      <c r="C36" s="8" t="s">
        <v>7</v>
      </c>
      <c r="D36" s="18">
        <v>128720</v>
      </c>
      <c r="E36" s="19">
        <v>215396.416</v>
      </c>
      <c r="F36" s="19">
        <v>75103.343068831324</v>
      </c>
      <c r="G36" s="19">
        <v>98670</v>
      </c>
      <c r="H36" s="19">
        <v>-23566.656931168676</v>
      </c>
      <c r="I36" s="9">
        <v>-0.10941062701418708</v>
      </c>
      <c r="J36" s="9"/>
      <c r="K36" s="14"/>
      <c r="L36" s="50" t="s">
        <v>7</v>
      </c>
      <c r="M36" s="26">
        <v>92653</v>
      </c>
      <c r="N36" s="27">
        <v>1630423.7000000002</v>
      </c>
      <c r="O36" s="27">
        <v>58689.579999999987</v>
      </c>
      <c r="P36" s="27">
        <v>59911.040000000008</v>
      </c>
      <c r="Q36" s="28">
        <v>-1221.460000000021</v>
      </c>
      <c r="R36" s="29">
        <f>IFERROR(Q36/N36,"-")</f>
        <v>-7.4916722567270136E-4</v>
      </c>
    </row>
    <row r="37" spans="2:18" x14ac:dyDescent="0.3">
      <c r="B37" s="8"/>
      <c r="C37" s="8" t="s">
        <v>25</v>
      </c>
      <c r="D37" s="18">
        <v>178164</v>
      </c>
      <c r="E37" s="19">
        <v>335583.33552897151</v>
      </c>
      <c r="F37" s="19">
        <v>129447.71511551997</v>
      </c>
      <c r="G37" s="19">
        <v>108732.00000000001</v>
      </c>
      <c r="H37" s="19">
        <v>20715.715115519954</v>
      </c>
      <c r="I37" s="9">
        <v>6.1730464305881867E-2</v>
      </c>
      <c r="J37" s="9"/>
      <c r="K37" s="14"/>
      <c r="L37" s="50" t="s">
        <v>25</v>
      </c>
      <c r="M37" s="26">
        <v>188925</v>
      </c>
      <c r="N37" s="27">
        <v>1132236.3840000001</v>
      </c>
      <c r="O37" s="27">
        <v>139607.33999999988</v>
      </c>
      <c r="P37" s="27">
        <v>78120</v>
      </c>
      <c r="Q37" s="27">
        <v>61487.33999999988</v>
      </c>
      <c r="R37" s="30">
        <f>IFERROR(Q37/N37,"-")</f>
        <v>5.4306097974678648E-2</v>
      </c>
    </row>
    <row r="38" spans="2:18" x14ac:dyDescent="0.3">
      <c r="B38" s="8"/>
      <c r="C38" s="8" t="s">
        <v>26</v>
      </c>
      <c r="D38" s="18">
        <v>56290</v>
      </c>
      <c r="E38" s="19">
        <v>345008.81849999999</v>
      </c>
      <c r="F38" s="19">
        <v>150705.65</v>
      </c>
      <c r="G38" s="19">
        <v>284355.50000000006</v>
      </c>
      <c r="H38" s="19">
        <v>-133649.85000000006</v>
      </c>
      <c r="I38" s="9">
        <v>-0.38738096777082837</v>
      </c>
      <c r="J38" s="9"/>
      <c r="K38" s="14"/>
      <c r="L38" s="50" t="s">
        <v>26</v>
      </c>
      <c r="M38" s="26">
        <v>95540</v>
      </c>
      <c r="N38" s="27">
        <v>615947.47000000009</v>
      </c>
      <c r="O38" s="27">
        <v>117946.69999999998</v>
      </c>
      <c r="P38" s="27">
        <v>145599.99999999997</v>
      </c>
      <c r="Q38" s="28">
        <v>-27653.299999999988</v>
      </c>
      <c r="R38" s="29">
        <f>IFERROR(Q38/N38,"-")</f>
        <v>-4.4895549290915965E-2</v>
      </c>
    </row>
    <row r="39" spans="2:18" x14ac:dyDescent="0.3">
      <c r="B39" s="8"/>
      <c r="C39" s="8" t="s">
        <v>27</v>
      </c>
      <c r="D39" s="18">
        <v>377487</v>
      </c>
      <c r="E39" s="19">
        <v>703546.54526666657</v>
      </c>
      <c r="F39" s="19">
        <v>303411.05999999994</v>
      </c>
      <c r="G39" s="19">
        <v>238517.50000000003</v>
      </c>
      <c r="H39" s="19">
        <v>64893.55999999991</v>
      </c>
      <c r="I39" s="9">
        <v>9.2237763708161169E-2</v>
      </c>
      <c r="J39" s="9"/>
      <c r="K39" s="14"/>
      <c r="L39" s="50" t="s">
        <v>27</v>
      </c>
      <c r="M39" s="26">
        <v>265691</v>
      </c>
      <c r="N39" s="27">
        <v>880509.38000000012</v>
      </c>
      <c r="O39" s="27">
        <v>199705.40999999997</v>
      </c>
      <c r="P39" s="27">
        <v>141623.99999999994</v>
      </c>
      <c r="Q39" s="27">
        <v>58081.410000000033</v>
      </c>
      <c r="R39" s="30">
        <f>IFERROR(Q39/N39,"-")</f>
        <v>6.596341994675857E-2</v>
      </c>
    </row>
    <row r="40" spans="2:18" x14ac:dyDescent="0.3">
      <c r="B40" s="8"/>
      <c r="C40" s="8" t="s">
        <v>28</v>
      </c>
      <c r="D40" s="18">
        <v>234230</v>
      </c>
      <c r="E40" s="19">
        <v>345243.6</v>
      </c>
      <c r="F40" s="19">
        <v>122241.9</v>
      </c>
      <c r="G40" s="19">
        <v>110538</v>
      </c>
      <c r="H40" s="19">
        <v>11703.899999999994</v>
      </c>
      <c r="I40" s="9">
        <v>3.3900411187926423E-2</v>
      </c>
      <c r="J40" s="9"/>
      <c r="K40" s="14"/>
      <c r="L40" s="50" t="s">
        <v>28</v>
      </c>
      <c r="M40" s="26">
        <v>245522</v>
      </c>
      <c r="N40" s="27">
        <v>313382.95</v>
      </c>
      <c r="O40" s="27">
        <v>101772.32999999999</v>
      </c>
      <c r="P40" s="27">
        <v>93659.199999999924</v>
      </c>
      <c r="Q40" s="27">
        <v>8113.1300000000629</v>
      </c>
      <c r="R40" s="30">
        <f>IFERROR(Q40/N40,"-")</f>
        <v>2.5888868555229514E-2</v>
      </c>
    </row>
    <row r="41" spans="2:18" x14ac:dyDescent="0.3">
      <c r="B41" s="8" t="s">
        <v>35</v>
      </c>
      <c r="C41" s="8"/>
      <c r="D41" s="18">
        <v>999214</v>
      </c>
      <c r="E41" s="19">
        <v>2102947.295295638</v>
      </c>
      <c r="F41" s="19">
        <v>865305.81818435132</v>
      </c>
      <c r="G41" s="19">
        <v>955048.5</v>
      </c>
      <c r="H41" s="19">
        <v>-89742.681815648451</v>
      </c>
      <c r="I41" s="9">
        <v>-4.2674717534008449E-2</v>
      </c>
      <c r="J41" s="9"/>
      <c r="K41" s="15" t="s">
        <v>35</v>
      </c>
      <c r="L41" s="25"/>
      <c r="M41" s="31">
        <f t="shared" ref="M41:Q41" si="3">SUM(M33:M40)</f>
        <v>946920</v>
      </c>
      <c r="N41" s="32">
        <f t="shared" si="3"/>
        <v>5563351.4940000009</v>
      </c>
      <c r="O41" s="32">
        <f t="shared" si="3"/>
        <v>708220.48999999987</v>
      </c>
      <c r="P41" s="32">
        <f t="shared" si="3"/>
        <v>606467.55999999982</v>
      </c>
      <c r="Q41" s="32">
        <f t="shared" si="3"/>
        <v>101752.92999999996</v>
      </c>
      <c r="R41" s="33">
        <f>IFERROR(Q41/N41,"-")</f>
        <v>1.8289861805377408E-2</v>
      </c>
    </row>
    <row r="42" spans="2:18" x14ac:dyDescent="0.3">
      <c r="B42" s="8" t="s">
        <v>36</v>
      </c>
      <c r="C42" s="8" t="s">
        <v>4</v>
      </c>
      <c r="D42" s="18">
        <v>22945</v>
      </c>
      <c r="E42" s="19">
        <v>117518.21249999999</v>
      </c>
      <c r="F42" s="19">
        <v>52698.75</v>
      </c>
      <c r="G42" s="19">
        <v>45540.000000000007</v>
      </c>
      <c r="H42" s="19">
        <v>7158.7499999999927</v>
      </c>
      <c r="I42" s="9">
        <v>6.0916089920955811E-2</v>
      </c>
      <c r="J42" s="9"/>
      <c r="K42" s="14" t="s">
        <v>36</v>
      </c>
      <c r="L42" s="50" t="s">
        <v>4</v>
      </c>
      <c r="M42" s="26">
        <v>22406</v>
      </c>
      <c r="N42" s="27">
        <v>57060.84</v>
      </c>
      <c r="O42" s="27">
        <v>51396.489999999991</v>
      </c>
      <c r="P42" s="27">
        <v>51752.51999999999</v>
      </c>
      <c r="Q42" s="28">
        <v>-356.02999999999884</v>
      </c>
      <c r="R42" s="29">
        <f>IFERROR(Q42/N42,"-")</f>
        <v>-6.2394805263995216E-3</v>
      </c>
    </row>
    <row r="43" spans="2:18" x14ac:dyDescent="0.3">
      <c r="B43" s="8"/>
      <c r="C43" s="8" t="s">
        <v>23</v>
      </c>
      <c r="D43" s="18">
        <v>9744</v>
      </c>
      <c r="E43" s="19">
        <v>92536.08</v>
      </c>
      <c r="F43" s="19">
        <v>41496</v>
      </c>
      <c r="G43" s="19">
        <v>33702</v>
      </c>
      <c r="H43" s="19">
        <v>7794</v>
      </c>
      <c r="I43" s="9">
        <v>8.4226606530123163E-2</v>
      </c>
      <c r="J43" s="9"/>
      <c r="K43" s="14"/>
      <c r="L43" s="50" t="s">
        <v>23</v>
      </c>
      <c r="M43" s="26">
        <v>9600</v>
      </c>
      <c r="N43" s="27">
        <v>87449.62000000001</v>
      </c>
      <c r="O43" s="27">
        <v>39077.85</v>
      </c>
      <c r="P43" s="27">
        <v>35532</v>
      </c>
      <c r="Q43" s="27">
        <v>3545.8499999999985</v>
      </c>
      <c r="R43" s="30">
        <f>IFERROR(Q43/N43,"-")</f>
        <v>4.0547346003333096E-2</v>
      </c>
    </row>
    <row r="44" spans="2:18" x14ac:dyDescent="0.3">
      <c r="B44" s="8"/>
      <c r="C44" s="8" t="s">
        <v>24</v>
      </c>
      <c r="D44" s="18">
        <v>4022</v>
      </c>
      <c r="E44" s="19">
        <v>22298.5</v>
      </c>
      <c r="F44" s="19">
        <v>20691.900000000001</v>
      </c>
      <c r="G44" s="19">
        <v>34993.5</v>
      </c>
      <c r="H44" s="19">
        <v>-14301.599999999999</v>
      </c>
      <c r="I44" s="9">
        <v>-0.64137049577325822</v>
      </c>
      <c r="J44" s="9"/>
      <c r="K44" s="14"/>
      <c r="L44" s="50" t="s">
        <v>24</v>
      </c>
      <c r="M44" s="26">
        <v>4572</v>
      </c>
      <c r="N44" s="27">
        <v>50732.140000000007</v>
      </c>
      <c r="O44" s="27">
        <v>19536.999999999996</v>
      </c>
      <c r="P44" s="27">
        <v>35847</v>
      </c>
      <c r="Q44" s="28">
        <v>-16310.000000000004</v>
      </c>
      <c r="R44" s="29">
        <f>IFERROR(Q44/N44,"-")</f>
        <v>-0.32149245034804369</v>
      </c>
    </row>
    <row r="45" spans="2:18" x14ac:dyDescent="0.3">
      <c r="B45" s="8"/>
      <c r="C45" s="8" t="s">
        <v>7</v>
      </c>
      <c r="D45" s="18">
        <v>184000</v>
      </c>
      <c r="E45" s="19">
        <v>267218.45</v>
      </c>
      <c r="F45" s="19">
        <v>92970.178836039151</v>
      </c>
      <c r="G45" s="19">
        <v>98670.000000000015</v>
      </c>
      <c r="H45" s="19">
        <v>-5699.8211639608635</v>
      </c>
      <c r="I45" s="9">
        <v>-2.1330193195720069E-2</v>
      </c>
      <c r="J45" s="9"/>
      <c r="K45" s="14"/>
      <c r="L45" s="50" t="s">
        <v>7</v>
      </c>
      <c r="M45" s="26">
        <v>144833</v>
      </c>
      <c r="N45" s="27">
        <v>468702.83</v>
      </c>
      <c r="O45" s="27">
        <v>89744.88999999997</v>
      </c>
      <c r="P45" s="27">
        <v>99638.480000000025</v>
      </c>
      <c r="Q45" s="28">
        <v>-9893.5900000000547</v>
      </c>
      <c r="R45" s="29">
        <f>IFERROR(Q45/N45,"-")</f>
        <v>-2.1108449462530564E-2</v>
      </c>
    </row>
    <row r="46" spans="2:18" x14ac:dyDescent="0.3">
      <c r="B46" s="8"/>
      <c r="C46" s="8" t="s">
        <v>25</v>
      </c>
      <c r="D46" s="18">
        <v>257496</v>
      </c>
      <c r="E46" s="19">
        <v>504108.26857142866</v>
      </c>
      <c r="F46" s="19">
        <v>190933.08488429571</v>
      </c>
      <c r="G46" s="19">
        <v>108732</v>
      </c>
      <c r="H46" s="19">
        <v>82201.084884295706</v>
      </c>
      <c r="I46" s="9">
        <v>0.16306236181612715</v>
      </c>
      <c r="J46" s="9"/>
      <c r="K46" s="14"/>
      <c r="L46" s="50" t="s">
        <v>25</v>
      </c>
      <c r="M46" s="26">
        <v>269009</v>
      </c>
      <c r="N46" s="27">
        <v>1237499.0500000003</v>
      </c>
      <c r="O46" s="27">
        <v>188338.05000000013</v>
      </c>
      <c r="P46" s="27">
        <v>110124</v>
      </c>
      <c r="Q46" s="27">
        <v>78214.050000000134</v>
      </c>
      <c r="R46" s="30">
        <f>IFERROR(Q46/N46,"-")</f>
        <v>6.3203321246994182E-2</v>
      </c>
    </row>
    <row r="47" spans="2:18" x14ac:dyDescent="0.3">
      <c r="B47" s="8"/>
      <c r="C47" s="8" t="s">
        <v>26</v>
      </c>
      <c r="D47" s="18">
        <v>73446</v>
      </c>
      <c r="E47" s="19">
        <v>383202.35259999998</v>
      </c>
      <c r="F47" s="19">
        <v>171839.62</v>
      </c>
      <c r="G47" s="19">
        <v>284355.49999999994</v>
      </c>
      <c r="H47" s="19">
        <v>-112515.87999999995</v>
      </c>
      <c r="I47" s="9">
        <v>-0.29362001364706641</v>
      </c>
      <c r="J47" s="9"/>
      <c r="K47" s="14"/>
      <c r="L47" s="50" t="s">
        <v>26</v>
      </c>
      <c r="M47" s="26">
        <v>109127</v>
      </c>
      <c r="N47" s="27">
        <v>789818.53</v>
      </c>
      <c r="O47" s="27">
        <v>154333.79999999996</v>
      </c>
      <c r="P47" s="27">
        <v>255334.99999999991</v>
      </c>
      <c r="Q47" s="28">
        <v>-101001.19999999995</v>
      </c>
      <c r="R47" s="29">
        <f>IFERROR(Q47/N47,"-")</f>
        <v>-0.12787899519146501</v>
      </c>
    </row>
    <row r="48" spans="2:18" x14ac:dyDescent="0.3">
      <c r="B48" s="8"/>
      <c r="C48" s="8" t="s">
        <v>27</v>
      </c>
      <c r="D48" s="18">
        <v>457592</v>
      </c>
      <c r="E48" s="19">
        <v>858752.85773333348</v>
      </c>
      <c r="F48" s="19">
        <v>326114.84000000003</v>
      </c>
      <c r="G48" s="19">
        <v>238517.5</v>
      </c>
      <c r="H48" s="19">
        <v>87597.340000000026</v>
      </c>
      <c r="I48" s="9">
        <v>0.10200529664752676</v>
      </c>
      <c r="J48" s="9"/>
      <c r="K48" s="14"/>
      <c r="L48" s="50" t="s">
        <v>27</v>
      </c>
      <c r="M48" s="26">
        <v>473626</v>
      </c>
      <c r="N48" s="27">
        <v>2461537.44</v>
      </c>
      <c r="O48" s="27">
        <v>335954.56999999995</v>
      </c>
      <c r="P48" s="27">
        <v>287570.00000000006</v>
      </c>
      <c r="Q48" s="27">
        <v>48384.569999999891</v>
      </c>
      <c r="R48" s="30">
        <f>IFERROR(Q48/N48,"-")</f>
        <v>1.965623971983944E-2</v>
      </c>
    </row>
    <row r="49" spans="2:18" x14ac:dyDescent="0.3">
      <c r="B49" s="8"/>
      <c r="C49" s="8" t="s">
        <v>28</v>
      </c>
      <c r="D49" s="18">
        <v>290720</v>
      </c>
      <c r="E49" s="19">
        <v>377299</v>
      </c>
      <c r="F49" s="19">
        <v>135831.6</v>
      </c>
      <c r="G49" s="19">
        <v>110538</v>
      </c>
      <c r="H49" s="19">
        <v>25293.600000000006</v>
      </c>
      <c r="I49" s="9">
        <v>6.7038608636651578E-2</v>
      </c>
      <c r="J49" s="9"/>
      <c r="K49" s="14"/>
      <c r="L49" s="50" t="s">
        <v>28</v>
      </c>
      <c r="M49" s="26">
        <v>202181</v>
      </c>
      <c r="N49" s="27">
        <v>369285.69</v>
      </c>
      <c r="O49" s="27">
        <v>103077.24000000003</v>
      </c>
      <c r="P49" s="27">
        <v>134420.11817587444</v>
      </c>
      <c r="Q49" s="28">
        <v>-31342.878175874401</v>
      </c>
      <c r="R49" s="29">
        <f>IFERROR(Q49/N49,"-")</f>
        <v>-8.4874337199132732E-2</v>
      </c>
    </row>
    <row r="50" spans="2:18" x14ac:dyDescent="0.3">
      <c r="B50" s="8" t="s">
        <v>37</v>
      </c>
      <c r="C50" s="8"/>
      <c r="D50" s="18">
        <v>1299965</v>
      </c>
      <c r="E50" s="19">
        <v>2622933.721404762</v>
      </c>
      <c r="F50" s="19">
        <v>1032575.9737203348</v>
      </c>
      <c r="G50" s="19">
        <v>955048.5</v>
      </c>
      <c r="H50" s="19">
        <v>77527.473720335402</v>
      </c>
      <c r="I50" s="9">
        <v>2.9557542033053771E-2</v>
      </c>
      <c r="J50" s="9"/>
      <c r="K50" s="15" t="s">
        <v>37</v>
      </c>
      <c r="L50" s="25"/>
      <c r="M50" s="31">
        <f t="shared" ref="M50:Q50" si="4">SUM(M42:M49)</f>
        <v>1235354</v>
      </c>
      <c r="N50" s="32">
        <f t="shared" si="4"/>
        <v>5522086.1400000015</v>
      </c>
      <c r="O50" s="32">
        <f t="shared" si="4"/>
        <v>981459.89</v>
      </c>
      <c r="P50" s="32">
        <f t="shared" si="4"/>
        <v>1010219.1181758745</v>
      </c>
      <c r="Q50" s="34">
        <f t="shared" si="4"/>
        <v>-28759.228175874392</v>
      </c>
      <c r="R50" s="35">
        <f>IFERROR(Q50/N50,"-")</f>
        <v>-5.2080368626546605E-3</v>
      </c>
    </row>
    <row r="51" spans="2:18" x14ac:dyDescent="0.3">
      <c r="B51" s="8" t="s">
        <v>38</v>
      </c>
      <c r="C51" s="8" t="s">
        <v>4</v>
      </c>
      <c r="D51" s="18">
        <v>20250</v>
      </c>
      <c r="E51" s="19">
        <v>97601.524999999994</v>
      </c>
      <c r="F51" s="19">
        <v>43767.5</v>
      </c>
      <c r="G51" s="19">
        <v>45540</v>
      </c>
      <c r="H51" s="19">
        <v>-1772.5</v>
      </c>
      <c r="I51" s="9">
        <v>-1.8160576896723693E-2</v>
      </c>
      <c r="J51" s="9"/>
      <c r="K51" s="14" t="s">
        <v>38</v>
      </c>
      <c r="L51" s="50" t="s">
        <v>4</v>
      </c>
      <c r="M51" s="26">
        <v>19468</v>
      </c>
      <c r="N51" s="27">
        <v>52066.240000000005</v>
      </c>
      <c r="O51" s="27">
        <v>48623.729999999989</v>
      </c>
      <c r="P51" s="27">
        <v>47862.840000000004</v>
      </c>
      <c r="Q51" s="27">
        <v>760.88999999998487</v>
      </c>
      <c r="R51" s="30">
        <f>IFERROR(Q51/N51,"-")</f>
        <v>1.4613884159869904E-2</v>
      </c>
    </row>
    <row r="52" spans="2:18" x14ac:dyDescent="0.3">
      <c r="B52" s="8"/>
      <c r="C52" s="8" t="s">
        <v>23</v>
      </c>
      <c r="D52" s="18">
        <v>9960</v>
      </c>
      <c r="E52" s="19">
        <v>95024.760000000009</v>
      </c>
      <c r="F52" s="19">
        <v>42612</v>
      </c>
      <c r="G52" s="19">
        <v>33702</v>
      </c>
      <c r="H52" s="19">
        <v>8910</v>
      </c>
      <c r="I52" s="9">
        <v>9.3765035554943782E-2</v>
      </c>
      <c r="J52" s="9"/>
      <c r="K52" s="14"/>
      <c r="L52" s="50" t="s">
        <v>23</v>
      </c>
      <c r="M52" s="26">
        <v>16857</v>
      </c>
      <c r="N52" s="27">
        <v>94065.249999999985</v>
      </c>
      <c r="O52" s="27">
        <v>54058.549999999981</v>
      </c>
      <c r="P52" s="27">
        <v>41760</v>
      </c>
      <c r="Q52" s="27">
        <v>12298.549999999981</v>
      </c>
      <c r="R52" s="30">
        <f>IFERROR(Q52/N52,"-")</f>
        <v>0.1307448818772074</v>
      </c>
    </row>
    <row r="53" spans="2:18" x14ac:dyDescent="0.3">
      <c r="B53" s="8"/>
      <c r="C53" s="8" t="s">
        <v>24</v>
      </c>
      <c r="D53" s="18">
        <v>28000</v>
      </c>
      <c r="E53" s="19">
        <v>53200</v>
      </c>
      <c r="F53" s="19">
        <v>21280</v>
      </c>
      <c r="G53" s="19">
        <v>34993.5</v>
      </c>
      <c r="H53" s="19">
        <v>-13713.5</v>
      </c>
      <c r="I53" s="9">
        <v>-0.25777255639097746</v>
      </c>
      <c r="J53" s="9"/>
      <c r="K53" s="14"/>
      <c r="L53" s="50" t="s">
        <v>24</v>
      </c>
      <c r="M53" s="26">
        <v>3035</v>
      </c>
      <c r="N53" s="27">
        <v>22437.84</v>
      </c>
      <c r="O53" s="27">
        <v>22269.35</v>
      </c>
      <c r="P53" s="27">
        <v>17480</v>
      </c>
      <c r="Q53" s="27">
        <v>4789.3499999999985</v>
      </c>
      <c r="R53" s="30">
        <f>IFERROR(Q53/N53,"-")</f>
        <v>0.21344969034452507</v>
      </c>
    </row>
    <row r="54" spans="2:18" x14ac:dyDescent="0.3">
      <c r="B54" s="8"/>
      <c r="C54" s="8" t="s">
        <v>7</v>
      </c>
      <c r="D54" s="18">
        <v>146960</v>
      </c>
      <c r="E54" s="19">
        <v>241098</v>
      </c>
      <c r="F54" s="19">
        <v>88151.999999999985</v>
      </c>
      <c r="G54" s="19">
        <v>98670</v>
      </c>
      <c r="H54" s="19">
        <v>-10518.000000000015</v>
      </c>
      <c r="I54" s="9">
        <v>-4.3625413732175357E-2</v>
      </c>
      <c r="J54" s="9"/>
      <c r="K54" s="14"/>
      <c r="L54" s="50" t="s">
        <v>7</v>
      </c>
      <c r="M54" s="26">
        <v>73422</v>
      </c>
      <c r="N54" s="27">
        <v>427034.16999999993</v>
      </c>
      <c r="O54" s="27">
        <v>87854.06</v>
      </c>
      <c r="P54" s="27">
        <v>103702.84000000004</v>
      </c>
      <c r="Q54" s="28">
        <v>-15848.780000000042</v>
      </c>
      <c r="R54" s="29">
        <f>IFERROR(Q54/N54,"-")</f>
        <v>-3.711361083821476E-2</v>
      </c>
    </row>
    <row r="55" spans="2:18" x14ac:dyDescent="0.3">
      <c r="B55" s="8"/>
      <c r="C55" s="8" t="s">
        <v>25</v>
      </c>
      <c r="D55" s="18">
        <v>240000</v>
      </c>
      <c r="E55" s="19">
        <v>456000</v>
      </c>
      <c r="F55" s="19">
        <v>182400</v>
      </c>
      <c r="G55" s="19">
        <v>108732</v>
      </c>
      <c r="H55" s="19">
        <v>73668</v>
      </c>
      <c r="I55" s="9">
        <v>0.16155263157894736</v>
      </c>
      <c r="J55" s="9"/>
      <c r="K55" s="14"/>
      <c r="L55" s="50" t="s">
        <v>25</v>
      </c>
      <c r="M55" s="26">
        <v>248948</v>
      </c>
      <c r="N55" s="27">
        <v>880379.92999999982</v>
      </c>
      <c r="O55" s="27">
        <v>173828.76999999993</v>
      </c>
      <c r="P55" s="27">
        <v>107760</v>
      </c>
      <c r="Q55" s="27">
        <v>66068.769999999931</v>
      </c>
      <c r="R55" s="30">
        <f>IFERROR(Q55/N55,"-")</f>
        <v>7.5045747578548219E-2</v>
      </c>
    </row>
    <row r="56" spans="2:18" x14ac:dyDescent="0.3">
      <c r="B56" s="8"/>
      <c r="C56" s="8" t="s">
        <v>26</v>
      </c>
      <c r="D56" s="18">
        <v>67213</v>
      </c>
      <c r="E56" s="19">
        <v>355150.46899999998</v>
      </c>
      <c r="F56" s="19">
        <v>159260.29999999999</v>
      </c>
      <c r="G56" s="19">
        <v>284355.5</v>
      </c>
      <c r="H56" s="19">
        <v>-125095.20000000001</v>
      </c>
      <c r="I56" s="9">
        <v>-0.35223154949571533</v>
      </c>
      <c r="J56" s="9"/>
      <c r="K56" s="14"/>
      <c r="L56" s="50" t="s">
        <v>26</v>
      </c>
      <c r="M56" s="26">
        <v>38514</v>
      </c>
      <c r="N56" s="27">
        <v>195396.46999999997</v>
      </c>
      <c r="O56" s="27">
        <v>165486.96999999988</v>
      </c>
      <c r="P56" s="27">
        <v>241080</v>
      </c>
      <c r="Q56" s="28">
        <v>-75593.030000000115</v>
      </c>
      <c r="R56" s="29">
        <f>IFERROR(Q56/N56,"-")</f>
        <v>-0.3868699879788009</v>
      </c>
    </row>
    <row r="57" spans="2:18" x14ac:dyDescent="0.3">
      <c r="B57" s="8"/>
      <c r="C57" s="8" t="s">
        <v>27</v>
      </c>
      <c r="D57" s="18">
        <v>430340</v>
      </c>
      <c r="E57" s="19">
        <v>829490.02399999998</v>
      </c>
      <c r="F57" s="19">
        <v>333080</v>
      </c>
      <c r="G57" s="19">
        <v>238517.5</v>
      </c>
      <c r="H57" s="19">
        <v>94562.5</v>
      </c>
      <c r="I57" s="9">
        <v>0.11400076825999296</v>
      </c>
      <c r="J57" s="9"/>
      <c r="K57" s="14"/>
      <c r="L57" s="50" t="s">
        <v>27</v>
      </c>
      <c r="M57" s="26">
        <v>467112</v>
      </c>
      <c r="N57" s="27">
        <v>1701310.55</v>
      </c>
      <c r="O57" s="27">
        <v>327295.68</v>
      </c>
      <c r="P57" s="27">
        <v>257399.99999999977</v>
      </c>
      <c r="Q57" s="27">
        <v>69895.680000000226</v>
      </c>
      <c r="R57" s="30">
        <f>IFERROR(Q57/N57,"-")</f>
        <v>4.1083434179609489E-2</v>
      </c>
    </row>
    <row r="58" spans="2:18" x14ac:dyDescent="0.3">
      <c r="B58" s="8"/>
      <c r="C58" s="8" t="s">
        <v>28</v>
      </c>
      <c r="D58" s="18">
        <v>236060</v>
      </c>
      <c r="E58" s="19">
        <v>390516.99999999994</v>
      </c>
      <c r="F58" s="19">
        <v>143061.99999999997</v>
      </c>
      <c r="G58" s="19">
        <v>110538</v>
      </c>
      <c r="H58" s="19">
        <v>32523.999999999971</v>
      </c>
      <c r="I58" s="9">
        <v>8.3284466489294898E-2</v>
      </c>
      <c r="J58" s="9"/>
      <c r="K58" s="14"/>
      <c r="L58" s="50" t="s">
        <v>28</v>
      </c>
      <c r="M58" s="26">
        <v>290280</v>
      </c>
      <c r="N58" s="27">
        <v>366325.83999999991</v>
      </c>
      <c r="O58" s="27">
        <v>129727.37000000001</v>
      </c>
      <c r="P58" s="27">
        <v>129142.80000000013</v>
      </c>
      <c r="Q58" s="27">
        <v>584.56999999987602</v>
      </c>
      <c r="R58" s="30">
        <f>IFERROR(Q58/N58,"-")</f>
        <v>1.595765125386394E-3</v>
      </c>
    </row>
    <row r="59" spans="2:18" x14ac:dyDescent="0.3">
      <c r="B59" s="8" t="s">
        <v>39</v>
      </c>
      <c r="C59" s="8"/>
      <c r="D59" s="18">
        <v>1178783</v>
      </c>
      <c r="E59" s="19">
        <v>2518081.7779999999</v>
      </c>
      <c r="F59" s="19">
        <v>1013613.8</v>
      </c>
      <c r="G59" s="19">
        <v>955048.5</v>
      </c>
      <c r="H59" s="19">
        <v>58565.300000000047</v>
      </c>
      <c r="I59" s="9">
        <v>2.3257902309477749E-2</v>
      </c>
      <c r="J59" s="9"/>
      <c r="K59" s="15" t="s">
        <v>39</v>
      </c>
      <c r="L59" s="25"/>
      <c r="M59" s="31">
        <f t="shared" ref="M59:Q59" si="5">SUM(M51:M58)</f>
        <v>1157636</v>
      </c>
      <c r="N59" s="32">
        <f t="shared" si="5"/>
        <v>3739016.2899999996</v>
      </c>
      <c r="O59" s="32">
        <f t="shared" si="5"/>
        <v>1009144.4799999999</v>
      </c>
      <c r="P59" s="32">
        <f t="shared" si="5"/>
        <v>946188.48</v>
      </c>
      <c r="Q59" s="32">
        <f t="shared" si="5"/>
        <v>62955.99999999984</v>
      </c>
      <c r="R59" s="33">
        <f>IFERROR(Q59/N59,"-")</f>
        <v>1.683758376992785E-2</v>
      </c>
    </row>
    <row r="60" spans="2:18" x14ac:dyDescent="0.3">
      <c r="B60" s="8" t="s">
        <v>40</v>
      </c>
      <c r="C60" s="8" t="s">
        <v>4</v>
      </c>
      <c r="D60" s="18">
        <v>23270</v>
      </c>
      <c r="E60" s="19">
        <v>125712.905</v>
      </c>
      <c r="F60" s="19">
        <v>56373.5</v>
      </c>
      <c r="G60" s="19">
        <v>46437</v>
      </c>
      <c r="H60" s="19">
        <v>9936.5</v>
      </c>
      <c r="I60" s="9">
        <v>7.9041209015096744E-2</v>
      </c>
      <c r="J60" s="9"/>
      <c r="K60" s="14" t="s">
        <v>40</v>
      </c>
      <c r="L60" s="50" t="s">
        <v>4</v>
      </c>
      <c r="M60" s="26">
        <v>18756</v>
      </c>
      <c r="N60" s="27">
        <v>54095.7</v>
      </c>
      <c r="O60" s="27">
        <v>47387.3</v>
      </c>
      <c r="P60" s="27">
        <v>47166.450000000004</v>
      </c>
      <c r="Q60" s="27">
        <v>220.84999999999854</v>
      </c>
      <c r="R60" s="30">
        <f>IFERROR(Q60/N60,"-")</f>
        <v>4.082579576565209E-3</v>
      </c>
    </row>
    <row r="61" spans="2:18" x14ac:dyDescent="0.3">
      <c r="B61" s="8"/>
      <c r="C61" s="8" t="s">
        <v>23</v>
      </c>
      <c r="D61" s="18">
        <v>10280</v>
      </c>
      <c r="E61" s="19">
        <v>98235.96</v>
      </c>
      <c r="F61" s="19">
        <v>44052</v>
      </c>
      <c r="G61" s="19">
        <v>34624.5</v>
      </c>
      <c r="H61" s="19">
        <v>9427.5</v>
      </c>
      <c r="I61" s="9">
        <v>9.5967912361216809E-2</v>
      </c>
      <c r="J61" s="9"/>
      <c r="K61" s="14"/>
      <c r="L61" s="50" t="s">
        <v>23</v>
      </c>
      <c r="M61" s="26">
        <v>19023</v>
      </c>
      <c r="N61" s="27">
        <v>157736.24999999997</v>
      </c>
      <c r="O61" s="27">
        <v>54220.55000000001</v>
      </c>
      <c r="P61" s="27">
        <v>43920.000000000007</v>
      </c>
      <c r="Q61" s="27">
        <v>10300.550000000003</v>
      </c>
      <c r="R61" s="30">
        <f>IFERROR(Q61/N61,"-")</f>
        <v>6.5302363914445827E-2</v>
      </c>
    </row>
    <row r="62" spans="2:18" x14ac:dyDescent="0.3">
      <c r="B62" s="8"/>
      <c r="C62" s="8" t="s">
        <v>24</v>
      </c>
      <c r="D62" s="18">
        <v>28000</v>
      </c>
      <c r="E62" s="19">
        <v>53200</v>
      </c>
      <c r="F62" s="19">
        <v>21280</v>
      </c>
      <c r="G62" s="19">
        <v>34993.5</v>
      </c>
      <c r="H62" s="19">
        <v>-13713.5</v>
      </c>
      <c r="I62" s="9">
        <v>-0.25777255639097746</v>
      </c>
      <c r="J62" s="9"/>
      <c r="K62" s="14"/>
      <c r="L62" s="50" t="s">
        <v>24</v>
      </c>
      <c r="M62" s="26">
        <v>3059</v>
      </c>
      <c r="N62" s="27">
        <v>25470.46</v>
      </c>
      <c r="O62" s="27">
        <v>20236.310000000001</v>
      </c>
      <c r="P62" s="27">
        <v>17480</v>
      </c>
      <c r="Q62" s="27">
        <v>2756.3100000000013</v>
      </c>
      <c r="R62" s="30">
        <f>IFERROR(Q62/N62,"-")</f>
        <v>0.10821594898560927</v>
      </c>
    </row>
    <row r="63" spans="2:18" x14ac:dyDescent="0.3">
      <c r="B63" s="8"/>
      <c r="C63" s="8" t="s">
        <v>7</v>
      </c>
      <c r="D63" s="18">
        <v>118155</v>
      </c>
      <c r="E63" s="19">
        <v>194456.55900000004</v>
      </c>
      <c r="F63" s="19">
        <v>77373.3</v>
      </c>
      <c r="G63" s="19">
        <v>100613.5</v>
      </c>
      <c r="H63" s="19">
        <v>-23240.199999999997</v>
      </c>
      <c r="I63" s="9">
        <v>-0.11951358246548008</v>
      </c>
      <c r="J63" s="9"/>
      <c r="K63" s="14"/>
      <c r="L63" s="50" t="s">
        <v>7</v>
      </c>
      <c r="M63" s="26">
        <v>89895</v>
      </c>
      <c r="N63" s="27">
        <v>169587.58000000002</v>
      </c>
      <c r="O63" s="27">
        <v>85757.72000000003</v>
      </c>
      <c r="P63" s="27">
        <v>102193.94999999992</v>
      </c>
      <c r="Q63" s="28">
        <v>-16436.229999999894</v>
      </c>
      <c r="R63" s="29">
        <f>IFERROR(Q63/N63,"-")</f>
        <v>-9.6918830966276501E-2</v>
      </c>
    </row>
    <row r="64" spans="2:18" x14ac:dyDescent="0.3">
      <c r="B64" s="8"/>
      <c r="C64" s="8" t="s">
        <v>25</v>
      </c>
      <c r="D64" s="18">
        <v>240000</v>
      </c>
      <c r="E64" s="19">
        <v>456000</v>
      </c>
      <c r="F64" s="19">
        <v>182400</v>
      </c>
      <c r="G64" s="19">
        <v>110577</v>
      </c>
      <c r="H64" s="19">
        <v>71823</v>
      </c>
      <c r="I64" s="9">
        <v>0.15750657894736841</v>
      </c>
      <c r="J64" s="9"/>
      <c r="K64" s="14"/>
      <c r="L64" s="50" t="s">
        <v>25</v>
      </c>
      <c r="M64" s="26">
        <v>267840</v>
      </c>
      <c r="N64" s="27">
        <v>948185.80999999994</v>
      </c>
      <c r="O64" s="27">
        <v>180249.9</v>
      </c>
      <c r="P64" s="27">
        <v>113037.00000000006</v>
      </c>
      <c r="Q64" s="27">
        <v>67212.899999999936</v>
      </c>
      <c r="R64" s="30">
        <f>IFERROR(Q64/N64,"-")</f>
        <v>7.0885789779958783E-2</v>
      </c>
    </row>
    <row r="65" spans="2:18" x14ac:dyDescent="0.3">
      <c r="B65" s="8"/>
      <c r="C65" s="8" t="s">
        <v>26</v>
      </c>
      <c r="D65" s="18">
        <v>68733</v>
      </c>
      <c r="E65" s="19">
        <v>423431.24855555553</v>
      </c>
      <c r="F65" s="19">
        <v>187642.43333333335</v>
      </c>
      <c r="G65" s="19">
        <v>182696</v>
      </c>
      <c r="H65" s="19">
        <v>4946.4333333333489</v>
      </c>
      <c r="I65" s="9">
        <v>1.168178624087627E-2</v>
      </c>
      <c r="J65" s="9"/>
      <c r="K65" s="14"/>
      <c r="L65" s="50" t="s">
        <v>26</v>
      </c>
      <c r="M65" s="26">
        <v>39683</v>
      </c>
      <c r="N65" s="27">
        <v>188946.96999999997</v>
      </c>
      <c r="O65" s="27">
        <v>141203.59999999992</v>
      </c>
      <c r="P65" s="27">
        <v>274950.00000000029</v>
      </c>
      <c r="Q65" s="28">
        <v>-133746.40000000037</v>
      </c>
      <c r="R65" s="29">
        <f>IFERROR(Q65/N65,"-")</f>
        <v>-0.70785152045571509</v>
      </c>
    </row>
    <row r="66" spans="2:18" x14ac:dyDescent="0.3">
      <c r="B66" s="8"/>
      <c r="C66" s="8" t="s">
        <v>27</v>
      </c>
      <c r="D66" s="18">
        <v>454000</v>
      </c>
      <c r="E66" s="19">
        <v>883600</v>
      </c>
      <c r="F66" s="19">
        <v>340840</v>
      </c>
      <c r="G66" s="19">
        <v>241715.5</v>
      </c>
      <c r="H66" s="19">
        <v>99124.5</v>
      </c>
      <c r="I66" s="9">
        <v>0.1121825486645541</v>
      </c>
      <c r="J66" s="9"/>
      <c r="K66" s="14"/>
      <c r="L66" s="50" t="s">
        <v>27</v>
      </c>
      <c r="M66" s="26">
        <v>466591</v>
      </c>
      <c r="N66" s="27">
        <v>2610816.7999999993</v>
      </c>
      <c r="O66" s="27">
        <v>341566.11000000016</v>
      </c>
      <c r="P66" s="27">
        <v>262600.00000000047</v>
      </c>
      <c r="Q66" s="27">
        <v>78966.109999999695</v>
      </c>
      <c r="R66" s="30">
        <f>IFERROR(Q66/N66,"-")</f>
        <v>3.0245749146397292E-2</v>
      </c>
    </row>
    <row r="67" spans="2:18" x14ac:dyDescent="0.3">
      <c r="B67" s="8"/>
      <c r="C67" s="8" t="s">
        <v>28</v>
      </c>
      <c r="D67" s="18">
        <v>166500</v>
      </c>
      <c r="E67" s="19">
        <v>378045.3142857143</v>
      </c>
      <c r="F67" s="19">
        <v>135742</v>
      </c>
      <c r="G67" s="19">
        <v>113643</v>
      </c>
      <c r="H67" s="19">
        <v>22099</v>
      </c>
      <c r="I67" s="9">
        <v>5.8455955317828108E-2</v>
      </c>
      <c r="J67" s="9"/>
      <c r="K67" s="14"/>
      <c r="L67" s="50" t="s">
        <v>28</v>
      </c>
      <c r="M67" s="26">
        <v>280250</v>
      </c>
      <c r="N67" s="27">
        <v>403897.06000000006</v>
      </c>
      <c r="O67" s="27">
        <v>139275.92000000004</v>
      </c>
      <c r="P67" s="27">
        <v>116920</v>
      </c>
      <c r="Q67" s="27">
        <v>22355.920000000042</v>
      </c>
      <c r="R67" s="30">
        <f>IFERROR(Q67/N67,"-")</f>
        <v>5.5350539070524653E-2</v>
      </c>
    </row>
    <row r="68" spans="2:18" x14ac:dyDescent="0.3">
      <c r="B68" s="8" t="s">
        <v>41</v>
      </c>
      <c r="C68" s="8"/>
      <c r="D68" s="18">
        <v>1108938</v>
      </c>
      <c r="E68" s="19">
        <v>2612681.9868412698</v>
      </c>
      <c r="F68" s="19">
        <v>1045703.2333333334</v>
      </c>
      <c r="G68" s="19">
        <v>865300</v>
      </c>
      <c r="H68" s="19">
        <v>180403.23333333328</v>
      </c>
      <c r="I68" s="9">
        <v>6.9049059258620551E-2</v>
      </c>
      <c r="J68" s="9"/>
      <c r="K68" s="15" t="s">
        <v>41</v>
      </c>
      <c r="L68" s="25"/>
      <c r="M68" s="31">
        <f t="shared" ref="M68:Q68" si="6">SUM(M60:M67)</f>
        <v>1185097</v>
      </c>
      <c r="N68" s="32">
        <f t="shared" si="6"/>
        <v>4558736.629999999</v>
      </c>
      <c r="O68" s="32">
        <f t="shared" si="6"/>
        <v>1009897.41</v>
      </c>
      <c r="P68" s="32">
        <f t="shared" si="6"/>
        <v>978267.40000000084</v>
      </c>
      <c r="Q68" s="32">
        <f t="shared" si="6"/>
        <v>31630.009999999413</v>
      </c>
      <c r="R68" s="33">
        <f>IFERROR(Q68/N68,"-")</f>
        <v>6.9383279990007712E-3</v>
      </c>
    </row>
    <row r="69" spans="2:18" x14ac:dyDescent="0.3">
      <c r="B69" s="8" t="s">
        <v>42</v>
      </c>
      <c r="C69" s="8" t="s">
        <v>4</v>
      </c>
      <c r="D69" s="18">
        <v>24960</v>
      </c>
      <c r="E69" s="19">
        <v>144660.1</v>
      </c>
      <c r="F69" s="19">
        <v>64870</v>
      </c>
      <c r="G69" s="19">
        <v>46437</v>
      </c>
      <c r="H69" s="19">
        <v>18433</v>
      </c>
      <c r="I69" s="9">
        <v>0.12742283463097287</v>
      </c>
      <c r="J69" s="9"/>
      <c r="K69" s="14" t="s">
        <v>42</v>
      </c>
      <c r="L69" s="50" t="s">
        <v>4</v>
      </c>
      <c r="M69" s="26">
        <v>19482</v>
      </c>
      <c r="N69" s="27">
        <v>60950.28</v>
      </c>
      <c r="O69" s="27">
        <v>50895.240000000027</v>
      </c>
      <c r="P69" s="27">
        <v>49065.556039603965</v>
      </c>
      <c r="Q69" s="27">
        <v>1829.6839603960616</v>
      </c>
      <c r="R69" s="30">
        <f>IFERROR(Q69/N69,"-")</f>
        <v>3.001928720255365E-2</v>
      </c>
    </row>
    <row r="70" spans="2:18" x14ac:dyDescent="0.3">
      <c r="B70" s="8"/>
      <c r="C70" s="8" t="s">
        <v>23</v>
      </c>
      <c r="D70" s="18">
        <v>11130</v>
      </c>
      <c r="E70" s="19">
        <v>106519.518</v>
      </c>
      <c r="F70" s="19">
        <v>47766.6</v>
      </c>
      <c r="G70" s="19">
        <v>34624.5</v>
      </c>
      <c r="H70" s="19">
        <v>13142.099999999999</v>
      </c>
      <c r="I70" s="9">
        <v>0.12337738892134302</v>
      </c>
      <c r="J70" s="9"/>
      <c r="K70" s="14"/>
      <c r="L70" s="50" t="s">
        <v>23</v>
      </c>
      <c r="M70" s="26">
        <v>17189</v>
      </c>
      <c r="N70" s="27">
        <v>161996.12000000002</v>
      </c>
      <c r="O70" s="27">
        <v>52843.600000000006</v>
      </c>
      <c r="P70" s="27">
        <v>48312.000000000015</v>
      </c>
      <c r="Q70" s="27">
        <v>4531.5999999999913</v>
      </c>
      <c r="R70" s="30">
        <f>IFERROR(Q70/N70,"-")</f>
        <v>2.7973509488992642E-2</v>
      </c>
    </row>
    <row r="71" spans="2:18" x14ac:dyDescent="0.3">
      <c r="B71" s="8"/>
      <c r="C71" s="8" t="s">
        <v>24</v>
      </c>
      <c r="D71" s="18">
        <v>28000</v>
      </c>
      <c r="E71" s="19">
        <v>53200</v>
      </c>
      <c r="F71" s="19">
        <v>21280</v>
      </c>
      <c r="G71" s="19">
        <v>34993.5</v>
      </c>
      <c r="H71" s="19">
        <v>-13713.5</v>
      </c>
      <c r="I71" s="9">
        <v>-0.25777255639097746</v>
      </c>
      <c r="J71" s="9"/>
      <c r="K71" s="14"/>
      <c r="L71" s="50" t="s">
        <v>24</v>
      </c>
      <c r="M71" s="26">
        <v>6840</v>
      </c>
      <c r="N71" s="27">
        <v>35834.18</v>
      </c>
      <c r="O71" s="27">
        <v>16394.999999999996</v>
      </c>
      <c r="P71" s="27">
        <v>17055.391228110653</v>
      </c>
      <c r="Q71" s="28">
        <v>-660.39122811065681</v>
      </c>
      <c r="R71" s="29">
        <f>IFERROR(Q71/N71,"-")</f>
        <v>-1.8429087204190436E-2</v>
      </c>
    </row>
    <row r="72" spans="2:18" x14ac:dyDescent="0.3">
      <c r="B72" s="8"/>
      <c r="C72" s="8" t="s">
        <v>7</v>
      </c>
      <c r="D72" s="18">
        <v>139258</v>
      </c>
      <c r="E72" s="19">
        <v>252043.84039999999</v>
      </c>
      <c r="F72" s="19">
        <v>87430.28</v>
      </c>
      <c r="G72" s="19">
        <v>100613.5</v>
      </c>
      <c r="H72" s="19">
        <v>-13183.220000000001</v>
      </c>
      <c r="I72" s="9">
        <v>-5.2305265540621405E-2</v>
      </c>
      <c r="J72" s="9"/>
      <c r="K72" s="14"/>
      <c r="L72" s="50" t="s">
        <v>7</v>
      </c>
      <c r="M72" s="26">
        <v>82018</v>
      </c>
      <c r="N72" s="27">
        <v>145734.34</v>
      </c>
      <c r="O72" s="27">
        <v>75259.839999999982</v>
      </c>
      <c r="P72" s="27">
        <v>107736.47749999999</v>
      </c>
      <c r="Q72" s="28">
        <v>-32476.637500000012</v>
      </c>
      <c r="R72" s="29">
        <f>IFERROR(Q72/N72,"-")</f>
        <v>-0.22284821477216704</v>
      </c>
    </row>
    <row r="73" spans="2:18" x14ac:dyDescent="0.3">
      <c r="B73" s="8"/>
      <c r="C73" s="8" t="s">
        <v>25</v>
      </c>
      <c r="D73" s="18">
        <v>240000</v>
      </c>
      <c r="E73" s="19">
        <v>456000</v>
      </c>
      <c r="F73" s="19">
        <v>182400</v>
      </c>
      <c r="G73" s="19">
        <v>110577</v>
      </c>
      <c r="H73" s="19">
        <v>71823</v>
      </c>
      <c r="I73" s="9">
        <v>0.15750657894736841</v>
      </c>
      <c r="J73" s="9"/>
      <c r="K73" s="14"/>
      <c r="L73" s="50" t="s">
        <v>25</v>
      </c>
      <c r="M73" s="26">
        <v>283112</v>
      </c>
      <c r="N73" s="27">
        <v>1530430.2000000002</v>
      </c>
      <c r="O73" s="27">
        <v>191906.67999999993</v>
      </c>
      <c r="P73" s="27">
        <v>121308.00000000003</v>
      </c>
      <c r="Q73" s="27">
        <v>70598.679999999906</v>
      </c>
      <c r="R73" s="30">
        <f>IFERROR(Q73/N73,"-")</f>
        <v>4.6129957445952059E-2</v>
      </c>
    </row>
    <row r="74" spans="2:18" x14ac:dyDescent="0.3">
      <c r="B74" s="8"/>
      <c r="C74" s="8" t="s">
        <v>26</v>
      </c>
      <c r="D74" s="18">
        <v>83694</v>
      </c>
      <c r="E74" s="19">
        <v>476437.7651111111</v>
      </c>
      <c r="F74" s="19">
        <v>211188.46666666665</v>
      </c>
      <c r="G74" s="19">
        <v>182696</v>
      </c>
      <c r="H74" s="19">
        <v>28492.466666666645</v>
      </c>
      <c r="I74" s="9">
        <v>5.9803123835118009E-2</v>
      </c>
      <c r="J74" s="9"/>
      <c r="K74" s="14"/>
      <c r="L74" s="50" t="s">
        <v>26</v>
      </c>
      <c r="M74" s="26">
        <v>44611</v>
      </c>
      <c r="N74" s="27">
        <v>315417.90999999992</v>
      </c>
      <c r="O74" s="27">
        <v>121906.73000000003</v>
      </c>
      <c r="P74" s="27">
        <v>204669.99999999988</v>
      </c>
      <c r="Q74" s="28">
        <v>-82763.269999999859</v>
      </c>
      <c r="R74" s="29">
        <f>IFERROR(Q74/N74,"-")</f>
        <v>-0.2623924240700215</v>
      </c>
    </row>
    <row r="75" spans="2:18" x14ac:dyDescent="0.3">
      <c r="B75" s="8"/>
      <c r="C75" s="8" t="s">
        <v>27</v>
      </c>
      <c r="D75" s="18">
        <v>484000</v>
      </c>
      <c r="E75" s="19">
        <v>919600</v>
      </c>
      <c r="F75" s="19">
        <v>367840</v>
      </c>
      <c r="G75" s="19">
        <v>241715.5</v>
      </c>
      <c r="H75" s="19">
        <v>126124.5</v>
      </c>
      <c r="I75" s="9">
        <v>0.13715147890387125</v>
      </c>
      <c r="J75" s="9"/>
      <c r="K75" s="14"/>
      <c r="L75" s="50" t="s">
        <v>27</v>
      </c>
      <c r="M75" s="26">
        <v>503392</v>
      </c>
      <c r="N75" s="27">
        <v>2892446.7800000007</v>
      </c>
      <c r="O75" s="27">
        <v>356724.84999999992</v>
      </c>
      <c r="P75" s="27">
        <v>326611.99999999988</v>
      </c>
      <c r="Q75" s="27">
        <v>30112.850000000035</v>
      </c>
      <c r="R75" s="30">
        <f>IFERROR(Q75/N75,"-")</f>
        <v>1.041085706683254E-2</v>
      </c>
    </row>
    <row r="76" spans="2:18" x14ac:dyDescent="0.3">
      <c r="B76" s="8"/>
      <c r="C76" s="8" t="s">
        <v>28</v>
      </c>
      <c r="D76" s="18">
        <v>246500</v>
      </c>
      <c r="E76" s="19">
        <v>304857.51428571425</v>
      </c>
      <c r="F76" s="19">
        <v>115703</v>
      </c>
      <c r="G76" s="19">
        <v>113642.99999999994</v>
      </c>
      <c r="H76" s="19">
        <v>2060.0000000000582</v>
      </c>
      <c r="I76" s="9">
        <v>6.7572551223697708E-3</v>
      </c>
      <c r="J76" s="9"/>
      <c r="K76" s="14"/>
      <c r="L76" s="50" t="s">
        <v>28</v>
      </c>
      <c r="M76" s="26">
        <v>254347</v>
      </c>
      <c r="N76" s="27">
        <v>471323.76</v>
      </c>
      <c r="O76" s="27">
        <v>141507.69000000012</v>
      </c>
      <c r="P76" s="27">
        <v>136354</v>
      </c>
      <c r="Q76" s="27">
        <v>5153.6900000001187</v>
      </c>
      <c r="R76" s="30">
        <f>IFERROR(Q76/N76,"-")</f>
        <v>1.0934500734696928E-2</v>
      </c>
    </row>
    <row r="77" spans="2:18" x14ac:dyDescent="0.3">
      <c r="B77" s="8" t="s">
        <v>43</v>
      </c>
      <c r="C77" s="8"/>
      <c r="D77" s="18">
        <v>1257542</v>
      </c>
      <c r="E77" s="19">
        <v>2713318.7377968254</v>
      </c>
      <c r="F77" s="19">
        <v>1098478.3466666667</v>
      </c>
      <c r="G77" s="19">
        <v>865300</v>
      </c>
      <c r="H77" s="19">
        <v>233178.3466666668</v>
      </c>
      <c r="I77" s="9">
        <v>8.5938427881128432E-2</v>
      </c>
      <c r="J77" s="9"/>
      <c r="K77" s="15" t="s">
        <v>43</v>
      </c>
      <c r="L77" s="25"/>
      <c r="M77" s="31">
        <f t="shared" ref="M77:Q77" si="7">SUM(M69:M76)</f>
        <v>1210991</v>
      </c>
      <c r="N77" s="32">
        <f t="shared" si="7"/>
        <v>5614133.5700000003</v>
      </c>
      <c r="O77" s="32">
        <f t="shared" si="7"/>
        <v>1007439.6300000001</v>
      </c>
      <c r="P77" s="32">
        <f t="shared" si="7"/>
        <v>1011113.4247677145</v>
      </c>
      <c r="Q77" s="34">
        <f t="shared" si="7"/>
        <v>-3673.7947677144111</v>
      </c>
      <c r="R77" s="35">
        <f>IFERROR(Q77/N77,"-")</f>
        <v>-6.5438321370654728E-4</v>
      </c>
    </row>
    <row r="78" spans="2:18" x14ac:dyDescent="0.3">
      <c r="B78" s="8" t="s">
        <v>44</v>
      </c>
      <c r="C78" s="8" t="s">
        <v>4</v>
      </c>
      <c r="D78" s="18">
        <v>24000</v>
      </c>
      <c r="E78" s="19">
        <v>139096.25</v>
      </c>
      <c r="F78" s="19">
        <v>62375</v>
      </c>
      <c r="G78" s="19">
        <v>46437</v>
      </c>
      <c r="H78" s="19">
        <v>15938</v>
      </c>
      <c r="I78" s="9">
        <v>0.11458252828527009</v>
      </c>
      <c r="J78" s="9"/>
      <c r="K78" s="14" t="s">
        <v>44</v>
      </c>
      <c r="L78" s="50" t="s">
        <v>4</v>
      </c>
      <c r="M78" s="26">
        <v>14783</v>
      </c>
      <c r="N78" s="27">
        <v>51176.399999999994</v>
      </c>
      <c r="O78" s="27">
        <v>46424.600000000013</v>
      </c>
      <c r="P78" s="27">
        <v>48883.320000000007</v>
      </c>
      <c r="Q78" s="28">
        <v>-2458.7199999999939</v>
      </c>
      <c r="R78" s="29">
        <f>IFERROR(Q78/N78,"-")</f>
        <v>-4.8044020290602583E-2</v>
      </c>
    </row>
    <row r="79" spans="2:18" x14ac:dyDescent="0.3">
      <c r="B79" s="8"/>
      <c r="C79" s="8" t="s">
        <v>23</v>
      </c>
      <c r="D79" s="18">
        <v>11120</v>
      </c>
      <c r="E79" s="19">
        <v>106594</v>
      </c>
      <c r="F79" s="19">
        <v>47800</v>
      </c>
      <c r="G79" s="19">
        <v>34624.5</v>
      </c>
      <c r="H79" s="19">
        <v>13175.5</v>
      </c>
      <c r="I79" s="9">
        <v>0.12360451807794059</v>
      </c>
      <c r="J79" s="9"/>
      <c r="K79" s="14"/>
      <c r="L79" s="50" t="s">
        <v>23</v>
      </c>
      <c r="M79" s="26">
        <v>15532</v>
      </c>
      <c r="N79" s="27">
        <v>138506.43999999992</v>
      </c>
      <c r="O79" s="27">
        <v>46836.899999999994</v>
      </c>
      <c r="P79" s="27">
        <v>47440</v>
      </c>
      <c r="Q79" s="28">
        <v>-603.10000000000582</v>
      </c>
      <c r="R79" s="29">
        <f>IFERROR(Q79/N79,"-")</f>
        <v>-4.3543101678160685E-3</v>
      </c>
    </row>
    <row r="80" spans="2:18" x14ac:dyDescent="0.3">
      <c r="B80" s="8"/>
      <c r="C80" s="8" t="s">
        <v>24</v>
      </c>
      <c r="D80" s="18">
        <v>28000</v>
      </c>
      <c r="E80" s="19">
        <v>53200</v>
      </c>
      <c r="F80" s="19">
        <v>21280</v>
      </c>
      <c r="G80" s="19">
        <v>34993.5</v>
      </c>
      <c r="H80" s="19">
        <v>-13713.5</v>
      </c>
      <c r="I80" s="9">
        <v>-0.25777255639097746</v>
      </c>
      <c r="J80" s="9"/>
      <c r="K80" s="14"/>
      <c r="L80" s="50" t="s">
        <v>24</v>
      </c>
      <c r="M80" s="26">
        <v>7594</v>
      </c>
      <c r="N80" s="27">
        <v>19119.16</v>
      </c>
      <c r="O80" s="27">
        <v>9536.64</v>
      </c>
      <c r="P80" s="27">
        <v>16606</v>
      </c>
      <c r="Q80" s="28">
        <v>-7069.3600000000006</v>
      </c>
      <c r="R80" s="29">
        <f>IFERROR(Q80/N80,"-")</f>
        <v>-0.36975264603675062</v>
      </c>
    </row>
    <row r="81" spans="2:18" x14ac:dyDescent="0.3">
      <c r="B81" s="8"/>
      <c r="C81" s="8" t="s">
        <v>7</v>
      </c>
      <c r="D81" s="18">
        <v>173905</v>
      </c>
      <c r="E81" s="19">
        <v>306128.15899999999</v>
      </c>
      <c r="F81" s="19">
        <v>99563.3</v>
      </c>
      <c r="G81" s="19">
        <v>100613.5</v>
      </c>
      <c r="H81" s="19">
        <v>-1050.1999999999971</v>
      </c>
      <c r="I81" s="9">
        <v>-3.4305893434651243E-3</v>
      </c>
      <c r="J81" s="9"/>
      <c r="K81" s="14"/>
      <c r="L81" s="50" t="s">
        <v>7</v>
      </c>
      <c r="M81" s="26">
        <v>111150</v>
      </c>
      <c r="N81" s="27">
        <v>590205.85999999987</v>
      </c>
      <c r="O81" s="27">
        <v>78531.649999999951</v>
      </c>
      <c r="P81" s="27">
        <v>103962.41999999998</v>
      </c>
      <c r="Q81" s="28">
        <v>-25430.770000000033</v>
      </c>
      <c r="R81" s="29">
        <f>IFERROR(Q81/N81,"-")</f>
        <v>-4.3087965951405564E-2</v>
      </c>
    </row>
    <row r="82" spans="2:18" x14ac:dyDescent="0.3">
      <c r="B82" s="8"/>
      <c r="C82" s="8" t="s">
        <v>25</v>
      </c>
      <c r="D82" s="18">
        <v>240000</v>
      </c>
      <c r="E82" s="19">
        <v>456000</v>
      </c>
      <c r="F82" s="19">
        <v>182400</v>
      </c>
      <c r="G82" s="19">
        <v>110577</v>
      </c>
      <c r="H82" s="19">
        <v>71823</v>
      </c>
      <c r="I82" s="9">
        <v>0.15750657894736841</v>
      </c>
      <c r="J82" s="9"/>
      <c r="K82" s="14"/>
      <c r="L82" s="50" t="s">
        <v>25</v>
      </c>
      <c r="M82" s="26">
        <v>260265</v>
      </c>
      <c r="N82" s="27">
        <v>1427220.6000000003</v>
      </c>
      <c r="O82" s="27">
        <v>181095.50999999992</v>
      </c>
      <c r="P82" s="27">
        <v>107640.00000000004</v>
      </c>
      <c r="Q82" s="27">
        <v>73455.509999999878</v>
      </c>
      <c r="R82" s="30">
        <f>IFERROR(Q82/N82,"-")</f>
        <v>5.1467523661023293E-2</v>
      </c>
    </row>
    <row r="83" spans="2:18" x14ac:dyDescent="0.3">
      <c r="B83" s="8"/>
      <c r="C83" s="8" t="s">
        <v>26</v>
      </c>
      <c r="D83" s="18">
        <v>68800</v>
      </c>
      <c r="E83" s="19">
        <v>442472.99555555551</v>
      </c>
      <c r="F83" s="19">
        <v>196181.33333333334</v>
      </c>
      <c r="G83" s="19">
        <v>182696</v>
      </c>
      <c r="H83" s="19">
        <v>13485.333333333343</v>
      </c>
      <c r="I83" s="9">
        <v>3.0477189498088066E-2</v>
      </c>
      <c r="J83" s="9"/>
      <c r="K83" s="14"/>
      <c r="L83" s="50" t="s">
        <v>26</v>
      </c>
      <c r="M83" s="26">
        <v>107635</v>
      </c>
      <c r="N83" s="27">
        <v>680506.65000000026</v>
      </c>
      <c r="O83" s="27">
        <v>148505.93000000002</v>
      </c>
      <c r="P83" s="27">
        <v>166240.00000000003</v>
      </c>
      <c r="Q83" s="28">
        <v>-17734.070000000007</v>
      </c>
      <c r="R83" s="29">
        <f>IFERROR(Q83/N83,"-")</f>
        <v>-2.6060098016676251E-2</v>
      </c>
    </row>
    <row r="84" spans="2:18" x14ac:dyDescent="0.3">
      <c r="B84" s="8"/>
      <c r="C84" s="8" t="s">
        <v>27</v>
      </c>
      <c r="D84" s="18">
        <v>376904</v>
      </c>
      <c r="E84" s="19">
        <v>618122.56000000006</v>
      </c>
      <c r="F84" s="19">
        <v>281647.04000000004</v>
      </c>
      <c r="G84" s="19">
        <v>241715.5</v>
      </c>
      <c r="H84" s="19">
        <v>39931.540000000037</v>
      </c>
      <c r="I84" s="9">
        <v>6.4601330842867205E-2</v>
      </c>
      <c r="J84" s="9"/>
      <c r="K84" s="14"/>
      <c r="L84" s="50" t="s">
        <v>27</v>
      </c>
      <c r="M84" s="26">
        <v>473354</v>
      </c>
      <c r="N84" s="27">
        <v>2712610.7799999993</v>
      </c>
      <c r="O84" s="27">
        <v>340851.70000000013</v>
      </c>
      <c r="P84" s="27">
        <v>298386.00000000023</v>
      </c>
      <c r="Q84" s="27">
        <v>42465.699999999895</v>
      </c>
      <c r="R84" s="30">
        <f>IFERROR(Q84/N84,"-")</f>
        <v>1.5654918248168247E-2</v>
      </c>
    </row>
    <row r="85" spans="2:18" x14ac:dyDescent="0.3">
      <c r="B85" s="8"/>
      <c r="C85" s="8" t="s">
        <v>28</v>
      </c>
      <c r="D85" s="18">
        <v>279640</v>
      </c>
      <c r="E85" s="19">
        <v>288871.5085714286</v>
      </c>
      <c r="F85" s="19">
        <v>113021.2</v>
      </c>
      <c r="G85" s="19">
        <v>113643</v>
      </c>
      <c r="H85" s="19">
        <v>-621.80000000000291</v>
      </c>
      <c r="I85" s="9">
        <v>-2.1525141163108229E-3</v>
      </c>
      <c r="J85" s="9"/>
      <c r="K85" s="14"/>
      <c r="L85" s="50" t="s">
        <v>28</v>
      </c>
      <c r="M85" s="26">
        <v>150328</v>
      </c>
      <c r="N85" s="27">
        <v>447910.02999999997</v>
      </c>
      <c r="O85" s="27">
        <v>126785.94000000002</v>
      </c>
      <c r="P85" s="27">
        <v>121890.99999999997</v>
      </c>
      <c r="Q85" s="27">
        <v>4894.940000000046</v>
      </c>
      <c r="R85" s="30">
        <f>IFERROR(Q85/N85,"-")</f>
        <v>1.0928400062843081E-2</v>
      </c>
    </row>
    <row r="86" spans="2:18" x14ac:dyDescent="0.3">
      <c r="B86" s="8" t="s">
        <v>45</v>
      </c>
      <c r="C86" s="8"/>
      <c r="D86" s="18">
        <v>1202369</v>
      </c>
      <c r="E86" s="19">
        <v>2410485.4731269842</v>
      </c>
      <c r="F86" s="19">
        <v>1004267.8733333333</v>
      </c>
      <c r="G86" s="19">
        <v>865300</v>
      </c>
      <c r="H86" s="19">
        <v>138967.87333333329</v>
      </c>
      <c r="I86" s="9">
        <v>5.7651404616456028E-2</v>
      </c>
      <c r="J86" s="9"/>
      <c r="K86" s="15" t="s">
        <v>45</v>
      </c>
      <c r="L86" s="25"/>
      <c r="M86" s="31">
        <f t="shared" ref="M86:Q86" si="8">SUM(M78:M85)</f>
        <v>1140641</v>
      </c>
      <c r="N86" s="32">
        <f t="shared" si="8"/>
        <v>6067255.9199999999</v>
      </c>
      <c r="O86" s="32">
        <f t="shared" si="8"/>
        <v>978568.87</v>
      </c>
      <c r="P86" s="32">
        <f t="shared" si="8"/>
        <v>911048.74000000034</v>
      </c>
      <c r="Q86" s="32">
        <f t="shared" si="8"/>
        <v>67520.129999999772</v>
      </c>
      <c r="R86" s="33">
        <f>IFERROR(Q86/N86,"-")</f>
        <v>1.112861083993961E-2</v>
      </c>
    </row>
    <row r="87" spans="2:18" x14ac:dyDescent="0.3">
      <c r="B87" s="8" t="s">
        <v>46</v>
      </c>
      <c r="C87" s="8" t="s">
        <v>4</v>
      </c>
      <c r="D87" s="18">
        <v>24960</v>
      </c>
      <c r="E87" s="19">
        <v>144660.1</v>
      </c>
      <c r="F87" s="19">
        <v>64870</v>
      </c>
      <c r="G87" s="19">
        <v>46437</v>
      </c>
      <c r="H87" s="19">
        <v>18433</v>
      </c>
      <c r="I87" s="9">
        <v>0.12742283463097287</v>
      </c>
      <c r="J87" s="9"/>
      <c r="K87" s="14" t="s">
        <v>46</v>
      </c>
      <c r="L87" s="8" t="s">
        <v>4</v>
      </c>
    </row>
    <row r="88" spans="2:18" x14ac:dyDescent="0.3">
      <c r="B88" s="8"/>
      <c r="C88" s="8" t="s">
        <v>23</v>
      </c>
      <c r="D88" s="18">
        <v>12592</v>
      </c>
      <c r="E88" s="19">
        <v>120866</v>
      </c>
      <c r="F88" s="19">
        <v>54200</v>
      </c>
      <c r="G88" s="19">
        <v>34624.5</v>
      </c>
      <c r="H88" s="19">
        <v>19575.5</v>
      </c>
      <c r="I88" s="9">
        <v>0.16196035278738438</v>
      </c>
      <c r="J88" s="9"/>
      <c r="K88" s="14"/>
      <c r="L88" s="8" t="s">
        <v>23</v>
      </c>
    </row>
    <row r="89" spans="2:18" x14ac:dyDescent="0.3">
      <c r="B89" s="8"/>
      <c r="C89" s="8" t="s">
        <v>24</v>
      </c>
      <c r="D89" s="18">
        <v>28000</v>
      </c>
      <c r="E89" s="19">
        <v>53200</v>
      </c>
      <c r="F89" s="19">
        <v>21280</v>
      </c>
      <c r="G89" s="19">
        <v>34993.5</v>
      </c>
      <c r="H89" s="19">
        <v>-13713.5</v>
      </c>
      <c r="I89" s="9">
        <v>-0.25777255639097746</v>
      </c>
      <c r="J89" s="9"/>
      <c r="K89" s="14"/>
      <c r="L89" s="8" t="s">
        <v>24</v>
      </c>
    </row>
    <row r="90" spans="2:18" x14ac:dyDescent="0.3">
      <c r="B90" s="8"/>
      <c r="C90" s="8" t="s">
        <v>7</v>
      </c>
      <c r="D90" s="18">
        <v>181118</v>
      </c>
      <c r="E90" s="19">
        <v>319438.44040000002</v>
      </c>
      <c r="F90" s="19">
        <v>104023.48</v>
      </c>
      <c r="G90" s="19">
        <v>100613.5</v>
      </c>
      <c r="H90" s="19">
        <v>3409.9799999999959</v>
      </c>
      <c r="I90" s="9">
        <v>1.0674920638010964E-2</v>
      </c>
      <c r="J90" s="9"/>
      <c r="K90" s="14"/>
      <c r="L90" s="8" t="s">
        <v>7</v>
      </c>
    </row>
    <row r="91" spans="2:18" x14ac:dyDescent="0.3">
      <c r="B91" s="8"/>
      <c r="C91" s="8" t="s">
        <v>25</v>
      </c>
      <c r="D91" s="18">
        <v>240000</v>
      </c>
      <c r="E91" s="19">
        <v>456000</v>
      </c>
      <c r="F91" s="19">
        <v>182400</v>
      </c>
      <c r="G91" s="19">
        <v>110577</v>
      </c>
      <c r="H91" s="19">
        <v>71823</v>
      </c>
      <c r="I91" s="9">
        <v>0.15750657894736841</v>
      </c>
      <c r="J91" s="9"/>
      <c r="K91" s="14"/>
      <c r="L91" s="8" t="s">
        <v>25</v>
      </c>
    </row>
    <row r="92" spans="2:18" x14ac:dyDescent="0.3">
      <c r="B92" s="8"/>
      <c r="C92" s="8" t="s">
        <v>26</v>
      </c>
      <c r="D92" s="18">
        <v>65280</v>
      </c>
      <c r="E92" s="19">
        <v>494564.04800000007</v>
      </c>
      <c r="F92" s="19">
        <v>221777.6</v>
      </c>
      <c r="G92" s="19">
        <v>182696</v>
      </c>
      <c r="H92" s="19">
        <v>39081.600000000006</v>
      </c>
      <c r="I92" s="9">
        <v>7.9022323110716691E-2</v>
      </c>
      <c r="J92" s="9"/>
      <c r="K92" s="14"/>
      <c r="L92" s="8" t="s">
        <v>26</v>
      </c>
    </row>
    <row r="93" spans="2:18" x14ac:dyDescent="0.3">
      <c r="B93" s="8"/>
      <c r="C93" s="8" t="s">
        <v>27</v>
      </c>
      <c r="D93" s="18">
        <v>410904</v>
      </c>
      <c r="E93" s="19">
        <v>780717.6</v>
      </c>
      <c r="F93" s="19">
        <v>312287.04000000004</v>
      </c>
      <c r="G93" s="19">
        <v>241715.5</v>
      </c>
      <c r="H93" s="19">
        <v>70571.540000000037</v>
      </c>
      <c r="I93" s="9">
        <v>9.0393171615447174E-2</v>
      </c>
      <c r="J93" s="9"/>
      <c r="K93" s="14"/>
      <c r="L93" s="8" t="s">
        <v>27</v>
      </c>
    </row>
    <row r="94" spans="2:18" x14ac:dyDescent="0.3">
      <c r="B94" s="8"/>
      <c r="C94" s="8" t="s">
        <v>28</v>
      </c>
      <c r="D94" s="18">
        <v>293880</v>
      </c>
      <c r="E94" s="19">
        <v>328037.65714285715</v>
      </c>
      <c r="F94" s="19">
        <v>128298.00000000001</v>
      </c>
      <c r="G94" s="19">
        <v>113643</v>
      </c>
      <c r="H94" s="19">
        <v>14655.000000000015</v>
      </c>
      <c r="I94" s="9">
        <v>4.4674749014006969E-2</v>
      </c>
      <c r="J94" s="9"/>
      <c r="K94" s="14"/>
      <c r="L94" s="8" t="s">
        <v>28</v>
      </c>
    </row>
    <row r="95" spans="2:18" x14ac:dyDescent="0.3">
      <c r="B95" s="8" t="s">
        <v>47</v>
      </c>
      <c r="C95" s="8"/>
      <c r="D95" s="18">
        <v>1256734</v>
      </c>
      <c r="E95" s="19">
        <v>2697483.8455428574</v>
      </c>
      <c r="F95" s="19">
        <v>1089136.1200000001</v>
      </c>
      <c r="G95" s="19">
        <v>865300</v>
      </c>
      <c r="H95" s="19">
        <v>223836.12000000011</v>
      </c>
      <c r="I95" s="9">
        <v>8.2979596103921832E-2</v>
      </c>
      <c r="J95" s="9"/>
      <c r="K95" s="15" t="s">
        <v>47</v>
      </c>
      <c r="L95" s="15"/>
    </row>
    <row r="96" spans="2:18" x14ac:dyDescent="0.3">
      <c r="B96" s="8" t="s">
        <v>48</v>
      </c>
      <c r="C96" s="8" t="s">
        <v>4</v>
      </c>
      <c r="D96" s="18">
        <v>24960</v>
      </c>
      <c r="E96" s="19">
        <v>144660.1</v>
      </c>
      <c r="F96" s="19">
        <v>64870</v>
      </c>
      <c r="G96" s="19">
        <v>46437</v>
      </c>
      <c r="H96" s="19">
        <v>18433</v>
      </c>
      <c r="I96" s="9">
        <v>0.12742283463097287</v>
      </c>
      <c r="J96" s="9"/>
      <c r="K96" s="14" t="s">
        <v>48</v>
      </c>
      <c r="L96" s="8" t="s">
        <v>4</v>
      </c>
    </row>
    <row r="97" spans="2:12" x14ac:dyDescent="0.3">
      <c r="B97" s="8"/>
      <c r="C97" s="8" t="s">
        <v>23</v>
      </c>
      <c r="D97" s="18">
        <v>12592</v>
      </c>
      <c r="E97" s="19">
        <v>120866</v>
      </c>
      <c r="F97" s="19">
        <v>54200</v>
      </c>
      <c r="G97" s="19">
        <v>34624.5</v>
      </c>
      <c r="H97" s="19">
        <v>19575.5</v>
      </c>
      <c r="I97" s="9">
        <v>0.16196035278738438</v>
      </c>
      <c r="J97" s="9"/>
      <c r="K97" s="14"/>
      <c r="L97" s="8" t="s">
        <v>23</v>
      </c>
    </row>
    <row r="98" spans="2:12" x14ac:dyDescent="0.3">
      <c r="B98" s="8"/>
      <c r="C98" s="8" t="s">
        <v>24</v>
      </c>
      <c r="D98" s="18">
        <v>28000</v>
      </c>
      <c r="E98" s="19">
        <v>53200</v>
      </c>
      <c r="F98" s="19">
        <v>21280</v>
      </c>
      <c r="G98" s="19">
        <v>34993.5</v>
      </c>
      <c r="H98" s="19">
        <v>-13713.5</v>
      </c>
      <c r="I98" s="9">
        <v>-0.25777255639097746</v>
      </c>
      <c r="J98" s="9"/>
      <c r="K98" s="14"/>
      <c r="L98" s="8" t="s">
        <v>24</v>
      </c>
    </row>
    <row r="99" spans="2:12" x14ac:dyDescent="0.3">
      <c r="B99" s="8"/>
      <c r="C99" s="8" t="s">
        <v>7</v>
      </c>
      <c r="D99" s="18">
        <v>123138</v>
      </c>
      <c r="E99" s="19">
        <v>223481.5404</v>
      </c>
      <c r="F99" s="19">
        <v>79775.88</v>
      </c>
      <c r="G99" s="19">
        <v>100613.5</v>
      </c>
      <c r="H99" s="19">
        <v>-20837.619999999995</v>
      </c>
      <c r="I99" s="9">
        <v>-9.3240900177722214E-2</v>
      </c>
      <c r="J99" s="9"/>
      <c r="K99" s="14"/>
      <c r="L99" s="8" t="s">
        <v>7</v>
      </c>
    </row>
    <row r="100" spans="2:12" x14ac:dyDescent="0.3">
      <c r="B100" s="8"/>
      <c r="C100" s="8" t="s">
        <v>25</v>
      </c>
      <c r="D100" s="18">
        <v>240000</v>
      </c>
      <c r="E100" s="19">
        <v>456000</v>
      </c>
      <c r="F100" s="19">
        <v>182400</v>
      </c>
      <c r="G100" s="19">
        <v>110577</v>
      </c>
      <c r="H100" s="19">
        <v>71823</v>
      </c>
      <c r="I100" s="9">
        <v>0.15750657894736841</v>
      </c>
      <c r="J100" s="9"/>
      <c r="K100" s="14"/>
      <c r="L100" s="8" t="s">
        <v>25</v>
      </c>
    </row>
    <row r="101" spans="2:12" x14ac:dyDescent="0.3">
      <c r="B101" s="8"/>
      <c r="C101" s="8" t="s">
        <v>26</v>
      </c>
      <c r="D101" s="18">
        <v>49260</v>
      </c>
      <c r="E101" s="19">
        <v>518154.70400000003</v>
      </c>
      <c r="F101" s="19">
        <v>229121.59999999998</v>
      </c>
      <c r="G101" s="19">
        <v>182696</v>
      </c>
      <c r="H101" s="19">
        <v>46425.599999999977</v>
      </c>
      <c r="I101" s="9">
        <v>8.959795142571933E-2</v>
      </c>
      <c r="J101" s="9"/>
      <c r="K101" s="14"/>
      <c r="L101" s="8" t="s">
        <v>26</v>
      </c>
    </row>
    <row r="102" spans="2:12" x14ac:dyDescent="0.3">
      <c r="B102" s="8"/>
      <c r="C102" s="8" t="s">
        <v>27</v>
      </c>
      <c r="D102" s="18">
        <v>410904</v>
      </c>
      <c r="E102" s="19">
        <v>780717.6</v>
      </c>
      <c r="F102" s="19">
        <v>312287.04000000004</v>
      </c>
      <c r="G102" s="19">
        <v>241715.5</v>
      </c>
      <c r="H102" s="19">
        <v>70571.540000000037</v>
      </c>
      <c r="I102" s="9">
        <v>9.0393171615447174E-2</v>
      </c>
      <c r="J102" s="9"/>
      <c r="K102" s="14"/>
      <c r="L102" s="8" t="s">
        <v>27</v>
      </c>
    </row>
    <row r="103" spans="2:12" x14ac:dyDescent="0.3">
      <c r="B103" s="8"/>
      <c r="C103" s="8" t="s">
        <v>28</v>
      </c>
      <c r="D103" s="18">
        <v>132259</v>
      </c>
      <c r="E103" s="19">
        <v>490364.45</v>
      </c>
      <c r="F103" s="19">
        <v>181689.80000000002</v>
      </c>
      <c r="G103" s="19">
        <v>113643</v>
      </c>
      <c r="H103" s="19">
        <v>68046.800000000017</v>
      </c>
      <c r="I103" s="9">
        <v>0.13876780831073707</v>
      </c>
      <c r="J103" s="9"/>
      <c r="K103" s="14"/>
      <c r="L103" s="8" t="s">
        <v>28</v>
      </c>
    </row>
    <row r="104" spans="2:12" x14ac:dyDescent="0.3">
      <c r="B104" s="8" t="s">
        <v>49</v>
      </c>
      <c r="C104" s="8"/>
      <c r="D104" s="18">
        <v>1021113</v>
      </c>
      <c r="E104" s="19">
        <v>2787444.3944000001</v>
      </c>
      <c r="F104" s="19">
        <v>1125624.3200000001</v>
      </c>
      <c r="G104" s="19">
        <v>865300</v>
      </c>
      <c r="H104" s="19">
        <v>260324.31999999983</v>
      </c>
      <c r="I104" s="9">
        <v>9.3391753580087097E-2</v>
      </c>
      <c r="J104" s="9"/>
      <c r="K104" s="15" t="s">
        <v>49</v>
      </c>
      <c r="L104" s="15"/>
    </row>
    <row r="105" spans="2:12" x14ac:dyDescent="0.3">
      <c r="B105" s="8" t="s">
        <v>50</v>
      </c>
      <c r="C105" s="8" t="s">
        <v>4</v>
      </c>
      <c r="D105" s="18">
        <v>24000</v>
      </c>
      <c r="E105" s="19">
        <v>139096.25</v>
      </c>
      <c r="F105" s="19">
        <v>62375</v>
      </c>
      <c r="G105" s="19">
        <v>46437</v>
      </c>
      <c r="H105" s="19">
        <v>15938</v>
      </c>
      <c r="I105" s="9">
        <v>0.11458252828527009</v>
      </c>
      <c r="J105" s="9"/>
      <c r="K105" s="14" t="s">
        <v>50</v>
      </c>
      <c r="L105" s="8" t="s">
        <v>4</v>
      </c>
    </row>
    <row r="106" spans="2:12" x14ac:dyDescent="0.3">
      <c r="B106" s="8"/>
      <c r="C106" s="8" t="s">
        <v>23</v>
      </c>
      <c r="D106" s="18">
        <v>10260</v>
      </c>
      <c r="E106" s="19">
        <v>91976.796000000002</v>
      </c>
      <c r="F106" s="19">
        <v>41245.200000000004</v>
      </c>
      <c r="G106" s="19">
        <v>34624.5</v>
      </c>
      <c r="H106" s="19">
        <v>6620.7000000000044</v>
      </c>
      <c r="I106" s="9">
        <v>7.1982285619081626E-2</v>
      </c>
      <c r="J106" s="9"/>
      <c r="K106" s="14"/>
      <c r="L106" s="8" t="s">
        <v>23</v>
      </c>
    </row>
    <row r="107" spans="2:12" x14ac:dyDescent="0.3">
      <c r="B107" s="8"/>
      <c r="C107" s="8" t="s">
        <v>24</v>
      </c>
      <c r="D107" s="18">
        <v>28000</v>
      </c>
      <c r="E107" s="19">
        <v>53200</v>
      </c>
      <c r="F107" s="19">
        <v>21280</v>
      </c>
      <c r="G107" s="19">
        <v>34993.5</v>
      </c>
      <c r="H107" s="19">
        <v>-13713.5</v>
      </c>
      <c r="I107" s="9">
        <v>-0.25777255639097746</v>
      </c>
      <c r="J107" s="9"/>
      <c r="K107" s="14"/>
      <c r="L107" s="8" t="s">
        <v>24</v>
      </c>
    </row>
    <row r="108" spans="2:12" x14ac:dyDescent="0.3">
      <c r="B108" s="8"/>
      <c r="C108" s="8" t="s">
        <v>7</v>
      </c>
      <c r="D108" s="18">
        <v>118155</v>
      </c>
      <c r="E108" s="19">
        <v>213861.90900000001</v>
      </c>
      <c r="F108" s="19">
        <v>76248.3</v>
      </c>
      <c r="G108" s="19">
        <v>100613.5</v>
      </c>
      <c r="H108" s="19">
        <v>-24365.199999999997</v>
      </c>
      <c r="I108" s="9">
        <v>-0.11392959182834188</v>
      </c>
      <c r="J108" s="9"/>
      <c r="K108" s="14"/>
      <c r="L108" s="8" t="s">
        <v>7</v>
      </c>
    </row>
    <row r="109" spans="2:12" x14ac:dyDescent="0.3">
      <c r="B109" s="8"/>
      <c r="C109" s="8" t="s">
        <v>25</v>
      </c>
      <c r="D109" s="18">
        <v>240000</v>
      </c>
      <c r="E109" s="19">
        <v>456000</v>
      </c>
      <c r="F109" s="19">
        <v>182400</v>
      </c>
      <c r="G109" s="19">
        <v>110577</v>
      </c>
      <c r="H109" s="19">
        <v>71823</v>
      </c>
      <c r="I109" s="9">
        <v>0.15750657894736841</v>
      </c>
      <c r="J109" s="9"/>
      <c r="K109" s="14"/>
      <c r="L109" s="8" t="s">
        <v>25</v>
      </c>
    </row>
    <row r="110" spans="2:12" x14ac:dyDescent="0.3">
      <c r="B110" s="8"/>
      <c r="C110" s="8" t="s">
        <v>26</v>
      </c>
      <c r="D110" s="18">
        <v>45680</v>
      </c>
      <c r="E110" s="19">
        <v>481083.92</v>
      </c>
      <c r="F110" s="19">
        <v>212792</v>
      </c>
      <c r="G110" s="19">
        <v>182696</v>
      </c>
      <c r="H110" s="19">
        <v>30096</v>
      </c>
      <c r="I110" s="9">
        <v>6.2558731956786254E-2</v>
      </c>
      <c r="J110" s="9"/>
      <c r="K110" s="14"/>
      <c r="L110" s="8" t="s">
        <v>26</v>
      </c>
    </row>
    <row r="111" spans="2:12" x14ac:dyDescent="0.3">
      <c r="B111" s="8"/>
      <c r="C111" s="8" t="s">
        <v>27</v>
      </c>
      <c r="D111" s="18">
        <v>372504</v>
      </c>
      <c r="E111" s="19">
        <v>707757.6</v>
      </c>
      <c r="F111" s="19">
        <v>283103.04000000004</v>
      </c>
      <c r="G111" s="19">
        <v>241715.5</v>
      </c>
      <c r="H111" s="19">
        <v>41387.540000000037</v>
      </c>
      <c r="I111" s="9">
        <v>5.8476998339544554E-2</v>
      </c>
      <c r="J111" s="9"/>
      <c r="K111" s="14"/>
      <c r="L111" s="8" t="s">
        <v>27</v>
      </c>
    </row>
    <row r="112" spans="2:12" x14ac:dyDescent="0.3">
      <c r="B112" s="8"/>
      <c r="C112" s="8" t="s">
        <v>28</v>
      </c>
      <c r="D112" s="18">
        <v>109252</v>
      </c>
      <c r="E112" s="19">
        <v>281593.40000000002</v>
      </c>
      <c r="F112" s="19">
        <v>106857.20000000001</v>
      </c>
      <c r="G112" s="19">
        <v>113643</v>
      </c>
      <c r="H112" s="19">
        <v>-6785.7999999999884</v>
      </c>
      <c r="I112" s="9">
        <v>-2.4097865930096329E-2</v>
      </c>
      <c r="J112" s="9"/>
      <c r="K112" s="14"/>
      <c r="L112" s="8" t="s">
        <v>28</v>
      </c>
    </row>
    <row r="113" spans="2:18" x14ac:dyDescent="0.3">
      <c r="B113" s="8" t="s">
        <v>51</v>
      </c>
      <c r="C113" s="8"/>
      <c r="D113" s="18">
        <v>947851</v>
      </c>
      <c r="E113" s="19">
        <v>2424569.875</v>
      </c>
      <c r="F113" s="19">
        <v>986300.74</v>
      </c>
      <c r="G113" s="19">
        <v>865300</v>
      </c>
      <c r="H113" s="19">
        <v>121000.74000000022</v>
      </c>
      <c r="I113" s="9">
        <v>4.9906064266347541E-2</v>
      </c>
      <c r="J113" s="9"/>
      <c r="K113" s="15" t="s">
        <v>51</v>
      </c>
      <c r="L113" s="15"/>
    </row>
    <row r="114" spans="2:18" ht="19.5" thickBot="1" x14ac:dyDescent="0.35">
      <c r="B114" s="8" t="s">
        <v>12</v>
      </c>
      <c r="C114" s="8"/>
      <c r="D114" s="18">
        <v>13201559</v>
      </c>
      <c r="E114" s="19">
        <v>30616220.180868607</v>
      </c>
      <c r="F114" s="19">
        <v>12248062.278574768</v>
      </c>
      <c r="G114" s="19">
        <v>10927966.113636363</v>
      </c>
      <c r="H114" s="19">
        <v>1320096.1649384368</v>
      </c>
      <c r="I114" s="9">
        <v>4.3117542176657586E-2</v>
      </c>
      <c r="J114" s="9"/>
      <c r="K114" s="16" t="s">
        <v>12</v>
      </c>
      <c r="L114" s="16"/>
      <c r="M114" s="36">
        <v>9748644</v>
      </c>
      <c r="N114" s="37">
        <v>49838316</v>
      </c>
      <c r="O114" s="37">
        <v>8699887</v>
      </c>
      <c r="P114" s="37">
        <v>8405641</v>
      </c>
      <c r="Q114" s="37">
        <v>294246</v>
      </c>
      <c r="R114" s="38">
        <f>Q114/N114</f>
        <v>5.9040116845039464E-3</v>
      </c>
    </row>
    <row r="115" spans="2:18" x14ac:dyDescent="0.3">
      <c r="B115" s="17"/>
      <c r="C115" s="17"/>
      <c r="D115" s="17"/>
      <c r="E115" s="17"/>
      <c r="F115" s="17"/>
      <c r="G115" s="17"/>
      <c r="H115" s="17"/>
      <c r="I115" s="17"/>
      <c r="J115" s="17"/>
      <c r="K115"/>
      <c r="L115"/>
    </row>
    <row r="116" spans="2:18" x14ac:dyDescent="0.3">
      <c r="K116"/>
      <c r="L116"/>
    </row>
    <row r="117" spans="2:18" x14ac:dyDescent="0.3">
      <c r="K117"/>
      <c r="L117"/>
    </row>
    <row r="118" spans="2:18" x14ac:dyDescent="0.3">
      <c r="K118"/>
      <c r="L118"/>
    </row>
    <row r="119" spans="2:18" x14ac:dyDescent="0.3">
      <c r="K119"/>
      <c r="L119"/>
    </row>
    <row r="120" spans="2:18" x14ac:dyDescent="0.3">
      <c r="K120"/>
      <c r="L120"/>
    </row>
    <row r="121" spans="2:18" x14ac:dyDescent="0.3">
      <c r="K121"/>
      <c r="L121"/>
    </row>
    <row r="122" spans="2:18" x14ac:dyDescent="0.3">
      <c r="K122"/>
      <c r="L122"/>
    </row>
    <row r="123" spans="2:18" x14ac:dyDescent="0.3">
      <c r="K123"/>
      <c r="L123"/>
    </row>
    <row r="124" spans="2:18" x14ac:dyDescent="0.3">
      <c r="K124"/>
      <c r="L124"/>
    </row>
    <row r="125" spans="2:18" x14ac:dyDescent="0.3">
      <c r="K125"/>
      <c r="L125"/>
    </row>
    <row r="126" spans="2:18" x14ac:dyDescent="0.3">
      <c r="K126"/>
      <c r="L126"/>
    </row>
    <row r="127" spans="2:18" x14ac:dyDescent="0.3">
      <c r="K127"/>
      <c r="L127"/>
    </row>
    <row r="128" spans="2:18" x14ac:dyDescent="0.3">
      <c r="K128"/>
      <c r="L128"/>
    </row>
    <row r="129" spans="11:12" x14ac:dyDescent="0.3">
      <c r="K129"/>
      <c r="L129"/>
    </row>
    <row r="130" spans="11:12" x14ac:dyDescent="0.3">
      <c r="K130"/>
      <c r="L130"/>
    </row>
    <row r="131" spans="11:12" x14ac:dyDescent="0.3">
      <c r="K131"/>
      <c r="L131"/>
    </row>
    <row r="132" spans="11:12" x14ac:dyDescent="0.3">
      <c r="K132"/>
      <c r="L132"/>
    </row>
    <row r="133" spans="11:12" x14ac:dyDescent="0.3">
      <c r="K133"/>
      <c r="L133"/>
    </row>
    <row r="134" spans="11:12" x14ac:dyDescent="0.3">
      <c r="K134"/>
      <c r="L134"/>
    </row>
    <row r="135" spans="11:12" x14ac:dyDescent="0.3">
      <c r="K135"/>
      <c r="L135"/>
    </row>
    <row r="136" spans="11:12" x14ac:dyDescent="0.3">
      <c r="K136"/>
      <c r="L136"/>
    </row>
    <row r="137" spans="11:12" x14ac:dyDescent="0.3">
      <c r="K137"/>
      <c r="L137"/>
    </row>
    <row r="138" spans="11:12" x14ac:dyDescent="0.3">
      <c r="K138"/>
      <c r="L138"/>
    </row>
    <row r="139" spans="11:12" x14ac:dyDescent="0.3">
      <c r="K139"/>
      <c r="L139"/>
    </row>
    <row r="140" spans="11:12" x14ac:dyDescent="0.3">
      <c r="K140"/>
      <c r="L140"/>
    </row>
    <row r="141" spans="11:12" x14ac:dyDescent="0.3">
      <c r="K141"/>
      <c r="L141"/>
    </row>
    <row r="142" spans="11:12" x14ac:dyDescent="0.3">
      <c r="K142"/>
      <c r="L142"/>
    </row>
    <row r="143" spans="11:12" x14ac:dyDescent="0.3">
      <c r="K143"/>
      <c r="L143"/>
    </row>
    <row r="144" spans="11:12" x14ac:dyDescent="0.3">
      <c r="K144"/>
      <c r="L144"/>
    </row>
    <row r="145" spans="11:12" x14ac:dyDescent="0.3">
      <c r="K145"/>
      <c r="L145"/>
    </row>
    <row r="146" spans="11:12" x14ac:dyDescent="0.3">
      <c r="K146"/>
      <c r="L146"/>
    </row>
    <row r="147" spans="11:12" x14ac:dyDescent="0.3">
      <c r="K147"/>
      <c r="L147"/>
    </row>
    <row r="148" spans="11:12" x14ac:dyDescent="0.3">
      <c r="K148"/>
      <c r="L148"/>
    </row>
    <row r="149" spans="11:12" x14ac:dyDescent="0.3">
      <c r="K149"/>
      <c r="L149"/>
    </row>
    <row r="150" spans="11:12" x14ac:dyDescent="0.3">
      <c r="K150"/>
      <c r="L150"/>
    </row>
    <row r="151" spans="11:12" x14ac:dyDescent="0.3">
      <c r="K151"/>
      <c r="L151"/>
    </row>
    <row r="152" spans="11:12" x14ac:dyDescent="0.3">
      <c r="K152"/>
      <c r="L152"/>
    </row>
    <row r="153" spans="11:12" x14ac:dyDescent="0.3">
      <c r="K153"/>
      <c r="L153"/>
    </row>
    <row r="154" spans="11:12" x14ac:dyDescent="0.3">
      <c r="K154"/>
      <c r="L154"/>
    </row>
    <row r="155" spans="11:12" x14ac:dyDescent="0.3">
      <c r="K155"/>
      <c r="L155"/>
    </row>
    <row r="156" spans="11:12" x14ac:dyDescent="0.3">
      <c r="K156"/>
      <c r="L156"/>
    </row>
    <row r="157" spans="11:12" x14ac:dyDescent="0.3">
      <c r="K157"/>
      <c r="L157"/>
    </row>
    <row r="158" spans="11:12" x14ac:dyDescent="0.3">
      <c r="K158"/>
      <c r="L158"/>
    </row>
    <row r="159" spans="11:12" x14ac:dyDescent="0.3">
      <c r="K159"/>
      <c r="L159"/>
    </row>
    <row r="160" spans="11:12" x14ac:dyDescent="0.3">
      <c r="K160"/>
      <c r="L160"/>
    </row>
    <row r="161" spans="11:12" x14ac:dyDescent="0.3">
      <c r="K161"/>
      <c r="L161"/>
    </row>
    <row r="162" spans="11:12" x14ac:dyDescent="0.3">
      <c r="K162"/>
      <c r="L162"/>
    </row>
    <row r="163" spans="11:12" x14ac:dyDescent="0.3">
      <c r="K163"/>
      <c r="L163"/>
    </row>
    <row r="164" spans="11:12" x14ac:dyDescent="0.3">
      <c r="K164"/>
      <c r="L164"/>
    </row>
    <row r="165" spans="11:12" x14ac:dyDescent="0.3">
      <c r="K165"/>
      <c r="L165"/>
    </row>
    <row r="166" spans="11:12" x14ac:dyDescent="0.3">
      <c r="K166"/>
      <c r="L166"/>
    </row>
    <row r="167" spans="11:12" x14ac:dyDescent="0.3">
      <c r="K167"/>
      <c r="L167"/>
    </row>
    <row r="168" spans="11:12" x14ac:dyDescent="0.3">
      <c r="K168"/>
      <c r="L168"/>
    </row>
    <row r="169" spans="11:12" x14ac:dyDescent="0.3">
      <c r="K169"/>
      <c r="L169"/>
    </row>
    <row r="170" spans="11:12" x14ac:dyDescent="0.3">
      <c r="K170"/>
      <c r="L170"/>
    </row>
    <row r="171" spans="11:12" x14ac:dyDescent="0.3">
      <c r="K171"/>
      <c r="L171"/>
    </row>
    <row r="172" spans="11:12" x14ac:dyDescent="0.3">
      <c r="K172"/>
      <c r="L172"/>
    </row>
    <row r="173" spans="11:12" x14ac:dyDescent="0.3">
      <c r="K173"/>
      <c r="L173"/>
    </row>
    <row r="174" spans="11:12" x14ac:dyDescent="0.3">
      <c r="K174"/>
      <c r="L174"/>
    </row>
    <row r="175" spans="11:12" x14ac:dyDescent="0.3">
      <c r="K175"/>
      <c r="L175"/>
    </row>
    <row r="176" spans="11:12" x14ac:dyDescent="0.3">
      <c r="K176"/>
      <c r="L176"/>
    </row>
    <row r="177" spans="11:12" x14ac:dyDescent="0.3">
      <c r="K177"/>
      <c r="L177"/>
    </row>
    <row r="178" spans="11:12" x14ac:dyDescent="0.3">
      <c r="K178"/>
      <c r="L178"/>
    </row>
    <row r="179" spans="11:12" x14ac:dyDescent="0.3">
      <c r="K179"/>
      <c r="L179"/>
    </row>
    <row r="180" spans="11:12" x14ac:dyDescent="0.3">
      <c r="K180"/>
      <c r="L180"/>
    </row>
    <row r="181" spans="11:12" x14ac:dyDescent="0.3">
      <c r="K181"/>
      <c r="L181"/>
    </row>
    <row r="182" spans="11:12" x14ac:dyDescent="0.3">
      <c r="K182"/>
      <c r="L182"/>
    </row>
    <row r="183" spans="11:12" x14ac:dyDescent="0.3">
      <c r="K183"/>
      <c r="L183"/>
    </row>
    <row r="184" spans="11:12" x14ac:dyDescent="0.3">
      <c r="K184"/>
      <c r="L184"/>
    </row>
    <row r="185" spans="11:12" x14ac:dyDescent="0.3">
      <c r="K185"/>
      <c r="L185"/>
    </row>
    <row r="186" spans="11:12" x14ac:dyDescent="0.3">
      <c r="K186"/>
      <c r="L186"/>
    </row>
    <row r="187" spans="11:12" x14ac:dyDescent="0.3">
      <c r="K187"/>
      <c r="L187"/>
    </row>
    <row r="188" spans="11:12" x14ac:dyDescent="0.3">
      <c r="K188"/>
      <c r="L188"/>
    </row>
    <row r="189" spans="11:12" x14ac:dyDescent="0.3">
      <c r="K189"/>
      <c r="L189"/>
    </row>
    <row r="190" spans="11:12" x14ac:dyDescent="0.3">
      <c r="K190"/>
      <c r="L190"/>
    </row>
    <row r="191" spans="11:12" x14ac:dyDescent="0.3">
      <c r="K191"/>
      <c r="L191"/>
    </row>
    <row r="192" spans="11:12" x14ac:dyDescent="0.3">
      <c r="K192"/>
      <c r="L192"/>
    </row>
    <row r="193" spans="11:12" x14ac:dyDescent="0.3">
      <c r="K193"/>
      <c r="L193"/>
    </row>
    <row r="194" spans="11:12" x14ac:dyDescent="0.3">
      <c r="K194"/>
      <c r="L194"/>
    </row>
    <row r="195" spans="11:12" x14ac:dyDescent="0.3">
      <c r="K195"/>
      <c r="L195"/>
    </row>
    <row r="196" spans="11:12" x14ac:dyDescent="0.3">
      <c r="K196"/>
      <c r="L196"/>
    </row>
    <row r="197" spans="11:12" x14ac:dyDescent="0.3">
      <c r="K197"/>
      <c r="L197"/>
    </row>
    <row r="198" spans="11:12" x14ac:dyDescent="0.3">
      <c r="K198"/>
      <c r="L198"/>
    </row>
    <row r="199" spans="11:12" x14ac:dyDescent="0.3">
      <c r="K199"/>
      <c r="L199"/>
    </row>
    <row r="200" spans="11:12" x14ac:dyDescent="0.3">
      <c r="K200"/>
      <c r="L200"/>
    </row>
    <row r="201" spans="11:12" x14ac:dyDescent="0.3">
      <c r="K201"/>
      <c r="L201"/>
    </row>
    <row r="202" spans="11:12" x14ac:dyDescent="0.3">
      <c r="K202"/>
      <c r="L202"/>
    </row>
    <row r="203" spans="11:12" x14ac:dyDescent="0.3">
      <c r="K203"/>
      <c r="L203"/>
    </row>
    <row r="204" spans="11:12" x14ac:dyDescent="0.3">
      <c r="K204"/>
      <c r="L204"/>
    </row>
    <row r="205" spans="11:12" x14ac:dyDescent="0.3">
      <c r="K205"/>
      <c r="L205"/>
    </row>
    <row r="206" spans="11:12" x14ac:dyDescent="0.3">
      <c r="K206"/>
      <c r="L206"/>
    </row>
    <row r="207" spans="11:12" x14ac:dyDescent="0.3">
      <c r="K207"/>
      <c r="L207"/>
    </row>
    <row r="208" spans="11:12" x14ac:dyDescent="0.3">
      <c r="K208"/>
      <c r="L208"/>
    </row>
    <row r="209" spans="11:12" x14ac:dyDescent="0.3">
      <c r="K209"/>
      <c r="L209"/>
    </row>
    <row r="210" spans="11:12" x14ac:dyDescent="0.3">
      <c r="K210"/>
      <c r="L210"/>
    </row>
    <row r="211" spans="11:12" x14ac:dyDescent="0.3">
      <c r="K211"/>
      <c r="L211"/>
    </row>
    <row r="212" spans="11:12" x14ac:dyDescent="0.3">
      <c r="K212"/>
      <c r="L212"/>
    </row>
    <row r="213" spans="11:12" x14ac:dyDescent="0.3">
      <c r="K213"/>
      <c r="L213"/>
    </row>
    <row r="214" spans="11:12" x14ac:dyDescent="0.3">
      <c r="K214"/>
      <c r="L214"/>
    </row>
    <row r="215" spans="11:12" x14ac:dyDescent="0.3">
      <c r="K215"/>
      <c r="L215"/>
    </row>
    <row r="216" spans="11:12" x14ac:dyDescent="0.3">
      <c r="K216"/>
      <c r="L216"/>
    </row>
    <row r="217" spans="11:12" x14ac:dyDescent="0.3">
      <c r="K217"/>
      <c r="L217"/>
    </row>
    <row r="218" spans="11:12" x14ac:dyDescent="0.3">
      <c r="K218"/>
      <c r="L218"/>
    </row>
    <row r="219" spans="11:12" x14ac:dyDescent="0.3">
      <c r="K219"/>
      <c r="L219"/>
    </row>
    <row r="220" spans="11:12" x14ac:dyDescent="0.3">
      <c r="K220"/>
      <c r="L220"/>
    </row>
    <row r="221" spans="11:12" x14ac:dyDescent="0.3">
      <c r="K221"/>
      <c r="L221"/>
    </row>
    <row r="222" spans="11:12" x14ac:dyDescent="0.3">
      <c r="K222"/>
      <c r="L222"/>
    </row>
    <row r="223" spans="11:12" x14ac:dyDescent="0.3">
      <c r="K223"/>
      <c r="L223"/>
    </row>
    <row r="224" spans="11:12" x14ac:dyDescent="0.3">
      <c r="K224"/>
      <c r="L224"/>
    </row>
    <row r="225" spans="11:12" x14ac:dyDescent="0.3">
      <c r="K225"/>
      <c r="L225"/>
    </row>
    <row r="226" spans="11:12" x14ac:dyDescent="0.3">
      <c r="K226"/>
      <c r="L226"/>
    </row>
    <row r="227" spans="11:12" x14ac:dyDescent="0.3">
      <c r="K227"/>
      <c r="L227"/>
    </row>
    <row r="228" spans="11:12" x14ac:dyDescent="0.3">
      <c r="K228"/>
      <c r="L228"/>
    </row>
    <row r="229" spans="11:12" x14ac:dyDescent="0.3">
      <c r="K229"/>
      <c r="L229"/>
    </row>
    <row r="230" spans="11:12" x14ac:dyDescent="0.3">
      <c r="K230"/>
      <c r="L230"/>
    </row>
    <row r="231" spans="11:12" x14ac:dyDescent="0.3">
      <c r="K231"/>
      <c r="L231"/>
    </row>
    <row r="232" spans="11:12" x14ac:dyDescent="0.3">
      <c r="K232"/>
      <c r="L232"/>
    </row>
    <row r="233" spans="11:12" x14ac:dyDescent="0.3">
      <c r="K233"/>
      <c r="L233"/>
    </row>
    <row r="234" spans="11:12" x14ac:dyDescent="0.3">
      <c r="K234"/>
      <c r="L234"/>
    </row>
    <row r="235" spans="11:12" x14ac:dyDescent="0.3">
      <c r="K235"/>
      <c r="L235"/>
    </row>
    <row r="236" spans="11:12" x14ac:dyDescent="0.3">
      <c r="K236"/>
      <c r="L236"/>
    </row>
    <row r="237" spans="11:12" x14ac:dyDescent="0.3">
      <c r="K237"/>
      <c r="L237"/>
    </row>
    <row r="238" spans="11:12" x14ac:dyDescent="0.3">
      <c r="K238"/>
      <c r="L238"/>
    </row>
    <row r="239" spans="11:12" x14ac:dyDescent="0.3">
      <c r="K239"/>
      <c r="L239"/>
    </row>
    <row r="240" spans="11:12" x14ac:dyDescent="0.3">
      <c r="K240"/>
      <c r="L240"/>
    </row>
    <row r="241" spans="11:12" x14ac:dyDescent="0.3">
      <c r="K241"/>
      <c r="L241"/>
    </row>
    <row r="242" spans="11:12" x14ac:dyDescent="0.3">
      <c r="K242"/>
      <c r="L242"/>
    </row>
    <row r="243" spans="11:12" x14ac:dyDescent="0.3">
      <c r="K243"/>
      <c r="L243"/>
    </row>
    <row r="244" spans="11:12" x14ac:dyDescent="0.3">
      <c r="K244"/>
      <c r="L244"/>
    </row>
    <row r="245" spans="11:12" x14ac:dyDescent="0.3">
      <c r="K245"/>
      <c r="L245"/>
    </row>
    <row r="246" spans="11:12" x14ac:dyDescent="0.3">
      <c r="K246"/>
      <c r="L246"/>
    </row>
    <row r="247" spans="11:12" x14ac:dyDescent="0.3">
      <c r="K247"/>
      <c r="L247"/>
    </row>
    <row r="248" spans="11:12" x14ac:dyDescent="0.3">
      <c r="K248"/>
      <c r="L248"/>
    </row>
    <row r="249" spans="11:12" x14ac:dyDescent="0.3">
      <c r="K249"/>
      <c r="L249"/>
    </row>
    <row r="250" spans="11:12" x14ac:dyDescent="0.3">
      <c r="K250"/>
      <c r="L250"/>
    </row>
    <row r="251" spans="11:12" x14ac:dyDescent="0.3">
      <c r="K251"/>
      <c r="L251"/>
    </row>
    <row r="252" spans="11:12" x14ac:dyDescent="0.3">
      <c r="K252"/>
      <c r="L252"/>
    </row>
    <row r="253" spans="11:12" x14ac:dyDescent="0.3">
      <c r="K253"/>
      <c r="L253"/>
    </row>
    <row r="254" spans="11:12" x14ac:dyDescent="0.3">
      <c r="K254"/>
      <c r="L254"/>
    </row>
    <row r="255" spans="11:12" x14ac:dyDescent="0.3">
      <c r="K255"/>
      <c r="L255"/>
    </row>
    <row r="256" spans="11:12" x14ac:dyDescent="0.3">
      <c r="K256"/>
      <c r="L256"/>
    </row>
    <row r="257" spans="11:12" x14ac:dyDescent="0.3">
      <c r="K257"/>
      <c r="L257"/>
    </row>
    <row r="258" spans="11:12" x14ac:dyDescent="0.3">
      <c r="K258"/>
      <c r="L258"/>
    </row>
    <row r="259" spans="11:12" x14ac:dyDescent="0.3">
      <c r="K259"/>
      <c r="L259"/>
    </row>
    <row r="260" spans="11:12" x14ac:dyDescent="0.3">
      <c r="K260"/>
      <c r="L260"/>
    </row>
    <row r="261" spans="11:12" x14ac:dyDescent="0.3">
      <c r="K261"/>
      <c r="L261"/>
    </row>
    <row r="262" spans="11:12" x14ac:dyDescent="0.3">
      <c r="K262"/>
      <c r="L262"/>
    </row>
    <row r="263" spans="11:12" x14ac:dyDescent="0.3">
      <c r="K263"/>
      <c r="L263"/>
    </row>
    <row r="264" spans="11:12" x14ac:dyDescent="0.3">
      <c r="K264"/>
      <c r="L264"/>
    </row>
    <row r="265" spans="11:12" x14ac:dyDescent="0.3">
      <c r="K265"/>
      <c r="L265"/>
    </row>
    <row r="266" spans="11:12" x14ac:dyDescent="0.3">
      <c r="K266"/>
      <c r="L266"/>
    </row>
    <row r="267" spans="11:12" x14ac:dyDescent="0.3">
      <c r="K267"/>
      <c r="L267"/>
    </row>
    <row r="268" spans="11:12" x14ac:dyDescent="0.3">
      <c r="K268"/>
      <c r="L268"/>
    </row>
    <row r="269" spans="11:12" x14ac:dyDescent="0.3">
      <c r="K269"/>
      <c r="L269"/>
    </row>
    <row r="270" spans="11:12" x14ac:dyDescent="0.3">
      <c r="K270"/>
      <c r="L270"/>
    </row>
    <row r="271" spans="11:12" x14ac:dyDescent="0.3">
      <c r="K271"/>
      <c r="L271"/>
    </row>
    <row r="272" spans="11:12" x14ac:dyDescent="0.3">
      <c r="K272"/>
      <c r="L272"/>
    </row>
    <row r="273" spans="11:12" x14ac:dyDescent="0.3">
      <c r="K273"/>
      <c r="L273"/>
    </row>
    <row r="274" spans="11:12" x14ac:dyDescent="0.3">
      <c r="K274"/>
      <c r="L274"/>
    </row>
    <row r="275" spans="11:12" x14ac:dyDescent="0.3">
      <c r="K275"/>
      <c r="L275"/>
    </row>
    <row r="276" spans="11:12" x14ac:dyDescent="0.3">
      <c r="K276"/>
      <c r="L276"/>
    </row>
    <row r="277" spans="11:12" x14ac:dyDescent="0.3">
      <c r="K277"/>
      <c r="L277"/>
    </row>
    <row r="278" spans="11:12" x14ac:dyDescent="0.3">
      <c r="K278"/>
      <c r="L278"/>
    </row>
    <row r="279" spans="11:12" x14ac:dyDescent="0.3">
      <c r="K279"/>
      <c r="L279"/>
    </row>
    <row r="280" spans="11:12" x14ac:dyDescent="0.3">
      <c r="K280"/>
      <c r="L280"/>
    </row>
    <row r="281" spans="11:12" x14ac:dyDescent="0.3">
      <c r="K281"/>
      <c r="L281"/>
    </row>
    <row r="282" spans="11:12" x14ac:dyDescent="0.3">
      <c r="K282"/>
      <c r="L282"/>
    </row>
    <row r="283" spans="11:12" x14ac:dyDescent="0.3">
      <c r="K283"/>
      <c r="L283"/>
    </row>
    <row r="284" spans="11:12" x14ac:dyDescent="0.3">
      <c r="K284"/>
      <c r="L284"/>
    </row>
    <row r="285" spans="11:12" x14ac:dyDescent="0.3">
      <c r="K285"/>
      <c r="L285"/>
    </row>
    <row r="286" spans="11:12" x14ac:dyDescent="0.3">
      <c r="K286"/>
      <c r="L286"/>
    </row>
    <row r="287" spans="11:12" x14ac:dyDescent="0.3">
      <c r="K287"/>
      <c r="L287"/>
    </row>
    <row r="288" spans="11:12" x14ac:dyDescent="0.3">
      <c r="K288"/>
      <c r="L288"/>
    </row>
    <row r="289" spans="11:12" x14ac:dyDescent="0.3">
      <c r="K289"/>
      <c r="L289"/>
    </row>
    <row r="290" spans="11:12" x14ac:dyDescent="0.3">
      <c r="K290"/>
      <c r="L290"/>
    </row>
    <row r="291" spans="11:12" x14ac:dyDescent="0.3">
      <c r="K291"/>
      <c r="L291"/>
    </row>
    <row r="292" spans="11:12" x14ac:dyDescent="0.3">
      <c r="K292"/>
      <c r="L292"/>
    </row>
    <row r="293" spans="11:12" x14ac:dyDescent="0.3">
      <c r="K293"/>
      <c r="L293"/>
    </row>
    <row r="294" spans="11:12" x14ac:dyDescent="0.3">
      <c r="K294"/>
      <c r="L294"/>
    </row>
    <row r="295" spans="11:12" x14ac:dyDescent="0.3">
      <c r="K295"/>
      <c r="L295"/>
    </row>
    <row r="296" spans="11:12" x14ac:dyDescent="0.3">
      <c r="K296"/>
      <c r="L296"/>
    </row>
    <row r="297" spans="11:12" x14ac:dyDescent="0.3">
      <c r="K297"/>
      <c r="L297"/>
    </row>
    <row r="298" spans="11:12" x14ac:dyDescent="0.3">
      <c r="K298"/>
      <c r="L298"/>
    </row>
    <row r="299" spans="11:12" x14ac:dyDescent="0.3">
      <c r="K299"/>
      <c r="L299"/>
    </row>
    <row r="300" spans="11:12" x14ac:dyDescent="0.3">
      <c r="K300"/>
      <c r="L300"/>
    </row>
  </sheetData>
  <conditionalFormatting pivot="1" sqref="D6:I114">
    <cfRule type="cellIs" dxfId="1" priority="1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2A7E1-A71E-4018-88EB-1BF3708B9814}">
  <sheetPr codeName="Sheet5">
    <tabColor rgb="FF00BFFF"/>
  </sheetPr>
  <dimension ref="A1:Z300"/>
  <sheetViews>
    <sheetView zoomScale="60" zoomScaleNormal="6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7109375" style="17" bestFit="1" customWidth="1"/>
    <col min="2" max="2" width="24.140625" style="17" customWidth="1"/>
    <col min="3" max="3" width="18.7109375" style="17" bestFit="1" customWidth="1"/>
    <col min="4" max="4" width="49.42578125" style="17" bestFit="1" customWidth="1"/>
    <col min="5" max="5" width="16.140625" style="17" bestFit="1" customWidth="1"/>
    <col min="6" max="6" width="22.28515625" style="17" bestFit="1" customWidth="1"/>
    <col min="7" max="7" width="21.28515625" style="17" bestFit="1" customWidth="1"/>
    <col min="8" max="8" width="23.7109375" style="17" bestFit="1" customWidth="1"/>
    <col min="9" max="9" width="26.28515625" style="17" bestFit="1" customWidth="1"/>
    <col min="10" max="10" width="13.42578125" style="17" bestFit="1" customWidth="1"/>
    <col min="11" max="11" width="9.140625" style="17"/>
    <col min="12" max="12" width="24.140625" style="17" bestFit="1" customWidth="1"/>
    <col min="13" max="13" width="14.5703125" style="17" bestFit="1" customWidth="1"/>
    <col min="14" max="14" width="49.42578125" style="17" bestFit="1" customWidth="1"/>
    <col min="15" max="15" width="14.5703125" style="24" bestFit="1" customWidth="1"/>
    <col min="16" max="16" width="22.28515625" style="24" bestFit="1" customWidth="1"/>
    <col min="17" max="17" width="21.28515625" style="24" bestFit="1" customWidth="1"/>
    <col min="18" max="18" width="23.7109375" style="24" bestFit="1" customWidth="1"/>
    <col min="19" max="19" width="26.28515625" style="24" bestFit="1" customWidth="1"/>
    <col min="20" max="20" width="13.42578125" style="24" bestFit="1" customWidth="1"/>
    <col min="21" max="26" width="9.140625" style="24"/>
    <col min="27" max="256" width="9.140625" style="17"/>
    <col min="257" max="257" width="7.85546875" style="17" customWidth="1"/>
    <col min="258" max="258" width="24.140625" style="17" bestFit="1" customWidth="1"/>
    <col min="259" max="259" width="17.140625" style="17" bestFit="1" customWidth="1"/>
    <col min="260" max="260" width="49.42578125" style="17" bestFit="1" customWidth="1"/>
    <col min="261" max="261" width="16" style="17" bestFit="1" customWidth="1"/>
    <col min="262" max="262" width="21.85546875" style="17" bestFit="1" customWidth="1"/>
    <col min="263" max="263" width="21.140625" style="17" bestFit="1" customWidth="1"/>
    <col min="264" max="264" width="23" style="17" bestFit="1" customWidth="1"/>
    <col min="265" max="265" width="25.5703125" style="17" bestFit="1" customWidth="1"/>
    <col min="266" max="266" width="13.140625" style="17" bestFit="1" customWidth="1"/>
    <col min="267" max="512" width="9.140625" style="17"/>
    <col min="513" max="513" width="7.85546875" style="17" customWidth="1"/>
    <col min="514" max="514" width="24.140625" style="17" bestFit="1" customWidth="1"/>
    <col min="515" max="515" width="17.140625" style="17" bestFit="1" customWidth="1"/>
    <col min="516" max="516" width="49.42578125" style="17" bestFit="1" customWidth="1"/>
    <col min="517" max="517" width="16" style="17" bestFit="1" customWidth="1"/>
    <col min="518" max="518" width="21.85546875" style="17" bestFit="1" customWidth="1"/>
    <col min="519" max="519" width="21.140625" style="17" bestFit="1" customWidth="1"/>
    <col min="520" max="520" width="23" style="17" bestFit="1" customWidth="1"/>
    <col min="521" max="521" width="25.5703125" style="17" bestFit="1" customWidth="1"/>
    <col min="522" max="522" width="13.140625" style="17" bestFit="1" customWidth="1"/>
    <col min="523" max="768" width="9.140625" style="17"/>
    <col min="769" max="769" width="7.85546875" style="17" customWidth="1"/>
    <col min="770" max="770" width="24.140625" style="17" bestFit="1" customWidth="1"/>
    <col min="771" max="771" width="17.140625" style="17" bestFit="1" customWidth="1"/>
    <col min="772" max="772" width="49.42578125" style="17" bestFit="1" customWidth="1"/>
    <col min="773" max="773" width="16" style="17" bestFit="1" customWidth="1"/>
    <col min="774" max="774" width="21.85546875" style="17" bestFit="1" customWidth="1"/>
    <col min="775" max="775" width="21.140625" style="17" bestFit="1" customWidth="1"/>
    <col min="776" max="776" width="23" style="17" bestFit="1" customWidth="1"/>
    <col min="777" max="777" width="25.5703125" style="17" bestFit="1" customWidth="1"/>
    <col min="778" max="778" width="13.140625" style="17" bestFit="1" customWidth="1"/>
    <col min="779" max="1024" width="9.140625" style="17"/>
    <col min="1025" max="1025" width="7.85546875" style="17" customWidth="1"/>
    <col min="1026" max="1026" width="24.140625" style="17" bestFit="1" customWidth="1"/>
    <col min="1027" max="1027" width="17.140625" style="17" bestFit="1" customWidth="1"/>
    <col min="1028" max="1028" width="49.42578125" style="17" bestFit="1" customWidth="1"/>
    <col min="1029" max="1029" width="16" style="17" bestFit="1" customWidth="1"/>
    <col min="1030" max="1030" width="21.85546875" style="17" bestFit="1" customWidth="1"/>
    <col min="1031" max="1031" width="21.140625" style="17" bestFit="1" customWidth="1"/>
    <col min="1032" max="1032" width="23" style="17" bestFit="1" customWidth="1"/>
    <col min="1033" max="1033" width="25.5703125" style="17" bestFit="1" customWidth="1"/>
    <col min="1034" max="1034" width="13.140625" style="17" bestFit="1" customWidth="1"/>
    <col min="1035" max="1280" width="9.140625" style="17"/>
    <col min="1281" max="1281" width="7.85546875" style="17" customWidth="1"/>
    <col min="1282" max="1282" width="24.140625" style="17" bestFit="1" customWidth="1"/>
    <col min="1283" max="1283" width="17.140625" style="17" bestFit="1" customWidth="1"/>
    <col min="1284" max="1284" width="49.42578125" style="17" bestFit="1" customWidth="1"/>
    <col min="1285" max="1285" width="16" style="17" bestFit="1" customWidth="1"/>
    <col min="1286" max="1286" width="21.85546875" style="17" bestFit="1" customWidth="1"/>
    <col min="1287" max="1287" width="21.140625" style="17" bestFit="1" customWidth="1"/>
    <col min="1288" max="1288" width="23" style="17" bestFit="1" customWidth="1"/>
    <col min="1289" max="1289" width="25.5703125" style="17" bestFit="1" customWidth="1"/>
    <col min="1290" max="1290" width="13.140625" style="17" bestFit="1" customWidth="1"/>
    <col min="1291" max="1536" width="9.140625" style="17"/>
    <col min="1537" max="1537" width="7.85546875" style="17" customWidth="1"/>
    <col min="1538" max="1538" width="24.140625" style="17" bestFit="1" customWidth="1"/>
    <col min="1539" max="1539" width="17.140625" style="17" bestFit="1" customWidth="1"/>
    <col min="1540" max="1540" width="49.42578125" style="17" bestFit="1" customWidth="1"/>
    <col min="1541" max="1541" width="16" style="17" bestFit="1" customWidth="1"/>
    <col min="1542" max="1542" width="21.85546875" style="17" bestFit="1" customWidth="1"/>
    <col min="1543" max="1543" width="21.140625" style="17" bestFit="1" customWidth="1"/>
    <col min="1544" max="1544" width="23" style="17" bestFit="1" customWidth="1"/>
    <col min="1545" max="1545" width="25.5703125" style="17" bestFit="1" customWidth="1"/>
    <col min="1546" max="1546" width="13.140625" style="17" bestFit="1" customWidth="1"/>
    <col min="1547" max="1792" width="9.140625" style="17"/>
    <col min="1793" max="1793" width="7.85546875" style="17" customWidth="1"/>
    <col min="1794" max="1794" width="24.140625" style="17" bestFit="1" customWidth="1"/>
    <col min="1795" max="1795" width="17.140625" style="17" bestFit="1" customWidth="1"/>
    <col min="1796" max="1796" width="49.42578125" style="17" bestFit="1" customWidth="1"/>
    <col min="1797" max="1797" width="16" style="17" bestFit="1" customWidth="1"/>
    <col min="1798" max="1798" width="21.85546875" style="17" bestFit="1" customWidth="1"/>
    <col min="1799" max="1799" width="21.140625" style="17" bestFit="1" customWidth="1"/>
    <col min="1800" max="1800" width="23" style="17" bestFit="1" customWidth="1"/>
    <col min="1801" max="1801" width="25.5703125" style="17" bestFit="1" customWidth="1"/>
    <col min="1802" max="1802" width="13.140625" style="17" bestFit="1" customWidth="1"/>
    <col min="1803" max="2048" width="9.140625" style="17"/>
    <col min="2049" max="2049" width="7.85546875" style="17" customWidth="1"/>
    <col min="2050" max="2050" width="24.140625" style="17" bestFit="1" customWidth="1"/>
    <col min="2051" max="2051" width="17.140625" style="17" bestFit="1" customWidth="1"/>
    <col min="2052" max="2052" width="49.42578125" style="17" bestFit="1" customWidth="1"/>
    <col min="2053" max="2053" width="16" style="17" bestFit="1" customWidth="1"/>
    <col min="2054" max="2054" width="21.85546875" style="17" bestFit="1" customWidth="1"/>
    <col min="2055" max="2055" width="21.140625" style="17" bestFit="1" customWidth="1"/>
    <col min="2056" max="2056" width="23" style="17" bestFit="1" customWidth="1"/>
    <col min="2057" max="2057" width="25.5703125" style="17" bestFit="1" customWidth="1"/>
    <col min="2058" max="2058" width="13.140625" style="17" bestFit="1" customWidth="1"/>
    <col min="2059" max="2304" width="9.140625" style="17"/>
    <col min="2305" max="2305" width="7.85546875" style="17" customWidth="1"/>
    <col min="2306" max="2306" width="24.140625" style="17" bestFit="1" customWidth="1"/>
    <col min="2307" max="2307" width="17.140625" style="17" bestFit="1" customWidth="1"/>
    <col min="2308" max="2308" width="49.42578125" style="17" bestFit="1" customWidth="1"/>
    <col min="2309" max="2309" width="16" style="17" bestFit="1" customWidth="1"/>
    <col min="2310" max="2310" width="21.85546875" style="17" bestFit="1" customWidth="1"/>
    <col min="2311" max="2311" width="21.140625" style="17" bestFit="1" customWidth="1"/>
    <col min="2312" max="2312" width="23" style="17" bestFit="1" customWidth="1"/>
    <col min="2313" max="2313" width="25.5703125" style="17" bestFit="1" customWidth="1"/>
    <col min="2314" max="2314" width="13.140625" style="17" bestFit="1" customWidth="1"/>
    <col min="2315" max="2560" width="9.140625" style="17"/>
    <col min="2561" max="2561" width="7.85546875" style="17" customWidth="1"/>
    <col min="2562" max="2562" width="24.140625" style="17" bestFit="1" customWidth="1"/>
    <col min="2563" max="2563" width="17.140625" style="17" bestFit="1" customWidth="1"/>
    <col min="2564" max="2564" width="49.42578125" style="17" bestFit="1" customWidth="1"/>
    <col min="2565" max="2565" width="16" style="17" bestFit="1" customWidth="1"/>
    <col min="2566" max="2566" width="21.85546875" style="17" bestFit="1" customWidth="1"/>
    <col min="2567" max="2567" width="21.140625" style="17" bestFit="1" customWidth="1"/>
    <col min="2568" max="2568" width="23" style="17" bestFit="1" customWidth="1"/>
    <col min="2569" max="2569" width="25.5703125" style="17" bestFit="1" customWidth="1"/>
    <col min="2570" max="2570" width="13.140625" style="17" bestFit="1" customWidth="1"/>
    <col min="2571" max="2816" width="9.140625" style="17"/>
    <col min="2817" max="2817" width="7.85546875" style="17" customWidth="1"/>
    <col min="2818" max="2818" width="24.140625" style="17" bestFit="1" customWidth="1"/>
    <col min="2819" max="2819" width="17.140625" style="17" bestFit="1" customWidth="1"/>
    <col min="2820" max="2820" width="49.42578125" style="17" bestFit="1" customWidth="1"/>
    <col min="2821" max="2821" width="16" style="17" bestFit="1" customWidth="1"/>
    <col min="2822" max="2822" width="21.85546875" style="17" bestFit="1" customWidth="1"/>
    <col min="2823" max="2823" width="21.140625" style="17" bestFit="1" customWidth="1"/>
    <col min="2824" max="2824" width="23" style="17" bestFit="1" customWidth="1"/>
    <col min="2825" max="2825" width="25.5703125" style="17" bestFit="1" customWidth="1"/>
    <col min="2826" max="2826" width="13.140625" style="17" bestFit="1" customWidth="1"/>
    <col min="2827" max="3072" width="9.140625" style="17"/>
    <col min="3073" max="3073" width="7.85546875" style="17" customWidth="1"/>
    <col min="3074" max="3074" width="24.140625" style="17" bestFit="1" customWidth="1"/>
    <col min="3075" max="3075" width="17.140625" style="17" bestFit="1" customWidth="1"/>
    <col min="3076" max="3076" width="49.42578125" style="17" bestFit="1" customWidth="1"/>
    <col min="3077" max="3077" width="16" style="17" bestFit="1" customWidth="1"/>
    <col min="3078" max="3078" width="21.85546875" style="17" bestFit="1" customWidth="1"/>
    <col min="3079" max="3079" width="21.140625" style="17" bestFit="1" customWidth="1"/>
    <col min="3080" max="3080" width="23" style="17" bestFit="1" customWidth="1"/>
    <col min="3081" max="3081" width="25.5703125" style="17" bestFit="1" customWidth="1"/>
    <col min="3082" max="3082" width="13.140625" style="17" bestFit="1" customWidth="1"/>
    <col min="3083" max="3328" width="9.140625" style="17"/>
    <col min="3329" max="3329" width="7.85546875" style="17" customWidth="1"/>
    <col min="3330" max="3330" width="24.140625" style="17" bestFit="1" customWidth="1"/>
    <col min="3331" max="3331" width="17.140625" style="17" bestFit="1" customWidth="1"/>
    <col min="3332" max="3332" width="49.42578125" style="17" bestFit="1" customWidth="1"/>
    <col min="3333" max="3333" width="16" style="17" bestFit="1" customWidth="1"/>
    <col min="3334" max="3334" width="21.85546875" style="17" bestFit="1" customWidth="1"/>
    <col min="3335" max="3335" width="21.140625" style="17" bestFit="1" customWidth="1"/>
    <col min="3336" max="3336" width="23" style="17" bestFit="1" customWidth="1"/>
    <col min="3337" max="3337" width="25.5703125" style="17" bestFit="1" customWidth="1"/>
    <col min="3338" max="3338" width="13.140625" style="17" bestFit="1" customWidth="1"/>
    <col min="3339" max="3584" width="9.140625" style="17"/>
    <col min="3585" max="3585" width="7.85546875" style="17" customWidth="1"/>
    <col min="3586" max="3586" width="24.140625" style="17" bestFit="1" customWidth="1"/>
    <col min="3587" max="3587" width="17.140625" style="17" bestFit="1" customWidth="1"/>
    <col min="3588" max="3588" width="49.42578125" style="17" bestFit="1" customWidth="1"/>
    <col min="3589" max="3589" width="16" style="17" bestFit="1" customWidth="1"/>
    <col min="3590" max="3590" width="21.85546875" style="17" bestFit="1" customWidth="1"/>
    <col min="3591" max="3591" width="21.140625" style="17" bestFit="1" customWidth="1"/>
    <col min="3592" max="3592" width="23" style="17" bestFit="1" customWidth="1"/>
    <col min="3593" max="3593" width="25.5703125" style="17" bestFit="1" customWidth="1"/>
    <col min="3594" max="3594" width="13.140625" style="17" bestFit="1" customWidth="1"/>
    <col min="3595" max="3840" width="9.140625" style="17"/>
    <col min="3841" max="3841" width="7.85546875" style="17" customWidth="1"/>
    <col min="3842" max="3842" width="24.140625" style="17" bestFit="1" customWidth="1"/>
    <col min="3843" max="3843" width="17.140625" style="17" bestFit="1" customWidth="1"/>
    <col min="3844" max="3844" width="49.42578125" style="17" bestFit="1" customWidth="1"/>
    <col min="3845" max="3845" width="16" style="17" bestFit="1" customWidth="1"/>
    <col min="3846" max="3846" width="21.85546875" style="17" bestFit="1" customWidth="1"/>
    <col min="3847" max="3847" width="21.140625" style="17" bestFit="1" customWidth="1"/>
    <col min="3848" max="3848" width="23" style="17" bestFit="1" customWidth="1"/>
    <col min="3849" max="3849" width="25.5703125" style="17" bestFit="1" customWidth="1"/>
    <col min="3850" max="3850" width="13.140625" style="17" bestFit="1" customWidth="1"/>
    <col min="3851" max="4096" width="9.140625" style="17"/>
    <col min="4097" max="4097" width="7.85546875" style="17" customWidth="1"/>
    <col min="4098" max="4098" width="24.140625" style="17" bestFit="1" customWidth="1"/>
    <col min="4099" max="4099" width="17.140625" style="17" bestFit="1" customWidth="1"/>
    <col min="4100" max="4100" width="49.42578125" style="17" bestFit="1" customWidth="1"/>
    <col min="4101" max="4101" width="16" style="17" bestFit="1" customWidth="1"/>
    <col min="4102" max="4102" width="21.85546875" style="17" bestFit="1" customWidth="1"/>
    <col min="4103" max="4103" width="21.140625" style="17" bestFit="1" customWidth="1"/>
    <col min="4104" max="4104" width="23" style="17" bestFit="1" customWidth="1"/>
    <col min="4105" max="4105" width="25.5703125" style="17" bestFit="1" customWidth="1"/>
    <col min="4106" max="4106" width="13.140625" style="17" bestFit="1" customWidth="1"/>
    <col min="4107" max="4352" width="9.140625" style="17"/>
    <col min="4353" max="4353" width="7.85546875" style="17" customWidth="1"/>
    <col min="4354" max="4354" width="24.140625" style="17" bestFit="1" customWidth="1"/>
    <col min="4355" max="4355" width="17.140625" style="17" bestFit="1" customWidth="1"/>
    <col min="4356" max="4356" width="49.42578125" style="17" bestFit="1" customWidth="1"/>
    <col min="4357" max="4357" width="16" style="17" bestFit="1" customWidth="1"/>
    <col min="4358" max="4358" width="21.85546875" style="17" bestFit="1" customWidth="1"/>
    <col min="4359" max="4359" width="21.140625" style="17" bestFit="1" customWidth="1"/>
    <col min="4360" max="4360" width="23" style="17" bestFit="1" customWidth="1"/>
    <col min="4361" max="4361" width="25.5703125" style="17" bestFit="1" customWidth="1"/>
    <col min="4362" max="4362" width="13.140625" style="17" bestFit="1" customWidth="1"/>
    <col min="4363" max="4608" width="9.140625" style="17"/>
    <col min="4609" max="4609" width="7.85546875" style="17" customWidth="1"/>
    <col min="4610" max="4610" width="24.140625" style="17" bestFit="1" customWidth="1"/>
    <col min="4611" max="4611" width="17.140625" style="17" bestFit="1" customWidth="1"/>
    <col min="4612" max="4612" width="49.42578125" style="17" bestFit="1" customWidth="1"/>
    <col min="4613" max="4613" width="16" style="17" bestFit="1" customWidth="1"/>
    <col min="4614" max="4614" width="21.85546875" style="17" bestFit="1" customWidth="1"/>
    <col min="4615" max="4615" width="21.140625" style="17" bestFit="1" customWidth="1"/>
    <col min="4616" max="4616" width="23" style="17" bestFit="1" customWidth="1"/>
    <col min="4617" max="4617" width="25.5703125" style="17" bestFit="1" customWidth="1"/>
    <col min="4618" max="4618" width="13.140625" style="17" bestFit="1" customWidth="1"/>
    <col min="4619" max="4864" width="9.140625" style="17"/>
    <col min="4865" max="4865" width="7.85546875" style="17" customWidth="1"/>
    <col min="4866" max="4866" width="24.140625" style="17" bestFit="1" customWidth="1"/>
    <col min="4867" max="4867" width="17.140625" style="17" bestFit="1" customWidth="1"/>
    <col min="4868" max="4868" width="49.42578125" style="17" bestFit="1" customWidth="1"/>
    <col min="4869" max="4869" width="16" style="17" bestFit="1" customWidth="1"/>
    <col min="4870" max="4870" width="21.85546875" style="17" bestFit="1" customWidth="1"/>
    <col min="4871" max="4871" width="21.140625" style="17" bestFit="1" customWidth="1"/>
    <col min="4872" max="4872" width="23" style="17" bestFit="1" customWidth="1"/>
    <col min="4873" max="4873" width="25.5703125" style="17" bestFit="1" customWidth="1"/>
    <col min="4874" max="4874" width="13.140625" style="17" bestFit="1" customWidth="1"/>
    <col min="4875" max="5120" width="9.140625" style="17"/>
    <col min="5121" max="5121" width="7.85546875" style="17" customWidth="1"/>
    <col min="5122" max="5122" width="24.140625" style="17" bestFit="1" customWidth="1"/>
    <col min="5123" max="5123" width="17.140625" style="17" bestFit="1" customWidth="1"/>
    <col min="5124" max="5124" width="49.42578125" style="17" bestFit="1" customWidth="1"/>
    <col min="5125" max="5125" width="16" style="17" bestFit="1" customWidth="1"/>
    <col min="5126" max="5126" width="21.85546875" style="17" bestFit="1" customWidth="1"/>
    <col min="5127" max="5127" width="21.140625" style="17" bestFit="1" customWidth="1"/>
    <col min="5128" max="5128" width="23" style="17" bestFit="1" customWidth="1"/>
    <col min="5129" max="5129" width="25.5703125" style="17" bestFit="1" customWidth="1"/>
    <col min="5130" max="5130" width="13.140625" style="17" bestFit="1" customWidth="1"/>
    <col min="5131" max="5376" width="9.140625" style="17"/>
    <col min="5377" max="5377" width="7.85546875" style="17" customWidth="1"/>
    <col min="5378" max="5378" width="24.140625" style="17" bestFit="1" customWidth="1"/>
    <col min="5379" max="5379" width="17.140625" style="17" bestFit="1" customWidth="1"/>
    <col min="5380" max="5380" width="49.42578125" style="17" bestFit="1" customWidth="1"/>
    <col min="5381" max="5381" width="16" style="17" bestFit="1" customWidth="1"/>
    <col min="5382" max="5382" width="21.85546875" style="17" bestFit="1" customWidth="1"/>
    <col min="5383" max="5383" width="21.140625" style="17" bestFit="1" customWidth="1"/>
    <col min="5384" max="5384" width="23" style="17" bestFit="1" customWidth="1"/>
    <col min="5385" max="5385" width="25.5703125" style="17" bestFit="1" customWidth="1"/>
    <col min="5386" max="5386" width="13.140625" style="17" bestFit="1" customWidth="1"/>
    <col min="5387" max="5632" width="9.140625" style="17"/>
    <col min="5633" max="5633" width="7.85546875" style="17" customWidth="1"/>
    <col min="5634" max="5634" width="24.140625" style="17" bestFit="1" customWidth="1"/>
    <col min="5635" max="5635" width="17.140625" style="17" bestFit="1" customWidth="1"/>
    <col min="5636" max="5636" width="49.42578125" style="17" bestFit="1" customWidth="1"/>
    <col min="5637" max="5637" width="16" style="17" bestFit="1" customWidth="1"/>
    <col min="5638" max="5638" width="21.85546875" style="17" bestFit="1" customWidth="1"/>
    <col min="5639" max="5639" width="21.140625" style="17" bestFit="1" customWidth="1"/>
    <col min="5640" max="5640" width="23" style="17" bestFit="1" customWidth="1"/>
    <col min="5641" max="5641" width="25.5703125" style="17" bestFit="1" customWidth="1"/>
    <col min="5642" max="5642" width="13.140625" style="17" bestFit="1" customWidth="1"/>
    <col min="5643" max="5888" width="9.140625" style="17"/>
    <col min="5889" max="5889" width="7.85546875" style="17" customWidth="1"/>
    <col min="5890" max="5890" width="24.140625" style="17" bestFit="1" customWidth="1"/>
    <col min="5891" max="5891" width="17.140625" style="17" bestFit="1" customWidth="1"/>
    <col min="5892" max="5892" width="49.42578125" style="17" bestFit="1" customWidth="1"/>
    <col min="5893" max="5893" width="16" style="17" bestFit="1" customWidth="1"/>
    <col min="5894" max="5894" width="21.85546875" style="17" bestFit="1" customWidth="1"/>
    <col min="5895" max="5895" width="21.140625" style="17" bestFit="1" customWidth="1"/>
    <col min="5896" max="5896" width="23" style="17" bestFit="1" customWidth="1"/>
    <col min="5897" max="5897" width="25.5703125" style="17" bestFit="1" customWidth="1"/>
    <col min="5898" max="5898" width="13.140625" style="17" bestFit="1" customWidth="1"/>
    <col min="5899" max="6144" width="9.140625" style="17"/>
    <col min="6145" max="6145" width="7.85546875" style="17" customWidth="1"/>
    <col min="6146" max="6146" width="24.140625" style="17" bestFit="1" customWidth="1"/>
    <col min="6147" max="6147" width="17.140625" style="17" bestFit="1" customWidth="1"/>
    <col min="6148" max="6148" width="49.42578125" style="17" bestFit="1" customWidth="1"/>
    <col min="6149" max="6149" width="16" style="17" bestFit="1" customWidth="1"/>
    <col min="6150" max="6150" width="21.85546875" style="17" bestFit="1" customWidth="1"/>
    <col min="6151" max="6151" width="21.140625" style="17" bestFit="1" customWidth="1"/>
    <col min="6152" max="6152" width="23" style="17" bestFit="1" customWidth="1"/>
    <col min="6153" max="6153" width="25.5703125" style="17" bestFit="1" customWidth="1"/>
    <col min="6154" max="6154" width="13.140625" style="17" bestFit="1" customWidth="1"/>
    <col min="6155" max="6400" width="9.140625" style="17"/>
    <col min="6401" max="6401" width="7.85546875" style="17" customWidth="1"/>
    <col min="6402" max="6402" width="24.140625" style="17" bestFit="1" customWidth="1"/>
    <col min="6403" max="6403" width="17.140625" style="17" bestFit="1" customWidth="1"/>
    <col min="6404" max="6404" width="49.42578125" style="17" bestFit="1" customWidth="1"/>
    <col min="6405" max="6405" width="16" style="17" bestFit="1" customWidth="1"/>
    <col min="6406" max="6406" width="21.85546875" style="17" bestFit="1" customWidth="1"/>
    <col min="6407" max="6407" width="21.140625" style="17" bestFit="1" customWidth="1"/>
    <col min="6408" max="6408" width="23" style="17" bestFit="1" customWidth="1"/>
    <col min="6409" max="6409" width="25.5703125" style="17" bestFit="1" customWidth="1"/>
    <col min="6410" max="6410" width="13.140625" style="17" bestFit="1" customWidth="1"/>
    <col min="6411" max="6656" width="9.140625" style="17"/>
    <col min="6657" max="6657" width="7.85546875" style="17" customWidth="1"/>
    <col min="6658" max="6658" width="24.140625" style="17" bestFit="1" customWidth="1"/>
    <col min="6659" max="6659" width="17.140625" style="17" bestFit="1" customWidth="1"/>
    <col min="6660" max="6660" width="49.42578125" style="17" bestFit="1" customWidth="1"/>
    <col min="6661" max="6661" width="16" style="17" bestFit="1" customWidth="1"/>
    <col min="6662" max="6662" width="21.85546875" style="17" bestFit="1" customWidth="1"/>
    <col min="6663" max="6663" width="21.140625" style="17" bestFit="1" customWidth="1"/>
    <col min="6664" max="6664" width="23" style="17" bestFit="1" customWidth="1"/>
    <col min="6665" max="6665" width="25.5703125" style="17" bestFit="1" customWidth="1"/>
    <col min="6666" max="6666" width="13.140625" style="17" bestFit="1" customWidth="1"/>
    <col min="6667" max="6912" width="9.140625" style="17"/>
    <col min="6913" max="6913" width="7.85546875" style="17" customWidth="1"/>
    <col min="6914" max="6914" width="24.140625" style="17" bestFit="1" customWidth="1"/>
    <col min="6915" max="6915" width="17.140625" style="17" bestFit="1" customWidth="1"/>
    <col min="6916" max="6916" width="49.42578125" style="17" bestFit="1" customWidth="1"/>
    <col min="6917" max="6917" width="16" style="17" bestFit="1" customWidth="1"/>
    <col min="6918" max="6918" width="21.85546875" style="17" bestFit="1" customWidth="1"/>
    <col min="6919" max="6919" width="21.140625" style="17" bestFit="1" customWidth="1"/>
    <col min="6920" max="6920" width="23" style="17" bestFit="1" customWidth="1"/>
    <col min="6921" max="6921" width="25.5703125" style="17" bestFit="1" customWidth="1"/>
    <col min="6922" max="6922" width="13.140625" style="17" bestFit="1" customWidth="1"/>
    <col min="6923" max="7168" width="9.140625" style="17"/>
    <col min="7169" max="7169" width="7.85546875" style="17" customWidth="1"/>
    <col min="7170" max="7170" width="24.140625" style="17" bestFit="1" customWidth="1"/>
    <col min="7171" max="7171" width="17.140625" style="17" bestFit="1" customWidth="1"/>
    <col min="7172" max="7172" width="49.42578125" style="17" bestFit="1" customWidth="1"/>
    <col min="7173" max="7173" width="16" style="17" bestFit="1" customWidth="1"/>
    <col min="7174" max="7174" width="21.85546875" style="17" bestFit="1" customWidth="1"/>
    <col min="7175" max="7175" width="21.140625" style="17" bestFit="1" customWidth="1"/>
    <col min="7176" max="7176" width="23" style="17" bestFit="1" customWidth="1"/>
    <col min="7177" max="7177" width="25.5703125" style="17" bestFit="1" customWidth="1"/>
    <col min="7178" max="7178" width="13.140625" style="17" bestFit="1" customWidth="1"/>
    <col min="7179" max="7424" width="9.140625" style="17"/>
    <col min="7425" max="7425" width="7.85546875" style="17" customWidth="1"/>
    <col min="7426" max="7426" width="24.140625" style="17" bestFit="1" customWidth="1"/>
    <col min="7427" max="7427" width="17.140625" style="17" bestFit="1" customWidth="1"/>
    <col min="7428" max="7428" width="49.42578125" style="17" bestFit="1" customWidth="1"/>
    <col min="7429" max="7429" width="16" style="17" bestFit="1" customWidth="1"/>
    <col min="7430" max="7430" width="21.85546875" style="17" bestFit="1" customWidth="1"/>
    <col min="7431" max="7431" width="21.140625" style="17" bestFit="1" customWidth="1"/>
    <col min="7432" max="7432" width="23" style="17" bestFit="1" customWidth="1"/>
    <col min="7433" max="7433" width="25.5703125" style="17" bestFit="1" customWidth="1"/>
    <col min="7434" max="7434" width="13.140625" style="17" bestFit="1" customWidth="1"/>
    <col min="7435" max="7680" width="9.140625" style="17"/>
    <col min="7681" max="7681" width="7.85546875" style="17" customWidth="1"/>
    <col min="7682" max="7682" width="24.140625" style="17" bestFit="1" customWidth="1"/>
    <col min="7683" max="7683" width="17.140625" style="17" bestFit="1" customWidth="1"/>
    <col min="7684" max="7684" width="49.42578125" style="17" bestFit="1" customWidth="1"/>
    <col min="7685" max="7685" width="16" style="17" bestFit="1" customWidth="1"/>
    <col min="7686" max="7686" width="21.85546875" style="17" bestFit="1" customWidth="1"/>
    <col min="7687" max="7687" width="21.140625" style="17" bestFit="1" customWidth="1"/>
    <col min="7688" max="7688" width="23" style="17" bestFit="1" customWidth="1"/>
    <col min="7689" max="7689" width="25.5703125" style="17" bestFit="1" customWidth="1"/>
    <col min="7690" max="7690" width="13.140625" style="17" bestFit="1" customWidth="1"/>
    <col min="7691" max="7936" width="9.140625" style="17"/>
    <col min="7937" max="7937" width="7.85546875" style="17" customWidth="1"/>
    <col min="7938" max="7938" width="24.140625" style="17" bestFit="1" customWidth="1"/>
    <col min="7939" max="7939" width="17.140625" style="17" bestFit="1" customWidth="1"/>
    <col min="7940" max="7940" width="49.42578125" style="17" bestFit="1" customWidth="1"/>
    <col min="7941" max="7941" width="16" style="17" bestFit="1" customWidth="1"/>
    <col min="7942" max="7942" width="21.85546875" style="17" bestFit="1" customWidth="1"/>
    <col min="7943" max="7943" width="21.140625" style="17" bestFit="1" customWidth="1"/>
    <col min="7944" max="7944" width="23" style="17" bestFit="1" customWidth="1"/>
    <col min="7945" max="7945" width="25.5703125" style="17" bestFit="1" customWidth="1"/>
    <col min="7946" max="7946" width="13.140625" style="17" bestFit="1" customWidth="1"/>
    <col min="7947" max="8192" width="9.140625" style="17"/>
    <col min="8193" max="8193" width="7.85546875" style="17" customWidth="1"/>
    <col min="8194" max="8194" width="24.140625" style="17" bestFit="1" customWidth="1"/>
    <col min="8195" max="8195" width="17.140625" style="17" bestFit="1" customWidth="1"/>
    <col min="8196" max="8196" width="49.42578125" style="17" bestFit="1" customWidth="1"/>
    <col min="8197" max="8197" width="16" style="17" bestFit="1" customWidth="1"/>
    <col min="8198" max="8198" width="21.85546875" style="17" bestFit="1" customWidth="1"/>
    <col min="8199" max="8199" width="21.140625" style="17" bestFit="1" customWidth="1"/>
    <col min="8200" max="8200" width="23" style="17" bestFit="1" customWidth="1"/>
    <col min="8201" max="8201" width="25.5703125" style="17" bestFit="1" customWidth="1"/>
    <col min="8202" max="8202" width="13.140625" style="17" bestFit="1" customWidth="1"/>
    <col min="8203" max="8448" width="9.140625" style="17"/>
    <col min="8449" max="8449" width="7.85546875" style="17" customWidth="1"/>
    <col min="8450" max="8450" width="24.140625" style="17" bestFit="1" customWidth="1"/>
    <col min="8451" max="8451" width="17.140625" style="17" bestFit="1" customWidth="1"/>
    <col min="8452" max="8452" width="49.42578125" style="17" bestFit="1" customWidth="1"/>
    <col min="8453" max="8453" width="16" style="17" bestFit="1" customWidth="1"/>
    <col min="8454" max="8454" width="21.85546875" style="17" bestFit="1" customWidth="1"/>
    <col min="8455" max="8455" width="21.140625" style="17" bestFit="1" customWidth="1"/>
    <col min="8456" max="8456" width="23" style="17" bestFit="1" customWidth="1"/>
    <col min="8457" max="8457" width="25.5703125" style="17" bestFit="1" customWidth="1"/>
    <col min="8458" max="8458" width="13.140625" style="17" bestFit="1" customWidth="1"/>
    <col min="8459" max="8704" width="9.140625" style="17"/>
    <col min="8705" max="8705" width="7.85546875" style="17" customWidth="1"/>
    <col min="8706" max="8706" width="24.140625" style="17" bestFit="1" customWidth="1"/>
    <col min="8707" max="8707" width="17.140625" style="17" bestFit="1" customWidth="1"/>
    <col min="8708" max="8708" width="49.42578125" style="17" bestFit="1" customWidth="1"/>
    <col min="8709" max="8709" width="16" style="17" bestFit="1" customWidth="1"/>
    <col min="8710" max="8710" width="21.85546875" style="17" bestFit="1" customWidth="1"/>
    <col min="8711" max="8711" width="21.140625" style="17" bestFit="1" customWidth="1"/>
    <col min="8712" max="8712" width="23" style="17" bestFit="1" customWidth="1"/>
    <col min="8713" max="8713" width="25.5703125" style="17" bestFit="1" customWidth="1"/>
    <col min="8714" max="8714" width="13.140625" style="17" bestFit="1" customWidth="1"/>
    <col min="8715" max="8960" width="9.140625" style="17"/>
    <col min="8961" max="8961" width="7.85546875" style="17" customWidth="1"/>
    <col min="8962" max="8962" width="24.140625" style="17" bestFit="1" customWidth="1"/>
    <col min="8963" max="8963" width="17.140625" style="17" bestFit="1" customWidth="1"/>
    <col min="8964" max="8964" width="49.42578125" style="17" bestFit="1" customWidth="1"/>
    <col min="8965" max="8965" width="16" style="17" bestFit="1" customWidth="1"/>
    <col min="8966" max="8966" width="21.85546875" style="17" bestFit="1" customWidth="1"/>
    <col min="8967" max="8967" width="21.140625" style="17" bestFit="1" customWidth="1"/>
    <col min="8968" max="8968" width="23" style="17" bestFit="1" customWidth="1"/>
    <col min="8969" max="8969" width="25.5703125" style="17" bestFit="1" customWidth="1"/>
    <col min="8970" max="8970" width="13.140625" style="17" bestFit="1" customWidth="1"/>
    <col min="8971" max="9216" width="9.140625" style="17"/>
    <col min="9217" max="9217" width="7.85546875" style="17" customWidth="1"/>
    <col min="9218" max="9218" width="24.140625" style="17" bestFit="1" customWidth="1"/>
    <col min="9219" max="9219" width="17.140625" style="17" bestFit="1" customWidth="1"/>
    <col min="9220" max="9220" width="49.42578125" style="17" bestFit="1" customWidth="1"/>
    <col min="9221" max="9221" width="16" style="17" bestFit="1" customWidth="1"/>
    <col min="9222" max="9222" width="21.85546875" style="17" bestFit="1" customWidth="1"/>
    <col min="9223" max="9223" width="21.140625" style="17" bestFit="1" customWidth="1"/>
    <col min="9224" max="9224" width="23" style="17" bestFit="1" customWidth="1"/>
    <col min="9225" max="9225" width="25.5703125" style="17" bestFit="1" customWidth="1"/>
    <col min="9226" max="9226" width="13.140625" style="17" bestFit="1" customWidth="1"/>
    <col min="9227" max="9472" width="9.140625" style="17"/>
    <col min="9473" max="9473" width="7.85546875" style="17" customWidth="1"/>
    <col min="9474" max="9474" width="24.140625" style="17" bestFit="1" customWidth="1"/>
    <col min="9475" max="9475" width="17.140625" style="17" bestFit="1" customWidth="1"/>
    <col min="9476" max="9476" width="49.42578125" style="17" bestFit="1" customWidth="1"/>
    <col min="9477" max="9477" width="16" style="17" bestFit="1" customWidth="1"/>
    <col min="9478" max="9478" width="21.85546875" style="17" bestFit="1" customWidth="1"/>
    <col min="9479" max="9479" width="21.140625" style="17" bestFit="1" customWidth="1"/>
    <col min="9480" max="9480" width="23" style="17" bestFit="1" customWidth="1"/>
    <col min="9481" max="9481" width="25.5703125" style="17" bestFit="1" customWidth="1"/>
    <col min="9482" max="9482" width="13.140625" style="17" bestFit="1" customWidth="1"/>
    <col min="9483" max="9728" width="9.140625" style="17"/>
    <col min="9729" max="9729" width="7.85546875" style="17" customWidth="1"/>
    <col min="9730" max="9730" width="24.140625" style="17" bestFit="1" customWidth="1"/>
    <col min="9731" max="9731" width="17.140625" style="17" bestFit="1" customWidth="1"/>
    <col min="9732" max="9732" width="49.42578125" style="17" bestFit="1" customWidth="1"/>
    <col min="9733" max="9733" width="16" style="17" bestFit="1" customWidth="1"/>
    <col min="9734" max="9734" width="21.85546875" style="17" bestFit="1" customWidth="1"/>
    <col min="9735" max="9735" width="21.140625" style="17" bestFit="1" customWidth="1"/>
    <col min="9736" max="9736" width="23" style="17" bestFit="1" customWidth="1"/>
    <col min="9737" max="9737" width="25.5703125" style="17" bestFit="1" customWidth="1"/>
    <col min="9738" max="9738" width="13.140625" style="17" bestFit="1" customWidth="1"/>
    <col min="9739" max="9984" width="9.140625" style="17"/>
    <col min="9985" max="9985" width="7.85546875" style="17" customWidth="1"/>
    <col min="9986" max="9986" width="24.140625" style="17" bestFit="1" customWidth="1"/>
    <col min="9987" max="9987" width="17.140625" style="17" bestFit="1" customWidth="1"/>
    <col min="9988" max="9988" width="49.42578125" style="17" bestFit="1" customWidth="1"/>
    <col min="9989" max="9989" width="16" style="17" bestFit="1" customWidth="1"/>
    <col min="9990" max="9990" width="21.85546875" style="17" bestFit="1" customWidth="1"/>
    <col min="9991" max="9991" width="21.140625" style="17" bestFit="1" customWidth="1"/>
    <col min="9992" max="9992" width="23" style="17" bestFit="1" customWidth="1"/>
    <col min="9993" max="9993" width="25.5703125" style="17" bestFit="1" customWidth="1"/>
    <col min="9994" max="9994" width="13.140625" style="17" bestFit="1" customWidth="1"/>
    <col min="9995" max="10240" width="9.140625" style="17"/>
    <col min="10241" max="10241" width="7.85546875" style="17" customWidth="1"/>
    <col min="10242" max="10242" width="24.140625" style="17" bestFit="1" customWidth="1"/>
    <col min="10243" max="10243" width="17.140625" style="17" bestFit="1" customWidth="1"/>
    <col min="10244" max="10244" width="49.42578125" style="17" bestFit="1" customWidth="1"/>
    <col min="10245" max="10245" width="16" style="17" bestFit="1" customWidth="1"/>
    <col min="10246" max="10246" width="21.85546875" style="17" bestFit="1" customWidth="1"/>
    <col min="10247" max="10247" width="21.140625" style="17" bestFit="1" customWidth="1"/>
    <col min="10248" max="10248" width="23" style="17" bestFit="1" customWidth="1"/>
    <col min="10249" max="10249" width="25.5703125" style="17" bestFit="1" customWidth="1"/>
    <col min="10250" max="10250" width="13.140625" style="17" bestFit="1" customWidth="1"/>
    <col min="10251" max="10496" width="9.140625" style="17"/>
    <col min="10497" max="10497" width="7.85546875" style="17" customWidth="1"/>
    <col min="10498" max="10498" width="24.140625" style="17" bestFit="1" customWidth="1"/>
    <col min="10499" max="10499" width="17.140625" style="17" bestFit="1" customWidth="1"/>
    <col min="10500" max="10500" width="49.42578125" style="17" bestFit="1" customWidth="1"/>
    <col min="10501" max="10501" width="16" style="17" bestFit="1" customWidth="1"/>
    <col min="10502" max="10502" width="21.85546875" style="17" bestFit="1" customWidth="1"/>
    <col min="10503" max="10503" width="21.140625" style="17" bestFit="1" customWidth="1"/>
    <col min="10504" max="10504" width="23" style="17" bestFit="1" customWidth="1"/>
    <col min="10505" max="10505" width="25.5703125" style="17" bestFit="1" customWidth="1"/>
    <col min="10506" max="10506" width="13.140625" style="17" bestFit="1" customWidth="1"/>
    <col min="10507" max="10752" width="9.140625" style="17"/>
    <col min="10753" max="10753" width="7.85546875" style="17" customWidth="1"/>
    <col min="10754" max="10754" width="24.140625" style="17" bestFit="1" customWidth="1"/>
    <col min="10755" max="10755" width="17.140625" style="17" bestFit="1" customWidth="1"/>
    <col min="10756" max="10756" width="49.42578125" style="17" bestFit="1" customWidth="1"/>
    <col min="10757" max="10757" width="16" style="17" bestFit="1" customWidth="1"/>
    <col min="10758" max="10758" width="21.85546875" style="17" bestFit="1" customWidth="1"/>
    <col min="10759" max="10759" width="21.140625" style="17" bestFit="1" customWidth="1"/>
    <col min="10760" max="10760" width="23" style="17" bestFit="1" customWidth="1"/>
    <col min="10761" max="10761" width="25.5703125" style="17" bestFit="1" customWidth="1"/>
    <col min="10762" max="10762" width="13.140625" style="17" bestFit="1" customWidth="1"/>
    <col min="10763" max="11008" width="9.140625" style="17"/>
    <col min="11009" max="11009" width="7.85546875" style="17" customWidth="1"/>
    <col min="11010" max="11010" width="24.140625" style="17" bestFit="1" customWidth="1"/>
    <col min="11011" max="11011" width="17.140625" style="17" bestFit="1" customWidth="1"/>
    <col min="11012" max="11012" width="49.42578125" style="17" bestFit="1" customWidth="1"/>
    <col min="11013" max="11013" width="16" style="17" bestFit="1" customWidth="1"/>
    <col min="11014" max="11014" width="21.85546875" style="17" bestFit="1" customWidth="1"/>
    <col min="11015" max="11015" width="21.140625" style="17" bestFit="1" customWidth="1"/>
    <col min="11016" max="11016" width="23" style="17" bestFit="1" customWidth="1"/>
    <col min="11017" max="11017" width="25.5703125" style="17" bestFit="1" customWidth="1"/>
    <col min="11018" max="11018" width="13.140625" style="17" bestFit="1" customWidth="1"/>
    <col min="11019" max="11264" width="9.140625" style="17"/>
    <col min="11265" max="11265" width="7.85546875" style="17" customWidth="1"/>
    <col min="11266" max="11266" width="24.140625" style="17" bestFit="1" customWidth="1"/>
    <col min="11267" max="11267" width="17.140625" style="17" bestFit="1" customWidth="1"/>
    <col min="11268" max="11268" width="49.42578125" style="17" bestFit="1" customWidth="1"/>
    <col min="11269" max="11269" width="16" style="17" bestFit="1" customWidth="1"/>
    <col min="11270" max="11270" width="21.85546875" style="17" bestFit="1" customWidth="1"/>
    <col min="11271" max="11271" width="21.140625" style="17" bestFit="1" customWidth="1"/>
    <col min="11272" max="11272" width="23" style="17" bestFit="1" customWidth="1"/>
    <col min="11273" max="11273" width="25.5703125" style="17" bestFit="1" customWidth="1"/>
    <col min="11274" max="11274" width="13.140625" style="17" bestFit="1" customWidth="1"/>
    <col min="11275" max="11520" width="9.140625" style="17"/>
    <col min="11521" max="11521" width="7.85546875" style="17" customWidth="1"/>
    <col min="11522" max="11522" width="24.140625" style="17" bestFit="1" customWidth="1"/>
    <col min="11523" max="11523" width="17.140625" style="17" bestFit="1" customWidth="1"/>
    <col min="11524" max="11524" width="49.42578125" style="17" bestFit="1" customWidth="1"/>
    <col min="11525" max="11525" width="16" style="17" bestFit="1" customWidth="1"/>
    <col min="11526" max="11526" width="21.85546875" style="17" bestFit="1" customWidth="1"/>
    <col min="11527" max="11527" width="21.140625" style="17" bestFit="1" customWidth="1"/>
    <col min="11528" max="11528" width="23" style="17" bestFit="1" customWidth="1"/>
    <col min="11529" max="11529" width="25.5703125" style="17" bestFit="1" customWidth="1"/>
    <col min="11530" max="11530" width="13.140625" style="17" bestFit="1" customWidth="1"/>
    <col min="11531" max="11776" width="9.140625" style="17"/>
    <col min="11777" max="11777" width="7.85546875" style="17" customWidth="1"/>
    <col min="11778" max="11778" width="24.140625" style="17" bestFit="1" customWidth="1"/>
    <col min="11779" max="11779" width="17.140625" style="17" bestFit="1" customWidth="1"/>
    <col min="11780" max="11780" width="49.42578125" style="17" bestFit="1" customWidth="1"/>
    <col min="11781" max="11781" width="16" style="17" bestFit="1" customWidth="1"/>
    <col min="11782" max="11782" width="21.85546875" style="17" bestFit="1" customWidth="1"/>
    <col min="11783" max="11783" width="21.140625" style="17" bestFit="1" customWidth="1"/>
    <col min="11784" max="11784" width="23" style="17" bestFit="1" customWidth="1"/>
    <col min="11785" max="11785" width="25.5703125" style="17" bestFit="1" customWidth="1"/>
    <col min="11786" max="11786" width="13.140625" style="17" bestFit="1" customWidth="1"/>
    <col min="11787" max="12032" width="9.140625" style="17"/>
    <col min="12033" max="12033" width="7.85546875" style="17" customWidth="1"/>
    <col min="12034" max="12034" width="24.140625" style="17" bestFit="1" customWidth="1"/>
    <col min="12035" max="12035" width="17.140625" style="17" bestFit="1" customWidth="1"/>
    <col min="12036" max="12036" width="49.42578125" style="17" bestFit="1" customWidth="1"/>
    <col min="12037" max="12037" width="16" style="17" bestFit="1" customWidth="1"/>
    <col min="12038" max="12038" width="21.85546875" style="17" bestFit="1" customWidth="1"/>
    <col min="12039" max="12039" width="21.140625" style="17" bestFit="1" customWidth="1"/>
    <col min="12040" max="12040" width="23" style="17" bestFit="1" customWidth="1"/>
    <col min="12041" max="12041" width="25.5703125" style="17" bestFit="1" customWidth="1"/>
    <col min="12042" max="12042" width="13.140625" style="17" bestFit="1" customWidth="1"/>
    <col min="12043" max="12288" width="9.140625" style="17"/>
    <col min="12289" max="12289" width="7.85546875" style="17" customWidth="1"/>
    <col min="12290" max="12290" width="24.140625" style="17" bestFit="1" customWidth="1"/>
    <col min="12291" max="12291" width="17.140625" style="17" bestFit="1" customWidth="1"/>
    <col min="12292" max="12292" width="49.42578125" style="17" bestFit="1" customWidth="1"/>
    <col min="12293" max="12293" width="16" style="17" bestFit="1" customWidth="1"/>
    <col min="12294" max="12294" width="21.85546875" style="17" bestFit="1" customWidth="1"/>
    <col min="12295" max="12295" width="21.140625" style="17" bestFit="1" customWidth="1"/>
    <col min="12296" max="12296" width="23" style="17" bestFit="1" customWidth="1"/>
    <col min="12297" max="12297" width="25.5703125" style="17" bestFit="1" customWidth="1"/>
    <col min="12298" max="12298" width="13.140625" style="17" bestFit="1" customWidth="1"/>
    <col min="12299" max="12544" width="9.140625" style="17"/>
    <col min="12545" max="12545" width="7.85546875" style="17" customWidth="1"/>
    <col min="12546" max="12546" width="24.140625" style="17" bestFit="1" customWidth="1"/>
    <col min="12547" max="12547" width="17.140625" style="17" bestFit="1" customWidth="1"/>
    <col min="12548" max="12548" width="49.42578125" style="17" bestFit="1" customWidth="1"/>
    <col min="12549" max="12549" width="16" style="17" bestFit="1" customWidth="1"/>
    <col min="12550" max="12550" width="21.85546875" style="17" bestFit="1" customWidth="1"/>
    <col min="12551" max="12551" width="21.140625" style="17" bestFit="1" customWidth="1"/>
    <col min="12552" max="12552" width="23" style="17" bestFit="1" customWidth="1"/>
    <col min="12553" max="12553" width="25.5703125" style="17" bestFit="1" customWidth="1"/>
    <col min="12554" max="12554" width="13.140625" style="17" bestFit="1" customWidth="1"/>
    <col min="12555" max="12800" width="9.140625" style="17"/>
    <col min="12801" max="12801" width="7.85546875" style="17" customWidth="1"/>
    <col min="12802" max="12802" width="24.140625" style="17" bestFit="1" customWidth="1"/>
    <col min="12803" max="12803" width="17.140625" style="17" bestFit="1" customWidth="1"/>
    <col min="12804" max="12804" width="49.42578125" style="17" bestFit="1" customWidth="1"/>
    <col min="12805" max="12805" width="16" style="17" bestFit="1" customWidth="1"/>
    <col min="12806" max="12806" width="21.85546875" style="17" bestFit="1" customWidth="1"/>
    <col min="12807" max="12807" width="21.140625" style="17" bestFit="1" customWidth="1"/>
    <col min="12808" max="12808" width="23" style="17" bestFit="1" customWidth="1"/>
    <col min="12809" max="12809" width="25.5703125" style="17" bestFit="1" customWidth="1"/>
    <col min="12810" max="12810" width="13.140625" style="17" bestFit="1" customWidth="1"/>
    <col min="12811" max="13056" width="9.140625" style="17"/>
    <col min="13057" max="13057" width="7.85546875" style="17" customWidth="1"/>
    <col min="13058" max="13058" width="24.140625" style="17" bestFit="1" customWidth="1"/>
    <col min="13059" max="13059" width="17.140625" style="17" bestFit="1" customWidth="1"/>
    <col min="13060" max="13060" width="49.42578125" style="17" bestFit="1" customWidth="1"/>
    <col min="13061" max="13061" width="16" style="17" bestFit="1" customWidth="1"/>
    <col min="13062" max="13062" width="21.85546875" style="17" bestFit="1" customWidth="1"/>
    <col min="13063" max="13063" width="21.140625" style="17" bestFit="1" customWidth="1"/>
    <col min="13064" max="13064" width="23" style="17" bestFit="1" customWidth="1"/>
    <col min="13065" max="13065" width="25.5703125" style="17" bestFit="1" customWidth="1"/>
    <col min="13066" max="13066" width="13.140625" style="17" bestFit="1" customWidth="1"/>
    <col min="13067" max="13312" width="9.140625" style="17"/>
    <col min="13313" max="13313" width="7.85546875" style="17" customWidth="1"/>
    <col min="13314" max="13314" width="24.140625" style="17" bestFit="1" customWidth="1"/>
    <col min="13315" max="13315" width="17.140625" style="17" bestFit="1" customWidth="1"/>
    <col min="13316" max="13316" width="49.42578125" style="17" bestFit="1" customWidth="1"/>
    <col min="13317" max="13317" width="16" style="17" bestFit="1" customWidth="1"/>
    <col min="13318" max="13318" width="21.85546875" style="17" bestFit="1" customWidth="1"/>
    <col min="13319" max="13319" width="21.140625" style="17" bestFit="1" customWidth="1"/>
    <col min="13320" max="13320" width="23" style="17" bestFit="1" customWidth="1"/>
    <col min="13321" max="13321" width="25.5703125" style="17" bestFit="1" customWidth="1"/>
    <col min="13322" max="13322" width="13.140625" style="17" bestFit="1" customWidth="1"/>
    <col min="13323" max="13568" width="9.140625" style="17"/>
    <col min="13569" max="13569" width="7.85546875" style="17" customWidth="1"/>
    <col min="13570" max="13570" width="24.140625" style="17" bestFit="1" customWidth="1"/>
    <col min="13571" max="13571" width="17.140625" style="17" bestFit="1" customWidth="1"/>
    <col min="13572" max="13572" width="49.42578125" style="17" bestFit="1" customWidth="1"/>
    <col min="13573" max="13573" width="16" style="17" bestFit="1" customWidth="1"/>
    <col min="13574" max="13574" width="21.85546875" style="17" bestFit="1" customWidth="1"/>
    <col min="13575" max="13575" width="21.140625" style="17" bestFit="1" customWidth="1"/>
    <col min="13576" max="13576" width="23" style="17" bestFit="1" customWidth="1"/>
    <col min="13577" max="13577" width="25.5703125" style="17" bestFit="1" customWidth="1"/>
    <col min="13578" max="13578" width="13.140625" style="17" bestFit="1" customWidth="1"/>
    <col min="13579" max="13824" width="9.140625" style="17"/>
    <col min="13825" max="13825" width="7.85546875" style="17" customWidth="1"/>
    <col min="13826" max="13826" width="24.140625" style="17" bestFit="1" customWidth="1"/>
    <col min="13827" max="13827" width="17.140625" style="17" bestFit="1" customWidth="1"/>
    <col min="13828" max="13828" width="49.42578125" style="17" bestFit="1" customWidth="1"/>
    <col min="13829" max="13829" width="16" style="17" bestFit="1" customWidth="1"/>
    <col min="13830" max="13830" width="21.85546875" style="17" bestFit="1" customWidth="1"/>
    <col min="13831" max="13831" width="21.140625" style="17" bestFit="1" customWidth="1"/>
    <col min="13832" max="13832" width="23" style="17" bestFit="1" customWidth="1"/>
    <col min="13833" max="13833" width="25.5703125" style="17" bestFit="1" customWidth="1"/>
    <col min="13834" max="13834" width="13.140625" style="17" bestFit="1" customWidth="1"/>
    <col min="13835" max="14080" width="9.140625" style="17"/>
    <col min="14081" max="14081" width="7.85546875" style="17" customWidth="1"/>
    <col min="14082" max="14082" width="24.140625" style="17" bestFit="1" customWidth="1"/>
    <col min="14083" max="14083" width="17.140625" style="17" bestFit="1" customWidth="1"/>
    <col min="14084" max="14084" width="49.42578125" style="17" bestFit="1" customWidth="1"/>
    <col min="14085" max="14085" width="16" style="17" bestFit="1" customWidth="1"/>
    <col min="14086" max="14086" width="21.85546875" style="17" bestFit="1" customWidth="1"/>
    <col min="14087" max="14087" width="21.140625" style="17" bestFit="1" customWidth="1"/>
    <col min="14088" max="14088" width="23" style="17" bestFit="1" customWidth="1"/>
    <col min="14089" max="14089" width="25.5703125" style="17" bestFit="1" customWidth="1"/>
    <col min="14090" max="14090" width="13.140625" style="17" bestFit="1" customWidth="1"/>
    <col min="14091" max="14336" width="9.140625" style="17"/>
    <col min="14337" max="14337" width="7.85546875" style="17" customWidth="1"/>
    <col min="14338" max="14338" width="24.140625" style="17" bestFit="1" customWidth="1"/>
    <col min="14339" max="14339" width="17.140625" style="17" bestFit="1" customWidth="1"/>
    <col min="14340" max="14340" width="49.42578125" style="17" bestFit="1" customWidth="1"/>
    <col min="14341" max="14341" width="16" style="17" bestFit="1" customWidth="1"/>
    <col min="14342" max="14342" width="21.85546875" style="17" bestFit="1" customWidth="1"/>
    <col min="14343" max="14343" width="21.140625" style="17" bestFit="1" customWidth="1"/>
    <col min="14344" max="14344" width="23" style="17" bestFit="1" customWidth="1"/>
    <col min="14345" max="14345" width="25.5703125" style="17" bestFit="1" customWidth="1"/>
    <col min="14346" max="14346" width="13.140625" style="17" bestFit="1" customWidth="1"/>
    <col min="14347" max="14592" width="9.140625" style="17"/>
    <col min="14593" max="14593" width="7.85546875" style="17" customWidth="1"/>
    <col min="14594" max="14594" width="24.140625" style="17" bestFit="1" customWidth="1"/>
    <col min="14595" max="14595" width="17.140625" style="17" bestFit="1" customWidth="1"/>
    <col min="14596" max="14596" width="49.42578125" style="17" bestFit="1" customWidth="1"/>
    <col min="14597" max="14597" width="16" style="17" bestFit="1" customWidth="1"/>
    <col min="14598" max="14598" width="21.85546875" style="17" bestFit="1" customWidth="1"/>
    <col min="14599" max="14599" width="21.140625" style="17" bestFit="1" customWidth="1"/>
    <col min="14600" max="14600" width="23" style="17" bestFit="1" customWidth="1"/>
    <col min="14601" max="14601" width="25.5703125" style="17" bestFit="1" customWidth="1"/>
    <col min="14602" max="14602" width="13.140625" style="17" bestFit="1" customWidth="1"/>
    <col min="14603" max="14848" width="9.140625" style="17"/>
    <col min="14849" max="14849" width="7.85546875" style="17" customWidth="1"/>
    <col min="14850" max="14850" width="24.140625" style="17" bestFit="1" customWidth="1"/>
    <col min="14851" max="14851" width="17.140625" style="17" bestFit="1" customWidth="1"/>
    <col min="14852" max="14852" width="49.42578125" style="17" bestFit="1" customWidth="1"/>
    <col min="14853" max="14853" width="16" style="17" bestFit="1" customWidth="1"/>
    <col min="14854" max="14854" width="21.85546875" style="17" bestFit="1" customWidth="1"/>
    <col min="14855" max="14855" width="21.140625" style="17" bestFit="1" customWidth="1"/>
    <col min="14856" max="14856" width="23" style="17" bestFit="1" customWidth="1"/>
    <col min="14857" max="14857" width="25.5703125" style="17" bestFit="1" customWidth="1"/>
    <col min="14858" max="14858" width="13.140625" style="17" bestFit="1" customWidth="1"/>
    <col min="14859" max="15104" width="9.140625" style="17"/>
    <col min="15105" max="15105" width="7.85546875" style="17" customWidth="1"/>
    <col min="15106" max="15106" width="24.140625" style="17" bestFit="1" customWidth="1"/>
    <col min="15107" max="15107" width="17.140625" style="17" bestFit="1" customWidth="1"/>
    <col min="15108" max="15108" width="49.42578125" style="17" bestFit="1" customWidth="1"/>
    <col min="15109" max="15109" width="16" style="17" bestFit="1" customWidth="1"/>
    <col min="15110" max="15110" width="21.85546875" style="17" bestFit="1" customWidth="1"/>
    <col min="15111" max="15111" width="21.140625" style="17" bestFit="1" customWidth="1"/>
    <col min="15112" max="15112" width="23" style="17" bestFit="1" customWidth="1"/>
    <col min="15113" max="15113" width="25.5703125" style="17" bestFit="1" customWidth="1"/>
    <col min="15114" max="15114" width="13.140625" style="17" bestFit="1" customWidth="1"/>
    <col min="15115" max="15360" width="9.140625" style="17"/>
    <col min="15361" max="15361" width="7.85546875" style="17" customWidth="1"/>
    <col min="15362" max="15362" width="24.140625" style="17" bestFit="1" customWidth="1"/>
    <col min="15363" max="15363" width="17.140625" style="17" bestFit="1" customWidth="1"/>
    <col min="15364" max="15364" width="49.42578125" style="17" bestFit="1" customWidth="1"/>
    <col min="15365" max="15365" width="16" style="17" bestFit="1" customWidth="1"/>
    <col min="15366" max="15366" width="21.85546875" style="17" bestFit="1" customWidth="1"/>
    <col min="15367" max="15367" width="21.140625" style="17" bestFit="1" customWidth="1"/>
    <col min="15368" max="15368" width="23" style="17" bestFit="1" customWidth="1"/>
    <col min="15369" max="15369" width="25.5703125" style="17" bestFit="1" customWidth="1"/>
    <col min="15370" max="15370" width="13.140625" style="17" bestFit="1" customWidth="1"/>
    <col min="15371" max="15616" width="9.140625" style="17"/>
    <col min="15617" max="15617" width="7.85546875" style="17" customWidth="1"/>
    <col min="15618" max="15618" width="24.140625" style="17" bestFit="1" customWidth="1"/>
    <col min="15619" max="15619" width="17.140625" style="17" bestFit="1" customWidth="1"/>
    <col min="15620" max="15620" width="49.42578125" style="17" bestFit="1" customWidth="1"/>
    <col min="15621" max="15621" width="16" style="17" bestFit="1" customWidth="1"/>
    <col min="15622" max="15622" width="21.85546875" style="17" bestFit="1" customWidth="1"/>
    <col min="15623" max="15623" width="21.140625" style="17" bestFit="1" customWidth="1"/>
    <col min="15624" max="15624" width="23" style="17" bestFit="1" customWidth="1"/>
    <col min="15625" max="15625" width="25.5703125" style="17" bestFit="1" customWidth="1"/>
    <col min="15626" max="15626" width="13.140625" style="17" bestFit="1" customWidth="1"/>
    <col min="15627" max="15872" width="9.140625" style="17"/>
    <col min="15873" max="15873" width="7.85546875" style="17" customWidth="1"/>
    <col min="15874" max="15874" width="24.140625" style="17" bestFit="1" customWidth="1"/>
    <col min="15875" max="15875" width="17.140625" style="17" bestFit="1" customWidth="1"/>
    <col min="15876" max="15876" width="49.42578125" style="17" bestFit="1" customWidth="1"/>
    <col min="15877" max="15877" width="16" style="17" bestFit="1" customWidth="1"/>
    <col min="15878" max="15878" width="21.85546875" style="17" bestFit="1" customWidth="1"/>
    <col min="15879" max="15879" width="21.140625" style="17" bestFit="1" customWidth="1"/>
    <col min="15880" max="15880" width="23" style="17" bestFit="1" customWidth="1"/>
    <col min="15881" max="15881" width="25.5703125" style="17" bestFit="1" customWidth="1"/>
    <col min="15882" max="15882" width="13.140625" style="17" bestFit="1" customWidth="1"/>
    <col min="15883" max="16128" width="9.140625" style="17"/>
    <col min="16129" max="16129" width="7.85546875" style="17" customWidth="1"/>
    <col min="16130" max="16130" width="24.140625" style="17" bestFit="1" customWidth="1"/>
    <col min="16131" max="16131" width="17.140625" style="17" bestFit="1" customWidth="1"/>
    <col min="16132" max="16132" width="49.42578125" style="17" bestFit="1" customWidth="1"/>
    <col min="16133" max="16133" width="16" style="17" bestFit="1" customWidth="1"/>
    <col min="16134" max="16134" width="21.85546875" style="17" bestFit="1" customWidth="1"/>
    <col min="16135" max="16135" width="21.140625" style="17" bestFit="1" customWidth="1"/>
    <col min="16136" max="16136" width="23" style="17" bestFit="1" customWidth="1"/>
    <col min="16137" max="16137" width="25.5703125" style="17" bestFit="1" customWidth="1"/>
    <col min="16138" max="16138" width="13.140625" style="17" bestFit="1" customWidth="1"/>
    <col min="16139" max="16384" width="9.140625" style="17"/>
  </cols>
  <sheetData>
    <row r="1" spans="1:20" ht="15.75" thickBot="1" x14ac:dyDescent="0.3">
      <c r="A1" s="17">
        <v>1</v>
      </c>
      <c r="L1"/>
      <c r="M1"/>
      <c r="N1"/>
    </row>
    <row r="2" spans="1:20" ht="18.75" x14ac:dyDescent="0.25">
      <c r="B2" s="20"/>
      <c r="C2" s="20"/>
      <c r="D2" s="20"/>
      <c r="E2" s="22" t="s">
        <v>13</v>
      </c>
      <c r="F2" s="5"/>
      <c r="G2" s="5"/>
      <c r="H2" s="5"/>
      <c r="I2" s="5"/>
      <c r="J2" s="5"/>
      <c r="L2" s="10"/>
      <c r="M2" s="10"/>
      <c r="N2" s="10"/>
      <c r="O2" s="11" t="s">
        <v>13</v>
      </c>
      <c r="P2" s="12"/>
      <c r="Q2" s="12"/>
      <c r="R2" s="12"/>
      <c r="S2" s="12"/>
      <c r="T2" s="12"/>
    </row>
    <row r="3" spans="1:20" ht="21" x14ac:dyDescent="0.25">
      <c r="B3" s="21" t="s">
        <v>14</v>
      </c>
      <c r="C3" s="21" t="s">
        <v>15</v>
      </c>
      <c r="D3" s="23" t="s">
        <v>56</v>
      </c>
      <c r="E3" s="7" t="s">
        <v>16</v>
      </c>
      <c r="F3" s="7" t="s">
        <v>17</v>
      </c>
      <c r="G3" s="7" t="s">
        <v>18</v>
      </c>
      <c r="H3" s="7" t="s">
        <v>19</v>
      </c>
      <c r="I3" s="7" t="s">
        <v>20</v>
      </c>
      <c r="J3" s="7" t="s">
        <v>21</v>
      </c>
      <c r="L3" s="13" t="s">
        <v>14</v>
      </c>
      <c r="M3" s="13" t="s">
        <v>15</v>
      </c>
      <c r="N3" s="48" t="s">
        <v>56</v>
      </c>
      <c r="O3" s="13" t="s">
        <v>16</v>
      </c>
      <c r="P3" s="13" t="s">
        <v>17</v>
      </c>
      <c r="Q3" s="13" t="s">
        <v>18</v>
      </c>
      <c r="R3" s="13" t="s">
        <v>19</v>
      </c>
      <c r="S3" s="13" t="s">
        <v>20</v>
      </c>
      <c r="T3" s="13" t="s">
        <v>21</v>
      </c>
    </row>
    <row r="4" spans="1:20" ht="18.75" x14ac:dyDescent="0.3">
      <c r="B4" s="8" t="s">
        <v>22</v>
      </c>
      <c r="C4" s="8" t="s">
        <v>4</v>
      </c>
      <c r="D4" s="8" t="s">
        <v>58</v>
      </c>
      <c r="E4" s="18">
        <v>10119</v>
      </c>
      <c r="F4" s="19">
        <v>76239.663700000005</v>
      </c>
      <c r="G4" s="19">
        <v>34188.189999999995</v>
      </c>
      <c r="H4" s="19">
        <v>45540</v>
      </c>
      <c r="I4" s="19">
        <v>-11351.810000000005</v>
      </c>
      <c r="J4" s="9">
        <v>-0.14889638082178483</v>
      </c>
      <c r="L4" s="14" t="s">
        <v>22</v>
      </c>
      <c r="M4" s="49" t="s">
        <v>4</v>
      </c>
      <c r="N4" s="8" t="s">
        <v>58</v>
      </c>
      <c r="O4" s="26">
        <v>11248</v>
      </c>
      <c r="P4" s="27">
        <v>41981.75</v>
      </c>
      <c r="Q4" s="27">
        <v>37949</v>
      </c>
      <c r="R4" s="27">
        <v>48248</v>
      </c>
      <c r="S4" s="28">
        <v>-10299</v>
      </c>
      <c r="T4" s="29">
        <f>IFERROR(S4/P4,"-")</f>
        <v>-0.24532088347913081</v>
      </c>
    </row>
    <row r="5" spans="1:20" ht="18.75" x14ac:dyDescent="0.3">
      <c r="B5" s="8"/>
      <c r="C5" s="8" t="s">
        <v>23</v>
      </c>
      <c r="D5" s="8" t="s">
        <v>63</v>
      </c>
      <c r="E5" s="18">
        <v>12030</v>
      </c>
      <c r="F5" s="19">
        <v>51336.619999999995</v>
      </c>
      <c r="G5" s="19">
        <v>21749.89</v>
      </c>
      <c r="H5" s="19">
        <v>19914.818181818184</v>
      </c>
      <c r="I5" s="19">
        <v>1835.0718181818156</v>
      </c>
      <c r="J5" s="9">
        <v>3.5745863638506306E-2</v>
      </c>
      <c r="L5" s="14"/>
      <c r="M5" s="49" t="s">
        <v>23</v>
      </c>
      <c r="N5" s="8" t="s">
        <v>63</v>
      </c>
      <c r="O5" s="26">
        <v>12030</v>
      </c>
      <c r="P5" s="27">
        <v>81771.83</v>
      </c>
      <c r="Q5" s="27">
        <v>20212</v>
      </c>
      <c r="R5" s="27">
        <v>21320</v>
      </c>
      <c r="S5" s="28">
        <v>-1108</v>
      </c>
      <c r="T5" s="29">
        <f>IFERROR(S5/P5,"-")</f>
        <v>-1.3549898540854472E-2</v>
      </c>
    </row>
    <row r="6" spans="1:20" ht="18.75" x14ac:dyDescent="0.3">
      <c r="B6" s="8"/>
      <c r="C6" s="8"/>
      <c r="D6" s="8" t="s">
        <v>62</v>
      </c>
      <c r="E6" s="18">
        <v>4636</v>
      </c>
      <c r="F6" s="19">
        <v>50613.051485068921</v>
      </c>
      <c r="G6" s="19">
        <v>21003.800000000003</v>
      </c>
      <c r="H6" s="19">
        <v>13787.18181818182</v>
      </c>
      <c r="I6" s="19">
        <v>7216.6181818181831</v>
      </c>
      <c r="J6" s="9">
        <v>0.14258413531828085</v>
      </c>
      <c r="L6" s="14"/>
      <c r="M6" s="49"/>
      <c r="N6" s="8" t="s">
        <v>62</v>
      </c>
      <c r="O6" s="26">
        <v>4636</v>
      </c>
      <c r="P6" s="27">
        <v>47237.520000000004</v>
      </c>
      <c r="Q6" s="27">
        <v>20315</v>
      </c>
      <c r="R6" s="27">
        <v>13325</v>
      </c>
      <c r="S6" s="27">
        <v>6990</v>
      </c>
      <c r="T6" s="30">
        <f>IFERROR(S6/P6,"-")</f>
        <v>0.14797559228342214</v>
      </c>
    </row>
    <row r="7" spans="1:20" ht="18.75" x14ac:dyDescent="0.3">
      <c r="B7" s="8"/>
      <c r="C7" s="8" t="s">
        <v>24</v>
      </c>
      <c r="D7" s="8" t="s">
        <v>62</v>
      </c>
      <c r="E7" s="18">
        <v>2409</v>
      </c>
      <c r="F7" s="19">
        <v>27746.378097759596</v>
      </c>
      <c r="G7" s="19">
        <v>11909</v>
      </c>
      <c r="H7" s="19">
        <v>34993.5</v>
      </c>
      <c r="I7" s="19">
        <v>-23084.5</v>
      </c>
      <c r="J7" s="9">
        <v>-0.83198246339272575</v>
      </c>
      <c r="L7" s="14"/>
      <c r="M7" s="49" t="s">
        <v>24</v>
      </c>
      <c r="N7" s="8" t="s">
        <v>62</v>
      </c>
      <c r="O7" s="26">
        <v>3751</v>
      </c>
      <c r="P7" s="27">
        <v>43905.069999999978</v>
      </c>
      <c r="Q7" s="27">
        <v>17341</v>
      </c>
      <c r="R7" s="27">
        <v>34140</v>
      </c>
      <c r="S7" s="28">
        <v>-16799</v>
      </c>
      <c r="T7" s="29">
        <f>IFERROR(S7/P7,"-")</f>
        <v>-0.38262095926506912</v>
      </c>
    </row>
    <row r="8" spans="1:20" ht="18.75" x14ac:dyDescent="0.3">
      <c r="B8" s="8"/>
      <c r="C8" s="8" t="s">
        <v>7</v>
      </c>
      <c r="D8" s="8" t="s">
        <v>64</v>
      </c>
      <c r="E8" s="18">
        <v>115929</v>
      </c>
      <c r="F8" s="19">
        <v>195736.5012134634</v>
      </c>
      <c r="G8" s="19">
        <v>62192.152247805774</v>
      </c>
      <c r="H8" s="19">
        <v>61303.846153846156</v>
      </c>
      <c r="I8" s="19">
        <v>888.30609395961801</v>
      </c>
      <c r="J8" s="9">
        <v>4.5382751221800088E-3</v>
      </c>
      <c r="L8" s="14"/>
      <c r="M8" s="49" t="s">
        <v>7</v>
      </c>
      <c r="N8" s="8" t="s">
        <v>64</v>
      </c>
      <c r="O8" s="26">
        <v>118946</v>
      </c>
      <c r="P8" s="27">
        <v>867046.16</v>
      </c>
      <c r="Q8" s="27">
        <v>64540</v>
      </c>
      <c r="R8" s="27">
        <v>61557</v>
      </c>
      <c r="S8" s="27">
        <v>2983</v>
      </c>
      <c r="T8" s="30">
        <f>IFERROR(S8/P8,"-")</f>
        <v>3.4404165978890902E-3</v>
      </c>
    </row>
    <row r="9" spans="1:20" ht="18.75" x14ac:dyDescent="0.3">
      <c r="B9" s="8"/>
      <c r="C9" s="8"/>
      <c r="D9" s="8" t="s">
        <v>58</v>
      </c>
      <c r="E9" s="18">
        <v>28383</v>
      </c>
      <c r="F9" s="19">
        <v>73642.404999999999</v>
      </c>
      <c r="G9" s="19">
        <v>33023.5</v>
      </c>
      <c r="H9" s="19">
        <v>37366.153846153844</v>
      </c>
      <c r="I9" s="19">
        <v>-4342.6538461538439</v>
      </c>
      <c r="J9" s="9">
        <v>-5.896947344609188E-2</v>
      </c>
      <c r="L9" s="14"/>
      <c r="M9" s="49"/>
      <c r="N9" s="8" t="s">
        <v>58</v>
      </c>
      <c r="O9" s="26">
        <v>28583</v>
      </c>
      <c r="P9" s="27">
        <v>28804.75</v>
      </c>
      <c r="Q9" s="27">
        <v>26844</v>
      </c>
      <c r="R9" s="27">
        <v>34753</v>
      </c>
      <c r="S9" s="28">
        <v>-7909</v>
      </c>
      <c r="T9" s="29">
        <f>IFERROR(S9/P9,"-")</f>
        <v>-0.27457277011603987</v>
      </c>
    </row>
    <row r="10" spans="1:20" ht="18.75" x14ac:dyDescent="0.3">
      <c r="B10" s="8"/>
      <c r="C10" s="8" t="s">
        <v>25</v>
      </c>
      <c r="D10" s="8" t="s">
        <v>69</v>
      </c>
      <c r="E10" s="18">
        <v>79130</v>
      </c>
      <c r="F10" s="19">
        <v>212000.76140000005</v>
      </c>
      <c r="G10" s="19">
        <v>114738.5</v>
      </c>
      <c r="H10" s="19">
        <v>42833.818181818191</v>
      </c>
      <c r="I10" s="19">
        <v>71904.681818181809</v>
      </c>
      <c r="J10" s="9">
        <v>0.33917180930550089</v>
      </c>
      <c r="L10" s="14"/>
      <c r="M10" s="49" t="s">
        <v>25</v>
      </c>
      <c r="N10" s="8" t="s">
        <v>69</v>
      </c>
      <c r="O10" s="26">
        <v>79140</v>
      </c>
      <c r="P10" s="27">
        <v>1359082.46</v>
      </c>
      <c r="Q10" s="27">
        <v>112160</v>
      </c>
      <c r="R10" s="27">
        <v>45188</v>
      </c>
      <c r="S10" s="27">
        <v>66972</v>
      </c>
      <c r="T10" s="30">
        <f>IFERROR(S10/P10,"-")</f>
        <v>4.9277363199875308E-2</v>
      </c>
    </row>
    <row r="11" spans="1:20" ht="18.75" x14ac:dyDescent="0.3">
      <c r="B11" s="8"/>
      <c r="C11" s="8"/>
      <c r="D11" s="8" t="s">
        <v>75</v>
      </c>
      <c r="E11" s="18">
        <v>147458</v>
      </c>
      <c r="F11" s="19">
        <v>381258.91275000002</v>
      </c>
      <c r="G11" s="19">
        <v>116180.11969450001</v>
      </c>
      <c r="H11" s="19">
        <v>65898.181818181809</v>
      </c>
      <c r="I11" s="19">
        <v>50281.937876318203</v>
      </c>
      <c r="J11" s="9">
        <v>0.13188396702292751</v>
      </c>
      <c r="L11" s="14"/>
      <c r="M11" s="49"/>
      <c r="N11" s="8" t="s">
        <v>75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30" t="str">
        <f>IFERROR(S11/P11,"-")</f>
        <v>-</v>
      </c>
    </row>
    <row r="12" spans="1:20" ht="18.75" x14ac:dyDescent="0.3">
      <c r="B12" s="8"/>
      <c r="C12" s="8" t="s">
        <v>26</v>
      </c>
      <c r="D12" s="8" t="s">
        <v>64</v>
      </c>
      <c r="E12" s="18">
        <v>9975</v>
      </c>
      <c r="F12" s="19">
        <v>20157.3</v>
      </c>
      <c r="G12" s="19">
        <v>8006.25</v>
      </c>
      <c r="H12" s="19">
        <v>30550.590909090912</v>
      </c>
      <c r="I12" s="19">
        <v>-22544.340909090912</v>
      </c>
      <c r="J12" s="9">
        <v>-1.118420666909304</v>
      </c>
      <c r="L12" s="14"/>
      <c r="M12" s="49" t="s">
        <v>26</v>
      </c>
      <c r="N12" s="8" t="s">
        <v>64</v>
      </c>
      <c r="O12" s="26">
        <v>7357</v>
      </c>
      <c r="P12" s="27">
        <v>89700.340000000011</v>
      </c>
      <c r="Q12" s="27">
        <v>5688</v>
      </c>
      <c r="R12" s="27">
        <v>30525</v>
      </c>
      <c r="S12" s="28">
        <v>-24837</v>
      </c>
      <c r="T12" s="29">
        <f>IFERROR(S12/P12,"-")</f>
        <v>-0.2768885825850827</v>
      </c>
    </row>
    <row r="13" spans="1:20" ht="18.75" x14ac:dyDescent="0.3">
      <c r="B13" s="8"/>
      <c r="C13" s="8"/>
      <c r="D13" s="8" t="s">
        <v>58</v>
      </c>
      <c r="E13" s="18">
        <v>4225</v>
      </c>
      <c r="F13" s="19">
        <v>24448.605</v>
      </c>
      <c r="G13" s="19">
        <v>10963.5</v>
      </c>
      <c r="H13" s="19">
        <v>41125.795454545456</v>
      </c>
      <c r="I13" s="19">
        <v>-30162.295454545456</v>
      </c>
      <c r="J13" s="9">
        <v>-1.2337021050708397</v>
      </c>
      <c r="L13" s="14"/>
      <c r="M13" s="49"/>
      <c r="N13" s="8" t="s">
        <v>58</v>
      </c>
      <c r="O13" s="26">
        <v>30442</v>
      </c>
      <c r="P13" s="27">
        <v>90236.900000000009</v>
      </c>
      <c r="Q13" s="27">
        <v>87247</v>
      </c>
      <c r="R13" s="27">
        <v>134310</v>
      </c>
      <c r="S13" s="28">
        <v>-47063</v>
      </c>
      <c r="T13" s="29">
        <f>IFERROR(S13/P13,"-")</f>
        <v>-0.5215493883322676</v>
      </c>
    </row>
    <row r="14" spans="1:20" ht="18.75" x14ac:dyDescent="0.3">
      <c r="B14" s="8"/>
      <c r="C14" s="8"/>
      <c r="D14" s="8" t="s">
        <v>62</v>
      </c>
      <c r="E14" s="18">
        <v>3634</v>
      </c>
      <c r="F14" s="19">
        <v>35547.315000000002</v>
      </c>
      <c r="G14" s="19">
        <v>15940.5</v>
      </c>
      <c r="H14" s="19">
        <v>23500.454545454544</v>
      </c>
      <c r="I14" s="19">
        <v>-7559.9545454545441</v>
      </c>
      <c r="J14" s="9">
        <v>-0.21267301188442908</v>
      </c>
      <c r="L14" s="14"/>
      <c r="M14" s="49"/>
      <c r="N14" s="8" t="s">
        <v>62</v>
      </c>
      <c r="O14" s="26">
        <v>2714</v>
      </c>
      <c r="P14" s="27">
        <v>31216.010000000002</v>
      </c>
      <c r="Q14" s="27">
        <v>11250</v>
      </c>
      <c r="R14" s="27">
        <v>37851</v>
      </c>
      <c r="S14" s="28">
        <v>-26601</v>
      </c>
      <c r="T14" s="29">
        <f>IFERROR(S14/P14,"-")</f>
        <v>-0.8521588761664286</v>
      </c>
    </row>
    <row r="15" spans="1:20" ht="18.75" x14ac:dyDescent="0.3">
      <c r="B15" s="8"/>
      <c r="C15" s="8"/>
      <c r="D15" s="8" t="s">
        <v>60</v>
      </c>
      <c r="E15" s="18">
        <v>3227</v>
      </c>
      <c r="F15" s="19">
        <v>35981.050000000003</v>
      </c>
      <c r="G15" s="19">
        <v>16135</v>
      </c>
      <c r="H15" s="19">
        <v>29375.568181818184</v>
      </c>
      <c r="I15" s="19">
        <v>-13240.568181818184</v>
      </c>
      <c r="J15" s="9">
        <v>-0.36798726501361639</v>
      </c>
      <c r="L15" s="14"/>
      <c r="M15" s="49"/>
      <c r="N15" s="8" t="s">
        <v>60</v>
      </c>
      <c r="O15" s="26">
        <v>2371</v>
      </c>
      <c r="P15" s="27">
        <v>15715.25</v>
      </c>
      <c r="Q15" s="27">
        <v>12163</v>
      </c>
      <c r="R15" s="27">
        <v>42735</v>
      </c>
      <c r="S15" s="28">
        <v>-30572</v>
      </c>
      <c r="T15" s="29">
        <f>IFERROR(S15/P15,"-")</f>
        <v>-1.9453715340195032</v>
      </c>
    </row>
    <row r="16" spans="1:20" ht="18.75" x14ac:dyDescent="0.3">
      <c r="B16" s="8"/>
      <c r="C16" s="8"/>
      <c r="D16" s="8" t="s">
        <v>76</v>
      </c>
      <c r="E16" s="18">
        <v>5049</v>
      </c>
      <c r="F16" s="19">
        <v>62417.588499999998</v>
      </c>
      <c r="G16" s="19">
        <v>27989.95</v>
      </c>
      <c r="H16" s="19">
        <v>39950.772727272728</v>
      </c>
      <c r="I16" s="19">
        <v>-11960.822727272727</v>
      </c>
      <c r="J16" s="9">
        <v>-0.19162583840086561</v>
      </c>
      <c r="L16" s="14"/>
      <c r="M16" s="49"/>
      <c r="N16" s="8" t="s">
        <v>76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30" t="str">
        <f>IFERROR(S16/P16,"-")</f>
        <v>-</v>
      </c>
    </row>
    <row r="17" spans="2:20" ht="18.75" x14ac:dyDescent="0.3">
      <c r="B17" s="8"/>
      <c r="C17" s="8"/>
      <c r="D17" s="8" t="s">
        <v>77</v>
      </c>
      <c r="E17" s="18">
        <v>3467</v>
      </c>
      <c r="F17" s="19">
        <v>10360.089400000001</v>
      </c>
      <c r="G17" s="19">
        <v>4645.7800000000007</v>
      </c>
      <c r="H17" s="19">
        <v>22325.431818181816</v>
      </c>
      <c r="I17" s="19">
        <v>-17679.651818181817</v>
      </c>
      <c r="J17" s="9">
        <v>-1.7065153721725428</v>
      </c>
      <c r="L17" s="14"/>
      <c r="M17" s="49"/>
      <c r="N17" s="8" t="s">
        <v>77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30" t="str">
        <f>IFERROR(S17/P17,"-")</f>
        <v>-</v>
      </c>
    </row>
    <row r="18" spans="2:20" ht="18.75" x14ac:dyDescent="0.3">
      <c r="B18" s="8"/>
      <c r="C18" s="8"/>
      <c r="D18" s="8" t="s">
        <v>78</v>
      </c>
      <c r="E18" s="18">
        <v>25112</v>
      </c>
      <c r="F18" s="19">
        <v>161279.3088</v>
      </c>
      <c r="G18" s="19">
        <v>72322.559999999998</v>
      </c>
      <c r="H18" s="19">
        <v>103402</v>
      </c>
      <c r="I18" s="19">
        <v>-31079.440000000002</v>
      </c>
      <c r="J18" s="9">
        <v>-0.1927056869926268</v>
      </c>
      <c r="L18" s="14"/>
      <c r="M18" s="49"/>
      <c r="N18" s="8" t="s">
        <v>78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30" t="str">
        <f>IFERROR(S18/P18,"-")</f>
        <v>-</v>
      </c>
    </row>
    <row r="19" spans="2:20" ht="18.75" x14ac:dyDescent="0.3">
      <c r="B19" s="8"/>
      <c r="C19" s="8" t="s">
        <v>27</v>
      </c>
      <c r="D19" s="8" t="s">
        <v>67</v>
      </c>
      <c r="E19" s="18">
        <v>14625</v>
      </c>
      <c r="F19" s="19">
        <v>32430.9375</v>
      </c>
      <c r="G19" s="19">
        <v>25593.75</v>
      </c>
      <c r="H19" s="19">
        <v>6671.818181818182</v>
      </c>
      <c r="I19" s="19">
        <v>18921.931818181816</v>
      </c>
      <c r="J19" s="9">
        <v>0.5834531246030682</v>
      </c>
      <c r="L19" s="14"/>
      <c r="M19" s="49" t="s">
        <v>27</v>
      </c>
      <c r="N19" s="8" t="s">
        <v>67</v>
      </c>
      <c r="O19" s="26">
        <v>20987</v>
      </c>
      <c r="P19" s="27">
        <v>20987</v>
      </c>
      <c r="Q19" s="27">
        <v>52352</v>
      </c>
      <c r="R19" s="27">
        <v>23496</v>
      </c>
      <c r="S19" s="27">
        <v>28856</v>
      </c>
      <c r="T19" s="30">
        <f>IFERROR(S19/P19,"-")</f>
        <v>1.3749463953876209</v>
      </c>
    </row>
    <row r="20" spans="2:20" ht="18.75" x14ac:dyDescent="0.3">
      <c r="B20" s="8"/>
      <c r="C20" s="8"/>
      <c r="D20" s="8" t="s">
        <v>69</v>
      </c>
      <c r="E20" s="18">
        <v>55497</v>
      </c>
      <c r="F20" s="19">
        <v>291862.228</v>
      </c>
      <c r="G20" s="19">
        <v>74677.049999999988</v>
      </c>
      <c r="H20" s="19">
        <v>64216.249999999993</v>
      </c>
      <c r="I20" s="19">
        <v>10460.799999999996</v>
      </c>
      <c r="J20" s="9">
        <v>3.5841568371772985E-2</v>
      </c>
      <c r="L20" s="14"/>
      <c r="M20" s="49"/>
      <c r="N20" s="8" t="s">
        <v>69</v>
      </c>
      <c r="O20" s="26">
        <v>87017</v>
      </c>
      <c r="P20" s="27">
        <v>1359082.46</v>
      </c>
      <c r="Q20" s="27">
        <v>149482</v>
      </c>
      <c r="R20" s="27">
        <v>107690</v>
      </c>
      <c r="S20" s="27">
        <v>41792</v>
      </c>
      <c r="T20" s="30">
        <f>IFERROR(S20/P20,"-")</f>
        <v>3.0750157720378497E-2</v>
      </c>
    </row>
    <row r="21" spans="2:20" ht="18.75" x14ac:dyDescent="0.3">
      <c r="B21" s="8"/>
      <c r="C21" s="8"/>
      <c r="D21" s="8" t="s">
        <v>58</v>
      </c>
      <c r="E21" s="18">
        <v>19389</v>
      </c>
      <c r="F21" s="19">
        <v>45558.43499999999</v>
      </c>
      <c r="G21" s="19">
        <v>29285.86</v>
      </c>
      <c r="H21" s="19">
        <v>39196.931818181809</v>
      </c>
      <c r="I21" s="19">
        <v>-9911.0718181818083</v>
      </c>
      <c r="J21" s="9">
        <v>-0.2175463625601233</v>
      </c>
      <c r="L21" s="14"/>
      <c r="M21" s="49"/>
      <c r="N21" s="8" t="s">
        <v>58</v>
      </c>
      <c r="O21" s="26">
        <v>21106</v>
      </c>
      <c r="P21" s="27">
        <v>34192.500000000007</v>
      </c>
      <c r="Q21" s="27">
        <v>32048</v>
      </c>
      <c r="R21" s="27">
        <v>51887</v>
      </c>
      <c r="S21" s="28">
        <v>-19839</v>
      </c>
      <c r="T21" s="29">
        <f>IFERROR(S21/P21,"-")</f>
        <v>-0.58021495942092549</v>
      </c>
    </row>
    <row r="22" spans="2:20" ht="18.75" x14ac:dyDescent="0.3">
      <c r="B22" s="8"/>
      <c r="C22" s="8"/>
      <c r="D22" s="8" t="s">
        <v>66</v>
      </c>
      <c r="E22" s="18">
        <v>21894</v>
      </c>
      <c r="F22" s="19">
        <v>21894</v>
      </c>
      <c r="G22" s="19">
        <v>14887.92</v>
      </c>
      <c r="H22" s="19">
        <v>10841.704545454546</v>
      </c>
      <c r="I22" s="19">
        <v>4046.2154545454541</v>
      </c>
      <c r="J22" s="9">
        <v>0.18480932924753146</v>
      </c>
      <c r="L22" s="14"/>
      <c r="M22" s="49"/>
      <c r="N22" s="8" t="s">
        <v>66</v>
      </c>
      <c r="O22" s="26">
        <v>14272</v>
      </c>
      <c r="P22" s="27">
        <v>14272</v>
      </c>
      <c r="Q22" s="27">
        <v>7776</v>
      </c>
      <c r="R22" s="27">
        <v>13706</v>
      </c>
      <c r="S22" s="28">
        <v>-5930</v>
      </c>
      <c r="T22" s="29">
        <f>IFERROR(S22/P22,"-")</f>
        <v>-0.4154988789237668</v>
      </c>
    </row>
    <row r="23" spans="2:20" ht="18.75" x14ac:dyDescent="0.3">
      <c r="B23" s="8"/>
      <c r="C23" s="8"/>
      <c r="D23" s="8" t="s">
        <v>75</v>
      </c>
      <c r="E23" s="18">
        <v>123799</v>
      </c>
      <c r="F23" s="19">
        <v>280616.36999999994</v>
      </c>
      <c r="G23" s="19">
        <v>98422.7</v>
      </c>
      <c r="H23" s="19">
        <v>79227.840909090883</v>
      </c>
      <c r="I23" s="19">
        <v>19194.859090909114</v>
      </c>
      <c r="J23" s="9">
        <v>6.8402492309729182E-2</v>
      </c>
      <c r="L23" s="14"/>
      <c r="M23" s="49"/>
      <c r="N23" s="8" t="s">
        <v>75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30" t="str">
        <f>IFERROR(S23/P23,"-")</f>
        <v>-</v>
      </c>
    </row>
    <row r="24" spans="2:20" ht="18.75" x14ac:dyDescent="0.3">
      <c r="B24" s="8"/>
      <c r="C24" s="8"/>
      <c r="D24" s="8" t="s">
        <v>70</v>
      </c>
      <c r="E24" s="18">
        <v>3483</v>
      </c>
      <c r="F24" s="19">
        <v>13263.900000000001</v>
      </c>
      <c r="G24" s="19">
        <v>2914.67</v>
      </c>
      <c r="H24" s="19">
        <v>2501.931818181818</v>
      </c>
      <c r="I24" s="19">
        <v>412.73818181818206</v>
      </c>
      <c r="J24" s="9">
        <v>3.1117407536107932E-2</v>
      </c>
      <c r="L24" s="14"/>
      <c r="M24" s="49"/>
      <c r="N24" s="8" t="s">
        <v>70</v>
      </c>
      <c r="O24" s="26">
        <v>3453</v>
      </c>
      <c r="P24" s="27">
        <v>16915.300000000003</v>
      </c>
      <c r="Q24" s="27">
        <v>1598</v>
      </c>
      <c r="R24" s="27">
        <v>3916</v>
      </c>
      <c r="S24" s="28">
        <v>-2318</v>
      </c>
      <c r="T24" s="29">
        <f>IFERROR(S24/P24,"-")</f>
        <v>-0.13703570140641902</v>
      </c>
    </row>
    <row r="25" spans="2:20" ht="18.75" x14ac:dyDescent="0.3">
      <c r="B25" s="8"/>
      <c r="C25" s="8"/>
      <c r="D25" s="8" t="s">
        <v>71</v>
      </c>
      <c r="E25" s="18">
        <v>11741</v>
      </c>
      <c r="F25" s="19">
        <v>58515.926800000001</v>
      </c>
      <c r="G25" s="19">
        <v>23506.179999999997</v>
      </c>
      <c r="H25" s="19">
        <v>35861.022727272721</v>
      </c>
      <c r="I25" s="19">
        <v>-12354.842727272724</v>
      </c>
      <c r="J25" s="9">
        <v>-0.21113641025459626</v>
      </c>
      <c r="L25" s="14"/>
      <c r="M25" s="49"/>
      <c r="N25" s="8" t="s">
        <v>71</v>
      </c>
      <c r="O25" s="26">
        <v>12372</v>
      </c>
      <c r="P25" s="27">
        <v>24239.5</v>
      </c>
      <c r="Q25" s="27">
        <v>6409</v>
      </c>
      <c r="R25" s="27">
        <v>11748</v>
      </c>
      <c r="S25" s="28">
        <v>-5339</v>
      </c>
      <c r="T25" s="29">
        <f>IFERROR(S25/P25,"-")</f>
        <v>-0.22026031890096742</v>
      </c>
    </row>
    <row r="26" spans="2:20" ht="18.75" x14ac:dyDescent="0.3">
      <c r="B26" s="8"/>
      <c r="C26" s="8" t="s">
        <v>28</v>
      </c>
      <c r="D26" s="8" t="s">
        <v>57</v>
      </c>
      <c r="E26" s="18">
        <v>20385</v>
      </c>
      <c r="F26" s="19">
        <v>74200.899999999994</v>
      </c>
      <c r="G26" s="19">
        <v>31139.590000000004</v>
      </c>
      <c r="H26" s="19">
        <v>39207.923076923078</v>
      </c>
      <c r="I26" s="19">
        <v>-8068.3330769230743</v>
      </c>
      <c r="J26" s="9">
        <v>-0.10873632364193797</v>
      </c>
      <c r="L26" s="14"/>
      <c r="M26" s="49" t="s">
        <v>28</v>
      </c>
      <c r="N26" s="8" t="s">
        <v>57</v>
      </c>
      <c r="O26" s="26">
        <v>20385</v>
      </c>
      <c r="P26" s="27">
        <v>340786.95999999996</v>
      </c>
      <c r="Q26" s="27">
        <v>31795</v>
      </c>
      <c r="R26" s="27">
        <v>28882</v>
      </c>
      <c r="S26" s="27">
        <v>2912</v>
      </c>
      <c r="T26" s="30">
        <f>IFERROR(S26/P26,"-")</f>
        <v>8.5449278927808743E-3</v>
      </c>
    </row>
    <row r="27" spans="2:20" ht="18.75" x14ac:dyDescent="0.3">
      <c r="B27" s="8"/>
      <c r="C27" s="8"/>
      <c r="D27" s="8" t="s">
        <v>61</v>
      </c>
      <c r="E27" s="18">
        <v>57195</v>
      </c>
      <c r="F27" s="19">
        <v>121141.24599999998</v>
      </c>
      <c r="G27" s="19">
        <v>64572.60000000002</v>
      </c>
      <c r="H27" s="19">
        <v>64244.307692307688</v>
      </c>
      <c r="I27" s="19">
        <v>328.29230769233254</v>
      </c>
      <c r="J27" s="9">
        <v>2.7099961287531463E-3</v>
      </c>
      <c r="L27" s="14"/>
      <c r="M27" s="49"/>
      <c r="N27" s="8" t="s">
        <v>61</v>
      </c>
      <c r="O27" s="26">
        <v>57195</v>
      </c>
      <c r="P27" s="27">
        <v>129291.4</v>
      </c>
      <c r="Q27" s="27">
        <v>65312</v>
      </c>
      <c r="R27" s="27">
        <v>56227</v>
      </c>
      <c r="S27" s="27">
        <v>9085</v>
      </c>
      <c r="T27" s="30">
        <f>IFERROR(S27/P27,"-")</f>
        <v>7.0267628009287555E-2</v>
      </c>
    </row>
    <row r="28" spans="2:20" ht="18.75" x14ac:dyDescent="0.3">
      <c r="B28" s="8"/>
      <c r="C28" s="8"/>
      <c r="D28" s="8" t="s">
        <v>66</v>
      </c>
      <c r="E28" s="18">
        <v>3794</v>
      </c>
      <c r="F28" s="19">
        <v>6108.34</v>
      </c>
      <c r="G28" s="19">
        <v>5308.46</v>
      </c>
      <c r="H28" s="19">
        <v>5668.6153846153848</v>
      </c>
      <c r="I28" s="19">
        <v>-360.15538461538472</v>
      </c>
      <c r="J28" s="9">
        <v>-5.8961253731027528E-2</v>
      </c>
      <c r="L28" s="14"/>
      <c r="M28" s="49"/>
      <c r="N28" s="8" t="s">
        <v>66</v>
      </c>
      <c r="O28" s="26">
        <v>3794</v>
      </c>
      <c r="P28" s="27">
        <v>5536.86</v>
      </c>
      <c r="Q28" s="27">
        <v>5211</v>
      </c>
      <c r="R28" s="27">
        <v>5817</v>
      </c>
      <c r="S28" s="28">
        <v>-606</v>
      </c>
      <c r="T28" s="29">
        <f>IFERROR(S28/P28,"-")</f>
        <v>-0.10944831547122377</v>
      </c>
    </row>
    <row r="29" spans="2:20" ht="18.75" x14ac:dyDescent="0.3">
      <c r="B29" s="8"/>
      <c r="C29" s="8"/>
      <c r="D29" s="8" t="s">
        <v>72</v>
      </c>
      <c r="E29" s="18">
        <v>313</v>
      </c>
      <c r="F29" s="19">
        <v>1875.3630999999998</v>
      </c>
      <c r="G29" s="19">
        <v>840.97</v>
      </c>
      <c r="H29" s="19">
        <v>1417.1538461538462</v>
      </c>
      <c r="I29" s="19">
        <v>-576.18384615384616</v>
      </c>
      <c r="J29" s="9">
        <v>-0.30723855351203522</v>
      </c>
      <c r="L29" s="14"/>
      <c r="M29" s="49"/>
      <c r="N29" s="8" t="s">
        <v>72</v>
      </c>
      <c r="O29" s="26">
        <v>313</v>
      </c>
      <c r="P29" s="27">
        <v>2678.43</v>
      </c>
      <c r="Q29" s="26">
        <v>0</v>
      </c>
      <c r="R29" s="26">
        <v>0</v>
      </c>
      <c r="S29" s="26">
        <v>0</v>
      </c>
      <c r="T29" s="30">
        <f>IFERROR(S29/P29,"-")</f>
        <v>0</v>
      </c>
    </row>
    <row r="30" spans="2:20" ht="18.75" x14ac:dyDescent="0.3">
      <c r="B30" s="8" t="s">
        <v>29</v>
      </c>
      <c r="C30" s="8"/>
      <c r="D30" s="8"/>
      <c r="E30" s="18">
        <v>786898</v>
      </c>
      <c r="F30" s="19">
        <v>2366233.1967462921</v>
      </c>
      <c r="G30" s="19">
        <v>942138.44194230577</v>
      </c>
      <c r="H30" s="19">
        <v>960923.61363636376</v>
      </c>
      <c r="I30" s="19">
        <v>-18785.171694059041</v>
      </c>
      <c r="J30" s="9">
        <v>-7.9388505409736139E-3</v>
      </c>
      <c r="L30" s="15" t="s">
        <v>29</v>
      </c>
      <c r="M30" s="25"/>
      <c r="N30" s="25"/>
      <c r="O30" s="31">
        <v>111784</v>
      </c>
      <c r="P30" s="32">
        <v>533720.44999999995</v>
      </c>
      <c r="Q30" s="32">
        <v>118101</v>
      </c>
      <c r="R30" s="32">
        <v>120296</v>
      </c>
      <c r="S30" s="34">
        <v>-2196</v>
      </c>
      <c r="T30" s="35">
        <v>-4.1145135060873163E-3</v>
      </c>
    </row>
    <row r="31" spans="2:20" ht="18.75" x14ac:dyDescent="0.3">
      <c r="B31" s="8" t="s">
        <v>30</v>
      </c>
      <c r="C31" s="8" t="s">
        <v>4</v>
      </c>
      <c r="D31" s="8" t="s">
        <v>58</v>
      </c>
      <c r="E31" s="18">
        <v>11487</v>
      </c>
      <c r="F31" s="19">
        <v>94112.422399999981</v>
      </c>
      <c r="G31" s="19">
        <v>42202.880000000005</v>
      </c>
      <c r="H31" s="19">
        <v>45540</v>
      </c>
      <c r="I31" s="19">
        <v>-3337.1199999999953</v>
      </c>
      <c r="J31" s="9">
        <v>-3.5458868392702174E-2</v>
      </c>
      <c r="L31" s="14" t="s">
        <v>30</v>
      </c>
      <c r="M31" s="49" t="s">
        <v>4</v>
      </c>
      <c r="N31" s="8" t="s">
        <v>58</v>
      </c>
      <c r="O31" s="26">
        <v>10361</v>
      </c>
      <c r="P31" s="27">
        <v>42329.55</v>
      </c>
      <c r="Q31" s="27">
        <v>38533</v>
      </c>
      <c r="R31" s="27">
        <v>43511</v>
      </c>
      <c r="S31" s="28">
        <v>-4978</v>
      </c>
      <c r="T31" s="29">
        <f>IFERROR(S31/P31,"-")</f>
        <v>-0.11760106119720147</v>
      </c>
    </row>
    <row r="32" spans="2:20" ht="18.75" x14ac:dyDescent="0.3">
      <c r="B32" s="8"/>
      <c r="C32" s="8" t="s">
        <v>23</v>
      </c>
      <c r="D32" s="8" t="s">
        <v>63</v>
      </c>
      <c r="E32" s="18">
        <v>7404</v>
      </c>
      <c r="F32" s="19">
        <v>72196.27</v>
      </c>
      <c r="G32" s="19">
        <v>28149.87</v>
      </c>
      <c r="H32" s="19">
        <v>25838.2</v>
      </c>
      <c r="I32" s="19">
        <v>2311.6699999999983</v>
      </c>
      <c r="J32" s="9">
        <v>3.2019244207491582E-2</v>
      </c>
      <c r="L32" s="14"/>
      <c r="M32" s="49" t="s">
        <v>23</v>
      </c>
      <c r="N32" s="8" t="s">
        <v>63</v>
      </c>
      <c r="O32" s="26">
        <v>6208</v>
      </c>
      <c r="P32" s="27">
        <v>276015.83</v>
      </c>
      <c r="Q32" s="27">
        <v>23394</v>
      </c>
      <c r="R32" s="27">
        <v>21400</v>
      </c>
      <c r="S32" s="27">
        <v>1994</v>
      </c>
      <c r="T32" s="30">
        <f>IFERROR(S32/P32,"-")</f>
        <v>7.2242233353065292E-3</v>
      </c>
    </row>
    <row r="33" spans="2:20" ht="18.75" x14ac:dyDescent="0.3">
      <c r="B33" s="8"/>
      <c r="C33" s="8"/>
      <c r="D33" s="8" t="s">
        <v>62</v>
      </c>
      <c r="E33" s="18">
        <v>500</v>
      </c>
      <c r="F33" s="19">
        <v>4890</v>
      </c>
      <c r="G33" s="19">
        <v>2250</v>
      </c>
      <c r="H33" s="19">
        <v>1685.1000000000001</v>
      </c>
      <c r="I33" s="19">
        <v>564.89999999999986</v>
      </c>
      <c r="J33" s="9">
        <v>0.11552147239263801</v>
      </c>
      <c r="L33" s="14"/>
      <c r="M33" s="49"/>
      <c r="N33" s="8" t="s">
        <v>62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30" t="str">
        <f>IFERROR(S33/P33,"-")</f>
        <v>-</v>
      </c>
    </row>
    <row r="34" spans="2:20" ht="18.75" x14ac:dyDescent="0.3">
      <c r="B34" s="8"/>
      <c r="C34" s="8"/>
      <c r="D34" s="8" t="s">
        <v>79</v>
      </c>
      <c r="E34" s="18">
        <v>3420</v>
      </c>
      <c r="F34" s="19">
        <v>17159.849999999999</v>
      </c>
      <c r="G34" s="19">
        <v>7695</v>
      </c>
      <c r="H34" s="19">
        <v>6178.7000000000007</v>
      </c>
      <c r="I34" s="19">
        <v>1516.2999999999993</v>
      </c>
      <c r="J34" s="9">
        <v>8.8363243268443456E-2</v>
      </c>
      <c r="L34" s="14"/>
      <c r="M34" s="49"/>
      <c r="N34" s="8" t="s">
        <v>79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30" t="str">
        <f>IFERROR(S34/P34,"-")</f>
        <v>-</v>
      </c>
    </row>
    <row r="35" spans="2:20" ht="18.75" x14ac:dyDescent="0.3">
      <c r="B35" s="8"/>
      <c r="C35" s="8" t="s">
        <v>24</v>
      </c>
      <c r="D35" s="8" t="s">
        <v>68</v>
      </c>
      <c r="E35" s="18">
        <v>1190</v>
      </c>
      <c r="F35" s="19">
        <v>8889.8950000000004</v>
      </c>
      <c r="G35" s="19">
        <v>3986.5</v>
      </c>
      <c r="H35" s="19">
        <v>12247.725</v>
      </c>
      <c r="I35" s="19">
        <v>-8261.2250000000004</v>
      </c>
      <c r="J35" s="9">
        <v>-0.92928262932239358</v>
      </c>
      <c r="L35" s="14"/>
      <c r="M35" s="49" t="s">
        <v>24</v>
      </c>
      <c r="N35" s="8" t="s">
        <v>68</v>
      </c>
      <c r="O35" s="26">
        <v>1173</v>
      </c>
      <c r="P35" s="27">
        <v>5865</v>
      </c>
      <c r="Q35" s="27">
        <v>1072</v>
      </c>
      <c r="R35" s="27">
        <v>3414</v>
      </c>
      <c r="S35" s="28">
        <v>-2342</v>
      </c>
      <c r="T35" s="29">
        <f>IFERROR(S35/P35,"-")</f>
        <v>-0.39931798806479113</v>
      </c>
    </row>
    <row r="36" spans="2:20" ht="18.75" x14ac:dyDescent="0.3">
      <c r="B36" s="8"/>
      <c r="C36" s="8"/>
      <c r="D36" s="8" t="s">
        <v>74</v>
      </c>
      <c r="E36" s="18">
        <v>1473</v>
      </c>
      <c r="F36" s="19">
        <v>11004.0465</v>
      </c>
      <c r="G36" s="19">
        <v>4934.55</v>
      </c>
      <c r="H36" s="19">
        <v>22745.774999999998</v>
      </c>
      <c r="I36" s="19">
        <v>-17811.224999999999</v>
      </c>
      <c r="J36" s="9">
        <v>-1.6186068461270131</v>
      </c>
      <c r="L36" s="14"/>
      <c r="M36" s="49"/>
      <c r="N36" s="8" t="s">
        <v>74</v>
      </c>
      <c r="O36" s="26">
        <v>1445</v>
      </c>
      <c r="P36" s="26">
        <v>0</v>
      </c>
      <c r="Q36" s="27">
        <v>7789</v>
      </c>
      <c r="R36" s="27">
        <v>30726</v>
      </c>
      <c r="S36" s="28">
        <v>-22937</v>
      </c>
      <c r="T36" s="30" t="str">
        <f>IFERROR(S36/P36,"-")</f>
        <v>-</v>
      </c>
    </row>
    <row r="37" spans="2:20" ht="18.75" x14ac:dyDescent="0.3">
      <c r="B37" s="8"/>
      <c r="C37" s="8" t="s">
        <v>7</v>
      </c>
      <c r="D37" s="8" t="s">
        <v>64</v>
      </c>
      <c r="E37" s="18">
        <v>71500</v>
      </c>
      <c r="F37" s="19">
        <v>115115</v>
      </c>
      <c r="G37" s="19">
        <v>37262.955415153636</v>
      </c>
      <c r="H37" s="19">
        <v>42377.5</v>
      </c>
      <c r="I37" s="19">
        <v>-5114.5445848463642</v>
      </c>
      <c r="J37" s="9">
        <v>-4.442987086692754E-2</v>
      </c>
      <c r="L37" s="14"/>
      <c r="M37" s="49" t="s">
        <v>7</v>
      </c>
      <c r="N37" s="8" t="s">
        <v>64</v>
      </c>
      <c r="O37" s="26">
        <v>92432</v>
      </c>
      <c r="P37" s="27">
        <v>745026.10000000009</v>
      </c>
      <c r="Q37" s="27">
        <v>50838</v>
      </c>
      <c r="R37" s="27">
        <v>49312</v>
      </c>
      <c r="S37" s="27">
        <v>1525</v>
      </c>
      <c r="T37" s="30">
        <f>IFERROR(S37/P37,"-")</f>
        <v>2.0469081552981832E-3</v>
      </c>
    </row>
    <row r="38" spans="2:20" ht="18.75" x14ac:dyDescent="0.3">
      <c r="B38" s="8"/>
      <c r="C38" s="8"/>
      <c r="D38" s="8" t="s">
        <v>58</v>
      </c>
      <c r="E38" s="18">
        <v>25631</v>
      </c>
      <c r="F38" s="19">
        <v>62965.165000000001</v>
      </c>
      <c r="G38" s="19">
        <v>28235.5</v>
      </c>
      <c r="H38" s="19">
        <v>44907.5</v>
      </c>
      <c r="I38" s="19">
        <v>-16672</v>
      </c>
      <c r="J38" s="9">
        <v>-0.26478132789773517</v>
      </c>
      <c r="L38" s="14"/>
      <c r="M38" s="49"/>
      <c r="N38" s="8" t="s">
        <v>58</v>
      </c>
      <c r="O38" s="26">
        <v>16144</v>
      </c>
      <c r="P38" s="27">
        <v>15280.699999999999</v>
      </c>
      <c r="Q38" s="27">
        <v>14375</v>
      </c>
      <c r="R38" s="27">
        <v>21381</v>
      </c>
      <c r="S38" s="28">
        <v>-7006</v>
      </c>
      <c r="T38" s="29">
        <f>IFERROR(S38/P38,"-")</f>
        <v>-0.4584868494244374</v>
      </c>
    </row>
    <row r="39" spans="2:20" ht="18.75" x14ac:dyDescent="0.3">
      <c r="B39" s="8"/>
      <c r="C39" s="8"/>
      <c r="D39" s="8" t="s">
        <v>80</v>
      </c>
      <c r="E39" s="18">
        <v>1398</v>
      </c>
      <c r="F39" s="19">
        <v>4582.7838000000002</v>
      </c>
      <c r="G39" s="19">
        <v>2055.06</v>
      </c>
      <c r="H39" s="19">
        <v>3795</v>
      </c>
      <c r="I39" s="19">
        <v>-1739.94</v>
      </c>
      <c r="J39" s="9">
        <v>-0.37966879432540546</v>
      </c>
      <c r="L39" s="14"/>
      <c r="M39" s="49"/>
      <c r="N39" s="8" t="s">
        <v>80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30" t="str">
        <f>IFERROR(S39/P39,"-")</f>
        <v>-</v>
      </c>
    </row>
    <row r="40" spans="2:20" ht="18.75" x14ac:dyDescent="0.3">
      <c r="B40" s="8"/>
      <c r="C40" s="8"/>
      <c r="D40" s="8" t="s">
        <v>81</v>
      </c>
      <c r="E40" s="18">
        <v>12896</v>
      </c>
      <c r="F40" s="19">
        <v>21773.826390711765</v>
      </c>
      <c r="G40" s="19">
        <v>6720.8821403331649</v>
      </c>
      <c r="H40" s="19">
        <v>7590</v>
      </c>
      <c r="I40" s="19">
        <v>-869.1178596668351</v>
      </c>
      <c r="J40" s="9">
        <v>-3.991571550499648E-2</v>
      </c>
      <c r="L40" s="14"/>
      <c r="M40" s="49"/>
      <c r="N40" s="8" t="s">
        <v>81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30" t="str">
        <f>IFERROR(S40/P40,"-")</f>
        <v>-</v>
      </c>
    </row>
    <row r="41" spans="2:20" ht="18.75" x14ac:dyDescent="0.3">
      <c r="B41" s="8"/>
      <c r="C41" s="8" t="s">
        <v>25</v>
      </c>
      <c r="D41" s="8" t="s">
        <v>67</v>
      </c>
      <c r="E41" s="18">
        <v>90000</v>
      </c>
      <c r="F41" s="19">
        <v>241752.59960832007</v>
      </c>
      <c r="G41" s="19">
        <v>78187.680000000008</v>
      </c>
      <c r="H41" s="19">
        <v>38056.199999999997</v>
      </c>
      <c r="I41" s="19">
        <v>40131.48000000001</v>
      </c>
      <c r="J41" s="9">
        <v>0.16600226870370688</v>
      </c>
      <c r="L41" s="14"/>
      <c r="M41" s="49" t="s">
        <v>25</v>
      </c>
      <c r="N41" s="8" t="s">
        <v>67</v>
      </c>
      <c r="O41" s="26">
        <v>8820</v>
      </c>
      <c r="P41" s="27">
        <v>57688</v>
      </c>
      <c r="Q41" s="27">
        <v>18096</v>
      </c>
      <c r="R41" s="27">
        <v>5508</v>
      </c>
      <c r="S41" s="27">
        <v>12588</v>
      </c>
      <c r="T41" s="30">
        <f>IFERROR(S41/P41,"-")</f>
        <v>0.21820829288586882</v>
      </c>
    </row>
    <row r="42" spans="2:20" ht="18.75" x14ac:dyDescent="0.3">
      <c r="B42" s="8"/>
      <c r="C42" s="8"/>
      <c r="D42" s="8" t="s">
        <v>69</v>
      </c>
      <c r="E42" s="18">
        <v>53472</v>
      </c>
      <c r="F42" s="19">
        <v>145800.212352</v>
      </c>
      <c r="G42" s="19">
        <v>48124.800000000003</v>
      </c>
      <c r="H42" s="19">
        <v>27183</v>
      </c>
      <c r="I42" s="19">
        <v>20941.800000000003</v>
      </c>
      <c r="J42" s="9">
        <v>0.1436335356593377</v>
      </c>
      <c r="L42" s="14"/>
      <c r="M42" s="49"/>
      <c r="N42" s="8" t="s">
        <v>69</v>
      </c>
      <c r="O42" s="26">
        <v>90895</v>
      </c>
      <c r="P42" s="27">
        <v>751831.98</v>
      </c>
      <c r="Q42" s="27">
        <v>138465</v>
      </c>
      <c r="R42" s="27">
        <v>55998</v>
      </c>
      <c r="S42" s="27">
        <v>82467</v>
      </c>
      <c r="T42" s="30">
        <f>IFERROR(S42/P42,"-")</f>
        <v>0.1096880715289605</v>
      </c>
    </row>
    <row r="43" spans="2:20" ht="18.75" x14ac:dyDescent="0.3">
      <c r="B43" s="8"/>
      <c r="C43" s="8"/>
      <c r="D43" s="8" t="s">
        <v>75</v>
      </c>
      <c r="E43" s="18">
        <v>87676</v>
      </c>
      <c r="F43" s="19">
        <v>111009.80999999998</v>
      </c>
      <c r="G43" s="19">
        <v>71017.560000000012</v>
      </c>
      <c r="H43" s="19">
        <v>43492.800000000003</v>
      </c>
      <c r="I43" s="19">
        <v>27524.760000000009</v>
      </c>
      <c r="J43" s="9">
        <v>0.24794889748933011</v>
      </c>
      <c r="L43" s="14"/>
      <c r="M43" s="49"/>
      <c r="N43" s="8" t="s">
        <v>75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30" t="str">
        <f>IFERROR(S43/P43,"-")</f>
        <v>-</v>
      </c>
    </row>
    <row r="44" spans="2:20" ht="18.75" x14ac:dyDescent="0.3">
      <c r="B44" s="8"/>
      <c r="C44" s="8" t="s">
        <v>26</v>
      </c>
      <c r="D44" s="8" t="s">
        <v>64</v>
      </c>
      <c r="E44" s="18">
        <v>51468</v>
      </c>
      <c r="F44" s="19">
        <v>84947.295400000003</v>
      </c>
      <c r="G44" s="19">
        <v>29528.98</v>
      </c>
      <c r="H44" s="19">
        <v>62041.2</v>
      </c>
      <c r="I44" s="19">
        <v>-32512.219999999998</v>
      </c>
      <c r="J44" s="9">
        <v>-0.38273402168846443</v>
      </c>
      <c r="L44" s="14"/>
      <c r="M44" s="49" t="s">
        <v>26</v>
      </c>
      <c r="N44" s="8" t="s">
        <v>64</v>
      </c>
      <c r="O44" s="26">
        <v>45395</v>
      </c>
      <c r="P44" s="27">
        <v>367075.41</v>
      </c>
      <c r="Q44" s="27">
        <v>27164</v>
      </c>
      <c r="R44" s="27">
        <v>59339</v>
      </c>
      <c r="S44" s="28">
        <v>-32175</v>
      </c>
      <c r="T44" s="29">
        <f>IFERROR(S44/P44,"-")</f>
        <v>-8.7652289212181225E-2</v>
      </c>
    </row>
    <row r="45" spans="2:20" ht="18.75" x14ac:dyDescent="0.3">
      <c r="B45" s="8"/>
      <c r="C45" s="8"/>
      <c r="D45" s="8" t="s">
        <v>58</v>
      </c>
      <c r="E45" s="18">
        <v>6410</v>
      </c>
      <c r="F45" s="19">
        <v>43871.904999999999</v>
      </c>
      <c r="G45" s="19">
        <v>19673.5</v>
      </c>
      <c r="H45" s="19">
        <v>25850.5</v>
      </c>
      <c r="I45" s="19">
        <v>-6177</v>
      </c>
      <c r="J45" s="9">
        <v>-0.14079625673879445</v>
      </c>
      <c r="L45" s="14"/>
      <c r="M45" s="49"/>
      <c r="N45" s="8" t="s">
        <v>58</v>
      </c>
      <c r="O45" s="26">
        <v>33143</v>
      </c>
      <c r="P45" s="27">
        <v>97559.749999999985</v>
      </c>
      <c r="Q45" s="27">
        <v>93732</v>
      </c>
      <c r="R45" s="27">
        <v>123522</v>
      </c>
      <c r="S45" s="28">
        <v>-29790</v>
      </c>
      <c r="T45" s="29">
        <f>IFERROR(S45/P45,"-")</f>
        <v>-0.30535133597615827</v>
      </c>
    </row>
    <row r="46" spans="2:20" ht="18.75" x14ac:dyDescent="0.3">
      <c r="B46" s="8"/>
      <c r="C46" s="8"/>
      <c r="D46" s="8" t="s">
        <v>60</v>
      </c>
      <c r="E46" s="18">
        <v>11830</v>
      </c>
      <c r="F46" s="19">
        <v>131904.5</v>
      </c>
      <c r="G46" s="19">
        <v>59150</v>
      </c>
      <c r="H46" s="19">
        <v>77551.5</v>
      </c>
      <c r="I46" s="19">
        <v>-18401.5</v>
      </c>
      <c r="J46" s="9">
        <v>-0.13950623367663725</v>
      </c>
      <c r="L46" s="14"/>
      <c r="M46" s="49"/>
      <c r="N46" s="8" t="s">
        <v>60</v>
      </c>
      <c r="O46" s="26">
        <v>7860</v>
      </c>
      <c r="P46" s="27">
        <v>53811.799999999996</v>
      </c>
      <c r="Q46" s="27">
        <v>49485</v>
      </c>
      <c r="R46" s="27">
        <v>69027</v>
      </c>
      <c r="S46" s="28">
        <v>-19542</v>
      </c>
      <c r="T46" s="29">
        <f>IFERROR(S46/P46,"-")</f>
        <v>-0.36315454974559486</v>
      </c>
    </row>
    <row r="47" spans="2:20" ht="18.75" x14ac:dyDescent="0.3">
      <c r="B47" s="8"/>
      <c r="C47" s="8"/>
      <c r="D47" s="8" t="s">
        <v>82</v>
      </c>
      <c r="E47" s="18">
        <v>7200</v>
      </c>
      <c r="F47" s="19">
        <v>21420</v>
      </c>
      <c r="G47" s="19">
        <v>9605.3811659192834</v>
      </c>
      <c r="H47" s="19">
        <v>9047.6749999999993</v>
      </c>
      <c r="I47" s="19">
        <v>557.7061659192841</v>
      </c>
      <c r="J47" s="9">
        <v>2.6036702423869473E-2</v>
      </c>
      <c r="L47" s="14"/>
      <c r="M47" s="49"/>
      <c r="N47" s="8" t="s">
        <v>82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30" t="str">
        <f>IFERROR(S47/P47,"-")</f>
        <v>-</v>
      </c>
    </row>
    <row r="48" spans="2:20" ht="18.75" x14ac:dyDescent="0.3">
      <c r="B48" s="8"/>
      <c r="C48" s="8"/>
      <c r="D48" s="8" t="s">
        <v>77</v>
      </c>
      <c r="E48" s="18">
        <v>1600</v>
      </c>
      <c r="F48" s="19">
        <v>4781.12</v>
      </c>
      <c r="G48" s="19">
        <v>2144</v>
      </c>
      <c r="H48" s="19">
        <v>6462.625</v>
      </c>
      <c r="I48" s="19">
        <v>-4318.625</v>
      </c>
      <c r="J48" s="9">
        <v>-0.90326638946522997</v>
      </c>
      <c r="L48" s="14"/>
      <c r="M48" s="49"/>
      <c r="N48" s="8" t="s">
        <v>77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30" t="str">
        <f>IFERROR(S48/P48,"-")</f>
        <v>-</v>
      </c>
    </row>
    <row r="49" spans="2:20" ht="18.75" x14ac:dyDescent="0.3">
      <c r="B49" s="8"/>
      <c r="C49" s="8"/>
      <c r="D49" s="8" t="s">
        <v>78</v>
      </c>
      <c r="E49" s="18">
        <v>25799</v>
      </c>
      <c r="F49" s="19">
        <v>162503.2666</v>
      </c>
      <c r="G49" s="19">
        <v>72871.42</v>
      </c>
      <c r="H49" s="19">
        <v>103402</v>
      </c>
      <c r="I49" s="19">
        <v>-30530.58</v>
      </c>
      <c r="J49" s="9">
        <v>-0.1878767155810516</v>
      </c>
      <c r="L49" s="14"/>
      <c r="M49" s="49"/>
      <c r="N49" s="8" t="s">
        <v>78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30" t="str">
        <f>IFERROR(S49/P49,"-")</f>
        <v>-</v>
      </c>
    </row>
    <row r="50" spans="2:20" ht="18.75" x14ac:dyDescent="0.3">
      <c r="B50" s="8"/>
      <c r="C50" s="8" t="s">
        <v>27</v>
      </c>
      <c r="D50" s="8" t="s">
        <v>67</v>
      </c>
      <c r="E50" s="18">
        <v>50335</v>
      </c>
      <c r="F50" s="19">
        <v>346856.91499999992</v>
      </c>
      <c r="G50" s="19">
        <v>88086.25</v>
      </c>
      <c r="H50" s="19">
        <v>25686.5</v>
      </c>
      <c r="I50" s="19">
        <v>62399.75</v>
      </c>
      <c r="J50" s="9">
        <v>0.17990055063483459</v>
      </c>
      <c r="L50" s="14"/>
      <c r="M50" s="49" t="s">
        <v>27</v>
      </c>
      <c r="N50" s="8" t="s">
        <v>67</v>
      </c>
      <c r="O50" s="26">
        <v>48868</v>
      </c>
      <c r="P50" s="27">
        <v>57688</v>
      </c>
      <c r="Q50" s="27">
        <v>100163</v>
      </c>
      <c r="R50" s="27">
        <v>46176</v>
      </c>
      <c r="S50" s="27">
        <v>53987</v>
      </c>
      <c r="T50" s="30">
        <f>IFERROR(S50/P50,"-")</f>
        <v>0.93584454305921505</v>
      </c>
    </row>
    <row r="51" spans="2:20" ht="18.75" x14ac:dyDescent="0.3">
      <c r="B51" s="8"/>
      <c r="C51" s="8"/>
      <c r="D51" s="8" t="s">
        <v>69</v>
      </c>
      <c r="E51" s="18">
        <v>30903</v>
      </c>
      <c r="F51" s="19">
        <v>208939.69500000001</v>
      </c>
      <c r="G51" s="19">
        <v>44809.35</v>
      </c>
      <c r="H51" s="19">
        <v>16512.75</v>
      </c>
      <c r="I51" s="19">
        <v>28296.6</v>
      </c>
      <c r="J51" s="9">
        <v>0.13542950754283431</v>
      </c>
      <c r="L51" s="14"/>
      <c r="M51" s="49"/>
      <c r="N51" s="8" t="s">
        <v>69</v>
      </c>
      <c r="O51" s="26">
        <v>1016</v>
      </c>
      <c r="P51" s="27">
        <v>751831.98</v>
      </c>
      <c r="Q51" s="27">
        <v>10242</v>
      </c>
      <c r="R51" s="27">
        <v>7104</v>
      </c>
      <c r="S51" s="27">
        <v>3138</v>
      </c>
      <c r="T51" s="30">
        <f>IFERROR(S51/P51,"-")</f>
        <v>4.1738048972058892E-3</v>
      </c>
    </row>
    <row r="52" spans="2:20" ht="18.75" x14ac:dyDescent="0.3">
      <c r="B52" s="8"/>
      <c r="C52" s="8"/>
      <c r="D52" s="8" t="s">
        <v>58</v>
      </c>
      <c r="E52" s="18">
        <v>26852</v>
      </c>
      <c r="F52" s="19">
        <v>60740.2664</v>
      </c>
      <c r="G52" s="19">
        <v>40494.080000000009</v>
      </c>
      <c r="H52" s="19">
        <v>55042.5</v>
      </c>
      <c r="I52" s="19">
        <v>-14548.419999999991</v>
      </c>
      <c r="J52" s="9">
        <v>-0.23951854119625643</v>
      </c>
      <c r="L52" s="14"/>
      <c r="M52" s="49"/>
      <c r="N52" s="8" t="s">
        <v>58</v>
      </c>
      <c r="O52" s="26">
        <v>22263</v>
      </c>
      <c r="P52" s="27">
        <v>35997</v>
      </c>
      <c r="Q52" s="27">
        <v>33548</v>
      </c>
      <c r="R52" s="27">
        <v>52392</v>
      </c>
      <c r="S52" s="28">
        <v>-18844</v>
      </c>
      <c r="T52" s="29">
        <f>IFERROR(S52/P52,"-")</f>
        <v>-0.52348806845014861</v>
      </c>
    </row>
    <row r="53" spans="2:20" ht="18.75" x14ac:dyDescent="0.3">
      <c r="B53" s="8"/>
      <c r="C53" s="8"/>
      <c r="D53" s="8" t="s">
        <v>75</v>
      </c>
      <c r="E53" s="18">
        <v>271638</v>
      </c>
      <c r="F53" s="19">
        <v>574438.84500000009</v>
      </c>
      <c r="G53" s="19">
        <v>198265.21</v>
      </c>
      <c r="H53" s="19">
        <v>141275.75</v>
      </c>
      <c r="I53" s="19">
        <v>56989.459999999992</v>
      </c>
      <c r="J53" s="9">
        <v>9.9208924493955464E-2</v>
      </c>
      <c r="L53" s="14"/>
      <c r="M53" s="49"/>
      <c r="N53" s="8" t="s">
        <v>75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30" t="str">
        <f>IFERROR(S53/P53,"-")</f>
        <v>-</v>
      </c>
    </row>
    <row r="54" spans="2:20" ht="18.75" x14ac:dyDescent="0.3">
      <c r="B54" s="8"/>
      <c r="C54" s="8" t="s">
        <v>28</v>
      </c>
      <c r="D54" s="8" t="s">
        <v>57</v>
      </c>
      <c r="E54" s="18">
        <v>8700</v>
      </c>
      <c r="F54" s="19">
        <v>38087.224999999999</v>
      </c>
      <c r="G54" s="19">
        <v>13402.5</v>
      </c>
      <c r="H54" s="19">
        <v>17911.25</v>
      </c>
      <c r="I54" s="19">
        <v>-4508.75</v>
      </c>
      <c r="J54" s="9">
        <v>-0.11837958790644371</v>
      </c>
      <c r="L54" s="14"/>
      <c r="M54" s="49" t="s">
        <v>28</v>
      </c>
      <c r="N54" s="8" t="s">
        <v>57</v>
      </c>
      <c r="O54" s="26">
        <v>10785</v>
      </c>
      <c r="P54" s="27">
        <v>308586.62999999995</v>
      </c>
      <c r="Q54" s="27">
        <v>13481</v>
      </c>
      <c r="R54" s="27">
        <v>13537</v>
      </c>
      <c r="S54" s="28">
        <v>-56</v>
      </c>
      <c r="T54" s="29">
        <f>IFERROR(S54/P54,"-")</f>
        <v>-1.8147254143836372E-4</v>
      </c>
    </row>
    <row r="55" spans="2:20" ht="18.75" x14ac:dyDescent="0.3">
      <c r="B55" s="8"/>
      <c r="C55" s="8"/>
      <c r="D55" s="8" t="s">
        <v>61</v>
      </c>
      <c r="E55" s="18">
        <v>158655</v>
      </c>
      <c r="F55" s="19">
        <v>194542.75</v>
      </c>
      <c r="G55" s="19">
        <v>84541.3</v>
      </c>
      <c r="H55" s="19">
        <v>84438.75</v>
      </c>
      <c r="I55" s="19">
        <v>102.55000000000291</v>
      </c>
      <c r="J55" s="9">
        <v>5.2713349636520973E-4</v>
      </c>
      <c r="L55" s="14"/>
      <c r="M55" s="49"/>
      <c r="N55" s="8" t="s">
        <v>61</v>
      </c>
      <c r="O55" s="26">
        <v>153267</v>
      </c>
      <c r="P55" s="27">
        <v>197384.85</v>
      </c>
      <c r="Q55" s="27">
        <v>90332</v>
      </c>
      <c r="R55" s="27">
        <v>88092</v>
      </c>
      <c r="S55" s="27">
        <v>2240</v>
      </c>
      <c r="T55" s="30">
        <f>IFERROR(S55/P55,"-")</f>
        <v>1.1348388693458489E-2</v>
      </c>
    </row>
    <row r="56" spans="2:20" ht="18.75" x14ac:dyDescent="0.3">
      <c r="B56" s="8"/>
      <c r="C56" s="8"/>
      <c r="D56" s="8" t="s">
        <v>66</v>
      </c>
      <c r="E56" s="18">
        <v>4900</v>
      </c>
      <c r="F56" s="19">
        <v>17696.350000000002</v>
      </c>
      <c r="G56" s="19">
        <v>7595</v>
      </c>
      <c r="H56" s="19">
        <v>8188</v>
      </c>
      <c r="I56" s="19">
        <v>-593</v>
      </c>
      <c r="J56" s="9">
        <v>-3.350973505835949E-2</v>
      </c>
      <c r="L56" s="14"/>
      <c r="M56" s="49"/>
      <c r="N56" s="8" t="s">
        <v>66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30" t="str">
        <f>IFERROR(S56/P56,"-")</f>
        <v>-</v>
      </c>
    </row>
    <row r="57" spans="2:20" ht="18.75" x14ac:dyDescent="0.3">
      <c r="B57" s="8" t="s">
        <v>31</v>
      </c>
      <c r="C57" s="8"/>
      <c r="D57" s="8"/>
      <c r="E57" s="18">
        <v>1024337</v>
      </c>
      <c r="F57" s="19">
        <v>2801982.014451032</v>
      </c>
      <c r="G57" s="19">
        <v>1030990.2087214061</v>
      </c>
      <c r="H57" s="19">
        <v>955048.5</v>
      </c>
      <c r="I57" s="19">
        <v>75941.708721406525</v>
      </c>
      <c r="J57" s="9">
        <v>2.7102853740581596E-2</v>
      </c>
      <c r="L57" s="15" t="s">
        <v>31</v>
      </c>
      <c r="M57" s="25"/>
      <c r="N57" s="25"/>
      <c r="O57" s="31">
        <v>236199</v>
      </c>
      <c r="P57" s="32">
        <v>1351488.46</v>
      </c>
      <c r="Q57" s="32">
        <v>247766</v>
      </c>
      <c r="R57" s="32">
        <v>207301</v>
      </c>
      <c r="S57" s="32">
        <v>40465</v>
      </c>
      <c r="T57" s="33">
        <v>2.9941062167856025E-2</v>
      </c>
    </row>
    <row r="58" spans="2:20" ht="18.75" x14ac:dyDescent="0.3">
      <c r="B58" s="8" t="s">
        <v>32</v>
      </c>
      <c r="C58" s="8" t="s">
        <v>4</v>
      </c>
      <c r="D58" s="8" t="s">
        <v>58</v>
      </c>
      <c r="E58" s="18">
        <v>13190</v>
      </c>
      <c r="F58" s="19">
        <v>99103.050900000017</v>
      </c>
      <c r="G58" s="19">
        <v>44440.83</v>
      </c>
      <c r="H58" s="19">
        <v>45539.999999999993</v>
      </c>
      <c r="I58" s="19">
        <v>-1099.169999999991</v>
      </c>
      <c r="J58" s="9">
        <v>-1.1091182259455453E-2</v>
      </c>
      <c r="L58" s="14" t="s">
        <v>32</v>
      </c>
      <c r="M58" s="49" t="s">
        <v>4</v>
      </c>
      <c r="N58" s="8" t="s">
        <v>58</v>
      </c>
      <c r="O58" s="26">
        <v>13157</v>
      </c>
      <c r="P58" s="27">
        <v>48539.74</v>
      </c>
      <c r="Q58" s="27">
        <v>44051</v>
      </c>
      <c r="R58" s="27">
        <v>51081</v>
      </c>
      <c r="S58" s="28">
        <v>-7031</v>
      </c>
      <c r="T58" s="29">
        <f>IFERROR(S58/P58,"-")</f>
        <v>-0.14485038444787715</v>
      </c>
    </row>
    <row r="59" spans="2:20" ht="18.75" x14ac:dyDescent="0.3">
      <c r="B59" s="8"/>
      <c r="C59" s="8" t="s">
        <v>23</v>
      </c>
      <c r="D59" s="8" t="s">
        <v>63</v>
      </c>
      <c r="E59" s="18">
        <v>9682</v>
      </c>
      <c r="F59" s="19">
        <v>60795.86</v>
      </c>
      <c r="G59" s="19">
        <v>26391.279999999999</v>
      </c>
      <c r="H59" s="19">
        <v>21957.363636363636</v>
      </c>
      <c r="I59" s="19">
        <v>4433.9163636363628</v>
      </c>
      <c r="J59" s="9">
        <v>7.293122202130807E-2</v>
      </c>
      <c r="L59" s="14"/>
      <c r="M59" s="49" t="s">
        <v>23</v>
      </c>
      <c r="N59" s="8" t="s">
        <v>63</v>
      </c>
      <c r="O59" s="26">
        <v>10124</v>
      </c>
      <c r="P59" s="27">
        <v>73727.360000000001</v>
      </c>
      <c r="Q59" s="27">
        <v>29826</v>
      </c>
      <c r="R59" s="27">
        <v>31217</v>
      </c>
      <c r="S59" s="28">
        <v>-1391</v>
      </c>
      <c r="T59" s="29">
        <f>IFERROR(S59/P59,"-")</f>
        <v>-1.8866808739659197E-2</v>
      </c>
    </row>
    <row r="60" spans="2:20" ht="18.75" x14ac:dyDescent="0.3">
      <c r="B60" s="8"/>
      <c r="C60" s="8"/>
      <c r="D60" s="8" t="s">
        <v>62</v>
      </c>
      <c r="E60" s="18">
        <v>1300</v>
      </c>
      <c r="F60" s="19">
        <v>11900</v>
      </c>
      <c r="G60" s="19">
        <v>5410</v>
      </c>
      <c r="H60" s="19">
        <v>6638.2727272727279</v>
      </c>
      <c r="I60" s="19">
        <v>-1228.2727272727279</v>
      </c>
      <c r="J60" s="9">
        <v>-0.1032161955691368</v>
      </c>
      <c r="L60" s="14"/>
      <c r="M60" s="49"/>
      <c r="N60" s="8" t="s">
        <v>62</v>
      </c>
      <c r="O60" s="26">
        <v>826</v>
      </c>
      <c r="P60" s="27">
        <v>7035.16</v>
      </c>
      <c r="Q60" s="27">
        <v>2842</v>
      </c>
      <c r="R60" s="27">
        <v>1767</v>
      </c>
      <c r="S60" s="27">
        <v>1075</v>
      </c>
      <c r="T60" s="30">
        <f>IFERROR(S60/P60,"-")</f>
        <v>0.15280391632883972</v>
      </c>
    </row>
    <row r="61" spans="2:20" ht="18.75" x14ac:dyDescent="0.3">
      <c r="B61" s="8"/>
      <c r="C61" s="8"/>
      <c r="D61" s="8" t="s">
        <v>83</v>
      </c>
      <c r="E61" s="18">
        <v>3000</v>
      </c>
      <c r="F61" s="19">
        <v>17929.2</v>
      </c>
      <c r="G61" s="19">
        <v>8040.0000000000009</v>
      </c>
      <c r="H61" s="19">
        <v>5106.363636363636</v>
      </c>
      <c r="I61" s="19">
        <v>2933.6363636363649</v>
      </c>
      <c r="J61" s="9">
        <v>0.16362338328739512</v>
      </c>
      <c r="L61" s="14"/>
      <c r="M61" s="49"/>
      <c r="N61" s="8" t="s">
        <v>83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30" t="str">
        <f>IFERROR(S61/P61,"-")</f>
        <v>-</v>
      </c>
    </row>
    <row r="62" spans="2:20" ht="18.75" x14ac:dyDescent="0.3">
      <c r="B62" s="8"/>
      <c r="C62" s="8" t="s">
        <v>24</v>
      </c>
      <c r="D62" s="8" t="s">
        <v>57</v>
      </c>
      <c r="E62" s="18">
        <v>5000</v>
      </c>
      <c r="F62" s="19">
        <v>10912.5</v>
      </c>
      <c r="G62" s="19">
        <v>4850</v>
      </c>
      <c r="H62" s="19">
        <v>14315.522727272728</v>
      </c>
      <c r="I62" s="19">
        <v>-9465.5227272727279</v>
      </c>
      <c r="J62" s="9">
        <v>-0.86740185358742061</v>
      </c>
      <c r="L62" s="14"/>
      <c r="M62" s="49" t="s">
        <v>24</v>
      </c>
      <c r="N62" s="8" t="s">
        <v>57</v>
      </c>
      <c r="O62" s="26">
        <v>4002</v>
      </c>
      <c r="P62" s="27">
        <v>22011</v>
      </c>
      <c r="Q62" s="27">
        <v>4746</v>
      </c>
      <c r="R62" s="27">
        <v>17070</v>
      </c>
      <c r="S62" s="28">
        <v>-12324</v>
      </c>
      <c r="T62" s="29">
        <f>IFERROR(S62/P62,"-")</f>
        <v>-0.55990186724819413</v>
      </c>
    </row>
    <row r="63" spans="2:20" ht="18.75" x14ac:dyDescent="0.3">
      <c r="B63" s="8"/>
      <c r="C63" s="8"/>
      <c r="D63" s="8" t="s">
        <v>84</v>
      </c>
      <c r="E63" s="18">
        <v>3118</v>
      </c>
      <c r="F63" s="19">
        <v>17049.5</v>
      </c>
      <c r="G63" s="19">
        <v>16114.1</v>
      </c>
      <c r="H63" s="19">
        <v>20677.977272727272</v>
      </c>
      <c r="I63" s="19">
        <v>-4563.8772727272717</v>
      </c>
      <c r="J63" s="9">
        <v>-0.26768393634577387</v>
      </c>
      <c r="L63" s="14"/>
      <c r="M63" s="49"/>
      <c r="N63" s="8" t="s">
        <v>84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30" t="str">
        <f>IFERROR(S63/P63,"-")</f>
        <v>-</v>
      </c>
    </row>
    <row r="64" spans="2:20" ht="18.75" x14ac:dyDescent="0.3">
      <c r="B64" s="8"/>
      <c r="C64" s="8" t="s">
        <v>7</v>
      </c>
      <c r="D64" s="8" t="s">
        <v>64</v>
      </c>
      <c r="E64" s="18">
        <v>26750</v>
      </c>
      <c r="F64" s="19">
        <v>43067.5</v>
      </c>
      <c r="G64" s="19">
        <v>13941.035767207828</v>
      </c>
      <c r="H64" s="19">
        <v>11676.923076923076</v>
      </c>
      <c r="I64" s="19">
        <v>2264.1126902847518</v>
      </c>
      <c r="J64" s="9">
        <v>5.2571258844482542E-2</v>
      </c>
      <c r="L64" s="14"/>
      <c r="M64" s="49" t="s">
        <v>7</v>
      </c>
      <c r="N64" s="8" t="s">
        <v>64</v>
      </c>
      <c r="O64" s="26">
        <v>33625</v>
      </c>
      <c r="P64" s="27">
        <v>224689.06</v>
      </c>
      <c r="Q64" s="27">
        <v>17242</v>
      </c>
      <c r="R64" s="27">
        <v>19571</v>
      </c>
      <c r="S64" s="28">
        <v>-2330</v>
      </c>
      <c r="T64" s="29">
        <f>IFERROR(S64/P64,"-")</f>
        <v>-1.0369886277507236E-2</v>
      </c>
    </row>
    <row r="65" spans="2:20" ht="18.75" x14ac:dyDescent="0.3">
      <c r="B65" s="8"/>
      <c r="C65" s="8"/>
      <c r="D65" s="8" t="s">
        <v>58</v>
      </c>
      <c r="E65" s="18">
        <v>62710</v>
      </c>
      <c r="F65" s="19">
        <v>179996.68000000002</v>
      </c>
      <c r="G65" s="19">
        <v>80716</v>
      </c>
      <c r="H65" s="19">
        <v>86993.076923076907</v>
      </c>
      <c r="I65" s="19">
        <v>-6277.0769230769074</v>
      </c>
      <c r="J65" s="9">
        <v>-3.4873292791160963E-2</v>
      </c>
      <c r="L65" s="14"/>
      <c r="M65" s="49"/>
      <c r="N65" s="8" t="s">
        <v>58</v>
      </c>
      <c r="O65" s="26">
        <v>44169</v>
      </c>
      <c r="P65" s="27">
        <v>136096.75</v>
      </c>
      <c r="Q65" s="27">
        <v>50894</v>
      </c>
      <c r="R65" s="27">
        <v>63509</v>
      </c>
      <c r="S65" s="28">
        <v>-12616</v>
      </c>
      <c r="T65" s="29">
        <f>IFERROR(S65/P65,"-")</f>
        <v>-9.2698760256949564E-2</v>
      </c>
    </row>
    <row r="66" spans="2:20" ht="18.75" x14ac:dyDescent="0.3">
      <c r="B66" s="8"/>
      <c r="C66" s="8" t="s">
        <v>25</v>
      </c>
      <c r="D66" s="8" t="s">
        <v>67</v>
      </c>
      <c r="E66" s="18">
        <v>34560</v>
      </c>
      <c r="F66" s="19">
        <v>102182.39976959999</v>
      </c>
      <c r="G66" s="19">
        <v>31104</v>
      </c>
      <c r="H66" s="19">
        <v>9884.7272727272739</v>
      </c>
      <c r="I66" s="19">
        <v>21219.272727272728</v>
      </c>
      <c r="J66" s="9">
        <v>0.20766073976651328</v>
      </c>
      <c r="L66" s="14"/>
      <c r="M66" s="49" t="s">
        <v>25</v>
      </c>
      <c r="N66" s="8" t="s">
        <v>67</v>
      </c>
      <c r="O66" s="26">
        <v>42644</v>
      </c>
      <c r="P66" s="27">
        <v>42663</v>
      </c>
      <c r="Q66" s="27">
        <v>73276</v>
      </c>
      <c r="R66" s="27">
        <v>21620</v>
      </c>
      <c r="S66" s="27">
        <v>51656</v>
      </c>
      <c r="T66" s="30">
        <f>IFERROR(S66/P66,"-")</f>
        <v>1.2107915523990342</v>
      </c>
    </row>
    <row r="67" spans="2:20" ht="18.75" x14ac:dyDescent="0.3">
      <c r="B67" s="8"/>
      <c r="C67" s="8"/>
      <c r="D67" s="8" t="s">
        <v>69</v>
      </c>
      <c r="E67" s="18">
        <v>34656</v>
      </c>
      <c r="F67" s="19">
        <v>94495.128960000002</v>
      </c>
      <c r="G67" s="19">
        <v>31190.400000000005</v>
      </c>
      <c r="H67" s="19">
        <v>14827.090909090908</v>
      </c>
      <c r="I67" s="19">
        <v>16363.309090909097</v>
      </c>
      <c r="J67" s="9">
        <v>0.17316563584812633</v>
      </c>
      <c r="L67" s="14"/>
      <c r="M67" s="49"/>
      <c r="N67" s="8" t="s">
        <v>69</v>
      </c>
      <c r="O67" s="26">
        <v>10</v>
      </c>
      <c r="P67" s="27">
        <v>81.8</v>
      </c>
      <c r="Q67" s="26">
        <v>0</v>
      </c>
      <c r="R67" s="26">
        <v>0</v>
      </c>
      <c r="S67" s="26">
        <v>0</v>
      </c>
      <c r="T67" s="30">
        <f>IFERROR(S67/P67,"-")</f>
        <v>0</v>
      </c>
    </row>
    <row r="68" spans="2:20" ht="18.75" x14ac:dyDescent="0.3">
      <c r="B68" s="8"/>
      <c r="C68" s="8"/>
      <c r="D68" s="8" t="s">
        <v>75</v>
      </c>
      <c r="E68" s="18">
        <v>187776</v>
      </c>
      <c r="F68" s="19">
        <v>296035.10639999999</v>
      </c>
      <c r="G68" s="19">
        <v>142836.48000000001</v>
      </c>
      <c r="H68" s="19">
        <v>84020.181818181823</v>
      </c>
      <c r="I68" s="19">
        <v>58816.298181818187</v>
      </c>
      <c r="J68" s="9">
        <v>0.19868014607141266</v>
      </c>
      <c r="L68" s="14"/>
      <c r="M68" s="49"/>
      <c r="N68" s="8" t="s">
        <v>75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30" t="str">
        <f>IFERROR(S68/P68,"-")</f>
        <v>-</v>
      </c>
    </row>
    <row r="69" spans="2:20" ht="18.75" x14ac:dyDescent="0.3">
      <c r="B69" s="8"/>
      <c r="C69" s="8" t="s">
        <v>26</v>
      </c>
      <c r="D69" s="8" t="s">
        <v>64</v>
      </c>
      <c r="E69" s="18">
        <v>2204</v>
      </c>
      <c r="F69" s="19">
        <v>5848.7547999999997</v>
      </c>
      <c r="G69" s="19">
        <v>2622.7599999999998</v>
      </c>
      <c r="H69" s="19">
        <v>7050.136363636364</v>
      </c>
      <c r="I69" s="19">
        <v>-4427.3763636363637</v>
      </c>
      <c r="J69" s="9">
        <v>-0.75697759865678826</v>
      </c>
      <c r="L69" s="14"/>
      <c r="M69" s="49" t="s">
        <v>26</v>
      </c>
      <c r="N69" s="8" t="s">
        <v>64</v>
      </c>
      <c r="O69" s="26">
        <v>8304</v>
      </c>
      <c r="P69" s="27">
        <v>64413.01</v>
      </c>
      <c r="Q69" s="27">
        <v>6128</v>
      </c>
      <c r="R69" s="27">
        <v>16884</v>
      </c>
      <c r="S69" s="28">
        <v>-10756</v>
      </c>
      <c r="T69" s="29">
        <f>IFERROR(S69/P69,"-")</f>
        <v>-0.16698489947915801</v>
      </c>
    </row>
    <row r="70" spans="2:20" ht="18.75" x14ac:dyDescent="0.3">
      <c r="B70" s="8"/>
      <c r="C70" s="8"/>
      <c r="D70" s="8" t="s">
        <v>58</v>
      </c>
      <c r="E70" s="18">
        <v>9980</v>
      </c>
      <c r="F70" s="19">
        <v>79175.035000000003</v>
      </c>
      <c r="G70" s="19">
        <v>35504.5</v>
      </c>
      <c r="H70" s="19">
        <v>51701</v>
      </c>
      <c r="I70" s="19">
        <v>-16196.5</v>
      </c>
      <c r="J70" s="9">
        <v>-0.20456574474517125</v>
      </c>
      <c r="L70" s="14"/>
      <c r="M70" s="49"/>
      <c r="N70" s="8" t="s">
        <v>58</v>
      </c>
      <c r="O70" s="26">
        <v>23870</v>
      </c>
      <c r="P70" s="27">
        <v>69938.3</v>
      </c>
      <c r="Q70" s="27">
        <v>72483</v>
      </c>
      <c r="R70" s="27">
        <v>123012</v>
      </c>
      <c r="S70" s="28">
        <v>-50529</v>
      </c>
      <c r="T70" s="29">
        <f>IFERROR(S70/P70,"-")</f>
        <v>-0.72247967136747671</v>
      </c>
    </row>
    <row r="71" spans="2:20" ht="18.75" x14ac:dyDescent="0.3">
      <c r="B71" s="8"/>
      <c r="C71" s="8"/>
      <c r="D71" s="8" t="s">
        <v>60</v>
      </c>
      <c r="E71" s="18">
        <v>21530</v>
      </c>
      <c r="F71" s="19">
        <v>240059.5</v>
      </c>
      <c r="G71" s="19">
        <v>107650</v>
      </c>
      <c r="H71" s="19">
        <v>115152.22727272728</v>
      </c>
      <c r="I71" s="19">
        <v>-7502.2272727272793</v>
      </c>
      <c r="J71" s="9">
        <v>-3.1251532527257951E-2</v>
      </c>
      <c r="L71" s="14"/>
      <c r="M71" s="49"/>
      <c r="N71" s="8" t="s">
        <v>60</v>
      </c>
      <c r="O71" s="26">
        <v>11105</v>
      </c>
      <c r="P71" s="27">
        <v>76769.95</v>
      </c>
      <c r="Q71" s="27">
        <v>67930</v>
      </c>
      <c r="R71" s="27">
        <v>71154</v>
      </c>
      <c r="S71" s="28">
        <v>-3224</v>
      </c>
      <c r="T71" s="29">
        <f>IFERROR(S71/P71,"-")</f>
        <v>-4.1995598538230129E-2</v>
      </c>
    </row>
    <row r="72" spans="2:20" ht="18.75" x14ac:dyDescent="0.3">
      <c r="B72" s="8"/>
      <c r="C72" s="8"/>
      <c r="D72" s="8" t="s">
        <v>83</v>
      </c>
      <c r="E72" s="18">
        <v>1296</v>
      </c>
      <c r="F72" s="19">
        <v>11415.816000000001</v>
      </c>
      <c r="G72" s="19">
        <v>5119.2</v>
      </c>
      <c r="H72" s="19">
        <v>5875.113636363636</v>
      </c>
      <c r="I72" s="19">
        <v>-755.91363636363621</v>
      </c>
      <c r="J72" s="9">
        <v>-6.6216347246980514E-2</v>
      </c>
      <c r="L72" s="14"/>
      <c r="M72" s="49"/>
      <c r="N72" s="8" t="s">
        <v>83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30" t="str">
        <f>IFERROR(S72/P72,"-")</f>
        <v>-</v>
      </c>
    </row>
    <row r="73" spans="2:20" ht="18.75" x14ac:dyDescent="0.3">
      <c r="B73" s="8"/>
      <c r="C73" s="8"/>
      <c r="D73" s="8" t="s">
        <v>82</v>
      </c>
      <c r="E73" s="18">
        <v>28780</v>
      </c>
      <c r="F73" s="19">
        <v>81828.433333333334</v>
      </c>
      <c r="G73" s="19">
        <v>35066.226905829593</v>
      </c>
      <c r="H73" s="19">
        <v>38775.750000000007</v>
      </c>
      <c r="I73" s="19">
        <v>-3709.523094170414</v>
      </c>
      <c r="J73" s="9">
        <v>-4.5332935546491954E-2</v>
      </c>
      <c r="L73" s="14"/>
      <c r="M73" s="49"/>
      <c r="N73" s="8" t="s">
        <v>82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30" t="str">
        <f>IFERROR(S73/P73,"-")</f>
        <v>-</v>
      </c>
    </row>
    <row r="74" spans="2:20" ht="18.75" x14ac:dyDescent="0.3">
      <c r="B74" s="8"/>
      <c r="C74" s="8"/>
      <c r="D74" s="8" t="s">
        <v>78</v>
      </c>
      <c r="E74" s="18">
        <v>15599</v>
      </c>
      <c r="F74" s="19">
        <v>97546.711599999995</v>
      </c>
      <c r="G74" s="19">
        <v>43742.92</v>
      </c>
      <c r="H74" s="19">
        <v>65801.272727272735</v>
      </c>
      <c r="I74" s="19">
        <v>-22058.352727272737</v>
      </c>
      <c r="J74" s="9">
        <v>-0.22613117721205414</v>
      </c>
      <c r="L74" s="14"/>
      <c r="M74" s="49"/>
      <c r="N74" s="8" t="s">
        <v>78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30" t="str">
        <f>IFERROR(S74/P74,"-")</f>
        <v>-</v>
      </c>
    </row>
    <row r="75" spans="2:20" ht="18.75" x14ac:dyDescent="0.3">
      <c r="B75" s="8"/>
      <c r="C75" s="8" t="s">
        <v>27</v>
      </c>
      <c r="D75" s="8" t="s">
        <v>67</v>
      </c>
      <c r="E75" s="18">
        <v>4160</v>
      </c>
      <c r="F75" s="19">
        <v>36899.199999999997</v>
      </c>
      <c r="G75" s="19">
        <v>7280</v>
      </c>
      <c r="H75" s="19">
        <v>1667.9545454545455</v>
      </c>
      <c r="I75" s="19">
        <v>5612.045454545454</v>
      </c>
      <c r="J75" s="9">
        <v>0.152091250068984</v>
      </c>
      <c r="L75" s="14"/>
      <c r="M75" s="49" t="s">
        <v>27</v>
      </c>
      <c r="N75" s="8" t="s">
        <v>67</v>
      </c>
      <c r="O75" s="26">
        <v>19</v>
      </c>
      <c r="P75" s="27">
        <v>42663</v>
      </c>
      <c r="Q75" s="26">
        <v>0</v>
      </c>
      <c r="R75" s="26">
        <v>0</v>
      </c>
      <c r="S75" s="26">
        <v>0</v>
      </c>
      <c r="T75" s="30">
        <f>IFERROR(S75/P75,"-")</f>
        <v>0</v>
      </c>
    </row>
    <row r="76" spans="2:20" ht="18.75" x14ac:dyDescent="0.3">
      <c r="B76" s="8"/>
      <c r="C76" s="8"/>
      <c r="D76" s="8" t="s">
        <v>58</v>
      </c>
      <c r="E76" s="18">
        <v>20025</v>
      </c>
      <c r="F76" s="19">
        <v>54628.173000000003</v>
      </c>
      <c r="G76" s="19">
        <v>30453</v>
      </c>
      <c r="H76" s="19">
        <v>35861.022727272713</v>
      </c>
      <c r="I76" s="19">
        <v>-5408.0227272727134</v>
      </c>
      <c r="J76" s="9">
        <v>-9.8996953957671496E-2</v>
      </c>
      <c r="L76" s="14"/>
      <c r="M76" s="49"/>
      <c r="N76" s="8" t="s">
        <v>58</v>
      </c>
      <c r="O76" s="26">
        <v>20525</v>
      </c>
      <c r="P76" s="27">
        <v>33412.35</v>
      </c>
      <c r="Q76" s="27">
        <v>31107</v>
      </c>
      <c r="R76" s="27">
        <v>44440</v>
      </c>
      <c r="S76" s="28">
        <v>-13333</v>
      </c>
      <c r="T76" s="29">
        <f>IFERROR(S76/P76,"-")</f>
        <v>-0.39904406604144876</v>
      </c>
    </row>
    <row r="77" spans="2:20" ht="18.75" x14ac:dyDescent="0.3">
      <c r="B77" s="8"/>
      <c r="C77" s="8"/>
      <c r="D77" s="8" t="s">
        <v>75</v>
      </c>
      <c r="E77" s="18">
        <v>393539</v>
      </c>
      <c r="F77" s="19">
        <v>710011.27249999996</v>
      </c>
      <c r="G77" s="19">
        <v>225621.67</v>
      </c>
      <c r="H77" s="19">
        <v>200988.52272727271</v>
      </c>
      <c r="I77" s="19">
        <v>24633.147272727307</v>
      </c>
      <c r="J77" s="9">
        <v>3.4694022794866691E-2</v>
      </c>
      <c r="L77" s="14"/>
      <c r="M77" s="49"/>
      <c r="N77" s="8" t="s">
        <v>75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30" t="str">
        <f>IFERROR(S77/P77,"-")</f>
        <v>-</v>
      </c>
    </row>
    <row r="78" spans="2:20" ht="18.75" x14ac:dyDescent="0.3">
      <c r="B78" s="8"/>
      <c r="C78" s="8" t="s">
        <v>28</v>
      </c>
      <c r="D78" s="8" t="s">
        <v>61</v>
      </c>
      <c r="E78" s="18">
        <v>224000</v>
      </c>
      <c r="F78" s="19">
        <v>253150</v>
      </c>
      <c r="G78" s="19">
        <v>92645</v>
      </c>
      <c r="H78" s="19">
        <v>85974</v>
      </c>
      <c r="I78" s="19">
        <v>6671</v>
      </c>
      <c r="J78" s="9">
        <v>2.6351965238001186E-2</v>
      </c>
      <c r="L78" s="14"/>
      <c r="M78" s="49" t="s">
        <v>28</v>
      </c>
      <c r="N78" s="8" t="s">
        <v>61</v>
      </c>
      <c r="O78" s="26">
        <v>345251</v>
      </c>
      <c r="P78" s="27">
        <v>392769.02</v>
      </c>
      <c r="Q78" s="27">
        <v>142661</v>
      </c>
      <c r="R78" s="27">
        <v>119863</v>
      </c>
      <c r="S78" s="27">
        <v>22798</v>
      </c>
      <c r="T78" s="30">
        <f>IFERROR(S78/P78,"-")</f>
        <v>5.8044292800893509E-2</v>
      </c>
    </row>
    <row r="79" spans="2:20" ht="18.75" x14ac:dyDescent="0.3">
      <c r="B79" s="8"/>
      <c r="C79" s="8"/>
      <c r="D79" s="8" t="s">
        <v>66</v>
      </c>
      <c r="E79" s="18">
        <v>14960</v>
      </c>
      <c r="F79" s="19">
        <v>54028.040000000008</v>
      </c>
      <c r="G79" s="19">
        <v>23188</v>
      </c>
      <c r="H79" s="19">
        <v>24564</v>
      </c>
      <c r="I79" s="19">
        <v>-1376</v>
      </c>
      <c r="J79" s="9">
        <v>-2.5468256853293212E-2</v>
      </c>
      <c r="L79" s="14"/>
      <c r="M79" s="49"/>
      <c r="N79" s="8" t="s">
        <v>66</v>
      </c>
      <c r="O79" s="26">
        <v>10155</v>
      </c>
      <c r="P79" s="27">
        <v>113778.3</v>
      </c>
      <c r="Q79" s="27">
        <v>14346</v>
      </c>
      <c r="R79" s="27">
        <v>18926</v>
      </c>
      <c r="S79" s="28">
        <v>-4580</v>
      </c>
      <c r="T79" s="29">
        <f>IFERROR(S79/P79,"-")</f>
        <v>-4.0253721491707993E-2</v>
      </c>
    </row>
    <row r="80" spans="2:20" ht="18.75" x14ac:dyDescent="0.3">
      <c r="B80" s="8" t="s">
        <v>33</v>
      </c>
      <c r="C80" s="8"/>
      <c r="D80" s="8"/>
      <c r="E80" s="18">
        <v>1117815</v>
      </c>
      <c r="F80" s="19">
        <v>2558057.8622629335</v>
      </c>
      <c r="G80" s="19">
        <v>1013927.4026730375</v>
      </c>
      <c r="H80" s="19">
        <v>955048.5</v>
      </c>
      <c r="I80" s="19">
        <v>58878.902673037839</v>
      </c>
      <c r="J80" s="9">
        <v>2.3017033172561555E-2</v>
      </c>
      <c r="L80" s="15" t="s">
        <v>33</v>
      </c>
      <c r="M80" s="25"/>
      <c r="N80" s="25"/>
      <c r="O80" s="31">
        <v>375950</v>
      </c>
      <c r="P80" s="32">
        <v>582622.67000000004</v>
      </c>
      <c r="Q80" s="32">
        <v>188114</v>
      </c>
      <c r="R80" s="32">
        <v>183229</v>
      </c>
      <c r="S80" s="32">
        <v>4885</v>
      </c>
      <c r="T80" s="33">
        <v>8.3845003834128184E-3</v>
      </c>
    </row>
    <row r="81" spans="2:20" ht="18.75" x14ac:dyDescent="0.3">
      <c r="B81" s="8" t="s">
        <v>34</v>
      </c>
      <c r="C81" s="8" t="s">
        <v>4</v>
      </c>
      <c r="D81" s="8" t="s">
        <v>58</v>
      </c>
      <c r="E81" s="18">
        <v>14178</v>
      </c>
      <c r="F81" s="19">
        <v>75139.849999999991</v>
      </c>
      <c r="G81" s="19">
        <v>33695</v>
      </c>
      <c r="H81" s="19">
        <v>45540</v>
      </c>
      <c r="I81" s="19">
        <v>-11845</v>
      </c>
      <c r="J81" s="9">
        <v>-0.15763938842039213</v>
      </c>
      <c r="L81" s="14" t="s">
        <v>34</v>
      </c>
      <c r="M81" s="49" t="s">
        <v>4</v>
      </c>
      <c r="N81" s="8" t="s">
        <v>58</v>
      </c>
      <c r="O81" s="26">
        <v>16170</v>
      </c>
      <c r="P81" s="27">
        <v>28071.699999999997</v>
      </c>
      <c r="Q81" s="27">
        <v>26227</v>
      </c>
      <c r="R81" s="27">
        <v>27426</v>
      </c>
      <c r="S81" s="28">
        <v>-1199</v>
      </c>
      <c r="T81" s="29">
        <f>IFERROR(S81/P81,"-")</f>
        <v>-4.271205520150187E-2</v>
      </c>
    </row>
    <row r="82" spans="2:20" ht="18.75" x14ac:dyDescent="0.3">
      <c r="B82" s="8"/>
      <c r="C82" s="8" t="s">
        <v>23</v>
      </c>
      <c r="D82" s="8" t="s">
        <v>62</v>
      </c>
      <c r="E82" s="18">
        <v>5936</v>
      </c>
      <c r="F82" s="19">
        <v>56320.880000000005</v>
      </c>
      <c r="G82" s="19">
        <v>25256</v>
      </c>
      <c r="H82" s="19">
        <v>33702</v>
      </c>
      <c r="I82" s="19">
        <v>-8446</v>
      </c>
      <c r="J82" s="9">
        <v>-0.14996214547784054</v>
      </c>
      <c r="L82" s="14"/>
      <c r="M82" s="49" t="s">
        <v>23</v>
      </c>
      <c r="N82" s="8" t="s">
        <v>62</v>
      </c>
      <c r="O82" s="26">
        <v>11266</v>
      </c>
      <c r="P82" s="27">
        <v>103809.48000000001</v>
      </c>
      <c r="Q82" s="27">
        <v>29710</v>
      </c>
      <c r="R82" s="27">
        <v>18009</v>
      </c>
      <c r="S82" s="27">
        <v>11701</v>
      </c>
      <c r="T82" s="30">
        <f>IFERROR(S82/P82,"-")</f>
        <v>0.11271610261413503</v>
      </c>
    </row>
    <row r="83" spans="2:20" ht="18.75" x14ac:dyDescent="0.3">
      <c r="B83" s="8"/>
      <c r="C83" s="8" t="s">
        <v>24</v>
      </c>
      <c r="D83" s="8" t="s">
        <v>84</v>
      </c>
      <c r="E83" s="18">
        <v>4209</v>
      </c>
      <c r="F83" s="19">
        <v>26707.850000000002</v>
      </c>
      <c r="G83" s="19">
        <v>25445.149999999998</v>
      </c>
      <c r="H83" s="19">
        <v>34993.5</v>
      </c>
      <c r="I83" s="19">
        <v>-9548.3500000000022</v>
      </c>
      <c r="J83" s="9">
        <v>-0.35751099395870506</v>
      </c>
      <c r="L83" s="14"/>
      <c r="M83" s="49" t="s">
        <v>24</v>
      </c>
      <c r="N83" s="8" t="s">
        <v>84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30" t="str">
        <f>IFERROR(S83/P83,"-")</f>
        <v>-</v>
      </c>
    </row>
    <row r="84" spans="2:20" ht="18.75" x14ac:dyDescent="0.3">
      <c r="B84" s="8"/>
      <c r="C84" s="8" t="s">
        <v>7</v>
      </c>
      <c r="D84" s="8" t="s">
        <v>64</v>
      </c>
      <c r="E84" s="18">
        <v>107000</v>
      </c>
      <c r="F84" s="19">
        <v>172270</v>
      </c>
      <c r="G84" s="19">
        <v>55764.143068831312</v>
      </c>
      <c r="H84" s="19">
        <v>60720</v>
      </c>
      <c r="I84" s="19">
        <v>-4955.8569311686879</v>
      </c>
      <c r="J84" s="9">
        <v>-2.876796268165489E-2</v>
      </c>
      <c r="L84" s="14"/>
      <c r="M84" s="49" t="s">
        <v>7</v>
      </c>
      <c r="N84" s="8" t="s">
        <v>64</v>
      </c>
      <c r="O84" s="26">
        <v>70954</v>
      </c>
      <c r="P84" s="27">
        <v>767578.03999999992</v>
      </c>
      <c r="Q84" s="27">
        <v>36187</v>
      </c>
      <c r="R84" s="27">
        <v>35559</v>
      </c>
      <c r="S84" s="27">
        <v>628</v>
      </c>
      <c r="T84" s="30">
        <f>IFERROR(S84/P84,"-")</f>
        <v>8.1815785141534276E-4</v>
      </c>
    </row>
    <row r="85" spans="2:20" ht="18.75" x14ac:dyDescent="0.3">
      <c r="B85" s="8"/>
      <c r="C85" s="8"/>
      <c r="D85" s="8" t="s">
        <v>58</v>
      </c>
      <c r="E85" s="18">
        <v>21720</v>
      </c>
      <c r="F85" s="19">
        <v>43126.415999999997</v>
      </c>
      <c r="G85" s="19">
        <v>19339.2</v>
      </c>
      <c r="H85" s="19">
        <v>37950</v>
      </c>
      <c r="I85" s="19">
        <v>-18610.8</v>
      </c>
      <c r="J85" s="9">
        <v>-0.43154061306647878</v>
      </c>
      <c r="L85" s="14"/>
      <c r="M85" s="49"/>
      <c r="N85" s="8" t="s">
        <v>58</v>
      </c>
      <c r="O85" s="26">
        <v>21699</v>
      </c>
      <c r="P85" s="27">
        <v>862845.65999999992</v>
      </c>
      <c r="Q85" s="27">
        <v>22503</v>
      </c>
      <c r="R85" s="27">
        <v>24352</v>
      </c>
      <c r="S85" s="28">
        <v>-1849</v>
      </c>
      <c r="T85" s="29">
        <f>IFERROR(S85/P85,"-")</f>
        <v>-2.1429093124255851E-3</v>
      </c>
    </row>
    <row r="86" spans="2:20" ht="18.75" x14ac:dyDescent="0.3">
      <c r="B86" s="8"/>
      <c r="C86" s="8" t="s">
        <v>25</v>
      </c>
      <c r="D86" s="8" t="s">
        <v>75</v>
      </c>
      <c r="E86" s="18">
        <v>178164</v>
      </c>
      <c r="F86" s="19">
        <v>335583.33552897151</v>
      </c>
      <c r="G86" s="19">
        <v>129447.71511551997</v>
      </c>
      <c r="H86" s="19">
        <v>108732.00000000001</v>
      </c>
      <c r="I86" s="19">
        <v>20715.715115519954</v>
      </c>
      <c r="J86" s="9">
        <v>6.1730464305881867E-2</v>
      </c>
      <c r="L86" s="14"/>
      <c r="M86" s="49" t="s">
        <v>25</v>
      </c>
      <c r="N86" s="8" t="s">
        <v>75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30" t="str">
        <f>IFERROR(S86/P86,"-")</f>
        <v>-</v>
      </c>
    </row>
    <row r="87" spans="2:20" ht="18.75" x14ac:dyDescent="0.3">
      <c r="B87" s="8"/>
      <c r="C87" s="8" t="s">
        <v>26</v>
      </c>
      <c r="D87" s="8" t="s">
        <v>64</v>
      </c>
      <c r="E87" s="18">
        <v>3730</v>
      </c>
      <c r="F87" s="19">
        <v>14099.4</v>
      </c>
      <c r="G87" s="19">
        <v>3841.9</v>
      </c>
      <c r="H87" s="19">
        <v>15510.3</v>
      </c>
      <c r="I87" s="19">
        <v>-11668.4</v>
      </c>
      <c r="J87" s="9">
        <v>-0.82758131551697234</v>
      </c>
      <c r="L87" s="14"/>
      <c r="M87" s="49" t="s">
        <v>26</v>
      </c>
      <c r="N87" s="8" t="s">
        <v>64</v>
      </c>
      <c r="O87" s="26">
        <v>65256</v>
      </c>
      <c r="P87" s="27">
        <v>419643.84</v>
      </c>
      <c r="Q87" s="27">
        <v>34365</v>
      </c>
      <c r="R87" s="27">
        <v>45920</v>
      </c>
      <c r="S87" s="28">
        <v>-11555</v>
      </c>
      <c r="T87" s="29">
        <f>IFERROR(S87/P87,"-")</f>
        <v>-2.753525465785462E-2</v>
      </c>
    </row>
    <row r="88" spans="2:20" ht="18.75" x14ac:dyDescent="0.3">
      <c r="B88" s="8"/>
      <c r="C88" s="8"/>
      <c r="D88" s="8" t="s">
        <v>58</v>
      </c>
      <c r="E88" s="18">
        <v>5110</v>
      </c>
      <c r="F88" s="19">
        <v>39613.72</v>
      </c>
      <c r="G88" s="19">
        <v>17764</v>
      </c>
      <c r="H88" s="19">
        <v>37914.066666666666</v>
      </c>
      <c r="I88" s="19">
        <v>-20150.066666666666</v>
      </c>
      <c r="J88" s="9">
        <v>-0.50866383330489195</v>
      </c>
      <c r="L88" s="14"/>
      <c r="M88" s="49"/>
      <c r="N88" s="8" t="s">
        <v>58</v>
      </c>
      <c r="O88" s="26">
        <v>9042</v>
      </c>
      <c r="P88" s="27">
        <v>31325.560000000005</v>
      </c>
      <c r="Q88" s="27">
        <v>29492</v>
      </c>
      <c r="R88" s="27">
        <v>36960</v>
      </c>
      <c r="S88" s="28">
        <v>-7468</v>
      </c>
      <c r="T88" s="29">
        <f>IFERROR(S88/P88,"-")</f>
        <v>-0.23839956891433062</v>
      </c>
    </row>
    <row r="89" spans="2:20" ht="18.75" x14ac:dyDescent="0.3">
      <c r="B89" s="8"/>
      <c r="C89" s="8"/>
      <c r="D89" s="8" t="s">
        <v>60</v>
      </c>
      <c r="E89" s="18">
        <v>7483</v>
      </c>
      <c r="F89" s="19">
        <v>83435.45</v>
      </c>
      <c r="G89" s="19">
        <v>37415</v>
      </c>
      <c r="H89" s="19">
        <v>51700.999999999993</v>
      </c>
      <c r="I89" s="19">
        <v>-14285.999999999993</v>
      </c>
      <c r="J89" s="9">
        <v>-0.17122218433531541</v>
      </c>
      <c r="L89" s="14"/>
      <c r="M89" s="49"/>
      <c r="N89" s="8" t="s">
        <v>60</v>
      </c>
      <c r="O89" s="26">
        <v>7623</v>
      </c>
      <c r="P89" s="27">
        <v>52979.85</v>
      </c>
      <c r="Q89" s="27">
        <v>38115</v>
      </c>
      <c r="R89" s="27">
        <v>29120</v>
      </c>
      <c r="S89" s="27">
        <v>8995</v>
      </c>
      <c r="T89" s="30">
        <f>IFERROR(S89/P89,"-")</f>
        <v>0.16978153014778261</v>
      </c>
    </row>
    <row r="90" spans="2:20" ht="18.75" x14ac:dyDescent="0.3">
      <c r="B90" s="8"/>
      <c r="C90" s="8"/>
      <c r="D90" s="8" t="s">
        <v>83</v>
      </c>
      <c r="E90" s="18">
        <v>8847</v>
      </c>
      <c r="F90" s="19">
        <v>41308.408499999998</v>
      </c>
      <c r="G90" s="19">
        <v>18523.949999999997</v>
      </c>
      <c r="H90" s="19">
        <v>39637.433333333327</v>
      </c>
      <c r="I90" s="19">
        <v>-21113.48333333333</v>
      </c>
      <c r="J90" s="9">
        <v>-0.51111829528202068</v>
      </c>
      <c r="L90" s="14"/>
      <c r="M90" s="49"/>
      <c r="N90" s="8" t="s">
        <v>83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30" t="str">
        <f>IFERROR(S90/P90,"-")</f>
        <v>-</v>
      </c>
    </row>
    <row r="91" spans="2:20" ht="18.75" x14ac:dyDescent="0.3">
      <c r="B91" s="8"/>
      <c r="C91" s="8"/>
      <c r="D91" s="8" t="s">
        <v>82</v>
      </c>
      <c r="E91" s="18">
        <v>9520</v>
      </c>
      <c r="F91" s="19">
        <v>27828</v>
      </c>
      <c r="G91" s="19">
        <v>10952.8</v>
      </c>
      <c r="H91" s="19">
        <v>25850.499999999996</v>
      </c>
      <c r="I91" s="19">
        <v>-14897.699999999997</v>
      </c>
      <c r="J91" s="9">
        <v>-0.5353492884864165</v>
      </c>
      <c r="L91" s="14"/>
      <c r="M91" s="49"/>
      <c r="N91" s="8" t="s">
        <v>82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30" t="str">
        <f>IFERROR(S91/P91,"-")</f>
        <v>-</v>
      </c>
    </row>
    <row r="92" spans="2:20" ht="18.75" x14ac:dyDescent="0.3">
      <c r="B92" s="8"/>
      <c r="C92" s="8"/>
      <c r="D92" s="8" t="s">
        <v>78</v>
      </c>
      <c r="E92" s="18">
        <v>21600</v>
      </c>
      <c r="F92" s="19">
        <v>138723.84</v>
      </c>
      <c r="G92" s="19">
        <v>62208</v>
      </c>
      <c r="H92" s="19">
        <v>103401.99999999999</v>
      </c>
      <c r="I92" s="19">
        <v>-41193.999999999985</v>
      </c>
      <c r="J92" s="9">
        <v>-0.296949680747015</v>
      </c>
      <c r="L92" s="14"/>
      <c r="M92" s="49"/>
      <c r="N92" s="8" t="s">
        <v>78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30" t="str">
        <f>IFERROR(S92/P92,"-")</f>
        <v>-</v>
      </c>
    </row>
    <row r="93" spans="2:20" ht="18.75" x14ac:dyDescent="0.3">
      <c r="B93" s="8"/>
      <c r="C93" s="8"/>
      <c r="D93" s="8" t="s">
        <v>59</v>
      </c>
      <c r="E93" s="18">
        <v>0</v>
      </c>
      <c r="F93" s="19"/>
      <c r="G93" s="19"/>
      <c r="H93" s="19">
        <v>10340.199999999999</v>
      </c>
      <c r="I93" s="19">
        <v>-10340.199999999999</v>
      </c>
      <c r="J93" s="9" t="e">
        <v>#DIV/0!</v>
      </c>
      <c r="L93" s="14"/>
      <c r="M93" s="49"/>
      <c r="N93" s="8" t="s">
        <v>59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30" t="str">
        <f>IFERROR(S93/P93,"-")</f>
        <v>-</v>
      </c>
    </row>
    <row r="94" spans="2:20" ht="18.75" x14ac:dyDescent="0.3">
      <c r="B94" s="8"/>
      <c r="C94" s="8" t="s">
        <v>27</v>
      </c>
      <c r="D94" s="8" t="s">
        <v>58</v>
      </c>
      <c r="E94" s="18">
        <v>9383</v>
      </c>
      <c r="F94" s="19">
        <v>32223.098600000005</v>
      </c>
      <c r="G94" s="19">
        <v>14449.82</v>
      </c>
      <c r="H94" s="19">
        <v>18347.5</v>
      </c>
      <c r="I94" s="19">
        <v>-3897.6800000000003</v>
      </c>
      <c r="J94" s="9">
        <v>-0.12095919291883368</v>
      </c>
      <c r="L94" s="14"/>
      <c r="M94" s="49" t="s">
        <v>27</v>
      </c>
      <c r="N94" s="8" t="s">
        <v>58</v>
      </c>
      <c r="O94" s="26">
        <v>7198</v>
      </c>
      <c r="P94" s="27">
        <v>11876.699999999999</v>
      </c>
      <c r="Q94" s="27">
        <v>11085</v>
      </c>
      <c r="R94" s="27">
        <v>10959</v>
      </c>
      <c r="S94" s="27">
        <v>126</v>
      </c>
      <c r="T94" s="30">
        <f>IFERROR(S94/P94,"-")</f>
        <v>1.0609007552602997E-2</v>
      </c>
    </row>
    <row r="95" spans="2:20" ht="18.75" x14ac:dyDescent="0.3">
      <c r="B95" s="8"/>
      <c r="C95" s="8"/>
      <c r="D95" s="8" t="s">
        <v>75</v>
      </c>
      <c r="E95" s="18">
        <v>368104</v>
      </c>
      <c r="F95" s="19">
        <v>671323.44666666666</v>
      </c>
      <c r="G95" s="19">
        <v>288961.24</v>
      </c>
      <c r="H95" s="19">
        <v>220170.00000000003</v>
      </c>
      <c r="I95" s="19">
        <v>68791.239999999962</v>
      </c>
      <c r="J95" s="9">
        <v>0.10247108207164554</v>
      </c>
      <c r="L95" s="14"/>
      <c r="M95" s="49"/>
      <c r="N95" s="8" t="s">
        <v>75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30" t="str">
        <f>IFERROR(S95/P95,"-")</f>
        <v>-</v>
      </c>
    </row>
    <row r="96" spans="2:20" ht="18.75" x14ac:dyDescent="0.3">
      <c r="B96" s="8"/>
      <c r="C96" s="8" t="s">
        <v>28</v>
      </c>
      <c r="D96" s="8" t="s">
        <v>61</v>
      </c>
      <c r="E96" s="18">
        <v>234230</v>
      </c>
      <c r="F96" s="19">
        <v>345243.6</v>
      </c>
      <c r="G96" s="19">
        <v>122241.9</v>
      </c>
      <c r="H96" s="19">
        <v>110538</v>
      </c>
      <c r="I96" s="19">
        <v>11703.899999999994</v>
      </c>
      <c r="J96" s="9">
        <v>3.3900411187926423E-2</v>
      </c>
      <c r="L96" s="14"/>
      <c r="M96" s="49" t="s">
        <v>28</v>
      </c>
      <c r="N96" s="8" t="s">
        <v>61</v>
      </c>
      <c r="O96" s="26">
        <v>245522</v>
      </c>
      <c r="P96" s="27">
        <v>313382.95</v>
      </c>
      <c r="Q96" s="27">
        <v>101772</v>
      </c>
      <c r="R96" s="27">
        <v>93659</v>
      </c>
      <c r="S96" s="27">
        <v>8113</v>
      </c>
      <c r="T96" s="30">
        <f>IFERROR(S96/P96,"-")</f>
        <v>2.5888453727300736E-2</v>
      </c>
    </row>
    <row r="97" spans="2:20" ht="18.75" x14ac:dyDescent="0.3">
      <c r="B97" s="8" t="s">
        <v>35</v>
      </c>
      <c r="C97" s="8"/>
      <c r="D97" s="8"/>
      <c r="E97" s="18">
        <v>999214</v>
      </c>
      <c r="F97" s="19">
        <v>2102947.295295638</v>
      </c>
      <c r="G97" s="19">
        <v>865305.81818435143</v>
      </c>
      <c r="H97" s="19">
        <v>955048.49999999988</v>
      </c>
      <c r="I97" s="19">
        <v>-89742.681815648335</v>
      </c>
      <c r="J97" s="9">
        <v>-4.2674717534008394E-2</v>
      </c>
      <c r="L97" s="15" t="s">
        <v>35</v>
      </c>
      <c r="M97" s="25"/>
      <c r="N97" s="25"/>
      <c r="O97" s="31">
        <v>260343</v>
      </c>
      <c r="P97" s="32">
        <v>378239.5</v>
      </c>
      <c r="Q97" s="32">
        <v>150972</v>
      </c>
      <c r="R97" s="32">
        <v>133738</v>
      </c>
      <c r="S97" s="32">
        <v>17234</v>
      </c>
      <c r="T97" s="33">
        <v>4.5563723513805408E-2</v>
      </c>
    </row>
    <row r="98" spans="2:20" ht="18.75" x14ac:dyDescent="0.3">
      <c r="B98" s="8" t="s">
        <v>36</v>
      </c>
      <c r="C98" s="8" t="s">
        <v>4</v>
      </c>
      <c r="D98" s="8" t="s">
        <v>58</v>
      </c>
      <c r="E98" s="18">
        <v>22945</v>
      </c>
      <c r="F98" s="19">
        <v>117518.21249999999</v>
      </c>
      <c r="G98" s="19">
        <v>52698.75</v>
      </c>
      <c r="H98" s="19">
        <v>45540.000000000007</v>
      </c>
      <c r="I98" s="19">
        <v>7158.7499999999927</v>
      </c>
      <c r="J98" s="9">
        <v>6.0916089920955811E-2</v>
      </c>
      <c r="L98" s="14" t="s">
        <v>36</v>
      </c>
      <c r="M98" s="49" t="s">
        <v>4</v>
      </c>
      <c r="N98" s="8" t="s">
        <v>58</v>
      </c>
      <c r="O98" s="26">
        <v>22406</v>
      </c>
      <c r="P98" s="27">
        <v>57060.84</v>
      </c>
      <c r="Q98" s="27">
        <v>51396</v>
      </c>
      <c r="R98" s="27">
        <v>51753</v>
      </c>
      <c r="S98" s="28">
        <v>-356</v>
      </c>
      <c r="T98" s="29">
        <f>IFERROR(S98/P98,"-")</f>
        <v>-6.238954771783942E-3</v>
      </c>
    </row>
    <row r="99" spans="2:20" ht="18.75" x14ac:dyDescent="0.3">
      <c r="B99" s="8"/>
      <c r="C99" s="8" t="s">
        <v>23</v>
      </c>
      <c r="D99" s="8" t="s">
        <v>62</v>
      </c>
      <c r="E99" s="18">
        <v>9744</v>
      </c>
      <c r="F99" s="19">
        <v>92536.08</v>
      </c>
      <c r="G99" s="19">
        <v>41496</v>
      </c>
      <c r="H99" s="19">
        <v>33702</v>
      </c>
      <c r="I99" s="19">
        <v>7794</v>
      </c>
      <c r="J99" s="9">
        <v>8.4226606530123163E-2</v>
      </c>
      <c r="L99" s="14"/>
      <c r="M99" s="49" t="s">
        <v>23</v>
      </c>
      <c r="N99" s="8" t="s">
        <v>62</v>
      </c>
      <c r="O99" s="26">
        <v>9541</v>
      </c>
      <c r="P99" s="27">
        <v>87014.900000000009</v>
      </c>
      <c r="Q99" s="27">
        <v>39078</v>
      </c>
      <c r="R99" s="27">
        <v>35532</v>
      </c>
      <c r="S99" s="27">
        <v>3546</v>
      </c>
      <c r="T99" s="30">
        <f>IFERROR(S99/P99,"-")</f>
        <v>4.0751641385555801E-2</v>
      </c>
    </row>
    <row r="100" spans="2:20" ht="18.75" x14ac:dyDescent="0.3">
      <c r="B100" s="8"/>
      <c r="C100" s="8" t="s">
        <v>24</v>
      </c>
      <c r="D100" s="8" t="s">
        <v>84</v>
      </c>
      <c r="E100" s="18">
        <v>4022</v>
      </c>
      <c r="F100" s="19">
        <v>22298.5</v>
      </c>
      <c r="G100" s="19">
        <v>20691.900000000001</v>
      </c>
      <c r="H100" s="19">
        <v>34993.5</v>
      </c>
      <c r="I100" s="19">
        <v>-14301.599999999999</v>
      </c>
      <c r="J100" s="9">
        <v>-0.64137049577325822</v>
      </c>
      <c r="L100" s="14"/>
      <c r="M100" s="49" t="s">
        <v>24</v>
      </c>
      <c r="N100" s="8" t="s">
        <v>84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30" t="str">
        <f>IFERROR(S100/P100,"-")</f>
        <v>-</v>
      </c>
    </row>
    <row r="101" spans="2:20" ht="18.75" x14ac:dyDescent="0.3">
      <c r="B101" s="8"/>
      <c r="C101" s="8" t="s">
        <v>7</v>
      </c>
      <c r="D101" s="8" t="s">
        <v>64</v>
      </c>
      <c r="E101" s="18">
        <v>133750</v>
      </c>
      <c r="F101" s="19">
        <v>215337.5</v>
      </c>
      <c r="G101" s="19">
        <v>69705.178836039151</v>
      </c>
      <c r="H101" s="19">
        <v>60720.000000000007</v>
      </c>
      <c r="I101" s="19">
        <v>8985.1788360391438</v>
      </c>
      <c r="J101" s="9">
        <v>4.1726029307664218E-2</v>
      </c>
      <c r="L101" s="14"/>
      <c r="M101" s="49" t="s">
        <v>7</v>
      </c>
      <c r="N101" s="8" t="s">
        <v>64</v>
      </c>
      <c r="O101" s="26">
        <v>108054</v>
      </c>
      <c r="P101" s="27">
        <v>383577.75</v>
      </c>
      <c r="Q101" s="27">
        <v>53687</v>
      </c>
      <c r="R101" s="27">
        <v>55817</v>
      </c>
      <c r="S101" s="28">
        <v>-2130</v>
      </c>
      <c r="T101" s="29">
        <f>IFERROR(S101/P101,"-")</f>
        <v>-5.5529811100878505E-3</v>
      </c>
    </row>
    <row r="102" spans="2:20" ht="18.75" x14ac:dyDescent="0.3">
      <c r="B102" s="8"/>
      <c r="C102" s="8"/>
      <c r="D102" s="8" t="s">
        <v>58</v>
      </c>
      <c r="E102" s="18">
        <v>50250</v>
      </c>
      <c r="F102" s="19">
        <v>51880.95</v>
      </c>
      <c r="G102" s="19">
        <v>23265</v>
      </c>
      <c r="H102" s="19">
        <v>37950.000000000007</v>
      </c>
      <c r="I102" s="19">
        <v>-14685.000000000007</v>
      </c>
      <c r="J102" s="9">
        <v>-0.28305187164074691</v>
      </c>
      <c r="L102" s="14"/>
      <c r="M102" s="49"/>
      <c r="N102" s="8" t="s">
        <v>58</v>
      </c>
      <c r="O102" s="26">
        <v>36779</v>
      </c>
      <c r="P102" s="27">
        <v>122499.47999999998</v>
      </c>
      <c r="Q102" s="27">
        <v>36057</v>
      </c>
      <c r="R102" s="27">
        <v>43821</v>
      </c>
      <c r="S102" s="28">
        <v>-7764</v>
      </c>
      <c r="T102" s="29">
        <f>IFERROR(S102/P102,"-")</f>
        <v>-6.3379860877776792E-2</v>
      </c>
    </row>
    <row r="103" spans="2:20" ht="18.75" x14ac:dyDescent="0.3">
      <c r="B103" s="8"/>
      <c r="C103" s="8" t="s">
        <v>25</v>
      </c>
      <c r="D103" s="8" t="s">
        <v>75</v>
      </c>
      <c r="E103" s="18">
        <v>257496</v>
      </c>
      <c r="F103" s="19">
        <v>504108.26857142866</v>
      </c>
      <c r="G103" s="19">
        <v>190933.08488429571</v>
      </c>
      <c r="H103" s="19">
        <v>108732</v>
      </c>
      <c r="I103" s="19">
        <v>82201.084884295706</v>
      </c>
      <c r="J103" s="9">
        <v>0.16306236181612715</v>
      </c>
      <c r="L103" s="14"/>
      <c r="M103" s="49" t="s">
        <v>25</v>
      </c>
      <c r="N103" s="8" t="s">
        <v>75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30" t="str">
        <f>IFERROR(S103/P103,"-")</f>
        <v>-</v>
      </c>
    </row>
    <row r="104" spans="2:20" ht="18.75" x14ac:dyDescent="0.3">
      <c r="B104" s="8"/>
      <c r="C104" s="8" t="s">
        <v>26</v>
      </c>
      <c r="D104" s="8" t="s">
        <v>58</v>
      </c>
      <c r="E104" s="18">
        <v>5580</v>
      </c>
      <c r="F104" s="19">
        <v>46332.264000000003</v>
      </c>
      <c r="G104" s="19">
        <v>20776.8</v>
      </c>
      <c r="H104" s="19">
        <v>25850.5</v>
      </c>
      <c r="I104" s="19">
        <v>-5073.7000000000007</v>
      </c>
      <c r="J104" s="9">
        <v>-0.10950684387018084</v>
      </c>
      <c r="L104" s="14"/>
      <c r="M104" s="49" t="s">
        <v>26</v>
      </c>
      <c r="N104" s="8" t="s">
        <v>58</v>
      </c>
      <c r="O104" s="26">
        <v>11739</v>
      </c>
      <c r="P104" s="27">
        <v>42323.850000000006</v>
      </c>
      <c r="Q104" s="27">
        <v>41614</v>
      </c>
      <c r="R104" s="27">
        <v>63555</v>
      </c>
      <c r="S104" s="28">
        <v>-21941</v>
      </c>
      <c r="T104" s="29">
        <f>IFERROR(S104/P104,"-")</f>
        <v>-0.51840747001985876</v>
      </c>
    </row>
    <row r="105" spans="2:20" ht="18.75" x14ac:dyDescent="0.3">
      <c r="B105" s="8"/>
      <c r="C105" s="8"/>
      <c r="D105" s="8" t="s">
        <v>83</v>
      </c>
      <c r="E105" s="18">
        <v>1050</v>
      </c>
      <c r="F105" s="19">
        <v>9014.7749999999996</v>
      </c>
      <c r="G105" s="19">
        <v>4042.5</v>
      </c>
      <c r="H105" s="19">
        <v>6154.8809523809523</v>
      </c>
      <c r="I105" s="19">
        <v>-2112.3809523809523</v>
      </c>
      <c r="J105" s="9">
        <v>-0.23432431229630826</v>
      </c>
      <c r="L105" s="14"/>
      <c r="M105" s="49"/>
      <c r="N105" s="8" t="s">
        <v>83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30" t="str">
        <f>IFERROR(S105/P105,"-")</f>
        <v>-</v>
      </c>
    </row>
    <row r="106" spans="2:20" ht="18.75" x14ac:dyDescent="0.3">
      <c r="B106" s="8"/>
      <c r="C106" s="8"/>
      <c r="D106" s="8" t="s">
        <v>85</v>
      </c>
      <c r="E106" s="18">
        <v>5200</v>
      </c>
      <c r="F106" s="19">
        <v>52824.24</v>
      </c>
      <c r="G106" s="19">
        <v>23688</v>
      </c>
      <c r="H106" s="19">
        <v>28312.452380952382</v>
      </c>
      <c r="I106" s="19">
        <v>-4624.4523809523816</v>
      </c>
      <c r="J106" s="9">
        <v>-8.7544134680449387E-2</v>
      </c>
      <c r="L106" s="14"/>
      <c r="M106" s="49"/>
      <c r="N106" s="8" t="s">
        <v>85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30" t="str">
        <f>IFERROR(S106/P106,"-")</f>
        <v>-</v>
      </c>
    </row>
    <row r="107" spans="2:20" ht="18.75" x14ac:dyDescent="0.3">
      <c r="B107" s="8"/>
      <c r="C107" s="8"/>
      <c r="D107" s="8" t="s">
        <v>86</v>
      </c>
      <c r="E107" s="18">
        <v>1976</v>
      </c>
      <c r="F107" s="19">
        <v>50322.001599999996</v>
      </c>
      <c r="G107" s="19">
        <v>22565.919999999998</v>
      </c>
      <c r="H107" s="19">
        <v>25850.499999999996</v>
      </c>
      <c r="I107" s="19">
        <v>-3284.5799999999981</v>
      </c>
      <c r="J107" s="9">
        <v>-6.5271251054528773E-2</v>
      </c>
      <c r="L107" s="14"/>
      <c r="M107" s="49"/>
      <c r="N107" s="8" t="s">
        <v>86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30" t="str">
        <f>IFERROR(S107/P107,"-")</f>
        <v>-</v>
      </c>
    </row>
    <row r="108" spans="2:20" ht="18.75" x14ac:dyDescent="0.3">
      <c r="B108" s="8"/>
      <c r="C108" s="8"/>
      <c r="D108" s="8" t="s">
        <v>87</v>
      </c>
      <c r="E108" s="18">
        <v>40320</v>
      </c>
      <c r="F108" s="19">
        <v>62040.383999999998</v>
      </c>
      <c r="G108" s="19">
        <v>27820.799999999999</v>
      </c>
      <c r="H108" s="19">
        <v>51700.999999999993</v>
      </c>
      <c r="I108" s="19">
        <v>-23880.199999999993</v>
      </c>
      <c r="J108" s="9">
        <v>-0.38491380066248454</v>
      </c>
      <c r="L108" s="14"/>
      <c r="M108" s="49"/>
      <c r="N108" s="8" t="s">
        <v>87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30" t="str">
        <f>IFERROR(S108/P108,"-")</f>
        <v>-</v>
      </c>
    </row>
    <row r="109" spans="2:20" ht="18.75" x14ac:dyDescent="0.3">
      <c r="B109" s="8"/>
      <c r="C109" s="8"/>
      <c r="D109" s="8" t="s">
        <v>65</v>
      </c>
      <c r="E109" s="18">
        <v>4200</v>
      </c>
      <c r="F109" s="19">
        <v>65562</v>
      </c>
      <c r="G109" s="19">
        <v>29400</v>
      </c>
      <c r="H109" s="19">
        <v>25850.499999999996</v>
      </c>
      <c r="I109" s="19">
        <v>3549.5000000000036</v>
      </c>
      <c r="J109" s="9">
        <v>5.4139593056953782E-2</v>
      </c>
      <c r="L109" s="14"/>
      <c r="M109" s="49"/>
      <c r="N109" s="8" t="s">
        <v>65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30" t="str">
        <f>IFERROR(S109/P109,"-")</f>
        <v>-</v>
      </c>
    </row>
    <row r="110" spans="2:20" ht="18.75" x14ac:dyDescent="0.3">
      <c r="B110" s="8"/>
      <c r="C110" s="8"/>
      <c r="D110" s="8" t="s">
        <v>78</v>
      </c>
      <c r="E110" s="18">
        <v>15120</v>
      </c>
      <c r="F110" s="19">
        <v>97106.687999999995</v>
      </c>
      <c r="G110" s="19">
        <v>43545.599999999999</v>
      </c>
      <c r="H110" s="19">
        <v>51700.999999999993</v>
      </c>
      <c r="I110" s="19">
        <v>-8155.3999999999942</v>
      </c>
      <c r="J110" s="9">
        <v>-8.3983916741141404E-2</v>
      </c>
      <c r="L110" s="14"/>
      <c r="M110" s="49"/>
      <c r="N110" s="8" t="s">
        <v>78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30" t="str">
        <f>IFERROR(S110/P110,"-")</f>
        <v>-</v>
      </c>
    </row>
    <row r="111" spans="2:20" ht="18.75" x14ac:dyDescent="0.3">
      <c r="B111" s="8"/>
      <c r="C111" s="8"/>
      <c r="D111" s="8" t="s">
        <v>59</v>
      </c>
      <c r="E111" s="18">
        <v>0</v>
      </c>
      <c r="F111" s="19"/>
      <c r="G111" s="19"/>
      <c r="H111" s="19">
        <v>68934.666666666657</v>
      </c>
      <c r="I111" s="19">
        <v>-68934.666666666657</v>
      </c>
      <c r="J111" s="9" t="e">
        <v>#DIV/0!</v>
      </c>
      <c r="L111" s="14"/>
      <c r="M111" s="49"/>
      <c r="N111" s="8" t="s">
        <v>59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30" t="str">
        <f>IFERROR(S111/P111,"-")</f>
        <v>-</v>
      </c>
    </row>
    <row r="112" spans="2:20" ht="18.75" x14ac:dyDescent="0.3">
      <c r="B112" s="8"/>
      <c r="C112" s="8" t="s">
        <v>27</v>
      </c>
      <c r="D112" s="8" t="s">
        <v>58</v>
      </c>
      <c r="E112" s="18">
        <v>11482</v>
      </c>
      <c r="F112" s="19">
        <v>39431.484400000001</v>
      </c>
      <c r="G112" s="19">
        <v>17682.280000000002</v>
      </c>
      <c r="H112" s="19">
        <v>18347.5</v>
      </c>
      <c r="I112" s="19">
        <v>-665.21999999999753</v>
      </c>
      <c r="J112" s="9">
        <v>-1.6870275368076112E-2</v>
      </c>
      <c r="L112" s="14"/>
      <c r="M112" s="49" t="s">
        <v>27</v>
      </c>
      <c r="N112" s="8" t="s">
        <v>58</v>
      </c>
      <c r="O112" s="26">
        <v>3385</v>
      </c>
      <c r="P112" s="27">
        <v>5585.25</v>
      </c>
      <c r="Q112" s="27">
        <v>5157</v>
      </c>
      <c r="R112" s="27">
        <v>9650</v>
      </c>
      <c r="S112" s="28">
        <v>-4493</v>
      </c>
      <c r="T112" s="29">
        <f>IFERROR(S112/P112,"-")</f>
        <v>-0.80444026677409253</v>
      </c>
    </row>
    <row r="113" spans="2:20" ht="18.75" x14ac:dyDescent="0.3">
      <c r="B113" s="8"/>
      <c r="C113" s="8"/>
      <c r="D113" s="8" t="s">
        <v>75</v>
      </c>
      <c r="E113" s="18">
        <v>446110</v>
      </c>
      <c r="F113" s="19">
        <v>819321.37333333341</v>
      </c>
      <c r="G113" s="19">
        <v>308432.56000000006</v>
      </c>
      <c r="H113" s="19">
        <v>220170</v>
      </c>
      <c r="I113" s="19">
        <v>88262.560000000056</v>
      </c>
      <c r="J113" s="9">
        <v>0.10772642197885303</v>
      </c>
      <c r="L113" s="14"/>
      <c r="M113" s="49"/>
      <c r="N113" s="8" t="s">
        <v>75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30" t="str">
        <f>IFERROR(S113/P113,"-")</f>
        <v>-</v>
      </c>
    </row>
    <row r="114" spans="2:20" ht="18.75" x14ac:dyDescent="0.3">
      <c r="B114" s="8"/>
      <c r="C114" s="8" t="s">
        <v>28</v>
      </c>
      <c r="D114" s="8" t="s">
        <v>61</v>
      </c>
      <c r="E114" s="18">
        <v>220720</v>
      </c>
      <c r="F114" s="19">
        <v>256199</v>
      </c>
      <c r="G114" s="19">
        <v>87531.6</v>
      </c>
      <c r="H114" s="19">
        <v>70744.319999999992</v>
      </c>
      <c r="I114" s="19">
        <v>16787.280000000013</v>
      </c>
      <c r="J114" s="9">
        <v>6.5524377534650846E-2</v>
      </c>
      <c r="L114" s="14"/>
      <c r="M114" s="49" t="s">
        <v>28</v>
      </c>
      <c r="N114" s="8" t="s">
        <v>61</v>
      </c>
      <c r="O114" s="26">
        <v>205205</v>
      </c>
      <c r="P114" s="27">
        <v>369285.69</v>
      </c>
      <c r="Q114" s="27">
        <v>103077</v>
      </c>
      <c r="R114" s="27">
        <v>135054</v>
      </c>
      <c r="S114" s="28">
        <v>-31977</v>
      </c>
      <c r="T114" s="29">
        <f>IFERROR(S114/P114,"-")</f>
        <v>-8.6591495056307213E-2</v>
      </c>
    </row>
    <row r="115" spans="2:20" ht="18.75" x14ac:dyDescent="0.3">
      <c r="B115" s="8"/>
      <c r="C115" s="8"/>
      <c r="D115" s="8" t="s">
        <v>88</v>
      </c>
      <c r="E115" s="18">
        <v>70000</v>
      </c>
      <c r="F115" s="19">
        <v>121100</v>
      </c>
      <c r="G115" s="19">
        <v>48300</v>
      </c>
      <c r="H115" s="19">
        <v>39793.679999999993</v>
      </c>
      <c r="I115" s="19">
        <v>8506.320000000007</v>
      </c>
      <c r="J115" s="9">
        <v>7.0242113955408816E-2</v>
      </c>
      <c r="L115" s="14"/>
      <c r="M115" s="49"/>
      <c r="N115" s="8" t="s">
        <v>88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30" t="str">
        <f>IFERROR(S115/P115,"-")</f>
        <v>-</v>
      </c>
    </row>
    <row r="116" spans="2:20" ht="18.75" x14ac:dyDescent="0.3">
      <c r="B116" s="8" t="s">
        <v>37</v>
      </c>
      <c r="C116" s="8"/>
      <c r="D116" s="8"/>
      <c r="E116" s="18">
        <v>1299965</v>
      </c>
      <c r="F116" s="19">
        <v>2622933.721404762</v>
      </c>
      <c r="G116" s="19">
        <v>1032575.9737203349</v>
      </c>
      <c r="H116" s="19">
        <v>955048.49999999977</v>
      </c>
      <c r="I116" s="19">
        <v>77527.473720335634</v>
      </c>
      <c r="J116" s="9">
        <v>2.9557542033053861E-2</v>
      </c>
      <c r="L116" s="15" t="s">
        <v>37</v>
      </c>
      <c r="M116" s="25"/>
      <c r="N116" s="25"/>
      <c r="O116" s="31">
        <v>208590</v>
      </c>
      <c r="P116" s="32">
        <v>374870.94</v>
      </c>
      <c r="Q116" s="32">
        <v>108234</v>
      </c>
      <c r="R116" s="32">
        <v>144704</v>
      </c>
      <c r="S116" s="34">
        <v>-36470</v>
      </c>
      <c r="T116" s="35">
        <v>-9.7286815563777759E-2</v>
      </c>
    </row>
    <row r="117" spans="2:20" ht="18.75" x14ac:dyDescent="0.3">
      <c r="B117" s="8" t="s">
        <v>38</v>
      </c>
      <c r="C117" s="8" t="s">
        <v>4</v>
      </c>
      <c r="D117" s="8" t="s">
        <v>58</v>
      </c>
      <c r="E117" s="18">
        <v>20250</v>
      </c>
      <c r="F117" s="19">
        <v>97601.524999999994</v>
      </c>
      <c r="G117" s="19">
        <v>43767.5</v>
      </c>
      <c r="H117" s="19">
        <v>45540</v>
      </c>
      <c r="I117" s="19">
        <v>-1772.5</v>
      </c>
      <c r="J117" s="9">
        <v>-1.8160576896723693E-2</v>
      </c>
      <c r="L117" s="14" t="s">
        <v>38</v>
      </c>
      <c r="M117" s="49" t="s">
        <v>4</v>
      </c>
      <c r="N117" s="8" t="s">
        <v>58</v>
      </c>
      <c r="O117" s="26">
        <v>19468</v>
      </c>
      <c r="P117" s="27">
        <v>52066.240000000005</v>
      </c>
      <c r="Q117" s="27">
        <v>48624</v>
      </c>
      <c r="R117" s="27">
        <v>47863</v>
      </c>
      <c r="S117" s="27">
        <v>761</v>
      </c>
      <c r="T117" s="30">
        <f>IFERROR(S117/P117,"-")</f>
        <v>1.4615996853239256E-2</v>
      </c>
    </row>
    <row r="118" spans="2:20" ht="18.75" x14ac:dyDescent="0.3">
      <c r="B118" s="8"/>
      <c r="C118" s="8" t="s">
        <v>23</v>
      </c>
      <c r="D118" s="8" t="s">
        <v>62</v>
      </c>
      <c r="E118" s="18">
        <v>9960</v>
      </c>
      <c r="F118" s="19">
        <v>95024.760000000009</v>
      </c>
      <c r="G118" s="19">
        <v>42612</v>
      </c>
      <c r="H118" s="19">
        <v>33702</v>
      </c>
      <c r="I118" s="19">
        <v>8910</v>
      </c>
      <c r="J118" s="9">
        <v>9.3765035554943782E-2</v>
      </c>
      <c r="L118" s="14"/>
      <c r="M118" s="49" t="s">
        <v>23</v>
      </c>
      <c r="N118" s="8" t="s">
        <v>62</v>
      </c>
      <c r="O118" s="26">
        <v>16857</v>
      </c>
      <c r="P118" s="27">
        <v>94065.249999999985</v>
      </c>
      <c r="Q118" s="27">
        <v>54059</v>
      </c>
      <c r="R118" s="27">
        <v>41760</v>
      </c>
      <c r="S118" s="27">
        <v>12299</v>
      </c>
      <c r="T118" s="30">
        <f>IFERROR(S118/P118,"-")</f>
        <v>0.13074966579050182</v>
      </c>
    </row>
    <row r="119" spans="2:20" ht="18.75" x14ac:dyDescent="0.3">
      <c r="B119" s="8"/>
      <c r="C119" s="8" t="s">
        <v>24</v>
      </c>
      <c r="D119" s="8" t="s">
        <v>75</v>
      </c>
      <c r="E119" s="18">
        <v>28000</v>
      </c>
      <c r="F119" s="19">
        <v>53200</v>
      </c>
      <c r="G119" s="19">
        <v>21280</v>
      </c>
      <c r="H119" s="19">
        <v>34993.5</v>
      </c>
      <c r="I119" s="19">
        <v>-13713.5</v>
      </c>
      <c r="J119" s="9">
        <v>-0.25777255639097746</v>
      </c>
      <c r="L119" s="14"/>
      <c r="M119" s="49" t="s">
        <v>24</v>
      </c>
      <c r="N119" s="8" t="s">
        <v>75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30" t="str">
        <f>IFERROR(S119/P119,"-")</f>
        <v>-</v>
      </c>
    </row>
    <row r="120" spans="2:20" ht="18.75" x14ac:dyDescent="0.3">
      <c r="B120" s="8"/>
      <c r="C120" s="8" t="s">
        <v>7</v>
      </c>
      <c r="D120" s="8" t="s">
        <v>64</v>
      </c>
      <c r="E120" s="18">
        <v>70800</v>
      </c>
      <c r="F120" s="19">
        <v>113988</v>
      </c>
      <c r="G120" s="19">
        <v>31152</v>
      </c>
      <c r="H120" s="19">
        <v>30360</v>
      </c>
      <c r="I120" s="19">
        <v>792</v>
      </c>
      <c r="J120" s="9">
        <v>6.9480997999789452E-3</v>
      </c>
      <c r="L120" s="14"/>
      <c r="M120" s="49" t="s">
        <v>7</v>
      </c>
      <c r="N120" s="8" t="s">
        <v>64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30" t="str">
        <f>IFERROR(S120/P120,"-")</f>
        <v>-</v>
      </c>
    </row>
    <row r="121" spans="2:20" ht="18.75" x14ac:dyDescent="0.3">
      <c r="B121" s="8"/>
      <c r="C121" s="8"/>
      <c r="D121" s="8" t="s">
        <v>58</v>
      </c>
      <c r="E121" s="18">
        <v>38720</v>
      </c>
      <c r="F121" s="19">
        <v>87869.135999999999</v>
      </c>
      <c r="G121" s="19">
        <v>39403.199999999997</v>
      </c>
      <c r="H121" s="19">
        <v>37950</v>
      </c>
      <c r="I121" s="19">
        <v>1453.1999999999971</v>
      </c>
      <c r="J121" s="9">
        <v>1.6538230215442169E-2</v>
      </c>
      <c r="L121" s="14"/>
      <c r="M121" s="49"/>
      <c r="N121" s="8" t="s">
        <v>58</v>
      </c>
      <c r="O121" s="26">
        <v>73422</v>
      </c>
      <c r="P121" s="27">
        <v>427034.16999999993</v>
      </c>
      <c r="Q121" s="27">
        <v>87854</v>
      </c>
      <c r="R121" s="27">
        <v>103703</v>
      </c>
      <c r="S121" s="28">
        <v>-15849</v>
      </c>
      <c r="T121" s="29">
        <f>IFERROR(S121/P121,"-")</f>
        <v>-3.7114126019470534E-2</v>
      </c>
    </row>
    <row r="122" spans="2:20" ht="18.75" x14ac:dyDescent="0.3">
      <c r="B122" s="8"/>
      <c r="C122" s="8"/>
      <c r="D122" s="8" t="s">
        <v>73</v>
      </c>
      <c r="E122" s="18">
        <v>37440</v>
      </c>
      <c r="F122" s="19">
        <v>39240.864000000001</v>
      </c>
      <c r="G122" s="19">
        <v>17596.8</v>
      </c>
      <c r="H122" s="19">
        <v>30360</v>
      </c>
      <c r="I122" s="19">
        <v>-12763.2</v>
      </c>
      <c r="J122" s="9">
        <v>-0.32525277730887886</v>
      </c>
      <c r="L122" s="14"/>
      <c r="M122" s="49"/>
      <c r="N122" s="8" t="s">
        <v>73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30" t="str">
        <f>IFERROR(S122/P122,"-")</f>
        <v>-</v>
      </c>
    </row>
    <row r="123" spans="2:20" ht="18.75" x14ac:dyDescent="0.3">
      <c r="B123" s="8"/>
      <c r="C123" s="8" t="s">
        <v>25</v>
      </c>
      <c r="D123" s="8" t="s">
        <v>75</v>
      </c>
      <c r="E123" s="18">
        <v>240000</v>
      </c>
      <c r="F123" s="19">
        <v>456000</v>
      </c>
      <c r="G123" s="19">
        <v>182400</v>
      </c>
      <c r="H123" s="19">
        <v>108732</v>
      </c>
      <c r="I123" s="19">
        <v>73668</v>
      </c>
      <c r="J123" s="9">
        <v>0.16155263157894736</v>
      </c>
      <c r="L123" s="14"/>
      <c r="M123" s="49" t="s">
        <v>25</v>
      </c>
      <c r="N123" s="8" t="s">
        <v>75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30" t="str">
        <f>IFERROR(S123/P123,"-")</f>
        <v>-</v>
      </c>
    </row>
    <row r="124" spans="2:20" ht="18.75" x14ac:dyDescent="0.3">
      <c r="B124" s="8"/>
      <c r="C124" s="8" t="s">
        <v>26</v>
      </c>
      <c r="D124" s="8" t="s">
        <v>58</v>
      </c>
      <c r="E124" s="18">
        <v>2000</v>
      </c>
      <c r="F124" s="19">
        <v>16279</v>
      </c>
      <c r="G124" s="19">
        <v>7300</v>
      </c>
      <c r="H124" s="19">
        <v>10340.200000000001</v>
      </c>
      <c r="I124" s="19">
        <v>-3040.2000000000007</v>
      </c>
      <c r="J124" s="9">
        <v>-0.18675594323975678</v>
      </c>
      <c r="L124" s="14"/>
      <c r="M124" s="49" t="s">
        <v>26</v>
      </c>
      <c r="N124" s="8" t="s">
        <v>58</v>
      </c>
      <c r="O124" s="26">
        <v>22369</v>
      </c>
      <c r="P124" s="27">
        <v>80110.11</v>
      </c>
      <c r="Q124" s="27">
        <v>77407</v>
      </c>
      <c r="R124" s="27">
        <v>91266</v>
      </c>
      <c r="S124" s="28">
        <v>-13859</v>
      </c>
      <c r="T124" s="29">
        <f>IFERROR(S124/P124,"-")</f>
        <v>-0.1729993879673864</v>
      </c>
    </row>
    <row r="125" spans="2:20" ht="18.75" x14ac:dyDescent="0.3">
      <c r="B125" s="8"/>
      <c r="C125" s="8"/>
      <c r="D125" s="8" t="s">
        <v>85</v>
      </c>
      <c r="E125" s="18">
        <v>4000</v>
      </c>
      <c r="F125" s="19">
        <v>34431.199999999997</v>
      </c>
      <c r="G125" s="19">
        <v>15440</v>
      </c>
      <c r="H125" s="19">
        <v>25850.5</v>
      </c>
      <c r="I125" s="19">
        <v>-10410.5</v>
      </c>
      <c r="J125" s="9">
        <v>-0.30235658356374456</v>
      </c>
      <c r="L125" s="14"/>
      <c r="M125" s="49"/>
      <c r="N125" s="8" t="s">
        <v>85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30" t="str">
        <f>IFERROR(S125/P125,"-")</f>
        <v>-</v>
      </c>
    </row>
    <row r="126" spans="2:20" ht="18.75" x14ac:dyDescent="0.3">
      <c r="B126" s="8"/>
      <c r="C126" s="8"/>
      <c r="D126" s="8" t="s">
        <v>86</v>
      </c>
      <c r="E126" s="18">
        <v>4640</v>
      </c>
      <c r="F126" s="19">
        <v>118165.024</v>
      </c>
      <c r="G126" s="19">
        <v>52988.800000000003</v>
      </c>
      <c r="H126" s="19">
        <v>51701</v>
      </c>
      <c r="I126" s="19">
        <v>1287.8000000000029</v>
      </c>
      <c r="J126" s="9">
        <v>1.0898317932047328E-2</v>
      </c>
      <c r="L126" s="14"/>
      <c r="M126" s="49"/>
      <c r="N126" s="8" t="s">
        <v>86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30" t="str">
        <f>IFERROR(S126/P126,"-")</f>
        <v>-</v>
      </c>
    </row>
    <row r="127" spans="2:20" ht="18.75" x14ac:dyDescent="0.3">
      <c r="B127" s="8"/>
      <c r="C127" s="8"/>
      <c r="D127" s="8" t="s">
        <v>89</v>
      </c>
      <c r="E127" s="18">
        <v>2880</v>
      </c>
      <c r="F127" s="19">
        <v>26974.079999999998</v>
      </c>
      <c r="G127" s="19">
        <v>12096</v>
      </c>
      <c r="H127" s="19">
        <v>15510.300000000001</v>
      </c>
      <c r="I127" s="19">
        <v>-3414.3000000000011</v>
      </c>
      <c r="J127" s="9">
        <v>-0.12657706954231623</v>
      </c>
      <c r="L127" s="14"/>
      <c r="M127" s="49"/>
      <c r="N127" s="8" t="s">
        <v>89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30" t="str">
        <f>IFERROR(S127/P127,"-")</f>
        <v>-</v>
      </c>
    </row>
    <row r="128" spans="2:20" ht="18.75" x14ac:dyDescent="0.3">
      <c r="B128" s="8"/>
      <c r="C128" s="8"/>
      <c r="D128" s="8" t="s">
        <v>87</v>
      </c>
      <c r="E128" s="18">
        <v>38400</v>
      </c>
      <c r="F128" s="19">
        <v>59086.080000000002</v>
      </c>
      <c r="G128" s="19">
        <v>26495.999999999996</v>
      </c>
      <c r="H128" s="19">
        <v>51701</v>
      </c>
      <c r="I128" s="19">
        <v>-25205.000000000004</v>
      </c>
      <c r="J128" s="9">
        <v>-0.42658101535928605</v>
      </c>
      <c r="L128" s="14"/>
      <c r="M128" s="49"/>
      <c r="N128" s="8" t="s">
        <v>87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30" t="str">
        <f>IFERROR(S128/P128,"-")</f>
        <v>-</v>
      </c>
    </row>
    <row r="129" spans="2:20" ht="18.75" x14ac:dyDescent="0.3">
      <c r="B129" s="8"/>
      <c r="C129" s="8"/>
      <c r="D129" s="8" t="s">
        <v>65</v>
      </c>
      <c r="E129" s="18">
        <v>15293</v>
      </c>
      <c r="F129" s="19">
        <v>100215.08499999999</v>
      </c>
      <c r="G129" s="19">
        <v>44939.5</v>
      </c>
      <c r="H129" s="19">
        <v>51701</v>
      </c>
      <c r="I129" s="19">
        <v>-6761.5</v>
      </c>
      <c r="J129" s="9">
        <v>-6.7469882403432588E-2</v>
      </c>
      <c r="L129" s="14"/>
      <c r="M129" s="49"/>
      <c r="N129" s="8" t="s">
        <v>65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30" t="str">
        <f>IFERROR(S129/P129,"-")</f>
        <v>-</v>
      </c>
    </row>
    <row r="130" spans="2:20" ht="18.75" x14ac:dyDescent="0.3">
      <c r="B130" s="8"/>
      <c r="C130" s="8"/>
      <c r="D130" s="8" t="s">
        <v>59</v>
      </c>
      <c r="E130" s="18">
        <v>0</v>
      </c>
      <c r="F130" s="19"/>
      <c r="G130" s="19"/>
      <c r="H130" s="19">
        <v>77551.5</v>
      </c>
      <c r="I130" s="19">
        <v>-77551.5</v>
      </c>
      <c r="J130" s="9" t="e">
        <v>#DIV/0!</v>
      </c>
      <c r="L130" s="14"/>
      <c r="M130" s="49"/>
      <c r="N130" s="8" t="s">
        <v>59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30" t="str">
        <f>IFERROR(S130/P130,"-")</f>
        <v>-</v>
      </c>
    </row>
    <row r="131" spans="2:20" ht="18.75" x14ac:dyDescent="0.3">
      <c r="B131" s="8"/>
      <c r="C131" s="8" t="s">
        <v>27</v>
      </c>
      <c r="D131" s="8" t="s">
        <v>58</v>
      </c>
      <c r="E131" s="18">
        <v>7720</v>
      </c>
      <c r="F131" s="19">
        <v>26512.024000000001</v>
      </c>
      <c r="G131" s="19">
        <v>11888.8</v>
      </c>
      <c r="H131" s="19">
        <v>14678</v>
      </c>
      <c r="I131" s="19">
        <v>-2789.2000000000007</v>
      </c>
      <c r="J131" s="9">
        <v>-0.10520509486563533</v>
      </c>
      <c r="L131" s="14"/>
      <c r="M131" s="49" t="s">
        <v>27</v>
      </c>
      <c r="N131" s="8" t="s">
        <v>58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30" t="str">
        <f>IFERROR(S131/P131,"-")</f>
        <v>-</v>
      </c>
    </row>
    <row r="132" spans="2:20" ht="18.75" x14ac:dyDescent="0.3">
      <c r="B132" s="8"/>
      <c r="C132" s="8"/>
      <c r="D132" s="8" t="s">
        <v>75</v>
      </c>
      <c r="E132" s="18">
        <v>422620</v>
      </c>
      <c r="F132" s="19">
        <v>802978</v>
      </c>
      <c r="G132" s="19">
        <v>321191.2</v>
      </c>
      <c r="H132" s="19">
        <v>223839.5</v>
      </c>
      <c r="I132" s="19">
        <v>97351.700000000012</v>
      </c>
      <c r="J132" s="9">
        <v>0.12123831537103134</v>
      </c>
      <c r="L132" s="14"/>
      <c r="M132" s="49"/>
      <c r="N132" s="8" t="s">
        <v>75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30" t="str">
        <f>IFERROR(S132/P132,"-")</f>
        <v>-</v>
      </c>
    </row>
    <row r="133" spans="2:20" ht="18.75" x14ac:dyDescent="0.3">
      <c r="B133" s="8"/>
      <c r="C133" s="8" t="s">
        <v>28</v>
      </c>
      <c r="D133" s="8" t="s">
        <v>61</v>
      </c>
      <c r="E133" s="18">
        <v>181300</v>
      </c>
      <c r="F133" s="19">
        <v>208443</v>
      </c>
      <c r="G133" s="19">
        <v>79392</v>
      </c>
      <c r="H133" s="19">
        <v>76250.75</v>
      </c>
      <c r="I133" s="19">
        <v>3141.25</v>
      </c>
      <c r="J133" s="9">
        <v>1.5070067116669784E-2</v>
      </c>
      <c r="L133" s="14"/>
      <c r="M133" s="49" t="s">
        <v>28</v>
      </c>
      <c r="N133" s="8" t="s">
        <v>61</v>
      </c>
      <c r="O133" s="26">
        <v>289591</v>
      </c>
      <c r="P133" s="27">
        <v>365774.43999999994</v>
      </c>
      <c r="Q133" s="27">
        <v>129176</v>
      </c>
      <c r="R133" s="27">
        <v>126883</v>
      </c>
      <c r="S133" s="27">
        <v>2293</v>
      </c>
      <c r="T133" s="30">
        <f>IFERROR(S133/P133,"-")</f>
        <v>6.2688907404246192E-3</v>
      </c>
    </row>
    <row r="134" spans="2:20" ht="18.75" x14ac:dyDescent="0.3">
      <c r="B134" s="8"/>
      <c r="C134" s="8"/>
      <c r="D134" s="8" t="s">
        <v>88</v>
      </c>
      <c r="E134" s="18">
        <v>35000</v>
      </c>
      <c r="F134" s="19">
        <v>60550</v>
      </c>
      <c r="G134" s="19">
        <v>24149.999999999996</v>
      </c>
      <c r="H134" s="19">
        <v>19446.5</v>
      </c>
      <c r="I134" s="19">
        <v>4703.4999999999964</v>
      </c>
      <c r="J134" s="9">
        <v>7.7679603633360794E-2</v>
      </c>
      <c r="L134" s="14"/>
      <c r="M134" s="49"/>
      <c r="N134" s="8" t="s">
        <v>88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30" t="str">
        <f>IFERROR(S134/P134,"-")</f>
        <v>-</v>
      </c>
    </row>
    <row r="135" spans="2:20" ht="18.75" x14ac:dyDescent="0.3">
      <c r="B135" s="8"/>
      <c r="C135" s="8"/>
      <c r="D135" s="8" t="s">
        <v>72</v>
      </c>
      <c r="E135" s="18">
        <v>19760</v>
      </c>
      <c r="F135" s="19">
        <v>121524</v>
      </c>
      <c r="G135" s="19">
        <v>39520</v>
      </c>
      <c r="H135" s="19">
        <v>14840.75</v>
      </c>
      <c r="I135" s="19">
        <v>24679.25</v>
      </c>
      <c r="J135" s="9">
        <v>0.20308128435535366</v>
      </c>
      <c r="L135" s="14"/>
      <c r="M135" s="49"/>
      <c r="N135" s="8" t="s">
        <v>72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30" t="str">
        <f>IFERROR(S135/P135,"-")</f>
        <v>-</v>
      </c>
    </row>
    <row r="136" spans="2:20" ht="18.75" x14ac:dyDescent="0.3">
      <c r="B136" s="8" t="s">
        <v>39</v>
      </c>
      <c r="C136" s="8"/>
      <c r="D136" s="8"/>
      <c r="E136" s="18">
        <v>1178783</v>
      </c>
      <c r="F136" s="19">
        <v>2518081.7779999999</v>
      </c>
      <c r="G136" s="19">
        <v>1013613.8</v>
      </c>
      <c r="H136" s="19">
        <v>955048.5</v>
      </c>
      <c r="I136" s="19">
        <v>58565.300000000047</v>
      </c>
      <c r="J136" s="9">
        <v>2.3257902309477749E-2</v>
      </c>
      <c r="L136" s="15" t="s">
        <v>39</v>
      </c>
      <c r="M136" s="25"/>
      <c r="N136" s="25"/>
      <c r="O136" s="31">
        <v>289591</v>
      </c>
      <c r="P136" s="32">
        <v>365774.43999999994</v>
      </c>
      <c r="Q136" s="32">
        <v>129176</v>
      </c>
      <c r="R136" s="32">
        <v>126883</v>
      </c>
      <c r="S136" s="32">
        <v>2293</v>
      </c>
      <c r="T136" s="33">
        <v>6.2688907404246192E-3</v>
      </c>
    </row>
    <row r="137" spans="2:20" ht="18.75" x14ac:dyDescent="0.3">
      <c r="B137" s="8" t="s">
        <v>40</v>
      </c>
      <c r="C137" s="8" t="s">
        <v>4</v>
      </c>
      <c r="D137" s="8" t="s">
        <v>58</v>
      </c>
      <c r="E137" s="18">
        <v>23270</v>
      </c>
      <c r="F137" s="19">
        <v>125712.905</v>
      </c>
      <c r="G137" s="19">
        <v>56373.5</v>
      </c>
      <c r="H137" s="19">
        <v>46437</v>
      </c>
      <c r="I137" s="19">
        <v>9936.5</v>
      </c>
      <c r="J137" s="9">
        <v>7.9041209015096744E-2</v>
      </c>
      <c r="L137" s="14" t="s">
        <v>40</v>
      </c>
      <c r="M137" s="49" t="s">
        <v>4</v>
      </c>
      <c r="N137" s="8" t="s">
        <v>58</v>
      </c>
      <c r="O137" s="26">
        <v>15272</v>
      </c>
      <c r="P137" s="27">
        <v>36241.360000000001</v>
      </c>
      <c r="Q137" s="27">
        <v>33866</v>
      </c>
      <c r="R137" s="27">
        <v>32111</v>
      </c>
      <c r="S137" s="27">
        <v>1755</v>
      </c>
      <c r="T137" s="30">
        <f>IFERROR(S137/P137,"-")</f>
        <v>4.8425335031577178E-2</v>
      </c>
    </row>
    <row r="138" spans="2:20" ht="18.75" x14ac:dyDescent="0.3">
      <c r="B138" s="8"/>
      <c r="C138" s="8" t="s">
        <v>23</v>
      </c>
      <c r="D138" s="8" t="s">
        <v>62</v>
      </c>
      <c r="E138" s="18">
        <v>10280</v>
      </c>
      <c r="F138" s="19">
        <v>98235.96</v>
      </c>
      <c r="G138" s="19">
        <v>44052</v>
      </c>
      <c r="H138" s="19">
        <v>34624.5</v>
      </c>
      <c r="I138" s="19">
        <v>9427.5</v>
      </c>
      <c r="J138" s="9">
        <v>9.5967912361216809E-2</v>
      </c>
      <c r="L138" s="14"/>
      <c r="M138" s="49" t="s">
        <v>23</v>
      </c>
      <c r="N138" s="8" t="s">
        <v>62</v>
      </c>
      <c r="O138" s="26">
        <v>19023</v>
      </c>
      <c r="P138" s="27">
        <v>157736.24999999997</v>
      </c>
      <c r="Q138" s="27">
        <v>54221</v>
      </c>
      <c r="R138" s="27">
        <v>43920</v>
      </c>
      <c r="S138" s="27">
        <v>10301</v>
      </c>
      <c r="T138" s="30">
        <f>IFERROR(S138/P138,"-")</f>
        <v>6.5305216778007602E-2</v>
      </c>
    </row>
    <row r="139" spans="2:20" ht="18.75" x14ac:dyDescent="0.3">
      <c r="B139" s="8"/>
      <c r="C139" s="8" t="s">
        <v>24</v>
      </c>
      <c r="D139" s="8" t="s">
        <v>75</v>
      </c>
      <c r="E139" s="18">
        <v>28000</v>
      </c>
      <c r="F139" s="19">
        <v>53200</v>
      </c>
      <c r="G139" s="19">
        <v>21280</v>
      </c>
      <c r="H139" s="19">
        <v>34993.5</v>
      </c>
      <c r="I139" s="19">
        <v>-13713.5</v>
      </c>
      <c r="J139" s="9">
        <v>-0.25777255639097746</v>
      </c>
      <c r="L139" s="14"/>
      <c r="M139" s="49" t="s">
        <v>24</v>
      </c>
      <c r="N139" s="8" t="s">
        <v>75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30" t="str">
        <f>IFERROR(S139/P139,"-")</f>
        <v>-</v>
      </c>
    </row>
    <row r="140" spans="2:20" ht="18.75" x14ac:dyDescent="0.3">
      <c r="B140" s="8"/>
      <c r="C140" s="8" t="s">
        <v>7</v>
      </c>
      <c r="D140" s="8" t="s">
        <v>58</v>
      </c>
      <c r="E140" s="18">
        <v>40155</v>
      </c>
      <c r="F140" s="19">
        <v>90790.659</v>
      </c>
      <c r="G140" s="19">
        <v>40713.300000000003</v>
      </c>
      <c r="H140" s="19">
        <v>38697.5</v>
      </c>
      <c r="I140" s="19">
        <v>2015.8000000000029</v>
      </c>
      <c r="J140" s="9">
        <v>2.2202724621703682E-2</v>
      </c>
      <c r="L140" s="14"/>
      <c r="M140" s="49" t="s">
        <v>7</v>
      </c>
      <c r="N140" s="8" t="s">
        <v>58</v>
      </c>
      <c r="O140" s="26">
        <v>68818</v>
      </c>
      <c r="P140" s="27">
        <v>132511.69999999998</v>
      </c>
      <c r="Q140" s="27">
        <v>75641</v>
      </c>
      <c r="R140" s="27">
        <v>83994</v>
      </c>
      <c r="S140" s="28">
        <v>-8354</v>
      </c>
      <c r="T140" s="29">
        <f>IFERROR(S140/P140,"-")</f>
        <v>-6.304348974467916E-2</v>
      </c>
    </row>
    <row r="141" spans="2:20" ht="18.75" x14ac:dyDescent="0.3">
      <c r="B141" s="8"/>
      <c r="C141" s="8"/>
      <c r="D141" s="8" t="s">
        <v>73</v>
      </c>
      <c r="E141" s="18">
        <v>78000</v>
      </c>
      <c r="F141" s="19">
        <v>103665.90000000001</v>
      </c>
      <c r="G141" s="19">
        <v>36660</v>
      </c>
      <c r="H141" s="19">
        <v>61916</v>
      </c>
      <c r="I141" s="19">
        <v>-25256</v>
      </c>
      <c r="J141" s="9">
        <v>-0.24362881140278528</v>
      </c>
      <c r="L141" s="14"/>
      <c r="M141" s="49"/>
      <c r="N141" s="8" t="s">
        <v>73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30" t="str">
        <f>IFERROR(S141/P141,"-")</f>
        <v>-</v>
      </c>
    </row>
    <row r="142" spans="2:20" ht="18.75" x14ac:dyDescent="0.3">
      <c r="B142" s="8"/>
      <c r="C142" s="8" t="s">
        <v>25</v>
      </c>
      <c r="D142" s="8" t="s">
        <v>75</v>
      </c>
      <c r="E142" s="18">
        <v>240000</v>
      </c>
      <c r="F142" s="19">
        <v>456000</v>
      </c>
      <c r="G142" s="19">
        <v>182400</v>
      </c>
      <c r="H142" s="19">
        <v>110577</v>
      </c>
      <c r="I142" s="19">
        <v>71823</v>
      </c>
      <c r="J142" s="9">
        <v>0.15750657894736841</v>
      </c>
      <c r="L142" s="14"/>
      <c r="M142" s="49" t="s">
        <v>25</v>
      </c>
      <c r="N142" s="8" t="s">
        <v>75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30" t="str">
        <f>IFERROR(S142/P142,"-")</f>
        <v>-</v>
      </c>
    </row>
    <row r="143" spans="2:20" ht="18.75" x14ac:dyDescent="0.3">
      <c r="B143" s="8"/>
      <c r="C143" s="8" t="s">
        <v>26</v>
      </c>
      <c r="D143" s="8" t="s">
        <v>75</v>
      </c>
      <c r="E143" s="18">
        <v>16000</v>
      </c>
      <c r="F143" s="19">
        <v>35680</v>
      </c>
      <c r="G143" s="19">
        <v>16000</v>
      </c>
      <c r="H143" s="19">
        <v>22837</v>
      </c>
      <c r="I143" s="19">
        <v>-6837</v>
      </c>
      <c r="J143" s="9">
        <v>-0.19161995515695068</v>
      </c>
      <c r="L143" s="14"/>
      <c r="M143" s="49" t="s">
        <v>26</v>
      </c>
      <c r="N143" s="8" t="s">
        <v>75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30" t="str">
        <f>IFERROR(S143/P143,"-")</f>
        <v>-</v>
      </c>
    </row>
    <row r="144" spans="2:20" ht="18.75" x14ac:dyDescent="0.3">
      <c r="B144" s="8"/>
      <c r="C144" s="8"/>
      <c r="D144" s="8" t="s">
        <v>85</v>
      </c>
      <c r="E144" s="18">
        <v>1600</v>
      </c>
      <c r="F144" s="19">
        <v>16412.8</v>
      </c>
      <c r="G144" s="19">
        <v>7359.9999999999991</v>
      </c>
      <c r="H144" s="19">
        <v>9134.7999999999993</v>
      </c>
      <c r="I144" s="19">
        <v>-1774.8000000000002</v>
      </c>
      <c r="J144" s="9">
        <v>-0.10813511405732112</v>
      </c>
      <c r="L144" s="14"/>
      <c r="M144" s="49"/>
      <c r="N144" s="8" t="s">
        <v>85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30" t="str">
        <f>IFERROR(S144/P144,"-")</f>
        <v>-</v>
      </c>
    </row>
    <row r="145" spans="2:20" ht="18.75" x14ac:dyDescent="0.3">
      <c r="B145" s="8"/>
      <c r="C145" s="8"/>
      <c r="D145" s="8" t="s">
        <v>86</v>
      </c>
      <c r="E145" s="18">
        <v>6080</v>
      </c>
      <c r="F145" s="19">
        <v>154836.92799999999</v>
      </c>
      <c r="G145" s="19">
        <v>69433.600000000006</v>
      </c>
      <c r="H145" s="19">
        <v>45674</v>
      </c>
      <c r="I145" s="19">
        <v>23759.600000000006</v>
      </c>
      <c r="J145" s="9">
        <v>0.15344918235525834</v>
      </c>
      <c r="L145" s="14"/>
      <c r="M145" s="49"/>
      <c r="N145" s="8" t="s">
        <v>86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30" t="str">
        <f>IFERROR(S145/P145,"-")</f>
        <v>-</v>
      </c>
    </row>
    <row r="146" spans="2:20" ht="18.75" x14ac:dyDescent="0.3">
      <c r="B146" s="8"/>
      <c r="C146" s="8"/>
      <c r="D146" s="8" t="s">
        <v>89</v>
      </c>
      <c r="E146" s="18">
        <v>3120</v>
      </c>
      <c r="F146" s="19">
        <v>29221.919999999998</v>
      </c>
      <c r="G146" s="19">
        <v>13104</v>
      </c>
      <c r="H146" s="19">
        <v>14844.05</v>
      </c>
      <c r="I146" s="19">
        <v>-1740.0499999999993</v>
      </c>
      <c r="J146" s="9">
        <v>-5.9546053099864736E-2</v>
      </c>
      <c r="L146" s="14"/>
      <c r="M146" s="49"/>
      <c r="N146" s="8" t="s">
        <v>89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30" t="str">
        <f>IFERROR(S146/P146,"-")</f>
        <v>-</v>
      </c>
    </row>
    <row r="147" spans="2:20" ht="18.75" x14ac:dyDescent="0.3">
      <c r="B147" s="8"/>
      <c r="C147" s="8"/>
      <c r="D147" s="8" t="s">
        <v>65</v>
      </c>
      <c r="E147" s="18">
        <v>25933</v>
      </c>
      <c r="F147" s="19">
        <v>142924.04499999998</v>
      </c>
      <c r="G147" s="19">
        <v>64091.5</v>
      </c>
      <c r="H147" s="19">
        <v>67369.149999999994</v>
      </c>
      <c r="I147" s="19">
        <v>-3277.6499999999942</v>
      </c>
      <c r="J147" s="9">
        <v>-2.2932810220981321E-2</v>
      </c>
      <c r="L147" s="14"/>
      <c r="M147" s="49"/>
      <c r="N147" s="8" t="s">
        <v>65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30" t="str">
        <f>IFERROR(S147/P147,"-")</f>
        <v>-</v>
      </c>
    </row>
    <row r="148" spans="2:20" ht="18.75" x14ac:dyDescent="0.3">
      <c r="B148" s="8"/>
      <c r="C148" s="8"/>
      <c r="D148" s="8" t="s">
        <v>90</v>
      </c>
      <c r="E148" s="18">
        <v>16000</v>
      </c>
      <c r="F148" s="19">
        <v>44355.555555555555</v>
      </c>
      <c r="G148" s="19">
        <v>17653.333333333332</v>
      </c>
      <c r="H148" s="19">
        <v>22837</v>
      </c>
      <c r="I148" s="19">
        <v>-5183.6666666666679</v>
      </c>
      <c r="J148" s="9">
        <v>-0.11686623246492989</v>
      </c>
      <c r="L148" s="14"/>
      <c r="M148" s="49"/>
      <c r="N148" s="8" t="s">
        <v>90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30" t="str">
        <f>IFERROR(S148/P148,"-")</f>
        <v>-</v>
      </c>
    </row>
    <row r="149" spans="2:20" ht="18.75" x14ac:dyDescent="0.3">
      <c r="B149" s="8"/>
      <c r="C149" s="8" t="s">
        <v>27</v>
      </c>
      <c r="D149" s="8" t="s">
        <v>75</v>
      </c>
      <c r="E149" s="18">
        <v>394000</v>
      </c>
      <c r="F149" s="19">
        <v>748600</v>
      </c>
      <c r="G149" s="19">
        <v>299440</v>
      </c>
      <c r="H149" s="19">
        <v>213825.25</v>
      </c>
      <c r="I149" s="19">
        <v>85614.75</v>
      </c>
      <c r="J149" s="9">
        <v>0.11436648410366017</v>
      </c>
      <c r="L149" s="14"/>
      <c r="M149" s="49" t="s">
        <v>27</v>
      </c>
      <c r="N149" s="8" t="s">
        <v>75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30" t="str">
        <f>IFERROR(S149/P149,"-")</f>
        <v>-</v>
      </c>
    </row>
    <row r="150" spans="2:20" ht="18.75" x14ac:dyDescent="0.3">
      <c r="B150" s="8"/>
      <c r="C150" s="8"/>
      <c r="D150" s="8" t="s">
        <v>90</v>
      </c>
      <c r="E150" s="18">
        <v>60000</v>
      </c>
      <c r="F150" s="19">
        <v>135000</v>
      </c>
      <c r="G150" s="19">
        <v>41400</v>
      </c>
      <c r="H150" s="19">
        <v>27890.25</v>
      </c>
      <c r="I150" s="19">
        <v>13509.75</v>
      </c>
      <c r="J150" s="9">
        <v>0.10007222222222223</v>
      </c>
      <c r="L150" s="14"/>
      <c r="M150" s="49"/>
      <c r="N150" s="8" t="s">
        <v>90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30" t="str">
        <f>IFERROR(S150/P150,"-")</f>
        <v>-</v>
      </c>
    </row>
    <row r="151" spans="2:20" ht="18.75" x14ac:dyDescent="0.3">
      <c r="B151" s="8"/>
      <c r="C151" s="8" t="s">
        <v>28</v>
      </c>
      <c r="D151" s="8" t="s">
        <v>57</v>
      </c>
      <c r="E151" s="18">
        <v>56200</v>
      </c>
      <c r="F151" s="19">
        <v>165790</v>
      </c>
      <c r="G151" s="19">
        <v>61820</v>
      </c>
      <c r="H151" s="19">
        <v>38891.160000000003</v>
      </c>
      <c r="I151" s="19">
        <v>22928.839999999997</v>
      </c>
      <c r="J151" s="9">
        <v>0.1383005006333313</v>
      </c>
      <c r="L151" s="14"/>
      <c r="M151" s="49" t="s">
        <v>28</v>
      </c>
      <c r="N151" s="8" t="s">
        <v>57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30" t="str">
        <f>IFERROR(S151/P151,"-")</f>
        <v>-</v>
      </c>
    </row>
    <row r="152" spans="2:20" ht="18.75" x14ac:dyDescent="0.3">
      <c r="B152" s="8"/>
      <c r="C152" s="8"/>
      <c r="D152" s="8" t="s">
        <v>61</v>
      </c>
      <c r="E152" s="18">
        <v>78300</v>
      </c>
      <c r="F152" s="19">
        <v>78849.600000000006</v>
      </c>
      <c r="G152" s="19">
        <v>32454</v>
      </c>
      <c r="H152" s="19">
        <v>51518.16</v>
      </c>
      <c r="I152" s="19">
        <v>-19064.160000000003</v>
      </c>
      <c r="J152" s="9">
        <v>-0.24177877883971513</v>
      </c>
      <c r="L152" s="14"/>
      <c r="M152" s="49"/>
      <c r="N152" s="8" t="s">
        <v>61</v>
      </c>
      <c r="O152" s="26">
        <v>252440</v>
      </c>
      <c r="P152" s="27">
        <v>365869.99000000005</v>
      </c>
      <c r="Q152" s="27">
        <v>114030</v>
      </c>
      <c r="R152" s="27">
        <v>87216</v>
      </c>
      <c r="S152" s="27">
        <v>26814</v>
      </c>
      <c r="T152" s="30">
        <f>IFERROR(S152/P152,"-")</f>
        <v>7.3288328457876514E-2</v>
      </c>
    </row>
    <row r="153" spans="2:20" ht="18.75" x14ac:dyDescent="0.3">
      <c r="B153" s="8"/>
      <c r="C153" s="8"/>
      <c r="D153" s="8" t="s">
        <v>88</v>
      </c>
      <c r="E153" s="18">
        <v>17200</v>
      </c>
      <c r="F153" s="19">
        <v>42385.71428571429</v>
      </c>
      <c r="G153" s="19">
        <v>11868</v>
      </c>
      <c r="H153" s="19">
        <v>12121.92</v>
      </c>
      <c r="I153" s="19">
        <v>-253.92000000000007</v>
      </c>
      <c r="J153" s="9">
        <v>-5.9906976744186057E-3</v>
      </c>
      <c r="L153" s="14"/>
      <c r="M153" s="49"/>
      <c r="N153" s="8" t="s">
        <v>88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30" t="str">
        <f>IFERROR(S153/P153,"-")</f>
        <v>-</v>
      </c>
    </row>
    <row r="154" spans="2:20" ht="18.75" x14ac:dyDescent="0.3">
      <c r="B154" s="8"/>
      <c r="C154" s="8"/>
      <c r="D154" s="8" t="s">
        <v>72</v>
      </c>
      <c r="E154" s="18">
        <v>14800</v>
      </c>
      <c r="F154" s="19">
        <v>91020</v>
      </c>
      <c r="G154" s="19">
        <v>29600</v>
      </c>
      <c r="H154" s="19">
        <v>11111.76</v>
      </c>
      <c r="I154" s="19">
        <v>18488.239999999998</v>
      </c>
      <c r="J154" s="9">
        <v>0.20312283014722038</v>
      </c>
      <c r="L154" s="14"/>
      <c r="M154" s="49"/>
      <c r="N154" s="8" t="s">
        <v>72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30" t="str">
        <f>IFERROR(S154/P154,"-")</f>
        <v>-</v>
      </c>
    </row>
    <row r="155" spans="2:20" ht="18.75" x14ac:dyDescent="0.3">
      <c r="B155" s="8" t="s">
        <v>41</v>
      </c>
      <c r="C155" s="8"/>
      <c r="D155" s="8"/>
      <c r="E155" s="18">
        <v>1108938</v>
      </c>
      <c r="F155" s="19">
        <v>2612681.9868412698</v>
      </c>
      <c r="G155" s="19">
        <v>1045703.2333333334</v>
      </c>
      <c r="H155" s="19">
        <v>865300.00000000012</v>
      </c>
      <c r="I155" s="19">
        <v>180403.23333333328</v>
      </c>
      <c r="J155" s="9">
        <v>6.9049059258620551E-2</v>
      </c>
      <c r="L155" s="15" t="s">
        <v>41</v>
      </c>
      <c r="M155" s="25"/>
      <c r="N155" s="25"/>
      <c r="O155" s="31">
        <v>252440</v>
      </c>
      <c r="P155" s="32">
        <v>365869.99000000005</v>
      </c>
      <c r="Q155" s="32">
        <v>114030</v>
      </c>
      <c r="R155" s="32">
        <v>87216</v>
      </c>
      <c r="S155" s="32">
        <v>26814</v>
      </c>
      <c r="T155" s="33">
        <v>7.3288328457876514E-2</v>
      </c>
    </row>
    <row r="156" spans="2:20" ht="18.75" x14ac:dyDescent="0.3">
      <c r="B156" s="8" t="s">
        <v>42</v>
      </c>
      <c r="C156" s="8" t="s">
        <v>4</v>
      </c>
      <c r="D156" s="8" t="s">
        <v>58</v>
      </c>
      <c r="E156" s="18">
        <v>24960</v>
      </c>
      <c r="F156" s="19">
        <v>144660.1</v>
      </c>
      <c r="G156" s="19">
        <v>64870</v>
      </c>
      <c r="H156" s="19">
        <v>46437</v>
      </c>
      <c r="I156" s="19">
        <v>18433</v>
      </c>
      <c r="J156" s="9">
        <v>0.12742283463097287</v>
      </c>
      <c r="L156" s="14" t="s">
        <v>42</v>
      </c>
      <c r="M156" s="49" t="s">
        <v>4</v>
      </c>
      <c r="N156" s="8" t="s">
        <v>58</v>
      </c>
      <c r="O156" s="26">
        <v>14986</v>
      </c>
      <c r="P156" s="27">
        <v>32196.099999999995</v>
      </c>
      <c r="Q156" s="27">
        <v>29570</v>
      </c>
      <c r="R156" s="27">
        <v>30491</v>
      </c>
      <c r="S156" s="28">
        <v>-922</v>
      </c>
      <c r="T156" s="29">
        <f>IFERROR(S156/P156,"-")</f>
        <v>-2.8637008830262056E-2</v>
      </c>
    </row>
    <row r="157" spans="2:20" ht="18.75" x14ac:dyDescent="0.3">
      <c r="B157" s="8"/>
      <c r="C157" s="8" t="s">
        <v>23</v>
      </c>
      <c r="D157" s="8" t="s">
        <v>62</v>
      </c>
      <c r="E157" s="18">
        <v>11130</v>
      </c>
      <c r="F157" s="19">
        <v>106519.518</v>
      </c>
      <c r="G157" s="19">
        <v>47766.6</v>
      </c>
      <c r="H157" s="19">
        <v>34624.5</v>
      </c>
      <c r="I157" s="19">
        <v>13142.099999999999</v>
      </c>
      <c r="J157" s="9">
        <v>0.12337738892134302</v>
      </c>
      <c r="L157" s="14"/>
      <c r="M157" s="49" t="s">
        <v>23</v>
      </c>
      <c r="N157" s="8" t="s">
        <v>62</v>
      </c>
      <c r="O157" s="26">
        <v>17189</v>
      </c>
      <c r="P157" s="27">
        <v>161996.12000000002</v>
      </c>
      <c r="Q157" s="27">
        <v>52844</v>
      </c>
      <c r="R157" s="27">
        <v>48312</v>
      </c>
      <c r="S157" s="27">
        <v>4532</v>
      </c>
      <c r="T157" s="30">
        <f>IFERROR(S157/P157,"-")</f>
        <v>2.7975978683933908E-2</v>
      </c>
    </row>
    <row r="158" spans="2:20" ht="18.75" x14ac:dyDescent="0.3">
      <c r="B158" s="8"/>
      <c r="C158" s="8" t="s">
        <v>24</v>
      </c>
      <c r="D158" s="8" t="s">
        <v>75</v>
      </c>
      <c r="E158" s="18">
        <v>28000</v>
      </c>
      <c r="F158" s="19">
        <v>53200</v>
      </c>
      <c r="G158" s="19">
        <v>21280</v>
      </c>
      <c r="H158" s="19">
        <v>34993.5</v>
      </c>
      <c r="I158" s="19">
        <v>-13713.5</v>
      </c>
      <c r="J158" s="9">
        <v>-0.25777255639097746</v>
      </c>
      <c r="L158" s="14"/>
      <c r="M158" s="49" t="s">
        <v>24</v>
      </c>
      <c r="N158" s="8" t="s">
        <v>75</v>
      </c>
      <c r="O158" s="26">
        <v>0</v>
      </c>
      <c r="P158" s="26">
        <v>0</v>
      </c>
      <c r="Q158" s="26">
        <v>0</v>
      </c>
      <c r="R158" s="26">
        <v>0</v>
      </c>
      <c r="S158" s="26">
        <v>0</v>
      </c>
      <c r="T158" s="30" t="str">
        <f>IFERROR(S158/P158,"-")</f>
        <v>-</v>
      </c>
    </row>
    <row r="159" spans="2:20" ht="18.75" x14ac:dyDescent="0.3">
      <c r="B159" s="8"/>
      <c r="C159" s="8" t="s">
        <v>7</v>
      </c>
      <c r="D159" s="8" t="s">
        <v>64</v>
      </c>
      <c r="E159" s="18">
        <v>36400</v>
      </c>
      <c r="F159" s="19">
        <v>58604</v>
      </c>
      <c r="G159" s="19">
        <v>16016</v>
      </c>
      <c r="H159" s="19">
        <v>15479</v>
      </c>
      <c r="I159" s="19">
        <v>537</v>
      </c>
      <c r="J159" s="9">
        <v>9.1631970513958091E-3</v>
      </c>
      <c r="L159" s="14"/>
      <c r="M159" s="49" t="s">
        <v>7</v>
      </c>
      <c r="N159" s="8" t="s">
        <v>64</v>
      </c>
      <c r="O159" s="26">
        <v>1670</v>
      </c>
      <c r="P159" s="27">
        <v>12291.2</v>
      </c>
      <c r="Q159" s="27">
        <v>852</v>
      </c>
      <c r="R159" s="27">
        <v>1334</v>
      </c>
      <c r="S159" s="28">
        <v>-482</v>
      </c>
      <c r="T159" s="29">
        <f>IFERROR(S159/P159,"-")</f>
        <v>-3.9215048164540481E-2</v>
      </c>
    </row>
    <row r="160" spans="2:20" ht="18.75" x14ac:dyDescent="0.3">
      <c r="B160" s="8"/>
      <c r="C160" s="8"/>
      <c r="D160" s="8" t="s">
        <v>58</v>
      </c>
      <c r="E160" s="18">
        <v>42018</v>
      </c>
      <c r="F160" s="19">
        <v>95487.440400000007</v>
      </c>
      <c r="G160" s="19">
        <v>42819.479999999996</v>
      </c>
      <c r="H160" s="19">
        <v>38697.5</v>
      </c>
      <c r="I160" s="19">
        <v>4121.9799999999959</v>
      </c>
      <c r="J160" s="9">
        <v>4.31677714130035E-2</v>
      </c>
      <c r="L160" s="14"/>
      <c r="M160" s="49"/>
      <c r="N160" s="8" t="s">
        <v>58</v>
      </c>
      <c r="O160" s="26">
        <v>58408</v>
      </c>
      <c r="P160" s="27">
        <v>63472.250000000015</v>
      </c>
      <c r="Q160" s="27">
        <v>59078</v>
      </c>
      <c r="R160" s="27">
        <v>73942</v>
      </c>
      <c r="S160" s="28">
        <v>-14863</v>
      </c>
      <c r="T160" s="29">
        <f>IFERROR(S160/P160,"-")</f>
        <v>-0.23416532421648825</v>
      </c>
    </row>
    <row r="161" spans="2:20" ht="18.75" x14ac:dyDescent="0.3">
      <c r="B161" s="8"/>
      <c r="C161" s="8"/>
      <c r="D161" s="8" t="s">
        <v>73</v>
      </c>
      <c r="E161" s="18">
        <v>60840</v>
      </c>
      <c r="F161" s="19">
        <v>97952.400000000009</v>
      </c>
      <c r="G161" s="19">
        <v>28594.800000000003</v>
      </c>
      <c r="H161" s="19">
        <v>46437</v>
      </c>
      <c r="I161" s="19">
        <v>-17842.199999999997</v>
      </c>
      <c r="J161" s="9">
        <v>-0.18215173900792625</v>
      </c>
      <c r="L161" s="14"/>
      <c r="M161" s="49"/>
      <c r="N161" s="8" t="s">
        <v>73</v>
      </c>
      <c r="O161" s="26">
        <v>0</v>
      </c>
      <c r="P161" s="26">
        <v>0</v>
      </c>
      <c r="Q161" s="26">
        <v>0</v>
      </c>
      <c r="R161" s="26">
        <v>0</v>
      </c>
      <c r="S161" s="26">
        <v>0</v>
      </c>
      <c r="T161" s="30" t="str">
        <f>IFERROR(S161/P161,"-")</f>
        <v>-</v>
      </c>
    </row>
    <row r="162" spans="2:20" ht="18.75" x14ac:dyDescent="0.3">
      <c r="B162" s="8"/>
      <c r="C162" s="8" t="s">
        <v>25</v>
      </c>
      <c r="D162" s="8" t="s">
        <v>75</v>
      </c>
      <c r="E162" s="18">
        <v>240000</v>
      </c>
      <c r="F162" s="19">
        <v>456000</v>
      </c>
      <c r="G162" s="19">
        <v>182400</v>
      </c>
      <c r="H162" s="19">
        <v>110577</v>
      </c>
      <c r="I162" s="19">
        <v>71823</v>
      </c>
      <c r="J162" s="9">
        <v>0.15750657894736841</v>
      </c>
      <c r="L162" s="14"/>
      <c r="M162" s="49" t="s">
        <v>25</v>
      </c>
      <c r="N162" s="8" t="s">
        <v>75</v>
      </c>
      <c r="O162" s="26">
        <v>0</v>
      </c>
      <c r="P162" s="26">
        <v>0</v>
      </c>
      <c r="Q162" s="26">
        <v>0</v>
      </c>
      <c r="R162" s="26">
        <v>0</v>
      </c>
      <c r="S162" s="26">
        <v>0</v>
      </c>
      <c r="T162" s="30" t="str">
        <f>IFERROR(S162/P162,"-")</f>
        <v>-</v>
      </c>
    </row>
    <row r="163" spans="2:20" ht="18.75" x14ac:dyDescent="0.3">
      <c r="B163" s="8"/>
      <c r="C163" s="8" t="s">
        <v>26</v>
      </c>
      <c r="D163" s="8" t="s">
        <v>75</v>
      </c>
      <c r="E163" s="18">
        <v>17600</v>
      </c>
      <c r="F163" s="19">
        <v>39248</v>
      </c>
      <c r="G163" s="19">
        <v>17600</v>
      </c>
      <c r="H163" s="19">
        <v>22837</v>
      </c>
      <c r="I163" s="19">
        <v>-5237</v>
      </c>
      <c r="J163" s="9">
        <v>-0.13343355075417856</v>
      </c>
      <c r="L163" s="14"/>
      <c r="M163" s="49" t="s">
        <v>26</v>
      </c>
      <c r="N163" s="8" t="s">
        <v>75</v>
      </c>
      <c r="O163" s="26">
        <v>0</v>
      </c>
      <c r="P163" s="26">
        <v>0</v>
      </c>
      <c r="Q163" s="26">
        <v>0</v>
      </c>
      <c r="R163" s="26">
        <v>0</v>
      </c>
      <c r="S163" s="26">
        <v>0</v>
      </c>
      <c r="T163" s="30" t="str">
        <f>IFERROR(S163/P163,"-")</f>
        <v>-</v>
      </c>
    </row>
    <row r="164" spans="2:20" ht="18.75" x14ac:dyDescent="0.3">
      <c r="B164" s="8"/>
      <c r="C164" s="8"/>
      <c r="D164" s="8" t="s">
        <v>86</v>
      </c>
      <c r="E164" s="18">
        <v>7040</v>
      </c>
      <c r="F164" s="19">
        <v>179284.864</v>
      </c>
      <c r="G164" s="19">
        <v>80396.800000000003</v>
      </c>
      <c r="H164" s="19">
        <v>45674</v>
      </c>
      <c r="I164" s="19">
        <v>34722.800000000003</v>
      </c>
      <c r="J164" s="9">
        <v>0.193673906571388</v>
      </c>
      <c r="L164" s="14"/>
      <c r="M164" s="49"/>
      <c r="N164" s="8" t="s">
        <v>86</v>
      </c>
      <c r="O164" s="26">
        <v>0</v>
      </c>
      <c r="P164" s="26">
        <v>0</v>
      </c>
      <c r="Q164" s="26">
        <v>0</v>
      </c>
      <c r="R164" s="26">
        <v>0</v>
      </c>
      <c r="S164" s="26">
        <v>0</v>
      </c>
      <c r="T164" s="30" t="str">
        <f>IFERROR(S164/P164,"-")</f>
        <v>-</v>
      </c>
    </row>
    <row r="165" spans="2:20" ht="18.75" x14ac:dyDescent="0.3">
      <c r="B165" s="8"/>
      <c r="C165" s="8"/>
      <c r="D165" s="8" t="s">
        <v>65</v>
      </c>
      <c r="E165" s="18">
        <v>41454</v>
      </c>
      <c r="F165" s="19">
        <v>209113.79</v>
      </c>
      <c r="G165" s="19">
        <v>93773</v>
      </c>
      <c r="H165" s="19">
        <v>91348</v>
      </c>
      <c r="I165" s="19">
        <v>2425</v>
      </c>
      <c r="J165" s="9">
        <v>1.1596557070674297E-2</v>
      </c>
      <c r="L165" s="14"/>
      <c r="M165" s="49"/>
      <c r="N165" s="8" t="s">
        <v>65</v>
      </c>
      <c r="O165" s="26">
        <v>0</v>
      </c>
      <c r="P165" s="26">
        <v>0</v>
      </c>
      <c r="Q165" s="26">
        <v>0</v>
      </c>
      <c r="R165" s="26">
        <v>0</v>
      </c>
      <c r="S165" s="26">
        <v>0</v>
      </c>
      <c r="T165" s="30" t="str">
        <f>IFERROR(S165/P165,"-")</f>
        <v>-</v>
      </c>
    </row>
    <row r="166" spans="2:20" ht="18.75" x14ac:dyDescent="0.3">
      <c r="B166" s="8"/>
      <c r="C166" s="8"/>
      <c r="D166" s="8" t="s">
        <v>90</v>
      </c>
      <c r="E166" s="18">
        <v>17600</v>
      </c>
      <c r="F166" s="19">
        <v>48791.111111111109</v>
      </c>
      <c r="G166" s="19">
        <v>19418.666666666664</v>
      </c>
      <c r="H166" s="19">
        <v>22837</v>
      </c>
      <c r="I166" s="19">
        <v>-3418.3333333333358</v>
      </c>
      <c r="J166" s="9">
        <v>-7.0060575696848287E-2</v>
      </c>
      <c r="L166" s="14"/>
      <c r="M166" s="49"/>
      <c r="N166" s="8" t="s">
        <v>90</v>
      </c>
      <c r="O166" s="26">
        <v>0</v>
      </c>
      <c r="P166" s="26">
        <v>0</v>
      </c>
      <c r="Q166" s="26">
        <v>0</v>
      </c>
      <c r="R166" s="26">
        <v>0</v>
      </c>
      <c r="S166" s="26">
        <v>0</v>
      </c>
      <c r="T166" s="30" t="str">
        <f>IFERROR(S166/P166,"-")</f>
        <v>-</v>
      </c>
    </row>
    <row r="167" spans="2:20" ht="18.75" x14ac:dyDescent="0.3">
      <c r="B167" s="8"/>
      <c r="C167" s="8" t="s">
        <v>27</v>
      </c>
      <c r="D167" s="8" t="s">
        <v>75</v>
      </c>
      <c r="E167" s="18">
        <v>484000</v>
      </c>
      <c r="F167" s="19">
        <v>919600</v>
      </c>
      <c r="G167" s="19">
        <v>367840</v>
      </c>
      <c r="H167" s="19">
        <v>241715.5</v>
      </c>
      <c r="I167" s="19">
        <v>126124.5</v>
      </c>
      <c r="J167" s="9">
        <v>0.13715147890387125</v>
      </c>
      <c r="L167" s="14"/>
      <c r="M167" s="49" t="s">
        <v>27</v>
      </c>
      <c r="N167" s="8" t="s">
        <v>75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30" t="str">
        <f>IFERROR(S167/P167,"-")</f>
        <v>-</v>
      </c>
    </row>
    <row r="168" spans="2:20" ht="18.75" x14ac:dyDescent="0.3">
      <c r="B168" s="8"/>
      <c r="C168" s="8" t="s">
        <v>28</v>
      </c>
      <c r="D168" s="8" t="s">
        <v>61</v>
      </c>
      <c r="E168" s="18">
        <v>218800</v>
      </c>
      <c r="F168" s="19">
        <v>236596.79999999996</v>
      </c>
      <c r="G168" s="19">
        <v>96590</v>
      </c>
      <c r="H168" s="19">
        <v>94216.846153846127</v>
      </c>
      <c r="I168" s="19">
        <v>2373.153846153873</v>
      </c>
      <c r="J168" s="9">
        <v>1.0030371696294596E-2</v>
      </c>
      <c r="L168" s="14"/>
      <c r="M168" s="49" t="s">
        <v>28</v>
      </c>
      <c r="N168" s="8" t="s">
        <v>61</v>
      </c>
      <c r="O168" s="26">
        <v>230783</v>
      </c>
      <c r="P168" s="27">
        <v>295964.48000000004</v>
      </c>
      <c r="Q168" s="27">
        <v>89114</v>
      </c>
      <c r="R168" s="27">
        <v>81133</v>
      </c>
      <c r="S168" s="27">
        <v>7981</v>
      </c>
      <c r="T168" s="30">
        <f>IFERROR(S168/P168,"-")</f>
        <v>2.6966073766689837E-2</v>
      </c>
    </row>
    <row r="169" spans="2:20" ht="18.75" x14ac:dyDescent="0.3">
      <c r="B169" s="8"/>
      <c r="C169" s="8"/>
      <c r="D169" s="8" t="s">
        <v>88</v>
      </c>
      <c r="E169" s="18">
        <v>27700</v>
      </c>
      <c r="F169" s="19">
        <v>68260.71428571429</v>
      </c>
      <c r="G169" s="19">
        <v>19113</v>
      </c>
      <c r="H169" s="19">
        <v>19426.153846153844</v>
      </c>
      <c r="I169" s="19">
        <v>-313.15384615384392</v>
      </c>
      <c r="J169" s="9">
        <v>-4.587614551513435E-3</v>
      </c>
      <c r="L169" s="14"/>
      <c r="M169" s="49"/>
      <c r="N169" s="8" t="s">
        <v>88</v>
      </c>
      <c r="O169" s="26">
        <v>0</v>
      </c>
      <c r="P169" s="26">
        <v>0</v>
      </c>
      <c r="Q169" s="26">
        <v>0</v>
      </c>
      <c r="R169" s="26">
        <v>0</v>
      </c>
      <c r="S169" s="26">
        <v>0</v>
      </c>
      <c r="T169" s="30" t="str">
        <f>IFERROR(S169/P169,"-")</f>
        <v>-</v>
      </c>
    </row>
    <row r="170" spans="2:20" ht="18.75" x14ac:dyDescent="0.3">
      <c r="B170" s="8" t="s">
        <v>43</v>
      </c>
      <c r="C170" s="8"/>
      <c r="D170" s="8"/>
      <c r="E170" s="18">
        <v>1257542</v>
      </c>
      <c r="F170" s="19">
        <v>2713318.7377968249</v>
      </c>
      <c r="G170" s="19">
        <v>1098478.3466666667</v>
      </c>
      <c r="H170" s="19">
        <v>865300</v>
      </c>
      <c r="I170" s="19">
        <v>233178.3466666668</v>
      </c>
      <c r="J170" s="9">
        <v>8.5938427881128432E-2</v>
      </c>
      <c r="L170" s="15" t="s">
        <v>43</v>
      </c>
      <c r="M170" s="25"/>
      <c r="N170" s="25"/>
      <c r="O170" s="31">
        <v>230783</v>
      </c>
      <c r="P170" s="32">
        <v>295964.48000000004</v>
      </c>
      <c r="Q170" s="32">
        <v>89114</v>
      </c>
      <c r="R170" s="32">
        <v>81133</v>
      </c>
      <c r="S170" s="32">
        <v>7981</v>
      </c>
      <c r="T170" s="33">
        <v>2.6966073766689837E-2</v>
      </c>
    </row>
    <row r="171" spans="2:20" ht="18.75" x14ac:dyDescent="0.3">
      <c r="B171" s="8" t="s">
        <v>44</v>
      </c>
      <c r="C171" s="8" t="s">
        <v>4</v>
      </c>
      <c r="D171" s="8" t="s">
        <v>58</v>
      </c>
      <c r="E171" s="18">
        <v>24000</v>
      </c>
      <c r="F171" s="19">
        <v>139096.25</v>
      </c>
      <c r="G171" s="19">
        <v>62375</v>
      </c>
      <c r="H171" s="19">
        <v>46437</v>
      </c>
      <c r="I171" s="19">
        <v>15938</v>
      </c>
      <c r="J171" s="9">
        <v>0.11458252828527009</v>
      </c>
      <c r="L171" s="14" t="s">
        <v>44</v>
      </c>
      <c r="M171" s="49" t="s">
        <v>4</v>
      </c>
      <c r="N171" s="8" t="s">
        <v>58</v>
      </c>
      <c r="O171" s="26">
        <v>13558</v>
      </c>
      <c r="P171" s="27">
        <v>43412.66</v>
      </c>
      <c r="Q171" s="27">
        <v>40324</v>
      </c>
      <c r="R171" s="27">
        <v>43127</v>
      </c>
      <c r="S171" s="28">
        <v>-2803</v>
      </c>
      <c r="T171" s="29">
        <f>IFERROR(S171/P171,"-")</f>
        <v>-6.4566419104473208E-2</v>
      </c>
    </row>
    <row r="172" spans="2:20" ht="18.75" x14ac:dyDescent="0.3">
      <c r="B172" s="8"/>
      <c r="C172" s="8" t="s">
        <v>23</v>
      </c>
      <c r="D172" s="8" t="s">
        <v>62</v>
      </c>
      <c r="E172" s="18">
        <v>11120</v>
      </c>
      <c r="F172" s="19">
        <v>106594</v>
      </c>
      <c r="G172" s="19">
        <v>47800</v>
      </c>
      <c r="H172" s="19">
        <v>34624.5</v>
      </c>
      <c r="I172" s="19">
        <v>13175.5</v>
      </c>
      <c r="J172" s="9">
        <v>0.12360451807794059</v>
      </c>
      <c r="L172" s="14"/>
      <c r="M172" s="49" t="s">
        <v>23</v>
      </c>
      <c r="N172" s="8" t="s">
        <v>62</v>
      </c>
      <c r="O172" s="26">
        <v>15532</v>
      </c>
      <c r="P172" s="27">
        <v>138506.43999999992</v>
      </c>
      <c r="Q172" s="27">
        <v>46837</v>
      </c>
      <c r="R172" s="27">
        <v>47440</v>
      </c>
      <c r="S172" s="28">
        <v>-603</v>
      </c>
      <c r="T172" s="29">
        <f>IFERROR(S172/P172,"-")</f>
        <v>-4.3535881797265195E-3</v>
      </c>
    </row>
    <row r="173" spans="2:20" ht="18.75" x14ac:dyDescent="0.3">
      <c r="B173" s="8"/>
      <c r="C173" s="8" t="s">
        <v>24</v>
      </c>
      <c r="D173" s="8" t="s">
        <v>75</v>
      </c>
      <c r="E173" s="18">
        <v>28000</v>
      </c>
      <c r="F173" s="19">
        <v>53200</v>
      </c>
      <c r="G173" s="19">
        <v>21280</v>
      </c>
      <c r="H173" s="19">
        <v>34993.5</v>
      </c>
      <c r="I173" s="19">
        <v>-13713.5</v>
      </c>
      <c r="J173" s="9">
        <v>-0.25777255639097746</v>
      </c>
      <c r="L173" s="14"/>
      <c r="M173" s="49" t="s">
        <v>24</v>
      </c>
      <c r="N173" s="8" t="s">
        <v>75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30" t="str">
        <f>IFERROR(S173/P173,"-")</f>
        <v>-</v>
      </c>
    </row>
    <row r="174" spans="2:20" ht="18.75" x14ac:dyDescent="0.3">
      <c r="B174" s="8"/>
      <c r="C174" s="8" t="s">
        <v>7</v>
      </c>
      <c r="D174" s="8" t="s">
        <v>64</v>
      </c>
      <c r="E174" s="18">
        <v>133750</v>
      </c>
      <c r="F174" s="19">
        <v>215337.5</v>
      </c>
      <c r="G174" s="19">
        <v>58850</v>
      </c>
      <c r="H174" s="19">
        <v>61916</v>
      </c>
      <c r="I174" s="19">
        <v>-3066</v>
      </c>
      <c r="J174" s="9">
        <v>-1.423811458756603E-2</v>
      </c>
      <c r="L174" s="14"/>
      <c r="M174" s="49" t="s">
        <v>7</v>
      </c>
      <c r="N174" s="8" t="s">
        <v>64</v>
      </c>
      <c r="O174" s="26">
        <v>71699</v>
      </c>
      <c r="P174" s="27">
        <v>526627.92999999993</v>
      </c>
      <c r="Q174" s="27">
        <v>35943</v>
      </c>
      <c r="R174" s="27">
        <v>42834</v>
      </c>
      <c r="S174" s="28">
        <v>-6891</v>
      </c>
      <c r="T174" s="29">
        <f>IFERROR(S174/P174,"-")</f>
        <v>-1.3085139635491799E-2</v>
      </c>
    </row>
    <row r="175" spans="2:20" ht="18.75" x14ac:dyDescent="0.3">
      <c r="B175" s="8"/>
      <c r="C175" s="8"/>
      <c r="D175" s="8" t="s">
        <v>58</v>
      </c>
      <c r="E175" s="18">
        <v>40155</v>
      </c>
      <c r="F175" s="19">
        <v>90790.659</v>
      </c>
      <c r="G175" s="19">
        <v>40713.300000000003</v>
      </c>
      <c r="H175" s="19">
        <v>38697.5</v>
      </c>
      <c r="I175" s="19">
        <v>2015.8000000000029</v>
      </c>
      <c r="J175" s="9">
        <v>2.2202724621703682E-2</v>
      </c>
      <c r="L175" s="14"/>
      <c r="M175" s="49"/>
      <c r="N175" s="8" t="s">
        <v>58</v>
      </c>
      <c r="O175" s="26">
        <v>30208</v>
      </c>
      <c r="P175" s="27">
        <v>24120.22</v>
      </c>
      <c r="Q175" s="27">
        <v>22712</v>
      </c>
      <c r="R175" s="27">
        <v>26491</v>
      </c>
      <c r="S175" s="28">
        <v>-3779</v>
      </c>
      <c r="T175" s="29">
        <f>IFERROR(S175/P175,"-")</f>
        <v>-0.15667352951175403</v>
      </c>
    </row>
    <row r="176" spans="2:20" ht="18.75" x14ac:dyDescent="0.3">
      <c r="B176" s="8"/>
      <c r="C176" s="8" t="s">
        <v>25</v>
      </c>
      <c r="D176" s="8" t="s">
        <v>75</v>
      </c>
      <c r="E176" s="18">
        <v>240000</v>
      </c>
      <c r="F176" s="19">
        <v>456000</v>
      </c>
      <c r="G176" s="19">
        <v>182400</v>
      </c>
      <c r="H176" s="19">
        <v>110577</v>
      </c>
      <c r="I176" s="19">
        <v>71823</v>
      </c>
      <c r="J176" s="9">
        <v>0.15750657894736841</v>
      </c>
      <c r="L176" s="14"/>
      <c r="M176" s="49" t="s">
        <v>25</v>
      </c>
      <c r="N176" s="8" t="s">
        <v>75</v>
      </c>
      <c r="O176" s="26">
        <v>0</v>
      </c>
      <c r="P176" s="26">
        <v>0</v>
      </c>
      <c r="Q176" s="26">
        <v>0</v>
      </c>
      <c r="R176" s="26">
        <v>0</v>
      </c>
      <c r="S176" s="26">
        <v>0</v>
      </c>
      <c r="T176" s="30" t="str">
        <f>IFERROR(S176/P176,"-")</f>
        <v>-</v>
      </c>
    </row>
    <row r="177" spans="2:20" ht="18.75" x14ac:dyDescent="0.3">
      <c r="B177" s="8"/>
      <c r="C177" s="8" t="s">
        <v>26</v>
      </c>
      <c r="D177" s="8" t="s">
        <v>75</v>
      </c>
      <c r="E177" s="18">
        <v>16000</v>
      </c>
      <c r="F177" s="19">
        <v>35680</v>
      </c>
      <c r="G177" s="19">
        <v>16000</v>
      </c>
      <c r="H177" s="19">
        <v>22837</v>
      </c>
      <c r="I177" s="19">
        <v>-6837</v>
      </c>
      <c r="J177" s="9">
        <v>-0.19161995515695068</v>
      </c>
      <c r="L177" s="14"/>
      <c r="M177" s="49" t="s">
        <v>26</v>
      </c>
      <c r="N177" s="8" t="s">
        <v>75</v>
      </c>
      <c r="O177" s="26">
        <v>0</v>
      </c>
      <c r="P177" s="26">
        <v>0</v>
      </c>
      <c r="Q177" s="26">
        <v>0</v>
      </c>
      <c r="R177" s="26">
        <v>0</v>
      </c>
      <c r="S177" s="26">
        <v>0</v>
      </c>
      <c r="T177" s="30" t="str">
        <f>IFERROR(S177/P177,"-")</f>
        <v>-</v>
      </c>
    </row>
    <row r="178" spans="2:20" ht="18.75" x14ac:dyDescent="0.3">
      <c r="B178" s="8"/>
      <c r="C178" s="8"/>
      <c r="D178" s="8" t="s">
        <v>76</v>
      </c>
      <c r="E178" s="18">
        <v>4000</v>
      </c>
      <c r="F178" s="19">
        <v>47097.599999999999</v>
      </c>
      <c r="G178" s="19">
        <v>21120</v>
      </c>
      <c r="H178" s="19">
        <v>22837</v>
      </c>
      <c r="I178" s="19">
        <v>-1717</v>
      </c>
      <c r="J178" s="9">
        <v>-3.6456210082891696E-2</v>
      </c>
      <c r="L178" s="14"/>
      <c r="M178" s="49"/>
      <c r="N178" s="8" t="s">
        <v>76</v>
      </c>
      <c r="O178" s="26">
        <v>0</v>
      </c>
      <c r="P178" s="26">
        <v>0</v>
      </c>
      <c r="Q178" s="26">
        <v>0</v>
      </c>
      <c r="R178" s="26">
        <v>0</v>
      </c>
      <c r="S178" s="26">
        <v>0</v>
      </c>
      <c r="T178" s="30" t="str">
        <f>IFERROR(S178/P178,"-")</f>
        <v>-</v>
      </c>
    </row>
    <row r="179" spans="2:20" ht="18.75" x14ac:dyDescent="0.3">
      <c r="B179" s="8"/>
      <c r="C179" s="8"/>
      <c r="D179" s="8" t="s">
        <v>86</v>
      </c>
      <c r="E179" s="18">
        <v>6400</v>
      </c>
      <c r="F179" s="19">
        <v>162986.23999999999</v>
      </c>
      <c r="G179" s="19">
        <v>73088</v>
      </c>
      <c r="H179" s="19">
        <v>45674</v>
      </c>
      <c r="I179" s="19">
        <v>27414</v>
      </c>
      <c r="J179" s="9">
        <v>0.16819824790117252</v>
      </c>
      <c r="L179" s="14"/>
      <c r="M179" s="49"/>
      <c r="N179" s="8" t="s">
        <v>86</v>
      </c>
      <c r="O179" s="26">
        <v>0</v>
      </c>
      <c r="P179" s="26">
        <v>0</v>
      </c>
      <c r="Q179" s="26">
        <v>0</v>
      </c>
      <c r="R179" s="26">
        <v>0</v>
      </c>
      <c r="S179" s="26">
        <v>0</v>
      </c>
      <c r="T179" s="30" t="str">
        <f>IFERROR(S179/P179,"-")</f>
        <v>-</v>
      </c>
    </row>
    <row r="180" spans="2:20" ht="18.75" x14ac:dyDescent="0.3">
      <c r="B180" s="8"/>
      <c r="C180" s="8"/>
      <c r="D180" s="8" t="s">
        <v>65</v>
      </c>
      <c r="E180" s="18">
        <v>26400</v>
      </c>
      <c r="F180" s="19">
        <v>152353.60000000001</v>
      </c>
      <c r="G180" s="19">
        <v>68320</v>
      </c>
      <c r="H180" s="19">
        <v>68511</v>
      </c>
      <c r="I180" s="19">
        <v>-191</v>
      </c>
      <c r="J180" s="9">
        <v>-1.2536625324245701E-3</v>
      </c>
      <c r="L180" s="14"/>
      <c r="M180" s="49"/>
      <c r="N180" s="8" t="s">
        <v>65</v>
      </c>
      <c r="O180" s="26">
        <v>0</v>
      </c>
      <c r="P180" s="26">
        <v>0</v>
      </c>
      <c r="Q180" s="26">
        <v>0</v>
      </c>
      <c r="R180" s="26">
        <v>0</v>
      </c>
      <c r="S180" s="26">
        <v>0</v>
      </c>
      <c r="T180" s="30" t="str">
        <f>IFERROR(S180/P180,"-")</f>
        <v>-</v>
      </c>
    </row>
    <row r="181" spans="2:20" ht="18.75" x14ac:dyDescent="0.3">
      <c r="B181" s="8"/>
      <c r="C181" s="8"/>
      <c r="D181" s="8" t="s">
        <v>90</v>
      </c>
      <c r="E181" s="18">
        <v>16000</v>
      </c>
      <c r="F181" s="19">
        <v>44355.555555555555</v>
      </c>
      <c r="G181" s="19">
        <v>17653.333333333332</v>
      </c>
      <c r="H181" s="19">
        <v>22837</v>
      </c>
      <c r="I181" s="19">
        <v>-5183.6666666666679</v>
      </c>
      <c r="J181" s="9">
        <v>-0.11686623246492989</v>
      </c>
      <c r="L181" s="14"/>
      <c r="M181" s="49"/>
      <c r="N181" s="8" t="s">
        <v>90</v>
      </c>
      <c r="O181" s="26">
        <v>0</v>
      </c>
      <c r="P181" s="26">
        <v>0</v>
      </c>
      <c r="Q181" s="26">
        <v>0</v>
      </c>
      <c r="R181" s="26">
        <v>0</v>
      </c>
      <c r="S181" s="26">
        <v>0</v>
      </c>
      <c r="T181" s="30" t="str">
        <f>IFERROR(S181/P181,"-")</f>
        <v>-</v>
      </c>
    </row>
    <row r="182" spans="2:20" ht="18.75" x14ac:dyDescent="0.3">
      <c r="B182" s="8"/>
      <c r="C182" s="8" t="s">
        <v>27</v>
      </c>
      <c r="D182" s="8" t="s">
        <v>91</v>
      </c>
      <c r="E182" s="18"/>
      <c r="F182" s="19">
        <v>0</v>
      </c>
      <c r="G182" s="19">
        <v>0</v>
      </c>
      <c r="H182" s="19">
        <v>18593.5</v>
      </c>
      <c r="I182" s="19">
        <v>-18593.5</v>
      </c>
      <c r="J182" s="9" t="e">
        <v>#DIV/0!</v>
      </c>
      <c r="L182" s="14"/>
      <c r="M182" s="49" t="s">
        <v>27</v>
      </c>
      <c r="N182" s="8" t="s">
        <v>91</v>
      </c>
      <c r="O182" s="26">
        <v>0</v>
      </c>
      <c r="P182" s="26">
        <v>0</v>
      </c>
      <c r="Q182" s="26">
        <v>0</v>
      </c>
      <c r="R182" s="26">
        <v>0</v>
      </c>
      <c r="S182" s="26">
        <v>0</v>
      </c>
      <c r="T182" s="30" t="str">
        <f>IFERROR(S182/P182,"-")</f>
        <v>-</v>
      </c>
    </row>
    <row r="183" spans="2:20" ht="18.75" x14ac:dyDescent="0.3">
      <c r="B183" s="8"/>
      <c r="C183" s="8"/>
      <c r="D183" s="8" t="s">
        <v>75</v>
      </c>
      <c r="E183" s="18">
        <v>346904</v>
      </c>
      <c r="F183" s="19">
        <v>568922.56000000006</v>
      </c>
      <c r="G183" s="19">
        <v>263647.04000000004</v>
      </c>
      <c r="H183" s="19">
        <v>208247.2</v>
      </c>
      <c r="I183" s="19">
        <v>55399.840000000026</v>
      </c>
      <c r="J183" s="9">
        <v>9.7376767762558089E-2</v>
      </c>
      <c r="L183" s="14"/>
      <c r="M183" s="49"/>
      <c r="N183" s="8" t="s">
        <v>75</v>
      </c>
      <c r="O183" s="26">
        <v>0</v>
      </c>
      <c r="P183" s="26">
        <v>0</v>
      </c>
      <c r="Q183" s="26">
        <v>0</v>
      </c>
      <c r="R183" s="26">
        <v>0</v>
      </c>
      <c r="S183" s="26">
        <v>0</v>
      </c>
      <c r="T183" s="30" t="str">
        <f>IFERROR(S183/P183,"-")</f>
        <v>-</v>
      </c>
    </row>
    <row r="184" spans="2:20" ht="18.75" x14ac:dyDescent="0.3">
      <c r="B184" s="8"/>
      <c r="C184" s="8"/>
      <c r="D184" s="8" t="s">
        <v>92</v>
      </c>
      <c r="E184" s="18">
        <v>30000</v>
      </c>
      <c r="F184" s="19">
        <v>49200</v>
      </c>
      <c r="G184" s="19">
        <v>18000</v>
      </c>
      <c r="H184" s="19">
        <v>14874.8</v>
      </c>
      <c r="I184" s="19">
        <v>3125.2000000000007</v>
      </c>
      <c r="J184" s="9">
        <v>6.3520325203252043E-2</v>
      </c>
      <c r="L184" s="14"/>
      <c r="M184" s="49"/>
      <c r="N184" s="8" t="s">
        <v>92</v>
      </c>
      <c r="O184" s="26">
        <v>0</v>
      </c>
      <c r="P184" s="26">
        <v>0</v>
      </c>
      <c r="Q184" s="26">
        <v>0</v>
      </c>
      <c r="R184" s="26">
        <v>0</v>
      </c>
      <c r="S184" s="26">
        <v>0</v>
      </c>
      <c r="T184" s="30" t="str">
        <f>IFERROR(S184/P184,"-")</f>
        <v>-</v>
      </c>
    </row>
    <row r="185" spans="2:20" ht="18.75" x14ac:dyDescent="0.3">
      <c r="B185" s="8"/>
      <c r="C185" s="8" t="s">
        <v>28</v>
      </c>
      <c r="D185" s="8" t="s">
        <v>61</v>
      </c>
      <c r="E185" s="18">
        <v>257840</v>
      </c>
      <c r="F185" s="19">
        <v>235150.07999999999</v>
      </c>
      <c r="G185" s="19">
        <v>97979.199999999997</v>
      </c>
      <c r="H185" s="19">
        <v>96975.360000000001</v>
      </c>
      <c r="I185" s="19">
        <v>1003.8399999999965</v>
      </c>
      <c r="J185" s="9">
        <v>4.2689332701906649E-3</v>
      </c>
      <c r="L185" s="14"/>
      <c r="M185" s="49" t="s">
        <v>28</v>
      </c>
      <c r="N185" s="8" t="s">
        <v>61</v>
      </c>
      <c r="O185" s="26">
        <v>107098</v>
      </c>
      <c r="P185" s="27">
        <v>127437.32</v>
      </c>
      <c r="Q185" s="27">
        <v>45681</v>
      </c>
      <c r="R185" s="27">
        <v>57211</v>
      </c>
      <c r="S185" s="28">
        <v>-11530</v>
      </c>
      <c r="T185" s="29">
        <f>IFERROR(S185/P185,"-")</f>
        <v>-9.0475851187077683E-2</v>
      </c>
    </row>
    <row r="186" spans="2:20" ht="18.75" x14ac:dyDescent="0.3">
      <c r="B186" s="8"/>
      <c r="C186" s="8"/>
      <c r="D186" s="8" t="s">
        <v>88</v>
      </c>
      <c r="E186" s="18">
        <v>21800</v>
      </c>
      <c r="F186" s="19">
        <v>53721.42857142858</v>
      </c>
      <c r="G186" s="19">
        <v>15041.999999999998</v>
      </c>
      <c r="H186" s="19">
        <v>16667.64</v>
      </c>
      <c r="I186" s="19">
        <v>-1625.6400000000012</v>
      </c>
      <c r="J186" s="9">
        <v>-3.0260550458715615E-2</v>
      </c>
      <c r="L186" s="14"/>
      <c r="M186" s="49"/>
      <c r="N186" s="8" t="s">
        <v>88</v>
      </c>
      <c r="O186" s="26">
        <v>0</v>
      </c>
      <c r="P186" s="26">
        <v>0</v>
      </c>
      <c r="Q186" s="26">
        <v>0</v>
      </c>
      <c r="R186" s="26">
        <v>0</v>
      </c>
      <c r="S186" s="26">
        <v>0</v>
      </c>
      <c r="T186" s="30" t="str">
        <f>IFERROR(S186/P186,"-")</f>
        <v>-</v>
      </c>
    </row>
    <row r="187" spans="2:20" ht="18.75" x14ac:dyDescent="0.3">
      <c r="B187" s="8" t="s">
        <v>45</v>
      </c>
      <c r="C187" s="8"/>
      <c r="D187" s="8"/>
      <c r="E187" s="18">
        <v>1202369</v>
      </c>
      <c r="F187" s="19">
        <v>2410485.4731269847</v>
      </c>
      <c r="G187" s="19">
        <v>1004267.8733333334</v>
      </c>
      <c r="H187" s="19">
        <v>865300</v>
      </c>
      <c r="I187" s="19">
        <v>138967.87333333329</v>
      </c>
      <c r="J187" s="9">
        <v>5.7651404616456028E-2</v>
      </c>
      <c r="L187" s="15" t="s">
        <v>45</v>
      </c>
      <c r="M187" s="25"/>
      <c r="N187" s="25"/>
      <c r="O187" s="31">
        <v>107098</v>
      </c>
      <c r="P187" s="32">
        <v>127437.32</v>
      </c>
      <c r="Q187" s="32">
        <v>45681</v>
      </c>
      <c r="R187" s="32">
        <v>57211</v>
      </c>
      <c r="S187" s="34">
        <v>-11530</v>
      </c>
      <c r="T187" s="35">
        <v>-9.0475851187077683E-2</v>
      </c>
    </row>
    <row r="188" spans="2:20" ht="18.75" x14ac:dyDescent="0.3">
      <c r="B188" s="8" t="s">
        <v>46</v>
      </c>
      <c r="C188" s="8" t="s">
        <v>4</v>
      </c>
      <c r="D188" s="8" t="s">
        <v>58</v>
      </c>
      <c r="E188" s="18">
        <v>24960</v>
      </c>
      <c r="F188" s="19">
        <v>144660.1</v>
      </c>
      <c r="G188" s="19">
        <v>64870</v>
      </c>
      <c r="H188" s="19">
        <v>46437</v>
      </c>
      <c r="I188" s="19">
        <v>18433</v>
      </c>
      <c r="J188" s="9">
        <v>0.12742283463097287</v>
      </c>
      <c r="L188" s="14" t="s">
        <v>46</v>
      </c>
      <c r="M188" s="49" t="s">
        <v>4</v>
      </c>
      <c r="N188" s="8" t="s">
        <v>58</v>
      </c>
    </row>
    <row r="189" spans="2:20" ht="18.75" x14ac:dyDescent="0.3">
      <c r="B189" s="8"/>
      <c r="C189" s="8" t="s">
        <v>23</v>
      </c>
      <c r="D189" s="8" t="s">
        <v>62</v>
      </c>
      <c r="E189" s="18">
        <v>12592</v>
      </c>
      <c r="F189" s="19">
        <v>120866</v>
      </c>
      <c r="G189" s="19">
        <v>54200</v>
      </c>
      <c r="H189" s="19">
        <v>34624.5</v>
      </c>
      <c r="I189" s="19">
        <v>19575.5</v>
      </c>
      <c r="J189" s="9">
        <v>0.16196035278738438</v>
      </c>
      <c r="L189" s="14"/>
      <c r="M189" s="49" t="s">
        <v>23</v>
      </c>
      <c r="N189" s="8" t="s">
        <v>62</v>
      </c>
    </row>
    <row r="190" spans="2:20" ht="18.75" x14ac:dyDescent="0.3">
      <c r="B190" s="8"/>
      <c r="C190" s="8" t="s">
        <v>24</v>
      </c>
      <c r="D190" s="8" t="s">
        <v>75</v>
      </c>
      <c r="E190" s="18">
        <v>28000</v>
      </c>
      <c r="F190" s="19">
        <v>53200</v>
      </c>
      <c r="G190" s="19">
        <v>21280</v>
      </c>
      <c r="H190" s="19">
        <v>34993.5</v>
      </c>
      <c r="I190" s="19">
        <v>-13713.5</v>
      </c>
      <c r="J190" s="9">
        <v>-0.25777255639097746</v>
      </c>
      <c r="L190" s="14"/>
      <c r="M190" s="49" t="s">
        <v>24</v>
      </c>
      <c r="N190" s="8" t="s">
        <v>75</v>
      </c>
    </row>
    <row r="191" spans="2:20" ht="18.75" x14ac:dyDescent="0.3">
      <c r="B191" s="8"/>
      <c r="C191" s="8" t="s">
        <v>7</v>
      </c>
      <c r="D191" s="8" t="s">
        <v>64</v>
      </c>
      <c r="E191" s="18">
        <v>139100</v>
      </c>
      <c r="F191" s="19">
        <v>223951</v>
      </c>
      <c r="G191" s="19">
        <v>61204</v>
      </c>
      <c r="H191" s="19">
        <v>61916</v>
      </c>
      <c r="I191" s="19">
        <v>-712</v>
      </c>
      <c r="J191" s="9">
        <v>-3.179266893204317E-3</v>
      </c>
      <c r="L191" s="14"/>
      <c r="M191" s="49" t="s">
        <v>7</v>
      </c>
      <c r="N191" s="8" t="s">
        <v>64</v>
      </c>
    </row>
    <row r="192" spans="2:20" ht="18.75" x14ac:dyDescent="0.3">
      <c r="B192" s="8"/>
      <c r="C192" s="8"/>
      <c r="D192" s="8" t="s">
        <v>58</v>
      </c>
      <c r="E192" s="18">
        <v>42018</v>
      </c>
      <c r="F192" s="19">
        <v>95487.440400000007</v>
      </c>
      <c r="G192" s="19">
        <v>42819.479999999996</v>
      </c>
      <c r="H192" s="19">
        <v>38697.5</v>
      </c>
      <c r="I192" s="19">
        <v>4121.9799999999959</v>
      </c>
      <c r="J192" s="9">
        <v>4.31677714130035E-2</v>
      </c>
      <c r="L192" s="14"/>
      <c r="M192" s="49"/>
      <c r="N192" s="8" t="s">
        <v>58</v>
      </c>
    </row>
    <row r="193" spans="2:14" ht="18.75" x14ac:dyDescent="0.3">
      <c r="B193" s="8"/>
      <c r="C193" s="8" t="s">
        <v>25</v>
      </c>
      <c r="D193" s="8" t="s">
        <v>75</v>
      </c>
      <c r="E193" s="18">
        <v>240000</v>
      </c>
      <c r="F193" s="19">
        <v>456000</v>
      </c>
      <c r="G193" s="19">
        <v>182400</v>
      </c>
      <c r="H193" s="19">
        <v>110577</v>
      </c>
      <c r="I193" s="19">
        <v>71823</v>
      </c>
      <c r="J193" s="9">
        <v>0.15750657894736841</v>
      </c>
      <c r="L193" s="14"/>
      <c r="M193" s="49" t="s">
        <v>25</v>
      </c>
      <c r="N193" s="8" t="s">
        <v>75</v>
      </c>
    </row>
    <row r="194" spans="2:14" ht="18.75" x14ac:dyDescent="0.3">
      <c r="B194" s="8"/>
      <c r="C194" s="8" t="s">
        <v>26</v>
      </c>
      <c r="D194" s="8" t="s">
        <v>75</v>
      </c>
      <c r="E194" s="18">
        <v>35200</v>
      </c>
      <c r="F194" s="19">
        <v>78496</v>
      </c>
      <c r="G194" s="19">
        <v>35200</v>
      </c>
      <c r="H194" s="19">
        <v>45674</v>
      </c>
      <c r="I194" s="19">
        <v>-10474</v>
      </c>
      <c r="J194" s="9">
        <v>-0.13343355075417856</v>
      </c>
      <c r="L194" s="14"/>
      <c r="M194" s="49" t="s">
        <v>26</v>
      </c>
      <c r="N194" s="8" t="s">
        <v>75</v>
      </c>
    </row>
    <row r="195" spans="2:14" ht="18.75" x14ac:dyDescent="0.3">
      <c r="B195" s="8"/>
      <c r="C195" s="8"/>
      <c r="D195" s="8" t="s">
        <v>76</v>
      </c>
      <c r="E195" s="18">
        <v>5160</v>
      </c>
      <c r="F195" s="19">
        <v>60755.904000000002</v>
      </c>
      <c r="G195" s="19">
        <v>27244.800000000003</v>
      </c>
      <c r="H195" s="19">
        <v>22837</v>
      </c>
      <c r="I195" s="19">
        <v>4407.8000000000029</v>
      </c>
      <c r="J195" s="9">
        <v>7.2549327880957915E-2</v>
      </c>
      <c r="L195" s="14"/>
      <c r="M195" s="49"/>
      <c r="N195" s="8" t="s">
        <v>76</v>
      </c>
    </row>
    <row r="196" spans="2:14" ht="18.75" x14ac:dyDescent="0.3">
      <c r="B196" s="8"/>
      <c r="C196" s="8"/>
      <c r="D196" s="8" t="s">
        <v>86</v>
      </c>
      <c r="E196" s="18">
        <v>7040</v>
      </c>
      <c r="F196" s="19">
        <v>179284.864</v>
      </c>
      <c r="G196" s="19">
        <v>80396.800000000003</v>
      </c>
      <c r="H196" s="19">
        <v>45674</v>
      </c>
      <c r="I196" s="19">
        <v>34722.800000000003</v>
      </c>
      <c r="J196" s="9">
        <v>0.193673906571388</v>
      </c>
      <c r="L196" s="14"/>
      <c r="M196" s="49"/>
      <c r="N196" s="8" t="s">
        <v>86</v>
      </c>
    </row>
    <row r="197" spans="2:14" ht="18.75" x14ac:dyDescent="0.3">
      <c r="B197" s="8"/>
      <c r="C197" s="8"/>
      <c r="D197" s="8" t="s">
        <v>65</v>
      </c>
      <c r="E197" s="18">
        <v>17880</v>
      </c>
      <c r="F197" s="19">
        <v>176027.28</v>
      </c>
      <c r="G197" s="19">
        <v>78936</v>
      </c>
      <c r="H197" s="19">
        <v>68511</v>
      </c>
      <c r="I197" s="19">
        <v>10425</v>
      </c>
      <c r="J197" s="9">
        <v>5.9223774860351193E-2</v>
      </c>
      <c r="L197" s="14"/>
      <c r="M197" s="49"/>
      <c r="N197" s="8" t="s">
        <v>65</v>
      </c>
    </row>
    <row r="198" spans="2:14" ht="18.75" x14ac:dyDescent="0.3">
      <c r="B198" s="8"/>
      <c r="C198" s="8" t="s">
        <v>27</v>
      </c>
      <c r="D198" s="8" t="s">
        <v>91</v>
      </c>
      <c r="E198" s="18"/>
      <c r="F198" s="19">
        <v>0</v>
      </c>
      <c r="G198" s="19">
        <v>0</v>
      </c>
      <c r="H198" s="19">
        <v>18593.5</v>
      </c>
      <c r="I198" s="19">
        <v>-18593.5</v>
      </c>
      <c r="J198" s="9" t="e">
        <v>#DIV/0!</v>
      </c>
      <c r="L198" s="14"/>
      <c r="M198" s="49" t="s">
        <v>27</v>
      </c>
      <c r="N198" s="8" t="s">
        <v>91</v>
      </c>
    </row>
    <row r="199" spans="2:14" ht="18.75" x14ac:dyDescent="0.3">
      <c r="B199" s="8"/>
      <c r="C199" s="8"/>
      <c r="D199" s="8" t="s">
        <v>75</v>
      </c>
      <c r="E199" s="18">
        <v>410904</v>
      </c>
      <c r="F199" s="19">
        <v>780717.6</v>
      </c>
      <c r="G199" s="19">
        <v>312287.04000000004</v>
      </c>
      <c r="H199" s="19">
        <v>223122</v>
      </c>
      <c r="I199" s="19">
        <v>89165.040000000037</v>
      </c>
      <c r="J199" s="9">
        <v>0.11420908149118202</v>
      </c>
      <c r="L199" s="14"/>
      <c r="M199" s="49"/>
      <c r="N199" s="8" t="s">
        <v>75</v>
      </c>
    </row>
    <row r="200" spans="2:14" ht="18.75" x14ac:dyDescent="0.3">
      <c r="B200" s="8"/>
      <c r="C200" s="8" t="s">
        <v>28</v>
      </c>
      <c r="D200" s="8" t="s">
        <v>61</v>
      </c>
      <c r="E200" s="18">
        <v>274400</v>
      </c>
      <c r="F200" s="19">
        <v>250252.79999999999</v>
      </c>
      <c r="G200" s="19">
        <v>104272.00000000001</v>
      </c>
      <c r="H200" s="19">
        <v>93245.538461538468</v>
      </c>
      <c r="I200" s="19">
        <v>11026.461538461546</v>
      </c>
      <c r="J200" s="9">
        <v>4.406129137600677E-2</v>
      </c>
      <c r="L200" s="14"/>
      <c r="M200" s="49" t="s">
        <v>28</v>
      </c>
      <c r="N200" s="8" t="s">
        <v>61</v>
      </c>
    </row>
    <row r="201" spans="2:14" ht="18.75" x14ac:dyDescent="0.3">
      <c r="B201" s="8"/>
      <c r="C201" s="8"/>
      <c r="D201" s="8" t="s">
        <v>88</v>
      </c>
      <c r="E201" s="18">
        <v>11400</v>
      </c>
      <c r="F201" s="19">
        <v>28092.857142857145</v>
      </c>
      <c r="G201" s="19">
        <v>7865.9999999999991</v>
      </c>
      <c r="H201" s="19">
        <v>7284.8076923076924</v>
      </c>
      <c r="I201" s="19">
        <v>581.19230769230671</v>
      </c>
      <c r="J201" s="9">
        <v>2.0688259109311706E-2</v>
      </c>
      <c r="L201" s="14"/>
      <c r="M201" s="49"/>
      <c r="N201" s="8" t="s">
        <v>88</v>
      </c>
    </row>
    <row r="202" spans="2:14" ht="18.75" x14ac:dyDescent="0.3">
      <c r="B202" s="8"/>
      <c r="C202" s="8"/>
      <c r="D202" s="8" t="s">
        <v>72</v>
      </c>
      <c r="E202" s="18">
        <v>8080</v>
      </c>
      <c r="F202" s="19">
        <v>49692</v>
      </c>
      <c r="G202" s="19">
        <v>16160</v>
      </c>
      <c r="H202" s="19">
        <v>13112.653846153846</v>
      </c>
      <c r="I202" s="19">
        <v>3047.3461538461543</v>
      </c>
      <c r="J202" s="9">
        <v>6.1324683124972919E-2</v>
      </c>
      <c r="L202" s="14"/>
      <c r="M202" s="49"/>
      <c r="N202" s="8" t="s">
        <v>72</v>
      </c>
    </row>
    <row r="203" spans="2:14" ht="18.75" x14ac:dyDescent="0.3">
      <c r="B203" s="8" t="s">
        <v>47</v>
      </c>
      <c r="C203" s="8"/>
      <c r="D203" s="8"/>
      <c r="E203" s="18">
        <v>1256734</v>
      </c>
      <c r="F203" s="19">
        <v>2697483.845542857</v>
      </c>
      <c r="G203" s="19">
        <v>1089136.1200000001</v>
      </c>
      <c r="H203" s="19">
        <v>865300.00000000012</v>
      </c>
      <c r="I203" s="19">
        <v>223836.12000000011</v>
      </c>
      <c r="J203" s="9">
        <v>8.2979596103921832E-2</v>
      </c>
      <c r="L203" s="15" t="s">
        <v>47</v>
      </c>
      <c r="M203" s="15"/>
      <c r="N203" s="15"/>
    </row>
    <row r="204" spans="2:14" ht="18.75" x14ac:dyDescent="0.3">
      <c r="B204" s="8" t="s">
        <v>48</v>
      </c>
      <c r="C204" s="8" t="s">
        <v>4</v>
      </c>
      <c r="D204" s="8" t="s">
        <v>58</v>
      </c>
      <c r="E204" s="18">
        <v>24960</v>
      </c>
      <c r="F204" s="19">
        <v>144660.1</v>
      </c>
      <c r="G204" s="19">
        <v>64870</v>
      </c>
      <c r="H204" s="19">
        <v>46437</v>
      </c>
      <c r="I204" s="19">
        <v>18433</v>
      </c>
      <c r="J204" s="9">
        <v>0.12742283463097287</v>
      </c>
      <c r="L204" s="14" t="s">
        <v>48</v>
      </c>
      <c r="M204" s="49" t="s">
        <v>4</v>
      </c>
      <c r="N204" s="8" t="s">
        <v>58</v>
      </c>
    </row>
    <row r="205" spans="2:14" ht="18.75" x14ac:dyDescent="0.3">
      <c r="B205" s="8"/>
      <c r="C205" s="8" t="s">
        <v>23</v>
      </c>
      <c r="D205" s="8" t="s">
        <v>62</v>
      </c>
      <c r="E205" s="18">
        <v>12592</v>
      </c>
      <c r="F205" s="19">
        <v>120866</v>
      </c>
      <c r="G205" s="19">
        <v>54200</v>
      </c>
      <c r="H205" s="19">
        <v>34624.5</v>
      </c>
      <c r="I205" s="19">
        <v>19575.5</v>
      </c>
      <c r="J205" s="9">
        <v>0.16196035278738438</v>
      </c>
      <c r="L205" s="14"/>
      <c r="M205" s="49" t="s">
        <v>23</v>
      </c>
      <c r="N205" s="8" t="s">
        <v>62</v>
      </c>
    </row>
    <row r="206" spans="2:14" ht="18.75" x14ac:dyDescent="0.3">
      <c r="B206" s="8"/>
      <c r="C206" s="8" t="s">
        <v>24</v>
      </c>
      <c r="D206" s="8" t="s">
        <v>75</v>
      </c>
      <c r="E206" s="18">
        <v>28000</v>
      </c>
      <c r="F206" s="19">
        <v>53200</v>
      </c>
      <c r="G206" s="19">
        <v>21280</v>
      </c>
      <c r="H206" s="19">
        <v>34993.5</v>
      </c>
      <c r="I206" s="19">
        <v>-13713.5</v>
      </c>
      <c r="J206" s="9">
        <v>-0.25777255639097746</v>
      </c>
      <c r="L206" s="14"/>
      <c r="M206" s="49" t="s">
        <v>24</v>
      </c>
      <c r="N206" s="8" t="s">
        <v>75</v>
      </c>
    </row>
    <row r="207" spans="2:14" ht="18.75" x14ac:dyDescent="0.3">
      <c r="B207" s="8"/>
      <c r="C207" s="8" t="s">
        <v>7</v>
      </c>
      <c r="D207" s="8" t="s">
        <v>58</v>
      </c>
      <c r="E207" s="18">
        <v>42018</v>
      </c>
      <c r="F207" s="19">
        <v>92878.340400000001</v>
      </c>
      <c r="G207" s="19">
        <v>41649.479999999996</v>
      </c>
      <c r="H207" s="19">
        <v>38697.5</v>
      </c>
      <c r="I207" s="19">
        <v>2951.9799999999959</v>
      </c>
      <c r="J207" s="9">
        <v>3.1783298315696387E-2</v>
      </c>
      <c r="L207" s="14"/>
      <c r="M207" s="49" t="s">
        <v>7</v>
      </c>
      <c r="N207" s="8" t="s">
        <v>58</v>
      </c>
    </row>
    <row r="208" spans="2:14" ht="18.75" x14ac:dyDescent="0.3">
      <c r="B208" s="8"/>
      <c r="C208" s="8"/>
      <c r="D208" s="8" t="s">
        <v>73</v>
      </c>
      <c r="E208" s="18">
        <v>81120</v>
      </c>
      <c r="F208" s="19">
        <v>130603.20000000001</v>
      </c>
      <c r="G208" s="19">
        <v>38126.400000000001</v>
      </c>
      <c r="H208" s="19">
        <v>61916</v>
      </c>
      <c r="I208" s="19">
        <v>-23789.599999999999</v>
      </c>
      <c r="J208" s="9">
        <v>-0.18215173900792628</v>
      </c>
      <c r="L208" s="14"/>
      <c r="M208" s="49"/>
      <c r="N208" s="8" t="s">
        <v>73</v>
      </c>
    </row>
    <row r="209" spans="2:14" ht="18.75" x14ac:dyDescent="0.3">
      <c r="B209" s="8"/>
      <c r="C209" s="8" t="s">
        <v>25</v>
      </c>
      <c r="D209" s="8" t="s">
        <v>75</v>
      </c>
      <c r="E209" s="18">
        <v>240000</v>
      </c>
      <c r="F209" s="19">
        <v>456000</v>
      </c>
      <c r="G209" s="19">
        <v>182400</v>
      </c>
      <c r="H209" s="19">
        <v>110577</v>
      </c>
      <c r="I209" s="19">
        <v>71823</v>
      </c>
      <c r="J209" s="9">
        <v>0.15750657894736841</v>
      </c>
      <c r="L209" s="14"/>
      <c r="M209" s="49" t="s">
        <v>25</v>
      </c>
      <c r="N209" s="8" t="s">
        <v>75</v>
      </c>
    </row>
    <row r="210" spans="2:14" ht="18.75" x14ac:dyDescent="0.3">
      <c r="B210" s="8"/>
      <c r="C210" s="8" t="s">
        <v>26</v>
      </c>
      <c r="D210" s="8" t="s">
        <v>75</v>
      </c>
      <c r="E210" s="18">
        <v>18480</v>
      </c>
      <c r="F210" s="19">
        <v>41210.400000000001</v>
      </c>
      <c r="G210" s="19">
        <v>18480</v>
      </c>
      <c r="H210" s="19">
        <v>22837</v>
      </c>
      <c r="I210" s="19">
        <v>-4357</v>
      </c>
      <c r="J210" s="9">
        <v>-0.10572573913381088</v>
      </c>
      <c r="L210" s="14"/>
      <c r="M210" s="49" t="s">
        <v>26</v>
      </c>
      <c r="N210" s="8" t="s">
        <v>75</v>
      </c>
    </row>
    <row r="211" spans="2:14" ht="18.75" x14ac:dyDescent="0.3">
      <c r="B211" s="8"/>
      <c r="C211" s="8"/>
      <c r="D211" s="8" t="s">
        <v>76</v>
      </c>
      <c r="E211" s="18">
        <v>10260</v>
      </c>
      <c r="F211" s="19">
        <v>128018.88</v>
      </c>
      <c r="G211" s="19">
        <v>54172.800000000003</v>
      </c>
      <c r="H211" s="19">
        <v>45674</v>
      </c>
      <c r="I211" s="19">
        <v>8498.8000000000029</v>
      </c>
      <c r="J211" s="9">
        <v>6.6387082905271497E-2</v>
      </c>
      <c r="L211" s="14"/>
      <c r="M211" s="49"/>
      <c r="N211" s="8" t="s">
        <v>76</v>
      </c>
    </row>
    <row r="212" spans="2:14" ht="18.75" x14ac:dyDescent="0.3">
      <c r="B212" s="8"/>
      <c r="C212" s="8"/>
      <c r="D212" s="8" t="s">
        <v>86</v>
      </c>
      <c r="E212" s="18">
        <v>7040</v>
      </c>
      <c r="F212" s="19">
        <v>179284.864</v>
      </c>
      <c r="G212" s="19">
        <v>80396.800000000003</v>
      </c>
      <c r="H212" s="19">
        <v>45674</v>
      </c>
      <c r="I212" s="19">
        <v>34722.800000000003</v>
      </c>
      <c r="J212" s="9">
        <v>0.193673906571388</v>
      </c>
      <c r="L212" s="14"/>
      <c r="M212" s="49"/>
      <c r="N212" s="8" t="s">
        <v>86</v>
      </c>
    </row>
    <row r="213" spans="2:14" ht="18.75" x14ac:dyDescent="0.3">
      <c r="B213" s="8"/>
      <c r="C213" s="8"/>
      <c r="D213" s="8" t="s">
        <v>65</v>
      </c>
      <c r="E213" s="18">
        <v>13480</v>
      </c>
      <c r="F213" s="19">
        <v>169640.56</v>
      </c>
      <c r="G213" s="19">
        <v>76072</v>
      </c>
      <c r="H213" s="19">
        <v>68511</v>
      </c>
      <c r="I213" s="19">
        <v>7561</v>
      </c>
      <c r="J213" s="9">
        <v>4.4570708797471548E-2</v>
      </c>
      <c r="L213" s="14"/>
      <c r="M213" s="49"/>
      <c r="N213" s="8" t="s">
        <v>65</v>
      </c>
    </row>
    <row r="214" spans="2:14" ht="18.75" x14ac:dyDescent="0.3">
      <c r="B214" s="8"/>
      <c r="C214" s="8" t="s">
        <v>27</v>
      </c>
      <c r="D214" s="8" t="s">
        <v>91</v>
      </c>
      <c r="E214" s="18"/>
      <c r="F214" s="19">
        <v>0</v>
      </c>
      <c r="G214" s="19">
        <v>0</v>
      </c>
      <c r="H214" s="19">
        <v>18593.5</v>
      </c>
      <c r="I214" s="19">
        <v>-18593.5</v>
      </c>
      <c r="J214" s="9" t="e">
        <v>#DIV/0!</v>
      </c>
      <c r="L214" s="14"/>
      <c r="M214" s="49" t="s">
        <v>27</v>
      </c>
      <c r="N214" s="8" t="s">
        <v>91</v>
      </c>
    </row>
    <row r="215" spans="2:14" ht="18.75" x14ac:dyDescent="0.3">
      <c r="B215" s="8"/>
      <c r="C215" s="8"/>
      <c r="D215" s="8" t="s">
        <v>75</v>
      </c>
      <c r="E215" s="18">
        <v>410904</v>
      </c>
      <c r="F215" s="19">
        <v>780717.6</v>
      </c>
      <c r="G215" s="19">
        <v>312287.04000000004</v>
      </c>
      <c r="H215" s="19">
        <v>223122</v>
      </c>
      <c r="I215" s="19">
        <v>89165.040000000037</v>
      </c>
      <c r="J215" s="9">
        <v>0.11420908149118202</v>
      </c>
      <c r="L215" s="14"/>
      <c r="M215" s="49"/>
      <c r="N215" s="8" t="s">
        <v>75</v>
      </c>
    </row>
    <row r="216" spans="2:14" ht="18.75" x14ac:dyDescent="0.3">
      <c r="B216" s="8"/>
      <c r="C216" s="8" t="s">
        <v>28</v>
      </c>
      <c r="D216" s="8" t="s">
        <v>57</v>
      </c>
      <c r="E216" s="18">
        <v>24748</v>
      </c>
      <c r="F216" s="19">
        <v>73006.600000000006</v>
      </c>
      <c r="G216" s="19">
        <v>27222.800000000003</v>
      </c>
      <c r="H216" s="19">
        <v>30110.538461538461</v>
      </c>
      <c r="I216" s="19">
        <v>-2887.7384615384581</v>
      </c>
      <c r="J216" s="9">
        <v>-3.955448495805116E-2</v>
      </c>
      <c r="L216" s="14"/>
      <c r="M216" s="49" t="s">
        <v>28</v>
      </c>
      <c r="N216" s="8" t="s">
        <v>57</v>
      </c>
    </row>
    <row r="217" spans="2:14" ht="18.75" x14ac:dyDescent="0.3">
      <c r="B217" s="8"/>
      <c r="C217" s="8"/>
      <c r="D217" s="8" t="s">
        <v>66</v>
      </c>
      <c r="E217" s="18">
        <v>80740</v>
      </c>
      <c r="F217" s="19">
        <v>252716.19999999998</v>
      </c>
      <c r="G217" s="19">
        <v>100925</v>
      </c>
      <c r="H217" s="19">
        <v>55850.192307692312</v>
      </c>
      <c r="I217" s="19">
        <v>45074.807692307688</v>
      </c>
      <c r="J217" s="9">
        <v>0.17836137015477319</v>
      </c>
      <c r="L217" s="14"/>
      <c r="M217" s="49"/>
      <c r="N217" s="8" t="s">
        <v>66</v>
      </c>
    </row>
    <row r="218" spans="2:14" ht="18.75" x14ac:dyDescent="0.3">
      <c r="B218" s="8"/>
      <c r="C218" s="8"/>
      <c r="D218" s="8" t="s">
        <v>72</v>
      </c>
      <c r="E218" s="18">
        <v>26771</v>
      </c>
      <c r="F218" s="19">
        <v>164641.65000000002</v>
      </c>
      <c r="G218" s="19">
        <v>53542</v>
      </c>
      <c r="H218" s="19">
        <v>27682.26923076923</v>
      </c>
      <c r="I218" s="19">
        <v>25859.73076923077</v>
      </c>
      <c r="J218" s="9">
        <v>0.15706676147396947</v>
      </c>
      <c r="L218" s="14"/>
      <c r="M218" s="49"/>
      <c r="N218" s="8" t="s">
        <v>72</v>
      </c>
    </row>
    <row r="219" spans="2:14" ht="18.75" x14ac:dyDescent="0.3">
      <c r="B219" s="8" t="s">
        <v>49</v>
      </c>
      <c r="C219" s="8"/>
      <c r="D219" s="8"/>
      <c r="E219" s="18">
        <v>1021113</v>
      </c>
      <c r="F219" s="19">
        <v>2787444.3944000001</v>
      </c>
      <c r="G219" s="19">
        <v>1125624.3200000001</v>
      </c>
      <c r="H219" s="19">
        <v>865300</v>
      </c>
      <c r="I219" s="19">
        <v>260324.31999999983</v>
      </c>
      <c r="J219" s="9">
        <v>9.3391753580087097E-2</v>
      </c>
      <c r="L219" s="15" t="s">
        <v>49</v>
      </c>
      <c r="M219" s="15"/>
      <c r="N219" s="15"/>
    </row>
    <row r="220" spans="2:14" ht="18.75" x14ac:dyDescent="0.3">
      <c r="B220" s="8" t="s">
        <v>50</v>
      </c>
      <c r="C220" s="8" t="s">
        <v>4</v>
      </c>
      <c r="D220" s="8" t="s">
        <v>58</v>
      </c>
      <c r="E220" s="18">
        <v>24000</v>
      </c>
      <c r="F220" s="19">
        <v>139096.25</v>
      </c>
      <c r="G220" s="19">
        <v>62375</v>
      </c>
      <c r="H220" s="19">
        <v>46437</v>
      </c>
      <c r="I220" s="19">
        <v>15938</v>
      </c>
      <c r="J220" s="9">
        <v>0.11458252828527009</v>
      </c>
      <c r="L220" s="14" t="s">
        <v>50</v>
      </c>
      <c r="M220" s="49" t="s">
        <v>4</v>
      </c>
      <c r="N220" s="8" t="s">
        <v>58</v>
      </c>
    </row>
    <row r="221" spans="2:14" ht="18.75" x14ac:dyDescent="0.3">
      <c r="B221" s="8"/>
      <c r="C221" s="8" t="s">
        <v>23</v>
      </c>
      <c r="D221" s="8" t="s">
        <v>62</v>
      </c>
      <c r="E221" s="18">
        <v>10260</v>
      </c>
      <c r="F221" s="19">
        <v>91976.796000000002</v>
      </c>
      <c r="G221" s="19">
        <v>41245.200000000004</v>
      </c>
      <c r="H221" s="19">
        <v>34624.5</v>
      </c>
      <c r="I221" s="19">
        <v>6620.7000000000044</v>
      </c>
      <c r="J221" s="9">
        <v>7.1982285619081626E-2</v>
      </c>
      <c r="L221" s="14"/>
      <c r="M221" s="49" t="s">
        <v>23</v>
      </c>
      <c r="N221" s="8" t="s">
        <v>62</v>
      </c>
    </row>
    <row r="222" spans="2:14" ht="18.75" x14ac:dyDescent="0.3">
      <c r="B222" s="8"/>
      <c r="C222" s="8" t="s">
        <v>24</v>
      </c>
      <c r="D222" s="8" t="s">
        <v>75</v>
      </c>
      <c r="E222" s="18">
        <v>28000</v>
      </c>
      <c r="F222" s="19">
        <v>53200</v>
      </c>
      <c r="G222" s="19">
        <v>21280</v>
      </c>
      <c r="H222" s="19">
        <v>34993.5</v>
      </c>
      <c r="I222" s="19">
        <v>-13713.5</v>
      </c>
      <c r="J222" s="9">
        <v>-0.25777255639097746</v>
      </c>
      <c r="L222" s="14"/>
      <c r="M222" s="49" t="s">
        <v>24</v>
      </c>
      <c r="N222" s="8" t="s">
        <v>75</v>
      </c>
    </row>
    <row r="223" spans="2:14" ht="18.75" x14ac:dyDescent="0.3">
      <c r="B223" s="8"/>
      <c r="C223" s="8" t="s">
        <v>7</v>
      </c>
      <c r="D223" s="8" t="s">
        <v>58</v>
      </c>
      <c r="E223" s="18">
        <v>40155</v>
      </c>
      <c r="F223" s="19">
        <v>88281.909</v>
      </c>
      <c r="G223" s="19">
        <v>39588.300000000003</v>
      </c>
      <c r="H223" s="19">
        <v>38697.5</v>
      </c>
      <c r="I223" s="19">
        <v>890.80000000000291</v>
      </c>
      <c r="J223" s="9">
        <v>1.0090402553483556E-2</v>
      </c>
      <c r="L223" s="14"/>
      <c r="M223" s="49" t="s">
        <v>7</v>
      </c>
      <c r="N223" s="8" t="s">
        <v>58</v>
      </c>
    </row>
    <row r="224" spans="2:14" ht="18.75" x14ac:dyDescent="0.3">
      <c r="B224" s="8"/>
      <c r="C224" s="8"/>
      <c r="D224" s="8" t="s">
        <v>73</v>
      </c>
      <c r="E224" s="18">
        <v>78000</v>
      </c>
      <c r="F224" s="19">
        <v>125580.00000000001</v>
      </c>
      <c r="G224" s="19">
        <v>36660</v>
      </c>
      <c r="H224" s="19">
        <v>61916</v>
      </c>
      <c r="I224" s="19">
        <v>-25256</v>
      </c>
      <c r="J224" s="9">
        <v>-0.2011148272017837</v>
      </c>
      <c r="L224" s="14"/>
      <c r="M224" s="49"/>
      <c r="N224" s="8" t="s">
        <v>73</v>
      </c>
    </row>
    <row r="225" spans="2:20" ht="18.75" x14ac:dyDescent="0.3">
      <c r="B225" s="8"/>
      <c r="C225" s="8" t="s">
        <v>25</v>
      </c>
      <c r="D225" s="8" t="s">
        <v>75</v>
      </c>
      <c r="E225" s="18">
        <v>240000</v>
      </c>
      <c r="F225" s="19">
        <v>456000</v>
      </c>
      <c r="G225" s="19">
        <v>182400</v>
      </c>
      <c r="H225" s="19">
        <v>110577</v>
      </c>
      <c r="I225" s="19">
        <v>71823</v>
      </c>
      <c r="J225" s="9">
        <v>0.15750657894736841</v>
      </c>
      <c r="L225" s="14"/>
      <c r="M225" s="49" t="s">
        <v>25</v>
      </c>
      <c r="N225" s="8" t="s">
        <v>75</v>
      </c>
    </row>
    <row r="226" spans="2:20" ht="18.75" x14ac:dyDescent="0.3">
      <c r="B226" s="8"/>
      <c r="C226" s="8" t="s">
        <v>26</v>
      </c>
      <c r="D226" s="8" t="s">
        <v>75</v>
      </c>
      <c r="E226" s="18">
        <v>16800</v>
      </c>
      <c r="F226" s="19">
        <v>37464</v>
      </c>
      <c r="G226" s="19">
        <v>16800</v>
      </c>
      <c r="H226" s="19">
        <v>22837</v>
      </c>
      <c r="I226" s="19">
        <v>-6037</v>
      </c>
      <c r="J226" s="9">
        <v>-0.16114136237454624</v>
      </c>
      <c r="L226" s="14"/>
      <c r="M226" s="49" t="s">
        <v>26</v>
      </c>
      <c r="N226" s="8" t="s">
        <v>75</v>
      </c>
    </row>
    <row r="227" spans="2:20" ht="18.75" x14ac:dyDescent="0.3">
      <c r="B227" s="8"/>
      <c r="C227" s="8"/>
      <c r="D227" s="8" t="s">
        <v>76</v>
      </c>
      <c r="E227" s="18">
        <v>9400</v>
      </c>
      <c r="F227" s="19">
        <v>117237.12</v>
      </c>
      <c r="G227" s="19">
        <v>49632</v>
      </c>
      <c r="H227" s="19">
        <v>45674</v>
      </c>
      <c r="I227" s="19">
        <v>3958</v>
      </c>
      <c r="J227" s="9">
        <v>3.3760638268834992E-2</v>
      </c>
      <c r="L227" s="14"/>
      <c r="M227" s="49"/>
      <c r="N227" s="8" t="s">
        <v>76</v>
      </c>
    </row>
    <row r="228" spans="2:20" ht="18.75" x14ac:dyDescent="0.3">
      <c r="B228" s="8"/>
      <c r="C228" s="8"/>
      <c r="D228" s="8" t="s">
        <v>86</v>
      </c>
      <c r="E228" s="18">
        <v>6400</v>
      </c>
      <c r="F228" s="19">
        <v>162986.23999999999</v>
      </c>
      <c r="G228" s="19">
        <v>73088</v>
      </c>
      <c r="H228" s="19">
        <v>45674</v>
      </c>
      <c r="I228" s="19">
        <v>27414</v>
      </c>
      <c r="J228" s="9">
        <v>0.16819824790117252</v>
      </c>
      <c r="L228" s="14"/>
      <c r="M228" s="49"/>
      <c r="N228" s="8" t="s">
        <v>86</v>
      </c>
    </row>
    <row r="229" spans="2:20" ht="18.75" x14ac:dyDescent="0.3">
      <c r="B229" s="8"/>
      <c r="C229" s="8"/>
      <c r="D229" s="8" t="s">
        <v>65</v>
      </c>
      <c r="E229" s="18">
        <v>13080</v>
      </c>
      <c r="F229" s="19">
        <v>163396.56</v>
      </c>
      <c r="G229" s="19">
        <v>73272</v>
      </c>
      <c r="H229" s="19">
        <v>68511</v>
      </c>
      <c r="I229" s="19">
        <v>4761</v>
      </c>
      <c r="J229" s="9">
        <v>2.913770032857485E-2</v>
      </c>
      <c r="L229" s="14"/>
      <c r="M229" s="49"/>
      <c r="N229" s="8" t="s">
        <v>65</v>
      </c>
    </row>
    <row r="230" spans="2:20" ht="18.75" x14ac:dyDescent="0.3">
      <c r="B230" s="8"/>
      <c r="C230" s="8" t="s">
        <v>27</v>
      </c>
      <c r="D230" s="8" t="s">
        <v>91</v>
      </c>
      <c r="E230" s="18"/>
      <c r="F230" s="19">
        <v>0</v>
      </c>
      <c r="G230" s="19">
        <v>0</v>
      </c>
      <c r="H230" s="19">
        <v>18593.5</v>
      </c>
      <c r="I230" s="19">
        <v>-18593.5</v>
      </c>
      <c r="J230" s="9" t="e">
        <v>#DIV/0!</v>
      </c>
      <c r="L230" s="14"/>
      <c r="M230" s="49" t="s">
        <v>27</v>
      </c>
      <c r="N230" s="8" t="s">
        <v>91</v>
      </c>
    </row>
    <row r="231" spans="2:20" ht="18.75" x14ac:dyDescent="0.3">
      <c r="B231" s="8"/>
      <c r="C231" s="8"/>
      <c r="D231" s="8" t="s">
        <v>75</v>
      </c>
      <c r="E231" s="18">
        <v>372504</v>
      </c>
      <c r="F231" s="19">
        <v>707757.6</v>
      </c>
      <c r="G231" s="19">
        <v>283103.04000000004</v>
      </c>
      <c r="H231" s="19">
        <v>223122</v>
      </c>
      <c r="I231" s="19">
        <v>59981.040000000037</v>
      </c>
      <c r="J231" s="9">
        <v>8.4747998467271907E-2</v>
      </c>
      <c r="L231" s="14"/>
      <c r="M231" s="49"/>
      <c r="N231" s="8" t="s">
        <v>75</v>
      </c>
    </row>
    <row r="232" spans="2:20" ht="18.75" x14ac:dyDescent="0.3">
      <c r="B232" s="8"/>
      <c r="C232" s="8" t="s">
        <v>28</v>
      </c>
      <c r="D232" s="8" t="s">
        <v>57</v>
      </c>
      <c r="E232" s="18">
        <v>35252</v>
      </c>
      <c r="F232" s="19">
        <v>103993.40000000001</v>
      </c>
      <c r="G232" s="19">
        <v>38777.200000000004</v>
      </c>
      <c r="H232" s="19">
        <v>50508</v>
      </c>
      <c r="I232" s="19">
        <v>-11730.799999999996</v>
      </c>
      <c r="J232" s="9">
        <v>-0.11280331251790975</v>
      </c>
      <c r="L232" s="14"/>
      <c r="M232" s="49" t="s">
        <v>28</v>
      </c>
      <c r="N232" s="8" t="s">
        <v>57</v>
      </c>
    </row>
    <row r="233" spans="2:20" ht="18.75" x14ac:dyDescent="0.3">
      <c r="B233" s="8"/>
      <c r="C233" s="8"/>
      <c r="D233" s="8" t="s">
        <v>61</v>
      </c>
      <c r="E233" s="18">
        <v>74000</v>
      </c>
      <c r="F233" s="19">
        <v>177600</v>
      </c>
      <c r="G233" s="19">
        <v>68080</v>
      </c>
      <c r="H233" s="19">
        <v>63135</v>
      </c>
      <c r="I233" s="19">
        <v>4945</v>
      </c>
      <c r="J233" s="9">
        <v>2.7843468468468469E-2</v>
      </c>
      <c r="L233" s="14"/>
      <c r="M233" s="49"/>
      <c r="N233" s="8" t="s">
        <v>61</v>
      </c>
    </row>
    <row r="234" spans="2:20" ht="18.75" x14ac:dyDescent="0.3">
      <c r="B234" s="8" t="s">
        <v>51</v>
      </c>
      <c r="C234" s="8"/>
      <c r="D234" s="8"/>
      <c r="E234" s="18">
        <v>947851</v>
      </c>
      <c r="F234" s="19">
        <v>2424569.875</v>
      </c>
      <c r="G234" s="19">
        <v>986300.74</v>
      </c>
      <c r="H234" s="19">
        <v>865300</v>
      </c>
      <c r="I234" s="19">
        <v>121000.74000000022</v>
      </c>
      <c r="J234" s="9">
        <v>4.9906064266347541E-2</v>
      </c>
      <c r="L234" s="15" t="s">
        <v>51</v>
      </c>
      <c r="M234" s="15"/>
      <c r="N234" s="15"/>
    </row>
    <row r="235" spans="2:20" ht="19.5" thickBot="1" x14ac:dyDescent="0.35">
      <c r="B235" s="8" t="s">
        <v>12</v>
      </c>
      <c r="C235" s="8"/>
      <c r="D235" s="8"/>
      <c r="E235" s="18">
        <v>13201559</v>
      </c>
      <c r="F235" s="19">
        <v>30616220.1808686</v>
      </c>
      <c r="G235" s="19">
        <v>12248062.278574772</v>
      </c>
      <c r="H235" s="19">
        <v>10927966.113636363</v>
      </c>
      <c r="I235" s="19">
        <v>1320096.164938435</v>
      </c>
      <c r="J235" s="9">
        <v>4.3117542176657524E-2</v>
      </c>
      <c r="L235" s="16" t="s">
        <v>12</v>
      </c>
      <c r="M235" s="16"/>
      <c r="N235" s="16"/>
      <c r="O235" s="36">
        <v>2072778</v>
      </c>
      <c r="P235" s="37">
        <v>4375988</v>
      </c>
      <c r="Q235" s="37">
        <v>1191188</v>
      </c>
      <c r="R235" s="37">
        <v>1141711</v>
      </c>
      <c r="S235" s="37">
        <v>49476</v>
      </c>
      <c r="T235" s="38">
        <f>IFERROR(S235/P235,"-")</f>
        <v>1.1306246726453546E-2</v>
      </c>
    </row>
    <row r="236" spans="2:20" x14ac:dyDescent="0.25">
      <c r="L236"/>
      <c r="M236"/>
      <c r="N236"/>
    </row>
    <row r="237" spans="2:20" x14ac:dyDescent="0.25">
      <c r="L237"/>
      <c r="M237"/>
      <c r="N237"/>
    </row>
    <row r="238" spans="2:20" x14ac:dyDescent="0.25">
      <c r="L238"/>
      <c r="M238"/>
      <c r="N238"/>
    </row>
    <row r="239" spans="2:20" x14ac:dyDescent="0.25">
      <c r="L239"/>
      <c r="M239"/>
      <c r="N239"/>
    </row>
    <row r="240" spans="2:20" x14ac:dyDescent="0.25">
      <c r="L240"/>
      <c r="M240"/>
      <c r="N240"/>
    </row>
    <row r="241" spans="12:14" x14ac:dyDescent="0.25">
      <c r="L241"/>
      <c r="M241"/>
      <c r="N241"/>
    </row>
    <row r="242" spans="12:14" x14ac:dyDescent="0.25">
      <c r="L242"/>
      <c r="M242"/>
      <c r="N242"/>
    </row>
    <row r="243" spans="12:14" x14ac:dyDescent="0.25">
      <c r="L243"/>
      <c r="M243"/>
      <c r="N243"/>
    </row>
    <row r="244" spans="12:14" x14ac:dyDescent="0.25">
      <c r="L244"/>
      <c r="M244"/>
      <c r="N244"/>
    </row>
    <row r="245" spans="12:14" x14ac:dyDescent="0.25">
      <c r="L245"/>
      <c r="M245"/>
      <c r="N245"/>
    </row>
    <row r="246" spans="12:14" x14ac:dyDescent="0.25">
      <c r="L246"/>
      <c r="M246"/>
      <c r="N246"/>
    </row>
    <row r="247" spans="12:14" x14ac:dyDescent="0.25">
      <c r="L247"/>
      <c r="M247"/>
      <c r="N247"/>
    </row>
    <row r="248" spans="12:14" x14ac:dyDescent="0.25">
      <c r="L248"/>
      <c r="M248"/>
      <c r="N248"/>
    </row>
    <row r="249" spans="12:14" x14ac:dyDescent="0.25">
      <c r="L249"/>
      <c r="M249"/>
      <c r="N249"/>
    </row>
    <row r="250" spans="12:14" x14ac:dyDescent="0.25">
      <c r="L250"/>
      <c r="M250"/>
      <c r="N250"/>
    </row>
    <row r="251" spans="12:14" x14ac:dyDescent="0.25">
      <c r="L251"/>
      <c r="M251"/>
      <c r="N251"/>
    </row>
    <row r="252" spans="12:14" x14ac:dyDescent="0.25">
      <c r="L252"/>
      <c r="M252"/>
      <c r="N252"/>
    </row>
    <row r="253" spans="12:14" x14ac:dyDescent="0.25">
      <c r="L253"/>
      <c r="M253"/>
      <c r="N253"/>
    </row>
    <row r="254" spans="12:14" x14ac:dyDescent="0.25">
      <c r="L254"/>
      <c r="M254"/>
      <c r="N254"/>
    </row>
    <row r="255" spans="12:14" x14ac:dyDescent="0.25">
      <c r="L255"/>
      <c r="M255"/>
      <c r="N255"/>
    </row>
    <row r="256" spans="12:14" x14ac:dyDescent="0.25">
      <c r="L256"/>
      <c r="M256"/>
      <c r="N256"/>
    </row>
    <row r="257" spans="12:14" x14ac:dyDescent="0.25">
      <c r="L257"/>
      <c r="M257"/>
      <c r="N257"/>
    </row>
    <row r="258" spans="12:14" x14ac:dyDescent="0.25">
      <c r="L258"/>
      <c r="M258"/>
      <c r="N258"/>
    </row>
    <row r="259" spans="12:14" x14ac:dyDescent="0.25">
      <c r="L259"/>
      <c r="M259"/>
      <c r="N259"/>
    </row>
    <row r="260" spans="12:14" x14ac:dyDescent="0.25">
      <c r="L260"/>
      <c r="M260"/>
      <c r="N260"/>
    </row>
    <row r="261" spans="12:14" x14ac:dyDescent="0.25">
      <c r="L261"/>
      <c r="M261"/>
      <c r="N261"/>
    </row>
    <row r="262" spans="12:14" x14ac:dyDescent="0.25">
      <c r="L262"/>
      <c r="M262"/>
      <c r="N262"/>
    </row>
    <row r="263" spans="12:14" x14ac:dyDescent="0.25">
      <c r="L263"/>
      <c r="M263"/>
      <c r="N263"/>
    </row>
    <row r="264" spans="12:14" x14ac:dyDescent="0.25">
      <c r="L264"/>
      <c r="M264"/>
      <c r="N264"/>
    </row>
    <row r="265" spans="12:14" x14ac:dyDescent="0.25">
      <c r="L265"/>
      <c r="M265"/>
      <c r="N265"/>
    </row>
    <row r="266" spans="12:14" x14ac:dyDescent="0.25">
      <c r="L266"/>
      <c r="M266"/>
      <c r="N266"/>
    </row>
    <row r="267" spans="12:14" x14ac:dyDescent="0.25">
      <c r="L267"/>
      <c r="M267"/>
      <c r="N267"/>
    </row>
    <row r="268" spans="12:14" x14ac:dyDescent="0.25">
      <c r="L268"/>
      <c r="M268"/>
      <c r="N268"/>
    </row>
    <row r="269" spans="12:14" x14ac:dyDescent="0.25">
      <c r="L269"/>
      <c r="M269"/>
      <c r="N269"/>
    </row>
    <row r="270" spans="12:14" x14ac:dyDescent="0.25">
      <c r="L270"/>
      <c r="M270"/>
      <c r="N270"/>
    </row>
    <row r="271" spans="12:14" x14ac:dyDescent="0.25">
      <c r="L271"/>
      <c r="M271"/>
      <c r="N271"/>
    </row>
    <row r="272" spans="12:14" x14ac:dyDescent="0.25">
      <c r="L272"/>
      <c r="M272"/>
      <c r="N272"/>
    </row>
    <row r="273" spans="12:14" x14ac:dyDescent="0.25">
      <c r="L273"/>
      <c r="M273"/>
      <c r="N273"/>
    </row>
    <row r="274" spans="12:14" x14ac:dyDescent="0.25">
      <c r="L274"/>
      <c r="M274"/>
      <c r="N274"/>
    </row>
    <row r="275" spans="12:14" x14ac:dyDescent="0.25">
      <c r="L275"/>
      <c r="M275"/>
      <c r="N275"/>
    </row>
    <row r="276" spans="12:14" x14ac:dyDescent="0.25">
      <c r="L276"/>
      <c r="M276"/>
      <c r="N276"/>
    </row>
    <row r="277" spans="12:14" x14ac:dyDescent="0.25">
      <c r="L277"/>
      <c r="M277"/>
      <c r="N277"/>
    </row>
    <row r="278" spans="12:14" x14ac:dyDescent="0.25">
      <c r="L278"/>
      <c r="M278"/>
      <c r="N278"/>
    </row>
    <row r="279" spans="12:14" x14ac:dyDescent="0.25">
      <c r="L279"/>
      <c r="M279"/>
      <c r="N279"/>
    </row>
    <row r="280" spans="12:14" x14ac:dyDescent="0.25">
      <c r="L280"/>
      <c r="M280"/>
      <c r="N280"/>
    </row>
    <row r="281" spans="12:14" x14ac:dyDescent="0.25">
      <c r="L281"/>
      <c r="M281"/>
      <c r="N281"/>
    </row>
    <row r="282" spans="12:14" x14ac:dyDescent="0.25">
      <c r="L282"/>
      <c r="M282"/>
      <c r="N282"/>
    </row>
    <row r="283" spans="12:14" x14ac:dyDescent="0.25">
      <c r="L283"/>
      <c r="M283"/>
      <c r="N283"/>
    </row>
    <row r="284" spans="12:14" x14ac:dyDescent="0.25">
      <c r="L284"/>
      <c r="M284"/>
      <c r="N284"/>
    </row>
    <row r="285" spans="12:14" x14ac:dyDescent="0.25">
      <c r="L285"/>
      <c r="M285"/>
      <c r="N285"/>
    </row>
    <row r="286" spans="12:14" x14ac:dyDescent="0.25">
      <c r="L286"/>
      <c r="M286"/>
      <c r="N286"/>
    </row>
    <row r="287" spans="12:14" x14ac:dyDescent="0.25">
      <c r="L287"/>
      <c r="M287"/>
      <c r="N287"/>
    </row>
    <row r="288" spans="12:14" x14ac:dyDescent="0.25">
      <c r="L288"/>
      <c r="M288"/>
      <c r="N288"/>
    </row>
    <row r="289" spans="12:14" x14ac:dyDescent="0.25">
      <c r="L289"/>
      <c r="M289"/>
      <c r="N289"/>
    </row>
    <row r="290" spans="12:14" x14ac:dyDescent="0.25">
      <c r="L290"/>
      <c r="M290"/>
      <c r="N290"/>
    </row>
    <row r="291" spans="12:14" x14ac:dyDescent="0.25">
      <c r="L291"/>
      <c r="M291"/>
      <c r="N291"/>
    </row>
    <row r="292" spans="12:14" x14ac:dyDescent="0.25">
      <c r="L292"/>
      <c r="M292"/>
      <c r="N292"/>
    </row>
    <row r="293" spans="12:14" x14ac:dyDescent="0.25">
      <c r="L293"/>
      <c r="M293"/>
      <c r="N293"/>
    </row>
    <row r="294" spans="12:14" x14ac:dyDescent="0.25">
      <c r="L294"/>
      <c r="M294"/>
      <c r="N294"/>
    </row>
    <row r="295" spans="12:14" x14ac:dyDescent="0.25">
      <c r="L295"/>
      <c r="M295"/>
      <c r="N295"/>
    </row>
    <row r="296" spans="12:14" x14ac:dyDescent="0.25">
      <c r="L296"/>
      <c r="M296"/>
      <c r="N296"/>
    </row>
    <row r="297" spans="12:14" x14ac:dyDescent="0.25">
      <c r="L297"/>
      <c r="M297"/>
      <c r="N297"/>
    </row>
    <row r="298" spans="12:14" x14ac:dyDescent="0.25">
      <c r="L298"/>
      <c r="M298"/>
      <c r="N298"/>
    </row>
    <row r="299" spans="12:14" x14ac:dyDescent="0.25">
      <c r="L299"/>
      <c r="M299"/>
      <c r="N299"/>
    </row>
    <row r="300" spans="12:14" x14ac:dyDescent="0.25">
      <c r="L300"/>
      <c r="M300"/>
      <c r="N300"/>
    </row>
  </sheetData>
  <conditionalFormatting pivot="1" sqref="E4:J235">
    <cfRule type="cellIs" dxfId="0" priority="1" stopIfTrue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BANTUAN</vt:lpstr>
      <vt:lpstr>Resume Per Bulan Per Buyer</vt:lpstr>
      <vt:lpstr>Resume Buyer Per Factory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2023-10-11T07:06:35Z</dcterms:created>
  <dcterms:modified xsi:type="dcterms:W3CDTF">2023-10-13T10:10:04Z</dcterms:modified>
</cp:coreProperties>
</file>