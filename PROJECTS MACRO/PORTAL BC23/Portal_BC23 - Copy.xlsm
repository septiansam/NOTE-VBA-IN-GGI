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1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ORTAL BC23\"/>
    </mc:Choice>
  </mc:AlternateContent>
  <xr:revisionPtr revIDLastSave="0" documentId="13_ncr:1_{C2F25F24-D169-49EE-99D8-66413A593AC7}" xr6:coauthVersionLast="47" xr6:coauthVersionMax="47" xr10:uidLastSave="{00000000-0000-0000-0000-000000000000}"/>
  <bookViews>
    <workbookView xWindow="-120" yWindow="-120" windowWidth="20730" windowHeight="11160" activeTab="1" xr2:uid="{C86B6822-02DA-4590-ADEA-A975829E23FB}"/>
  </bookViews>
  <sheets>
    <sheet name="STATUS" sheetId="102" r:id="rId1"/>
    <sheet name="RPA" sheetId="3" r:id="rId2"/>
    <sheet name="BANTUAN" sheetId="1" r:id="rId3"/>
    <sheet name="Tarikan_TPB" sheetId="101" r:id="rId4"/>
  </sheets>
  <definedNames>
    <definedName name="_xlnm._FilterDatabase" localSheetId="3" hidden="1">Tarikan_TPB!$A$3:$Y$3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Y2" i="101"/>
  <c r="Z5" i="101"/>
  <c r="Z6" i="101"/>
  <c r="Z7" i="101"/>
  <c r="Z8" i="101"/>
  <c r="Z9" i="101"/>
  <c r="Z10" i="101"/>
  <c r="Z11" i="101"/>
  <c r="Z12" i="101"/>
  <c r="Z13" i="101"/>
  <c r="Z14" i="101"/>
  <c r="Z15" i="101"/>
  <c r="Z16" i="101"/>
  <c r="Z17" i="101"/>
  <c r="Z18" i="101"/>
  <c r="Z19" i="101"/>
  <c r="Z20" i="101"/>
  <c r="Z21" i="101"/>
  <c r="Z22" i="101"/>
  <c r="Z23" i="101"/>
  <c r="Z24" i="101"/>
  <c r="Z25" i="101"/>
  <c r="Z26" i="101"/>
  <c r="Z27" i="101"/>
  <c r="Z28" i="101"/>
  <c r="Z29" i="101"/>
  <c r="Z30" i="101"/>
  <c r="Z31" i="101"/>
  <c r="Z32" i="101"/>
  <c r="Z33" i="101"/>
  <c r="Z34" i="101"/>
  <c r="Z35" i="101"/>
  <c r="Z36" i="101"/>
  <c r="Z37" i="101"/>
  <c r="Z38" i="101"/>
  <c r="Z39" i="101"/>
  <c r="Z40" i="101"/>
  <c r="Z41" i="101"/>
  <c r="Z42" i="101"/>
  <c r="Z43" i="101"/>
  <c r="Z44" i="101"/>
  <c r="Z45" i="101"/>
  <c r="Z46" i="101"/>
  <c r="Z47" i="101"/>
  <c r="Z48" i="101"/>
  <c r="Z49" i="101"/>
  <c r="Z50" i="101"/>
  <c r="Z51" i="101"/>
  <c r="Z52" i="101"/>
  <c r="Z53" i="101"/>
  <c r="Z54" i="101"/>
  <c r="Z55" i="101"/>
  <c r="Z56" i="101"/>
  <c r="Z57" i="101"/>
  <c r="Z58" i="101"/>
  <c r="Z59" i="101"/>
  <c r="Z60" i="101"/>
  <c r="Z61" i="101"/>
  <c r="Z62" i="101"/>
  <c r="Z63" i="101"/>
  <c r="Z64" i="101"/>
  <c r="Z65" i="101"/>
  <c r="Z66" i="101"/>
  <c r="Z67" i="101"/>
  <c r="Z68" i="101"/>
  <c r="Z69" i="101"/>
  <c r="Z70" i="101"/>
  <c r="Z71" i="101"/>
  <c r="Z72" i="101"/>
  <c r="Z73" i="101"/>
  <c r="Z74" i="101"/>
  <c r="Z75" i="101"/>
  <c r="Z76" i="101"/>
  <c r="Z77" i="101"/>
  <c r="Z78" i="101"/>
  <c r="Z79" i="101"/>
  <c r="Z80" i="101"/>
  <c r="Z81" i="101"/>
  <c r="Z82" i="101"/>
  <c r="Z83" i="101"/>
  <c r="Z84" i="101"/>
  <c r="Z85" i="101"/>
  <c r="Z86" i="101"/>
  <c r="Z87" i="101"/>
  <c r="Z88" i="101"/>
  <c r="Z89" i="101"/>
  <c r="Z90" i="101"/>
  <c r="Z91" i="101"/>
  <c r="Z92" i="101"/>
  <c r="Z93" i="101"/>
  <c r="Z94" i="101"/>
  <c r="Z95" i="101"/>
  <c r="Z96" i="101"/>
  <c r="Z97" i="101"/>
  <c r="Z98" i="101"/>
  <c r="Z99" i="101"/>
  <c r="Z100" i="101"/>
  <c r="Z101" i="101"/>
  <c r="Z102" i="101"/>
  <c r="Z103" i="101"/>
  <c r="Z104" i="101"/>
  <c r="Z105" i="101"/>
  <c r="Z106" i="101"/>
  <c r="Z107" i="101"/>
  <c r="Z108" i="101"/>
  <c r="Z109" i="101"/>
  <c r="Z110" i="101"/>
  <c r="Z111" i="101"/>
  <c r="Z112" i="101"/>
  <c r="Z113" i="101"/>
  <c r="Z114" i="101"/>
  <c r="Z115" i="101"/>
  <c r="Z116" i="101"/>
  <c r="Z117" i="101"/>
  <c r="Z118" i="101"/>
  <c r="Z119" i="101"/>
  <c r="Z120" i="101"/>
  <c r="Z121" i="101"/>
  <c r="Z122" i="101"/>
  <c r="Z123" i="101"/>
  <c r="Z124" i="101"/>
  <c r="Z125" i="101"/>
  <c r="Z126" i="101"/>
  <c r="Z127" i="101"/>
  <c r="Z128" i="101"/>
  <c r="Z129" i="101"/>
  <c r="Z130" i="101"/>
  <c r="Z131" i="101"/>
  <c r="Z132" i="101"/>
  <c r="Z133" i="101"/>
  <c r="Z134" i="101"/>
  <c r="Z135" i="101"/>
  <c r="Z136" i="101"/>
  <c r="Z137" i="101"/>
  <c r="Z138" i="101"/>
  <c r="Z139" i="101"/>
  <c r="Z140" i="101"/>
  <c r="Z141" i="101"/>
  <c r="Z142" i="101"/>
  <c r="Z143" i="101"/>
  <c r="Z144" i="101"/>
  <c r="Z145" i="101"/>
  <c r="Z146" i="101"/>
  <c r="Z147" i="101"/>
  <c r="Z148" i="101"/>
  <c r="Z149" i="101"/>
  <c r="Z150" i="101"/>
  <c r="Z151" i="101"/>
  <c r="Z152" i="101"/>
  <c r="Z153" i="101"/>
  <c r="Z154" i="101"/>
  <c r="Z155" i="101"/>
  <c r="Z156" i="101"/>
  <c r="Z157" i="101"/>
  <c r="Z158" i="101"/>
  <c r="Z159" i="101"/>
  <c r="Z160" i="101"/>
  <c r="Z161" i="101"/>
  <c r="Z162" i="101"/>
  <c r="Z163" i="101"/>
  <c r="Z164" i="101"/>
  <c r="Z165" i="101"/>
  <c r="Z166" i="101"/>
  <c r="Z167" i="101"/>
  <c r="Z168" i="101"/>
  <c r="Z169" i="101"/>
  <c r="Z170" i="101"/>
  <c r="Z171" i="101"/>
  <c r="Z172" i="101"/>
  <c r="Z173" i="101"/>
  <c r="Z174" i="101"/>
  <c r="Z175" i="101"/>
  <c r="Z176" i="101"/>
  <c r="Z177" i="101"/>
  <c r="Z178" i="101"/>
  <c r="Z179" i="101"/>
  <c r="Z180" i="101"/>
  <c r="Z181" i="101"/>
  <c r="Z182" i="101"/>
  <c r="Z183" i="101"/>
  <c r="Z184" i="101"/>
  <c r="Z185" i="101"/>
  <c r="Z186" i="101"/>
  <c r="Z187" i="101"/>
  <c r="Z188" i="101"/>
  <c r="Z189" i="101"/>
  <c r="Z190" i="101"/>
  <c r="Z191" i="101"/>
  <c r="Z192" i="101"/>
  <c r="Z193" i="101"/>
  <c r="Z194" i="101"/>
  <c r="Z195" i="101"/>
  <c r="Z196" i="101"/>
  <c r="Z197" i="101"/>
  <c r="Z198" i="101"/>
  <c r="Z199" i="101"/>
  <c r="Z200" i="101"/>
  <c r="Z201" i="101"/>
  <c r="Z202" i="101"/>
  <c r="Z203" i="101"/>
  <c r="Z204" i="101"/>
  <c r="Z205" i="101"/>
  <c r="Z206" i="101"/>
  <c r="Z207" i="101"/>
  <c r="Z208" i="101"/>
  <c r="Z209" i="101"/>
  <c r="Z210" i="101"/>
  <c r="Z211" i="101"/>
  <c r="Z212" i="101"/>
  <c r="Z213" i="101"/>
  <c r="Z214" i="101"/>
  <c r="Z215" i="101"/>
  <c r="Z216" i="101"/>
  <c r="Z217" i="101"/>
  <c r="Z218" i="101"/>
  <c r="Z219" i="101"/>
  <c r="Z220" i="101"/>
  <c r="Z221" i="101"/>
  <c r="Z222" i="101"/>
  <c r="Z223" i="101"/>
  <c r="Z4" i="101"/>
  <c r="T224" i="101"/>
  <c r="S224" i="101"/>
</calcChain>
</file>

<file path=xl/sharedStrings.xml><?xml version="1.0" encoding="utf-8"?>
<sst xmlns="http://schemas.openxmlformats.org/spreadsheetml/2006/main" count="2321" uniqueCount="349">
  <si>
    <t>Kode Kantor Pengawas</t>
  </si>
  <si>
    <t xml:space="preserve">Kode Dokumen </t>
  </si>
  <si>
    <t>Tanggal Daftar</t>
  </si>
  <si>
    <t>Nama File</t>
  </si>
  <si>
    <t>BANDUNG</t>
  </si>
  <si>
    <t>Path File</t>
  </si>
  <si>
    <t>BC 23</t>
  </si>
  <si>
    <t>\\10.8.0.35\Bersama\IT\SEPTIAN\PORTAL BC23\FILE PORTAL</t>
  </si>
  <si>
    <t>NO</t>
  </si>
  <si>
    <t>NOMOR AJU</t>
  </si>
  <si>
    <t>NOMOR DAFTAR</t>
  </si>
  <si>
    <t>TANGGAL DAFTAR</t>
  </si>
  <si>
    <t>KURS</t>
  </si>
  <si>
    <t>DOKUMEN</t>
  </si>
  <si>
    <t>NOMOR INVOICE</t>
  </si>
  <si>
    <t>TANGGAL INVOICE</t>
  </si>
  <si>
    <t>NOMOR BL/AWB</t>
  </si>
  <si>
    <t>TANGGAL BL/AWB</t>
  </si>
  <si>
    <t>NAMA PEMASOK/PENGIRIM</t>
  </si>
  <si>
    <t>SERI BARANG</t>
  </si>
  <si>
    <t>KODE BARANG</t>
  </si>
  <si>
    <t>NAMA BARANG</t>
  </si>
  <si>
    <t>KODE HS</t>
  </si>
  <si>
    <t>TARIF BM %</t>
  </si>
  <si>
    <t>TARIF PPN %</t>
  </si>
  <si>
    <t>TARIF PPH %</t>
  </si>
  <si>
    <t>SATUAN</t>
  </si>
  <si>
    <t>JUMLAH</t>
  </si>
  <si>
    <t>NILAI BARANG</t>
  </si>
  <si>
    <t>VALUTA</t>
  </si>
  <si>
    <t>KODE NEGARA PEMASOK</t>
  </si>
  <si>
    <t>DATA SOURCE</t>
  </si>
  <si>
    <t>TOTAL RP</t>
  </si>
  <si>
    <t>TGL TARIKAN DATA</t>
  </si>
  <si>
    <t>NAMA FILE</t>
  </si>
  <si>
    <t>PROSES</t>
  </si>
  <si>
    <t>2023_SEPTEMBER_20230906_115000</t>
  </si>
  <si>
    <t>HISTORY</t>
  </si>
  <si>
    <t>STATUS</t>
  </si>
  <si>
    <t>FILE PORTAL BC 23</t>
  </si>
  <si>
    <t>PORTAL</t>
  </si>
  <si>
    <t>YRD</t>
  </si>
  <si>
    <t>USD</t>
  </si>
  <si>
    <t>CN</t>
  </si>
  <si>
    <t>PCE</t>
  </si>
  <si>
    <t>DONE</t>
  </si>
  <si>
    <t>-</t>
  </si>
  <si>
    <t>YKK POLAND</t>
  </si>
  <si>
    <t>NN</t>
  </si>
  <si>
    <t>.</t>
  </si>
  <si>
    <t>PL</t>
  </si>
  <si>
    <t>MTR</t>
  </si>
  <si>
    <t>2023_SEPTEMBER_20230901_145054</t>
  </si>
  <si>
    <t>00002303067620230901008909</t>
  </si>
  <si>
    <t>05052300520520230901000130</t>
  </si>
  <si>
    <t>00002303067620230901008932</t>
  </si>
  <si>
    <t>H1122420</t>
  </si>
  <si>
    <t>MARUBENI CORPORATION</t>
  </si>
  <si>
    <t>SC230830</t>
  </si>
  <si>
    <t>NINGBO SOCO TEXTILE STOCK CORP.</t>
  </si>
  <si>
    <t>LOXY AS</t>
  </si>
  <si>
    <t>LONG BLOUSON(C98/PU2)</t>
  </si>
  <si>
    <t>CARGO PANTS(C98/PU2)</t>
  </si>
  <si>
    <t>NINGBO</t>
  </si>
  <si>
    <t>SAMPLE LINING</t>
  </si>
  <si>
    <t>SAMPLE OF  INTERLINING</t>
  </si>
  <si>
    <t>HEAT TRANSFER LOGOS</t>
  </si>
  <si>
    <t>JP</t>
  </si>
  <si>
    <t>UNTUK MEMBUAT NAMA FILE NYA</t>
  </si>
  <si>
    <t>GUNAKAN TOMBOL DIBAWAH INI</t>
  </si>
  <si>
    <t>ISI TANGGAL BERAPA</t>
  </si>
  <si>
    <t>JIKA ADA TANGGAL YANG TERLEWAT DI BULAN INI</t>
  </si>
  <si>
    <t>00002303067620230904008989</t>
  </si>
  <si>
    <t>00002302750620230901007222</t>
  </si>
  <si>
    <t>05052300520520230828000126</t>
  </si>
  <si>
    <t>00002303067620230904008995</t>
  </si>
  <si>
    <t>00002303067620230904008997</t>
  </si>
  <si>
    <t>05052300520520230829000127</t>
  </si>
  <si>
    <t>05052300520520230829000128</t>
  </si>
  <si>
    <t>00002303067620230901008911</t>
  </si>
  <si>
    <t>IE00012333</t>
  </si>
  <si>
    <t xml:space="preserve">WANGQIUJIE 12 C/O CITY KNOW EXPRESS CO </t>
  </si>
  <si>
    <t>3TTS0056</t>
  </si>
  <si>
    <t>ONEYTYODB6000402</t>
  </si>
  <si>
    <t>MARUBENI CORPORATION,</t>
  </si>
  <si>
    <t>5314316-452T23</t>
  </si>
  <si>
    <t>SHIMADA SHOJI CO.,LTD.</t>
  </si>
  <si>
    <t>IV0060027</t>
  </si>
  <si>
    <t>3TTS0055</t>
  </si>
  <si>
    <t>ONEYTYODB6000400</t>
  </si>
  <si>
    <t>3TTS0054</t>
  </si>
  <si>
    <t>ONEYTYODB6000401</t>
  </si>
  <si>
    <t>HOMK-230829-CO-MB101</t>
  </si>
  <si>
    <t>MITSUBOSHI CORPORATION</t>
  </si>
  <si>
    <t>PLASTIC &amp; NYLON ZIPPERS</t>
  </si>
  <si>
    <t>100% POLY FABRIC</t>
  </si>
  <si>
    <t>BP0949</t>
  </si>
  <si>
    <t>NYLON CARE LABEL</t>
  </si>
  <si>
    <t>POLYESTER CARE LABEL</t>
  </si>
  <si>
    <t>POLYPROPYLENE BAG</t>
  </si>
  <si>
    <t>POLYESTER WOVEN NAME</t>
  </si>
  <si>
    <t>POLYESTER SIZE NAME</t>
  </si>
  <si>
    <t>JAN CODE SEAL</t>
  </si>
  <si>
    <t>PAPER STYLE NO SEAL</t>
  </si>
  <si>
    <t>JPY</t>
  </si>
  <si>
    <t>2023_SEPTEMBER_20230904_154044</t>
  </si>
  <si>
    <t>2023_SEPTEMBER_20230905_155201</t>
  </si>
  <si>
    <t>00002303067620230905009044</t>
  </si>
  <si>
    <t>00002302750620230902007234</t>
  </si>
  <si>
    <t>00002302750620230901007225</t>
  </si>
  <si>
    <t>INVOICE NO.HOMK-230904-CO-MB101</t>
  </si>
  <si>
    <t>UNIK TEXTILE CO., LTD</t>
  </si>
  <si>
    <t>GSMITH</t>
  </si>
  <si>
    <t>AGRON INC</t>
  </si>
  <si>
    <t>ZIPPERS NO.YGRC-39 GSBN8 J PBJ2 EB GREEN-F NC-F07 (METAL) 16CM</t>
  </si>
  <si>
    <t>91% RECYCLED POLYESTER 9% SPANDEX FABRIC</t>
  </si>
  <si>
    <t>57% BCI COTTON 38% RECYCLED POLYESTER 5% SPANDEX FABRIC</t>
  </si>
  <si>
    <t>95% BCI COTTON 5% SPANDEX FABRIC</t>
  </si>
  <si>
    <t>MENS POLYESTER UNDERWEAR SAMPLES</t>
  </si>
  <si>
    <t>US</t>
  </si>
  <si>
    <t>2023_SEPTEMBER_20230910_155410</t>
  </si>
  <si>
    <t>2023_SEPTEMBER_20230911_155442</t>
  </si>
  <si>
    <t>2023_SEPTEMBER_20230912_155524</t>
  </si>
  <si>
    <t>2023_SEPTEMBER_20230913_155601</t>
  </si>
  <si>
    <t>2023_SEPTEMBER_20230915_155700</t>
  </si>
  <si>
    <t>2023_SEPTEMBER_20230917_155806</t>
  </si>
  <si>
    <t>2023_SEPTEMBER_20230918_155844</t>
  </si>
  <si>
    <t>2023_SEPTEMBER_20230919_155922</t>
  </si>
  <si>
    <t>SET</t>
  </si>
  <si>
    <t>2023_SEPTEMBER_20230921_160036</t>
  </si>
  <si>
    <t>2023_SEPTEMBER_20230922_160206</t>
  </si>
  <si>
    <t>2023_SEPTEMBER_20230925_160300</t>
  </si>
  <si>
    <t>POST BRASS DOT BUTTON</t>
  </si>
  <si>
    <t>BRASS DOT BUTTON</t>
  </si>
  <si>
    <t>POLYESTER SEWING THREAD</t>
  </si>
  <si>
    <t>POLYESTER 100% DYED FABRIC TAFFETA SLEEK</t>
  </si>
  <si>
    <t>POLYESTER NON WOVEN INTERLINING</t>
  </si>
  <si>
    <t>CJ</t>
  </si>
  <si>
    <t>NYLON STYLE NO/SIZE NAME</t>
  </si>
  <si>
    <t>UREA BUTTON</t>
  </si>
  <si>
    <t>POLYESTER ERASTIC GOMME</t>
  </si>
  <si>
    <t>CELLOPHAN TAPE</t>
  </si>
  <si>
    <t>POLYESTER MAGIC TAPE</t>
  </si>
  <si>
    <t>POLYESTER TRICOT FABRIC.(DYED)(TATEAMI)</t>
  </si>
  <si>
    <t>PRINTED LABEL 25MMX50MM #NX-NAMELABEL</t>
  </si>
  <si>
    <t>HEAT TRANSFER SHEET 22MMX155MM C/#SIL #REFLECTSHEET-BACK</t>
  </si>
  <si>
    <t>PRINTED LABEL 30MMX50MM#NX-CARELABEL GROUP NXCL(KOUNAI)WINTER FOR TOPS INDONESIA</t>
  </si>
  <si>
    <t>BP0920</t>
  </si>
  <si>
    <t>POLYESTER 100% WOVEN FABRIC DYED POPLIN</t>
  </si>
  <si>
    <t>BP0854</t>
  </si>
  <si>
    <t>POLYESTER WOVEN LABEL</t>
  </si>
  <si>
    <t>GLPTST POLYESTER 63% COTTON 34% POLYURETHANE 3% DYED FABRIC SLEEK</t>
  </si>
  <si>
    <t>ZIPPER</t>
  </si>
  <si>
    <t>BRASS RIVET BUTTON</t>
  </si>
  <si>
    <t>POLYESTER 100% NON FORMALIN PACKING (ADJUSTER)</t>
  </si>
  <si>
    <t>EYELETS BRASS</t>
  </si>
  <si>
    <t>BRASS DOT BUTTON UNDERPARTS STUD &amp; POST</t>
  </si>
  <si>
    <t>BRASS DOT BUTTON (GLADIATOR)</t>
  </si>
  <si>
    <t>POLYESTER 100% NON WOVEN FABRIC</t>
  </si>
  <si>
    <t>RAYON WOVEN LABEL</t>
  </si>
  <si>
    <t>NYLON QUICKLON (JA) CUT/TAPE</t>
  </si>
  <si>
    <t>NYLON QUICKLON (JBL) CUT/TAPE</t>
  </si>
  <si>
    <t>POLYESTER STRING THREAD</t>
  </si>
  <si>
    <t>GLADIATOR POLYESTER BUTTON</t>
  </si>
  <si>
    <t>POLYPROPYLENE BELT TAPE ROLL</t>
  </si>
  <si>
    <t>BC 2.3</t>
  </si>
  <si>
    <t>RO</t>
  </si>
  <si>
    <t>2023_SEPTEMBER_20230907_164038</t>
  </si>
  <si>
    <t>2023_SEPTEMBER_20230908_145054</t>
  </si>
  <si>
    <t>05052300520520230905000132</t>
  </si>
  <si>
    <t>05052300520520230906000133</t>
  </si>
  <si>
    <t>BK</t>
  </si>
  <si>
    <t>437216605, 6613, 6601, 6602, 6609, 6440</t>
  </si>
  <si>
    <t>437254402, 4403, 4404, 4405, 4406, 4407, 4408, 4409, 4410, 4424</t>
  </si>
  <si>
    <t>FABRIC T/C (65/35) Y/D CHMBRY CONST: 32X32/74X62, W-58/59"</t>
  </si>
  <si>
    <t>FABRIC T/C (65/35) Y/D POPLIN CONST: 45X45/95X70, W-58/59"</t>
  </si>
  <si>
    <t>PLASTIC HANGER</t>
  </si>
  <si>
    <t>SIZE STICKER</t>
  </si>
  <si>
    <t>PT23-12</t>
  </si>
  <si>
    <t>SNJKB2308012</t>
  </si>
  <si>
    <t>JIANGSU TEXTILE INDUSTRY (GROUP)</t>
  </si>
  <si>
    <t>HF23-08-006</t>
  </si>
  <si>
    <t>SNJKB2308008</t>
  </si>
  <si>
    <t>SHANGHAI TEXTILE DECORATION CORP. (GROUP)</t>
  </si>
  <si>
    <t>00002302750620230906007320</t>
  </si>
  <si>
    <t>100% COTTON SOLID</t>
  </si>
  <si>
    <t>JIANGSU TEXTILE</t>
  </si>
  <si>
    <t>00002303067620230908009173</t>
  </si>
  <si>
    <t>00002303067620230908009174</t>
  </si>
  <si>
    <t>PLASTIC AND NYLON ZIPPERS</t>
  </si>
  <si>
    <t>100% META ARAMID SEWING THREAD</t>
  </si>
  <si>
    <t>FABRIC SAMPLE - 59% MODACRYLIC 39% COTTON 2% ANTISTATIC</t>
  </si>
  <si>
    <t xml:space="preserve">REFLECTIVE TAPE </t>
  </si>
  <si>
    <t>IE00012873</t>
  </si>
  <si>
    <t>FR PROTECTION POLAND SP. Z O.</t>
  </si>
  <si>
    <t>EUR</t>
  </si>
  <si>
    <t>00002302750620230906007313</t>
  </si>
  <si>
    <t>KNITTING FABRIC 94%LYOCELL+6%SPANDEX</t>
  </si>
  <si>
    <t>LENZING FIBERS</t>
  </si>
  <si>
    <t>00002303067620230911009235</t>
  </si>
  <si>
    <t>00002303067620230911009237</t>
  </si>
  <si>
    <t>00002303067620230911009239</t>
  </si>
  <si>
    <t>00002303067620230908009180</t>
  </si>
  <si>
    <t>05052300520520230904000131</t>
  </si>
  <si>
    <t>00002303067620230911009252</t>
  </si>
  <si>
    <t>DENSO014</t>
  </si>
  <si>
    <t>DENSO012</t>
  </si>
  <si>
    <t>POLYPROPYLENE BAG (GYF-04) CUT:300MM X 385MM + 50MM</t>
  </si>
  <si>
    <t>PAPER PRINTED LABEL</t>
  </si>
  <si>
    <t>NYLON LOCKS PIN</t>
  </si>
  <si>
    <t>FABRIC SWATCH(TC100)</t>
  </si>
  <si>
    <t>SEAL40MM X 60MMCASE BARCODE(CODE39)</t>
  </si>
  <si>
    <t>RFID WAPPENFOR ART LONG SLEEVE SHIRTSIZE:L</t>
  </si>
  <si>
    <t>RFID WAPPENFOR ART LONG SLEEVE SHIRTSIZE:LL</t>
  </si>
  <si>
    <t>RFID WAPPENFOR ART LONG SLEEVE SHIRTSIZE:3L</t>
  </si>
  <si>
    <t>MEN 90% NYLON 10% SPANDEX WOVEN PANTS</t>
  </si>
  <si>
    <t>100% NYLON ZIPPER - SMS TRIMS CARD</t>
  </si>
  <si>
    <t>WOMEN 90% NYLON 10% SPANDEX WOVEN PANTS</t>
  </si>
  <si>
    <t>MEN 90% NYLON 10% SPANDEX WOVEN SHORTS</t>
  </si>
  <si>
    <t>44% NYLON 25.7% RUBBER 30.3% POLYESTER</t>
  </si>
  <si>
    <t>WOMEN 90% NYLON 10% SPANDEX WOVEN SHORTS</t>
  </si>
  <si>
    <t>METAL MOLD</t>
  </si>
  <si>
    <t>WOMEN 100% NYLON WOVEN PANTS</t>
  </si>
  <si>
    <t>POLYESTER EMBROIDERY THREAD.75D-X2 3000M/CONE POLYESTER 100%</t>
  </si>
  <si>
    <t>(SIR-1) POLYESTER WOVEN LABEL(CUT) SIZE: 10 MM X 37 MM</t>
  </si>
  <si>
    <t>(TB-SLB) NYLON PRINTED LABEL.(CUT) SIZE : 30MM X 75MM</t>
  </si>
  <si>
    <t>(PE03-300X450) POLYESTER BAG. SIZE: 300 MM X 450MM</t>
  </si>
  <si>
    <t>FABRIC NO.M262048 POLYESTER 80% COTTON 20% DYED DOBBY CLOTH 34/1 X TF150D, 111 X 70</t>
  </si>
  <si>
    <t>FABRIC NO.M2201PG POLYESTER 65% COTTON 35% DYED DOBBY CLOTH 34/1+SEIDEN X 34/1, 118+3 X 66</t>
  </si>
  <si>
    <t>(VSOR-46 NA EW PT13 NEWKOB4 OP-NW2P) VISLON ZIPPER OPEN END.(N-ANTI)(NC-F06)ETHANE 20%</t>
  </si>
  <si>
    <t>(PLANCER-L20) DOTTING BUTTON.(CAP)(POLYACETAL MADE)</t>
  </si>
  <si>
    <t>(PLAHCER20) DOTTING BUTTON.(SOKET)(POLYESTER MADE)</t>
  </si>
  <si>
    <t>(PLANCER-L20) DOTTING BUTTON.(STUD)(POLYESTER MADE)</t>
  </si>
  <si>
    <t>(07080)NO FORMALIN PACKING.SIZE: 10 MM X 2.8 MM POLYESTER 80% &amp; POLYURETHANE 20%</t>
  </si>
  <si>
    <t>(KBS22S) NON WOVEN FABRIC.(FUSED) WIDTH : 100CM, POLYESTER 100% ABT. 35G/M ABT. 100M/ROLL</t>
  </si>
  <si>
    <t>(TC111) POLYESTER &amp; COTTON TAFFETA SLEEK.(DYED) WIDTH: 122CM POLYESTER 65% &amp; COTTON 35% 45/1 X 45/1 - 88 X 64 ABT.50M/ROLL  ABT.87.7G/M</t>
  </si>
  <si>
    <t>(VSC-46 NA EW PT13)VISLON ZIPPER CLOSED END.(N-ANTI)(NC-F06)</t>
  </si>
  <si>
    <t>PANTS SAMPLES</t>
  </si>
  <si>
    <t>TAG PIN SAMPLES</t>
  </si>
  <si>
    <t>INVOICE NO.HOMK-230908-CO-MB101</t>
  </si>
  <si>
    <t>20230908Q698</t>
  </si>
  <si>
    <t>MARUBENI FASHION LINK, LTD.</t>
  </si>
  <si>
    <t>IV00060204</t>
  </si>
  <si>
    <t>HP23-0907</t>
  </si>
  <si>
    <t>HEXAPOLE COMPANY LIMITED</t>
  </si>
  <si>
    <t>ONEYTYODA2637800</t>
  </si>
  <si>
    <t>SHINATOMO CO., LTD</t>
  </si>
  <si>
    <t>TM20230906</t>
  </si>
  <si>
    <t>ZHEJIANG KUAIDING ROBOTS CO.LTD.</t>
  </si>
  <si>
    <t>HK</t>
  </si>
  <si>
    <t>00002303067620230912009284</t>
  </si>
  <si>
    <t>00002302750620230908007376</t>
  </si>
  <si>
    <t>00002302750620230908007378</t>
  </si>
  <si>
    <t>SH600P POLYESTER INSIDE BELT 38MM</t>
  </si>
  <si>
    <t>PE03-300X450 POLYESTER BAG</t>
  </si>
  <si>
    <t>91%RECYCLED POLYESTER 9% SPANDEX FABRIC</t>
  </si>
  <si>
    <t>95%BCI COTTON 5% SPANDEX FABRIC</t>
  </si>
  <si>
    <t>100% COTTON FABRIC</t>
  </si>
  <si>
    <t>SHINATOMO.CO.,LTD</t>
  </si>
  <si>
    <t>00002303067620230913009343</t>
  </si>
  <si>
    <t>00002303067620230913009345</t>
  </si>
  <si>
    <t>00002303067620230913009346</t>
  </si>
  <si>
    <t>NYLON STYLE NO/SIZE NAME SIZE-2</t>
  </si>
  <si>
    <t>POLYESTER 100% SHIRTING INTERLINING DYED</t>
  </si>
  <si>
    <t>POLYESTER BUTTON</t>
  </si>
  <si>
    <t>POLYESTER 100% PACKIN</t>
  </si>
  <si>
    <t>WOVNE FABRIC POLYESTER 65% COTTON 35%</t>
  </si>
  <si>
    <t>IE00013233</t>
  </si>
  <si>
    <t>SGF20230912-1</t>
  </si>
  <si>
    <t>SG CORPORATION CO.,LTD</t>
  </si>
  <si>
    <t>H1123050</t>
  </si>
  <si>
    <t>00002303067620230915009443</t>
  </si>
  <si>
    <t>MEN'S PANTS POLYESTER 100%</t>
  </si>
  <si>
    <t>MY0914DC</t>
  </si>
  <si>
    <t>MATSUOKA TRADING</t>
  </si>
  <si>
    <t>00002302750620230914007505</t>
  </si>
  <si>
    <t>T/C FABRIC 21X21 100X50 57/58</t>
  </si>
  <si>
    <t>00002302750620230915007529</t>
  </si>
  <si>
    <t>00002303067620230918009537</t>
  </si>
  <si>
    <t>00002303067620230918009543</t>
  </si>
  <si>
    <t>JACKET UNIFORM</t>
  </si>
  <si>
    <t>NAVY 97% COTTON 3% SPANDEX FABRIC</t>
  </si>
  <si>
    <t>AILE ELECTRONIC COMMERCE CO.LTD</t>
  </si>
  <si>
    <t>H1123251</t>
  </si>
  <si>
    <t>THA2023091401</t>
  </si>
  <si>
    <t>TEXHONG DYEING AND PRINTING VIETNAM</t>
  </si>
  <si>
    <t>VN</t>
  </si>
  <si>
    <t>00002303067620230919009579</t>
  </si>
  <si>
    <t>00002302750620230915007535</t>
  </si>
  <si>
    <t>00002303067620230919009582</t>
  </si>
  <si>
    <t>100% NYLON ZIPPER</t>
  </si>
  <si>
    <t>90% NYLON 10% SPANDEX WOVEN PANTS</t>
  </si>
  <si>
    <t>100% POLYESTER WEBBING MOCKUP</t>
  </si>
  <si>
    <t>100% POLYESTER EYELET STRIKE OFF</t>
  </si>
  <si>
    <t>FABRIC 100% COTTON</t>
  </si>
  <si>
    <t>FABRIC TC</t>
  </si>
  <si>
    <t>BUTTON</t>
  </si>
  <si>
    <t>HP23-0918</t>
  </si>
  <si>
    <t>THREE STARS CO., LTD</t>
  </si>
  <si>
    <t>00002303067620230921009672</t>
  </si>
  <si>
    <t>SGF20230920-7</t>
  </si>
  <si>
    <t>00002302750620230919007611</t>
  </si>
  <si>
    <t>100% POLYESTER NON WOVEN FABRIC</t>
  </si>
  <si>
    <t>N/A</t>
  </si>
  <si>
    <t>SHINATOMO, CO.,LTD. - RUI NAKATANI</t>
  </si>
  <si>
    <t>00002303067620230921009694</t>
  </si>
  <si>
    <t>EYELET BRASS</t>
  </si>
  <si>
    <t>POLYESTER 100% NON FORMALIN PACKING</t>
  </si>
  <si>
    <t>NYLON QUICKLON CUT/TAPE</t>
  </si>
  <si>
    <t>POLYESTER 63% COTTON 34% POLYURETHANE 3% DYED FABRIC SLEEK</t>
  </si>
  <si>
    <t>POLYESTER 100% NO WOVEN FABRIC</t>
  </si>
  <si>
    <t>POLYESTER BUTTON SIZE</t>
  </si>
  <si>
    <t>HOMK-230920-CO-MB101</t>
  </si>
  <si>
    <t>2023_SEPTEMBER_20230926_104720</t>
  </si>
  <si>
    <t>00002302750620230921007701</t>
  </si>
  <si>
    <t>00002302750620230923007749</t>
  </si>
  <si>
    <t>00002303067620230925009835</t>
  </si>
  <si>
    <t>100% POLY FABRIC SAMPLE</t>
  </si>
  <si>
    <t>100% POLY FABRIC N.C.V.</t>
  </si>
  <si>
    <t>ZIPPER POLYESTER 100%</t>
  </si>
  <si>
    <t>BRAND NAME POLYESTER 100%</t>
  </si>
  <si>
    <t>WASHING NAMENYLON 100%</t>
  </si>
  <si>
    <t>TAPE POLYESTER 100% BINDER WOVEN</t>
  </si>
  <si>
    <t>TAG PAPER 100%</t>
  </si>
  <si>
    <t>EMBROIDERY THREAD RAYON 100%</t>
  </si>
  <si>
    <t>TRANSFER SHEET POLYURETHANE 100%</t>
  </si>
  <si>
    <t>WASHING NAME NYLON 100%</t>
  </si>
  <si>
    <t>ELASTIC WEBBING NYLON 100%</t>
  </si>
  <si>
    <t>SPINDLE POLYESTER 100%</t>
  </si>
  <si>
    <t>SEWING THREAD NYLON 100% WOOLLIE</t>
  </si>
  <si>
    <t>AILE ELECTRONIC COMMERCE CO., LTD</t>
  </si>
  <si>
    <t>MY0923DC</t>
  </si>
  <si>
    <t>MATSUOKATRADING.CO.LTD</t>
  </si>
  <si>
    <t>2023_SEPTEMBER_20230927_105013</t>
  </si>
  <si>
    <t>00002303067620230927009958</t>
  </si>
  <si>
    <t>FABRIC 98% COTTON 2% POLYURETHANE (PU)</t>
  </si>
  <si>
    <t>TOYO LOGISTIC(SHANGHAI)CO.LTD.</t>
  </si>
  <si>
    <t>02-10-2023</t>
  </si>
  <si>
    <t>2023_OKTOBER_20231002_160523</t>
  </si>
  <si>
    <t>00002303067620230929010063</t>
  </si>
  <si>
    <t>00002303067620230929010070</t>
  </si>
  <si>
    <t>POLYESTER COIL ZIPPER CLOSED END</t>
  </si>
  <si>
    <t>UNIFORM SCRUB TOPS #133-95 POL 100%</t>
  </si>
  <si>
    <t>UNIFORM SCRUB TOPS #133- POL 100%</t>
  </si>
  <si>
    <t>UNIFORM SCRUB TOPS #133-72 POL 100%</t>
  </si>
  <si>
    <t>SMDVN27092023</t>
  </si>
  <si>
    <t>SHIMADA SHOJI (VIET NAM) CO.,LTD</t>
  </si>
  <si>
    <t>H1123727</t>
  </si>
  <si>
    <t>220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</si>
</sst>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theme="0"/>
      <name val="Arial"/>
      <family val="2"/>
    </font>
    <font>
      <sz val="11"/>
      <color theme="7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3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3" borderId="0" xfId="0" applyFont="1" applyFill="1"/>
    <xf numFmtId="0" fontId="4" fillId="4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6" fillId="4" borderId="1" xfId="0" applyNumberFormat="1" applyFont="1" applyFill="1" applyBorder="1" applyAlignment="1">
      <alignment horizontal="left"/>
    </xf>
    <xf numFmtId="15" fontId="0" fillId="0" borderId="0" xfId="0" applyNumberFormat="1"/>
    <xf numFmtId="0" fontId="0" fillId="5" borderId="0" xfId="0" applyFill="1"/>
    <xf numFmtId="0" fontId="0" fillId="6" borderId="0" xfId="0" applyFill="1"/>
    <xf numFmtId="0" fontId="7" fillId="7" borderId="2" xfId="0" applyFont="1" applyFill="1" applyBorder="1" applyAlignment="1">
      <alignment horizontal="left" vertical="center"/>
    </xf>
    <xf numFmtId="0" fontId="7" fillId="8" borderId="0" xfId="0" applyFont="1" applyFill="1"/>
    <xf numFmtId="0" fontId="7" fillId="7" borderId="2" xfId="0" applyFont="1" applyFill="1" applyBorder="1" applyAlignment="1">
      <alignment vertical="center"/>
    </xf>
    <xf numFmtId="0" fontId="7" fillId="0" borderId="0" xfId="0" applyFont="1"/>
    <xf numFmtId="15" fontId="0" fillId="0" borderId="0" xfId="0" applyNumberFormat="1" applyAlignment="1">
      <alignment horizontal="center" vertical="center"/>
    </xf>
    <xf numFmtId="0" fontId="9" fillId="2" borderId="0" xfId="0" applyFont="1" applyFill="1"/>
    <xf numFmtId="0" fontId="8" fillId="2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49" fontId="12" fillId="12" borderId="2" xfId="0" applyNumberFormat="1" applyFont="1" applyFill="1" applyBorder="1" applyAlignment="1">
      <alignment horizontal="center" vertical="center"/>
    </xf>
    <xf numFmtId="0" fontId="1" fillId="12" borderId="2" xfId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955DAF96-996E-46C6-974F-1F6BA09F46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25</xdr:row>
      <xdr:rowOff>8572</xdr:rowOff>
    </xdr:from>
    <xdr:to>
      <xdr:col>1</xdr:col>
      <xdr:colOff>68580</xdr:colOff>
      <xdr:row>27</xdr:row>
      <xdr:rowOff>145732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875" y="4771072"/>
          <a:ext cx="1363980" cy="51816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 b="1">
              <a:solidFill>
                <a:schemeClr val="tx1"/>
              </a:solidFill>
              <a:latin typeface="Comic Sans MS" panose="030F0702030302020204" pitchFamily="66" charset="0"/>
            </a:rPr>
            <a:t>GASKEN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537729</xdr:colOff>
          <xdr:row>2</xdr:row>
          <xdr:rowOff>125556</xdr:rowOff>
        </xdr:from>
        <xdr:to>
          <xdr:col>4</xdr:col>
          <xdr:colOff>1870364</xdr:colOff>
          <xdr:row>4</xdr:row>
          <xdr:rowOff>173180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8</xdr:row>
      <xdr:rowOff>38099</xdr:rowOff>
    </xdr:from>
    <xdr:to>
      <xdr:col>11</xdr:col>
      <xdr:colOff>438151</xdr:colOff>
      <xdr:row>11</xdr:row>
      <xdr:rowOff>180974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86425" y="1562099"/>
          <a:ext cx="1457326" cy="714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onsolas" panose="020B0609020204030204" pitchFamily="49" charset="0"/>
            </a:rPr>
            <a:t>PROCESS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47625</xdr:rowOff>
        </xdr:from>
        <xdr:to>
          <xdr:col>1</xdr:col>
          <xdr:colOff>171450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%20PORTA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69B3-691A-4587-9E17-BBA07C45A8FA}">
  <sheetPr codeName="Sheet1"/>
  <dimension ref="C2:H23"/>
  <sheetViews>
    <sheetView showGridLines="0" workbookViewId="0">
      <selection activeCell="G23" sqref="G23"/>
    </sheetView>
  </sheetViews>
  <sheetFormatPr defaultColWidth="9.140625" defaultRowHeight="15" x14ac:dyDescent="0.25"/>
  <cols>
    <col min="1" max="2" width="9.140625" style="1"/>
    <col min="3" max="3" width="32.85546875" style="1" bestFit="1" customWidth="1"/>
    <col min="4" max="4" width="10" style="1" customWidth="1"/>
    <col min="5" max="6" width="9.140625" style="1"/>
    <col min="7" max="7" width="32.85546875" style="1" bestFit="1" customWidth="1"/>
    <col min="8" max="8" width="12.42578125" style="1" bestFit="1" customWidth="1"/>
    <col min="9" max="9" width="9.140625" style="1"/>
    <col min="10" max="10" width="32.28515625" style="1" bestFit="1" customWidth="1"/>
    <col min="11" max="12" width="9.140625" style="1"/>
    <col min="13" max="13" width="32.28515625" style="1" bestFit="1" customWidth="1"/>
    <col min="14" max="16384" width="9.140625" style="1"/>
  </cols>
  <sheetData>
    <row r="2" spans="3:8" ht="15.75" x14ac:dyDescent="0.25">
      <c r="C2" s="27" t="s">
        <v>39</v>
      </c>
      <c r="D2" s="27"/>
      <c r="G2" s="28" t="s">
        <v>37</v>
      </c>
      <c r="H2" s="28"/>
    </row>
    <row r="3" spans="3:8" ht="15.75" x14ac:dyDescent="0.25">
      <c r="C3" s="19" t="s">
        <v>34</v>
      </c>
      <c r="D3" s="19" t="s">
        <v>35</v>
      </c>
      <c r="G3" s="20" t="s">
        <v>34</v>
      </c>
      <c r="H3" s="20" t="s">
        <v>38</v>
      </c>
    </row>
    <row r="4" spans="3:8" x14ac:dyDescent="0.25">
      <c r="C4" s="1" t="s">
        <v>338</v>
      </c>
      <c r="D4" s="1" t="s">
        <v>45</v>
      </c>
      <c r="G4" s="1" t="s">
        <v>52</v>
      </c>
      <c r="H4" s="1" t="s">
        <v>45</v>
      </c>
    </row>
    <row r="5" spans="3:8" x14ac:dyDescent="0.25">
      <c r="G5" s="1" t="s">
        <v>105</v>
      </c>
      <c r="H5" s="1" t="s">
        <v>45</v>
      </c>
    </row>
    <row r="6" spans="3:8" x14ac:dyDescent="0.25">
      <c r="G6" s="1" t="s">
        <v>106</v>
      </c>
      <c r="H6" s="1" t="s">
        <v>45</v>
      </c>
    </row>
    <row r="7" spans="3:8" x14ac:dyDescent="0.25">
      <c r="G7" s="1" t="s">
        <v>36</v>
      </c>
      <c r="H7" s="1" t="s">
        <v>45</v>
      </c>
    </row>
    <row r="8" spans="3:8" x14ac:dyDescent="0.25">
      <c r="G8" s="1" t="s">
        <v>167</v>
      </c>
      <c r="H8" s="1" t="s">
        <v>45</v>
      </c>
    </row>
    <row r="9" spans="3:8" x14ac:dyDescent="0.25">
      <c r="G9" s="1" t="s">
        <v>168</v>
      </c>
      <c r="H9" s="1" t="s">
        <v>45</v>
      </c>
    </row>
    <row r="10" spans="3:8" x14ac:dyDescent="0.25">
      <c r="G10" s="1" t="s">
        <v>120</v>
      </c>
      <c r="H10" s="1" t="s">
        <v>45</v>
      </c>
    </row>
    <row r="11" spans="3:8" x14ac:dyDescent="0.25">
      <c r="G11" s="1" t="s">
        <v>121</v>
      </c>
      <c r="H11" s="1" t="s">
        <v>45</v>
      </c>
    </row>
    <row r="12" spans="3:8" x14ac:dyDescent="0.25">
      <c r="G12" s="1" t="s">
        <v>122</v>
      </c>
      <c r="H12" s="1" t="s">
        <v>45</v>
      </c>
    </row>
    <row r="13" spans="3:8" x14ac:dyDescent="0.25">
      <c r="G13" s="1" t="s">
        <v>123</v>
      </c>
      <c r="H13" s="1" t="s">
        <v>45</v>
      </c>
    </row>
    <row r="14" spans="3:8" x14ac:dyDescent="0.25">
      <c r="G14" s="1" t="s">
        <v>124</v>
      </c>
      <c r="H14" s="1" t="s">
        <v>45</v>
      </c>
    </row>
    <row r="15" spans="3:8" x14ac:dyDescent="0.25">
      <c r="G15" s="1" t="s">
        <v>125</v>
      </c>
      <c r="H15" s="1" t="s">
        <v>45</v>
      </c>
    </row>
    <row r="16" spans="3:8" x14ac:dyDescent="0.25">
      <c r="G16" s="1" t="s">
        <v>126</v>
      </c>
      <c r="H16" s="1" t="s">
        <v>45</v>
      </c>
    </row>
    <row r="17" spans="7:8" x14ac:dyDescent="0.25">
      <c r="G17" s="1" t="s">
        <v>127</v>
      </c>
      <c r="H17" s="1" t="s">
        <v>45</v>
      </c>
    </row>
    <row r="18" spans="7:8" x14ac:dyDescent="0.25">
      <c r="G18" s="1" t="s">
        <v>129</v>
      </c>
      <c r="H18" s="1" t="s">
        <v>45</v>
      </c>
    </row>
    <row r="19" spans="7:8" x14ac:dyDescent="0.25">
      <c r="G19" s="1" t="s">
        <v>130</v>
      </c>
      <c r="H19" s="1" t="s">
        <v>45</v>
      </c>
    </row>
    <row r="20" spans="7:8" x14ac:dyDescent="0.25">
      <c r="G20" s="1" t="s">
        <v>131</v>
      </c>
      <c r="H20" s="1" t="s">
        <v>45</v>
      </c>
    </row>
    <row r="21" spans="7:8" x14ac:dyDescent="0.25">
      <c r="G21" s="1" t="s">
        <v>313</v>
      </c>
      <c r="H21" s="1" t="s">
        <v>45</v>
      </c>
    </row>
    <row r="22" spans="7:8" x14ac:dyDescent="0.25">
      <c r="G22" s="1" t="s">
        <v>333</v>
      </c>
      <c r="H22" s="1" t="s">
        <v>45</v>
      </c>
    </row>
    <row r="23" spans="7:8" x14ac:dyDescent="0.25">
      <c r="G23" s="1" t="s">
        <v>338</v>
      </c>
      <c r="H23" s="1" t="s">
        <v>45</v>
      </c>
    </row>
  </sheetData>
  <mergeCells count="2">
    <mergeCell ref="C2:D2"/>
    <mergeCell ref="G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2353-5156-49EB-B15C-65230DD0A774}">
  <sheetPr codeName="Sheet3"/>
  <dimension ref="A1:E6"/>
  <sheetViews>
    <sheetView showGridLines="0" tabSelected="1" zoomScale="110" zoomScaleNormal="110" workbookViewId="0"/>
  </sheetViews>
  <sheetFormatPr defaultColWidth="9.140625" defaultRowHeight="15.75" x14ac:dyDescent="0.25"/>
  <cols>
    <col min="1" max="1" width="24" style="21" bestFit="1" customWidth="1"/>
    <col min="2" max="2" width="16.7109375" style="21" bestFit="1" customWidth="1"/>
    <col min="3" max="3" width="15.42578125" style="21" bestFit="1" customWidth="1"/>
    <col min="4" max="4" width="59.42578125" style="21" bestFit="1" customWidth="1"/>
    <col min="5" max="5" width="37" style="21" bestFit="1" customWidth="1"/>
    <col min="6" max="6" width="32.85546875" style="21" bestFit="1" customWidth="1"/>
    <col min="7" max="16384" width="9.140625" style="21"/>
  </cols>
  <sheetData>
    <row r="1" spans="1:5" ht="24.75" customHeight="1" x14ac:dyDescent="0.25">
      <c r="A1" s="23" t="s">
        <v>0</v>
      </c>
      <c r="B1" s="23" t="s">
        <v>1</v>
      </c>
      <c r="C1" s="23" t="s">
        <v>2</v>
      </c>
      <c r="D1" s="23" t="s">
        <v>5</v>
      </c>
      <c r="E1" s="23" t="s">
        <v>3</v>
      </c>
    </row>
    <row r="2" spans="1:5" x14ac:dyDescent="0.25">
      <c r="A2" s="24" t="s">
        <v>4</v>
      </c>
      <c r="B2" s="24" t="s">
        <v>6</v>
      </c>
      <c r="C2" s="25" t="s">
        <v>337</v>
      </c>
      <c r="D2" s="26" t="s">
        <v>7</v>
      </c>
      <c r="E2" s="24" t="str">
        <f ca="1">YEAR(C2)&amp;"_"&amp;TEXT(NOW(),"mmmm")&amp;"_"&amp;YEAR(C2)&amp;DAY(C2)&amp;MONTH(C2)&amp;"_"&amp;TEXT(NOW(),"hhmmss")</f>
        <v>2023_October_2023102_162749</v>
      </c>
    </row>
    <row r="4" spans="1:5" x14ac:dyDescent="0.25">
      <c r="D4" s="22"/>
    </row>
    <row r="6" spans="1:5" x14ac:dyDescent="0.25">
      <c r="C6" s="22"/>
    </row>
  </sheetData>
  <sortState xmlns:xlrd2="http://schemas.microsoft.com/office/spreadsheetml/2017/richdata2" ref="F2:F19">
    <sortCondition ref="F2:F19"/>
  </sortState>
  <hyperlinks>
    <hyperlink ref="D2" r:id="rId1" xr:uid="{CF439A40-5ABD-4FCB-8172-F8FA10EF7E9E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4</xdr:col>
                <xdr:colOff>533400</xdr:colOff>
                <xdr:row>2</xdr:row>
                <xdr:rowOff>123825</xdr:rowOff>
              </from>
              <to>
                <xdr:col>4</xdr:col>
                <xdr:colOff>1866900</xdr:colOff>
                <xdr:row>4</xdr:row>
                <xdr:rowOff>171450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7C23-377D-47D5-84D2-32DB39C1BC7A}">
  <sheetPr codeName="Sheet2">
    <pageSetUpPr autoPageBreaks="0"/>
  </sheetPr>
  <dimension ref="A1:Q20"/>
  <sheetViews>
    <sheetView showGridLines="0" zoomScaleNormal="100" workbookViewId="0">
      <selection activeCell="K8" sqref="K8"/>
    </sheetView>
  </sheetViews>
  <sheetFormatPr defaultRowHeight="15" x14ac:dyDescent="0.25"/>
  <cols>
    <col min="1" max="1" width="10.42578125" style="2" customWidth="1"/>
    <col min="2" max="2" width="10.140625" style="2" customWidth="1"/>
    <col min="3" max="3" width="5.5703125" style="2" customWidth="1"/>
    <col min="4" max="16384" width="9.140625" style="2"/>
  </cols>
  <sheetData>
    <row r="1" spans="1:17" s="10" customFormat="1" ht="10.5" customHeight="1" x14ac:dyDescent="0.25">
      <c r="J1" s="2"/>
      <c r="K1" s="2"/>
      <c r="L1" s="2"/>
    </row>
    <row r="2" spans="1:17" s="10" customFormat="1" ht="9" customHeight="1" x14ac:dyDescent="0.25">
      <c r="J2" s="2"/>
      <c r="K2" s="2"/>
      <c r="L2" s="2"/>
    </row>
    <row r="5" spans="1:17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ht="30.75" customHeight="1" x14ac:dyDescent="0.25">
      <c r="A6" s="29" t="s">
        <v>71</v>
      </c>
      <c r="B6" s="29"/>
      <c r="C6" s="29"/>
      <c r="D6" s="29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25">
      <c r="A7" s="30" t="s">
        <v>69</v>
      </c>
      <c r="B7" s="30"/>
      <c r="C7" s="30"/>
      <c r="D7" s="30"/>
      <c r="E7" s="3"/>
      <c r="F7" s="3"/>
      <c r="G7" s="3"/>
      <c r="H7" s="3"/>
      <c r="I7" s="11"/>
      <c r="J7" s="11"/>
      <c r="K7" s="3"/>
      <c r="L7" s="11"/>
      <c r="M7" s="11"/>
      <c r="N7" s="3"/>
      <c r="O7" s="3"/>
      <c r="P7" s="3"/>
      <c r="Q7" s="3"/>
    </row>
    <row r="8" spans="1:17" x14ac:dyDescent="0.25">
      <c r="A8" s="30" t="s">
        <v>68</v>
      </c>
      <c r="B8" s="30"/>
      <c r="C8" s="30"/>
      <c r="D8" s="30"/>
      <c r="E8" s="3"/>
      <c r="F8" s="3"/>
      <c r="G8" s="3"/>
      <c r="H8" s="3"/>
      <c r="I8" s="11"/>
      <c r="J8" s="3"/>
      <c r="K8" s="3"/>
      <c r="L8" s="3"/>
      <c r="M8" s="11"/>
      <c r="N8" s="3"/>
      <c r="O8" s="3"/>
      <c r="P8" s="3"/>
      <c r="Q8" s="3"/>
    </row>
    <row r="9" spans="1:17" x14ac:dyDescent="0.25">
      <c r="A9" s="17"/>
      <c r="B9" s="17"/>
      <c r="C9" s="17"/>
      <c r="D9" s="17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 x14ac:dyDescent="0.25">
      <c r="A10" s="30" t="s">
        <v>70</v>
      </c>
      <c r="B10" s="30"/>
      <c r="C10" s="18">
        <v>25</v>
      </c>
      <c r="D10" s="17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 x14ac:dyDescent="0.25">
      <c r="A11" s="17"/>
      <c r="B11" s="17"/>
      <c r="C11" s="17"/>
      <c r="D11" s="17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x14ac:dyDescent="0.25">
      <c r="A12" s="17"/>
      <c r="B12" s="17"/>
      <c r="C12" s="17"/>
      <c r="D12" s="17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17" x14ac:dyDescent="0.25">
      <c r="A13" s="17"/>
      <c r="B13" s="17"/>
      <c r="C13" s="17"/>
      <c r="D13" s="17"/>
      <c r="E13" s="3"/>
      <c r="F13" s="3"/>
      <c r="G13" s="3"/>
      <c r="H13" s="3"/>
      <c r="I13" s="11"/>
      <c r="J13" s="3"/>
      <c r="K13" s="3"/>
      <c r="L13" s="3"/>
      <c r="M13" s="11"/>
      <c r="N13" s="3"/>
      <c r="O13" s="3"/>
      <c r="P13" s="3"/>
      <c r="Q13" s="3"/>
    </row>
    <row r="14" spans="1:17" x14ac:dyDescent="0.25">
      <c r="E14" s="3"/>
      <c r="F14" s="3"/>
      <c r="G14" s="3"/>
      <c r="H14" s="3"/>
      <c r="I14" s="11"/>
      <c r="J14" s="11"/>
      <c r="K14" s="3"/>
      <c r="L14" s="11"/>
      <c r="M14" s="11"/>
      <c r="N14" s="3"/>
      <c r="O14" s="3"/>
      <c r="P14" s="3"/>
      <c r="Q14" s="3"/>
    </row>
    <row r="15" spans="1:17" x14ac:dyDescent="0.25"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x14ac:dyDescent="0.25"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9" spans="10:12" s="10" customFormat="1" x14ac:dyDescent="0.25">
      <c r="J19" s="2"/>
      <c r="K19" s="2"/>
      <c r="L19" s="2"/>
    </row>
    <row r="20" spans="10:12" s="10" customFormat="1" x14ac:dyDescent="0.25">
      <c r="J20" s="2"/>
      <c r="K20" s="2"/>
      <c r="L20" s="2"/>
    </row>
  </sheetData>
  <mergeCells count="4">
    <mergeCell ref="A6:D6"/>
    <mergeCell ref="A7:D7"/>
    <mergeCell ref="A8:D8"/>
    <mergeCell ref="A10:B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0</xdr:col>
                <xdr:colOff>0</xdr:colOff>
                <xdr:row>20</xdr:row>
                <xdr:rowOff>47625</xdr:rowOff>
              </from>
              <to>
                <xdr:col>1</xdr:col>
                <xdr:colOff>171450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F0A3-CDD2-40B3-94B9-CBE7422A61D9}">
  <sheetPr codeName="Sheet20"/>
  <dimension ref="A1:Z254"/>
  <sheetViews>
    <sheetView zoomScale="80" zoomScaleNormal="80" workbookViewId="0">
      <pane ySplit="3" topLeftCell="A124" activePane="bottomLeft" state="frozen"/>
      <selection pane="bottomLeft" activeCell="C1" sqref="C1"/>
    </sheetView>
  </sheetViews>
  <sheetFormatPr defaultRowHeight="15" x14ac:dyDescent="0.25"/>
  <cols>
    <col min="1" max="1" width="7" bestFit="1" customWidth="1"/>
    <col min="2" max="2" width="14.7109375" customWidth="1"/>
    <col min="3" max="3" width="29.85546875" bestFit="1" customWidth="1"/>
    <col min="4" max="4" width="19.42578125" bestFit="1" customWidth="1"/>
    <col min="5" max="5" width="20.85546875" bestFit="1" customWidth="1"/>
    <col min="6" max="6" width="37" bestFit="1" customWidth="1"/>
    <col min="7" max="7" width="20.85546875" bestFit="1" customWidth="1"/>
    <col min="8" max="8" width="20.28515625" bestFit="1" customWidth="1"/>
    <col min="9" max="9" width="21" bestFit="1" customWidth="1"/>
    <col min="10" max="10" width="47.28515625" bestFit="1" customWidth="1"/>
    <col min="11" max="11" width="16.42578125" bestFit="1" customWidth="1"/>
    <col min="12" max="12" width="61" bestFit="1" customWidth="1"/>
    <col min="13" max="13" width="144.42578125" bestFit="1" customWidth="1"/>
    <col min="14" max="14" width="12.28515625" bestFit="1" customWidth="1"/>
    <col min="15" max="15" width="15" bestFit="1" customWidth="1"/>
    <col min="16" max="17" width="15.5703125" bestFit="1" customWidth="1"/>
    <col min="18" max="19" width="11.5703125" bestFit="1" customWidth="1"/>
    <col min="20" max="20" width="17.28515625" bestFit="1" customWidth="1"/>
    <col min="21" max="21" width="11.28515625" bestFit="1" customWidth="1"/>
    <col min="22" max="22" width="9.85546875" bestFit="1" customWidth="1"/>
    <col min="23" max="23" width="27.42578125" bestFit="1" customWidth="1"/>
    <col min="24" max="24" width="17.7109375" customWidth="1"/>
    <col min="25" max="25" width="13" bestFit="1" customWidth="1"/>
    <col min="26" max="26" width="12" bestFit="1" customWidth="1"/>
    <col min="27" max="27" width="11" bestFit="1" customWidth="1"/>
  </cols>
  <sheetData>
    <row r="1" spans="1:26" x14ac:dyDescent="0.25">
      <c r="A1" s="4" t="s">
        <v>6</v>
      </c>
      <c r="B1" s="4"/>
      <c r="C1" s="5" t="s">
        <v>348</v>
      </c>
      <c r="D1" s="32"/>
      <c r="E1" s="6"/>
      <c r="H1" s="7"/>
      <c r="I1" s="6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1:26" x14ac:dyDescent="0.25">
      <c r="A2" s="31" t="s">
        <v>33</v>
      </c>
      <c r="B2" s="31"/>
      <c r="C2" s="8">
        <v>45201.673773148148</v>
      </c>
      <c r="D2" s="33"/>
      <c r="E2" s="6"/>
      <c r="H2" s="7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>
        <f>SUBTOTAL(9,$Y$4:$Y$1048576)</f>
        <v>4117441738.2700014</v>
      </c>
    </row>
    <row r="3" spans="1:26" s="15" customFormat="1" x14ac:dyDescent="0.25">
      <c r="A3" s="14" t="s">
        <v>8</v>
      </c>
      <c r="B3" s="12" t="s">
        <v>13</v>
      </c>
      <c r="C3" s="12" t="s">
        <v>9</v>
      </c>
      <c r="D3" s="13" t="s">
        <v>10</v>
      </c>
      <c r="E3" s="13" t="s">
        <v>11</v>
      </c>
      <c r="F3" s="13" t="s">
        <v>14</v>
      </c>
      <c r="G3" s="13" t="s">
        <v>15</v>
      </c>
      <c r="H3" s="13" t="s">
        <v>16</v>
      </c>
      <c r="I3" s="13" t="s">
        <v>17</v>
      </c>
      <c r="J3" s="13" t="s">
        <v>18</v>
      </c>
      <c r="K3" s="13" t="s">
        <v>19</v>
      </c>
      <c r="L3" s="13" t="s">
        <v>20</v>
      </c>
      <c r="M3" s="13" t="s">
        <v>21</v>
      </c>
      <c r="N3" s="13" t="s">
        <v>22</v>
      </c>
      <c r="O3" s="13" t="s">
        <v>23</v>
      </c>
      <c r="P3" s="13" t="s">
        <v>24</v>
      </c>
      <c r="Q3" s="13" t="s">
        <v>25</v>
      </c>
      <c r="R3" s="13" t="s">
        <v>26</v>
      </c>
      <c r="S3" s="13" t="s">
        <v>27</v>
      </c>
      <c r="T3" s="13" t="s">
        <v>28</v>
      </c>
      <c r="U3" s="13" t="s">
        <v>29</v>
      </c>
      <c r="V3" s="13" t="s">
        <v>12</v>
      </c>
      <c r="W3" s="13" t="s">
        <v>30</v>
      </c>
      <c r="X3" s="13" t="s">
        <v>31</v>
      </c>
      <c r="Y3" s="13" t="s">
        <v>32</v>
      </c>
    </row>
    <row r="4" spans="1:26" x14ac:dyDescent="0.25">
      <c r="A4" s="1">
        <v>1</v>
      </c>
      <c r="B4" s="1" t="s">
        <v>165</v>
      </c>
      <c r="C4" s="1" t="s">
        <v>53</v>
      </c>
      <c r="D4" s="1">
        <v>25047</v>
      </c>
      <c r="E4" s="16">
        <v>45170</v>
      </c>
      <c r="F4" s="1" t="s">
        <v>56</v>
      </c>
      <c r="G4" s="16">
        <v>45168</v>
      </c>
      <c r="H4" s="1">
        <v>9988584933</v>
      </c>
      <c r="I4" s="16">
        <v>45168</v>
      </c>
      <c r="J4" s="1" t="s">
        <v>57</v>
      </c>
      <c r="K4" s="1">
        <v>1</v>
      </c>
      <c r="L4" s="1" t="s">
        <v>49</v>
      </c>
      <c r="M4" s="1" t="s">
        <v>61</v>
      </c>
      <c r="N4" s="1">
        <v>62114290</v>
      </c>
      <c r="O4" s="1">
        <v>25</v>
      </c>
      <c r="P4" s="1">
        <v>11</v>
      </c>
      <c r="Q4" s="1">
        <v>7.5</v>
      </c>
      <c r="R4" s="1" t="s">
        <v>44</v>
      </c>
      <c r="S4" s="1">
        <v>1</v>
      </c>
      <c r="T4" s="1">
        <v>19.559999999999999</v>
      </c>
      <c r="U4" s="1" t="s">
        <v>42</v>
      </c>
      <c r="V4" s="1">
        <v>15305</v>
      </c>
      <c r="W4" s="1" t="s">
        <v>67</v>
      </c>
      <c r="X4" s="1" t="s">
        <v>40</v>
      </c>
      <c r="Y4" s="1">
        <v>299365.8</v>
      </c>
      <c r="Z4">
        <f>T4*V4</f>
        <v>299365.8</v>
      </c>
    </row>
    <row r="5" spans="1:26" x14ac:dyDescent="0.25">
      <c r="A5" s="1">
        <v>2</v>
      </c>
      <c r="B5" s="1" t="s">
        <v>165</v>
      </c>
      <c r="C5" s="1" t="s">
        <v>53</v>
      </c>
      <c r="D5" s="1">
        <v>25047</v>
      </c>
      <c r="E5" s="16">
        <v>45170</v>
      </c>
      <c r="F5" s="1" t="s">
        <v>56</v>
      </c>
      <c r="G5" s="16">
        <v>45168</v>
      </c>
      <c r="H5" s="1">
        <v>9988584933</v>
      </c>
      <c r="I5" s="16">
        <v>45168</v>
      </c>
      <c r="J5" s="1" t="s">
        <v>57</v>
      </c>
      <c r="K5" s="1">
        <v>2</v>
      </c>
      <c r="L5" s="1" t="s">
        <v>49</v>
      </c>
      <c r="M5" s="1" t="s">
        <v>62</v>
      </c>
      <c r="N5" s="1">
        <v>62046200</v>
      </c>
      <c r="O5" s="1">
        <v>25</v>
      </c>
      <c r="P5" s="1">
        <v>11</v>
      </c>
      <c r="Q5" s="1">
        <v>7.5</v>
      </c>
      <c r="R5" s="1" t="s">
        <v>44</v>
      </c>
      <c r="S5" s="1">
        <v>1</v>
      </c>
      <c r="T5" s="1">
        <v>14.67</v>
      </c>
      <c r="U5" s="1" t="s">
        <v>42</v>
      </c>
      <c r="V5" s="1">
        <v>15305</v>
      </c>
      <c r="W5" s="1" t="s">
        <v>67</v>
      </c>
      <c r="X5" s="1" t="s">
        <v>40</v>
      </c>
      <c r="Y5" s="1">
        <v>224524.35</v>
      </c>
      <c r="Z5">
        <f t="shared" ref="Z5:Z68" si="0">T5*V5</f>
        <v>224524.35</v>
      </c>
    </row>
    <row r="6" spans="1:26" x14ac:dyDescent="0.25">
      <c r="A6" s="1">
        <v>3</v>
      </c>
      <c r="B6" s="1" t="s">
        <v>165</v>
      </c>
      <c r="C6" s="1" t="s">
        <v>54</v>
      </c>
      <c r="D6" s="1">
        <v>25119</v>
      </c>
      <c r="E6" s="16">
        <v>45170</v>
      </c>
      <c r="F6" s="1" t="s">
        <v>58</v>
      </c>
      <c r="G6" s="16">
        <v>45168</v>
      </c>
      <c r="H6" s="1">
        <v>50411000255</v>
      </c>
      <c r="I6" s="16">
        <v>45169</v>
      </c>
      <c r="J6" s="1" t="s">
        <v>59</v>
      </c>
      <c r="K6" s="1">
        <v>1</v>
      </c>
      <c r="L6" s="1" t="s">
        <v>63</v>
      </c>
      <c r="M6" s="1" t="s">
        <v>64</v>
      </c>
      <c r="N6" s="1">
        <v>55121900</v>
      </c>
      <c r="O6" s="1">
        <v>15</v>
      </c>
      <c r="P6" s="1">
        <v>11</v>
      </c>
      <c r="Q6" s="1">
        <v>2.5</v>
      </c>
      <c r="R6" s="1" t="s">
        <v>51</v>
      </c>
      <c r="S6" s="1">
        <v>1</v>
      </c>
      <c r="T6" s="1">
        <v>2</v>
      </c>
      <c r="U6" s="1" t="s">
        <v>42</v>
      </c>
      <c r="V6" s="1">
        <v>15305</v>
      </c>
      <c r="W6" s="1" t="s">
        <v>43</v>
      </c>
      <c r="X6" s="1" t="s">
        <v>40</v>
      </c>
      <c r="Y6" s="1">
        <v>30610</v>
      </c>
      <c r="Z6">
        <f t="shared" si="0"/>
        <v>30610</v>
      </c>
    </row>
    <row r="7" spans="1:26" x14ac:dyDescent="0.25">
      <c r="A7" s="1">
        <v>4</v>
      </c>
      <c r="B7" s="1" t="s">
        <v>165</v>
      </c>
      <c r="C7" s="1" t="s">
        <v>54</v>
      </c>
      <c r="D7" s="1">
        <v>25119</v>
      </c>
      <c r="E7" s="16">
        <v>45170</v>
      </c>
      <c r="F7" s="1" t="s">
        <v>58</v>
      </c>
      <c r="G7" s="16">
        <v>45168</v>
      </c>
      <c r="H7" s="1">
        <v>50411000255</v>
      </c>
      <c r="I7" s="16">
        <v>45169</v>
      </c>
      <c r="J7" s="1" t="s">
        <v>59</v>
      </c>
      <c r="K7" s="1">
        <v>2</v>
      </c>
      <c r="L7" s="1" t="s">
        <v>63</v>
      </c>
      <c r="M7" s="1" t="s">
        <v>65</v>
      </c>
      <c r="N7" s="1">
        <v>52082100</v>
      </c>
      <c r="O7" s="1">
        <v>10</v>
      </c>
      <c r="P7" s="1">
        <v>11</v>
      </c>
      <c r="Q7" s="1">
        <v>2.5</v>
      </c>
      <c r="R7" s="1" t="s">
        <v>51</v>
      </c>
      <c r="S7" s="1">
        <v>1</v>
      </c>
      <c r="T7" s="1">
        <v>1</v>
      </c>
      <c r="U7" s="1" t="s">
        <v>42</v>
      </c>
      <c r="V7" s="1">
        <v>15305</v>
      </c>
      <c r="W7" s="1" t="s">
        <v>43</v>
      </c>
      <c r="X7" s="1" t="s">
        <v>40</v>
      </c>
      <c r="Y7" s="1">
        <v>15305</v>
      </c>
      <c r="Z7">
        <f t="shared" si="0"/>
        <v>15305</v>
      </c>
    </row>
    <row r="8" spans="1:26" x14ac:dyDescent="0.25">
      <c r="A8" s="1">
        <v>5</v>
      </c>
      <c r="B8" s="1" t="s">
        <v>165</v>
      </c>
      <c r="C8" s="1" t="s">
        <v>54</v>
      </c>
      <c r="D8" s="1">
        <v>25119</v>
      </c>
      <c r="E8" s="16">
        <v>45170</v>
      </c>
      <c r="F8" s="1" t="s">
        <v>58</v>
      </c>
      <c r="G8" s="16">
        <v>45168</v>
      </c>
      <c r="H8" s="1">
        <v>50411000255</v>
      </c>
      <c r="I8" s="16">
        <v>45169</v>
      </c>
      <c r="J8" s="1" t="s">
        <v>59</v>
      </c>
      <c r="K8" s="1">
        <v>3</v>
      </c>
      <c r="L8" s="1" t="s">
        <v>63</v>
      </c>
      <c r="M8" s="1" t="s">
        <v>65</v>
      </c>
      <c r="N8" s="1">
        <v>52112000</v>
      </c>
      <c r="O8" s="1">
        <v>15</v>
      </c>
      <c r="P8" s="1">
        <v>11</v>
      </c>
      <c r="Q8" s="1">
        <v>2.5</v>
      </c>
      <c r="R8" s="1" t="s">
        <v>51</v>
      </c>
      <c r="S8" s="1">
        <v>1</v>
      </c>
      <c r="T8" s="1">
        <v>1</v>
      </c>
      <c r="U8" s="1" t="s">
        <v>42</v>
      </c>
      <c r="V8" s="1">
        <v>15305</v>
      </c>
      <c r="W8" s="1" t="s">
        <v>43</v>
      </c>
      <c r="X8" s="1" t="s">
        <v>40</v>
      </c>
      <c r="Y8" s="1">
        <v>15305</v>
      </c>
      <c r="Z8">
        <f t="shared" si="0"/>
        <v>15305</v>
      </c>
    </row>
    <row r="9" spans="1:26" x14ac:dyDescent="0.25">
      <c r="A9" s="1">
        <v>6</v>
      </c>
      <c r="B9" s="1" t="s">
        <v>165</v>
      </c>
      <c r="C9" s="1" t="s">
        <v>55</v>
      </c>
      <c r="D9" s="1">
        <v>25127</v>
      </c>
      <c r="E9" s="16">
        <v>45170</v>
      </c>
      <c r="F9" s="1" t="s">
        <v>48</v>
      </c>
      <c r="G9" s="16">
        <v>45168</v>
      </c>
      <c r="H9" s="1">
        <v>2560827312</v>
      </c>
      <c r="I9" s="16">
        <v>45168</v>
      </c>
      <c r="J9" s="1" t="s">
        <v>60</v>
      </c>
      <c r="K9" s="1">
        <v>1</v>
      </c>
      <c r="L9" s="1" t="s">
        <v>49</v>
      </c>
      <c r="M9" s="1" t="s">
        <v>66</v>
      </c>
      <c r="N9" s="1">
        <v>39206910</v>
      </c>
      <c r="O9" s="1">
        <v>5</v>
      </c>
      <c r="P9" s="1">
        <v>11</v>
      </c>
      <c r="Q9" s="1">
        <v>2.5</v>
      </c>
      <c r="R9" s="1" t="s">
        <v>44</v>
      </c>
      <c r="S9" s="1">
        <v>6450</v>
      </c>
      <c r="T9" s="1">
        <v>828.69</v>
      </c>
      <c r="U9" s="1" t="s">
        <v>42</v>
      </c>
      <c r="V9" s="1">
        <v>15305</v>
      </c>
      <c r="W9" s="1" t="s">
        <v>8</v>
      </c>
      <c r="X9" s="1" t="s">
        <v>40</v>
      </c>
      <c r="Y9" s="1">
        <v>12683100.449999999</v>
      </c>
      <c r="Z9">
        <f t="shared" si="0"/>
        <v>12683100.450000001</v>
      </c>
    </row>
    <row r="10" spans="1:26" x14ac:dyDescent="0.25">
      <c r="A10" s="1">
        <v>7</v>
      </c>
      <c r="B10" s="1" t="s">
        <v>165</v>
      </c>
      <c r="C10" s="1" t="s">
        <v>72</v>
      </c>
      <c r="D10" s="1">
        <v>25214</v>
      </c>
      <c r="E10" s="16">
        <v>45173</v>
      </c>
      <c r="F10" s="1" t="s">
        <v>80</v>
      </c>
      <c r="G10" s="16">
        <v>45169</v>
      </c>
      <c r="H10" s="1">
        <v>3483329076</v>
      </c>
      <c r="I10" s="16">
        <v>45169</v>
      </c>
      <c r="J10" s="1" t="s">
        <v>47</v>
      </c>
      <c r="K10" s="1">
        <v>1</v>
      </c>
      <c r="L10" s="1" t="s">
        <v>49</v>
      </c>
      <c r="M10" s="1" t="s">
        <v>94</v>
      </c>
      <c r="N10" s="1">
        <v>96071900</v>
      </c>
      <c r="O10" s="1">
        <v>15</v>
      </c>
      <c r="P10" s="1">
        <v>11</v>
      </c>
      <c r="Q10" s="1">
        <v>2.5</v>
      </c>
      <c r="R10" s="1" t="s">
        <v>44</v>
      </c>
      <c r="S10" s="1">
        <v>500</v>
      </c>
      <c r="T10" s="1">
        <v>450.5</v>
      </c>
      <c r="U10" s="1" t="s">
        <v>42</v>
      </c>
      <c r="V10" s="1">
        <v>15305</v>
      </c>
      <c r="W10" s="1" t="s">
        <v>50</v>
      </c>
      <c r="X10" s="1" t="s">
        <v>40</v>
      </c>
      <c r="Y10" s="1">
        <v>6894902.5</v>
      </c>
      <c r="Z10">
        <f t="shared" si="0"/>
        <v>6894902.5</v>
      </c>
    </row>
    <row r="11" spans="1:26" x14ac:dyDescent="0.25">
      <c r="A11" s="1">
        <v>8</v>
      </c>
      <c r="B11" s="1" t="s">
        <v>165</v>
      </c>
      <c r="C11" s="1" t="s">
        <v>73</v>
      </c>
      <c r="D11" s="1">
        <v>25232</v>
      </c>
      <c r="E11" s="16">
        <v>45173</v>
      </c>
      <c r="F11" s="1" t="s">
        <v>46</v>
      </c>
      <c r="G11" s="16">
        <v>45170</v>
      </c>
      <c r="H11" s="1">
        <v>704030269727</v>
      </c>
      <c r="I11" s="16">
        <v>45170</v>
      </c>
      <c r="J11" s="1" t="s">
        <v>81</v>
      </c>
      <c r="K11" s="1">
        <v>1</v>
      </c>
      <c r="L11" s="1" t="s">
        <v>46</v>
      </c>
      <c r="M11" s="1" t="s">
        <v>95</v>
      </c>
      <c r="N11" s="1">
        <v>60063290</v>
      </c>
      <c r="O11" s="1">
        <v>15</v>
      </c>
      <c r="P11" s="1">
        <v>11</v>
      </c>
      <c r="Q11" s="1">
        <v>2.5</v>
      </c>
      <c r="R11" s="1" t="s">
        <v>51</v>
      </c>
      <c r="S11" s="1">
        <v>1</v>
      </c>
      <c r="T11" s="1">
        <v>32.700000000000003</v>
      </c>
      <c r="U11" s="1" t="s">
        <v>42</v>
      </c>
      <c r="V11" s="1">
        <v>15305</v>
      </c>
      <c r="W11" s="1" t="s">
        <v>43</v>
      </c>
      <c r="X11" s="1" t="s">
        <v>40</v>
      </c>
      <c r="Y11" s="1">
        <v>500473.5</v>
      </c>
      <c r="Z11">
        <f t="shared" si="0"/>
        <v>500473.50000000006</v>
      </c>
    </row>
    <row r="12" spans="1:26" x14ac:dyDescent="0.25">
      <c r="A12" s="1">
        <v>9</v>
      </c>
      <c r="B12" s="1" t="s">
        <v>165</v>
      </c>
      <c r="C12" s="1" t="s">
        <v>74</v>
      </c>
      <c r="D12" s="1">
        <v>25235</v>
      </c>
      <c r="E12" s="16">
        <v>45173</v>
      </c>
      <c r="F12" s="1" t="s">
        <v>82</v>
      </c>
      <c r="G12" s="16">
        <v>45148</v>
      </c>
      <c r="H12" s="1" t="s">
        <v>83</v>
      </c>
      <c r="I12" s="16">
        <v>45162</v>
      </c>
      <c r="J12" s="1" t="s">
        <v>84</v>
      </c>
      <c r="K12" s="1">
        <v>1</v>
      </c>
      <c r="L12" s="1" t="s">
        <v>96</v>
      </c>
      <c r="M12" s="1" t="s">
        <v>97</v>
      </c>
      <c r="N12" s="1">
        <v>58071000</v>
      </c>
      <c r="O12" s="1">
        <v>10</v>
      </c>
      <c r="P12" s="1">
        <v>11</v>
      </c>
      <c r="Q12" s="1">
        <v>2.5</v>
      </c>
      <c r="R12" s="1" t="s">
        <v>44</v>
      </c>
      <c r="S12" s="1">
        <v>32856</v>
      </c>
      <c r="T12" s="1">
        <v>82140</v>
      </c>
      <c r="U12" s="1" t="s">
        <v>104</v>
      </c>
      <c r="V12" s="1">
        <v>104.9395</v>
      </c>
      <c r="W12" s="1" t="s">
        <v>67</v>
      </c>
      <c r="X12" s="1" t="s">
        <v>40</v>
      </c>
      <c r="Y12" s="1">
        <v>8619730.5299999993</v>
      </c>
      <c r="Z12">
        <f t="shared" si="0"/>
        <v>8619730.5299999993</v>
      </c>
    </row>
    <row r="13" spans="1:26" x14ac:dyDescent="0.25">
      <c r="A13" s="1">
        <v>10</v>
      </c>
      <c r="B13" s="1" t="s">
        <v>165</v>
      </c>
      <c r="C13" s="1" t="s">
        <v>74</v>
      </c>
      <c r="D13" s="1">
        <v>25235</v>
      </c>
      <c r="E13" s="16">
        <v>45173</v>
      </c>
      <c r="F13" s="1" t="s">
        <v>82</v>
      </c>
      <c r="G13" s="16">
        <v>45148</v>
      </c>
      <c r="H13" s="1" t="s">
        <v>83</v>
      </c>
      <c r="I13" s="16">
        <v>45162</v>
      </c>
      <c r="J13" s="1" t="s">
        <v>84</v>
      </c>
      <c r="K13" s="1">
        <v>2</v>
      </c>
      <c r="L13" s="1" t="s">
        <v>96</v>
      </c>
      <c r="M13" s="1" t="s">
        <v>98</v>
      </c>
      <c r="N13" s="1">
        <v>58071000</v>
      </c>
      <c r="O13" s="1">
        <v>10</v>
      </c>
      <c r="P13" s="1">
        <v>11</v>
      </c>
      <c r="Q13" s="1">
        <v>2.5</v>
      </c>
      <c r="R13" s="1" t="s">
        <v>44</v>
      </c>
      <c r="S13" s="1">
        <v>13586</v>
      </c>
      <c r="T13" s="1">
        <v>61137</v>
      </c>
      <c r="U13" s="1" t="s">
        <v>104</v>
      </c>
      <c r="V13" s="1">
        <v>104.9395</v>
      </c>
      <c r="W13" s="1" t="s">
        <v>67</v>
      </c>
      <c r="X13" s="1" t="s">
        <v>40</v>
      </c>
      <c r="Y13" s="1">
        <v>6415686.21</v>
      </c>
      <c r="Z13">
        <f t="shared" si="0"/>
        <v>6415686.2114999993</v>
      </c>
    </row>
    <row r="14" spans="1:26" x14ac:dyDescent="0.25">
      <c r="A14" s="1">
        <v>11</v>
      </c>
      <c r="B14" s="1" t="s">
        <v>165</v>
      </c>
      <c r="C14" s="1" t="s">
        <v>74</v>
      </c>
      <c r="D14" s="1">
        <v>25235</v>
      </c>
      <c r="E14" s="16">
        <v>45173</v>
      </c>
      <c r="F14" s="1" t="s">
        <v>82</v>
      </c>
      <c r="G14" s="16">
        <v>45148</v>
      </c>
      <c r="H14" s="1" t="s">
        <v>83</v>
      </c>
      <c r="I14" s="16">
        <v>45162</v>
      </c>
      <c r="J14" s="1" t="s">
        <v>84</v>
      </c>
      <c r="K14" s="1">
        <v>3</v>
      </c>
      <c r="L14" s="1" t="s">
        <v>96</v>
      </c>
      <c r="M14" s="1" t="s">
        <v>99</v>
      </c>
      <c r="N14" s="1">
        <v>39232990</v>
      </c>
      <c r="O14" s="1">
        <v>10</v>
      </c>
      <c r="P14" s="1">
        <v>11</v>
      </c>
      <c r="Q14" s="1">
        <v>2.5</v>
      </c>
      <c r="R14" s="1" t="s">
        <v>44</v>
      </c>
      <c r="S14" s="1">
        <v>29402</v>
      </c>
      <c r="T14" s="1">
        <v>246572</v>
      </c>
      <c r="U14" s="1" t="s">
        <v>104</v>
      </c>
      <c r="V14" s="1">
        <v>104.9395</v>
      </c>
      <c r="W14" s="1" t="s">
        <v>67</v>
      </c>
      <c r="X14" s="1" t="s">
        <v>40</v>
      </c>
      <c r="Y14" s="1">
        <v>25875142.390000001</v>
      </c>
      <c r="Z14">
        <f t="shared" si="0"/>
        <v>25875142.393999998</v>
      </c>
    </row>
    <row r="15" spans="1:26" x14ac:dyDescent="0.25">
      <c r="A15" s="1">
        <v>12</v>
      </c>
      <c r="B15" s="1" t="s">
        <v>165</v>
      </c>
      <c r="C15" s="1" t="s">
        <v>74</v>
      </c>
      <c r="D15" s="1">
        <v>25235</v>
      </c>
      <c r="E15" s="16">
        <v>45173</v>
      </c>
      <c r="F15" s="1" t="s">
        <v>82</v>
      </c>
      <c r="G15" s="16">
        <v>45148</v>
      </c>
      <c r="H15" s="1" t="s">
        <v>83</v>
      </c>
      <c r="I15" s="16">
        <v>45162</v>
      </c>
      <c r="J15" s="1" t="s">
        <v>84</v>
      </c>
      <c r="K15" s="1">
        <v>4</v>
      </c>
      <c r="L15" s="1" t="s">
        <v>96</v>
      </c>
      <c r="M15" s="1" t="s">
        <v>100</v>
      </c>
      <c r="N15" s="1">
        <v>58071000</v>
      </c>
      <c r="O15" s="1">
        <v>10</v>
      </c>
      <c r="P15" s="1">
        <v>11</v>
      </c>
      <c r="Q15" s="1">
        <v>2.5</v>
      </c>
      <c r="R15" s="1" t="s">
        <v>44</v>
      </c>
      <c r="S15" s="1">
        <v>13586</v>
      </c>
      <c r="T15" s="1">
        <v>129067</v>
      </c>
      <c r="U15" s="1" t="s">
        <v>104</v>
      </c>
      <c r="V15" s="1">
        <v>104.9395</v>
      </c>
      <c r="W15" s="1" t="s">
        <v>67</v>
      </c>
      <c r="X15" s="1" t="s">
        <v>40</v>
      </c>
      <c r="Y15" s="1">
        <v>13544226.449999999</v>
      </c>
      <c r="Z15">
        <f t="shared" si="0"/>
        <v>13544226.4465</v>
      </c>
    </row>
    <row r="16" spans="1:26" x14ac:dyDescent="0.25">
      <c r="A16" s="1">
        <v>13</v>
      </c>
      <c r="B16" s="1" t="s">
        <v>165</v>
      </c>
      <c r="C16" s="1" t="s">
        <v>74</v>
      </c>
      <c r="D16" s="1">
        <v>25235</v>
      </c>
      <c r="E16" s="16">
        <v>45173</v>
      </c>
      <c r="F16" s="1" t="s">
        <v>82</v>
      </c>
      <c r="G16" s="16">
        <v>45148</v>
      </c>
      <c r="H16" s="1" t="s">
        <v>83</v>
      </c>
      <c r="I16" s="16">
        <v>45162</v>
      </c>
      <c r="J16" s="1" t="s">
        <v>84</v>
      </c>
      <c r="K16" s="1">
        <v>5</v>
      </c>
      <c r="L16" s="1" t="s">
        <v>96</v>
      </c>
      <c r="M16" s="1" t="s">
        <v>101</v>
      </c>
      <c r="N16" s="1">
        <v>58071000</v>
      </c>
      <c r="O16" s="1">
        <v>10</v>
      </c>
      <c r="P16" s="1">
        <v>11</v>
      </c>
      <c r="Q16" s="1">
        <v>2.5</v>
      </c>
      <c r="R16" s="1" t="s">
        <v>44</v>
      </c>
      <c r="S16" s="1">
        <v>8160</v>
      </c>
      <c r="T16" s="1">
        <v>8160</v>
      </c>
      <c r="U16" s="1" t="s">
        <v>104</v>
      </c>
      <c r="V16" s="1">
        <v>104.9395</v>
      </c>
      <c r="W16" s="1" t="s">
        <v>67</v>
      </c>
      <c r="X16" s="1" t="s">
        <v>40</v>
      </c>
      <c r="Y16" s="1">
        <v>856306.32</v>
      </c>
      <c r="Z16">
        <f t="shared" si="0"/>
        <v>856306.32</v>
      </c>
    </row>
    <row r="17" spans="1:26" x14ac:dyDescent="0.25">
      <c r="A17" s="1">
        <v>14</v>
      </c>
      <c r="B17" s="1" t="s">
        <v>165</v>
      </c>
      <c r="C17" s="1" t="s">
        <v>74</v>
      </c>
      <c r="D17" s="1">
        <v>25235</v>
      </c>
      <c r="E17" s="16">
        <v>45173</v>
      </c>
      <c r="F17" s="1" t="s">
        <v>82</v>
      </c>
      <c r="G17" s="16">
        <v>45148</v>
      </c>
      <c r="H17" s="1" t="s">
        <v>83</v>
      </c>
      <c r="I17" s="16">
        <v>45162</v>
      </c>
      <c r="J17" s="1" t="s">
        <v>84</v>
      </c>
      <c r="K17" s="1">
        <v>6</v>
      </c>
      <c r="L17" s="1" t="s">
        <v>96</v>
      </c>
      <c r="M17" s="1" t="s">
        <v>102</v>
      </c>
      <c r="N17" s="1">
        <v>48211010</v>
      </c>
      <c r="O17" s="1">
        <v>5</v>
      </c>
      <c r="P17" s="1">
        <v>11</v>
      </c>
      <c r="Q17" s="1">
        <v>2.5</v>
      </c>
      <c r="R17" s="1" t="s">
        <v>44</v>
      </c>
      <c r="S17" s="1">
        <v>27917</v>
      </c>
      <c r="T17" s="1">
        <v>27917</v>
      </c>
      <c r="U17" s="1" t="s">
        <v>104</v>
      </c>
      <c r="V17" s="1">
        <v>104.9395</v>
      </c>
      <c r="W17" s="1" t="s">
        <v>67</v>
      </c>
      <c r="X17" s="1" t="s">
        <v>40</v>
      </c>
      <c r="Y17" s="1">
        <v>2929596.02</v>
      </c>
      <c r="Z17">
        <f t="shared" si="0"/>
        <v>2929596.0214999998</v>
      </c>
    </row>
    <row r="18" spans="1:26" x14ac:dyDescent="0.25">
      <c r="A18" s="1">
        <v>15</v>
      </c>
      <c r="B18" s="1" t="s">
        <v>165</v>
      </c>
      <c r="C18" s="1" t="s">
        <v>74</v>
      </c>
      <c r="D18" s="1">
        <v>25235</v>
      </c>
      <c r="E18" s="16">
        <v>45173</v>
      </c>
      <c r="F18" s="1" t="s">
        <v>82</v>
      </c>
      <c r="G18" s="16">
        <v>45148</v>
      </c>
      <c r="H18" s="1" t="s">
        <v>83</v>
      </c>
      <c r="I18" s="16">
        <v>45162</v>
      </c>
      <c r="J18" s="1" t="s">
        <v>84</v>
      </c>
      <c r="K18" s="1">
        <v>7</v>
      </c>
      <c r="L18" s="1" t="s">
        <v>96</v>
      </c>
      <c r="M18" s="1" t="s">
        <v>103</v>
      </c>
      <c r="N18" s="1">
        <v>58071000</v>
      </c>
      <c r="O18" s="1">
        <v>10</v>
      </c>
      <c r="P18" s="1">
        <v>11</v>
      </c>
      <c r="Q18" s="1">
        <v>2.5</v>
      </c>
      <c r="R18" s="1" t="s">
        <v>44</v>
      </c>
      <c r="S18" s="1">
        <v>14331</v>
      </c>
      <c r="T18" s="1">
        <v>42993</v>
      </c>
      <c r="U18" s="1" t="s">
        <v>104</v>
      </c>
      <c r="V18" s="1">
        <v>104.9395</v>
      </c>
      <c r="W18" s="1" t="s">
        <v>67</v>
      </c>
      <c r="X18" s="1" t="s">
        <v>40</v>
      </c>
      <c r="Y18" s="1">
        <v>4511663.92</v>
      </c>
      <c r="Z18">
        <f t="shared" si="0"/>
        <v>4511663.9234999996</v>
      </c>
    </row>
    <row r="19" spans="1:26" x14ac:dyDescent="0.25">
      <c r="A19" s="1">
        <v>16</v>
      </c>
      <c r="B19" s="1" t="s">
        <v>165</v>
      </c>
      <c r="C19" s="1" t="s">
        <v>74</v>
      </c>
      <c r="D19" s="1">
        <v>25235</v>
      </c>
      <c r="E19" s="16">
        <v>45173</v>
      </c>
      <c r="F19" s="1" t="s">
        <v>82</v>
      </c>
      <c r="G19" s="16">
        <v>45148</v>
      </c>
      <c r="H19" s="1" t="s">
        <v>83</v>
      </c>
      <c r="I19" s="16">
        <v>45162</v>
      </c>
      <c r="J19" s="1" t="s">
        <v>84</v>
      </c>
      <c r="K19" s="1">
        <v>8</v>
      </c>
      <c r="L19" s="1" t="s">
        <v>96</v>
      </c>
      <c r="M19" s="1" t="s">
        <v>138</v>
      </c>
      <c r="N19" s="1">
        <v>58071000</v>
      </c>
      <c r="O19" s="1">
        <v>10</v>
      </c>
      <c r="P19" s="1">
        <v>11</v>
      </c>
      <c r="Q19" s="1">
        <v>2.5</v>
      </c>
      <c r="R19" s="1" t="s">
        <v>44</v>
      </c>
      <c r="S19" s="1">
        <v>13586</v>
      </c>
      <c r="T19" s="1">
        <v>33965</v>
      </c>
      <c r="U19" s="1" t="s">
        <v>104</v>
      </c>
      <c r="V19" s="1">
        <v>104.9395</v>
      </c>
      <c r="W19" s="1" t="s">
        <v>67</v>
      </c>
      <c r="X19" s="1" t="s">
        <v>40</v>
      </c>
      <c r="Y19" s="1">
        <v>3564270.12</v>
      </c>
      <c r="Z19">
        <f t="shared" si="0"/>
        <v>3564270.1174999997</v>
      </c>
    </row>
    <row r="20" spans="1:26" x14ac:dyDescent="0.25">
      <c r="A20" s="1">
        <v>17</v>
      </c>
      <c r="B20" s="1" t="s">
        <v>165</v>
      </c>
      <c r="C20" s="1" t="s">
        <v>74</v>
      </c>
      <c r="D20" s="1">
        <v>25235</v>
      </c>
      <c r="E20" s="16">
        <v>45173</v>
      </c>
      <c r="F20" s="1" t="s">
        <v>82</v>
      </c>
      <c r="G20" s="16">
        <v>45148</v>
      </c>
      <c r="H20" s="1" t="s">
        <v>83</v>
      </c>
      <c r="I20" s="16">
        <v>45162</v>
      </c>
      <c r="J20" s="1" t="s">
        <v>84</v>
      </c>
      <c r="K20" s="1">
        <v>9</v>
      </c>
      <c r="L20" s="1" t="s">
        <v>96</v>
      </c>
      <c r="M20" s="1" t="s">
        <v>139</v>
      </c>
      <c r="N20" s="1">
        <v>96062100</v>
      </c>
      <c r="O20" s="1">
        <v>10</v>
      </c>
      <c r="P20" s="1">
        <v>11</v>
      </c>
      <c r="Q20" s="1">
        <v>2.5</v>
      </c>
      <c r="R20" s="1" t="s">
        <v>44</v>
      </c>
      <c r="S20" s="1">
        <v>6693</v>
      </c>
      <c r="T20" s="1">
        <v>20079</v>
      </c>
      <c r="U20" s="1" t="s">
        <v>104</v>
      </c>
      <c r="V20" s="1">
        <v>104.9395</v>
      </c>
      <c r="W20" s="1" t="s">
        <v>67</v>
      </c>
      <c r="X20" s="1" t="s">
        <v>40</v>
      </c>
      <c r="Y20" s="1">
        <v>2107080.2200000002</v>
      </c>
      <c r="Z20">
        <f t="shared" si="0"/>
        <v>2107080.2204999998</v>
      </c>
    </row>
    <row r="21" spans="1:26" x14ac:dyDescent="0.25">
      <c r="A21" s="1">
        <v>18</v>
      </c>
      <c r="B21" s="1" t="s">
        <v>165</v>
      </c>
      <c r="C21" s="1" t="s">
        <v>74</v>
      </c>
      <c r="D21" s="1">
        <v>25235</v>
      </c>
      <c r="E21" s="16">
        <v>45173</v>
      </c>
      <c r="F21" s="1" t="s">
        <v>82</v>
      </c>
      <c r="G21" s="16">
        <v>45148</v>
      </c>
      <c r="H21" s="1" t="s">
        <v>83</v>
      </c>
      <c r="I21" s="16">
        <v>45162</v>
      </c>
      <c r="J21" s="1" t="s">
        <v>84</v>
      </c>
      <c r="K21" s="1">
        <v>10</v>
      </c>
      <c r="L21" s="1" t="s">
        <v>96</v>
      </c>
      <c r="M21" s="1" t="s">
        <v>140</v>
      </c>
      <c r="N21" s="1">
        <v>58062090</v>
      </c>
      <c r="O21" s="1">
        <v>10</v>
      </c>
      <c r="P21" s="1">
        <v>11</v>
      </c>
      <c r="Q21" s="1">
        <v>2.5</v>
      </c>
      <c r="R21" s="1" t="s">
        <v>51</v>
      </c>
      <c r="S21" s="1">
        <v>14430</v>
      </c>
      <c r="T21" s="1">
        <v>140250</v>
      </c>
      <c r="U21" s="1" t="s">
        <v>104</v>
      </c>
      <c r="V21" s="1">
        <v>104.9395</v>
      </c>
      <c r="W21" s="1" t="s">
        <v>67</v>
      </c>
      <c r="X21" s="1" t="s">
        <v>40</v>
      </c>
      <c r="Y21" s="1">
        <v>14717764.880000001</v>
      </c>
      <c r="Z21">
        <f t="shared" si="0"/>
        <v>14717764.875</v>
      </c>
    </row>
    <row r="22" spans="1:26" x14ac:dyDescent="0.25">
      <c r="A22" s="1">
        <v>19</v>
      </c>
      <c r="B22" s="1" t="s">
        <v>165</v>
      </c>
      <c r="C22" s="1" t="s">
        <v>74</v>
      </c>
      <c r="D22" s="1">
        <v>25235</v>
      </c>
      <c r="E22" s="16">
        <v>45173</v>
      </c>
      <c r="F22" s="1" t="s">
        <v>82</v>
      </c>
      <c r="G22" s="16">
        <v>45148</v>
      </c>
      <c r="H22" s="1" t="s">
        <v>83</v>
      </c>
      <c r="I22" s="16">
        <v>45162</v>
      </c>
      <c r="J22" s="1" t="s">
        <v>84</v>
      </c>
      <c r="K22" s="1">
        <v>11</v>
      </c>
      <c r="L22" s="1" t="s">
        <v>96</v>
      </c>
      <c r="M22" s="1" t="s">
        <v>141</v>
      </c>
      <c r="N22" s="1">
        <v>48211010</v>
      </c>
      <c r="O22" s="1">
        <v>5</v>
      </c>
      <c r="P22" s="1">
        <v>11</v>
      </c>
      <c r="Q22" s="1">
        <v>2.5</v>
      </c>
      <c r="R22" s="1" t="s">
        <v>166</v>
      </c>
      <c r="S22" s="1">
        <v>65</v>
      </c>
      <c r="T22" s="1">
        <v>19175</v>
      </c>
      <c r="U22" s="1" t="s">
        <v>104</v>
      </c>
      <c r="V22" s="1">
        <v>104.9395</v>
      </c>
      <c r="W22" s="1" t="s">
        <v>67</v>
      </c>
      <c r="X22" s="1" t="s">
        <v>40</v>
      </c>
      <c r="Y22" s="1">
        <v>2012214.91</v>
      </c>
      <c r="Z22">
        <f t="shared" si="0"/>
        <v>2012214.9124999999</v>
      </c>
    </row>
    <row r="23" spans="1:26" x14ac:dyDescent="0.25">
      <c r="A23" s="1">
        <v>20</v>
      </c>
      <c r="B23" s="1" t="s">
        <v>165</v>
      </c>
      <c r="C23" s="1" t="s">
        <v>74</v>
      </c>
      <c r="D23" s="1">
        <v>25235</v>
      </c>
      <c r="E23" s="16">
        <v>45173</v>
      </c>
      <c r="F23" s="1" t="s">
        <v>82</v>
      </c>
      <c r="G23" s="16">
        <v>45148</v>
      </c>
      <c r="H23" s="1" t="s">
        <v>83</v>
      </c>
      <c r="I23" s="16">
        <v>45162</v>
      </c>
      <c r="J23" s="1" t="s">
        <v>84</v>
      </c>
      <c r="K23" s="1">
        <v>12</v>
      </c>
      <c r="L23" s="1" t="s">
        <v>96</v>
      </c>
      <c r="M23" s="1" t="s">
        <v>142</v>
      </c>
      <c r="N23" s="1">
        <v>58063290</v>
      </c>
      <c r="O23" s="1">
        <v>10</v>
      </c>
      <c r="P23" s="1">
        <v>11</v>
      </c>
      <c r="Q23" s="1">
        <v>2.5</v>
      </c>
      <c r="R23" s="1" t="s">
        <v>128</v>
      </c>
      <c r="S23" s="1">
        <v>11355</v>
      </c>
      <c r="T23" s="1">
        <v>56775</v>
      </c>
      <c r="U23" s="1" t="s">
        <v>104</v>
      </c>
      <c r="V23" s="1">
        <v>104.9395</v>
      </c>
      <c r="W23" s="1" t="s">
        <v>67</v>
      </c>
      <c r="X23" s="1" t="s">
        <v>40</v>
      </c>
      <c r="Y23" s="1">
        <v>5957940.1100000003</v>
      </c>
      <c r="Z23">
        <f t="shared" si="0"/>
        <v>5957940.1124999998</v>
      </c>
    </row>
    <row r="24" spans="1:26" x14ac:dyDescent="0.25">
      <c r="A24" s="1">
        <v>21</v>
      </c>
      <c r="B24" s="1" t="s">
        <v>165</v>
      </c>
      <c r="C24" s="1" t="s">
        <v>75</v>
      </c>
      <c r="D24" s="1">
        <v>25252</v>
      </c>
      <c r="E24" s="16">
        <v>45173</v>
      </c>
      <c r="F24" s="1" t="s">
        <v>85</v>
      </c>
      <c r="G24" s="16">
        <v>45170</v>
      </c>
      <c r="H24" s="1">
        <v>7102449970</v>
      </c>
      <c r="I24" s="16">
        <v>45169</v>
      </c>
      <c r="J24" s="1" t="s">
        <v>86</v>
      </c>
      <c r="K24" s="1">
        <v>1</v>
      </c>
      <c r="L24" s="1" t="s">
        <v>49</v>
      </c>
      <c r="M24" s="1" t="s">
        <v>143</v>
      </c>
      <c r="N24" s="1">
        <v>60063290</v>
      </c>
      <c r="O24" s="1">
        <v>15</v>
      </c>
      <c r="P24" s="1">
        <v>11</v>
      </c>
      <c r="Q24" s="1">
        <v>2.5</v>
      </c>
      <c r="R24" s="1" t="s">
        <v>51</v>
      </c>
      <c r="S24" s="1">
        <v>6</v>
      </c>
      <c r="T24" s="1">
        <v>2357.17</v>
      </c>
      <c r="U24" s="1" t="s">
        <v>104</v>
      </c>
      <c r="V24" s="1">
        <v>104.9395</v>
      </c>
      <c r="W24" s="1" t="s">
        <v>67</v>
      </c>
      <c r="X24" s="1" t="s">
        <v>40</v>
      </c>
      <c r="Y24" s="1">
        <v>247360.24</v>
      </c>
      <c r="Z24">
        <f t="shared" si="0"/>
        <v>247360.24121499999</v>
      </c>
    </row>
    <row r="25" spans="1:26" x14ac:dyDescent="0.25">
      <c r="A25" s="1">
        <v>22</v>
      </c>
      <c r="B25" s="1" t="s">
        <v>165</v>
      </c>
      <c r="C25" s="1" t="s">
        <v>76</v>
      </c>
      <c r="D25" s="1">
        <v>25254</v>
      </c>
      <c r="E25" s="16">
        <v>45173</v>
      </c>
      <c r="F25" s="1" t="s">
        <v>87</v>
      </c>
      <c r="G25" s="16">
        <v>45170</v>
      </c>
      <c r="H25" s="1">
        <v>3583351682</v>
      </c>
      <c r="I25" s="16">
        <v>45169</v>
      </c>
      <c r="J25" s="1" t="s">
        <v>57</v>
      </c>
      <c r="K25" s="1">
        <v>1</v>
      </c>
      <c r="L25" s="1" t="s">
        <v>49</v>
      </c>
      <c r="M25" s="1" t="s">
        <v>144</v>
      </c>
      <c r="N25" s="1">
        <v>58071000</v>
      </c>
      <c r="O25" s="1">
        <v>10</v>
      </c>
      <c r="P25" s="1">
        <v>11</v>
      </c>
      <c r="Q25" s="1">
        <v>2.5</v>
      </c>
      <c r="R25" s="1" t="s">
        <v>44</v>
      </c>
      <c r="S25" s="1">
        <v>10</v>
      </c>
      <c r="T25" s="1">
        <v>41.87</v>
      </c>
      <c r="U25" s="1" t="s">
        <v>104</v>
      </c>
      <c r="V25" s="1">
        <v>104.9395</v>
      </c>
      <c r="W25" s="1" t="s">
        <v>67</v>
      </c>
      <c r="X25" s="1" t="s">
        <v>40</v>
      </c>
      <c r="Y25" s="1">
        <v>4393.82</v>
      </c>
      <c r="Z25">
        <f t="shared" si="0"/>
        <v>4393.8168649999998</v>
      </c>
    </row>
    <row r="26" spans="1:26" x14ac:dyDescent="0.25">
      <c r="A26" s="1">
        <v>23</v>
      </c>
      <c r="B26" s="1" t="s">
        <v>165</v>
      </c>
      <c r="C26" s="1" t="s">
        <v>76</v>
      </c>
      <c r="D26" s="1">
        <v>25254</v>
      </c>
      <c r="E26" s="16">
        <v>45173</v>
      </c>
      <c r="F26" s="1" t="s">
        <v>87</v>
      </c>
      <c r="G26" s="16">
        <v>45170</v>
      </c>
      <c r="H26" s="1">
        <v>3583351682</v>
      </c>
      <c r="I26" s="16">
        <v>45169</v>
      </c>
      <c r="J26" s="1" t="s">
        <v>57</v>
      </c>
      <c r="K26" s="1">
        <v>2</v>
      </c>
      <c r="L26" s="1" t="s">
        <v>49</v>
      </c>
      <c r="M26" s="1" t="s">
        <v>145</v>
      </c>
      <c r="N26" s="1">
        <v>49081000</v>
      </c>
      <c r="O26" s="1">
        <v>5</v>
      </c>
      <c r="P26" s="1">
        <v>11</v>
      </c>
      <c r="Q26" s="1">
        <v>2.5</v>
      </c>
      <c r="R26" s="1" t="s">
        <v>44</v>
      </c>
      <c r="S26" s="1">
        <v>10</v>
      </c>
      <c r="T26" s="1">
        <v>825.5</v>
      </c>
      <c r="U26" s="1" t="s">
        <v>104</v>
      </c>
      <c r="V26" s="1">
        <v>104.9395</v>
      </c>
      <c r="W26" s="1" t="s">
        <v>67</v>
      </c>
      <c r="X26" s="1" t="s">
        <v>40</v>
      </c>
      <c r="Y26" s="1">
        <v>86627.56</v>
      </c>
      <c r="Z26">
        <f t="shared" si="0"/>
        <v>86627.557249999998</v>
      </c>
    </row>
    <row r="27" spans="1:26" x14ac:dyDescent="0.25">
      <c r="A27" s="1">
        <v>24</v>
      </c>
      <c r="B27" s="1" t="s">
        <v>165</v>
      </c>
      <c r="C27" s="1" t="s">
        <v>76</v>
      </c>
      <c r="D27" s="1">
        <v>25254</v>
      </c>
      <c r="E27" s="16">
        <v>45173</v>
      </c>
      <c r="F27" s="1" t="s">
        <v>87</v>
      </c>
      <c r="G27" s="16">
        <v>45170</v>
      </c>
      <c r="H27" s="1">
        <v>3583351682</v>
      </c>
      <c r="I27" s="16">
        <v>45169</v>
      </c>
      <c r="J27" s="1" t="s">
        <v>57</v>
      </c>
      <c r="K27" s="1">
        <v>3</v>
      </c>
      <c r="L27" s="1" t="s">
        <v>49</v>
      </c>
      <c r="M27" s="1" t="s">
        <v>146</v>
      </c>
      <c r="N27" s="1">
        <v>58071000</v>
      </c>
      <c r="O27" s="1">
        <v>10</v>
      </c>
      <c r="P27" s="1">
        <v>11</v>
      </c>
      <c r="Q27" s="1">
        <v>2.5</v>
      </c>
      <c r="R27" s="1" t="s">
        <v>44</v>
      </c>
      <c r="S27" s="1">
        <v>10</v>
      </c>
      <c r="T27" s="1">
        <v>47.86</v>
      </c>
      <c r="U27" s="1" t="s">
        <v>104</v>
      </c>
      <c r="V27" s="1">
        <v>104.9395</v>
      </c>
      <c r="W27" s="1" t="s">
        <v>67</v>
      </c>
      <c r="X27" s="1" t="s">
        <v>40</v>
      </c>
      <c r="Y27" s="1">
        <v>5022.3999999999996</v>
      </c>
      <c r="Z27">
        <f t="shared" si="0"/>
        <v>5022.4044699999995</v>
      </c>
    </row>
    <row r="28" spans="1:26" x14ac:dyDescent="0.25">
      <c r="A28" s="1">
        <v>25</v>
      </c>
      <c r="B28" s="1" t="s">
        <v>165</v>
      </c>
      <c r="C28" s="1" t="s">
        <v>77</v>
      </c>
      <c r="D28" s="1">
        <v>25266</v>
      </c>
      <c r="E28" s="16">
        <v>45173</v>
      </c>
      <c r="F28" s="1" t="s">
        <v>88</v>
      </c>
      <c r="G28" s="16">
        <v>45148</v>
      </c>
      <c r="H28" s="1" t="s">
        <v>89</v>
      </c>
      <c r="I28" s="16">
        <v>45162</v>
      </c>
      <c r="J28" s="1" t="s">
        <v>84</v>
      </c>
      <c r="K28" s="1">
        <v>1</v>
      </c>
      <c r="L28" s="1" t="s">
        <v>147</v>
      </c>
      <c r="M28" s="1" t="s">
        <v>148</v>
      </c>
      <c r="N28" s="1">
        <v>55121900</v>
      </c>
      <c r="O28" s="1">
        <v>15</v>
      </c>
      <c r="P28" s="1">
        <v>11</v>
      </c>
      <c r="Q28" s="1">
        <v>2.5</v>
      </c>
      <c r="R28" s="1" t="s">
        <v>51</v>
      </c>
      <c r="S28" s="1">
        <v>25478.7</v>
      </c>
      <c r="T28" s="1">
        <v>17619644</v>
      </c>
      <c r="U28" s="1" t="s">
        <v>104</v>
      </c>
      <c r="V28" s="1">
        <v>104.9395</v>
      </c>
      <c r="W28" s="1" t="s">
        <v>67</v>
      </c>
      <c r="X28" s="1" t="s">
        <v>40</v>
      </c>
      <c r="Y28" s="1">
        <v>1848996631.54</v>
      </c>
      <c r="Z28">
        <f t="shared" si="0"/>
        <v>1848996631.5379999</v>
      </c>
    </row>
    <row r="29" spans="1:26" x14ac:dyDescent="0.25">
      <c r="A29" s="1">
        <v>26</v>
      </c>
      <c r="B29" s="1" t="s">
        <v>165</v>
      </c>
      <c r="C29" s="1" t="s">
        <v>78</v>
      </c>
      <c r="D29" s="1">
        <v>25267</v>
      </c>
      <c r="E29" s="16">
        <v>45173</v>
      </c>
      <c r="F29" s="1" t="s">
        <v>90</v>
      </c>
      <c r="G29" s="16">
        <v>45148</v>
      </c>
      <c r="H29" s="1" t="s">
        <v>91</v>
      </c>
      <c r="I29" s="16">
        <v>45162</v>
      </c>
      <c r="J29" s="1" t="s">
        <v>84</v>
      </c>
      <c r="K29" s="1">
        <v>1</v>
      </c>
      <c r="L29" s="1" t="s">
        <v>149</v>
      </c>
      <c r="M29" s="1" t="s">
        <v>148</v>
      </c>
      <c r="N29" s="1">
        <v>55121900</v>
      </c>
      <c r="O29" s="1">
        <v>15</v>
      </c>
      <c r="P29" s="1">
        <v>11</v>
      </c>
      <c r="Q29" s="1">
        <v>2.5</v>
      </c>
      <c r="R29" s="1" t="s">
        <v>51</v>
      </c>
      <c r="S29" s="1">
        <v>11296.5</v>
      </c>
      <c r="T29" s="1">
        <v>8043108</v>
      </c>
      <c r="U29" s="1" t="s">
        <v>104</v>
      </c>
      <c r="V29" s="1">
        <v>104.9395</v>
      </c>
      <c r="W29" s="1" t="s">
        <v>67</v>
      </c>
      <c r="X29" s="1" t="s">
        <v>40</v>
      </c>
      <c r="Y29" s="1">
        <v>844039731.97000003</v>
      </c>
      <c r="Z29">
        <f t="shared" si="0"/>
        <v>844039731.96599996</v>
      </c>
    </row>
    <row r="30" spans="1:26" x14ac:dyDescent="0.25">
      <c r="A30" s="1">
        <v>27</v>
      </c>
      <c r="B30" s="1" t="s">
        <v>165</v>
      </c>
      <c r="C30" s="1" t="s">
        <v>79</v>
      </c>
      <c r="D30" s="1">
        <v>25289</v>
      </c>
      <c r="E30" s="16">
        <v>45173</v>
      </c>
      <c r="F30" s="1" t="s">
        <v>92</v>
      </c>
      <c r="G30" s="16">
        <v>45167</v>
      </c>
      <c r="H30" s="1">
        <v>1710295812</v>
      </c>
      <c r="I30" s="16">
        <v>45166</v>
      </c>
      <c r="J30" s="1" t="s">
        <v>93</v>
      </c>
      <c r="K30" s="1">
        <v>1</v>
      </c>
      <c r="L30" s="1" t="s">
        <v>49</v>
      </c>
      <c r="M30" s="1" t="s">
        <v>150</v>
      </c>
      <c r="N30" s="1">
        <v>58071000</v>
      </c>
      <c r="O30" s="1">
        <v>10</v>
      </c>
      <c r="P30" s="1">
        <v>11</v>
      </c>
      <c r="Q30" s="1">
        <v>2.5</v>
      </c>
      <c r="R30" s="1" t="s">
        <v>44</v>
      </c>
      <c r="S30" s="1">
        <v>10</v>
      </c>
      <c r="T30" s="1">
        <v>103.82</v>
      </c>
      <c r="U30" s="1" t="s">
        <v>104</v>
      </c>
      <c r="V30" s="1">
        <v>104.9395</v>
      </c>
      <c r="W30" s="1" t="s">
        <v>67</v>
      </c>
      <c r="X30" s="1" t="s">
        <v>40</v>
      </c>
      <c r="Y30" s="1">
        <v>10894.82</v>
      </c>
      <c r="Z30">
        <f t="shared" si="0"/>
        <v>10894.818889999999</v>
      </c>
    </row>
    <row r="31" spans="1:26" x14ac:dyDescent="0.25">
      <c r="A31" s="1">
        <v>28</v>
      </c>
      <c r="B31" s="1" t="s">
        <v>165</v>
      </c>
      <c r="C31" s="1" t="s">
        <v>79</v>
      </c>
      <c r="D31" s="1">
        <v>25289</v>
      </c>
      <c r="E31" s="16">
        <v>45173</v>
      </c>
      <c r="F31" s="1" t="s">
        <v>92</v>
      </c>
      <c r="G31" s="16">
        <v>45167</v>
      </c>
      <c r="H31" s="1">
        <v>1710295812</v>
      </c>
      <c r="I31" s="16">
        <v>45166</v>
      </c>
      <c r="J31" s="1" t="s">
        <v>93</v>
      </c>
      <c r="K31" s="1">
        <v>2</v>
      </c>
      <c r="L31" s="1" t="s">
        <v>49</v>
      </c>
      <c r="M31" s="1" t="s">
        <v>150</v>
      </c>
      <c r="N31" s="1">
        <v>58071000</v>
      </c>
      <c r="O31" s="1">
        <v>10</v>
      </c>
      <c r="P31" s="1">
        <v>11</v>
      </c>
      <c r="Q31" s="1">
        <v>2.5</v>
      </c>
      <c r="R31" s="1" t="s">
        <v>44</v>
      </c>
      <c r="S31" s="1">
        <v>10</v>
      </c>
      <c r="T31" s="1">
        <v>103.82</v>
      </c>
      <c r="U31" s="1" t="s">
        <v>104</v>
      </c>
      <c r="V31" s="1">
        <v>104.9395</v>
      </c>
      <c r="W31" s="1" t="s">
        <v>67</v>
      </c>
      <c r="X31" s="1" t="s">
        <v>40</v>
      </c>
      <c r="Y31" s="1">
        <v>10894.82</v>
      </c>
      <c r="Z31">
        <f t="shared" si="0"/>
        <v>10894.818889999999</v>
      </c>
    </row>
    <row r="32" spans="1:26" x14ac:dyDescent="0.25">
      <c r="A32" s="1">
        <v>29</v>
      </c>
      <c r="B32" s="1" t="s">
        <v>165</v>
      </c>
      <c r="C32" s="1" t="s">
        <v>79</v>
      </c>
      <c r="D32" s="1">
        <v>25289</v>
      </c>
      <c r="E32" s="16">
        <v>45173</v>
      </c>
      <c r="F32" s="1" t="s">
        <v>92</v>
      </c>
      <c r="G32" s="16">
        <v>45167</v>
      </c>
      <c r="H32" s="1">
        <v>1710295812</v>
      </c>
      <c r="I32" s="16">
        <v>45166</v>
      </c>
      <c r="J32" s="1" t="s">
        <v>93</v>
      </c>
      <c r="K32" s="1">
        <v>3</v>
      </c>
      <c r="L32" s="1" t="s">
        <v>49</v>
      </c>
      <c r="M32" s="1" t="s">
        <v>150</v>
      </c>
      <c r="N32" s="1">
        <v>58071000</v>
      </c>
      <c r="O32" s="1">
        <v>10</v>
      </c>
      <c r="P32" s="1">
        <v>11</v>
      </c>
      <c r="Q32" s="1">
        <v>2.5</v>
      </c>
      <c r="R32" s="1" t="s">
        <v>44</v>
      </c>
      <c r="S32" s="1">
        <v>10</v>
      </c>
      <c r="T32" s="1">
        <v>268.19</v>
      </c>
      <c r="U32" s="1" t="s">
        <v>104</v>
      </c>
      <c r="V32" s="1">
        <v>104.9395</v>
      </c>
      <c r="W32" s="1" t="s">
        <v>67</v>
      </c>
      <c r="X32" s="1" t="s">
        <v>40</v>
      </c>
      <c r="Y32" s="1">
        <v>28143.72</v>
      </c>
      <c r="Z32">
        <f t="shared" si="0"/>
        <v>28143.724504999998</v>
      </c>
    </row>
    <row r="33" spans="1:26" x14ac:dyDescent="0.25">
      <c r="A33" s="1">
        <v>30</v>
      </c>
      <c r="B33" s="1" t="s">
        <v>165</v>
      </c>
      <c r="C33" s="1" t="s">
        <v>79</v>
      </c>
      <c r="D33" s="1">
        <v>25289</v>
      </c>
      <c r="E33" s="16">
        <v>45173</v>
      </c>
      <c r="F33" s="1" t="s">
        <v>92</v>
      </c>
      <c r="G33" s="16">
        <v>45167</v>
      </c>
      <c r="H33" s="1">
        <v>1710295812</v>
      </c>
      <c r="I33" s="16">
        <v>45166</v>
      </c>
      <c r="J33" s="1" t="s">
        <v>93</v>
      </c>
      <c r="K33" s="1">
        <v>4</v>
      </c>
      <c r="L33" s="1" t="s">
        <v>49</v>
      </c>
      <c r="M33" s="1" t="s">
        <v>150</v>
      </c>
      <c r="N33" s="1">
        <v>58071000</v>
      </c>
      <c r="O33" s="1">
        <v>10</v>
      </c>
      <c r="P33" s="1">
        <v>11</v>
      </c>
      <c r="Q33" s="1">
        <v>2.5</v>
      </c>
      <c r="R33" s="1" t="s">
        <v>44</v>
      </c>
      <c r="S33" s="1">
        <v>10</v>
      </c>
      <c r="T33" s="1">
        <v>268.19</v>
      </c>
      <c r="U33" s="1" t="s">
        <v>104</v>
      </c>
      <c r="V33" s="1">
        <v>104.9395</v>
      </c>
      <c r="W33" s="1" t="s">
        <v>67</v>
      </c>
      <c r="X33" s="1" t="s">
        <v>40</v>
      </c>
      <c r="Y33" s="1">
        <v>28143.72</v>
      </c>
      <c r="Z33">
        <f t="shared" si="0"/>
        <v>28143.724504999998</v>
      </c>
    </row>
    <row r="34" spans="1:26" x14ac:dyDescent="0.25">
      <c r="A34" s="1">
        <v>31</v>
      </c>
      <c r="B34" s="1" t="s">
        <v>165</v>
      </c>
      <c r="C34" s="1" t="s">
        <v>79</v>
      </c>
      <c r="D34" s="1">
        <v>25289</v>
      </c>
      <c r="E34" s="16">
        <v>45173</v>
      </c>
      <c r="F34" s="1" t="s">
        <v>92</v>
      </c>
      <c r="G34" s="16">
        <v>45167</v>
      </c>
      <c r="H34" s="1">
        <v>1710295812</v>
      </c>
      <c r="I34" s="16">
        <v>45166</v>
      </c>
      <c r="J34" s="1" t="s">
        <v>93</v>
      </c>
      <c r="K34" s="1">
        <v>5</v>
      </c>
      <c r="L34" s="1" t="s">
        <v>49</v>
      </c>
      <c r="M34" s="1" t="s">
        <v>151</v>
      </c>
      <c r="N34" s="1">
        <v>60053500</v>
      </c>
      <c r="O34" s="1">
        <v>15</v>
      </c>
      <c r="P34" s="1">
        <v>11</v>
      </c>
      <c r="Q34" s="1">
        <v>2.5</v>
      </c>
      <c r="R34" s="1" t="s">
        <v>51</v>
      </c>
      <c r="S34" s="1">
        <v>5</v>
      </c>
      <c r="T34" s="1">
        <v>3114.43</v>
      </c>
      <c r="U34" s="1" t="s">
        <v>104</v>
      </c>
      <c r="V34" s="1">
        <v>104.9395</v>
      </c>
      <c r="W34" s="1" t="s">
        <v>67</v>
      </c>
      <c r="X34" s="1" t="s">
        <v>40</v>
      </c>
      <c r="Y34" s="1">
        <v>326826.73</v>
      </c>
      <c r="Z34">
        <f t="shared" si="0"/>
        <v>326826.72698499996</v>
      </c>
    </row>
    <row r="35" spans="1:26" x14ac:dyDescent="0.25">
      <c r="A35" s="1">
        <v>32</v>
      </c>
      <c r="B35" s="1" t="s">
        <v>165</v>
      </c>
      <c r="C35" s="1" t="s">
        <v>79</v>
      </c>
      <c r="D35" s="1">
        <v>25289</v>
      </c>
      <c r="E35" s="16">
        <v>45173</v>
      </c>
      <c r="F35" s="1" t="s">
        <v>92</v>
      </c>
      <c r="G35" s="16">
        <v>45167</v>
      </c>
      <c r="H35" s="1">
        <v>1710295812</v>
      </c>
      <c r="I35" s="16">
        <v>45166</v>
      </c>
      <c r="J35" s="1" t="s">
        <v>93</v>
      </c>
      <c r="K35" s="1">
        <v>6</v>
      </c>
      <c r="L35" s="1" t="s">
        <v>49</v>
      </c>
      <c r="M35" s="1" t="s">
        <v>152</v>
      </c>
      <c r="N35" s="1">
        <v>96071900</v>
      </c>
      <c r="O35" s="1">
        <v>15</v>
      </c>
      <c r="P35" s="1">
        <v>11</v>
      </c>
      <c r="Q35" s="1">
        <v>2.5</v>
      </c>
      <c r="R35" s="1" t="s">
        <v>44</v>
      </c>
      <c r="S35" s="1">
        <v>20</v>
      </c>
      <c r="T35" s="1">
        <v>1418.79</v>
      </c>
      <c r="U35" s="1" t="s">
        <v>104</v>
      </c>
      <c r="V35" s="1">
        <v>104.9395</v>
      </c>
      <c r="W35" s="1" t="s">
        <v>67</v>
      </c>
      <c r="X35" s="1" t="s">
        <v>40</v>
      </c>
      <c r="Y35" s="1">
        <v>148887.10999999999</v>
      </c>
      <c r="Z35">
        <f t="shared" si="0"/>
        <v>148887.113205</v>
      </c>
    </row>
    <row r="36" spans="1:26" x14ac:dyDescent="0.25">
      <c r="A36" s="1">
        <v>33</v>
      </c>
      <c r="B36" s="1" t="s">
        <v>165</v>
      </c>
      <c r="C36" s="1" t="s">
        <v>79</v>
      </c>
      <c r="D36" s="1">
        <v>25289</v>
      </c>
      <c r="E36" s="16">
        <v>45173</v>
      </c>
      <c r="F36" s="1" t="s">
        <v>92</v>
      </c>
      <c r="G36" s="16">
        <v>45167</v>
      </c>
      <c r="H36" s="1">
        <v>1710295812</v>
      </c>
      <c r="I36" s="16">
        <v>45166</v>
      </c>
      <c r="J36" s="1" t="s">
        <v>93</v>
      </c>
      <c r="K36" s="1">
        <v>7</v>
      </c>
      <c r="L36" s="1" t="s">
        <v>49</v>
      </c>
      <c r="M36" s="1" t="s">
        <v>152</v>
      </c>
      <c r="N36" s="1">
        <v>96071900</v>
      </c>
      <c r="O36" s="1">
        <v>15</v>
      </c>
      <c r="P36" s="1">
        <v>11</v>
      </c>
      <c r="Q36" s="1">
        <v>2.5</v>
      </c>
      <c r="R36" s="1" t="s">
        <v>44</v>
      </c>
      <c r="S36" s="1">
        <v>20</v>
      </c>
      <c r="T36" s="1">
        <v>1418.79</v>
      </c>
      <c r="U36" s="1" t="s">
        <v>104</v>
      </c>
      <c r="V36" s="1">
        <v>104.9395</v>
      </c>
      <c r="W36" s="1" t="s">
        <v>67</v>
      </c>
      <c r="X36" s="1" t="s">
        <v>40</v>
      </c>
      <c r="Y36" s="1">
        <v>148887.10999999999</v>
      </c>
      <c r="Z36">
        <f t="shared" si="0"/>
        <v>148887.113205</v>
      </c>
    </row>
    <row r="37" spans="1:26" x14ac:dyDescent="0.25">
      <c r="A37" s="1">
        <v>34</v>
      </c>
      <c r="B37" s="1" t="s">
        <v>165</v>
      </c>
      <c r="C37" s="1" t="s">
        <v>79</v>
      </c>
      <c r="D37" s="1">
        <v>25289</v>
      </c>
      <c r="E37" s="16">
        <v>45173</v>
      </c>
      <c r="F37" s="1" t="s">
        <v>92</v>
      </c>
      <c r="G37" s="16">
        <v>45167</v>
      </c>
      <c r="H37" s="1">
        <v>1710295812</v>
      </c>
      <c r="I37" s="16">
        <v>45166</v>
      </c>
      <c r="J37" s="1" t="s">
        <v>93</v>
      </c>
      <c r="K37" s="1">
        <v>8</v>
      </c>
      <c r="L37" s="1" t="s">
        <v>49</v>
      </c>
      <c r="M37" s="1" t="s">
        <v>152</v>
      </c>
      <c r="N37" s="1">
        <v>96071900</v>
      </c>
      <c r="O37" s="1">
        <v>15</v>
      </c>
      <c r="P37" s="1">
        <v>11</v>
      </c>
      <c r="Q37" s="1">
        <v>2.5</v>
      </c>
      <c r="R37" s="1" t="s">
        <v>44</v>
      </c>
      <c r="S37" s="1">
        <v>10</v>
      </c>
      <c r="T37" s="1">
        <v>1730.23</v>
      </c>
      <c r="U37" s="1" t="s">
        <v>104</v>
      </c>
      <c r="V37" s="1">
        <v>104.9395</v>
      </c>
      <c r="W37" s="1" t="s">
        <v>67</v>
      </c>
      <c r="X37" s="1" t="s">
        <v>40</v>
      </c>
      <c r="Y37" s="1">
        <v>181569.47</v>
      </c>
      <c r="Z37">
        <f t="shared" si="0"/>
        <v>181569.471085</v>
      </c>
    </row>
    <row r="38" spans="1:26" x14ac:dyDescent="0.25">
      <c r="A38" s="1">
        <v>35</v>
      </c>
      <c r="B38" s="1" t="s">
        <v>165</v>
      </c>
      <c r="C38" s="1" t="s">
        <v>79</v>
      </c>
      <c r="D38" s="1">
        <v>25289</v>
      </c>
      <c r="E38" s="16">
        <v>45173</v>
      </c>
      <c r="F38" s="1" t="s">
        <v>92</v>
      </c>
      <c r="G38" s="16">
        <v>45167</v>
      </c>
      <c r="H38" s="1">
        <v>1710295812</v>
      </c>
      <c r="I38" s="16">
        <v>45166</v>
      </c>
      <c r="J38" s="1" t="s">
        <v>93</v>
      </c>
      <c r="K38" s="1">
        <v>9</v>
      </c>
      <c r="L38" s="1" t="s">
        <v>49</v>
      </c>
      <c r="M38" s="1" t="s">
        <v>152</v>
      </c>
      <c r="N38" s="1">
        <v>96071900</v>
      </c>
      <c r="O38" s="1">
        <v>15</v>
      </c>
      <c r="P38" s="1">
        <v>11</v>
      </c>
      <c r="Q38" s="1">
        <v>2.5</v>
      </c>
      <c r="R38" s="1" t="s">
        <v>44</v>
      </c>
      <c r="S38" s="1">
        <v>10</v>
      </c>
      <c r="T38" s="1">
        <v>1730.23</v>
      </c>
      <c r="U38" s="1" t="s">
        <v>104</v>
      </c>
      <c r="V38" s="1">
        <v>104.9395</v>
      </c>
      <c r="W38" s="1" t="s">
        <v>67</v>
      </c>
      <c r="X38" s="1" t="s">
        <v>40</v>
      </c>
      <c r="Y38" s="1">
        <v>181569.47</v>
      </c>
      <c r="Z38">
        <f t="shared" si="0"/>
        <v>181569.471085</v>
      </c>
    </row>
    <row r="39" spans="1:26" x14ac:dyDescent="0.25">
      <c r="A39" s="1">
        <v>36</v>
      </c>
      <c r="B39" s="1" t="s">
        <v>165</v>
      </c>
      <c r="C39" s="1" t="s">
        <v>79</v>
      </c>
      <c r="D39" s="1">
        <v>25289</v>
      </c>
      <c r="E39" s="16">
        <v>45173</v>
      </c>
      <c r="F39" s="1" t="s">
        <v>92</v>
      </c>
      <c r="G39" s="16">
        <v>45167</v>
      </c>
      <c r="H39" s="1">
        <v>1710295812</v>
      </c>
      <c r="I39" s="16">
        <v>45166</v>
      </c>
      <c r="J39" s="1" t="s">
        <v>93</v>
      </c>
      <c r="K39" s="1">
        <v>10</v>
      </c>
      <c r="L39" s="1" t="s">
        <v>49</v>
      </c>
      <c r="M39" s="1" t="s">
        <v>153</v>
      </c>
      <c r="N39" s="1">
        <v>96061090</v>
      </c>
      <c r="O39" s="1">
        <v>10</v>
      </c>
      <c r="P39" s="1">
        <v>11</v>
      </c>
      <c r="Q39" s="1">
        <v>2.5</v>
      </c>
      <c r="R39" s="1" t="s">
        <v>128</v>
      </c>
      <c r="S39" s="1">
        <v>60</v>
      </c>
      <c r="T39" s="1">
        <v>373.73</v>
      </c>
      <c r="U39" s="1" t="s">
        <v>104</v>
      </c>
      <c r="V39" s="1">
        <v>104.9395</v>
      </c>
      <c r="W39" s="1" t="s">
        <v>67</v>
      </c>
      <c r="X39" s="1" t="s">
        <v>40</v>
      </c>
      <c r="Y39" s="1">
        <v>39219.040000000001</v>
      </c>
      <c r="Z39">
        <f t="shared" si="0"/>
        <v>39219.039335000001</v>
      </c>
    </row>
    <row r="40" spans="1:26" x14ac:dyDescent="0.25">
      <c r="A40" s="1">
        <v>37</v>
      </c>
      <c r="B40" s="1" t="s">
        <v>165</v>
      </c>
      <c r="C40" s="1" t="s">
        <v>79</v>
      </c>
      <c r="D40" s="1">
        <v>25289</v>
      </c>
      <c r="E40" s="16">
        <v>45173</v>
      </c>
      <c r="F40" s="1" t="s">
        <v>92</v>
      </c>
      <c r="G40" s="16">
        <v>45167</v>
      </c>
      <c r="H40" s="1">
        <v>1710295812</v>
      </c>
      <c r="I40" s="16">
        <v>45166</v>
      </c>
      <c r="J40" s="1" t="s">
        <v>93</v>
      </c>
      <c r="K40" s="1">
        <v>11</v>
      </c>
      <c r="L40" s="1" t="s">
        <v>49</v>
      </c>
      <c r="M40" s="1" t="s">
        <v>154</v>
      </c>
      <c r="N40" s="1">
        <v>39269099</v>
      </c>
      <c r="O40" s="1">
        <v>20</v>
      </c>
      <c r="P40" s="1">
        <v>11</v>
      </c>
      <c r="Q40" s="1">
        <v>7.5</v>
      </c>
      <c r="R40" s="1" t="s">
        <v>44</v>
      </c>
      <c r="S40" s="1">
        <v>100</v>
      </c>
      <c r="T40" s="1">
        <v>311.44</v>
      </c>
      <c r="U40" s="1" t="s">
        <v>104</v>
      </c>
      <c r="V40" s="1">
        <v>104.9395</v>
      </c>
      <c r="W40" s="1" t="s">
        <v>67</v>
      </c>
      <c r="X40" s="1" t="s">
        <v>40</v>
      </c>
      <c r="Y40" s="1">
        <v>32682.36</v>
      </c>
      <c r="Z40">
        <f t="shared" si="0"/>
        <v>32682.35788</v>
      </c>
    </row>
    <row r="41" spans="1:26" x14ac:dyDescent="0.25">
      <c r="A41" s="1">
        <v>38</v>
      </c>
      <c r="B41" s="1" t="s">
        <v>165</v>
      </c>
      <c r="C41" s="1" t="s">
        <v>79</v>
      </c>
      <c r="D41" s="1">
        <v>25289</v>
      </c>
      <c r="E41" s="16">
        <v>45173</v>
      </c>
      <c r="F41" s="1" t="s">
        <v>92</v>
      </c>
      <c r="G41" s="16">
        <v>45167</v>
      </c>
      <c r="H41" s="1">
        <v>1710295812</v>
      </c>
      <c r="I41" s="16">
        <v>45166</v>
      </c>
      <c r="J41" s="1" t="s">
        <v>93</v>
      </c>
      <c r="K41" s="1">
        <v>12</v>
      </c>
      <c r="L41" s="1" t="s">
        <v>49</v>
      </c>
      <c r="M41" s="1" t="s">
        <v>155</v>
      </c>
      <c r="N41" s="1">
        <v>83081000</v>
      </c>
      <c r="O41" s="1">
        <v>5</v>
      </c>
      <c r="P41" s="1">
        <v>11</v>
      </c>
      <c r="Q41" s="1">
        <v>2.5</v>
      </c>
      <c r="R41" s="1" t="s">
        <v>128</v>
      </c>
      <c r="S41" s="1">
        <v>40</v>
      </c>
      <c r="T41" s="1">
        <v>249.15</v>
      </c>
      <c r="U41" s="1" t="s">
        <v>104</v>
      </c>
      <c r="V41" s="1">
        <v>104.9395</v>
      </c>
      <c r="W41" s="1" t="s">
        <v>67</v>
      </c>
      <c r="X41" s="1" t="s">
        <v>40</v>
      </c>
      <c r="Y41" s="1">
        <v>26145.68</v>
      </c>
      <c r="Z41">
        <f t="shared" si="0"/>
        <v>26145.676424999998</v>
      </c>
    </row>
    <row r="42" spans="1:26" x14ac:dyDescent="0.25">
      <c r="A42" s="1">
        <v>39</v>
      </c>
      <c r="B42" s="1" t="s">
        <v>165</v>
      </c>
      <c r="C42" s="1" t="s">
        <v>79</v>
      </c>
      <c r="D42" s="1">
        <v>25289</v>
      </c>
      <c r="E42" s="16">
        <v>45173</v>
      </c>
      <c r="F42" s="1" t="s">
        <v>92</v>
      </c>
      <c r="G42" s="16">
        <v>45167</v>
      </c>
      <c r="H42" s="1">
        <v>1710295812</v>
      </c>
      <c r="I42" s="16">
        <v>45166</v>
      </c>
      <c r="J42" s="1" t="s">
        <v>93</v>
      </c>
      <c r="K42" s="1">
        <v>13</v>
      </c>
      <c r="L42" s="1" t="s">
        <v>49</v>
      </c>
      <c r="M42" s="1" t="s">
        <v>132</v>
      </c>
      <c r="N42" s="1">
        <v>96061090</v>
      </c>
      <c r="O42" s="1">
        <v>10</v>
      </c>
      <c r="P42" s="1">
        <v>11</v>
      </c>
      <c r="Q42" s="1">
        <v>2.5</v>
      </c>
      <c r="R42" s="1" t="s">
        <v>128</v>
      </c>
      <c r="S42" s="1">
        <v>60</v>
      </c>
      <c r="T42" s="1">
        <v>778.61</v>
      </c>
      <c r="U42" s="1" t="s">
        <v>104</v>
      </c>
      <c r="V42" s="1">
        <v>104.9395</v>
      </c>
      <c r="W42" s="1" t="s">
        <v>67</v>
      </c>
      <c r="X42" s="1" t="s">
        <v>40</v>
      </c>
      <c r="Y42" s="1">
        <v>81706.94</v>
      </c>
      <c r="Z42">
        <f t="shared" si="0"/>
        <v>81706.944094999999</v>
      </c>
    </row>
    <row r="43" spans="1:26" x14ac:dyDescent="0.25">
      <c r="A43" s="1">
        <v>40</v>
      </c>
      <c r="B43" s="1" t="s">
        <v>165</v>
      </c>
      <c r="C43" s="1" t="s">
        <v>79</v>
      </c>
      <c r="D43" s="1">
        <v>25289</v>
      </c>
      <c r="E43" s="16">
        <v>45173</v>
      </c>
      <c r="F43" s="1" t="s">
        <v>92</v>
      </c>
      <c r="G43" s="16">
        <v>45167</v>
      </c>
      <c r="H43" s="1">
        <v>1710295812</v>
      </c>
      <c r="I43" s="16">
        <v>45166</v>
      </c>
      <c r="J43" s="1" t="s">
        <v>93</v>
      </c>
      <c r="K43" s="1">
        <v>14</v>
      </c>
      <c r="L43" s="1" t="s">
        <v>49</v>
      </c>
      <c r="M43" s="1" t="s">
        <v>154</v>
      </c>
      <c r="N43" s="1">
        <v>39269099</v>
      </c>
      <c r="O43" s="1">
        <v>20</v>
      </c>
      <c r="P43" s="1">
        <v>11</v>
      </c>
      <c r="Q43" s="1">
        <v>7.5</v>
      </c>
      <c r="R43" s="1" t="s">
        <v>44</v>
      </c>
      <c r="S43" s="1">
        <v>100</v>
      </c>
      <c r="T43" s="1">
        <v>311.44</v>
      </c>
      <c r="U43" s="1" t="s">
        <v>104</v>
      </c>
      <c r="V43" s="1">
        <v>104.9395</v>
      </c>
      <c r="W43" s="1" t="s">
        <v>67</v>
      </c>
      <c r="X43" s="1" t="s">
        <v>40</v>
      </c>
      <c r="Y43" s="1">
        <v>32682.36</v>
      </c>
      <c r="Z43">
        <f t="shared" si="0"/>
        <v>32682.35788</v>
      </c>
    </row>
    <row r="44" spans="1:26" x14ac:dyDescent="0.25">
      <c r="A44" s="1">
        <v>41</v>
      </c>
      <c r="B44" s="1" t="s">
        <v>165</v>
      </c>
      <c r="C44" s="1" t="s">
        <v>79</v>
      </c>
      <c r="D44" s="1">
        <v>25289</v>
      </c>
      <c r="E44" s="16">
        <v>45173</v>
      </c>
      <c r="F44" s="1" t="s">
        <v>92</v>
      </c>
      <c r="G44" s="16">
        <v>45167</v>
      </c>
      <c r="H44" s="1">
        <v>1710295812</v>
      </c>
      <c r="I44" s="16">
        <v>45166</v>
      </c>
      <c r="J44" s="1" t="s">
        <v>93</v>
      </c>
      <c r="K44" s="1">
        <v>15</v>
      </c>
      <c r="L44" s="1" t="s">
        <v>49</v>
      </c>
      <c r="M44" s="1" t="s">
        <v>156</v>
      </c>
      <c r="N44" s="1">
        <v>96061090</v>
      </c>
      <c r="O44" s="1">
        <v>10</v>
      </c>
      <c r="P44" s="1">
        <v>11</v>
      </c>
      <c r="Q44" s="1">
        <v>2.5</v>
      </c>
      <c r="R44" s="1" t="s">
        <v>128</v>
      </c>
      <c r="S44" s="1">
        <v>60</v>
      </c>
      <c r="T44" s="1">
        <v>321.82</v>
      </c>
      <c r="U44" s="1" t="s">
        <v>104</v>
      </c>
      <c r="V44" s="1">
        <v>104.9395</v>
      </c>
      <c r="W44" s="1" t="s">
        <v>67</v>
      </c>
      <c r="X44" s="1" t="s">
        <v>40</v>
      </c>
      <c r="Y44" s="1">
        <v>33771.629999999997</v>
      </c>
      <c r="Z44">
        <f t="shared" si="0"/>
        <v>33771.629889999997</v>
      </c>
    </row>
    <row r="45" spans="1:26" x14ac:dyDescent="0.25">
      <c r="A45" s="1">
        <v>42</v>
      </c>
      <c r="B45" s="1" t="s">
        <v>165</v>
      </c>
      <c r="C45" s="1" t="s">
        <v>79</v>
      </c>
      <c r="D45" s="1">
        <v>25289</v>
      </c>
      <c r="E45" s="16">
        <v>45173</v>
      </c>
      <c r="F45" s="1" t="s">
        <v>92</v>
      </c>
      <c r="G45" s="16">
        <v>45167</v>
      </c>
      <c r="H45" s="1">
        <v>1710295812</v>
      </c>
      <c r="I45" s="16">
        <v>45166</v>
      </c>
      <c r="J45" s="1" t="s">
        <v>93</v>
      </c>
      <c r="K45" s="1">
        <v>16</v>
      </c>
      <c r="L45" s="1" t="s">
        <v>49</v>
      </c>
      <c r="M45" s="1" t="s">
        <v>157</v>
      </c>
      <c r="N45" s="1">
        <v>96061090</v>
      </c>
      <c r="O45" s="1">
        <v>10</v>
      </c>
      <c r="P45" s="1">
        <v>11</v>
      </c>
      <c r="Q45" s="1">
        <v>2.5</v>
      </c>
      <c r="R45" s="1" t="s">
        <v>128</v>
      </c>
      <c r="S45" s="1">
        <v>10</v>
      </c>
      <c r="T45" s="1">
        <v>280.3</v>
      </c>
      <c r="U45" s="1" t="s">
        <v>104</v>
      </c>
      <c r="V45" s="1">
        <v>104.9395</v>
      </c>
      <c r="W45" s="1" t="s">
        <v>67</v>
      </c>
      <c r="X45" s="1" t="s">
        <v>40</v>
      </c>
      <c r="Y45" s="1">
        <v>29414.54</v>
      </c>
      <c r="Z45">
        <f t="shared" si="0"/>
        <v>29414.541850000001</v>
      </c>
    </row>
    <row r="46" spans="1:26" x14ac:dyDescent="0.25">
      <c r="A46" s="1">
        <v>43</v>
      </c>
      <c r="B46" s="1" t="s">
        <v>165</v>
      </c>
      <c r="C46" s="1" t="s">
        <v>79</v>
      </c>
      <c r="D46" s="1">
        <v>25289</v>
      </c>
      <c r="E46" s="16">
        <v>45173</v>
      </c>
      <c r="F46" s="1" t="s">
        <v>92</v>
      </c>
      <c r="G46" s="16">
        <v>45167</v>
      </c>
      <c r="H46" s="1">
        <v>1710295812</v>
      </c>
      <c r="I46" s="16">
        <v>45166</v>
      </c>
      <c r="J46" s="1" t="s">
        <v>93</v>
      </c>
      <c r="K46" s="1">
        <v>17</v>
      </c>
      <c r="L46" s="1" t="s">
        <v>49</v>
      </c>
      <c r="M46" s="1" t="s">
        <v>135</v>
      </c>
      <c r="N46" s="1">
        <v>60053500</v>
      </c>
      <c r="O46" s="1">
        <v>15</v>
      </c>
      <c r="P46" s="1">
        <v>11</v>
      </c>
      <c r="Q46" s="1">
        <v>2.5</v>
      </c>
      <c r="R46" s="1" t="s">
        <v>51</v>
      </c>
      <c r="S46" s="1">
        <v>20</v>
      </c>
      <c r="T46" s="1">
        <v>3806.52</v>
      </c>
      <c r="U46" s="1" t="s">
        <v>104</v>
      </c>
      <c r="V46" s="1">
        <v>104.9395</v>
      </c>
      <c r="W46" s="1" t="s">
        <v>67</v>
      </c>
      <c r="X46" s="1" t="s">
        <v>40</v>
      </c>
      <c r="Y46" s="1">
        <v>399454.31</v>
      </c>
      <c r="Z46">
        <f t="shared" si="0"/>
        <v>399454.30553999997</v>
      </c>
    </row>
    <row r="47" spans="1:26" x14ac:dyDescent="0.25">
      <c r="A47" s="1">
        <v>44</v>
      </c>
      <c r="B47" s="1" t="s">
        <v>165</v>
      </c>
      <c r="C47" s="1" t="s">
        <v>79</v>
      </c>
      <c r="D47" s="1">
        <v>25289</v>
      </c>
      <c r="E47" s="16">
        <v>45173</v>
      </c>
      <c r="F47" s="1" t="s">
        <v>92</v>
      </c>
      <c r="G47" s="16">
        <v>45167</v>
      </c>
      <c r="H47" s="1">
        <v>1710295812</v>
      </c>
      <c r="I47" s="16">
        <v>45166</v>
      </c>
      <c r="J47" s="1" t="s">
        <v>93</v>
      </c>
      <c r="K47" s="1">
        <v>18</v>
      </c>
      <c r="L47" s="1" t="s">
        <v>49</v>
      </c>
      <c r="M47" s="1" t="s">
        <v>158</v>
      </c>
      <c r="N47" s="1">
        <v>60069000</v>
      </c>
      <c r="O47" s="1">
        <v>15</v>
      </c>
      <c r="P47" s="1">
        <v>11</v>
      </c>
      <c r="Q47" s="1">
        <v>2.5</v>
      </c>
      <c r="R47" s="1" t="s">
        <v>51</v>
      </c>
      <c r="S47" s="1">
        <v>2</v>
      </c>
      <c r="T47" s="1">
        <v>865.12</v>
      </c>
      <c r="U47" s="1" t="s">
        <v>104</v>
      </c>
      <c r="V47" s="1">
        <v>104.9395</v>
      </c>
      <c r="W47" s="1" t="s">
        <v>67</v>
      </c>
      <c r="X47" s="1" t="s">
        <v>40</v>
      </c>
      <c r="Y47" s="1">
        <v>90785.26</v>
      </c>
      <c r="Z47">
        <f t="shared" si="0"/>
        <v>90785.260240000003</v>
      </c>
    </row>
    <row r="48" spans="1:26" x14ac:dyDescent="0.25">
      <c r="A48" s="1">
        <v>45</v>
      </c>
      <c r="B48" s="1" t="s">
        <v>165</v>
      </c>
      <c r="C48" s="1" t="s">
        <v>79</v>
      </c>
      <c r="D48" s="1">
        <v>25289</v>
      </c>
      <c r="E48" s="16">
        <v>45173</v>
      </c>
      <c r="F48" s="1" t="s">
        <v>92</v>
      </c>
      <c r="G48" s="16">
        <v>45167</v>
      </c>
      <c r="H48" s="1">
        <v>1710295812</v>
      </c>
      <c r="I48" s="16">
        <v>45166</v>
      </c>
      <c r="J48" s="1" t="s">
        <v>93</v>
      </c>
      <c r="K48" s="1">
        <v>19</v>
      </c>
      <c r="L48" s="1" t="s">
        <v>49</v>
      </c>
      <c r="M48" s="1" t="s">
        <v>158</v>
      </c>
      <c r="N48" s="1">
        <v>60069000</v>
      </c>
      <c r="O48" s="1">
        <v>15</v>
      </c>
      <c r="P48" s="1">
        <v>11</v>
      </c>
      <c r="Q48" s="1">
        <v>2.5</v>
      </c>
      <c r="R48" s="1" t="s">
        <v>51</v>
      </c>
      <c r="S48" s="1">
        <v>2</v>
      </c>
      <c r="T48" s="1">
        <v>899.72</v>
      </c>
      <c r="U48" s="1" t="s">
        <v>104</v>
      </c>
      <c r="V48" s="1">
        <v>104.9395</v>
      </c>
      <c r="W48" s="1" t="s">
        <v>67</v>
      </c>
      <c r="X48" s="1" t="s">
        <v>40</v>
      </c>
      <c r="Y48" s="1">
        <v>94416.17</v>
      </c>
      <c r="Z48">
        <f t="shared" si="0"/>
        <v>94416.166939999996</v>
      </c>
    </row>
    <row r="49" spans="1:26" x14ac:dyDescent="0.25">
      <c r="A49" s="1">
        <v>46</v>
      </c>
      <c r="B49" s="1" t="s">
        <v>165</v>
      </c>
      <c r="C49" s="1" t="s">
        <v>79</v>
      </c>
      <c r="D49" s="1">
        <v>25289</v>
      </c>
      <c r="E49" s="16">
        <v>45173</v>
      </c>
      <c r="F49" s="1" t="s">
        <v>92</v>
      </c>
      <c r="G49" s="16">
        <v>45167</v>
      </c>
      <c r="H49" s="1">
        <v>1710295812</v>
      </c>
      <c r="I49" s="16">
        <v>45166</v>
      </c>
      <c r="J49" s="1" t="s">
        <v>93</v>
      </c>
      <c r="K49" s="1">
        <v>20</v>
      </c>
      <c r="L49" s="1" t="s">
        <v>49</v>
      </c>
      <c r="M49" s="1" t="s">
        <v>136</v>
      </c>
      <c r="N49" s="1">
        <v>59039090</v>
      </c>
      <c r="O49" s="1">
        <v>10</v>
      </c>
      <c r="P49" s="1">
        <v>11</v>
      </c>
      <c r="Q49" s="1">
        <v>2.5</v>
      </c>
      <c r="R49" s="1" t="s">
        <v>51</v>
      </c>
      <c r="S49" s="1">
        <v>20</v>
      </c>
      <c r="T49" s="1">
        <v>1730.23</v>
      </c>
      <c r="U49" s="1" t="s">
        <v>104</v>
      </c>
      <c r="V49" s="1">
        <v>104.9395</v>
      </c>
      <c r="W49" s="1" t="s">
        <v>67</v>
      </c>
      <c r="X49" s="1" t="s">
        <v>40</v>
      </c>
      <c r="Y49" s="1">
        <v>181569.47</v>
      </c>
      <c r="Z49">
        <f t="shared" si="0"/>
        <v>181569.471085</v>
      </c>
    </row>
    <row r="50" spans="1:26" x14ac:dyDescent="0.25">
      <c r="A50" s="1">
        <v>47</v>
      </c>
      <c r="B50" s="1" t="s">
        <v>165</v>
      </c>
      <c r="C50" s="1" t="s">
        <v>79</v>
      </c>
      <c r="D50" s="1">
        <v>25289</v>
      </c>
      <c r="E50" s="16">
        <v>45173</v>
      </c>
      <c r="F50" s="1" t="s">
        <v>92</v>
      </c>
      <c r="G50" s="16">
        <v>45167</v>
      </c>
      <c r="H50" s="1">
        <v>1710295812</v>
      </c>
      <c r="I50" s="16">
        <v>45166</v>
      </c>
      <c r="J50" s="1" t="s">
        <v>93</v>
      </c>
      <c r="K50" s="1">
        <v>21</v>
      </c>
      <c r="L50" s="1" t="s">
        <v>49</v>
      </c>
      <c r="M50" s="1" t="s">
        <v>150</v>
      </c>
      <c r="N50" s="1">
        <v>58071000</v>
      </c>
      <c r="O50" s="1">
        <v>10</v>
      </c>
      <c r="P50" s="1">
        <v>11</v>
      </c>
      <c r="Q50" s="1">
        <v>2.5</v>
      </c>
      <c r="R50" s="1" t="s">
        <v>44</v>
      </c>
      <c r="S50" s="1">
        <v>10</v>
      </c>
      <c r="T50" s="1">
        <v>83.05</v>
      </c>
      <c r="U50" s="1" t="s">
        <v>104</v>
      </c>
      <c r="V50" s="1">
        <v>104.9395</v>
      </c>
      <c r="W50" s="1" t="s">
        <v>67</v>
      </c>
      <c r="X50" s="1" t="s">
        <v>40</v>
      </c>
      <c r="Y50" s="1">
        <v>8715.23</v>
      </c>
      <c r="Z50">
        <f t="shared" si="0"/>
        <v>8715.2254749999993</v>
      </c>
    </row>
    <row r="51" spans="1:26" x14ac:dyDescent="0.25">
      <c r="A51" s="1">
        <v>48</v>
      </c>
      <c r="B51" s="1" t="s">
        <v>165</v>
      </c>
      <c r="C51" s="1" t="s">
        <v>79</v>
      </c>
      <c r="D51" s="1">
        <v>25289</v>
      </c>
      <c r="E51" s="16">
        <v>45173</v>
      </c>
      <c r="F51" s="1" t="s">
        <v>92</v>
      </c>
      <c r="G51" s="16">
        <v>45167</v>
      </c>
      <c r="H51" s="1">
        <v>1710295812</v>
      </c>
      <c r="I51" s="16">
        <v>45166</v>
      </c>
      <c r="J51" s="1" t="s">
        <v>93</v>
      </c>
      <c r="K51" s="1">
        <v>22</v>
      </c>
      <c r="L51" s="1" t="s">
        <v>49</v>
      </c>
      <c r="M51" s="1" t="s">
        <v>159</v>
      </c>
      <c r="N51" s="1">
        <v>58071000</v>
      </c>
      <c r="O51" s="1">
        <v>10</v>
      </c>
      <c r="P51" s="1">
        <v>11</v>
      </c>
      <c r="Q51" s="1">
        <v>2.5</v>
      </c>
      <c r="R51" s="1" t="s">
        <v>44</v>
      </c>
      <c r="S51" s="1">
        <v>20</v>
      </c>
      <c r="T51" s="1">
        <v>51.91</v>
      </c>
      <c r="U51" s="1" t="s">
        <v>104</v>
      </c>
      <c r="V51" s="1">
        <v>104.9395</v>
      </c>
      <c r="W51" s="1" t="s">
        <v>67</v>
      </c>
      <c r="X51" s="1" t="s">
        <v>40</v>
      </c>
      <c r="Y51" s="1">
        <v>5447.41</v>
      </c>
      <c r="Z51">
        <f t="shared" si="0"/>
        <v>5447.4094449999993</v>
      </c>
    </row>
    <row r="52" spans="1:26" x14ac:dyDescent="0.25">
      <c r="A52" s="1">
        <v>49</v>
      </c>
      <c r="B52" s="1" t="s">
        <v>165</v>
      </c>
      <c r="C52" s="1" t="s">
        <v>79</v>
      </c>
      <c r="D52" s="1">
        <v>25289</v>
      </c>
      <c r="E52" s="16">
        <v>45173</v>
      </c>
      <c r="F52" s="1" t="s">
        <v>92</v>
      </c>
      <c r="G52" s="16">
        <v>45167</v>
      </c>
      <c r="H52" s="1">
        <v>1710295812</v>
      </c>
      <c r="I52" s="16">
        <v>45166</v>
      </c>
      <c r="J52" s="1" t="s">
        <v>93</v>
      </c>
      <c r="K52" s="1">
        <v>23</v>
      </c>
      <c r="L52" s="1" t="s">
        <v>49</v>
      </c>
      <c r="M52" s="1" t="s">
        <v>160</v>
      </c>
      <c r="N52" s="1">
        <v>58062090</v>
      </c>
      <c r="O52" s="1">
        <v>10</v>
      </c>
      <c r="P52" s="1">
        <v>11</v>
      </c>
      <c r="Q52" s="1">
        <v>2.5</v>
      </c>
      <c r="R52" s="1" t="s">
        <v>44</v>
      </c>
      <c r="S52" s="1">
        <v>20</v>
      </c>
      <c r="T52" s="1">
        <v>103.82</v>
      </c>
      <c r="U52" s="1" t="s">
        <v>104</v>
      </c>
      <c r="V52" s="1">
        <v>104.9395</v>
      </c>
      <c r="W52" s="1" t="s">
        <v>67</v>
      </c>
      <c r="X52" s="1" t="s">
        <v>40</v>
      </c>
      <c r="Y52" s="1">
        <v>10894.82</v>
      </c>
      <c r="Z52">
        <f t="shared" si="0"/>
        <v>10894.818889999999</v>
      </c>
    </row>
    <row r="53" spans="1:26" x14ac:dyDescent="0.25">
      <c r="A53" s="1">
        <v>50</v>
      </c>
      <c r="B53" s="1" t="s">
        <v>165</v>
      </c>
      <c r="C53" s="1" t="s">
        <v>79</v>
      </c>
      <c r="D53" s="1">
        <v>25289</v>
      </c>
      <c r="E53" s="16">
        <v>45173</v>
      </c>
      <c r="F53" s="1" t="s">
        <v>92</v>
      </c>
      <c r="G53" s="16">
        <v>45167</v>
      </c>
      <c r="H53" s="1">
        <v>1710295812</v>
      </c>
      <c r="I53" s="16">
        <v>45166</v>
      </c>
      <c r="J53" s="1" t="s">
        <v>93</v>
      </c>
      <c r="K53" s="1">
        <v>24</v>
      </c>
      <c r="L53" s="1" t="s">
        <v>49</v>
      </c>
      <c r="M53" s="1" t="s">
        <v>161</v>
      </c>
      <c r="N53" s="1">
        <v>58062090</v>
      </c>
      <c r="O53" s="1">
        <v>10</v>
      </c>
      <c r="P53" s="1">
        <v>11</v>
      </c>
      <c r="Q53" s="1">
        <v>2.5</v>
      </c>
      <c r="R53" s="1" t="s">
        <v>44</v>
      </c>
      <c r="S53" s="1">
        <v>20</v>
      </c>
      <c r="T53" s="1">
        <v>103.82</v>
      </c>
      <c r="U53" s="1" t="s">
        <v>104</v>
      </c>
      <c r="V53" s="1">
        <v>104.9395</v>
      </c>
      <c r="W53" s="1" t="s">
        <v>67</v>
      </c>
      <c r="X53" s="1" t="s">
        <v>40</v>
      </c>
      <c r="Y53" s="1">
        <v>10894.82</v>
      </c>
      <c r="Z53">
        <f t="shared" si="0"/>
        <v>10894.818889999999</v>
      </c>
    </row>
    <row r="54" spans="1:26" x14ac:dyDescent="0.25">
      <c r="A54" s="1">
        <v>51</v>
      </c>
      <c r="B54" s="1" t="s">
        <v>165</v>
      </c>
      <c r="C54" s="1" t="s">
        <v>79</v>
      </c>
      <c r="D54" s="1">
        <v>25289</v>
      </c>
      <c r="E54" s="16">
        <v>45173</v>
      </c>
      <c r="F54" s="1" t="s">
        <v>92</v>
      </c>
      <c r="G54" s="16">
        <v>45167</v>
      </c>
      <c r="H54" s="1">
        <v>1710295812</v>
      </c>
      <c r="I54" s="16">
        <v>45166</v>
      </c>
      <c r="J54" s="1" t="s">
        <v>93</v>
      </c>
      <c r="K54" s="1">
        <v>25</v>
      </c>
      <c r="L54" s="1" t="s">
        <v>49</v>
      </c>
      <c r="M54" s="1" t="s">
        <v>150</v>
      </c>
      <c r="N54" s="1">
        <v>58071000</v>
      </c>
      <c r="O54" s="1">
        <v>10</v>
      </c>
      <c r="P54" s="1">
        <v>11</v>
      </c>
      <c r="Q54" s="1">
        <v>2.5</v>
      </c>
      <c r="R54" s="1" t="s">
        <v>44</v>
      </c>
      <c r="S54" s="1">
        <v>10</v>
      </c>
      <c r="T54" s="1">
        <v>69.2</v>
      </c>
      <c r="U54" s="1" t="s">
        <v>104</v>
      </c>
      <c r="V54" s="1">
        <v>104.9395</v>
      </c>
      <c r="W54" s="1" t="s">
        <v>67</v>
      </c>
      <c r="X54" s="1" t="s">
        <v>40</v>
      </c>
      <c r="Y54" s="1">
        <v>7261.81</v>
      </c>
      <c r="Z54">
        <f t="shared" si="0"/>
        <v>7261.8134</v>
      </c>
    </row>
    <row r="55" spans="1:26" x14ac:dyDescent="0.25">
      <c r="A55" s="1">
        <v>52</v>
      </c>
      <c r="B55" s="1" t="s">
        <v>165</v>
      </c>
      <c r="C55" s="1" t="s">
        <v>79</v>
      </c>
      <c r="D55" s="1">
        <v>25289</v>
      </c>
      <c r="E55" s="16">
        <v>45173</v>
      </c>
      <c r="F55" s="1" t="s">
        <v>92</v>
      </c>
      <c r="G55" s="16">
        <v>45167</v>
      </c>
      <c r="H55" s="1">
        <v>1710295812</v>
      </c>
      <c r="I55" s="16">
        <v>45166</v>
      </c>
      <c r="J55" s="1" t="s">
        <v>93</v>
      </c>
      <c r="K55" s="1">
        <v>26</v>
      </c>
      <c r="L55" s="1" t="s">
        <v>49</v>
      </c>
      <c r="M55" s="1" t="s">
        <v>134</v>
      </c>
      <c r="N55" s="1">
        <v>55113000</v>
      </c>
      <c r="O55" s="1">
        <v>7.5</v>
      </c>
      <c r="P55" s="1">
        <v>11</v>
      </c>
      <c r="Q55" s="1">
        <v>2.5</v>
      </c>
      <c r="R55" s="1" t="s">
        <v>137</v>
      </c>
      <c r="S55" s="1">
        <v>12</v>
      </c>
      <c r="T55" s="1">
        <v>12665.35</v>
      </c>
      <c r="U55" s="1" t="s">
        <v>104</v>
      </c>
      <c r="V55" s="1">
        <v>104.9395</v>
      </c>
      <c r="W55" s="1" t="s">
        <v>67</v>
      </c>
      <c r="X55" s="1" t="s">
        <v>40</v>
      </c>
      <c r="Y55" s="1">
        <v>1329095.5</v>
      </c>
      <c r="Z55">
        <f t="shared" si="0"/>
        <v>1329095.496325</v>
      </c>
    </row>
    <row r="56" spans="1:26" x14ac:dyDescent="0.25">
      <c r="A56" s="1">
        <v>53</v>
      </c>
      <c r="B56" s="1" t="s">
        <v>165</v>
      </c>
      <c r="C56" s="1" t="s">
        <v>79</v>
      </c>
      <c r="D56" s="1">
        <v>25289</v>
      </c>
      <c r="E56" s="16">
        <v>45173</v>
      </c>
      <c r="F56" s="1" t="s">
        <v>92</v>
      </c>
      <c r="G56" s="16">
        <v>45167</v>
      </c>
      <c r="H56" s="1">
        <v>1710295812</v>
      </c>
      <c r="I56" s="16">
        <v>45166</v>
      </c>
      <c r="J56" s="1" t="s">
        <v>93</v>
      </c>
      <c r="K56" s="1">
        <v>27</v>
      </c>
      <c r="L56" s="1" t="s">
        <v>49</v>
      </c>
      <c r="M56" s="1" t="s">
        <v>134</v>
      </c>
      <c r="N56" s="1">
        <v>55113000</v>
      </c>
      <c r="O56" s="1">
        <v>7.5</v>
      </c>
      <c r="P56" s="1">
        <v>11</v>
      </c>
      <c r="Q56" s="1">
        <v>2.5</v>
      </c>
      <c r="R56" s="1" t="s">
        <v>137</v>
      </c>
      <c r="S56" s="1">
        <v>24</v>
      </c>
      <c r="T56" s="1">
        <v>16610.3</v>
      </c>
      <c r="U56" s="1" t="s">
        <v>104</v>
      </c>
      <c r="V56" s="1">
        <v>104.9395</v>
      </c>
      <c r="W56" s="1" t="s">
        <v>67</v>
      </c>
      <c r="X56" s="1" t="s">
        <v>40</v>
      </c>
      <c r="Y56" s="1">
        <v>1743076.58</v>
      </c>
      <c r="Z56">
        <f t="shared" si="0"/>
        <v>1743076.5768499998</v>
      </c>
    </row>
    <row r="57" spans="1:26" x14ac:dyDescent="0.25">
      <c r="A57" s="1">
        <v>54</v>
      </c>
      <c r="B57" s="1" t="s">
        <v>165</v>
      </c>
      <c r="C57" s="1" t="s">
        <v>79</v>
      </c>
      <c r="D57" s="1">
        <v>25289</v>
      </c>
      <c r="E57" s="16">
        <v>45173</v>
      </c>
      <c r="F57" s="1" t="s">
        <v>92</v>
      </c>
      <c r="G57" s="16">
        <v>45167</v>
      </c>
      <c r="H57" s="1">
        <v>1710295812</v>
      </c>
      <c r="I57" s="16">
        <v>45166</v>
      </c>
      <c r="J57" s="1" t="s">
        <v>93</v>
      </c>
      <c r="K57" s="1">
        <v>28</v>
      </c>
      <c r="L57" s="1" t="s">
        <v>49</v>
      </c>
      <c r="M57" s="1" t="s">
        <v>134</v>
      </c>
      <c r="N57" s="1">
        <v>55113000</v>
      </c>
      <c r="O57" s="1">
        <v>7.5</v>
      </c>
      <c r="P57" s="1">
        <v>11</v>
      </c>
      <c r="Q57" s="1">
        <v>2.5</v>
      </c>
      <c r="R57" s="1" t="s">
        <v>137</v>
      </c>
      <c r="S57" s="1">
        <v>36</v>
      </c>
      <c r="T57" s="1">
        <v>27406.99</v>
      </c>
      <c r="U57" s="1" t="s">
        <v>104</v>
      </c>
      <c r="V57" s="1">
        <v>104.9395</v>
      </c>
      <c r="W57" s="1" t="s">
        <v>67</v>
      </c>
      <c r="X57" s="1" t="s">
        <v>40</v>
      </c>
      <c r="Y57" s="1">
        <v>2876075.83</v>
      </c>
      <c r="Z57">
        <f t="shared" si="0"/>
        <v>2876075.8271050001</v>
      </c>
    </row>
    <row r="58" spans="1:26" x14ac:dyDescent="0.25">
      <c r="A58" s="1">
        <v>55</v>
      </c>
      <c r="B58" s="1" t="s">
        <v>165</v>
      </c>
      <c r="C58" s="1" t="s">
        <v>79</v>
      </c>
      <c r="D58" s="1">
        <v>25289</v>
      </c>
      <c r="E58" s="16">
        <v>45173</v>
      </c>
      <c r="F58" s="1" t="s">
        <v>92</v>
      </c>
      <c r="G58" s="16">
        <v>45167</v>
      </c>
      <c r="H58" s="1">
        <v>1710295812</v>
      </c>
      <c r="I58" s="16">
        <v>45166</v>
      </c>
      <c r="J58" s="1" t="s">
        <v>93</v>
      </c>
      <c r="K58" s="1">
        <v>29</v>
      </c>
      <c r="L58" s="1" t="s">
        <v>49</v>
      </c>
      <c r="M58" s="1" t="s">
        <v>162</v>
      </c>
      <c r="N58" s="1">
        <v>55113000</v>
      </c>
      <c r="O58" s="1">
        <v>7.5</v>
      </c>
      <c r="P58" s="1">
        <v>11</v>
      </c>
      <c r="Q58" s="1">
        <v>2.5</v>
      </c>
      <c r="R58" s="1" t="s">
        <v>137</v>
      </c>
      <c r="S58" s="1">
        <v>12</v>
      </c>
      <c r="T58" s="1">
        <v>11419.58</v>
      </c>
      <c r="U58" s="1" t="s">
        <v>104</v>
      </c>
      <c r="V58" s="1">
        <v>104.9395</v>
      </c>
      <c r="W58" s="1" t="s">
        <v>67</v>
      </c>
      <c r="X58" s="1" t="s">
        <v>40</v>
      </c>
      <c r="Y58" s="1">
        <v>1198365.02</v>
      </c>
      <c r="Z58">
        <f t="shared" si="0"/>
        <v>1198365.01541</v>
      </c>
    </row>
    <row r="59" spans="1:26" x14ac:dyDescent="0.25">
      <c r="A59" s="1">
        <v>56</v>
      </c>
      <c r="B59" s="1" t="s">
        <v>165</v>
      </c>
      <c r="C59" s="1" t="s">
        <v>79</v>
      </c>
      <c r="D59" s="1">
        <v>25289</v>
      </c>
      <c r="E59" s="16">
        <v>45173</v>
      </c>
      <c r="F59" s="1" t="s">
        <v>92</v>
      </c>
      <c r="G59" s="16">
        <v>45167</v>
      </c>
      <c r="H59" s="1">
        <v>1710295812</v>
      </c>
      <c r="I59" s="16">
        <v>45166</v>
      </c>
      <c r="J59" s="1" t="s">
        <v>93</v>
      </c>
      <c r="K59" s="1">
        <v>30</v>
      </c>
      <c r="L59" s="1" t="s">
        <v>49</v>
      </c>
      <c r="M59" s="1" t="s">
        <v>150</v>
      </c>
      <c r="N59" s="1">
        <v>58071000</v>
      </c>
      <c r="O59" s="1">
        <v>10</v>
      </c>
      <c r="P59" s="1">
        <v>11</v>
      </c>
      <c r="Q59" s="1">
        <v>2.5</v>
      </c>
      <c r="R59" s="1" t="s">
        <v>44</v>
      </c>
      <c r="S59" s="1">
        <v>30</v>
      </c>
      <c r="T59" s="1">
        <v>441.21</v>
      </c>
      <c r="U59" s="1" t="s">
        <v>104</v>
      </c>
      <c r="V59" s="1">
        <v>104.9395</v>
      </c>
      <c r="W59" s="1" t="s">
        <v>67</v>
      </c>
      <c r="X59" s="1" t="s">
        <v>40</v>
      </c>
      <c r="Y59" s="1">
        <v>46300.36</v>
      </c>
      <c r="Z59">
        <f t="shared" si="0"/>
        <v>46300.356794999992</v>
      </c>
    </row>
    <row r="60" spans="1:26" x14ac:dyDescent="0.25">
      <c r="A60" s="1">
        <v>57</v>
      </c>
      <c r="B60" s="1" t="s">
        <v>165</v>
      </c>
      <c r="C60" s="1" t="s">
        <v>79</v>
      </c>
      <c r="D60" s="1">
        <v>25289</v>
      </c>
      <c r="E60" s="16">
        <v>45173</v>
      </c>
      <c r="F60" s="1" t="s">
        <v>92</v>
      </c>
      <c r="G60" s="16">
        <v>45167</v>
      </c>
      <c r="H60" s="1">
        <v>1710295812</v>
      </c>
      <c r="I60" s="16">
        <v>45166</v>
      </c>
      <c r="J60" s="1" t="s">
        <v>93</v>
      </c>
      <c r="K60" s="1">
        <v>31</v>
      </c>
      <c r="L60" s="1" t="s">
        <v>49</v>
      </c>
      <c r="M60" s="1" t="s">
        <v>150</v>
      </c>
      <c r="N60" s="1">
        <v>58071000</v>
      </c>
      <c r="O60" s="1">
        <v>10</v>
      </c>
      <c r="P60" s="1">
        <v>11</v>
      </c>
      <c r="Q60" s="1">
        <v>2.5</v>
      </c>
      <c r="R60" s="1" t="s">
        <v>44</v>
      </c>
      <c r="S60" s="1">
        <v>20</v>
      </c>
      <c r="T60" s="1">
        <v>207.62</v>
      </c>
      <c r="U60" s="1" t="s">
        <v>104</v>
      </c>
      <c r="V60" s="1">
        <v>104.9395</v>
      </c>
      <c r="W60" s="1" t="s">
        <v>67</v>
      </c>
      <c r="X60" s="1" t="s">
        <v>40</v>
      </c>
      <c r="Y60" s="1">
        <v>21787.54</v>
      </c>
      <c r="Z60">
        <f t="shared" si="0"/>
        <v>21787.538990000001</v>
      </c>
    </row>
    <row r="61" spans="1:26" x14ac:dyDescent="0.25">
      <c r="A61" s="1">
        <v>58</v>
      </c>
      <c r="B61" s="1" t="s">
        <v>165</v>
      </c>
      <c r="C61" s="1" t="s">
        <v>79</v>
      </c>
      <c r="D61" s="1">
        <v>25289</v>
      </c>
      <c r="E61" s="16">
        <v>45173</v>
      </c>
      <c r="F61" s="1" t="s">
        <v>92</v>
      </c>
      <c r="G61" s="16">
        <v>45167</v>
      </c>
      <c r="H61" s="1">
        <v>1710295812</v>
      </c>
      <c r="I61" s="16">
        <v>45166</v>
      </c>
      <c r="J61" s="1" t="s">
        <v>93</v>
      </c>
      <c r="K61" s="1">
        <v>32</v>
      </c>
      <c r="L61" s="1" t="s">
        <v>49</v>
      </c>
      <c r="M61" s="1" t="s">
        <v>150</v>
      </c>
      <c r="N61" s="1">
        <v>58071000</v>
      </c>
      <c r="O61" s="1">
        <v>10</v>
      </c>
      <c r="P61" s="1">
        <v>11</v>
      </c>
      <c r="Q61" s="1">
        <v>2.5</v>
      </c>
      <c r="R61" s="1" t="s">
        <v>44</v>
      </c>
      <c r="S61" s="1">
        <v>20</v>
      </c>
      <c r="T61" s="1">
        <v>207.62</v>
      </c>
      <c r="U61" s="1" t="s">
        <v>104</v>
      </c>
      <c r="V61" s="1">
        <v>104.9395</v>
      </c>
      <c r="W61" s="1" t="s">
        <v>67</v>
      </c>
      <c r="X61" s="1" t="s">
        <v>40</v>
      </c>
      <c r="Y61" s="1">
        <v>21787.54</v>
      </c>
      <c r="Z61">
        <f t="shared" si="0"/>
        <v>21787.538990000001</v>
      </c>
    </row>
    <row r="62" spans="1:26" x14ac:dyDescent="0.25">
      <c r="A62" s="1">
        <v>59</v>
      </c>
      <c r="B62" s="1" t="s">
        <v>165</v>
      </c>
      <c r="C62" s="1" t="s">
        <v>79</v>
      </c>
      <c r="D62" s="1">
        <v>25289</v>
      </c>
      <c r="E62" s="16">
        <v>45173</v>
      </c>
      <c r="F62" s="1" t="s">
        <v>92</v>
      </c>
      <c r="G62" s="16">
        <v>45167</v>
      </c>
      <c r="H62" s="1">
        <v>1710295812</v>
      </c>
      <c r="I62" s="16">
        <v>45166</v>
      </c>
      <c r="J62" s="1" t="s">
        <v>93</v>
      </c>
      <c r="K62" s="1">
        <v>33</v>
      </c>
      <c r="L62" s="1" t="s">
        <v>49</v>
      </c>
      <c r="M62" s="1" t="s">
        <v>152</v>
      </c>
      <c r="N62" s="1">
        <v>96071900</v>
      </c>
      <c r="O62" s="1">
        <v>15</v>
      </c>
      <c r="P62" s="1">
        <v>11</v>
      </c>
      <c r="Q62" s="1">
        <v>2.5</v>
      </c>
      <c r="R62" s="1" t="s">
        <v>44</v>
      </c>
      <c r="S62" s="1">
        <v>40</v>
      </c>
      <c r="T62" s="1">
        <v>1661.03</v>
      </c>
      <c r="U62" s="1" t="s">
        <v>104</v>
      </c>
      <c r="V62" s="1">
        <v>104.9395</v>
      </c>
      <c r="W62" s="1" t="s">
        <v>67</v>
      </c>
      <c r="X62" s="1" t="s">
        <v>40</v>
      </c>
      <c r="Y62" s="1">
        <v>174307.66</v>
      </c>
      <c r="Z62">
        <f t="shared" si="0"/>
        <v>174307.65768499998</v>
      </c>
    </row>
    <row r="63" spans="1:26" x14ac:dyDescent="0.25">
      <c r="A63" s="1">
        <v>60</v>
      </c>
      <c r="B63" s="1" t="s">
        <v>165</v>
      </c>
      <c r="C63" s="1" t="s">
        <v>79</v>
      </c>
      <c r="D63" s="1">
        <v>25289</v>
      </c>
      <c r="E63" s="16">
        <v>45173</v>
      </c>
      <c r="F63" s="1" t="s">
        <v>92</v>
      </c>
      <c r="G63" s="16">
        <v>45167</v>
      </c>
      <c r="H63" s="1">
        <v>1710295812</v>
      </c>
      <c r="I63" s="16">
        <v>45166</v>
      </c>
      <c r="J63" s="1" t="s">
        <v>93</v>
      </c>
      <c r="K63" s="1">
        <v>34</v>
      </c>
      <c r="L63" s="1" t="s">
        <v>49</v>
      </c>
      <c r="M63" s="1" t="s">
        <v>152</v>
      </c>
      <c r="N63" s="1">
        <v>96071900</v>
      </c>
      <c r="O63" s="1">
        <v>15</v>
      </c>
      <c r="P63" s="1">
        <v>11</v>
      </c>
      <c r="Q63" s="1">
        <v>2.5</v>
      </c>
      <c r="R63" s="1" t="s">
        <v>44</v>
      </c>
      <c r="S63" s="1">
        <v>20</v>
      </c>
      <c r="T63" s="1">
        <v>1418.79</v>
      </c>
      <c r="U63" s="1" t="s">
        <v>104</v>
      </c>
      <c r="V63" s="1">
        <v>104.9395</v>
      </c>
      <c r="W63" s="1" t="s">
        <v>67</v>
      </c>
      <c r="X63" s="1" t="s">
        <v>40</v>
      </c>
      <c r="Y63" s="1">
        <v>148887.10999999999</v>
      </c>
      <c r="Z63">
        <f t="shared" si="0"/>
        <v>148887.113205</v>
      </c>
    </row>
    <row r="64" spans="1:26" x14ac:dyDescent="0.25">
      <c r="A64" s="1">
        <v>61</v>
      </c>
      <c r="B64" s="1" t="s">
        <v>165</v>
      </c>
      <c r="C64" s="1" t="s">
        <v>79</v>
      </c>
      <c r="D64" s="1">
        <v>25289</v>
      </c>
      <c r="E64" s="16">
        <v>45173</v>
      </c>
      <c r="F64" s="1" t="s">
        <v>92</v>
      </c>
      <c r="G64" s="16">
        <v>45167</v>
      </c>
      <c r="H64" s="1">
        <v>1710295812</v>
      </c>
      <c r="I64" s="16">
        <v>45166</v>
      </c>
      <c r="J64" s="1" t="s">
        <v>93</v>
      </c>
      <c r="K64" s="1">
        <v>35</v>
      </c>
      <c r="L64" s="1" t="s">
        <v>49</v>
      </c>
      <c r="M64" s="1" t="s">
        <v>152</v>
      </c>
      <c r="N64" s="1">
        <v>96071900</v>
      </c>
      <c r="O64" s="1">
        <v>15</v>
      </c>
      <c r="P64" s="1">
        <v>11</v>
      </c>
      <c r="Q64" s="1">
        <v>2.5</v>
      </c>
      <c r="R64" s="1" t="s">
        <v>44</v>
      </c>
      <c r="S64" s="1">
        <v>20</v>
      </c>
      <c r="T64" s="1">
        <v>1418.79</v>
      </c>
      <c r="U64" s="1" t="s">
        <v>104</v>
      </c>
      <c r="V64" s="1">
        <v>104.9395</v>
      </c>
      <c r="W64" s="1" t="s">
        <v>67</v>
      </c>
      <c r="X64" s="1" t="s">
        <v>40</v>
      </c>
      <c r="Y64" s="1">
        <v>148887.10999999999</v>
      </c>
      <c r="Z64">
        <f t="shared" si="0"/>
        <v>148887.113205</v>
      </c>
    </row>
    <row r="65" spans="1:26" x14ac:dyDescent="0.25">
      <c r="A65" s="1">
        <v>62</v>
      </c>
      <c r="B65" s="1" t="s">
        <v>165</v>
      </c>
      <c r="C65" s="1" t="s">
        <v>79</v>
      </c>
      <c r="D65" s="1">
        <v>25289</v>
      </c>
      <c r="E65" s="16">
        <v>45173</v>
      </c>
      <c r="F65" s="1" t="s">
        <v>92</v>
      </c>
      <c r="G65" s="16">
        <v>45167</v>
      </c>
      <c r="H65" s="1">
        <v>1710295812</v>
      </c>
      <c r="I65" s="16">
        <v>45166</v>
      </c>
      <c r="J65" s="1" t="s">
        <v>93</v>
      </c>
      <c r="K65" s="1">
        <v>36</v>
      </c>
      <c r="L65" s="1" t="s">
        <v>49</v>
      </c>
      <c r="M65" s="1" t="s">
        <v>163</v>
      </c>
      <c r="N65" s="1">
        <v>96062100</v>
      </c>
      <c r="O65" s="1">
        <v>10</v>
      </c>
      <c r="P65" s="1">
        <v>11</v>
      </c>
      <c r="Q65" s="1">
        <v>2.5</v>
      </c>
      <c r="R65" s="1" t="s">
        <v>44</v>
      </c>
      <c r="S65" s="1">
        <v>100</v>
      </c>
      <c r="T65" s="1">
        <v>1366.89</v>
      </c>
      <c r="U65" s="1" t="s">
        <v>104</v>
      </c>
      <c r="V65" s="1">
        <v>104.9395</v>
      </c>
      <c r="W65" s="1" t="s">
        <v>67</v>
      </c>
      <c r="X65" s="1" t="s">
        <v>40</v>
      </c>
      <c r="Y65" s="1">
        <v>143440.75</v>
      </c>
      <c r="Z65">
        <f t="shared" si="0"/>
        <v>143440.75315500001</v>
      </c>
    </row>
    <row r="66" spans="1:26" x14ac:dyDescent="0.25">
      <c r="A66" s="1">
        <v>63</v>
      </c>
      <c r="B66" s="1" t="s">
        <v>165</v>
      </c>
      <c r="C66" s="1" t="s">
        <v>79</v>
      </c>
      <c r="D66" s="1">
        <v>25289</v>
      </c>
      <c r="E66" s="16">
        <v>45173</v>
      </c>
      <c r="F66" s="1" t="s">
        <v>92</v>
      </c>
      <c r="G66" s="16">
        <v>45167</v>
      </c>
      <c r="H66" s="1">
        <v>1710295812</v>
      </c>
      <c r="I66" s="16">
        <v>45166</v>
      </c>
      <c r="J66" s="1" t="s">
        <v>93</v>
      </c>
      <c r="K66" s="1">
        <v>37</v>
      </c>
      <c r="L66" s="1" t="s">
        <v>49</v>
      </c>
      <c r="M66" s="1" t="s">
        <v>154</v>
      </c>
      <c r="N66" s="1">
        <v>39269099</v>
      </c>
      <c r="O66" s="1">
        <v>20</v>
      </c>
      <c r="P66" s="1">
        <v>11</v>
      </c>
      <c r="Q66" s="1">
        <v>7.5</v>
      </c>
      <c r="R66" s="1" t="s">
        <v>44</v>
      </c>
      <c r="S66" s="1">
        <v>100</v>
      </c>
      <c r="T66" s="1">
        <v>311.44</v>
      </c>
      <c r="U66" s="1" t="s">
        <v>104</v>
      </c>
      <c r="V66" s="1">
        <v>104.9395</v>
      </c>
      <c r="W66" s="1" t="s">
        <v>67</v>
      </c>
      <c r="X66" s="1" t="s">
        <v>40</v>
      </c>
      <c r="Y66" s="1">
        <v>32682.36</v>
      </c>
      <c r="Z66">
        <f t="shared" si="0"/>
        <v>32682.35788</v>
      </c>
    </row>
    <row r="67" spans="1:26" x14ac:dyDescent="0.25">
      <c r="A67" s="1">
        <v>64</v>
      </c>
      <c r="B67" s="1" t="s">
        <v>165</v>
      </c>
      <c r="C67" s="1" t="s">
        <v>79</v>
      </c>
      <c r="D67" s="1">
        <v>25289</v>
      </c>
      <c r="E67" s="16">
        <v>45173</v>
      </c>
      <c r="F67" s="1" t="s">
        <v>92</v>
      </c>
      <c r="G67" s="16">
        <v>45167</v>
      </c>
      <c r="H67" s="1">
        <v>1710295812</v>
      </c>
      <c r="I67" s="16">
        <v>45166</v>
      </c>
      <c r="J67" s="1" t="s">
        <v>93</v>
      </c>
      <c r="K67" s="1">
        <v>38</v>
      </c>
      <c r="L67" s="1" t="s">
        <v>49</v>
      </c>
      <c r="M67" s="1" t="s">
        <v>155</v>
      </c>
      <c r="N67" s="1">
        <v>83081000</v>
      </c>
      <c r="O67" s="1">
        <v>5</v>
      </c>
      <c r="P67" s="1">
        <v>11</v>
      </c>
      <c r="Q67" s="1">
        <v>2.5</v>
      </c>
      <c r="R67" s="1" t="s">
        <v>128</v>
      </c>
      <c r="S67" s="1">
        <v>100</v>
      </c>
      <c r="T67" s="1">
        <v>622.88</v>
      </c>
      <c r="U67" s="1" t="s">
        <v>104</v>
      </c>
      <c r="V67" s="1">
        <v>104.9395</v>
      </c>
      <c r="W67" s="1" t="s">
        <v>67</v>
      </c>
      <c r="X67" s="1" t="s">
        <v>40</v>
      </c>
      <c r="Y67" s="1">
        <v>65364.72</v>
      </c>
      <c r="Z67">
        <f t="shared" si="0"/>
        <v>65364.715759999999</v>
      </c>
    </row>
    <row r="68" spans="1:26" x14ac:dyDescent="0.25">
      <c r="A68" s="1">
        <v>65</v>
      </c>
      <c r="B68" s="1" t="s">
        <v>165</v>
      </c>
      <c r="C68" s="1" t="s">
        <v>79</v>
      </c>
      <c r="D68" s="1">
        <v>25289</v>
      </c>
      <c r="E68" s="16">
        <v>45173</v>
      </c>
      <c r="F68" s="1" t="s">
        <v>92</v>
      </c>
      <c r="G68" s="16">
        <v>45167</v>
      </c>
      <c r="H68" s="1">
        <v>1710295812</v>
      </c>
      <c r="I68" s="16">
        <v>45166</v>
      </c>
      <c r="J68" s="1" t="s">
        <v>93</v>
      </c>
      <c r="K68" s="1">
        <v>39</v>
      </c>
      <c r="L68" s="1" t="s">
        <v>49</v>
      </c>
      <c r="M68" s="1" t="s">
        <v>133</v>
      </c>
      <c r="N68" s="1">
        <v>96061090</v>
      </c>
      <c r="O68" s="1">
        <v>10</v>
      </c>
      <c r="P68" s="1">
        <v>11</v>
      </c>
      <c r="Q68" s="1">
        <v>2.5</v>
      </c>
      <c r="R68" s="1" t="s">
        <v>128</v>
      </c>
      <c r="S68" s="1">
        <v>20</v>
      </c>
      <c r="T68" s="1">
        <v>560.6</v>
      </c>
      <c r="U68" s="1" t="s">
        <v>104</v>
      </c>
      <c r="V68" s="1">
        <v>104.9395</v>
      </c>
      <c r="W68" s="1" t="s">
        <v>67</v>
      </c>
      <c r="X68" s="1" t="s">
        <v>40</v>
      </c>
      <c r="Y68" s="1">
        <v>58829.08</v>
      </c>
      <c r="Z68">
        <f t="shared" si="0"/>
        <v>58829.083700000003</v>
      </c>
    </row>
    <row r="69" spans="1:26" x14ac:dyDescent="0.25">
      <c r="A69" s="1">
        <v>66</v>
      </c>
      <c r="B69" s="1" t="s">
        <v>165</v>
      </c>
      <c r="C69" s="1" t="s">
        <v>79</v>
      </c>
      <c r="D69" s="1">
        <v>25289</v>
      </c>
      <c r="E69" s="16">
        <v>45173</v>
      </c>
      <c r="F69" s="1" t="s">
        <v>92</v>
      </c>
      <c r="G69" s="16">
        <v>45167</v>
      </c>
      <c r="H69" s="1">
        <v>1710295812</v>
      </c>
      <c r="I69" s="16">
        <v>45166</v>
      </c>
      <c r="J69" s="1" t="s">
        <v>93</v>
      </c>
      <c r="K69" s="1">
        <v>40</v>
      </c>
      <c r="L69" s="1" t="s">
        <v>49</v>
      </c>
      <c r="M69" s="1" t="s">
        <v>164</v>
      </c>
      <c r="N69" s="1">
        <v>58062090</v>
      </c>
      <c r="O69" s="1">
        <v>10</v>
      </c>
      <c r="P69" s="1">
        <v>11</v>
      </c>
      <c r="Q69" s="1">
        <v>2.5</v>
      </c>
      <c r="R69" s="1" t="s">
        <v>51</v>
      </c>
      <c r="S69" s="1">
        <v>50</v>
      </c>
      <c r="T69" s="1">
        <v>1903.27</v>
      </c>
      <c r="U69" s="1" t="s">
        <v>104</v>
      </c>
      <c r="V69" s="1">
        <v>104.9395</v>
      </c>
      <c r="W69" s="1" t="s">
        <v>67</v>
      </c>
      <c r="X69" s="1" t="s">
        <v>40</v>
      </c>
      <c r="Y69" s="1">
        <v>199728.2</v>
      </c>
      <c r="Z69">
        <f t="shared" ref="Z69:Z132" si="1">T69*V69</f>
        <v>199728.202165</v>
      </c>
    </row>
    <row r="70" spans="1:26" x14ac:dyDescent="0.25">
      <c r="A70" s="1">
        <v>67</v>
      </c>
      <c r="B70" s="1" t="s">
        <v>165</v>
      </c>
      <c r="C70" s="1" t="s">
        <v>107</v>
      </c>
      <c r="D70" s="1">
        <v>25365</v>
      </c>
      <c r="E70" s="16">
        <v>45174</v>
      </c>
      <c r="F70" s="1" t="s">
        <v>110</v>
      </c>
      <c r="G70" s="16">
        <v>45172</v>
      </c>
      <c r="H70" s="1">
        <v>4345658656</v>
      </c>
      <c r="I70" s="16">
        <v>45172</v>
      </c>
      <c r="J70" s="1" t="s">
        <v>93</v>
      </c>
      <c r="K70" s="1">
        <v>1</v>
      </c>
      <c r="L70" s="1" t="s">
        <v>49</v>
      </c>
      <c r="M70" s="1" t="s">
        <v>114</v>
      </c>
      <c r="N70" s="1">
        <v>96071100</v>
      </c>
      <c r="O70" s="1">
        <v>15</v>
      </c>
      <c r="P70" s="1">
        <v>11</v>
      </c>
      <c r="Q70" s="1">
        <v>2.5</v>
      </c>
      <c r="R70" s="1" t="s">
        <v>44</v>
      </c>
      <c r="S70" s="1">
        <v>4</v>
      </c>
      <c r="T70" s="1">
        <v>219.55</v>
      </c>
      <c r="U70" s="1" t="s">
        <v>104</v>
      </c>
      <c r="V70" s="1">
        <v>104.9395</v>
      </c>
      <c r="W70" s="1" t="s">
        <v>67</v>
      </c>
      <c r="X70" s="1" t="s">
        <v>40</v>
      </c>
      <c r="Y70" s="1">
        <v>23039.47</v>
      </c>
      <c r="Z70">
        <f t="shared" si="1"/>
        <v>23039.467225</v>
      </c>
    </row>
    <row r="71" spans="1:26" x14ac:dyDescent="0.25">
      <c r="A71" s="1">
        <v>68</v>
      </c>
      <c r="B71" s="1" t="s">
        <v>165</v>
      </c>
      <c r="C71" s="1" t="s">
        <v>108</v>
      </c>
      <c r="D71" s="1">
        <v>25384</v>
      </c>
      <c r="E71" s="16">
        <v>45174</v>
      </c>
      <c r="F71" s="1" t="s">
        <v>46</v>
      </c>
      <c r="G71" s="16">
        <v>45170</v>
      </c>
      <c r="H71" s="1">
        <v>773278069798</v>
      </c>
      <c r="I71" s="16">
        <v>45171</v>
      </c>
      <c r="J71" s="1" t="s">
        <v>111</v>
      </c>
      <c r="K71" s="1">
        <v>1</v>
      </c>
      <c r="L71" s="1" t="s">
        <v>46</v>
      </c>
      <c r="M71" s="1" t="s">
        <v>115</v>
      </c>
      <c r="N71" s="1">
        <v>60063290</v>
      </c>
      <c r="O71" s="1">
        <v>15</v>
      </c>
      <c r="P71" s="1">
        <v>11</v>
      </c>
      <c r="Q71" s="1">
        <v>2.5</v>
      </c>
      <c r="R71" s="1" t="s">
        <v>41</v>
      </c>
      <c r="S71" s="1">
        <v>1</v>
      </c>
      <c r="T71" s="1">
        <v>22.14</v>
      </c>
      <c r="U71" s="1" t="s">
        <v>42</v>
      </c>
      <c r="V71" s="1">
        <v>15305</v>
      </c>
      <c r="W71" s="1" t="s">
        <v>43</v>
      </c>
      <c r="X71" s="1" t="s">
        <v>40</v>
      </c>
      <c r="Y71" s="1">
        <v>338852.7</v>
      </c>
      <c r="Z71">
        <f t="shared" si="1"/>
        <v>338852.7</v>
      </c>
    </row>
    <row r="72" spans="1:26" x14ac:dyDescent="0.25">
      <c r="A72" s="1">
        <v>69</v>
      </c>
      <c r="B72" s="1" t="s">
        <v>165</v>
      </c>
      <c r="C72" s="1" t="s">
        <v>108</v>
      </c>
      <c r="D72" s="1">
        <v>25384</v>
      </c>
      <c r="E72" s="16">
        <v>45174</v>
      </c>
      <c r="F72" s="1" t="s">
        <v>46</v>
      </c>
      <c r="G72" s="16">
        <v>45170</v>
      </c>
      <c r="H72" s="1">
        <v>773278069798</v>
      </c>
      <c r="I72" s="16">
        <v>45171</v>
      </c>
      <c r="J72" s="1" t="s">
        <v>111</v>
      </c>
      <c r="K72" s="1">
        <v>2</v>
      </c>
      <c r="L72" s="1" t="s">
        <v>46</v>
      </c>
      <c r="M72" s="1" t="s">
        <v>116</v>
      </c>
      <c r="N72" s="1">
        <v>60062400</v>
      </c>
      <c r="O72" s="1">
        <v>15</v>
      </c>
      <c r="P72" s="1">
        <v>11</v>
      </c>
      <c r="Q72" s="1">
        <v>2.5</v>
      </c>
      <c r="R72" s="1" t="s">
        <v>41</v>
      </c>
      <c r="S72" s="1">
        <v>0.25</v>
      </c>
      <c r="T72" s="1">
        <v>5.54</v>
      </c>
      <c r="U72" s="1" t="s">
        <v>42</v>
      </c>
      <c r="V72" s="1">
        <v>15305</v>
      </c>
      <c r="W72" s="1" t="s">
        <v>43</v>
      </c>
      <c r="X72" s="1" t="s">
        <v>40</v>
      </c>
      <c r="Y72" s="1">
        <v>84789.7</v>
      </c>
      <c r="Z72">
        <f t="shared" si="1"/>
        <v>84789.7</v>
      </c>
    </row>
    <row r="73" spans="1:26" x14ac:dyDescent="0.25">
      <c r="A73" s="1">
        <v>70</v>
      </c>
      <c r="B73" s="1" t="s">
        <v>165</v>
      </c>
      <c r="C73" s="1" t="s">
        <v>108</v>
      </c>
      <c r="D73" s="1">
        <v>25384</v>
      </c>
      <c r="E73" s="16">
        <v>45174</v>
      </c>
      <c r="F73" s="1" t="s">
        <v>46</v>
      </c>
      <c r="G73" s="16">
        <v>45170</v>
      </c>
      <c r="H73" s="1">
        <v>773278069798</v>
      </c>
      <c r="I73" s="16">
        <v>45171</v>
      </c>
      <c r="J73" s="1" t="s">
        <v>111</v>
      </c>
      <c r="K73" s="1">
        <v>3</v>
      </c>
      <c r="L73" s="1" t="s">
        <v>46</v>
      </c>
      <c r="M73" s="1" t="s">
        <v>117</v>
      </c>
      <c r="N73" s="1">
        <v>60062400</v>
      </c>
      <c r="O73" s="1">
        <v>15</v>
      </c>
      <c r="P73" s="1">
        <v>11</v>
      </c>
      <c r="Q73" s="1">
        <v>2.5</v>
      </c>
      <c r="R73" s="1" t="s">
        <v>41</v>
      </c>
      <c r="S73" s="1">
        <v>0.25</v>
      </c>
      <c r="T73" s="1">
        <v>5.54</v>
      </c>
      <c r="U73" s="1" t="s">
        <v>42</v>
      </c>
      <c r="V73" s="1">
        <v>15305</v>
      </c>
      <c r="W73" s="1" t="s">
        <v>43</v>
      </c>
      <c r="X73" s="1" t="s">
        <v>40</v>
      </c>
      <c r="Y73" s="1">
        <v>84789.7</v>
      </c>
      <c r="Z73">
        <f t="shared" si="1"/>
        <v>84789.7</v>
      </c>
    </row>
    <row r="74" spans="1:26" x14ac:dyDescent="0.25">
      <c r="A74" s="1">
        <v>71</v>
      </c>
      <c r="B74" s="1" t="s">
        <v>165</v>
      </c>
      <c r="C74" s="1" t="s">
        <v>109</v>
      </c>
      <c r="D74" s="1">
        <v>25390</v>
      </c>
      <c r="E74" s="16">
        <v>45174</v>
      </c>
      <c r="F74" s="1" t="s">
        <v>112</v>
      </c>
      <c r="G74" s="16">
        <v>45169</v>
      </c>
      <c r="H74" s="1">
        <v>644369522391</v>
      </c>
      <c r="I74" s="16">
        <v>45169</v>
      </c>
      <c r="J74" s="1" t="s">
        <v>113</v>
      </c>
      <c r="K74" s="1">
        <v>1</v>
      </c>
      <c r="L74" s="1" t="s">
        <v>46</v>
      </c>
      <c r="M74" s="1" t="s">
        <v>118</v>
      </c>
      <c r="N74" s="1">
        <v>61079900</v>
      </c>
      <c r="O74" s="1">
        <v>25</v>
      </c>
      <c r="P74" s="1">
        <v>11</v>
      </c>
      <c r="Q74" s="1">
        <v>7.5</v>
      </c>
      <c r="R74" s="1" t="s">
        <v>44</v>
      </c>
      <c r="S74" s="1">
        <v>4</v>
      </c>
      <c r="T74" s="1">
        <v>129.65</v>
      </c>
      <c r="U74" s="1" t="s">
        <v>42</v>
      </c>
      <c r="V74" s="1">
        <v>15305</v>
      </c>
      <c r="W74" s="1" t="s">
        <v>119</v>
      </c>
      <c r="X74" s="1" t="s">
        <v>40</v>
      </c>
      <c r="Y74" s="1">
        <v>1984293.25</v>
      </c>
      <c r="Z74">
        <f t="shared" si="1"/>
        <v>1984293.25</v>
      </c>
    </row>
    <row r="75" spans="1:26" x14ac:dyDescent="0.25">
      <c r="A75" s="1">
        <v>72</v>
      </c>
      <c r="B75" s="1" t="s">
        <v>165</v>
      </c>
      <c r="C75" s="1" t="s">
        <v>169</v>
      </c>
      <c r="D75" s="1">
        <v>25582</v>
      </c>
      <c r="E75" s="16">
        <v>45175</v>
      </c>
      <c r="F75" s="1" t="s">
        <v>178</v>
      </c>
      <c r="G75" s="16">
        <v>45164</v>
      </c>
      <c r="H75" s="1" t="s">
        <v>179</v>
      </c>
      <c r="I75" s="16">
        <v>45166</v>
      </c>
      <c r="J75" s="1" t="s">
        <v>180</v>
      </c>
      <c r="K75" s="1">
        <v>1</v>
      </c>
      <c r="L75" s="1" t="s">
        <v>171</v>
      </c>
      <c r="M75" s="1" t="s">
        <v>174</v>
      </c>
      <c r="N75" s="1">
        <v>55133100</v>
      </c>
      <c r="O75" s="1">
        <v>15</v>
      </c>
      <c r="P75" s="1">
        <v>11</v>
      </c>
      <c r="Q75" s="1">
        <v>2.5</v>
      </c>
      <c r="R75" s="1" t="s">
        <v>41</v>
      </c>
      <c r="S75" s="1">
        <v>16982</v>
      </c>
      <c r="T75" s="1">
        <v>23433.62</v>
      </c>
      <c r="U75" s="1" t="s">
        <v>42</v>
      </c>
      <c r="V75" s="1">
        <v>15257</v>
      </c>
      <c r="W75" s="1" t="s">
        <v>43</v>
      </c>
      <c r="X75" s="1" t="s">
        <v>40</v>
      </c>
      <c r="Y75" s="1">
        <v>357526740.33999997</v>
      </c>
      <c r="Z75">
        <f t="shared" si="1"/>
        <v>357526740.33999997</v>
      </c>
    </row>
    <row r="76" spans="1:26" x14ac:dyDescent="0.25">
      <c r="A76" s="1">
        <v>73</v>
      </c>
      <c r="B76" s="1" t="s">
        <v>165</v>
      </c>
      <c r="C76" s="1" t="s">
        <v>169</v>
      </c>
      <c r="D76" s="1">
        <v>25582</v>
      </c>
      <c r="E76" s="16">
        <v>45175</v>
      </c>
      <c r="F76" s="1" t="s">
        <v>178</v>
      </c>
      <c r="G76" s="16">
        <v>45164</v>
      </c>
      <c r="H76" s="1" t="s">
        <v>179</v>
      </c>
      <c r="I76" s="16">
        <v>45166</v>
      </c>
      <c r="J76" s="1" t="s">
        <v>180</v>
      </c>
      <c r="K76" s="1">
        <v>2</v>
      </c>
      <c r="L76" s="1" t="s">
        <v>171</v>
      </c>
      <c r="M76" s="1" t="s">
        <v>175</v>
      </c>
      <c r="N76" s="1">
        <v>55133100</v>
      </c>
      <c r="O76" s="1">
        <v>15</v>
      </c>
      <c r="P76" s="1">
        <v>11</v>
      </c>
      <c r="Q76" s="1">
        <v>2.5</v>
      </c>
      <c r="R76" s="1" t="s">
        <v>41</v>
      </c>
      <c r="S76" s="1">
        <v>11481</v>
      </c>
      <c r="T76" s="1">
        <v>15143.8</v>
      </c>
      <c r="U76" s="1" t="s">
        <v>42</v>
      </c>
      <c r="V76" s="1">
        <v>15257</v>
      </c>
      <c r="W76" s="1" t="s">
        <v>43</v>
      </c>
      <c r="X76" s="1" t="s">
        <v>40</v>
      </c>
      <c r="Y76" s="1">
        <v>231048956.59999999</v>
      </c>
      <c r="Z76">
        <f t="shared" si="1"/>
        <v>231048956.59999999</v>
      </c>
    </row>
    <row r="77" spans="1:26" x14ac:dyDescent="0.25">
      <c r="A77" s="1">
        <v>74</v>
      </c>
      <c r="B77" s="1" t="s">
        <v>165</v>
      </c>
      <c r="C77" s="1" t="s">
        <v>170</v>
      </c>
      <c r="D77" s="1">
        <v>25592</v>
      </c>
      <c r="E77" s="16">
        <v>45175</v>
      </c>
      <c r="F77" s="1" t="s">
        <v>181</v>
      </c>
      <c r="G77" s="16">
        <v>45159</v>
      </c>
      <c r="H77" s="1" t="s">
        <v>182</v>
      </c>
      <c r="I77" s="16">
        <v>45166</v>
      </c>
      <c r="J77" s="1" t="s">
        <v>183</v>
      </c>
      <c r="K77" s="1">
        <v>1</v>
      </c>
      <c r="L77" s="1" t="s">
        <v>172</v>
      </c>
      <c r="M77" s="1" t="s">
        <v>176</v>
      </c>
      <c r="N77" s="1">
        <v>39249090</v>
      </c>
      <c r="O77" s="1">
        <v>20</v>
      </c>
      <c r="P77" s="1">
        <v>11</v>
      </c>
      <c r="Q77" s="1">
        <v>7.5</v>
      </c>
      <c r="R77" s="1" t="s">
        <v>44</v>
      </c>
      <c r="S77" s="1">
        <v>214639</v>
      </c>
      <c r="T77" s="1">
        <v>18656.560000000001</v>
      </c>
      <c r="U77" s="1" t="s">
        <v>42</v>
      </c>
      <c r="V77" s="1">
        <v>15257</v>
      </c>
      <c r="W77" s="1" t="s">
        <v>43</v>
      </c>
      <c r="X77" s="1" t="s">
        <v>40</v>
      </c>
      <c r="Y77" s="1">
        <v>284643135.92000002</v>
      </c>
      <c r="Z77">
        <f t="shared" si="1"/>
        <v>284643135.92000002</v>
      </c>
    </row>
    <row r="78" spans="1:26" x14ac:dyDescent="0.25">
      <c r="A78" s="1">
        <v>75</v>
      </c>
      <c r="B78" s="1" t="s">
        <v>165</v>
      </c>
      <c r="C78" s="1" t="s">
        <v>170</v>
      </c>
      <c r="D78" s="1">
        <v>25592</v>
      </c>
      <c r="E78" s="16">
        <v>45175</v>
      </c>
      <c r="F78" s="1" t="s">
        <v>181</v>
      </c>
      <c r="G78" s="16">
        <v>45159</v>
      </c>
      <c r="H78" s="1" t="s">
        <v>182</v>
      </c>
      <c r="I78" s="16">
        <v>45166</v>
      </c>
      <c r="J78" s="1" t="s">
        <v>183</v>
      </c>
      <c r="K78" s="1">
        <v>2</v>
      </c>
      <c r="L78" s="1" t="s">
        <v>173</v>
      </c>
      <c r="M78" s="1" t="s">
        <v>177</v>
      </c>
      <c r="N78" s="1">
        <v>48211090</v>
      </c>
      <c r="O78" s="1">
        <v>5</v>
      </c>
      <c r="P78" s="1">
        <v>11</v>
      </c>
      <c r="Q78" s="1">
        <v>2.5</v>
      </c>
      <c r="R78" s="1" t="s">
        <v>44</v>
      </c>
      <c r="S78" s="1">
        <v>215000</v>
      </c>
      <c r="T78" s="1">
        <v>1154.79</v>
      </c>
      <c r="U78" s="1" t="s">
        <v>42</v>
      </c>
      <c r="V78" s="1">
        <v>15257</v>
      </c>
      <c r="W78" s="1" t="s">
        <v>43</v>
      </c>
      <c r="X78" s="1" t="s">
        <v>40</v>
      </c>
      <c r="Y78" s="1">
        <v>17618631.030000001</v>
      </c>
      <c r="Z78">
        <f t="shared" si="1"/>
        <v>17618631.030000001</v>
      </c>
    </row>
    <row r="79" spans="1:26" x14ac:dyDescent="0.25">
      <c r="A79" s="1">
        <v>76</v>
      </c>
      <c r="B79" s="1" t="s">
        <v>165</v>
      </c>
      <c r="C79" s="1" t="s">
        <v>184</v>
      </c>
      <c r="D79" s="1">
        <v>25718</v>
      </c>
      <c r="E79" s="16">
        <v>45176</v>
      </c>
      <c r="F79" s="1" t="s">
        <v>46</v>
      </c>
      <c r="G79" s="16">
        <v>45174</v>
      </c>
      <c r="H79" s="1">
        <v>773298698483</v>
      </c>
      <c r="I79" s="16">
        <v>45174</v>
      </c>
      <c r="J79" s="1" t="s">
        <v>186</v>
      </c>
      <c r="K79" s="1">
        <v>1</v>
      </c>
      <c r="L79" s="1" t="s">
        <v>46</v>
      </c>
      <c r="M79" s="1" t="s">
        <v>185</v>
      </c>
      <c r="N79" s="1">
        <v>52084290</v>
      </c>
      <c r="O79" s="1">
        <v>15</v>
      </c>
      <c r="P79" s="1">
        <v>11</v>
      </c>
      <c r="Q79" s="1">
        <v>2.5</v>
      </c>
      <c r="R79" s="1" t="s">
        <v>41</v>
      </c>
      <c r="S79" s="1">
        <v>1</v>
      </c>
      <c r="T79" s="1">
        <v>32.729999999999997</v>
      </c>
      <c r="U79" s="1" t="s">
        <v>42</v>
      </c>
      <c r="V79" s="1">
        <v>15257</v>
      </c>
      <c r="W79" s="1" t="s">
        <v>43</v>
      </c>
      <c r="X79" s="1" t="s">
        <v>40</v>
      </c>
      <c r="Y79" s="1">
        <v>499361.61</v>
      </c>
      <c r="Z79">
        <f t="shared" si="1"/>
        <v>499361.60999999993</v>
      </c>
    </row>
    <row r="80" spans="1:26" x14ac:dyDescent="0.25">
      <c r="A80" s="1">
        <v>77</v>
      </c>
      <c r="B80" s="1" t="s">
        <v>165</v>
      </c>
      <c r="C80" s="1" t="s">
        <v>187</v>
      </c>
      <c r="D80" s="1">
        <v>25746</v>
      </c>
      <c r="E80" s="16">
        <v>45177</v>
      </c>
      <c r="F80" s="1" t="s">
        <v>193</v>
      </c>
      <c r="G80" s="16">
        <v>45175</v>
      </c>
      <c r="H80" s="1">
        <v>1568766883</v>
      </c>
      <c r="I80" s="16">
        <v>45175</v>
      </c>
      <c r="J80" s="1" t="s">
        <v>47</v>
      </c>
      <c r="K80" s="1">
        <v>1</v>
      </c>
      <c r="L80" s="1" t="s">
        <v>49</v>
      </c>
      <c r="M80" s="1" t="s">
        <v>189</v>
      </c>
      <c r="N80" s="1">
        <v>96071900</v>
      </c>
      <c r="O80" s="1">
        <v>15</v>
      </c>
      <c r="P80" s="1">
        <v>11</v>
      </c>
      <c r="Q80" s="1">
        <v>2.5</v>
      </c>
      <c r="R80" s="1" t="s">
        <v>44</v>
      </c>
      <c r="S80" s="1">
        <v>3906</v>
      </c>
      <c r="T80" s="1">
        <v>2372.0100000000002</v>
      </c>
      <c r="U80" s="1" t="s">
        <v>195</v>
      </c>
      <c r="V80" s="1">
        <v>16552.32</v>
      </c>
      <c r="W80" s="1" t="s">
        <v>50</v>
      </c>
      <c r="X80" s="1" t="s">
        <v>40</v>
      </c>
      <c r="Y80" s="1">
        <v>39262268.560000002</v>
      </c>
      <c r="Z80">
        <f t="shared" si="1"/>
        <v>39262268.563200004</v>
      </c>
    </row>
    <row r="81" spans="1:26" x14ac:dyDescent="0.25">
      <c r="A81" s="1">
        <v>78</v>
      </c>
      <c r="B81" s="1" t="s">
        <v>165</v>
      </c>
      <c r="C81" s="1" t="s">
        <v>188</v>
      </c>
      <c r="D81" s="1">
        <v>25754</v>
      </c>
      <c r="E81" s="16">
        <v>45177</v>
      </c>
      <c r="F81" s="1" t="s">
        <v>48</v>
      </c>
      <c r="G81" s="16">
        <v>45175</v>
      </c>
      <c r="H81" s="1">
        <v>7509421824</v>
      </c>
      <c r="I81" s="16">
        <v>45175</v>
      </c>
      <c r="J81" s="1" t="s">
        <v>194</v>
      </c>
      <c r="K81" s="1">
        <v>2</v>
      </c>
      <c r="L81" s="1" t="s">
        <v>49</v>
      </c>
      <c r="M81" s="1" t="s">
        <v>190</v>
      </c>
      <c r="N81" s="1">
        <v>55081090</v>
      </c>
      <c r="O81" s="1">
        <v>5</v>
      </c>
      <c r="P81" s="1">
        <v>11</v>
      </c>
      <c r="Q81" s="1">
        <v>2.5</v>
      </c>
      <c r="R81" s="1" t="s">
        <v>44</v>
      </c>
      <c r="S81" s="1">
        <v>1</v>
      </c>
      <c r="T81" s="1">
        <v>12.37</v>
      </c>
      <c r="U81" s="1" t="s">
        <v>42</v>
      </c>
      <c r="V81" s="1">
        <v>15257</v>
      </c>
      <c r="W81" s="1" t="s">
        <v>50</v>
      </c>
      <c r="X81" s="1" t="s">
        <v>40</v>
      </c>
      <c r="Y81" s="1">
        <v>188729.09</v>
      </c>
      <c r="Z81">
        <f t="shared" si="1"/>
        <v>188729.09</v>
      </c>
    </row>
    <row r="82" spans="1:26" x14ac:dyDescent="0.25">
      <c r="A82" s="1">
        <v>79</v>
      </c>
      <c r="B82" s="1" t="s">
        <v>165</v>
      </c>
      <c r="C82" s="1" t="s">
        <v>188</v>
      </c>
      <c r="D82" s="1">
        <v>25754</v>
      </c>
      <c r="E82" s="16">
        <v>45177</v>
      </c>
      <c r="F82" s="1" t="s">
        <v>48</v>
      </c>
      <c r="G82" s="16">
        <v>45175</v>
      </c>
      <c r="H82" s="1">
        <v>7509421824</v>
      </c>
      <c r="I82" s="16">
        <v>45175</v>
      </c>
      <c r="J82" s="1" t="s">
        <v>194</v>
      </c>
      <c r="K82" s="1">
        <v>1</v>
      </c>
      <c r="L82" s="1" t="s">
        <v>49</v>
      </c>
      <c r="M82" s="1" t="s">
        <v>191</v>
      </c>
      <c r="N82" s="1">
        <v>54081090</v>
      </c>
      <c r="O82" s="1">
        <v>15</v>
      </c>
      <c r="P82" s="1">
        <v>11</v>
      </c>
      <c r="Q82" s="1">
        <v>2.5</v>
      </c>
      <c r="R82" s="1" t="s">
        <v>51</v>
      </c>
      <c r="S82" s="1">
        <v>2</v>
      </c>
      <c r="T82" s="1">
        <v>8.25</v>
      </c>
      <c r="U82" s="1" t="s">
        <v>42</v>
      </c>
      <c r="V82" s="1">
        <v>15257</v>
      </c>
      <c r="W82" s="1" t="s">
        <v>50</v>
      </c>
      <c r="X82" s="1" t="s">
        <v>40</v>
      </c>
      <c r="Y82" s="1">
        <v>125870.25</v>
      </c>
      <c r="Z82">
        <f t="shared" si="1"/>
        <v>125870.25</v>
      </c>
    </row>
    <row r="83" spans="1:26" x14ac:dyDescent="0.25">
      <c r="A83" s="1">
        <v>80</v>
      </c>
      <c r="B83" s="1" t="s">
        <v>165</v>
      </c>
      <c r="C83" s="1" t="s">
        <v>188</v>
      </c>
      <c r="D83" s="1">
        <v>25754</v>
      </c>
      <c r="E83" s="16">
        <v>45177</v>
      </c>
      <c r="F83" s="1" t="s">
        <v>48</v>
      </c>
      <c r="G83" s="16">
        <v>45175</v>
      </c>
      <c r="H83" s="1">
        <v>7509421824</v>
      </c>
      <c r="I83" s="16">
        <v>45175</v>
      </c>
      <c r="J83" s="1" t="s">
        <v>194</v>
      </c>
      <c r="K83" s="1">
        <v>3</v>
      </c>
      <c r="L83" s="1" t="s">
        <v>49</v>
      </c>
      <c r="M83" s="1" t="s">
        <v>192</v>
      </c>
      <c r="N83" s="1">
        <v>59070090</v>
      </c>
      <c r="O83" s="1">
        <v>5</v>
      </c>
      <c r="P83" s="1">
        <v>11</v>
      </c>
      <c r="Q83" s="1">
        <v>2.5</v>
      </c>
      <c r="R83" s="1" t="s">
        <v>51</v>
      </c>
      <c r="S83" s="1">
        <v>10</v>
      </c>
      <c r="T83" s="1">
        <v>20.63</v>
      </c>
      <c r="U83" s="1" t="s">
        <v>42</v>
      </c>
      <c r="V83" s="1">
        <v>15257</v>
      </c>
      <c r="W83" s="1" t="s">
        <v>50</v>
      </c>
      <c r="X83" s="1" t="s">
        <v>40</v>
      </c>
      <c r="Y83" s="1">
        <v>314751.90999999997</v>
      </c>
      <c r="Z83">
        <f t="shared" si="1"/>
        <v>314751.90999999997</v>
      </c>
    </row>
    <row r="84" spans="1:26" x14ac:dyDescent="0.25">
      <c r="A84" s="1">
        <v>81</v>
      </c>
      <c r="B84" s="1" t="s">
        <v>165</v>
      </c>
      <c r="C84" s="1" t="s">
        <v>196</v>
      </c>
      <c r="D84" s="1">
        <v>25864</v>
      </c>
      <c r="E84" s="16">
        <v>45179</v>
      </c>
      <c r="F84" s="1" t="s">
        <v>46</v>
      </c>
      <c r="G84" s="16">
        <v>45175</v>
      </c>
      <c r="H84" s="1">
        <v>773302205665</v>
      </c>
      <c r="I84" s="16">
        <v>45175</v>
      </c>
      <c r="J84" s="1" t="s">
        <v>198</v>
      </c>
      <c r="K84" s="1">
        <v>1</v>
      </c>
      <c r="L84" s="1" t="s">
        <v>46</v>
      </c>
      <c r="M84" s="1" t="s">
        <v>197</v>
      </c>
      <c r="N84" s="1">
        <v>60063290</v>
      </c>
      <c r="O84" s="1">
        <v>15</v>
      </c>
      <c r="P84" s="1">
        <v>11</v>
      </c>
      <c r="Q84" s="1">
        <v>2.5</v>
      </c>
      <c r="R84" s="1" t="s">
        <v>51</v>
      </c>
      <c r="S84" s="1">
        <v>15</v>
      </c>
      <c r="T84" s="1">
        <v>46.8</v>
      </c>
      <c r="U84" s="1" t="s">
        <v>42</v>
      </c>
      <c r="V84" s="1">
        <v>15257</v>
      </c>
      <c r="W84" s="1" t="s">
        <v>43</v>
      </c>
      <c r="X84" s="1" t="s">
        <v>40</v>
      </c>
      <c r="Y84" s="1">
        <v>714027.6</v>
      </c>
      <c r="Z84">
        <f t="shared" si="1"/>
        <v>714027.6</v>
      </c>
    </row>
    <row r="85" spans="1:26" x14ac:dyDescent="0.25">
      <c r="A85" s="1">
        <v>82</v>
      </c>
      <c r="B85" s="1" t="s">
        <v>165</v>
      </c>
      <c r="C85" s="1" t="s">
        <v>199</v>
      </c>
      <c r="D85" s="1">
        <v>25918</v>
      </c>
      <c r="E85" s="16">
        <v>45180</v>
      </c>
      <c r="F85" s="1" t="s">
        <v>239</v>
      </c>
      <c r="G85" s="16">
        <v>45177</v>
      </c>
      <c r="H85" s="1">
        <v>4004509655</v>
      </c>
      <c r="I85" s="16">
        <v>45176</v>
      </c>
      <c r="J85" s="1" t="s">
        <v>93</v>
      </c>
      <c r="K85" s="1">
        <v>1</v>
      </c>
      <c r="L85" s="1" t="s">
        <v>49</v>
      </c>
      <c r="M85" s="1" t="s">
        <v>207</v>
      </c>
      <c r="N85" s="1">
        <v>39232990</v>
      </c>
      <c r="O85" s="1">
        <v>10</v>
      </c>
      <c r="P85" s="1">
        <v>11</v>
      </c>
      <c r="Q85" s="1">
        <v>2.5</v>
      </c>
      <c r="R85" s="1" t="s">
        <v>44</v>
      </c>
      <c r="S85" s="1">
        <v>48</v>
      </c>
      <c r="T85" s="1">
        <v>1003.06</v>
      </c>
      <c r="U85" s="1" t="s">
        <v>104</v>
      </c>
      <c r="V85" s="1">
        <v>104.43989999999999</v>
      </c>
      <c r="W85" s="1" t="s">
        <v>67</v>
      </c>
      <c r="X85" s="1" t="s">
        <v>40</v>
      </c>
      <c r="Y85" s="1">
        <v>104759.49</v>
      </c>
      <c r="Z85">
        <f t="shared" si="1"/>
        <v>104759.48609399999</v>
      </c>
    </row>
    <row r="86" spans="1:26" x14ac:dyDescent="0.25">
      <c r="A86" s="1">
        <v>83</v>
      </c>
      <c r="B86" s="1" t="s">
        <v>165</v>
      </c>
      <c r="C86" s="1" t="s">
        <v>199</v>
      </c>
      <c r="D86" s="1">
        <v>25918</v>
      </c>
      <c r="E86" s="16">
        <v>45180</v>
      </c>
      <c r="F86" s="1" t="s">
        <v>239</v>
      </c>
      <c r="G86" s="16">
        <v>45177</v>
      </c>
      <c r="H86" s="1">
        <v>4004509655</v>
      </c>
      <c r="I86" s="16">
        <v>45176</v>
      </c>
      <c r="J86" s="1" t="s">
        <v>93</v>
      </c>
      <c r="K86" s="1">
        <v>2</v>
      </c>
      <c r="L86" s="1" t="s">
        <v>49</v>
      </c>
      <c r="M86" s="1" t="s">
        <v>208</v>
      </c>
      <c r="N86" s="1">
        <v>48211090</v>
      </c>
      <c r="O86" s="1">
        <v>5</v>
      </c>
      <c r="P86" s="1">
        <v>11</v>
      </c>
      <c r="Q86" s="1">
        <v>2.5</v>
      </c>
      <c r="R86" s="1" t="s">
        <v>44</v>
      </c>
      <c r="S86" s="1">
        <v>128</v>
      </c>
      <c r="T86" s="1">
        <v>1365.28</v>
      </c>
      <c r="U86" s="1" t="s">
        <v>104</v>
      </c>
      <c r="V86" s="1">
        <v>104.43989999999999</v>
      </c>
      <c r="W86" s="1" t="s">
        <v>67</v>
      </c>
      <c r="X86" s="1" t="s">
        <v>40</v>
      </c>
      <c r="Y86" s="1">
        <v>142589.71</v>
      </c>
      <c r="Z86">
        <f t="shared" si="1"/>
        <v>142589.706672</v>
      </c>
    </row>
    <row r="87" spans="1:26" x14ac:dyDescent="0.25">
      <c r="A87" s="1">
        <v>84</v>
      </c>
      <c r="B87" s="1" t="s">
        <v>165</v>
      </c>
      <c r="C87" s="1" t="s">
        <v>199</v>
      </c>
      <c r="D87" s="1">
        <v>25918</v>
      </c>
      <c r="E87" s="16">
        <v>45180</v>
      </c>
      <c r="F87" s="1" t="s">
        <v>239</v>
      </c>
      <c r="G87" s="16">
        <v>45177</v>
      </c>
      <c r="H87" s="1">
        <v>4004509655</v>
      </c>
      <c r="I87" s="16">
        <v>45176</v>
      </c>
      <c r="J87" s="1" t="s">
        <v>93</v>
      </c>
      <c r="K87" s="1">
        <v>3</v>
      </c>
      <c r="L87" s="1" t="s">
        <v>49</v>
      </c>
      <c r="M87" s="1" t="s">
        <v>209</v>
      </c>
      <c r="N87" s="1">
        <v>39269099</v>
      </c>
      <c r="O87" s="1">
        <v>20</v>
      </c>
      <c r="P87" s="1">
        <v>11</v>
      </c>
      <c r="Q87" s="1">
        <v>7.5</v>
      </c>
      <c r="R87" s="1" t="s">
        <v>44</v>
      </c>
      <c r="S87" s="1">
        <v>100</v>
      </c>
      <c r="T87" s="1">
        <v>174.14</v>
      </c>
      <c r="U87" s="1" t="s">
        <v>104</v>
      </c>
      <c r="V87" s="1">
        <v>104.43989999999999</v>
      </c>
      <c r="W87" s="1" t="s">
        <v>67</v>
      </c>
      <c r="X87" s="1" t="s">
        <v>40</v>
      </c>
      <c r="Y87" s="1">
        <v>18187.16</v>
      </c>
      <c r="Z87">
        <f t="shared" si="1"/>
        <v>18187.164185999998</v>
      </c>
    </row>
    <row r="88" spans="1:26" x14ac:dyDescent="0.25">
      <c r="A88" s="1">
        <v>85</v>
      </c>
      <c r="B88" s="1" t="s">
        <v>165</v>
      </c>
      <c r="C88" s="1" t="s">
        <v>200</v>
      </c>
      <c r="D88" s="1">
        <v>25922</v>
      </c>
      <c r="E88" s="16">
        <v>45180</v>
      </c>
      <c r="F88" s="1" t="s">
        <v>240</v>
      </c>
      <c r="G88" s="16">
        <v>45176</v>
      </c>
      <c r="H88" s="1">
        <v>1549364095</v>
      </c>
      <c r="I88" s="16">
        <v>45176</v>
      </c>
      <c r="J88" s="1" t="s">
        <v>241</v>
      </c>
      <c r="K88" s="1">
        <v>1</v>
      </c>
      <c r="L88" s="1" t="s">
        <v>49</v>
      </c>
      <c r="M88" s="1" t="s">
        <v>210</v>
      </c>
      <c r="N88" s="1">
        <v>63079090</v>
      </c>
      <c r="O88" s="1">
        <v>20</v>
      </c>
      <c r="P88" s="1">
        <v>11</v>
      </c>
      <c r="Q88" s="1">
        <v>7.5</v>
      </c>
      <c r="R88" s="1" t="s">
        <v>44</v>
      </c>
      <c r="S88" s="1">
        <v>1</v>
      </c>
      <c r="T88" s="1">
        <v>186.76</v>
      </c>
      <c r="U88" s="1" t="s">
        <v>104</v>
      </c>
      <c r="V88" s="1">
        <v>104.43989999999999</v>
      </c>
      <c r="W88" s="1" t="s">
        <v>67</v>
      </c>
      <c r="X88" s="1" t="s">
        <v>40</v>
      </c>
      <c r="Y88" s="1">
        <v>19505.2</v>
      </c>
      <c r="Z88">
        <f t="shared" si="1"/>
        <v>19505.195723999997</v>
      </c>
    </row>
    <row r="89" spans="1:26" x14ac:dyDescent="0.25">
      <c r="A89" s="1">
        <v>86</v>
      </c>
      <c r="B89" s="1" t="s">
        <v>165</v>
      </c>
      <c r="C89" s="1" t="s">
        <v>201</v>
      </c>
      <c r="D89" s="1">
        <v>25925</v>
      </c>
      <c r="E89" s="16">
        <v>45180</v>
      </c>
      <c r="F89" s="1" t="s">
        <v>242</v>
      </c>
      <c r="G89" s="16">
        <v>45176</v>
      </c>
      <c r="H89" s="1">
        <v>6285357175</v>
      </c>
      <c r="I89" s="16">
        <v>45176</v>
      </c>
      <c r="J89" s="1" t="s">
        <v>57</v>
      </c>
      <c r="K89" s="1">
        <v>1</v>
      </c>
      <c r="L89" s="1" t="s">
        <v>49</v>
      </c>
      <c r="M89" s="1" t="s">
        <v>211</v>
      </c>
      <c r="N89" s="1">
        <v>48114190</v>
      </c>
      <c r="O89" s="1">
        <v>5</v>
      </c>
      <c r="P89" s="1">
        <v>11</v>
      </c>
      <c r="Q89" s="1">
        <v>2.5</v>
      </c>
      <c r="R89" s="1" t="s">
        <v>44</v>
      </c>
      <c r="S89" s="1">
        <v>2</v>
      </c>
      <c r="T89" s="1">
        <v>8.2200000000000006</v>
      </c>
      <c r="U89" s="1" t="s">
        <v>104</v>
      </c>
      <c r="V89" s="1">
        <v>104.43989999999999</v>
      </c>
      <c r="W89" s="1" t="s">
        <v>67</v>
      </c>
      <c r="X89" s="1" t="s">
        <v>40</v>
      </c>
      <c r="Y89" s="1">
        <v>858.5</v>
      </c>
      <c r="Z89">
        <f t="shared" si="1"/>
        <v>858.49597800000004</v>
      </c>
    </row>
    <row r="90" spans="1:26" x14ac:dyDescent="0.25">
      <c r="A90" s="1">
        <v>87</v>
      </c>
      <c r="B90" s="1" t="s">
        <v>165</v>
      </c>
      <c r="C90" s="1" t="s">
        <v>201</v>
      </c>
      <c r="D90" s="1">
        <v>25925</v>
      </c>
      <c r="E90" s="16">
        <v>45180</v>
      </c>
      <c r="F90" s="1" t="s">
        <v>242</v>
      </c>
      <c r="G90" s="16">
        <v>45176</v>
      </c>
      <c r="H90" s="1">
        <v>6285357175</v>
      </c>
      <c r="I90" s="16">
        <v>45176</v>
      </c>
      <c r="J90" s="1" t="s">
        <v>57</v>
      </c>
      <c r="K90" s="1">
        <v>2</v>
      </c>
      <c r="L90" s="1" t="s">
        <v>49</v>
      </c>
      <c r="M90" s="1" t="s">
        <v>212</v>
      </c>
      <c r="N90" s="1">
        <v>58071000</v>
      </c>
      <c r="O90" s="1">
        <v>10</v>
      </c>
      <c r="P90" s="1">
        <v>11</v>
      </c>
      <c r="Q90" s="1">
        <v>2.5</v>
      </c>
      <c r="R90" s="1" t="s">
        <v>44</v>
      </c>
      <c r="S90" s="1">
        <v>16</v>
      </c>
      <c r="T90" s="1">
        <v>2895.11</v>
      </c>
      <c r="U90" s="1" t="s">
        <v>104</v>
      </c>
      <c r="V90" s="1">
        <v>104.43989999999999</v>
      </c>
      <c r="W90" s="1" t="s">
        <v>67</v>
      </c>
      <c r="X90" s="1" t="s">
        <v>40</v>
      </c>
      <c r="Y90" s="1">
        <v>302365</v>
      </c>
      <c r="Z90">
        <f t="shared" si="1"/>
        <v>302364.99888899998</v>
      </c>
    </row>
    <row r="91" spans="1:26" x14ac:dyDescent="0.25">
      <c r="A91" s="1">
        <v>88</v>
      </c>
      <c r="B91" s="1" t="s">
        <v>165</v>
      </c>
      <c r="C91" s="1" t="s">
        <v>201</v>
      </c>
      <c r="D91" s="1">
        <v>25925</v>
      </c>
      <c r="E91" s="16">
        <v>45180</v>
      </c>
      <c r="F91" s="1" t="s">
        <v>242</v>
      </c>
      <c r="G91" s="16">
        <v>45176</v>
      </c>
      <c r="H91" s="1">
        <v>6285357175</v>
      </c>
      <c r="I91" s="16">
        <v>45176</v>
      </c>
      <c r="J91" s="1" t="s">
        <v>57</v>
      </c>
      <c r="K91" s="1">
        <v>3</v>
      </c>
      <c r="L91" s="1" t="s">
        <v>49</v>
      </c>
      <c r="M91" s="1" t="s">
        <v>213</v>
      </c>
      <c r="N91" s="1">
        <v>58071000</v>
      </c>
      <c r="O91" s="1">
        <v>10</v>
      </c>
      <c r="P91" s="1">
        <v>11</v>
      </c>
      <c r="Q91" s="1">
        <v>2.5</v>
      </c>
      <c r="R91" s="1" t="s">
        <v>44</v>
      </c>
      <c r="S91" s="1">
        <v>8</v>
      </c>
      <c r="T91" s="1">
        <v>1447.55</v>
      </c>
      <c r="U91" s="1" t="s">
        <v>104</v>
      </c>
      <c r="V91" s="1">
        <v>104.43989999999999</v>
      </c>
      <c r="W91" s="1" t="s">
        <v>67</v>
      </c>
      <c r="X91" s="1" t="s">
        <v>40</v>
      </c>
      <c r="Y91" s="1">
        <v>151181.98000000001</v>
      </c>
      <c r="Z91">
        <f t="shared" si="1"/>
        <v>151181.97724499999</v>
      </c>
    </row>
    <row r="92" spans="1:26" x14ac:dyDescent="0.25">
      <c r="A92" s="1">
        <v>89</v>
      </c>
      <c r="B92" s="1" t="s">
        <v>165</v>
      </c>
      <c r="C92" s="1" t="s">
        <v>201</v>
      </c>
      <c r="D92" s="1">
        <v>25925</v>
      </c>
      <c r="E92" s="16">
        <v>45180</v>
      </c>
      <c r="F92" s="1" t="s">
        <v>242</v>
      </c>
      <c r="G92" s="16">
        <v>45176</v>
      </c>
      <c r="H92" s="1">
        <v>6285357175</v>
      </c>
      <c r="I92" s="16">
        <v>45176</v>
      </c>
      <c r="J92" s="1" t="s">
        <v>57</v>
      </c>
      <c r="K92" s="1">
        <v>4</v>
      </c>
      <c r="L92" s="1" t="s">
        <v>49</v>
      </c>
      <c r="M92" s="1" t="s">
        <v>214</v>
      </c>
      <c r="N92" s="1">
        <v>58071000</v>
      </c>
      <c r="O92" s="1">
        <v>10</v>
      </c>
      <c r="P92" s="1">
        <v>11</v>
      </c>
      <c r="Q92" s="1">
        <v>2.5</v>
      </c>
      <c r="R92" s="1" t="s">
        <v>44</v>
      </c>
      <c r="S92" s="1">
        <v>12</v>
      </c>
      <c r="T92" s="1">
        <v>2171.33</v>
      </c>
      <c r="U92" s="1" t="s">
        <v>104</v>
      </c>
      <c r="V92" s="1">
        <v>104.43989999999999</v>
      </c>
      <c r="W92" s="1" t="s">
        <v>67</v>
      </c>
      <c r="X92" s="1" t="s">
        <v>40</v>
      </c>
      <c r="Y92" s="1">
        <v>226773.49</v>
      </c>
      <c r="Z92">
        <f t="shared" si="1"/>
        <v>226773.48806699997</v>
      </c>
    </row>
    <row r="93" spans="1:26" x14ac:dyDescent="0.25">
      <c r="A93" s="1">
        <v>90</v>
      </c>
      <c r="B93" s="1" t="s">
        <v>165</v>
      </c>
      <c r="C93" s="1" t="s">
        <v>202</v>
      </c>
      <c r="D93" s="1">
        <v>25944</v>
      </c>
      <c r="E93" s="16">
        <v>45180</v>
      </c>
      <c r="F93" s="1" t="s">
        <v>243</v>
      </c>
      <c r="G93" s="16">
        <v>45175</v>
      </c>
      <c r="H93" s="1">
        <v>3279002683</v>
      </c>
      <c r="I93" s="16">
        <v>45175</v>
      </c>
      <c r="J93" s="1" t="s">
        <v>244</v>
      </c>
      <c r="K93" s="1">
        <v>2</v>
      </c>
      <c r="L93" s="1" t="s">
        <v>49</v>
      </c>
      <c r="M93" s="1" t="s">
        <v>215</v>
      </c>
      <c r="N93" s="1">
        <v>62046900</v>
      </c>
      <c r="O93" s="1">
        <v>25</v>
      </c>
      <c r="P93" s="1">
        <v>11</v>
      </c>
      <c r="Q93" s="1">
        <v>7.5</v>
      </c>
      <c r="R93" s="1" t="s">
        <v>44</v>
      </c>
      <c r="S93" s="1">
        <v>2</v>
      </c>
      <c r="T93" s="1">
        <v>11.59</v>
      </c>
      <c r="U93" s="1" t="s">
        <v>42</v>
      </c>
      <c r="V93" s="1">
        <v>15257</v>
      </c>
      <c r="W93" s="1" t="s">
        <v>249</v>
      </c>
      <c r="X93" s="1" t="s">
        <v>40</v>
      </c>
      <c r="Y93" s="1">
        <v>176828.63</v>
      </c>
      <c r="Z93">
        <f t="shared" si="1"/>
        <v>176828.63</v>
      </c>
    </row>
    <row r="94" spans="1:26" x14ac:dyDescent="0.25">
      <c r="A94" s="1">
        <v>91</v>
      </c>
      <c r="B94" s="1" t="s">
        <v>165</v>
      </c>
      <c r="C94" s="1" t="s">
        <v>202</v>
      </c>
      <c r="D94" s="1">
        <v>25944</v>
      </c>
      <c r="E94" s="16">
        <v>45180</v>
      </c>
      <c r="F94" s="1" t="s">
        <v>243</v>
      </c>
      <c r="G94" s="16">
        <v>45175</v>
      </c>
      <c r="H94" s="1">
        <v>3279002683</v>
      </c>
      <c r="I94" s="16">
        <v>45175</v>
      </c>
      <c r="J94" s="1" t="s">
        <v>244</v>
      </c>
      <c r="K94" s="1">
        <v>1</v>
      </c>
      <c r="L94" s="1" t="s">
        <v>49</v>
      </c>
      <c r="M94" s="1" t="s">
        <v>216</v>
      </c>
      <c r="N94" s="1">
        <v>48114190</v>
      </c>
      <c r="O94" s="1">
        <v>5</v>
      </c>
      <c r="P94" s="1">
        <v>11</v>
      </c>
      <c r="Q94" s="1">
        <v>2.5</v>
      </c>
      <c r="R94" s="1" t="s">
        <v>128</v>
      </c>
      <c r="S94" s="1">
        <v>7</v>
      </c>
      <c r="T94" s="1">
        <v>8.11</v>
      </c>
      <c r="U94" s="1" t="s">
        <v>42</v>
      </c>
      <c r="V94" s="1">
        <v>15257</v>
      </c>
      <c r="W94" s="1" t="s">
        <v>249</v>
      </c>
      <c r="X94" s="1" t="s">
        <v>40</v>
      </c>
      <c r="Y94" s="1">
        <v>123734.27</v>
      </c>
      <c r="Z94">
        <f t="shared" si="1"/>
        <v>123734.26999999999</v>
      </c>
    </row>
    <row r="95" spans="1:26" x14ac:dyDescent="0.25">
      <c r="A95" s="1">
        <v>92</v>
      </c>
      <c r="B95" s="1" t="s">
        <v>165</v>
      </c>
      <c r="C95" s="1" t="s">
        <v>202</v>
      </c>
      <c r="D95" s="1">
        <v>25944</v>
      </c>
      <c r="E95" s="16">
        <v>45180</v>
      </c>
      <c r="F95" s="1" t="s">
        <v>243</v>
      </c>
      <c r="G95" s="16">
        <v>45175</v>
      </c>
      <c r="H95" s="1">
        <v>3279002683</v>
      </c>
      <c r="I95" s="16">
        <v>45175</v>
      </c>
      <c r="J95" s="1" t="s">
        <v>244</v>
      </c>
      <c r="K95" s="1">
        <v>3</v>
      </c>
      <c r="L95" s="1" t="s">
        <v>49</v>
      </c>
      <c r="M95" s="1" t="s">
        <v>217</v>
      </c>
      <c r="N95" s="1">
        <v>62046900</v>
      </c>
      <c r="O95" s="1">
        <v>25</v>
      </c>
      <c r="P95" s="1">
        <v>11</v>
      </c>
      <c r="Q95" s="1">
        <v>7.5</v>
      </c>
      <c r="R95" s="1" t="s">
        <v>44</v>
      </c>
      <c r="S95" s="1">
        <v>2</v>
      </c>
      <c r="T95" s="1">
        <v>12.74</v>
      </c>
      <c r="U95" s="1" t="s">
        <v>42</v>
      </c>
      <c r="V95" s="1">
        <v>15257</v>
      </c>
      <c r="W95" s="1" t="s">
        <v>249</v>
      </c>
      <c r="X95" s="1" t="s">
        <v>40</v>
      </c>
      <c r="Y95" s="1">
        <v>194374.18</v>
      </c>
      <c r="Z95">
        <f t="shared" si="1"/>
        <v>194374.18</v>
      </c>
    </row>
    <row r="96" spans="1:26" x14ac:dyDescent="0.25">
      <c r="A96" s="1">
        <v>93</v>
      </c>
      <c r="B96" s="1" t="s">
        <v>165</v>
      </c>
      <c r="C96" s="1" t="s">
        <v>202</v>
      </c>
      <c r="D96" s="1">
        <v>25944</v>
      </c>
      <c r="E96" s="16">
        <v>45180</v>
      </c>
      <c r="F96" s="1" t="s">
        <v>243</v>
      </c>
      <c r="G96" s="16">
        <v>45175</v>
      </c>
      <c r="H96" s="1">
        <v>3279002683</v>
      </c>
      <c r="I96" s="16">
        <v>45175</v>
      </c>
      <c r="J96" s="1" t="s">
        <v>244</v>
      </c>
      <c r="K96" s="1">
        <v>4</v>
      </c>
      <c r="L96" s="1" t="s">
        <v>49</v>
      </c>
      <c r="M96" s="1" t="s">
        <v>218</v>
      </c>
      <c r="N96" s="1">
        <v>62031990</v>
      </c>
      <c r="O96" s="1">
        <v>25</v>
      </c>
      <c r="P96" s="1">
        <v>11</v>
      </c>
      <c r="Q96" s="1">
        <v>7.5</v>
      </c>
      <c r="R96" s="1" t="s">
        <v>44</v>
      </c>
      <c r="S96" s="1">
        <v>4</v>
      </c>
      <c r="T96" s="1">
        <v>23.17</v>
      </c>
      <c r="U96" s="1" t="s">
        <v>42</v>
      </c>
      <c r="V96" s="1">
        <v>15257</v>
      </c>
      <c r="W96" s="1" t="s">
        <v>249</v>
      </c>
      <c r="X96" s="1" t="s">
        <v>40</v>
      </c>
      <c r="Y96" s="1">
        <v>353504.69</v>
      </c>
      <c r="Z96">
        <f t="shared" si="1"/>
        <v>353504.69</v>
      </c>
    </row>
    <row r="97" spans="1:26" x14ac:dyDescent="0.25">
      <c r="A97" s="1">
        <v>94</v>
      </c>
      <c r="B97" s="1" t="s">
        <v>165</v>
      </c>
      <c r="C97" s="1" t="s">
        <v>202</v>
      </c>
      <c r="D97" s="1">
        <v>25944</v>
      </c>
      <c r="E97" s="16">
        <v>45180</v>
      </c>
      <c r="F97" s="1" t="s">
        <v>243</v>
      </c>
      <c r="G97" s="16">
        <v>45175</v>
      </c>
      <c r="H97" s="1">
        <v>3279002683</v>
      </c>
      <c r="I97" s="16">
        <v>45175</v>
      </c>
      <c r="J97" s="1" t="s">
        <v>244</v>
      </c>
      <c r="K97" s="1">
        <v>5</v>
      </c>
      <c r="L97" s="1" t="s">
        <v>49</v>
      </c>
      <c r="M97" s="1" t="s">
        <v>217</v>
      </c>
      <c r="N97" s="1">
        <v>62046900</v>
      </c>
      <c r="O97" s="1">
        <v>25</v>
      </c>
      <c r="P97" s="1">
        <v>11</v>
      </c>
      <c r="Q97" s="1">
        <v>7.5</v>
      </c>
      <c r="R97" s="1" t="s">
        <v>44</v>
      </c>
      <c r="S97" s="1">
        <v>4</v>
      </c>
      <c r="T97" s="1">
        <v>23.17</v>
      </c>
      <c r="U97" s="1" t="s">
        <v>42</v>
      </c>
      <c r="V97" s="1">
        <v>15257</v>
      </c>
      <c r="W97" s="1" t="s">
        <v>249</v>
      </c>
      <c r="X97" s="1" t="s">
        <v>40</v>
      </c>
      <c r="Y97" s="1">
        <v>353504.69</v>
      </c>
      <c r="Z97">
        <f t="shared" si="1"/>
        <v>353504.69</v>
      </c>
    </row>
    <row r="98" spans="1:26" x14ac:dyDescent="0.25">
      <c r="A98" s="1">
        <v>95</v>
      </c>
      <c r="B98" s="1" t="s">
        <v>165</v>
      </c>
      <c r="C98" s="1" t="s">
        <v>202</v>
      </c>
      <c r="D98" s="1">
        <v>25944</v>
      </c>
      <c r="E98" s="16">
        <v>45180</v>
      </c>
      <c r="F98" s="1" t="s">
        <v>243</v>
      </c>
      <c r="G98" s="16">
        <v>45175</v>
      </c>
      <c r="H98" s="1">
        <v>3279002683</v>
      </c>
      <c r="I98" s="16">
        <v>45175</v>
      </c>
      <c r="J98" s="1" t="s">
        <v>244</v>
      </c>
      <c r="K98" s="1">
        <v>6</v>
      </c>
      <c r="L98" s="1" t="s">
        <v>49</v>
      </c>
      <c r="M98" s="1" t="s">
        <v>219</v>
      </c>
      <c r="N98" s="1">
        <v>40169959</v>
      </c>
      <c r="O98" s="1">
        <v>15</v>
      </c>
      <c r="P98" s="1">
        <v>11</v>
      </c>
      <c r="Q98" s="1">
        <v>2.5</v>
      </c>
      <c r="R98" s="1" t="s">
        <v>44</v>
      </c>
      <c r="S98" s="1">
        <v>2</v>
      </c>
      <c r="T98" s="1">
        <v>4.63</v>
      </c>
      <c r="U98" s="1" t="s">
        <v>42</v>
      </c>
      <c r="V98" s="1">
        <v>15257</v>
      </c>
      <c r="W98" s="1" t="s">
        <v>249</v>
      </c>
      <c r="X98" s="1" t="s">
        <v>40</v>
      </c>
      <c r="Y98" s="1">
        <v>70639.91</v>
      </c>
      <c r="Z98">
        <f t="shared" si="1"/>
        <v>70639.91</v>
      </c>
    </row>
    <row r="99" spans="1:26" x14ac:dyDescent="0.25">
      <c r="A99" s="1">
        <v>96</v>
      </c>
      <c r="B99" s="1" t="s">
        <v>165</v>
      </c>
      <c r="C99" s="1" t="s">
        <v>202</v>
      </c>
      <c r="D99" s="1">
        <v>25944</v>
      </c>
      <c r="E99" s="16">
        <v>45180</v>
      </c>
      <c r="F99" s="1" t="s">
        <v>243</v>
      </c>
      <c r="G99" s="16">
        <v>45175</v>
      </c>
      <c r="H99" s="1">
        <v>3279002683</v>
      </c>
      <c r="I99" s="16">
        <v>45175</v>
      </c>
      <c r="J99" s="1" t="s">
        <v>244</v>
      </c>
      <c r="K99" s="1">
        <v>7</v>
      </c>
      <c r="L99" s="1" t="s">
        <v>49</v>
      </c>
      <c r="M99" s="1" t="s">
        <v>220</v>
      </c>
      <c r="N99" s="1">
        <v>62031990</v>
      </c>
      <c r="O99" s="1">
        <v>25</v>
      </c>
      <c r="P99" s="1">
        <v>11</v>
      </c>
      <c r="Q99" s="1">
        <v>7.5</v>
      </c>
      <c r="R99" s="1" t="s">
        <v>44</v>
      </c>
      <c r="S99" s="1">
        <v>2</v>
      </c>
      <c r="T99" s="1">
        <v>11.59</v>
      </c>
      <c r="U99" s="1" t="s">
        <v>42</v>
      </c>
      <c r="V99" s="1">
        <v>15257</v>
      </c>
      <c r="W99" s="1" t="s">
        <v>249</v>
      </c>
      <c r="X99" s="1" t="s">
        <v>40</v>
      </c>
      <c r="Y99" s="1">
        <v>176828.63</v>
      </c>
      <c r="Z99">
        <f t="shared" si="1"/>
        <v>176828.63</v>
      </c>
    </row>
    <row r="100" spans="1:26" x14ac:dyDescent="0.25">
      <c r="A100" s="1">
        <v>97</v>
      </c>
      <c r="B100" s="1" t="s">
        <v>165</v>
      </c>
      <c r="C100" s="1" t="s">
        <v>202</v>
      </c>
      <c r="D100" s="1">
        <v>25944</v>
      </c>
      <c r="E100" s="16">
        <v>45180</v>
      </c>
      <c r="F100" s="1" t="s">
        <v>243</v>
      </c>
      <c r="G100" s="16">
        <v>45175</v>
      </c>
      <c r="H100" s="1">
        <v>3279002683</v>
      </c>
      <c r="I100" s="16">
        <v>45175</v>
      </c>
      <c r="J100" s="1" t="s">
        <v>244</v>
      </c>
      <c r="K100" s="1">
        <v>8</v>
      </c>
      <c r="L100" s="1" t="s">
        <v>49</v>
      </c>
      <c r="M100" s="1" t="s">
        <v>221</v>
      </c>
      <c r="N100" s="1">
        <v>84807990</v>
      </c>
      <c r="O100" s="1">
        <v>5</v>
      </c>
      <c r="P100" s="1">
        <v>11</v>
      </c>
      <c r="Q100" s="1">
        <v>2.5</v>
      </c>
      <c r="R100" s="1" t="s">
        <v>128</v>
      </c>
      <c r="S100" s="1">
        <v>2</v>
      </c>
      <c r="T100" s="1">
        <v>46.34</v>
      </c>
      <c r="U100" s="1" t="s">
        <v>42</v>
      </c>
      <c r="V100" s="1">
        <v>15257</v>
      </c>
      <c r="W100" s="1" t="s">
        <v>249</v>
      </c>
      <c r="X100" s="1" t="s">
        <v>40</v>
      </c>
      <c r="Y100" s="1">
        <v>707009.38</v>
      </c>
      <c r="Z100">
        <f t="shared" si="1"/>
        <v>707009.38</v>
      </c>
    </row>
    <row r="101" spans="1:26" x14ac:dyDescent="0.25">
      <c r="A101" s="1">
        <v>98</v>
      </c>
      <c r="B101" s="1" t="s">
        <v>165</v>
      </c>
      <c r="C101" s="1" t="s">
        <v>202</v>
      </c>
      <c r="D101" s="1">
        <v>25944</v>
      </c>
      <c r="E101" s="16">
        <v>45180</v>
      </c>
      <c r="F101" s="1" t="s">
        <v>243</v>
      </c>
      <c r="G101" s="16">
        <v>45175</v>
      </c>
      <c r="H101" s="1">
        <v>3279002683</v>
      </c>
      <c r="I101" s="16">
        <v>45175</v>
      </c>
      <c r="J101" s="1" t="s">
        <v>244</v>
      </c>
      <c r="K101" s="1">
        <v>9</v>
      </c>
      <c r="L101" s="1" t="s">
        <v>49</v>
      </c>
      <c r="M101" s="1" t="s">
        <v>222</v>
      </c>
      <c r="N101" s="1">
        <v>62046900</v>
      </c>
      <c r="O101" s="1">
        <v>25</v>
      </c>
      <c r="P101" s="1">
        <v>11</v>
      </c>
      <c r="Q101" s="1">
        <v>7.5</v>
      </c>
      <c r="R101" s="1" t="s">
        <v>44</v>
      </c>
      <c r="S101" s="1">
        <v>1</v>
      </c>
      <c r="T101" s="1">
        <v>5.79</v>
      </c>
      <c r="U101" s="1" t="s">
        <v>42</v>
      </c>
      <c r="V101" s="1">
        <v>15257</v>
      </c>
      <c r="W101" s="1" t="s">
        <v>249</v>
      </c>
      <c r="X101" s="1" t="s">
        <v>40</v>
      </c>
      <c r="Y101" s="1">
        <v>88338.03</v>
      </c>
      <c r="Z101">
        <f t="shared" si="1"/>
        <v>88338.03</v>
      </c>
    </row>
    <row r="102" spans="1:26" x14ac:dyDescent="0.25">
      <c r="A102" s="1">
        <v>99</v>
      </c>
      <c r="B102" s="1" t="s">
        <v>165</v>
      </c>
      <c r="C102" s="1" t="s">
        <v>203</v>
      </c>
      <c r="D102" s="1">
        <v>26012</v>
      </c>
      <c r="E102" s="16">
        <v>45180</v>
      </c>
      <c r="F102" s="1" t="s">
        <v>205</v>
      </c>
      <c r="G102" s="16">
        <v>45160</v>
      </c>
      <c r="H102" s="1" t="s">
        <v>245</v>
      </c>
      <c r="I102" s="16">
        <v>45169</v>
      </c>
      <c r="J102" s="1" t="s">
        <v>246</v>
      </c>
      <c r="K102" s="1">
        <v>11</v>
      </c>
      <c r="L102" s="1" t="s">
        <v>205</v>
      </c>
      <c r="M102" s="1" t="s">
        <v>223</v>
      </c>
      <c r="N102" s="1">
        <v>54026200</v>
      </c>
      <c r="O102" s="1">
        <v>5</v>
      </c>
      <c r="P102" s="1">
        <v>11</v>
      </c>
      <c r="Q102" s="1">
        <v>2.5</v>
      </c>
      <c r="R102" s="1" t="s">
        <v>137</v>
      </c>
      <c r="S102" s="1">
        <v>38</v>
      </c>
      <c r="T102" s="1">
        <v>16530</v>
      </c>
      <c r="U102" s="1" t="s">
        <v>104</v>
      </c>
      <c r="V102" s="1">
        <v>104.43989999999999</v>
      </c>
      <c r="W102" s="1" t="s">
        <v>67</v>
      </c>
      <c r="X102" s="1" t="s">
        <v>40</v>
      </c>
      <c r="Y102" s="1">
        <v>1726391.55</v>
      </c>
      <c r="Z102">
        <f t="shared" si="1"/>
        <v>1726391.547</v>
      </c>
    </row>
    <row r="103" spans="1:26" x14ac:dyDescent="0.25">
      <c r="A103" s="1">
        <v>100</v>
      </c>
      <c r="B103" s="1" t="s">
        <v>165</v>
      </c>
      <c r="C103" s="1" t="s">
        <v>203</v>
      </c>
      <c r="D103" s="1">
        <v>26012</v>
      </c>
      <c r="E103" s="16">
        <v>45180</v>
      </c>
      <c r="F103" s="1" t="s">
        <v>205</v>
      </c>
      <c r="G103" s="16">
        <v>45160</v>
      </c>
      <c r="H103" s="1" t="s">
        <v>245</v>
      </c>
      <c r="I103" s="16">
        <v>45169</v>
      </c>
      <c r="J103" s="1" t="s">
        <v>246</v>
      </c>
      <c r="K103" s="1">
        <v>12</v>
      </c>
      <c r="L103" s="1" t="s">
        <v>205</v>
      </c>
      <c r="M103" s="1" t="s">
        <v>224</v>
      </c>
      <c r="N103" s="1">
        <v>58071000</v>
      </c>
      <c r="O103" s="1">
        <v>10</v>
      </c>
      <c r="P103" s="1">
        <v>11</v>
      </c>
      <c r="Q103" s="1">
        <v>2.5</v>
      </c>
      <c r="R103" s="1" t="s">
        <v>44</v>
      </c>
      <c r="S103" s="1">
        <v>3153</v>
      </c>
      <c r="T103" s="1">
        <v>9143</v>
      </c>
      <c r="U103" s="1" t="s">
        <v>104</v>
      </c>
      <c r="V103" s="1">
        <v>104.43989999999999</v>
      </c>
      <c r="W103" s="1" t="s">
        <v>67</v>
      </c>
      <c r="X103" s="1" t="s">
        <v>40</v>
      </c>
      <c r="Y103" s="1">
        <v>954894.01</v>
      </c>
      <c r="Z103">
        <f t="shared" si="1"/>
        <v>954894.00569999998</v>
      </c>
    </row>
    <row r="104" spans="1:26" x14ac:dyDescent="0.25">
      <c r="A104" s="1">
        <v>101</v>
      </c>
      <c r="B104" s="1" t="s">
        <v>165</v>
      </c>
      <c r="C104" s="1" t="s">
        <v>203</v>
      </c>
      <c r="D104" s="1">
        <v>26012</v>
      </c>
      <c r="E104" s="16">
        <v>45180</v>
      </c>
      <c r="F104" s="1" t="s">
        <v>205</v>
      </c>
      <c r="G104" s="16">
        <v>45160</v>
      </c>
      <c r="H104" s="1" t="s">
        <v>245</v>
      </c>
      <c r="I104" s="16">
        <v>45169</v>
      </c>
      <c r="J104" s="1" t="s">
        <v>246</v>
      </c>
      <c r="K104" s="1">
        <v>13</v>
      </c>
      <c r="L104" s="1" t="s">
        <v>205</v>
      </c>
      <c r="M104" s="1" t="s">
        <v>225</v>
      </c>
      <c r="N104" s="1">
        <v>58071000</v>
      </c>
      <c r="O104" s="1">
        <v>10</v>
      </c>
      <c r="P104" s="1">
        <v>11</v>
      </c>
      <c r="Q104" s="1">
        <v>2.5</v>
      </c>
      <c r="R104" s="1" t="s">
        <v>44</v>
      </c>
      <c r="S104" s="1">
        <v>3153</v>
      </c>
      <c r="T104" s="1">
        <v>14188</v>
      </c>
      <c r="U104" s="1" t="s">
        <v>104</v>
      </c>
      <c r="V104" s="1">
        <v>104.43989999999999</v>
      </c>
      <c r="W104" s="1" t="s">
        <v>67</v>
      </c>
      <c r="X104" s="1" t="s">
        <v>40</v>
      </c>
      <c r="Y104" s="1">
        <v>1481793.3</v>
      </c>
      <c r="Z104">
        <f t="shared" si="1"/>
        <v>1481793.3011999999</v>
      </c>
    </row>
    <row r="105" spans="1:26" x14ac:dyDescent="0.25">
      <c r="A105" s="1">
        <v>102</v>
      </c>
      <c r="B105" s="1" t="s">
        <v>165</v>
      </c>
      <c r="C105" s="1" t="s">
        <v>203</v>
      </c>
      <c r="D105" s="1">
        <v>26012</v>
      </c>
      <c r="E105" s="16">
        <v>45180</v>
      </c>
      <c r="F105" s="1" t="s">
        <v>205</v>
      </c>
      <c r="G105" s="16">
        <v>45160</v>
      </c>
      <c r="H105" s="1" t="s">
        <v>245</v>
      </c>
      <c r="I105" s="16">
        <v>45169</v>
      </c>
      <c r="J105" s="1" t="s">
        <v>246</v>
      </c>
      <c r="K105" s="1">
        <v>14</v>
      </c>
      <c r="L105" s="1" t="s">
        <v>206</v>
      </c>
      <c r="M105" s="1" t="s">
        <v>226</v>
      </c>
      <c r="N105" s="1">
        <v>39232990</v>
      </c>
      <c r="O105" s="1">
        <v>10</v>
      </c>
      <c r="P105" s="1">
        <v>11</v>
      </c>
      <c r="Q105" s="1">
        <v>2.5</v>
      </c>
      <c r="R105" s="1" t="s">
        <v>44</v>
      </c>
      <c r="S105" s="1">
        <v>3153</v>
      </c>
      <c r="T105" s="1">
        <v>23647</v>
      </c>
      <c r="U105" s="1" t="s">
        <v>104</v>
      </c>
      <c r="V105" s="1">
        <v>104.43989999999999</v>
      </c>
      <c r="W105" s="1" t="s">
        <v>67</v>
      </c>
      <c r="X105" s="1" t="s">
        <v>40</v>
      </c>
      <c r="Y105" s="1">
        <v>2469690.3199999998</v>
      </c>
      <c r="Z105">
        <f t="shared" si="1"/>
        <v>2469690.3152999999</v>
      </c>
    </row>
    <row r="106" spans="1:26" x14ac:dyDescent="0.25">
      <c r="A106" s="1">
        <v>103</v>
      </c>
      <c r="B106" s="1" t="s">
        <v>165</v>
      </c>
      <c r="C106" s="1" t="s">
        <v>203</v>
      </c>
      <c r="D106" s="1">
        <v>26012</v>
      </c>
      <c r="E106" s="16">
        <v>45180</v>
      </c>
      <c r="F106" s="1" t="s">
        <v>205</v>
      </c>
      <c r="G106" s="16">
        <v>45160</v>
      </c>
      <c r="H106" s="1" t="s">
        <v>245</v>
      </c>
      <c r="I106" s="16">
        <v>45169</v>
      </c>
      <c r="J106" s="1" t="s">
        <v>246</v>
      </c>
      <c r="K106" s="1">
        <v>1</v>
      </c>
      <c r="L106" s="1" t="s">
        <v>205</v>
      </c>
      <c r="M106" s="1" t="s">
        <v>227</v>
      </c>
      <c r="N106" s="1">
        <v>55151200</v>
      </c>
      <c r="O106" s="1">
        <v>10</v>
      </c>
      <c r="P106" s="1">
        <v>11</v>
      </c>
      <c r="Q106" s="1">
        <v>2.5</v>
      </c>
      <c r="R106" s="1" t="s">
        <v>51</v>
      </c>
      <c r="S106" s="1">
        <v>630</v>
      </c>
      <c r="T106" s="1">
        <v>245700</v>
      </c>
      <c r="U106" s="1" t="s">
        <v>104</v>
      </c>
      <c r="V106" s="1">
        <v>104.43989999999999</v>
      </c>
      <c r="W106" s="1" t="s">
        <v>67</v>
      </c>
      <c r="X106" s="1" t="s">
        <v>40</v>
      </c>
      <c r="Y106" s="1">
        <v>25660883.43</v>
      </c>
      <c r="Z106">
        <f t="shared" si="1"/>
        <v>25660883.43</v>
      </c>
    </row>
    <row r="107" spans="1:26" x14ac:dyDescent="0.25">
      <c r="A107" s="1">
        <v>104</v>
      </c>
      <c r="B107" s="1" t="s">
        <v>165</v>
      </c>
      <c r="C107" s="1" t="s">
        <v>203</v>
      </c>
      <c r="D107" s="1">
        <v>26012</v>
      </c>
      <c r="E107" s="16">
        <v>45180</v>
      </c>
      <c r="F107" s="1" t="s">
        <v>205</v>
      </c>
      <c r="G107" s="16">
        <v>45160</v>
      </c>
      <c r="H107" s="1" t="s">
        <v>245</v>
      </c>
      <c r="I107" s="16">
        <v>45169</v>
      </c>
      <c r="J107" s="1" t="s">
        <v>246</v>
      </c>
      <c r="K107" s="1">
        <v>2</v>
      </c>
      <c r="L107" s="1" t="s">
        <v>205</v>
      </c>
      <c r="M107" s="1" t="s">
        <v>228</v>
      </c>
      <c r="N107" s="1">
        <v>55132300</v>
      </c>
      <c r="O107" s="1">
        <v>15</v>
      </c>
      <c r="P107" s="1">
        <v>11</v>
      </c>
      <c r="Q107" s="1">
        <v>2.5</v>
      </c>
      <c r="R107" s="1" t="s">
        <v>51</v>
      </c>
      <c r="S107" s="1">
        <v>5205.8999999999996</v>
      </c>
      <c r="T107" s="1">
        <v>1926183</v>
      </c>
      <c r="U107" s="1" t="s">
        <v>104</v>
      </c>
      <c r="V107" s="1">
        <v>104.43989999999999</v>
      </c>
      <c r="W107" s="1" t="s">
        <v>67</v>
      </c>
      <c r="X107" s="1" t="s">
        <v>40</v>
      </c>
      <c r="Y107" s="1">
        <v>201170359.90000001</v>
      </c>
      <c r="Z107">
        <f t="shared" si="1"/>
        <v>201170359.90169999</v>
      </c>
    </row>
    <row r="108" spans="1:26" x14ac:dyDescent="0.25">
      <c r="A108" s="1">
        <v>105</v>
      </c>
      <c r="B108" s="1" t="s">
        <v>165</v>
      </c>
      <c r="C108" s="1" t="s">
        <v>203</v>
      </c>
      <c r="D108" s="1">
        <v>26012</v>
      </c>
      <c r="E108" s="16">
        <v>45180</v>
      </c>
      <c r="F108" s="1" t="s">
        <v>205</v>
      </c>
      <c r="G108" s="16">
        <v>45160</v>
      </c>
      <c r="H108" s="1" t="s">
        <v>245</v>
      </c>
      <c r="I108" s="16">
        <v>45169</v>
      </c>
      <c r="J108" s="1" t="s">
        <v>246</v>
      </c>
      <c r="K108" s="1">
        <v>3</v>
      </c>
      <c r="L108" s="1" t="s">
        <v>205</v>
      </c>
      <c r="M108" s="1" t="s">
        <v>229</v>
      </c>
      <c r="N108" s="1">
        <v>96071900</v>
      </c>
      <c r="O108" s="1">
        <v>15</v>
      </c>
      <c r="P108" s="1">
        <v>11</v>
      </c>
      <c r="Q108" s="1">
        <v>2.5</v>
      </c>
      <c r="R108" s="1" t="s">
        <v>44</v>
      </c>
      <c r="S108" s="1">
        <v>3153</v>
      </c>
      <c r="T108" s="1">
        <v>230951</v>
      </c>
      <c r="U108" s="1" t="s">
        <v>104</v>
      </c>
      <c r="V108" s="1">
        <v>104.43989999999999</v>
      </c>
      <c r="W108" s="1" t="s">
        <v>67</v>
      </c>
      <c r="X108" s="1" t="s">
        <v>40</v>
      </c>
      <c r="Y108" s="1">
        <v>24120499.34</v>
      </c>
      <c r="Z108">
        <f t="shared" si="1"/>
        <v>24120499.344899997</v>
      </c>
    </row>
    <row r="109" spans="1:26" x14ac:dyDescent="0.25">
      <c r="A109" s="1">
        <v>106</v>
      </c>
      <c r="B109" s="1" t="s">
        <v>165</v>
      </c>
      <c r="C109" s="1" t="s">
        <v>203</v>
      </c>
      <c r="D109" s="1">
        <v>26012</v>
      </c>
      <c r="E109" s="16">
        <v>45180</v>
      </c>
      <c r="F109" s="1" t="s">
        <v>205</v>
      </c>
      <c r="G109" s="16">
        <v>45160</v>
      </c>
      <c r="H109" s="1" t="s">
        <v>245</v>
      </c>
      <c r="I109" s="16">
        <v>45169</v>
      </c>
      <c r="J109" s="1" t="s">
        <v>246</v>
      </c>
      <c r="K109" s="1">
        <v>5</v>
      </c>
      <c r="L109" s="1" t="s">
        <v>205</v>
      </c>
      <c r="M109" s="1" t="s">
        <v>230</v>
      </c>
      <c r="N109" s="1">
        <v>96061010</v>
      </c>
      <c r="O109" s="1">
        <v>10</v>
      </c>
      <c r="P109" s="1">
        <v>11</v>
      </c>
      <c r="Q109" s="1">
        <v>2.5</v>
      </c>
      <c r="R109" s="1" t="s">
        <v>44</v>
      </c>
      <c r="S109" s="1">
        <v>50500</v>
      </c>
      <c r="T109" s="1">
        <v>101000</v>
      </c>
      <c r="U109" s="1" t="s">
        <v>104</v>
      </c>
      <c r="V109" s="1">
        <v>104.43989999999999</v>
      </c>
      <c r="W109" s="1" t="s">
        <v>67</v>
      </c>
      <c r="X109" s="1" t="s">
        <v>40</v>
      </c>
      <c r="Y109" s="1">
        <v>10548429.9</v>
      </c>
      <c r="Z109">
        <f t="shared" si="1"/>
        <v>10548429.899999999</v>
      </c>
    </row>
    <row r="110" spans="1:26" x14ac:dyDescent="0.25">
      <c r="A110" s="1">
        <v>107</v>
      </c>
      <c r="B110" s="1" t="s">
        <v>165</v>
      </c>
      <c r="C110" s="1" t="s">
        <v>203</v>
      </c>
      <c r="D110" s="1">
        <v>26012</v>
      </c>
      <c r="E110" s="16">
        <v>45180</v>
      </c>
      <c r="F110" s="1" t="s">
        <v>205</v>
      </c>
      <c r="G110" s="16">
        <v>45160</v>
      </c>
      <c r="H110" s="1" t="s">
        <v>245</v>
      </c>
      <c r="I110" s="16">
        <v>45169</v>
      </c>
      <c r="J110" s="1" t="s">
        <v>246</v>
      </c>
      <c r="K110" s="1">
        <v>6</v>
      </c>
      <c r="L110" s="1" t="s">
        <v>205</v>
      </c>
      <c r="M110" s="1" t="s">
        <v>231</v>
      </c>
      <c r="N110" s="1">
        <v>96061010</v>
      </c>
      <c r="O110" s="1">
        <v>10</v>
      </c>
      <c r="P110" s="1">
        <v>11</v>
      </c>
      <c r="Q110" s="1">
        <v>2.5</v>
      </c>
      <c r="R110" s="1" t="s">
        <v>44</v>
      </c>
      <c r="S110" s="1">
        <v>22080</v>
      </c>
      <c r="T110" s="1">
        <v>41952</v>
      </c>
      <c r="U110" s="1" t="s">
        <v>104</v>
      </c>
      <c r="V110" s="1">
        <v>104.43989999999999</v>
      </c>
      <c r="W110" s="1" t="s">
        <v>67</v>
      </c>
      <c r="X110" s="1" t="s">
        <v>40</v>
      </c>
      <c r="Y110" s="1">
        <v>4381462.68</v>
      </c>
      <c r="Z110">
        <f t="shared" si="1"/>
        <v>4381462.6847999999</v>
      </c>
    </row>
    <row r="111" spans="1:26" x14ac:dyDescent="0.25">
      <c r="A111" s="1">
        <v>108</v>
      </c>
      <c r="B111" s="1" t="s">
        <v>165</v>
      </c>
      <c r="C111" s="1" t="s">
        <v>203</v>
      </c>
      <c r="D111" s="1">
        <v>26012</v>
      </c>
      <c r="E111" s="16">
        <v>45180</v>
      </c>
      <c r="F111" s="1" t="s">
        <v>205</v>
      </c>
      <c r="G111" s="16">
        <v>45160</v>
      </c>
      <c r="H111" s="1" t="s">
        <v>245</v>
      </c>
      <c r="I111" s="16">
        <v>45169</v>
      </c>
      <c r="J111" s="1" t="s">
        <v>246</v>
      </c>
      <c r="K111" s="1">
        <v>7</v>
      </c>
      <c r="L111" s="1" t="s">
        <v>205</v>
      </c>
      <c r="M111" s="1" t="s">
        <v>232</v>
      </c>
      <c r="N111" s="1">
        <v>96061010</v>
      </c>
      <c r="O111" s="1">
        <v>10</v>
      </c>
      <c r="P111" s="1">
        <v>11</v>
      </c>
      <c r="Q111" s="1">
        <v>2.5</v>
      </c>
      <c r="R111" s="1" t="s">
        <v>44</v>
      </c>
      <c r="S111" s="1">
        <v>28380</v>
      </c>
      <c r="T111" s="1">
        <v>51084</v>
      </c>
      <c r="U111" s="1" t="s">
        <v>104</v>
      </c>
      <c r="V111" s="1">
        <v>104.43989999999999</v>
      </c>
      <c r="W111" s="1" t="s">
        <v>67</v>
      </c>
      <c r="X111" s="1" t="s">
        <v>40</v>
      </c>
      <c r="Y111" s="1">
        <v>5335207.8499999996</v>
      </c>
      <c r="Z111">
        <f t="shared" si="1"/>
        <v>5335207.8515999997</v>
      </c>
    </row>
    <row r="112" spans="1:26" x14ac:dyDescent="0.25">
      <c r="A112" s="1">
        <v>109</v>
      </c>
      <c r="B112" s="1" t="s">
        <v>165</v>
      </c>
      <c r="C112" s="1" t="s">
        <v>203</v>
      </c>
      <c r="D112" s="1">
        <v>26012</v>
      </c>
      <c r="E112" s="16">
        <v>45180</v>
      </c>
      <c r="F112" s="1" t="s">
        <v>205</v>
      </c>
      <c r="G112" s="16">
        <v>45160</v>
      </c>
      <c r="H112" s="1" t="s">
        <v>245</v>
      </c>
      <c r="I112" s="16">
        <v>45169</v>
      </c>
      <c r="J112" s="1" t="s">
        <v>246</v>
      </c>
      <c r="K112" s="1">
        <v>8</v>
      </c>
      <c r="L112" s="1" t="s">
        <v>205</v>
      </c>
      <c r="M112" s="1" t="s">
        <v>233</v>
      </c>
      <c r="N112" s="1">
        <v>39269039</v>
      </c>
      <c r="O112" s="1">
        <v>15</v>
      </c>
      <c r="P112" s="1">
        <v>11</v>
      </c>
      <c r="Q112" s="1">
        <v>2.5</v>
      </c>
      <c r="R112" s="1" t="s">
        <v>44</v>
      </c>
      <c r="S112" s="1">
        <v>3200</v>
      </c>
      <c r="T112" s="1">
        <v>6400</v>
      </c>
      <c r="U112" s="1" t="s">
        <v>104</v>
      </c>
      <c r="V112" s="1">
        <v>104.43989999999999</v>
      </c>
      <c r="W112" s="1" t="s">
        <v>67</v>
      </c>
      <c r="X112" s="1" t="s">
        <v>40</v>
      </c>
      <c r="Y112" s="1">
        <v>668415.36</v>
      </c>
      <c r="Z112">
        <f t="shared" si="1"/>
        <v>668415.36</v>
      </c>
    </row>
    <row r="113" spans="1:26" x14ac:dyDescent="0.25">
      <c r="A113" s="1">
        <v>110</v>
      </c>
      <c r="B113" s="1" t="s">
        <v>165</v>
      </c>
      <c r="C113" s="1" t="s">
        <v>203</v>
      </c>
      <c r="D113" s="1">
        <v>26012</v>
      </c>
      <c r="E113" s="16">
        <v>45180</v>
      </c>
      <c r="F113" s="1" t="s">
        <v>205</v>
      </c>
      <c r="G113" s="16">
        <v>45160</v>
      </c>
      <c r="H113" s="1" t="s">
        <v>245</v>
      </c>
      <c r="I113" s="16">
        <v>45169</v>
      </c>
      <c r="J113" s="1" t="s">
        <v>246</v>
      </c>
      <c r="K113" s="1">
        <v>9</v>
      </c>
      <c r="L113" s="1" t="s">
        <v>205</v>
      </c>
      <c r="M113" s="1" t="s">
        <v>234</v>
      </c>
      <c r="N113" s="1">
        <v>56039200</v>
      </c>
      <c r="O113" s="1">
        <v>5</v>
      </c>
      <c r="P113" s="1">
        <v>11</v>
      </c>
      <c r="Q113" s="1">
        <v>2.5</v>
      </c>
      <c r="R113" s="1" t="s">
        <v>51</v>
      </c>
      <c r="S113" s="1">
        <v>2658</v>
      </c>
      <c r="T113" s="1">
        <v>119610</v>
      </c>
      <c r="U113" s="1" t="s">
        <v>104</v>
      </c>
      <c r="V113" s="1">
        <v>104.43989999999999</v>
      </c>
      <c r="W113" s="1" t="s">
        <v>67</v>
      </c>
      <c r="X113" s="1" t="s">
        <v>40</v>
      </c>
      <c r="Y113" s="1">
        <v>12492056.439999999</v>
      </c>
      <c r="Z113">
        <f t="shared" si="1"/>
        <v>12492056.438999999</v>
      </c>
    </row>
    <row r="114" spans="1:26" x14ac:dyDescent="0.25">
      <c r="A114" s="1">
        <v>111</v>
      </c>
      <c r="B114" s="1" t="s">
        <v>165</v>
      </c>
      <c r="C114" s="1" t="s">
        <v>203</v>
      </c>
      <c r="D114" s="1">
        <v>26012</v>
      </c>
      <c r="E114" s="16">
        <v>45180</v>
      </c>
      <c r="F114" s="1" t="s">
        <v>205</v>
      </c>
      <c r="G114" s="16">
        <v>45160</v>
      </c>
      <c r="H114" s="1" t="s">
        <v>245</v>
      </c>
      <c r="I114" s="16">
        <v>45169</v>
      </c>
      <c r="J114" s="1" t="s">
        <v>246</v>
      </c>
      <c r="K114" s="1">
        <v>10</v>
      </c>
      <c r="L114" s="1" t="s">
        <v>205</v>
      </c>
      <c r="M114" s="1" t="s">
        <v>235</v>
      </c>
      <c r="N114" s="1">
        <v>55132300</v>
      </c>
      <c r="O114" s="1">
        <v>15</v>
      </c>
      <c r="P114" s="1">
        <v>11</v>
      </c>
      <c r="Q114" s="1">
        <v>2.5</v>
      </c>
      <c r="R114" s="1" t="s">
        <v>51</v>
      </c>
      <c r="S114" s="1">
        <v>800</v>
      </c>
      <c r="T114" s="1">
        <v>132800</v>
      </c>
      <c r="U114" s="1" t="s">
        <v>104</v>
      </c>
      <c r="V114" s="1">
        <v>104.43989999999999</v>
      </c>
      <c r="W114" s="1" t="s">
        <v>67</v>
      </c>
      <c r="X114" s="1" t="s">
        <v>40</v>
      </c>
      <c r="Y114" s="1">
        <v>13869618.720000001</v>
      </c>
      <c r="Z114">
        <f t="shared" si="1"/>
        <v>13869618.719999999</v>
      </c>
    </row>
    <row r="115" spans="1:26" x14ac:dyDescent="0.25">
      <c r="A115" s="1">
        <v>112</v>
      </c>
      <c r="B115" s="1" t="s">
        <v>165</v>
      </c>
      <c r="C115" s="1" t="s">
        <v>203</v>
      </c>
      <c r="D115" s="1">
        <v>26012</v>
      </c>
      <c r="E115" s="16">
        <v>45180</v>
      </c>
      <c r="F115" s="1" t="s">
        <v>205</v>
      </c>
      <c r="G115" s="16">
        <v>45160</v>
      </c>
      <c r="H115" s="1" t="s">
        <v>245</v>
      </c>
      <c r="I115" s="16">
        <v>45169</v>
      </c>
      <c r="J115" s="1" t="s">
        <v>246</v>
      </c>
      <c r="K115" s="1">
        <v>4</v>
      </c>
      <c r="L115" s="1" t="s">
        <v>205</v>
      </c>
      <c r="M115" s="1" t="s">
        <v>236</v>
      </c>
      <c r="N115" s="1">
        <v>96071900</v>
      </c>
      <c r="O115" s="1">
        <v>15</v>
      </c>
      <c r="P115" s="1">
        <v>11</v>
      </c>
      <c r="Q115" s="1">
        <v>2.5</v>
      </c>
      <c r="R115" s="1" t="s">
        <v>44</v>
      </c>
      <c r="S115" s="1">
        <v>6306</v>
      </c>
      <c r="T115" s="1">
        <v>182052</v>
      </c>
      <c r="U115" s="1" t="s">
        <v>104</v>
      </c>
      <c r="V115" s="1">
        <v>104.43989999999999</v>
      </c>
      <c r="W115" s="1" t="s">
        <v>67</v>
      </c>
      <c r="X115" s="1" t="s">
        <v>40</v>
      </c>
      <c r="Y115" s="1">
        <v>19013492.670000002</v>
      </c>
      <c r="Z115">
        <f t="shared" si="1"/>
        <v>19013492.674799997</v>
      </c>
    </row>
    <row r="116" spans="1:26" x14ac:dyDescent="0.25">
      <c r="A116" s="1">
        <v>113</v>
      </c>
      <c r="B116" s="1" t="s">
        <v>165</v>
      </c>
      <c r="C116" s="1" t="s">
        <v>204</v>
      </c>
      <c r="D116" s="1">
        <v>26023</v>
      </c>
      <c r="E116" s="16">
        <v>45180</v>
      </c>
      <c r="F116" s="1" t="s">
        <v>247</v>
      </c>
      <c r="G116" s="16">
        <v>45176</v>
      </c>
      <c r="H116" s="1">
        <v>1568606826</v>
      </c>
      <c r="I116" s="16">
        <v>45175</v>
      </c>
      <c r="J116" s="1" t="s">
        <v>248</v>
      </c>
      <c r="K116" s="1">
        <v>1</v>
      </c>
      <c r="L116" s="1" t="s">
        <v>49</v>
      </c>
      <c r="M116" s="1" t="s">
        <v>237</v>
      </c>
      <c r="N116" s="1">
        <v>62046200</v>
      </c>
      <c r="O116" s="1">
        <v>25</v>
      </c>
      <c r="P116" s="1">
        <v>11</v>
      </c>
      <c r="Q116" s="1">
        <v>7.5</v>
      </c>
      <c r="R116" s="1" t="s">
        <v>44</v>
      </c>
      <c r="S116" s="1">
        <v>3</v>
      </c>
      <c r="T116" s="1">
        <v>4.8600000000000003</v>
      </c>
      <c r="U116" s="1" t="s">
        <v>42</v>
      </c>
      <c r="V116" s="1">
        <v>15257</v>
      </c>
      <c r="W116" s="1" t="s">
        <v>43</v>
      </c>
      <c r="X116" s="1" t="s">
        <v>40</v>
      </c>
      <c r="Y116" s="1">
        <v>74149.02</v>
      </c>
      <c r="Z116">
        <f t="shared" si="1"/>
        <v>74149.02</v>
      </c>
    </row>
    <row r="117" spans="1:26" x14ac:dyDescent="0.25">
      <c r="A117" s="1">
        <v>114</v>
      </c>
      <c r="B117" s="1" t="s">
        <v>165</v>
      </c>
      <c r="C117" s="1" t="s">
        <v>204</v>
      </c>
      <c r="D117" s="1">
        <v>26023</v>
      </c>
      <c r="E117" s="16">
        <v>45180</v>
      </c>
      <c r="F117" s="1" t="s">
        <v>247</v>
      </c>
      <c r="G117" s="16">
        <v>45176</v>
      </c>
      <c r="H117" s="1">
        <v>1568606826</v>
      </c>
      <c r="I117" s="16">
        <v>45175</v>
      </c>
      <c r="J117" s="1" t="s">
        <v>248</v>
      </c>
      <c r="K117" s="1">
        <v>2</v>
      </c>
      <c r="L117" s="1" t="s">
        <v>49</v>
      </c>
      <c r="M117" s="1" t="s">
        <v>238</v>
      </c>
      <c r="N117" s="1">
        <v>39269099</v>
      </c>
      <c r="O117" s="1">
        <v>20</v>
      </c>
      <c r="P117" s="1">
        <v>11</v>
      </c>
      <c r="Q117" s="1">
        <v>7.5</v>
      </c>
      <c r="R117" s="1" t="s">
        <v>44</v>
      </c>
      <c r="S117" s="1">
        <v>2460</v>
      </c>
      <c r="T117" s="1">
        <v>3.98</v>
      </c>
      <c r="U117" s="1" t="s">
        <v>42</v>
      </c>
      <c r="V117" s="1">
        <v>15257</v>
      </c>
      <c r="W117" s="1" t="s">
        <v>43</v>
      </c>
      <c r="X117" s="1" t="s">
        <v>40</v>
      </c>
      <c r="Y117" s="1">
        <v>60722.86</v>
      </c>
      <c r="Z117">
        <f t="shared" si="1"/>
        <v>60722.86</v>
      </c>
    </row>
    <row r="118" spans="1:26" x14ac:dyDescent="0.25">
      <c r="A118" s="1">
        <v>115</v>
      </c>
      <c r="B118" s="1" t="s">
        <v>165</v>
      </c>
      <c r="C118" s="1" t="s">
        <v>250</v>
      </c>
      <c r="D118" s="1">
        <v>26085</v>
      </c>
      <c r="E118" s="16">
        <v>45181</v>
      </c>
      <c r="F118" s="1" t="s">
        <v>48</v>
      </c>
      <c r="G118" s="16">
        <v>45179</v>
      </c>
      <c r="H118" s="1">
        <v>5670191494</v>
      </c>
      <c r="I118" s="16">
        <v>45179</v>
      </c>
      <c r="J118" s="1" t="s">
        <v>258</v>
      </c>
      <c r="K118" s="1">
        <v>1</v>
      </c>
      <c r="L118" s="1" t="s">
        <v>49</v>
      </c>
      <c r="M118" s="1" t="s">
        <v>253</v>
      </c>
      <c r="N118" s="1">
        <v>60053500</v>
      </c>
      <c r="O118" s="1">
        <v>15</v>
      </c>
      <c r="P118" s="1">
        <v>11</v>
      </c>
      <c r="Q118" s="1">
        <v>2.5</v>
      </c>
      <c r="R118" s="1" t="s">
        <v>51</v>
      </c>
      <c r="S118" s="1">
        <v>184</v>
      </c>
      <c r="T118" s="1">
        <v>7657.92</v>
      </c>
      <c r="U118" s="1" t="s">
        <v>104</v>
      </c>
      <c r="V118" s="1">
        <v>104.43989999999999</v>
      </c>
      <c r="W118" s="1" t="s">
        <v>67</v>
      </c>
      <c r="X118" s="1" t="s">
        <v>40</v>
      </c>
      <c r="Y118" s="1">
        <v>799792.4</v>
      </c>
      <c r="Z118">
        <f t="shared" si="1"/>
        <v>799792.39900799992</v>
      </c>
    </row>
    <row r="119" spans="1:26" x14ac:dyDescent="0.25">
      <c r="A119" s="1">
        <v>116</v>
      </c>
      <c r="B119" s="1" t="s">
        <v>165</v>
      </c>
      <c r="C119" s="1" t="s">
        <v>250</v>
      </c>
      <c r="D119" s="1">
        <v>26085</v>
      </c>
      <c r="E119" s="16">
        <v>45181</v>
      </c>
      <c r="F119" s="1" t="s">
        <v>48</v>
      </c>
      <c r="G119" s="16">
        <v>45179</v>
      </c>
      <c r="H119" s="1">
        <v>5670191494</v>
      </c>
      <c r="I119" s="16">
        <v>45179</v>
      </c>
      <c r="J119" s="1" t="s">
        <v>258</v>
      </c>
      <c r="K119" s="1">
        <v>2</v>
      </c>
      <c r="L119" s="1" t="s">
        <v>49</v>
      </c>
      <c r="M119" s="1" t="s">
        <v>254</v>
      </c>
      <c r="N119" s="1">
        <v>39232990</v>
      </c>
      <c r="O119" s="1">
        <v>10</v>
      </c>
      <c r="P119" s="1">
        <v>11</v>
      </c>
      <c r="Q119" s="1">
        <v>2.5</v>
      </c>
      <c r="R119" s="1" t="s">
        <v>44</v>
      </c>
      <c r="S119" s="1">
        <v>4200</v>
      </c>
      <c r="T119" s="1">
        <v>77117.8</v>
      </c>
      <c r="U119" s="1" t="s">
        <v>104</v>
      </c>
      <c r="V119" s="1">
        <v>104.43989999999999</v>
      </c>
      <c r="W119" s="1" t="s">
        <v>67</v>
      </c>
      <c r="X119" s="1" t="s">
        <v>40</v>
      </c>
      <c r="Y119" s="1">
        <v>8054175.3200000003</v>
      </c>
      <c r="Z119">
        <f t="shared" si="1"/>
        <v>8054175.3202200001</v>
      </c>
    </row>
    <row r="120" spans="1:26" x14ac:dyDescent="0.25">
      <c r="A120" s="1">
        <v>117</v>
      </c>
      <c r="B120" s="1" t="s">
        <v>165</v>
      </c>
      <c r="C120" s="1" t="s">
        <v>251</v>
      </c>
      <c r="D120" s="1">
        <v>26102</v>
      </c>
      <c r="E120" s="16">
        <v>45181</v>
      </c>
      <c r="F120" s="1" t="s">
        <v>46</v>
      </c>
      <c r="G120" s="16">
        <v>45177</v>
      </c>
      <c r="H120" s="1">
        <v>773330285250</v>
      </c>
      <c r="I120" s="16">
        <v>45177</v>
      </c>
      <c r="J120" s="1" t="s">
        <v>111</v>
      </c>
      <c r="K120" s="1">
        <v>1</v>
      </c>
      <c r="L120" s="1" t="s">
        <v>46</v>
      </c>
      <c r="M120" s="1" t="s">
        <v>255</v>
      </c>
      <c r="N120" s="1">
        <v>60063290</v>
      </c>
      <c r="O120" s="1">
        <v>15</v>
      </c>
      <c r="P120" s="1">
        <v>11</v>
      </c>
      <c r="Q120" s="1">
        <v>2.5</v>
      </c>
      <c r="R120" s="1" t="s">
        <v>41</v>
      </c>
      <c r="S120" s="1">
        <v>1</v>
      </c>
      <c r="T120" s="1">
        <v>22.16</v>
      </c>
      <c r="U120" s="1" t="s">
        <v>42</v>
      </c>
      <c r="V120" s="1">
        <v>15257</v>
      </c>
      <c r="W120" s="1" t="s">
        <v>43</v>
      </c>
      <c r="X120" s="1" t="s">
        <v>40</v>
      </c>
      <c r="Y120" s="1">
        <v>338095.12</v>
      </c>
      <c r="Z120">
        <f t="shared" si="1"/>
        <v>338095.12</v>
      </c>
    </row>
    <row r="121" spans="1:26" x14ac:dyDescent="0.25">
      <c r="A121" s="1">
        <v>118</v>
      </c>
      <c r="B121" s="1" t="s">
        <v>165</v>
      </c>
      <c r="C121" s="1" t="s">
        <v>251</v>
      </c>
      <c r="D121" s="1">
        <v>26102</v>
      </c>
      <c r="E121" s="16">
        <v>45181</v>
      </c>
      <c r="F121" s="1" t="s">
        <v>46</v>
      </c>
      <c r="G121" s="16">
        <v>45177</v>
      </c>
      <c r="H121" s="1">
        <v>773330285250</v>
      </c>
      <c r="I121" s="16">
        <v>45177</v>
      </c>
      <c r="J121" s="1" t="s">
        <v>111</v>
      </c>
      <c r="K121" s="1">
        <v>2</v>
      </c>
      <c r="L121" s="1" t="s">
        <v>46</v>
      </c>
      <c r="M121" s="1" t="s">
        <v>256</v>
      </c>
      <c r="N121" s="1">
        <v>60041090</v>
      </c>
      <c r="O121" s="1">
        <v>10</v>
      </c>
      <c r="P121" s="1">
        <v>11</v>
      </c>
      <c r="Q121" s="1">
        <v>2.5</v>
      </c>
      <c r="R121" s="1" t="s">
        <v>41</v>
      </c>
      <c r="S121" s="1">
        <v>0.25</v>
      </c>
      <c r="T121" s="1">
        <v>5.54</v>
      </c>
      <c r="U121" s="1" t="s">
        <v>42</v>
      </c>
      <c r="V121" s="1">
        <v>15257</v>
      </c>
      <c r="W121" s="1" t="s">
        <v>43</v>
      </c>
      <c r="X121" s="1" t="s">
        <v>40</v>
      </c>
      <c r="Y121" s="1">
        <v>84523.78</v>
      </c>
      <c r="Z121">
        <f t="shared" si="1"/>
        <v>84523.78</v>
      </c>
    </row>
    <row r="122" spans="1:26" x14ac:dyDescent="0.25">
      <c r="A122" s="1">
        <v>119</v>
      </c>
      <c r="B122" s="1" t="s">
        <v>165</v>
      </c>
      <c r="C122" s="1" t="s">
        <v>251</v>
      </c>
      <c r="D122" s="1">
        <v>26102</v>
      </c>
      <c r="E122" s="16">
        <v>45181</v>
      </c>
      <c r="F122" s="1" t="s">
        <v>46</v>
      </c>
      <c r="G122" s="16">
        <v>45177</v>
      </c>
      <c r="H122" s="1">
        <v>773330285250</v>
      </c>
      <c r="I122" s="16">
        <v>45177</v>
      </c>
      <c r="J122" s="1" t="s">
        <v>111</v>
      </c>
      <c r="K122" s="1">
        <v>3</v>
      </c>
      <c r="L122" s="1" t="s">
        <v>46</v>
      </c>
      <c r="M122" s="1" t="s">
        <v>256</v>
      </c>
      <c r="N122" s="1">
        <v>60041090</v>
      </c>
      <c r="O122" s="1">
        <v>10</v>
      </c>
      <c r="P122" s="1">
        <v>11</v>
      </c>
      <c r="Q122" s="1">
        <v>2.5</v>
      </c>
      <c r="R122" s="1" t="s">
        <v>41</v>
      </c>
      <c r="S122" s="1">
        <v>0.25</v>
      </c>
      <c r="T122" s="1">
        <v>5.54</v>
      </c>
      <c r="U122" s="1" t="s">
        <v>42</v>
      </c>
      <c r="V122" s="1">
        <v>15257</v>
      </c>
      <c r="W122" s="1" t="s">
        <v>43</v>
      </c>
      <c r="X122" s="1" t="s">
        <v>40</v>
      </c>
      <c r="Y122" s="1">
        <v>84523.78</v>
      </c>
      <c r="Z122">
        <f t="shared" si="1"/>
        <v>84523.78</v>
      </c>
    </row>
    <row r="123" spans="1:26" x14ac:dyDescent="0.25">
      <c r="A123" s="1">
        <v>120</v>
      </c>
      <c r="B123" s="1" t="s">
        <v>165</v>
      </c>
      <c r="C123" s="1" t="s">
        <v>252</v>
      </c>
      <c r="D123" s="1">
        <v>26106</v>
      </c>
      <c r="E123" s="16">
        <v>45181</v>
      </c>
      <c r="F123" s="1" t="s">
        <v>46</v>
      </c>
      <c r="G123" s="16">
        <v>45177</v>
      </c>
      <c r="H123" s="1">
        <v>773344604839</v>
      </c>
      <c r="I123" s="16">
        <v>45177</v>
      </c>
      <c r="J123" s="1" t="s">
        <v>186</v>
      </c>
      <c r="K123" s="1">
        <v>1</v>
      </c>
      <c r="L123" s="1" t="s">
        <v>46</v>
      </c>
      <c r="M123" s="1" t="s">
        <v>257</v>
      </c>
      <c r="N123" s="1">
        <v>52084290</v>
      </c>
      <c r="O123" s="1">
        <v>15</v>
      </c>
      <c r="P123" s="1">
        <v>11</v>
      </c>
      <c r="Q123" s="1">
        <v>2.5</v>
      </c>
      <c r="R123" s="1" t="s">
        <v>41</v>
      </c>
      <c r="S123" s="1">
        <v>8</v>
      </c>
      <c r="T123" s="1">
        <v>39.770000000000003</v>
      </c>
      <c r="U123" s="1" t="s">
        <v>42</v>
      </c>
      <c r="V123" s="1">
        <v>15257</v>
      </c>
      <c r="W123" s="1" t="s">
        <v>43</v>
      </c>
      <c r="X123" s="1" t="s">
        <v>40</v>
      </c>
      <c r="Y123" s="1">
        <v>606770.89</v>
      </c>
      <c r="Z123">
        <f t="shared" si="1"/>
        <v>606770.89</v>
      </c>
    </row>
    <row r="124" spans="1:26" x14ac:dyDescent="0.25">
      <c r="A124" s="1">
        <v>121</v>
      </c>
      <c r="B124" s="1" t="s">
        <v>165</v>
      </c>
      <c r="C124" s="1" t="s">
        <v>259</v>
      </c>
      <c r="D124" s="1">
        <v>26226</v>
      </c>
      <c r="E124" s="16">
        <v>45182</v>
      </c>
      <c r="F124" s="1" t="s">
        <v>267</v>
      </c>
      <c r="G124" s="16">
        <v>45180</v>
      </c>
      <c r="H124" s="1">
        <v>2038142632</v>
      </c>
      <c r="I124" s="16">
        <v>45180</v>
      </c>
      <c r="J124" s="1" t="s">
        <v>47</v>
      </c>
      <c r="K124" s="1">
        <v>1</v>
      </c>
      <c r="L124" s="1" t="s">
        <v>49</v>
      </c>
      <c r="M124" s="1" t="s">
        <v>189</v>
      </c>
      <c r="N124" s="1">
        <v>96071900</v>
      </c>
      <c r="O124" s="1">
        <v>15</v>
      </c>
      <c r="P124" s="1">
        <v>11</v>
      </c>
      <c r="Q124" s="1">
        <v>2.5</v>
      </c>
      <c r="R124" s="1" t="s">
        <v>44</v>
      </c>
      <c r="S124" s="1">
        <v>100</v>
      </c>
      <c r="T124" s="1">
        <v>96.82</v>
      </c>
      <c r="U124" s="1" t="s">
        <v>42</v>
      </c>
      <c r="V124" s="1">
        <v>15298</v>
      </c>
      <c r="W124" s="1" t="s">
        <v>50</v>
      </c>
      <c r="X124" s="1" t="s">
        <v>40</v>
      </c>
      <c r="Y124" s="1">
        <v>1481152.36</v>
      </c>
      <c r="Z124">
        <f t="shared" si="1"/>
        <v>1481152.3599999999</v>
      </c>
    </row>
    <row r="125" spans="1:26" x14ac:dyDescent="0.25">
      <c r="A125" s="1">
        <v>122</v>
      </c>
      <c r="B125" s="1" t="s">
        <v>165</v>
      </c>
      <c r="C125" s="1" t="s">
        <v>260</v>
      </c>
      <c r="D125" s="1">
        <v>26228</v>
      </c>
      <c r="E125" s="16">
        <v>45182</v>
      </c>
      <c r="F125" s="1" t="s">
        <v>268</v>
      </c>
      <c r="G125" s="16">
        <v>45180</v>
      </c>
      <c r="H125" s="1">
        <v>2400410412</v>
      </c>
      <c r="I125" s="16">
        <v>45180</v>
      </c>
      <c r="J125" s="1" t="s">
        <v>269</v>
      </c>
      <c r="K125" s="1">
        <v>1</v>
      </c>
      <c r="L125" s="1" t="s">
        <v>49</v>
      </c>
      <c r="M125" s="1" t="s">
        <v>262</v>
      </c>
      <c r="N125" s="1">
        <v>59021099</v>
      </c>
      <c r="O125" s="1">
        <v>5</v>
      </c>
      <c r="P125" s="1">
        <v>11</v>
      </c>
      <c r="Q125" s="1">
        <v>2.5</v>
      </c>
      <c r="R125" s="1" t="s">
        <v>44</v>
      </c>
      <c r="S125" s="1">
        <v>16</v>
      </c>
      <c r="T125" s="1">
        <v>84.22</v>
      </c>
      <c r="U125" s="1" t="s">
        <v>104</v>
      </c>
      <c r="V125" s="1">
        <v>103.7871</v>
      </c>
      <c r="W125" s="1" t="s">
        <v>67</v>
      </c>
      <c r="X125" s="1" t="s">
        <v>40</v>
      </c>
      <c r="Y125" s="1">
        <v>8740.9500000000007</v>
      </c>
      <c r="Z125">
        <f t="shared" si="1"/>
        <v>8740.9495619999998</v>
      </c>
    </row>
    <row r="126" spans="1:26" x14ac:dyDescent="0.25">
      <c r="A126" s="1">
        <v>123</v>
      </c>
      <c r="B126" s="1" t="s">
        <v>165</v>
      </c>
      <c r="C126" s="1" t="s">
        <v>261</v>
      </c>
      <c r="D126" s="1">
        <v>26235</v>
      </c>
      <c r="E126" s="16">
        <v>45182</v>
      </c>
      <c r="F126" s="1" t="s">
        <v>270</v>
      </c>
      <c r="G126" s="16">
        <v>45180</v>
      </c>
      <c r="H126" s="1">
        <v>2400462212</v>
      </c>
      <c r="I126" s="16">
        <v>45180</v>
      </c>
      <c r="J126" s="1" t="s">
        <v>57</v>
      </c>
      <c r="K126" s="1">
        <v>1</v>
      </c>
      <c r="L126" s="1" t="s">
        <v>49</v>
      </c>
      <c r="M126" s="1" t="s">
        <v>263</v>
      </c>
      <c r="N126" s="1">
        <v>59039090</v>
      </c>
      <c r="O126" s="1">
        <v>10</v>
      </c>
      <c r="P126" s="1">
        <v>11</v>
      </c>
      <c r="Q126" s="1">
        <v>2.5</v>
      </c>
      <c r="R126" s="1" t="s">
        <v>51</v>
      </c>
      <c r="S126" s="1">
        <v>2</v>
      </c>
      <c r="T126" s="1">
        <v>918.52</v>
      </c>
      <c r="U126" s="1" t="s">
        <v>104</v>
      </c>
      <c r="V126" s="1">
        <v>103.7871</v>
      </c>
      <c r="W126" s="1" t="s">
        <v>67</v>
      </c>
      <c r="X126" s="1" t="s">
        <v>40</v>
      </c>
      <c r="Y126" s="1">
        <v>95330.53</v>
      </c>
      <c r="Z126">
        <f t="shared" si="1"/>
        <v>95330.527091999989</v>
      </c>
    </row>
    <row r="127" spans="1:26" x14ac:dyDescent="0.25">
      <c r="A127" s="1">
        <v>124</v>
      </c>
      <c r="B127" s="1" t="s">
        <v>165</v>
      </c>
      <c r="C127" s="1" t="s">
        <v>261</v>
      </c>
      <c r="D127" s="1">
        <v>26235</v>
      </c>
      <c r="E127" s="16">
        <v>45182</v>
      </c>
      <c r="F127" s="1" t="s">
        <v>270</v>
      </c>
      <c r="G127" s="16">
        <v>45180</v>
      </c>
      <c r="H127" s="1">
        <v>2400462212</v>
      </c>
      <c r="I127" s="16">
        <v>45180</v>
      </c>
      <c r="J127" s="1" t="s">
        <v>57</v>
      </c>
      <c r="K127" s="1">
        <v>2</v>
      </c>
      <c r="L127" s="1" t="s">
        <v>49</v>
      </c>
      <c r="M127" s="1" t="s">
        <v>264</v>
      </c>
      <c r="N127" s="1">
        <v>96062100</v>
      </c>
      <c r="O127" s="1">
        <v>10</v>
      </c>
      <c r="P127" s="1">
        <v>11</v>
      </c>
      <c r="Q127" s="1">
        <v>2.5</v>
      </c>
      <c r="R127" s="1" t="s">
        <v>44</v>
      </c>
      <c r="S127" s="1">
        <v>20</v>
      </c>
      <c r="T127" s="1">
        <v>329.28</v>
      </c>
      <c r="U127" s="1" t="s">
        <v>104</v>
      </c>
      <c r="V127" s="1">
        <v>103.7871</v>
      </c>
      <c r="W127" s="1" t="s">
        <v>67</v>
      </c>
      <c r="X127" s="1" t="s">
        <v>40</v>
      </c>
      <c r="Y127" s="1">
        <v>34175.019999999997</v>
      </c>
      <c r="Z127">
        <f t="shared" si="1"/>
        <v>34175.016287999999</v>
      </c>
    </row>
    <row r="128" spans="1:26" x14ac:dyDescent="0.25">
      <c r="A128" s="1">
        <v>125</v>
      </c>
      <c r="B128" s="1" t="s">
        <v>165</v>
      </c>
      <c r="C128" s="1" t="s">
        <v>261</v>
      </c>
      <c r="D128" s="1">
        <v>26235</v>
      </c>
      <c r="E128" s="16">
        <v>45182</v>
      </c>
      <c r="F128" s="1" t="s">
        <v>270</v>
      </c>
      <c r="G128" s="16">
        <v>45180</v>
      </c>
      <c r="H128" s="1">
        <v>2400462212</v>
      </c>
      <c r="I128" s="16">
        <v>45180</v>
      </c>
      <c r="J128" s="1" t="s">
        <v>57</v>
      </c>
      <c r="K128" s="1">
        <v>3</v>
      </c>
      <c r="L128" s="1" t="s">
        <v>49</v>
      </c>
      <c r="M128" s="1" t="s">
        <v>264</v>
      </c>
      <c r="N128" s="1">
        <v>96062100</v>
      </c>
      <c r="O128" s="1">
        <v>10</v>
      </c>
      <c r="P128" s="1">
        <v>11</v>
      </c>
      <c r="Q128" s="1">
        <v>2.5</v>
      </c>
      <c r="R128" s="1" t="s">
        <v>44</v>
      </c>
      <c r="S128" s="1">
        <v>8</v>
      </c>
      <c r="T128" s="1">
        <v>131.71</v>
      </c>
      <c r="U128" s="1" t="s">
        <v>104</v>
      </c>
      <c r="V128" s="1">
        <v>103.7871</v>
      </c>
      <c r="W128" s="1" t="s">
        <v>67</v>
      </c>
      <c r="X128" s="1" t="s">
        <v>40</v>
      </c>
      <c r="Y128" s="1">
        <v>13669.8</v>
      </c>
      <c r="Z128">
        <f t="shared" si="1"/>
        <v>13669.798941000001</v>
      </c>
    </row>
    <row r="129" spans="1:26" x14ac:dyDescent="0.25">
      <c r="A129" s="1">
        <v>126</v>
      </c>
      <c r="B129" s="1" t="s">
        <v>165</v>
      </c>
      <c r="C129" s="1" t="s">
        <v>261</v>
      </c>
      <c r="D129" s="1">
        <v>26235</v>
      </c>
      <c r="E129" s="16">
        <v>45182</v>
      </c>
      <c r="F129" s="1" t="s">
        <v>270</v>
      </c>
      <c r="G129" s="16">
        <v>45180</v>
      </c>
      <c r="H129" s="1">
        <v>2400462212</v>
      </c>
      <c r="I129" s="16">
        <v>45180</v>
      </c>
      <c r="J129" s="1" t="s">
        <v>57</v>
      </c>
      <c r="K129" s="1">
        <v>4</v>
      </c>
      <c r="L129" s="1" t="s">
        <v>49</v>
      </c>
      <c r="M129" s="1" t="s">
        <v>265</v>
      </c>
      <c r="N129" s="1">
        <v>39269099</v>
      </c>
      <c r="O129" s="1">
        <v>20</v>
      </c>
      <c r="P129" s="1">
        <v>11</v>
      </c>
      <c r="Q129" s="1">
        <v>7.5</v>
      </c>
      <c r="R129" s="1" t="s">
        <v>44</v>
      </c>
      <c r="S129" s="1">
        <v>4</v>
      </c>
      <c r="T129" s="1">
        <v>24.26</v>
      </c>
      <c r="U129" s="1" t="s">
        <v>104</v>
      </c>
      <c r="V129" s="1">
        <v>103.7871</v>
      </c>
      <c r="W129" s="1" t="s">
        <v>67</v>
      </c>
      <c r="X129" s="1" t="s">
        <v>40</v>
      </c>
      <c r="Y129" s="1">
        <v>2517.88</v>
      </c>
      <c r="Z129">
        <f t="shared" si="1"/>
        <v>2517.8750460000001</v>
      </c>
    </row>
    <row r="130" spans="1:26" x14ac:dyDescent="0.25">
      <c r="A130" s="1">
        <v>127</v>
      </c>
      <c r="B130" s="1" t="s">
        <v>165</v>
      </c>
      <c r="C130" s="1" t="s">
        <v>261</v>
      </c>
      <c r="D130" s="1">
        <v>26235</v>
      </c>
      <c r="E130" s="16">
        <v>45182</v>
      </c>
      <c r="F130" s="1" t="s">
        <v>270</v>
      </c>
      <c r="G130" s="16">
        <v>45180</v>
      </c>
      <c r="H130" s="1">
        <v>2400462212</v>
      </c>
      <c r="I130" s="16">
        <v>45180</v>
      </c>
      <c r="J130" s="1" t="s">
        <v>57</v>
      </c>
      <c r="K130" s="1">
        <v>5</v>
      </c>
      <c r="L130" s="1" t="s">
        <v>49</v>
      </c>
      <c r="M130" s="1" t="s">
        <v>266</v>
      </c>
      <c r="N130" s="1">
        <v>60069000</v>
      </c>
      <c r="O130" s="1">
        <v>15</v>
      </c>
      <c r="P130" s="1">
        <v>11</v>
      </c>
      <c r="Q130" s="1">
        <v>2.5</v>
      </c>
      <c r="R130" s="1" t="s">
        <v>51</v>
      </c>
      <c r="S130" s="1">
        <v>2</v>
      </c>
      <c r="T130" s="1">
        <v>1154.21</v>
      </c>
      <c r="U130" s="1" t="s">
        <v>104</v>
      </c>
      <c r="V130" s="1">
        <v>103.7871</v>
      </c>
      <c r="W130" s="1" t="s">
        <v>67</v>
      </c>
      <c r="X130" s="1" t="s">
        <v>40</v>
      </c>
      <c r="Y130" s="1">
        <v>119792.11</v>
      </c>
      <c r="Z130">
        <f t="shared" si="1"/>
        <v>119792.108691</v>
      </c>
    </row>
    <row r="131" spans="1:26" x14ac:dyDescent="0.25">
      <c r="A131" s="1">
        <v>128</v>
      </c>
      <c r="B131" s="1" t="s">
        <v>165</v>
      </c>
      <c r="C131" s="1" t="s">
        <v>261</v>
      </c>
      <c r="D131" s="1">
        <v>26235</v>
      </c>
      <c r="E131" s="16">
        <v>45182</v>
      </c>
      <c r="F131" s="1" t="s">
        <v>270</v>
      </c>
      <c r="G131" s="16">
        <v>45180</v>
      </c>
      <c r="H131" s="1">
        <v>2400462212</v>
      </c>
      <c r="I131" s="16">
        <v>45180</v>
      </c>
      <c r="J131" s="1" t="s">
        <v>57</v>
      </c>
      <c r="K131" s="1">
        <v>6</v>
      </c>
      <c r="L131" s="1" t="s">
        <v>49</v>
      </c>
      <c r="M131" s="1" t="s">
        <v>266</v>
      </c>
      <c r="N131" s="1">
        <v>60069000</v>
      </c>
      <c r="O131" s="1">
        <v>15</v>
      </c>
      <c r="P131" s="1">
        <v>11</v>
      </c>
      <c r="Q131" s="1">
        <v>2.5</v>
      </c>
      <c r="R131" s="1" t="s">
        <v>51</v>
      </c>
      <c r="S131" s="1">
        <v>2</v>
      </c>
      <c r="T131" s="1">
        <v>1334.45</v>
      </c>
      <c r="U131" s="1" t="s">
        <v>104</v>
      </c>
      <c r="V131" s="1">
        <v>103.7871</v>
      </c>
      <c r="W131" s="1" t="s">
        <v>67</v>
      </c>
      <c r="X131" s="1" t="s">
        <v>40</v>
      </c>
      <c r="Y131" s="1">
        <v>138498.70000000001</v>
      </c>
      <c r="Z131">
        <f t="shared" si="1"/>
        <v>138498.695595</v>
      </c>
    </row>
    <row r="132" spans="1:26" x14ac:dyDescent="0.25">
      <c r="A132" s="1">
        <v>129</v>
      </c>
      <c r="B132" s="1" t="s">
        <v>165</v>
      </c>
      <c r="C132" s="1" t="s">
        <v>271</v>
      </c>
      <c r="D132" s="1">
        <v>26477</v>
      </c>
      <c r="E132" s="16">
        <v>45184</v>
      </c>
      <c r="F132" s="1" t="s">
        <v>273</v>
      </c>
      <c r="G132" s="16">
        <v>45182</v>
      </c>
      <c r="H132" s="1">
        <v>2398558853</v>
      </c>
      <c r="I132" s="16">
        <v>45182</v>
      </c>
      <c r="J132" s="1" t="s">
        <v>274</v>
      </c>
      <c r="K132" s="1">
        <v>1</v>
      </c>
      <c r="L132" s="1" t="s">
        <v>49</v>
      </c>
      <c r="M132" s="1" t="s">
        <v>272</v>
      </c>
      <c r="N132" s="1">
        <v>62034300</v>
      </c>
      <c r="O132" s="1">
        <v>25</v>
      </c>
      <c r="P132" s="1">
        <v>11</v>
      </c>
      <c r="Q132" s="1">
        <v>7.5</v>
      </c>
      <c r="R132" s="1" t="s">
        <v>44</v>
      </c>
      <c r="S132" s="1">
        <v>8</v>
      </c>
      <c r="T132" s="1">
        <v>117</v>
      </c>
      <c r="U132" s="1" t="s">
        <v>42</v>
      </c>
      <c r="V132" s="1">
        <v>15298</v>
      </c>
      <c r="W132" s="1" t="s">
        <v>67</v>
      </c>
      <c r="X132" s="1" t="s">
        <v>40</v>
      </c>
      <c r="Y132" s="1">
        <v>1789866</v>
      </c>
      <c r="Z132">
        <f t="shared" si="1"/>
        <v>1789866</v>
      </c>
    </row>
    <row r="133" spans="1:26" x14ac:dyDescent="0.25">
      <c r="A133" s="1">
        <v>130</v>
      </c>
      <c r="B133" s="1" t="s">
        <v>165</v>
      </c>
      <c r="C133" s="1" t="s">
        <v>275</v>
      </c>
      <c r="D133" s="1">
        <v>26606</v>
      </c>
      <c r="E133" s="16">
        <v>45186</v>
      </c>
      <c r="F133" s="1" t="s">
        <v>46</v>
      </c>
      <c r="G133" s="16">
        <v>45183</v>
      </c>
      <c r="H133" s="1">
        <v>773406336687</v>
      </c>
      <c r="I133" s="16">
        <v>45183</v>
      </c>
      <c r="J133" s="1" t="s">
        <v>186</v>
      </c>
      <c r="K133" s="1">
        <v>1</v>
      </c>
      <c r="L133" s="1" t="s">
        <v>46</v>
      </c>
      <c r="M133" s="1" t="s">
        <v>276</v>
      </c>
      <c r="N133" s="1">
        <v>52093900</v>
      </c>
      <c r="O133" s="1">
        <v>10</v>
      </c>
      <c r="P133" s="1">
        <v>11</v>
      </c>
      <c r="Q133" s="1">
        <v>2.5</v>
      </c>
      <c r="R133" s="1" t="s">
        <v>41</v>
      </c>
      <c r="S133" s="1">
        <v>5</v>
      </c>
      <c r="T133" s="1">
        <v>36.590000000000003</v>
      </c>
      <c r="U133" s="1" t="s">
        <v>42</v>
      </c>
      <c r="V133" s="1">
        <v>15298</v>
      </c>
      <c r="W133" s="1" t="s">
        <v>43</v>
      </c>
      <c r="X133" s="1" t="s">
        <v>40</v>
      </c>
      <c r="Y133" s="1">
        <v>559753.81999999995</v>
      </c>
      <c r="Z133">
        <f t="shared" ref="Z133:Z196" si="2">T133*V133</f>
        <v>559753.82000000007</v>
      </c>
    </row>
    <row r="134" spans="1:26" x14ac:dyDescent="0.25">
      <c r="A134" s="1">
        <v>131</v>
      </c>
      <c r="B134" s="1" t="s">
        <v>165</v>
      </c>
      <c r="C134" s="1" t="s">
        <v>277</v>
      </c>
      <c r="D134" s="1">
        <v>26670</v>
      </c>
      <c r="E134" s="16">
        <v>45187</v>
      </c>
      <c r="F134" s="1" t="s">
        <v>46</v>
      </c>
      <c r="G134" s="16">
        <v>45183</v>
      </c>
      <c r="H134" s="1">
        <v>704030301333</v>
      </c>
      <c r="I134" s="16">
        <v>45184</v>
      </c>
      <c r="J134" s="1" t="s">
        <v>282</v>
      </c>
      <c r="K134" s="1">
        <v>1</v>
      </c>
      <c r="L134" s="1" t="s">
        <v>46</v>
      </c>
      <c r="M134" s="1" t="s">
        <v>95</v>
      </c>
      <c r="N134" s="1">
        <v>60063290</v>
      </c>
      <c r="O134" s="1">
        <v>15</v>
      </c>
      <c r="P134" s="1">
        <v>11</v>
      </c>
      <c r="Q134" s="1">
        <v>2.5</v>
      </c>
      <c r="R134" s="1" t="s">
        <v>51</v>
      </c>
      <c r="S134" s="1">
        <v>2</v>
      </c>
      <c r="T134" s="1">
        <v>33.58</v>
      </c>
      <c r="U134" s="1" t="s">
        <v>42</v>
      </c>
      <c r="V134" s="1">
        <v>15298</v>
      </c>
      <c r="W134" s="1" t="s">
        <v>43</v>
      </c>
      <c r="X134" s="1" t="s">
        <v>40</v>
      </c>
      <c r="Y134" s="1">
        <v>513706.84</v>
      </c>
      <c r="Z134">
        <f t="shared" si="2"/>
        <v>513706.83999999997</v>
      </c>
    </row>
    <row r="135" spans="1:26" x14ac:dyDescent="0.25">
      <c r="A135" s="1">
        <v>132</v>
      </c>
      <c r="B135" s="1" t="s">
        <v>165</v>
      </c>
      <c r="C135" s="1" t="s">
        <v>278</v>
      </c>
      <c r="D135" s="1">
        <v>26687</v>
      </c>
      <c r="E135" s="16">
        <v>45187</v>
      </c>
      <c r="F135" s="1" t="s">
        <v>283</v>
      </c>
      <c r="G135" s="16">
        <v>45183</v>
      </c>
      <c r="H135" s="1">
        <v>4100090116</v>
      </c>
      <c r="I135" s="16">
        <v>45183</v>
      </c>
      <c r="J135" s="1" t="s">
        <v>57</v>
      </c>
      <c r="K135" s="1">
        <v>1</v>
      </c>
      <c r="L135" s="1" t="s">
        <v>49</v>
      </c>
      <c r="M135" s="1" t="s">
        <v>280</v>
      </c>
      <c r="N135" s="1">
        <v>62113390</v>
      </c>
      <c r="O135" s="1">
        <v>25</v>
      </c>
      <c r="P135" s="1">
        <v>11</v>
      </c>
      <c r="Q135" s="1">
        <v>7.5</v>
      </c>
      <c r="R135" s="1" t="s">
        <v>44</v>
      </c>
      <c r="S135" s="1">
        <v>1</v>
      </c>
      <c r="T135" s="1">
        <v>9.06</v>
      </c>
      <c r="U135" s="1" t="s">
        <v>42</v>
      </c>
      <c r="V135" s="1">
        <v>15298</v>
      </c>
      <c r="W135" s="1" t="s">
        <v>67</v>
      </c>
      <c r="X135" s="1" t="s">
        <v>40</v>
      </c>
      <c r="Y135" s="1">
        <v>138599.88</v>
      </c>
      <c r="Z135">
        <f t="shared" si="2"/>
        <v>138599.88</v>
      </c>
    </row>
    <row r="136" spans="1:26" x14ac:dyDescent="0.25">
      <c r="A136" s="1">
        <v>133</v>
      </c>
      <c r="B136" s="1" t="s">
        <v>165</v>
      </c>
      <c r="C136" s="1" t="s">
        <v>279</v>
      </c>
      <c r="D136" s="1">
        <v>26756</v>
      </c>
      <c r="E136" s="16">
        <v>45187</v>
      </c>
      <c r="F136" s="1" t="s">
        <v>284</v>
      </c>
      <c r="G136" s="16">
        <v>45184</v>
      </c>
      <c r="H136" s="1">
        <v>1737007366</v>
      </c>
      <c r="I136" s="16">
        <v>45184</v>
      </c>
      <c r="J136" s="1" t="s">
        <v>285</v>
      </c>
      <c r="K136" s="1">
        <v>1</v>
      </c>
      <c r="L136" s="1" t="s">
        <v>49</v>
      </c>
      <c r="M136" s="1" t="s">
        <v>281</v>
      </c>
      <c r="N136" s="1">
        <v>60069000</v>
      </c>
      <c r="O136" s="1">
        <v>15</v>
      </c>
      <c r="P136" s="1">
        <v>11</v>
      </c>
      <c r="Q136" s="1">
        <v>2.5</v>
      </c>
      <c r="R136" s="1" t="s">
        <v>51</v>
      </c>
      <c r="S136" s="1">
        <v>8</v>
      </c>
      <c r="T136" s="1">
        <v>35.479999999999997</v>
      </c>
      <c r="U136" s="1" t="s">
        <v>42</v>
      </c>
      <c r="V136" s="1">
        <v>15298</v>
      </c>
      <c r="W136" s="1" t="s">
        <v>286</v>
      </c>
      <c r="X136" s="1" t="s">
        <v>40</v>
      </c>
      <c r="Y136" s="1">
        <v>542773.04</v>
      </c>
      <c r="Z136">
        <f t="shared" si="2"/>
        <v>542773.03999999992</v>
      </c>
    </row>
    <row r="137" spans="1:26" x14ac:dyDescent="0.25">
      <c r="A137" s="1">
        <v>134</v>
      </c>
      <c r="B137" s="1" t="s">
        <v>165</v>
      </c>
      <c r="C137" s="1" t="s">
        <v>287</v>
      </c>
      <c r="D137" s="1">
        <v>26843</v>
      </c>
      <c r="E137" s="16">
        <v>45188</v>
      </c>
      <c r="F137" s="1" t="s">
        <v>297</v>
      </c>
      <c r="G137" s="16">
        <v>45187</v>
      </c>
      <c r="H137" s="1">
        <v>1887649853</v>
      </c>
      <c r="I137" s="16">
        <v>45186</v>
      </c>
      <c r="J137" s="1" t="s">
        <v>244</v>
      </c>
      <c r="K137" s="1">
        <v>1</v>
      </c>
      <c r="L137" s="1" t="s">
        <v>49</v>
      </c>
      <c r="M137" s="1" t="s">
        <v>290</v>
      </c>
      <c r="N137" s="1">
        <v>96071900</v>
      </c>
      <c r="O137" s="1">
        <v>15</v>
      </c>
      <c r="P137" s="1">
        <v>11</v>
      </c>
      <c r="Q137" s="1">
        <v>2.5</v>
      </c>
      <c r="R137" s="1" t="s">
        <v>128</v>
      </c>
      <c r="S137" s="1">
        <v>2</v>
      </c>
      <c r="T137" s="1">
        <v>2.54</v>
      </c>
      <c r="U137" s="1" t="s">
        <v>42</v>
      </c>
      <c r="V137" s="1">
        <v>15298</v>
      </c>
      <c r="W137" s="1" t="s">
        <v>249</v>
      </c>
      <c r="X137" s="1" t="s">
        <v>40</v>
      </c>
      <c r="Y137" s="1">
        <v>38856.92</v>
      </c>
      <c r="Z137">
        <f t="shared" si="2"/>
        <v>38856.92</v>
      </c>
    </row>
    <row r="138" spans="1:26" x14ac:dyDescent="0.25">
      <c r="A138" s="1">
        <v>135</v>
      </c>
      <c r="B138" s="1" t="s">
        <v>165</v>
      </c>
      <c r="C138" s="1" t="s">
        <v>287</v>
      </c>
      <c r="D138" s="1">
        <v>26843</v>
      </c>
      <c r="E138" s="16">
        <v>45188</v>
      </c>
      <c r="F138" s="1" t="s">
        <v>297</v>
      </c>
      <c r="G138" s="16">
        <v>45187</v>
      </c>
      <c r="H138" s="1">
        <v>1887649853</v>
      </c>
      <c r="I138" s="16">
        <v>45186</v>
      </c>
      <c r="J138" s="1" t="s">
        <v>244</v>
      </c>
      <c r="K138" s="1">
        <v>2</v>
      </c>
      <c r="L138" s="1" t="s">
        <v>49</v>
      </c>
      <c r="M138" s="1" t="s">
        <v>291</v>
      </c>
      <c r="N138" s="1">
        <v>62046900</v>
      </c>
      <c r="O138" s="1">
        <v>25</v>
      </c>
      <c r="P138" s="1">
        <v>11</v>
      </c>
      <c r="Q138" s="1">
        <v>7.5</v>
      </c>
      <c r="R138" s="1" t="s">
        <v>44</v>
      </c>
      <c r="S138" s="1">
        <v>2</v>
      </c>
      <c r="T138" s="1">
        <v>12.71</v>
      </c>
      <c r="U138" s="1" t="s">
        <v>42</v>
      </c>
      <c r="V138" s="1">
        <v>15298</v>
      </c>
      <c r="W138" s="1" t="s">
        <v>249</v>
      </c>
      <c r="X138" s="1" t="s">
        <v>40</v>
      </c>
      <c r="Y138" s="1">
        <v>194437.58</v>
      </c>
      <c r="Z138">
        <f t="shared" si="2"/>
        <v>194437.58000000002</v>
      </c>
    </row>
    <row r="139" spans="1:26" x14ac:dyDescent="0.25">
      <c r="A139" s="1">
        <v>136</v>
      </c>
      <c r="B139" s="1" t="s">
        <v>165</v>
      </c>
      <c r="C139" s="1" t="s">
        <v>287</v>
      </c>
      <c r="D139" s="1">
        <v>26843</v>
      </c>
      <c r="E139" s="16">
        <v>45188</v>
      </c>
      <c r="F139" s="1" t="s">
        <v>297</v>
      </c>
      <c r="G139" s="16">
        <v>45187</v>
      </c>
      <c r="H139" s="1">
        <v>1887649853</v>
      </c>
      <c r="I139" s="16">
        <v>45186</v>
      </c>
      <c r="J139" s="1" t="s">
        <v>244</v>
      </c>
      <c r="K139" s="1">
        <v>3</v>
      </c>
      <c r="L139" s="1" t="s">
        <v>49</v>
      </c>
      <c r="M139" s="1" t="s">
        <v>291</v>
      </c>
      <c r="N139" s="1">
        <v>62046900</v>
      </c>
      <c r="O139" s="1">
        <v>25</v>
      </c>
      <c r="P139" s="1">
        <v>11</v>
      </c>
      <c r="Q139" s="1">
        <v>7.5</v>
      </c>
      <c r="R139" s="1" t="s">
        <v>44</v>
      </c>
      <c r="S139" s="1">
        <v>2</v>
      </c>
      <c r="T139" s="1">
        <v>13.99</v>
      </c>
      <c r="U139" s="1" t="s">
        <v>42</v>
      </c>
      <c r="V139" s="1">
        <v>15298</v>
      </c>
      <c r="W139" s="1" t="s">
        <v>249</v>
      </c>
      <c r="X139" s="1" t="s">
        <v>40</v>
      </c>
      <c r="Y139" s="1">
        <v>214019.02</v>
      </c>
      <c r="Z139">
        <f t="shared" si="2"/>
        <v>214019.02</v>
      </c>
    </row>
    <row r="140" spans="1:26" x14ac:dyDescent="0.25">
      <c r="A140" s="1">
        <v>137</v>
      </c>
      <c r="B140" s="1" t="s">
        <v>165</v>
      </c>
      <c r="C140" s="1" t="s">
        <v>287</v>
      </c>
      <c r="D140" s="1">
        <v>26843</v>
      </c>
      <c r="E140" s="16">
        <v>45188</v>
      </c>
      <c r="F140" s="1" t="s">
        <v>297</v>
      </c>
      <c r="G140" s="16">
        <v>45187</v>
      </c>
      <c r="H140" s="1">
        <v>1887649853</v>
      </c>
      <c r="I140" s="16">
        <v>45186</v>
      </c>
      <c r="J140" s="1" t="s">
        <v>244</v>
      </c>
      <c r="K140" s="1">
        <v>4</v>
      </c>
      <c r="L140" s="1" t="s">
        <v>49</v>
      </c>
      <c r="M140" s="1" t="s">
        <v>292</v>
      </c>
      <c r="N140" s="1">
        <v>56041000</v>
      </c>
      <c r="O140" s="1">
        <v>5</v>
      </c>
      <c r="P140" s="1">
        <v>11</v>
      </c>
      <c r="Q140" s="1">
        <v>2.5</v>
      </c>
      <c r="R140" s="1" t="s">
        <v>44</v>
      </c>
      <c r="S140" s="1">
        <v>1</v>
      </c>
      <c r="T140" s="1">
        <v>1.28</v>
      </c>
      <c r="U140" s="1" t="s">
        <v>42</v>
      </c>
      <c r="V140" s="1">
        <v>15298</v>
      </c>
      <c r="W140" s="1" t="s">
        <v>249</v>
      </c>
      <c r="X140" s="1" t="s">
        <v>40</v>
      </c>
      <c r="Y140" s="1">
        <v>19581.439999999999</v>
      </c>
      <c r="Z140">
        <f t="shared" si="2"/>
        <v>19581.439999999999</v>
      </c>
    </row>
    <row r="141" spans="1:26" x14ac:dyDescent="0.25">
      <c r="A141" s="1">
        <v>138</v>
      </c>
      <c r="B141" s="1" t="s">
        <v>165</v>
      </c>
      <c r="C141" s="1" t="s">
        <v>287</v>
      </c>
      <c r="D141" s="1">
        <v>26843</v>
      </c>
      <c r="E141" s="16">
        <v>45188</v>
      </c>
      <c r="F141" s="1" t="s">
        <v>297</v>
      </c>
      <c r="G141" s="16">
        <v>45187</v>
      </c>
      <c r="H141" s="1">
        <v>1887649853</v>
      </c>
      <c r="I141" s="16">
        <v>45186</v>
      </c>
      <c r="J141" s="1" t="s">
        <v>244</v>
      </c>
      <c r="K141" s="1">
        <v>5</v>
      </c>
      <c r="L141" s="1" t="s">
        <v>49</v>
      </c>
      <c r="M141" s="1" t="s">
        <v>293</v>
      </c>
      <c r="N141" s="1">
        <v>83081000</v>
      </c>
      <c r="O141" s="1">
        <v>5</v>
      </c>
      <c r="P141" s="1">
        <v>11</v>
      </c>
      <c r="Q141" s="1">
        <v>2.5</v>
      </c>
      <c r="R141" s="1" t="s">
        <v>44</v>
      </c>
      <c r="S141" s="1">
        <v>1</v>
      </c>
      <c r="T141" s="1">
        <v>1.28</v>
      </c>
      <c r="U141" s="1" t="s">
        <v>42</v>
      </c>
      <c r="V141" s="1">
        <v>15298</v>
      </c>
      <c r="W141" s="1" t="s">
        <v>249</v>
      </c>
      <c r="X141" s="1" t="s">
        <v>40</v>
      </c>
      <c r="Y141" s="1">
        <v>19581.439999999999</v>
      </c>
      <c r="Z141">
        <f t="shared" si="2"/>
        <v>19581.439999999999</v>
      </c>
    </row>
    <row r="142" spans="1:26" x14ac:dyDescent="0.25">
      <c r="A142" s="1">
        <v>139</v>
      </c>
      <c r="B142" s="1" t="s">
        <v>165</v>
      </c>
      <c r="C142" s="1" t="s">
        <v>288</v>
      </c>
      <c r="D142" s="1">
        <v>26874</v>
      </c>
      <c r="E142" s="16">
        <v>45188</v>
      </c>
      <c r="F142" s="1" t="s">
        <v>46</v>
      </c>
      <c r="G142" s="16">
        <v>45184</v>
      </c>
      <c r="H142" s="1">
        <v>773422827020</v>
      </c>
      <c r="I142" s="16">
        <v>45184</v>
      </c>
      <c r="J142" s="1" t="s">
        <v>186</v>
      </c>
      <c r="K142" s="1">
        <v>3</v>
      </c>
      <c r="L142" s="1" t="s">
        <v>46</v>
      </c>
      <c r="M142" s="1" t="s">
        <v>294</v>
      </c>
      <c r="N142" s="1">
        <v>52084290</v>
      </c>
      <c r="O142" s="1">
        <v>15</v>
      </c>
      <c r="P142" s="1">
        <v>11</v>
      </c>
      <c r="Q142" s="1">
        <v>2.5</v>
      </c>
      <c r="R142" s="1" t="s">
        <v>41</v>
      </c>
      <c r="S142" s="1">
        <v>1</v>
      </c>
      <c r="T142" s="1">
        <v>11.53</v>
      </c>
      <c r="U142" s="1" t="s">
        <v>42</v>
      </c>
      <c r="V142" s="1">
        <v>15298</v>
      </c>
      <c r="W142" s="1" t="s">
        <v>43</v>
      </c>
      <c r="X142" s="1" t="s">
        <v>40</v>
      </c>
      <c r="Y142" s="1">
        <v>176385.94</v>
      </c>
      <c r="Z142">
        <f t="shared" si="2"/>
        <v>176385.94</v>
      </c>
    </row>
    <row r="143" spans="1:26" x14ac:dyDescent="0.25">
      <c r="A143" s="1">
        <v>140</v>
      </c>
      <c r="B143" s="1" t="s">
        <v>165</v>
      </c>
      <c r="C143" s="1" t="s">
        <v>288</v>
      </c>
      <c r="D143" s="1">
        <v>26874</v>
      </c>
      <c r="E143" s="16">
        <v>45188</v>
      </c>
      <c r="F143" s="1" t="s">
        <v>46</v>
      </c>
      <c r="G143" s="16">
        <v>45184</v>
      </c>
      <c r="H143" s="1">
        <v>773422827020</v>
      </c>
      <c r="I143" s="16">
        <v>45184</v>
      </c>
      <c r="J143" s="1" t="s">
        <v>186</v>
      </c>
      <c r="K143" s="1">
        <v>1</v>
      </c>
      <c r="L143" s="1" t="s">
        <v>46</v>
      </c>
      <c r="M143" s="1" t="s">
        <v>294</v>
      </c>
      <c r="N143" s="1">
        <v>52084290</v>
      </c>
      <c r="O143" s="1">
        <v>15</v>
      </c>
      <c r="P143" s="1">
        <v>11</v>
      </c>
      <c r="Q143" s="1">
        <v>2.5</v>
      </c>
      <c r="R143" s="1" t="s">
        <v>41</v>
      </c>
      <c r="S143" s="1">
        <v>1</v>
      </c>
      <c r="T143" s="1">
        <v>11.53</v>
      </c>
      <c r="U143" s="1" t="s">
        <v>42</v>
      </c>
      <c r="V143" s="1">
        <v>15298</v>
      </c>
      <c r="W143" s="1" t="s">
        <v>43</v>
      </c>
      <c r="X143" s="1" t="s">
        <v>40</v>
      </c>
      <c r="Y143" s="1">
        <v>176385.94</v>
      </c>
      <c r="Z143">
        <f t="shared" si="2"/>
        <v>176385.94</v>
      </c>
    </row>
    <row r="144" spans="1:26" x14ac:dyDescent="0.25">
      <c r="A144" s="1">
        <v>141</v>
      </c>
      <c r="B144" s="1" t="s">
        <v>165</v>
      </c>
      <c r="C144" s="1" t="s">
        <v>288</v>
      </c>
      <c r="D144" s="1">
        <v>26874</v>
      </c>
      <c r="E144" s="16">
        <v>45188</v>
      </c>
      <c r="F144" s="1" t="s">
        <v>46</v>
      </c>
      <c r="G144" s="16">
        <v>45184</v>
      </c>
      <c r="H144" s="1">
        <v>773422827020</v>
      </c>
      <c r="I144" s="16">
        <v>45184</v>
      </c>
      <c r="J144" s="1" t="s">
        <v>186</v>
      </c>
      <c r="K144" s="1">
        <v>2</v>
      </c>
      <c r="L144" s="1" t="s">
        <v>46</v>
      </c>
      <c r="M144" s="1" t="s">
        <v>295</v>
      </c>
      <c r="N144" s="1">
        <v>52084290</v>
      </c>
      <c r="O144" s="1">
        <v>15</v>
      </c>
      <c r="P144" s="1">
        <v>11</v>
      </c>
      <c r="Q144" s="1">
        <v>2.5</v>
      </c>
      <c r="R144" s="1" t="s">
        <v>41</v>
      </c>
      <c r="S144" s="1">
        <v>1</v>
      </c>
      <c r="T144" s="1">
        <v>11.53</v>
      </c>
      <c r="U144" s="1" t="s">
        <v>42</v>
      </c>
      <c r="V144" s="1">
        <v>15298</v>
      </c>
      <c r="W144" s="1" t="s">
        <v>43</v>
      </c>
      <c r="X144" s="1" t="s">
        <v>40</v>
      </c>
      <c r="Y144" s="1">
        <v>176385.94</v>
      </c>
      <c r="Z144">
        <f t="shared" si="2"/>
        <v>176385.94</v>
      </c>
    </row>
    <row r="145" spans="1:26" x14ac:dyDescent="0.25">
      <c r="A145" s="1">
        <v>142</v>
      </c>
      <c r="B145" s="1" t="s">
        <v>165</v>
      </c>
      <c r="C145" s="1" t="s">
        <v>289</v>
      </c>
      <c r="D145" s="1">
        <v>26877</v>
      </c>
      <c r="E145" s="16">
        <v>45188</v>
      </c>
      <c r="F145" s="1" t="s">
        <v>48</v>
      </c>
      <c r="G145" s="16">
        <v>45184</v>
      </c>
      <c r="H145" s="1">
        <v>2020412531</v>
      </c>
      <c r="I145" s="16">
        <v>45184</v>
      </c>
      <c r="J145" s="1" t="s">
        <v>298</v>
      </c>
      <c r="K145" s="1">
        <v>1</v>
      </c>
      <c r="L145" s="1" t="s">
        <v>49</v>
      </c>
      <c r="M145" s="1" t="s">
        <v>296</v>
      </c>
      <c r="N145" s="1">
        <v>96062200</v>
      </c>
      <c r="O145" s="1">
        <v>10</v>
      </c>
      <c r="P145" s="1">
        <v>11</v>
      </c>
      <c r="Q145" s="1">
        <v>2.5</v>
      </c>
      <c r="R145" s="1" t="s">
        <v>44</v>
      </c>
      <c r="S145" s="1">
        <v>25385</v>
      </c>
      <c r="T145" s="1">
        <v>602.29999999999995</v>
      </c>
      <c r="U145" s="1" t="s">
        <v>42</v>
      </c>
      <c r="V145" s="1">
        <v>15298</v>
      </c>
      <c r="W145" s="1" t="s">
        <v>286</v>
      </c>
      <c r="X145" s="1" t="s">
        <v>40</v>
      </c>
      <c r="Y145" s="1">
        <v>9213985.4000000004</v>
      </c>
      <c r="Z145">
        <f t="shared" si="2"/>
        <v>9213985.3999999985</v>
      </c>
    </row>
    <row r="146" spans="1:26" x14ac:dyDescent="0.25">
      <c r="A146" s="1">
        <v>143</v>
      </c>
      <c r="B146" s="1" t="s">
        <v>165</v>
      </c>
      <c r="C146" s="1" t="s">
        <v>299</v>
      </c>
      <c r="D146" s="1">
        <v>27079</v>
      </c>
      <c r="E146" s="16">
        <v>45190</v>
      </c>
      <c r="F146" s="1" t="s">
        <v>300</v>
      </c>
      <c r="G146" s="16">
        <v>45189</v>
      </c>
      <c r="H146" s="1">
        <v>2323328545</v>
      </c>
      <c r="I146" s="16">
        <v>45188</v>
      </c>
      <c r="J146" s="1" t="s">
        <v>269</v>
      </c>
      <c r="K146" s="1">
        <v>1</v>
      </c>
      <c r="L146" s="1" t="s">
        <v>49</v>
      </c>
      <c r="M146" s="1" t="s">
        <v>97</v>
      </c>
      <c r="N146" s="1">
        <v>58071000</v>
      </c>
      <c r="O146" s="1">
        <v>10</v>
      </c>
      <c r="P146" s="1">
        <v>11</v>
      </c>
      <c r="Q146" s="1">
        <v>2.5</v>
      </c>
      <c r="R146" s="1" t="s">
        <v>44</v>
      </c>
      <c r="S146" s="1">
        <v>510</v>
      </c>
      <c r="T146" s="1">
        <v>1930.93</v>
      </c>
      <c r="U146" s="1" t="s">
        <v>104</v>
      </c>
      <c r="V146" s="1">
        <v>104.2664</v>
      </c>
      <c r="W146" s="1" t="s">
        <v>67</v>
      </c>
      <c r="X146" s="1" t="s">
        <v>40</v>
      </c>
      <c r="Y146" s="1">
        <v>201331.12</v>
      </c>
      <c r="Z146">
        <f t="shared" si="2"/>
        <v>201331.11975200003</v>
      </c>
    </row>
    <row r="147" spans="1:26" x14ac:dyDescent="0.25">
      <c r="A147" s="1">
        <v>144</v>
      </c>
      <c r="B147" s="1" t="s">
        <v>165</v>
      </c>
      <c r="C147" s="1" t="s">
        <v>299</v>
      </c>
      <c r="D147" s="1">
        <v>27079</v>
      </c>
      <c r="E147" s="16">
        <v>45190</v>
      </c>
      <c r="F147" s="1" t="s">
        <v>300</v>
      </c>
      <c r="G147" s="16">
        <v>45189</v>
      </c>
      <c r="H147" s="1">
        <v>2323328545</v>
      </c>
      <c r="I147" s="16">
        <v>45188</v>
      </c>
      <c r="J147" s="1" t="s">
        <v>269</v>
      </c>
      <c r="K147" s="1">
        <v>2</v>
      </c>
      <c r="L147" s="1" t="s">
        <v>49</v>
      </c>
      <c r="M147" s="1" t="s">
        <v>99</v>
      </c>
      <c r="N147" s="1">
        <v>39232990</v>
      </c>
      <c r="O147" s="1">
        <v>10</v>
      </c>
      <c r="P147" s="1">
        <v>11</v>
      </c>
      <c r="Q147" s="1">
        <v>2.5</v>
      </c>
      <c r="R147" s="1" t="s">
        <v>44</v>
      </c>
      <c r="S147" s="1">
        <v>255</v>
      </c>
      <c r="T147" s="1">
        <v>2703.29</v>
      </c>
      <c r="U147" s="1" t="s">
        <v>104</v>
      </c>
      <c r="V147" s="1">
        <v>104.2664</v>
      </c>
      <c r="W147" s="1" t="s">
        <v>67</v>
      </c>
      <c r="X147" s="1" t="s">
        <v>40</v>
      </c>
      <c r="Y147" s="1">
        <v>281862.32</v>
      </c>
      <c r="Z147">
        <f t="shared" si="2"/>
        <v>281862.31645600003</v>
      </c>
    </row>
    <row r="148" spans="1:26" x14ac:dyDescent="0.25">
      <c r="A148" s="1">
        <v>145</v>
      </c>
      <c r="B148" s="1" t="s">
        <v>165</v>
      </c>
      <c r="C148" s="1" t="s">
        <v>299</v>
      </c>
      <c r="D148" s="1">
        <v>27079</v>
      </c>
      <c r="E148" s="16">
        <v>45190</v>
      </c>
      <c r="F148" s="1" t="s">
        <v>300</v>
      </c>
      <c r="G148" s="16">
        <v>45189</v>
      </c>
      <c r="H148" s="1">
        <v>2323328545</v>
      </c>
      <c r="I148" s="16">
        <v>45188</v>
      </c>
      <c r="J148" s="1" t="s">
        <v>269</v>
      </c>
      <c r="K148" s="1">
        <v>3</v>
      </c>
      <c r="L148" s="1" t="s">
        <v>49</v>
      </c>
      <c r="M148" s="1" t="s">
        <v>102</v>
      </c>
      <c r="N148" s="1">
        <v>39191020</v>
      </c>
      <c r="O148" s="1">
        <v>5</v>
      </c>
      <c r="P148" s="1">
        <v>11</v>
      </c>
      <c r="Q148" s="1">
        <v>2.5</v>
      </c>
      <c r="R148" s="1" t="s">
        <v>44</v>
      </c>
      <c r="S148" s="1">
        <v>255</v>
      </c>
      <c r="T148" s="1">
        <v>386.18</v>
      </c>
      <c r="U148" s="1" t="s">
        <v>104</v>
      </c>
      <c r="V148" s="1">
        <v>104.2664</v>
      </c>
      <c r="W148" s="1" t="s">
        <v>67</v>
      </c>
      <c r="X148" s="1" t="s">
        <v>40</v>
      </c>
      <c r="Y148" s="1">
        <v>40265.599999999999</v>
      </c>
      <c r="Z148">
        <f t="shared" si="2"/>
        <v>40265.598352000001</v>
      </c>
    </row>
    <row r="149" spans="1:26" x14ac:dyDescent="0.25">
      <c r="A149" s="1">
        <v>146</v>
      </c>
      <c r="B149" s="1" t="s">
        <v>165</v>
      </c>
      <c r="C149" s="1" t="s">
        <v>299</v>
      </c>
      <c r="D149" s="1">
        <v>27079</v>
      </c>
      <c r="E149" s="16">
        <v>45190</v>
      </c>
      <c r="F149" s="1" t="s">
        <v>300</v>
      </c>
      <c r="G149" s="16">
        <v>45189</v>
      </c>
      <c r="H149" s="1">
        <v>2323328545</v>
      </c>
      <c r="I149" s="16">
        <v>45188</v>
      </c>
      <c r="J149" s="1" t="s">
        <v>269</v>
      </c>
      <c r="K149" s="1">
        <v>4</v>
      </c>
      <c r="L149" s="1" t="s">
        <v>49</v>
      </c>
      <c r="M149" s="1" t="s">
        <v>103</v>
      </c>
      <c r="N149" s="1">
        <v>39191020</v>
      </c>
      <c r="O149" s="1">
        <v>5</v>
      </c>
      <c r="P149" s="1">
        <v>11</v>
      </c>
      <c r="Q149" s="1">
        <v>2.5</v>
      </c>
      <c r="R149" s="1" t="s">
        <v>44</v>
      </c>
      <c r="S149" s="1">
        <v>255</v>
      </c>
      <c r="T149" s="1">
        <v>1158.56</v>
      </c>
      <c r="U149" s="1" t="s">
        <v>104</v>
      </c>
      <c r="V149" s="1">
        <v>104.2664</v>
      </c>
      <c r="W149" s="1" t="s">
        <v>67</v>
      </c>
      <c r="X149" s="1" t="s">
        <v>40</v>
      </c>
      <c r="Y149" s="1">
        <v>120798.88</v>
      </c>
      <c r="Z149">
        <f t="shared" si="2"/>
        <v>120798.880384</v>
      </c>
    </row>
    <row r="150" spans="1:26" x14ac:dyDescent="0.25">
      <c r="A150" s="1">
        <v>147</v>
      </c>
      <c r="B150" s="1" t="s">
        <v>165</v>
      </c>
      <c r="C150" s="1" t="s">
        <v>301</v>
      </c>
      <c r="D150" s="1">
        <v>27229</v>
      </c>
      <c r="E150" s="16">
        <v>45191</v>
      </c>
      <c r="F150" s="1" t="s">
        <v>303</v>
      </c>
      <c r="G150" s="16">
        <v>45188</v>
      </c>
      <c r="H150" s="1">
        <v>773455910328</v>
      </c>
      <c r="I150" s="16">
        <v>45188</v>
      </c>
      <c r="J150" s="1" t="s">
        <v>304</v>
      </c>
      <c r="K150" s="1">
        <v>1</v>
      </c>
      <c r="L150" s="1" t="s">
        <v>46</v>
      </c>
      <c r="M150" s="1" t="s">
        <v>302</v>
      </c>
      <c r="N150" s="1">
        <v>56031400</v>
      </c>
      <c r="O150" s="1">
        <v>5</v>
      </c>
      <c r="P150" s="1">
        <v>11</v>
      </c>
      <c r="Q150" s="1">
        <v>2.5</v>
      </c>
      <c r="R150" s="1" t="s">
        <v>51</v>
      </c>
      <c r="S150" s="1">
        <v>1</v>
      </c>
      <c r="T150" s="1">
        <v>8643</v>
      </c>
      <c r="U150" s="1" t="s">
        <v>104</v>
      </c>
      <c r="V150" s="1">
        <v>104.2664</v>
      </c>
      <c r="W150" s="1" t="s">
        <v>67</v>
      </c>
      <c r="X150" s="1" t="s">
        <v>40</v>
      </c>
      <c r="Y150" s="1">
        <v>901174.5</v>
      </c>
      <c r="Z150">
        <f t="shared" si="2"/>
        <v>901174.4952</v>
      </c>
    </row>
    <row r="151" spans="1:26" x14ac:dyDescent="0.25">
      <c r="A151" s="1">
        <v>148</v>
      </c>
      <c r="B151" s="1" t="s">
        <v>165</v>
      </c>
      <c r="C151" s="1" t="s">
        <v>305</v>
      </c>
      <c r="D151" s="1">
        <v>27467</v>
      </c>
      <c r="E151" s="16">
        <v>45194</v>
      </c>
      <c r="F151" s="1" t="s">
        <v>312</v>
      </c>
      <c r="G151" s="16">
        <v>45188</v>
      </c>
      <c r="H151" s="1">
        <v>8224877706</v>
      </c>
      <c r="I151" s="16">
        <v>45188</v>
      </c>
      <c r="J151" s="1" t="s">
        <v>93</v>
      </c>
      <c r="K151" s="1">
        <v>22</v>
      </c>
      <c r="L151" s="1" t="s">
        <v>49</v>
      </c>
      <c r="M151" s="1" t="s">
        <v>306</v>
      </c>
      <c r="N151" s="1">
        <v>83081000</v>
      </c>
      <c r="O151" s="1">
        <v>5</v>
      </c>
      <c r="P151" s="1">
        <v>11</v>
      </c>
      <c r="Q151" s="1">
        <v>2.5</v>
      </c>
      <c r="R151" s="1" t="s">
        <v>128</v>
      </c>
      <c r="S151" s="1">
        <v>140</v>
      </c>
      <c r="T151" s="1">
        <v>846</v>
      </c>
      <c r="U151" s="1" t="s">
        <v>104</v>
      </c>
      <c r="V151" s="1">
        <v>104.2664</v>
      </c>
      <c r="W151" s="1" t="s">
        <v>67</v>
      </c>
      <c r="X151" s="1" t="s">
        <v>40</v>
      </c>
      <c r="Y151" s="1">
        <v>88209.37</v>
      </c>
      <c r="Z151">
        <f t="shared" si="2"/>
        <v>88209.374400000001</v>
      </c>
    </row>
    <row r="152" spans="1:26" x14ac:dyDescent="0.25">
      <c r="A152" s="1">
        <v>149</v>
      </c>
      <c r="B152" s="1" t="s">
        <v>165</v>
      </c>
      <c r="C152" s="1" t="s">
        <v>305</v>
      </c>
      <c r="D152" s="1">
        <v>27467</v>
      </c>
      <c r="E152" s="16">
        <v>45194</v>
      </c>
      <c r="F152" s="1" t="s">
        <v>312</v>
      </c>
      <c r="G152" s="16">
        <v>45188</v>
      </c>
      <c r="H152" s="1">
        <v>8224877706</v>
      </c>
      <c r="I152" s="16">
        <v>45188</v>
      </c>
      <c r="J152" s="1" t="s">
        <v>93</v>
      </c>
      <c r="K152" s="1">
        <v>23</v>
      </c>
      <c r="L152" s="1" t="s">
        <v>49</v>
      </c>
      <c r="M152" s="1" t="s">
        <v>132</v>
      </c>
      <c r="N152" s="1">
        <v>96061090</v>
      </c>
      <c r="O152" s="1">
        <v>10</v>
      </c>
      <c r="P152" s="1">
        <v>11</v>
      </c>
      <c r="Q152" s="1">
        <v>2.5</v>
      </c>
      <c r="R152" s="1" t="s">
        <v>128</v>
      </c>
      <c r="S152" s="1">
        <v>60</v>
      </c>
      <c r="T152" s="1">
        <v>755.36</v>
      </c>
      <c r="U152" s="1" t="s">
        <v>104</v>
      </c>
      <c r="V152" s="1">
        <v>104.2664</v>
      </c>
      <c r="W152" s="1" t="s">
        <v>67</v>
      </c>
      <c r="X152" s="1" t="s">
        <v>40</v>
      </c>
      <c r="Y152" s="1">
        <v>78758.67</v>
      </c>
      <c r="Z152">
        <f t="shared" si="2"/>
        <v>78758.667904000002</v>
      </c>
    </row>
    <row r="153" spans="1:26" x14ac:dyDescent="0.25">
      <c r="A153" s="1">
        <v>150</v>
      </c>
      <c r="B153" s="1" t="s">
        <v>165</v>
      </c>
      <c r="C153" s="1" t="s">
        <v>305</v>
      </c>
      <c r="D153" s="1">
        <v>27467</v>
      </c>
      <c r="E153" s="16">
        <v>45194</v>
      </c>
      <c r="F153" s="1" t="s">
        <v>312</v>
      </c>
      <c r="G153" s="16">
        <v>45188</v>
      </c>
      <c r="H153" s="1">
        <v>8224877706</v>
      </c>
      <c r="I153" s="16">
        <v>45188</v>
      </c>
      <c r="J153" s="1" t="s">
        <v>93</v>
      </c>
      <c r="K153" s="1">
        <v>24</v>
      </c>
      <c r="L153" s="1" t="s">
        <v>49</v>
      </c>
      <c r="M153" s="1" t="s">
        <v>307</v>
      </c>
      <c r="N153" s="1">
        <v>39269099</v>
      </c>
      <c r="O153" s="1">
        <v>20</v>
      </c>
      <c r="P153" s="1">
        <v>11</v>
      </c>
      <c r="Q153" s="1">
        <v>7.5</v>
      </c>
      <c r="R153" s="1" t="s">
        <v>44</v>
      </c>
      <c r="S153" s="1">
        <v>100</v>
      </c>
      <c r="T153" s="1">
        <v>302.14</v>
      </c>
      <c r="U153" s="1" t="s">
        <v>104</v>
      </c>
      <c r="V153" s="1">
        <v>104.2664</v>
      </c>
      <c r="W153" s="1" t="s">
        <v>67</v>
      </c>
      <c r="X153" s="1" t="s">
        <v>40</v>
      </c>
      <c r="Y153" s="1">
        <v>31503.05</v>
      </c>
      <c r="Z153">
        <f t="shared" si="2"/>
        <v>31503.050095999999</v>
      </c>
    </row>
    <row r="154" spans="1:26" x14ac:dyDescent="0.25">
      <c r="A154" s="1">
        <v>151</v>
      </c>
      <c r="B154" s="1" t="s">
        <v>165</v>
      </c>
      <c r="C154" s="1" t="s">
        <v>305</v>
      </c>
      <c r="D154" s="1">
        <v>27467</v>
      </c>
      <c r="E154" s="16">
        <v>45194</v>
      </c>
      <c r="F154" s="1" t="s">
        <v>312</v>
      </c>
      <c r="G154" s="16">
        <v>45188</v>
      </c>
      <c r="H154" s="1">
        <v>8224877706</v>
      </c>
      <c r="I154" s="16">
        <v>45188</v>
      </c>
      <c r="J154" s="1" t="s">
        <v>93</v>
      </c>
      <c r="K154" s="1">
        <v>25</v>
      </c>
      <c r="L154" s="1" t="s">
        <v>49</v>
      </c>
      <c r="M154" s="1" t="s">
        <v>133</v>
      </c>
      <c r="N154" s="1">
        <v>96061090</v>
      </c>
      <c r="O154" s="1">
        <v>10</v>
      </c>
      <c r="P154" s="1">
        <v>11</v>
      </c>
      <c r="Q154" s="1">
        <v>2.5</v>
      </c>
      <c r="R154" s="1" t="s">
        <v>128</v>
      </c>
      <c r="S154" s="1">
        <v>60</v>
      </c>
      <c r="T154" s="1">
        <v>312.20999999999998</v>
      </c>
      <c r="U154" s="1" t="s">
        <v>104</v>
      </c>
      <c r="V154" s="1">
        <v>104.2664</v>
      </c>
      <c r="W154" s="1" t="s">
        <v>67</v>
      </c>
      <c r="X154" s="1" t="s">
        <v>40</v>
      </c>
      <c r="Y154" s="1">
        <v>32553.01</v>
      </c>
      <c r="Z154">
        <f t="shared" si="2"/>
        <v>32553.012744</v>
      </c>
    </row>
    <row r="155" spans="1:26" x14ac:dyDescent="0.25">
      <c r="A155" s="1">
        <v>152</v>
      </c>
      <c r="B155" s="1" t="s">
        <v>165</v>
      </c>
      <c r="C155" s="1" t="s">
        <v>305</v>
      </c>
      <c r="D155" s="1">
        <v>27467</v>
      </c>
      <c r="E155" s="16">
        <v>45194</v>
      </c>
      <c r="F155" s="1" t="s">
        <v>312</v>
      </c>
      <c r="G155" s="16">
        <v>45188</v>
      </c>
      <c r="H155" s="1">
        <v>8224877706</v>
      </c>
      <c r="I155" s="16">
        <v>45188</v>
      </c>
      <c r="J155" s="1" t="s">
        <v>93</v>
      </c>
      <c r="K155" s="1">
        <v>26</v>
      </c>
      <c r="L155" s="1" t="s">
        <v>49</v>
      </c>
      <c r="M155" s="1" t="s">
        <v>133</v>
      </c>
      <c r="N155" s="1">
        <v>96061090</v>
      </c>
      <c r="O155" s="1">
        <v>10</v>
      </c>
      <c r="P155" s="1">
        <v>11</v>
      </c>
      <c r="Q155" s="1">
        <v>2.5</v>
      </c>
      <c r="R155" s="1" t="s">
        <v>128</v>
      </c>
      <c r="S155" s="1">
        <v>60</v>
      </c>
      <c r="T155" s="1">
        <v>1631.57</v>
      </c>
      <c r="U155" s="1" t="s">
        <v>104</v>
      </c>
      <c r="V155" s="1">
        <v>104.2664</v>
      </c>
      <c r="W155" s="1" t="s">
        <v>67</v>
      </c>
      <c r="X155" s="1" t="s">
        <v>40</v>
      </c>
      <c r="Y155" s="1">
        <v>170117.93</v>
      </c>
      <c r="Z155">
        <f t="shared" si="2"/>
        <v>170117.93024799999</v>
      </c>
    </row>
    <row r="156" spans="1:26" x14ac:dyDescent="0.25">
      <c r="A156" s="1">
        <v>153</v>
      </c>
      <c r="B156" s="1" t="s">
        <v>165</v>
      </c>
      <c r="C156" s="1" t="s">
        <v>305</v>
      </c>
      <c r="D156" s="1">
        <v>27467</v>
      </c>
      <c r="E156" s="16">
        <v>45194</v>
      </c>
      <c r="F156" s="1" t="s">
        <v>312</v>
      </c>
      <c r="G156" s="16">
        <v>45188</v>
      </c>
      <c r="H156" s="1">
        <v>8224877706</v>
      </c>
      <c r="I156" s="16">
        <v>45188</v>
      </c>
      <c r="J156" s="1" t="s">
        <v>93</v>
      </c>
      <c r="K156" s="1">
        <v>27</v>
      </c>
      <c r="L156" s="1" t="s">
        <v>49</v>
      </c>
      <c r="M156" s="1" t="s">
        <v>134</v>
      </c>
      <c r="N156" s="1">
        <v>52041900</v>
      </c>
      <c r="O156" s="1">
        <v>7.5</v>
      </c>
      <c r="P156" s="1">
        <v>11</v>
      </c>
      <c r="Q156" s="1">
        <v>2.5</v>
      </c>
      <c r="R156" s="1" t="s">
        <v>137</v>
      </c>
      <c r="S156" s="1">
        <v>24</v>
      </c>
      <c r="T156" s="1">
        <v>16114.24</v>
      </c>
      <c r="U156" s="1" t="s">
        <v>104</v>
      </c>
      <c r="V156" s="1">
        <v>104.2664</v>
      </c>
      <c r="W156" s="1" t="s">
        <v>67</v>
      </c>
      <c r="X156" s="1" t="s">
        <v>40</v>
      </c>
      <c r="Y156" s="1">
        <v>1680173.79</v>
      </c>
      <c r="Z156">
        <f t="shared" si="2"/>
        <v>1680173.793536</v>
      </c>
    </row>
    <row r="157" spans="1:26" x14ac:dyDescent="0.25">
      <c r="A157" s="1">
        <v>154</v>
      </c>
      <c r="B157" s="1" t="s">
        <v>165</v>
      </c>
      <c r="C157" s="1" t="s">
        <v>305</v>
      </c>
      <c r="D157" s="1">
        <v>27467</v>
      </c>
      <c r="E157" s="16">
        <v>45194</v>
      </c>
      <c r="F157" s="1" t="s">
        <v>312</v>
      </c>
      <c r="G157" s="16">
        <v>45188</v>
      </c>
      <c r="H157" s="1">
        <v>8224877706</v>
      </c>
      <c r="I157" s="16">
        <v>45188</v>
      </c>
      <c r="J157" s="1" t="s">
        <v>93</v>
      </c>
      <c r="K157" s="1">
        <v>28</v>
      </c>
      <c r="L157" s="1" t="s">
        <v>49</v>
      </c>
      <c r="M157" s="1" t="s">
        <v>134</v>
      </c>
      <c r="N157" s="1">
        <v>52041900</v>
      </c>
      <c r="O157" s="1">
        <v>7.5</v>
      </c>
      <c r="P157" s="1">
        <v>11</v>
      </c>
      <c r="Q157" s="1">
        <v>2.5</v>
      </c>
      <c r="R157" s="1" t="s">
        <v>137</v>
      </c>
      <c r="S157" s="1">
        <v>36</v>
      </c>
      <c r="T157" s="1">
        <v>26588.49</v>
      </c>
      <c r="U157" s="1" t="s">
        <v>104</v>
      </c>
      <c r="V157" s="1">
        <v>104.2664</v>
      </c>
      <c r="W157" s="1" t="s">
        <v>67</v>
      </c>
      <c r="X157" s="1" t="s">
        <v>40</v>
      </c>
      <c r="Y157" s="1">
        <v>2772286.13</v>
      </c>
      <c r="Z157">
        <f t="shared" si="2"/>
        <v>2772286.1337360004</v>
      </c>
    </row>
    <row r="158" spans="1:26" x14ac:dyDescent="0.25">
      <c r="A158" s="1">
        <v>155</v>
      </c>
      <c r="B158" s="1" t="s">
        <v>165</v>
      </c>
      <c r="C158" s="1" t="s">
        <v>305</v>
      </c>
      <c r="D158" s="1">
        <v>27467</v>
      </c>
      <c r="E158" s="16">
        <v>45194</v>
      </c>
      <c r="F158" s="1" t="s">
        <v>312</v>
      </c>
      <c r="G158" s="16">
        <v>45188</v>
      </c>
      <c r="H158" s="1">
        <v>8224877706</v>
      </c>
      <c r="I158" s="16">
        <v>45188</v>
      </c>
      <c r="J158" s="1" t="s">
        <v>93</v>
      </c>
      <c r="K158" s="1">
        <v>29</v>
      </c>
      <c r="L158" s="1" t="s">
        <v>49</v>
      </c>
      <c r="M158" s="1" t="s">
        <v>135</v>
      </c>
      <c r="N158" s="1">
        <v>60069000</v>
      </c>
      <c r="O158" s="1">
        <v>15</v>
      </c>
      <c r="P158" s="1">
        <v>11</v>
      </c>
      <c r="Q158" s="1">
        <v>2.5</v>
      </c>
      <c r="R158" s="1" t="s">
        <v>51</v>
      </c>
      <c r="S158" s="1">
        <v>20</v>
      </c>
      <c r="T158" s="1">
        <v>3692.84</v>
      </c>
      <c r="U158" s="1" t="s">
        <v>104</v>
      </c>
      <c r="V158" s="1">
        <v>104.2664</v>
      </c>
      <c r="W158" s="1" t="s">
        <v>67</v>
      </c>
      <c r="X158" s="1" t="s">
        <v>40</v>
      </c>
      <c r="Y158" s="1">
        <v>385039.13</v>
      </c>
      <c r="Z158">
        <f t="shared" si="2"/>
        <v>385039.132576</v>
      </c>
    </row>
    <row r="159" spans="1:26" x14ac:dyDescent="0.25">
      <c r="A159" s="1">
        <v>156</v>
      </c>
      <c r="B159" s="1" t="s">
        <v>165</v>
      </c>
      <c r="C159" s="1" t="s">
        <v>305</v>
      </c>
      <c r="D159" s="1">
        <v>27467</v>
      </c>
      <c r="E159" s="16">
        <v>45194</v>
      </c>
      <c r="F159" s="1" t="s">
        <v>312</v>
      </c>
      <c r="G159" s="16">
        <v>45188</v>
      </c>
      <c r="H159" s="1">
        <v>8224877706</v>
      </c>
      <c r="I159" s="16">
        <v>45188</v>
      </c>
      <c r="J159" s="1" t="s">
        <v>93</v>
      </c>
      <c r="K159" s="1">
        <v>30</v>
      </c>
      <c r="L159" s="1" t="s">
        <v>49</v>
      </c>
      <c r="M159" s="1" t="s">
        <v>136</v>
      </c>
      <c r="N159" s="1">
        <v>59039090</v>
      </c>
      <c r="O159" s="1">
        <v>10</v>
      </c>
      <c r="P159" s="1">
        <v>11</v>
      </c>
      <c r="Q159" s="1">
        <v>2.5</v>
      </c>
      <c r="R159" s="1" t="s">
        <v>51</v>
      </c>
      <c r="S159" s="1">
        <v>20</v>
      </c>
      <c r="T159" s="1">
        <v>1678.57</v>
      </c>
      <c r="U159" s="1" t="s">
        <v>104</v>
      </c>
      <c r="V159" s="1">
        <v>104.2664</v>
      </c>
      <c r="W159" s="1" t="s">
        <v>67</v>
      </c>
      <c r="X159" s="1" t="s">
        <v>40</v>
      </c>
      <c r="Y159" s="1">
        <v>175018.45</v>
      </c>
      <c r="Z159">
        <f t="shared" si="2"/>
        <v>175018.45104799999</v>
      </c>
    </row>
    <row r="160" spans="1:26" x14ac:dyDescent="0.25">
      <c r="A160" s="1">
        <v>157</v>
      </c>
      <c r="B160" s="1" t="s">
        <v>165</v>
      </c>
      <c r="C160" s="1" t="s">
        <v>305</v>
      </c>
      <c r="D160" s="1">
        <v>27467</v>
      </c>
      <c r="E160" s="16">
        <v>45194</v>
      </c>
      <c r="F160" s="1" t="s">
        <v>312</v>
      </c>
      <c r="G160" s="16">
        <v>45188</v>
      </c>
      <c r="H160" s="1">
        <v>8224877706</v>
      </c>
      <c r="I160" s="16">
        <v>45188</v>
      </c>
      <c r="J160" s="1" t="s">
        <v>93</v>
      </c>
      <c r="K160" s="1">
        <v>31</v>
      </c>
      <c r="L160" s="1" t="s">
        <v>49</v>
      </c>
      <c r="M160" s="1" t="s">
        <v>162</v>
      </c>
      <c r="N160" s="1">
        <v>52041900</v>
      </c>
      <c r="O160" s="1">
        <v>7.5</v>
      </c>
      <c r="P160" s="1">
        <v>11</v>
      </c>
      <c r="Q160" s="1">
        <v>2.5</v>
      </c>
      <c r="R160" s="1" t="s">
        <v>137</v>
      </c>
      <c r="S160" s="1">
        <v>12</v>
      </c>
      <c r="T160" s="1">
        <v>11078.54</v>
      </c>
      <c r="U160" s="1" t="s">
        <v>104</v>
      </c>
      <c r="V160" s="1">
        <v>104.2664</v>
      </c>
      <c r="W160" s="1" t="s">
        <v>67</v>
      </c>
      <c r="X160" s="1" t="s">
        <v>40</v>
      </c>
      <c r="Y160" s="1">
        <v>1155119.48</v>
      </c>
      <c r="Z160">
        <f t="shared" si="2"/>
        <v>1155119.4830560002</v>
      </c>
    </row>
    <row r="161" spans="1:26" x14ac:dyDescent="0.25">
      <c r="A161" s="1">
        <v>158</v>
      </c>
      <c r="B161" s="1" t="s">
        <v>165</v>
      </c>
      <c r="C161" s="1" t="s">
        <v>305</v>
      </c>
      <c r="D161" s="1">
        <v>27467</v>
      </c>
      <c r="E161" s="16">
        <v>45194</v>
      </c>
      <c r="F161" s="1" t="s">
        <v>312</v>
      </c>
      <c r="G161" s="16">
        <v>45188</v>
      </c>
      <c r="H161" s="1">
        <v>8224877706</v>
      </c>
      <c r="I161" s="16">
        <v>45188</v>
      </c>
      <c r="J161" s="1" t="s">
        <v>93</v>
      </c>
      <c r="K161" s="1">
        <v>32</v>
      </c>
      <c r="L161" s="1" t="s">
        <v>49</v>
      </c>
      <c r="M161" s="1" t="s">
        <v>159</v>
      </c>
      <c r="N161" s="1">
        <v>58071000</v>
      </c>
      <c r="O161" s="1">
        <v>10</v>
      </c>
      <c r="P161" s="1">
        <v>11</v>
      </c>
      <c r="Q161" s="1">
        <v>2.5</v>
      </c>
      <c r="R161" s="1" t="s">
        <v>44</v>
      </c>
      <c r="S161" s="1">
        <v>30</v>
      </c>
      <c r="T161" s="1">
        <v>50.36</v>
      </c>
      <c r="U161" s="1" t="s">
        <v>104</v>
      </c>
      <c r="V161" s="1">
        <v>104.2664</v>
      </c>
      <c r="W161" s="1" t="s">
        <v>67</v>
      </c>
      <c r="X161" s="1" t="s">
        <v>40</v>
      </c>
      <c r="Y161" s="1">
        <v>5250.86</v>
      </c>
      <c r="Z161">
        <f t="shared" si="2"/>
        <v>5250.855904</v>
      </c>
    </row>
    <row r="162" spans="1:26" x14ac:dyDescent="0.25">
      <c r="A162" s="1">
        <v>159</v>
      </c>
      <c r="B162" s="1" t="s">
        <v>165</v>
      </c>
      <c r="C162" s="1" t="s">
        <v>305</v>
      </c>
      <c r="D162" s="1">
        <v>27467</v>
      </c>
      <c r="E162" s="16">
        <v>45194</v>
      </c>
      <c r="F162" s="1" t="s">
        <v>312</v>
      </c>
      <c r="G162" s="16">
        <v>45188</v>
      </c>
      <c r="H162" s="1">
        <v>8224877706</v>
      </c>
      <c r="I162" s="16">
        <v>45188</v>
      </c>
      <c r="J162" s="1" t="s">
        <v>93</v>
      </c>
      <c r="K162" s="1">
        <v>33</v>
      </c>
      <c r="L162" s="1" t="s">
        <v>49</v>
      </c>
      <c r="M162" s="1" t="s">
        <v>308</v>
      </c>
      <c r="N162" s="1">
        <v>54076990</v>
      </c>
      <c r="O162" s="1">
        <v>20</v>
      </c>
      <c r="P162" s="1">
        <v>11</v>
      </c>
      <c r="Q162" s="1">
        <v>2.5</v>
      </c>
      <c r="R162" s="1" t="s">
        <v>44</v>
      </c>
      <c r="S162" s="1">
        <v>20</v>
      </c>
      <c r="T162" s="1">
        <v>100.71</v>
      </c>
      <c r="U162" s="1" t="s">
        <v>104</v>
      </c>
      <c r="V162" s="1">
        <v>104.2664</v>
      </c>
      <c r="W162" s="1" t="s">
        <v>67</v>
      </c>
      <c r="X162" s="1" t="s">
        <v>40</v>
      </c>
      <c r="Y162" s="1">
        <v>10500.67</v>
      </c>
      <c r="Z162">
        <f t="shared" si="2"/>
        <v>10500.669144</v>
      </c>
    </row>
    <row r="163" spans="1:26" x14ac:dyDescent="0.25">
      <c r="A163" s="1">
        <v>160</v>
      </c>
      <c r="B163" s="1" t="s">
        <v>165</v>
      </c>
      <c r="C163" s="1" t="s">
        <v>305</v>
      </c>
      <c r="D163" s="1">
        <v>27467</v>
      </c>
      <c r="E163" s="16">
        <v>45194</v>
      </c>
      <c r="F163" s="1" t="s">
        <v>312</v>
      </c>
      <c r="G163" s="16">
        <v>45188</v>
      </c>
      <c r="H163" s="1">
        <v>8224877706</v>
      </c>
      <c r="I163" s="16">
        <v>45188</v>
      </c>
      <c r="J163" s="1" t="s">
        <v>93</v>
      </c>
      <c r="K163" s="1">
        <v>34</v>
      </c>
      <c r="L163" s="1" t="s">
        <v>49</v>
      </c>
      <c r="M163" s="1" t="s">
        <v>308</v>
      </c>
      <c r="N163" s="1">
        <v>54076990</v>
      </c>
      <c r="O163" s="1">
        <v>20</v>
      </c>
      <c r="P163" s="1">
        <v>11</v>
      </c>
      <c r="Q163" s="1">
        <v>2.5</v>
      </c>
      <c r="R163" s="1" t="s">
        <v>44</v>
      </c>
      <c r="S163" s="1">
        <v>20</v>
      </c>
      <c r="T163" s="1">
        <v>100.71</v>
      </c>
      <c r="U163" s="1" t="s">
        <v>104</v>
      </c>
      <c r="V163" s="1">
        <v>104.2664</v>
      </c>
      <c r="W163" s="1" t="s">
        <v>67</v>
      </c>
      <c r="X163" s="1" t="s">
        <v>40</v>
      </c>
      <c r="Y163" s="1">
        <v>10500.67</v>
      </c>
      <c r="Z163">
        <f t="shared" si="2"/>
        <v>10500.669144</v>
      </c>
    </row>
    <row r="164" spans="1:26" x14ac:dyDescent="0.25">
      <c r="A164" s="1">
        <v>161</v>
      </c>
      <c r="B164" s="1" t="s">
        <v>165</v>
      </c>
      <c r="C164" s="1" t="s">
        <v>305</v>
      </c>
      <c r="D164" s="1">
        <v>27467</v>
      </c>
      <c r="E164" s="16">
        <v>45194</v>
      </c>
      <c r="F164" s="1" t="s">
        <v>312</v>
      </c>
      <c r="G164" s="16">
        <v>45188</v>
      </c>
      <c r="H164" s="1">
        <v>8224877706</v>
      </c>
      <c r="I164" s="16">
        <v>45188</v>
      </c>
      <c r="J164" s="1" t="s">
        <v>93</v>
      </c>
      <c r="K164" s="1">
        <v>1</v>
      </c>
      <c r="L164" s="1" t="s">
        <v>49</v>
      </c>
      <c r="M164" s="1" t="s">
        <v>150</v>
      </c>
      <c r="N164" s="1">
        <v>58071000</v>
      </c>
      <c r="O164" s="1">
        <v>10</v>
      </c>
      <c r="P164" s="1">
        <v>11</v>
      </c>
      <c r="Q164" s="1">
        <v>2.5</v>
      </c>
      <c r="R164" s="1" t="s">
        <v>44</v>
      </c>
      <c r="S164" s="1">
        <v>10</v>
      </c>
      <c r="T164" s="1">
        <v>100.71</v>
      </c>
      <c r="U164" s="1" t="s">
        <v>104</v>
      </c>
      <c r="V164" s="1">
        <v>104.2664</v>
      </c>
      <c r="W164" s="1" t="s">
        <v>67</v>
      </c>
      <c r="X164" s="1" t="s">
        <v>40</v>
      </c>
      <c r="Y164" s="1">
        <v>10500.67</v>
      </c>
      <c r="Z164">
        <f t="shared" si="2"/>
        <v>10500.669144</v>
      </c>
    </row>
    <row r="165" spans="1:26" x14ac:dyDescent="0.25">
      <c r="A165" s="1">
        <v>162</v>
      </c>
      <c r="B165" s="1" t="s">
        <v>165</v>
      </c>
      <c r="C165" s="1" t="s">
        <v>305</v>
      </c>
      <c r="D165" s="1">
        <v>27467</v>
      </c>
      <c r="E165" s="16">
        <v>45194</v>
      </c>
      <c r="F165" s="1" t="s">
        <v>312</v>
      </c>
      <c r="G165" s="16">
        <v>45188</v>
      </c>
      <c r="H165" s="1">
        <v>8224877706</v>
      </c>
      <c r="I165" s="16">
        <v>45188</v>
      </c>
      <c r="J165" s="1" t="s">
        <v>93</v>
      </c>
      <c r="K165" s="1">
        <v>2</v>
      </c>
      <c r="L165" s="1" t="s">
        <v>49</v>
      </c>
      <c r="M165" s="1" t="s">
        <v>150</v>
      </c>
      <c r="N165" s="1">
        <v>58071000</v>
      </c>
      <c r="O165" s="1">
        <v>10</v>
      </c>
      <c r="P165" s="1">
        <v>11</v>
      </c>
      <c r="Q165" s="1">
        <v>2.5</v>
      </c>
      <c r="R165" s="1" t="s">
        <v>44</v>
      </c>
      <c r="S165" s="1">
        <v>10</v>
      </c>
      <c r="T165" s="1">
        <v>100.71</v>
      </c>
      <c r="U165" s="1" t="s">
        <v>104</v>
      </c>
      <c r="V165" s="1">
        <v>104.2664</v>
      </c>
      <c r="W165" s="1" t="s">
        <v>67</v>
      </c>
      <c r="X165" s="1" t="s">
        <v>40</v>
      </c>
      <c r="Y165" s="1">
        <v>10500.67</v>
      </c>
      <c r="Z165">
        <f t="shared" si="2"/>
        <v>10500.669144</v>
      </c>
    </row>
    <row r="166" spans="1:26" x14ac:dyDescent="0.25">
      <c r="A166" s="1">
        <v>163</v>
      </c>
      <c r="B166" s="1" t="s">
        <v>165</v>
      </c>
      <c r="C166" s="1" t="s">
        <v>305</v>
      </c>
      <c r="D166" s="1">
        <v>27467</v>
      </c>
      <c r="E166" s="16">
        <v>45194</v>
      </c>
      <c r="F166" s="1" t="s">
        <v>312</v>
      </c>
      <c r="G166" s="16">
        <v>45188</v>
      </c>
      <c r="H166" s="1">
        <v>8224877706</v>
      </c>
      <c r="I166" s="16">
        <v>45188</v>
      </c>
      <c r="J166" s="1" t="s">
        <v>93</v>
      </c>
      <c r="K166" s="1">
        <v>3</v>
      </c>
      <c r="L166" s="1" t="s">
        <v>49</v>
      </c>
      <c r="M166" s="1" t="s">
        <v>150</v>
      </c>
      <c r="N166" s="1">
        <v>58071000</v>
      </c>
      <c r="O166" s="1">
        <v>10</v>
      </c>
      <c r="P166" s="1">
        <v>11</v>
      </c>
      <c r="Q166" s="1">
        <v>2.5</v>
      </c>
      <c r="R166" s="1" t="s">
        <v>44</v>
      </c>
      <c r="S166" s="1">
        <v>10</v>
      </c>
      <c r="T166" s="1">
        <v>260.17</v>
      </c>
      <c r="U166" s="1" t="s">
        <v>104</v>
      </c>
      <c r="V166" s="1">
        <v>104.2664</v>
      </c>
      <c r="W166" s="1" t="s">
        <v>67</v>
      </c>
      <c r="X166" s="1" t="s">
        <v>40</v>
      </c>
      <c r="Y166" s="1">
        <v>27126.99</v>
      </c>
      <c r="Z166">
        <f t="shared" si="2"/>
        <v>27126.989288000004</v>
      </c>
    </row>
    <row r="167" spans="1:26" x14ac:dyDescent="0.25">
      <c r="A167" s="1">
        <v>164</v>
      </c>
      <c r="B167" s="1" t="s">
        <v>165</v>
      </c>
      <c r="C167" s="1" t="s">
        <v>305</v>
      </c>
      <c r="D167" s="1">
        <v>27467</v>
      </c>
      <c r="E167" s="16">
        <v>45194</v>
      </c>
      <c r="F167" s="1" t="s">
        <v>312</v>
      </c>
      <c r="G167" s="16">
        <v>45188</v>
      </c>
      <c r="H167" s="1">
        <v>8224877706</v>
      </c>
      <c r="I167" s="16">
        <v>45188</v>
      </c>
      <c r="J167" s="1" t="s">
        <v>93</v>
      </c>
      <c r="K167" s="1">
        <v>4</v>
      </c>
      <c r="L167" s="1" t="s">
        <v>49</v>
      </c>
      <c r="M167" s="1" t="s">
        <v>150</v>
      </c>
      <c r="N167" s="1">
        <v>58071000</v>
      </c>
      <c r="O167" s="1">
        <v>10</v>
      </c>
      <c r="P167" s="1">
        <v>11</v>
      </c>
      <c r="Q167" s="1">
        <v>2.5</v>
      </c>
      <c r="R167" s="1" t="s">
        <v>44</v>
      </c>
      <c r="S167" s="1">
        <v>10</v>
      </c>
      <c r="T167" s="1">
        <v>260.17</v>
      </c>
      <c r="U167" s="1" t="s">
        <v>104</v>
      </c>
      <c r="V167" s="1">
        <v>104.2664</v>
      </c>
      <c r="W167" s="1" t="s">
        <v>67</v>
      </c>
      <c r="X167" s="1" t="s">
        <v>40</v>
      </c>
      <c r="Y167" s="1">
        <v>27126.99</v>
      </c>
      <c r="Z167">
        <f t="shared" si="2"/>
        <v>27126.989288000004</v>
      </c>
    </row>
    <row r="168" spans="1:26" x14ac:dyDescent="0.25">
      <c r="A168" s="1">
        <v>165</v>
      </c>
      <c r="B168" s="1" t="s">
        <v>165</v>
      </c>
      <c r="C168" s="1" t="s">
        <v>305</v>
      </c>
      <c r="D168" s="1">
        <v>27467</v>
      </c>
      <c r="E168" s="16">
        <v>45194</v>
      </c>
      <c r="F168" s="1" t="s">
        <v>312</v>
      </c>
      <c r="G168" s="16">
        <v>45188</v>
      </c>
      <c r="H168" s="1">
        <v>8224877706</v>
      </c>
      <c r="I168" s="16">
        <v>45188</v>
      </c>
      <c r="J168" s="1" t="s">
        <v>93</v>
      </c>
      <c r="K168" s="1">
        <v>5</v>
      </c>
      <c r="L168" s="1" t="s">
        <v>49</v>
      </c>
      <c r="M168" s="1" t="s">
        <v>309</v>
      </c>
      <c r="N168" s="1">
        <v>54076990</v>
      </c>
      <c r="O168" s="1">
        <v>20</v>
      </c>
      <c r="P168" s="1">
        <v>11</v>
      </c>
      <c r="Q168" s="1">
        <v>2.5</v>
      </c>
      <c r="R168" s="1" t="s">
        <v>51</v>
      </c>
      <c r="S168" s="1">
        <v>5</v>
      </c>
      <c r="T168" s="1">
        <v>3021.42</v>
      </c>
      <c r="U168" s="1" t="s">
        <v>104</v>
      </c>
      <c r="V168" s="1">
        <v>104.2664</v>
      </c>
      <c r="W168" s="1" t="s">
        <v>67</v>
      </c>
      <c r="X168" s="1" t="s">
        <v>40</v>
      </c>
      <c r="Y168" s="1">
        <v>315032.59000000003</v>
      </c>
      <c r="Z168">
        <f t="shared" si="2"/>
        <v>315032.58628800005</v>
      </c>
    </row>
    <row r="169" spans="1:26" x14ac:dyDescent="0.25">
      <c r="A169" s="1">
        <v>166</v>
      </c>
      <c r="B169" s="1" t="s">
        <v>165</v>
      </c>
      <c r="C169" s="1" t="s">
        <v>305</v>
      </c>
      <c r="D169" s="1">
        <v>27467</v>
      </c>
      <c r="E169" s="16">
        <v>45194</v>
      </c>
      <c r="F169" s="1" t="s">
        <v>312</v>
      </c>
      <c r="G169" s="16">
        <v>45188</v>
      </c>
      <c r="H169" s="1">
        <v>8224877706</v>
      </c>
      <c r="I169" s="16">
        <v>45188</v>
      </c>
      <c r="J169" s="1" t="s">
        <v>93</v>
      </c>
      <c r="K169" s="1">
        <v>6</v>
      </c>
      <c r="L169" s="1" t="s">
        <v>49</v>
      </c>
      <c r="M169" s="1" t="s">
        <v>150</v>
      </c>
      <c r="N169" s="1">
        <v>58071000</v>
      </c>
      <c r="O169" s="1">
        <v>10</v>
      </c>
      <c r="P169" s="1">
        <v>11</v>
      </c>
      <c r="Q169" s="1">
        <v>2.5</v>
      </c>
      <c r="R169" s="1" t="s">
        <v>44</v>
      </c>
      <c r="S169" s="1">
        <v>20</v>
      </c>
      <c r="T169" s="1">
        <v>201.43</v>
      </c>
      <c r="U169" s="1" t="s">
        <v>104</v>
      </c>
      <c r="V169" s="1">
        <v>104.2664</v>
      </c>
      <c r="W169" s="1" t="s">
        <v>67</v>
      </c>
      <c r="X169" s="1" t="s">
        <v>40</v>
      </c>
      <c r="Y169" s="1">
        <v>21002.38</v>
      </c>
      <c r="Z169">
        <f t="shared" si="2"/>
        <v>21002.380952000003</v>
      </c>
    </row>
    <row r="170" spans="1:26" x14ac:dyDescent="0.25">
      <c r="A170" s="1">
        <v>167</v>
      </c>
      <c r="B170" s="1" t="s">
        <v>165</v>
      </c>
      <c r="C170" s="1" t="s">
        <v>305</v>
      </c>
      <c r="D170" s="1">
        <v>27467</v>
      </c>
      <c r="E170" s="16">
        <v>45194</v>
      </c>
      <c r="F170" s="1" t="s">
        <v>312</v>
      </c>
      <c r="G170" s="16">
        <v>45188</v>
      </c>
      <c r="H170" s="1">
        <v>8224877706</v>
      </c>
      <c r="I170" s="16">
        <v>45188</v>
      </c>
      <c r="J170" s="1" t="s">
        <v>93</v>
      </c>
      <c r="K170" s="1">
        <v>7</v>
      </c>
      <c r="L170" s="1" t="s">
        <v>49</v>
      </c>
      <c r="M170" s="1" t="s">
        <v>150</v>
      </c>
      <c r="N170" s="1">
        <v>58071000</v>
      </c>
      <c r="O170" s="1">
        <v>10</v>
      </c>
      <c r="P170" s="1">
        <v>11</v>
      </c>
      <c r="Q170" s="1">
        <v>2.5</v>
      </c>
      <c r="R170" s="1" t="s">
        <v>44</v>
      </c>
      <c r="S170" s="1">
        <v>10</v>
      </c>
      <c r="T170" s="1">
        <v>67.14</v>
      </c>
      <c r="U170" s="1" t="s">
        <v>104</v>
      </c>
      <c r="V170" s="1">
        <v>104.2664</v>
      </c>
      <c r="W170" s="1" t="s">
        <v>67</v>
      </c>
      <c r="X170" s="1" t="s">
        <v>40</v>
      </c>
      <c r="Y170" s="1">
        <v>7000.45</v>
      </c>
      <c r="Z170">
        <f t="shared" si="2"/>
        <v>7000.4460960000006</v>
      </c>
    </row>
    <row r="171" spans="1:26" x14ac:dyDescent="0.25">
      <c r="A171" s="1">
        <v>168</v>
      </c>
      <c r="B171" s="1" t="s">
        <v>165</v>
      </c>
      <c r="C171" s="1" t="s">
        <v>305</v>
      </c>
      <c r="D171" s="1">
        <v>27467</v>
      </c>
      <c r="E171" s="16">
        <v>45194</v>
      </c>
      <c r="F171" s="1" t="s">
        <v>312</v>
      </c>
      <c r="G171" s="16">
        <v>45188</v>
      </c>
      <c r="H171" s="1">
        <v>8224877706</v>
      </c>
      <c r="I171" s="16">
        <v>45188</v>
      </c>
      <c r="J171" s="1" t="s">
        <v>93</v>
      </c>
      <c r="K171" s="1">
        <v>8</v>
      </c>
      <c r="L171" s="1" t="s">
        <v>49</v>
      </c>
      <c r="M171" s="1" t="s">
        <v>152</v>
      </c>
      <c r="N171" s="1">
        <v>96071900</v>
      </c>
      <c r="O171" s="1">
        <v>15</v>
      </c>
      <c r="P171" s="1">
        <v>11</v>
      </c>
      <c r="Q171" s="1">
        <v>2.5</v>
      </c>
      <c r="R171" s="1" t="s">
        <v>44</v>
      </c>
      <c r="S171" s="1">
        <v>40</v>
      </c>
      <c r="T171" s="1">
        <v>1577.85</v>
      </c>
      <c r="U171" s="1" t="s">
        <v>104</v>
      </c>
      <c r="V171" s="1">
        <v>104.2664</v>
      </c>
      <c r="W171" s="1" t="s">
        <v>67</v>
      </c>
      <c r="X171" s="1" t="s">
        <v>40</v>
      </c>
      <c r="Y171" s="1">
        <v>164516.74</v>
      </c>
      <c r="Z171">
        <f t="shared" si="2"/>
        <v>164516.73924</v>
      </c>
    </row>
    <row r="172" spans="1:26" x14ac:dyDescent="0.25">
      <c r="A172" s="1">
        <v>169</v>
      </c>
      <c r="B172" s="1" t="s">
        <v>165</v>
      </c>
      <c r="C172" s="1" t="s">
        <v>305</v>
      </c>
      <c r="D172" s="1">
        <v>27467</v>
      </c>
      <c r="E172" s="16">
        <v>45194</v>
      </c>
      <c r="F172" s="1" t="s">
        <v>312</v>
      </c>
      <c r="G172" s="16">
        <v>45188</v>
      </c>
      <c r="H172" s="1">
        <v>8224877706</v>
      </c>
      <c r="I172" s="16">
        <v>45188</v>
      </c>
      <c r="J172" s="1" t="s">
        <v>93</v>
      </c>
      <c r="K172" s="1">
        <v>9</v>
      </c>
      <c r="L172" s="1" t="s">
        <v>49</v>
      </c>
      <c r="M172" s="1" t="s">
        <v>152</v>
      </c>
      <c r="N172" s="1">
        <v>96071900</v>
      </c>
      <c r="O172" s="1">
        <v>15</v>
      </c>
      <c r="P172" s="1">
        <v>11</v>
      </c>
      <c r="Q172" s="1">
        <v>2.5</v>
      </c>
      <c r="R172" s="1" t="s">
        <v>44</v>
      </c>
      <c r="S172" s="1">
        <v>6</v>
      </c>
      <c r="T172" s="1">
        <v>1000.43</v>
      </c>
      <c r="U172" s="1" t="s">
        <v>104</v>
      </c>
      <c r="V172" s="1">
        <v>104.2664</v>
      </c>
      <c r="W172" s="1" t="s">
        <v>67</v>
      </c>
      <c r="X172" s="1" t="s">
        <v>40</v>
      </c>
      <c r="Y172" s="1">
        <v>104311.23</v>
      </c>
      <c r="Z172">
        <f t="shared" si="2"/>
        <v>104311.23455199999</v>
      </c>
    </row>
    <row r="173" spans="1:26" x14ac:dyDescent="0.25">
      <c r="A173" s="1">
        <v>170</v>
      </c>
      <c r="B173" s="1" t="s">
        <v>165</v>
      </c>
      <c r="C173" s="1" t="s">
        <v>305</v>
      </c>
      <c r="D173" s="1">
        <v>27467</v>
      </c>
      <c r="E173" s="16">
        <v>45194</v>
      </c>
      <c r="F173" s="1" t="s">
        <v>312</v>
      </c>
      <c r="G173" s="16">
        <v>45188</v>
      </c>
      <c r="H173" s="1">
        <v>8224877706</v>
      </c>
      <c r="I173" s="16">
        <v>45188</v>
      </c>
      <c r="J173" s="1" t="s">
        <v>93</v>
      </c>
      <c r="K173" s="1">
        <v>10</v>
      </c>
      <c r="L173" s="1" t="s">
        <v>49</v>
      </c>
      <c r="M173" s="1" t="s">
        <v>152</v>
      </c>
      <c r="N173" s="1">
        <v>96071900</v>
      </c>
      <c r="O173" s="1">
        <v>15</v>
      </c>
      <c r="P173" s="1">
        <v>11</v>
      </c>
      <c r="Q173" s="1">
        <v>2.5</v>
      </c>
      <c r="R173" s="1" t="s">
        <v>44</v>
      </c>
      <c r="S173" s="1">
        <v>6</v>
      </c>
      <c r="T173" s="1">
        <v>1000.43</v>
      </c>
      <c r="U173" s="1" t="s">
        <v>104</v>
      </c>
      <c r="V173" s="1">
        <v>104.2664</v>
      </c>
      <c r="W173" s="1" t="s">
        <v>67</v>
      </c>
      <c r="X173" s="1" t="s">
        <v>40</v>
      </c>
      <c r="Y173" s="1">
        <v>104311.23</v>
      </c>
      <c r="Z173">
        <f t="shared" si="2"/>
        <v>104311.23455199999</v>
      </c>
    </row>
    <row r="174" spans="1:26" x14ac:dyDescent="0.25">
      <c r="A174" s="1">
        <v>171</v>
      </c>
      <c r="B174" s="1" t="s">
        <v>165</v>
      </c>
      <c r="C174" s="1" t="s">
        <v>305</v>
      </c>
      <c r="D174" s="1">
        <v>27467</v>
      </c>
      <c r="E174" s="16">
        <v>45194</v>
      </c>
      <c r="F174" s="1" t="s">
        <v>312</v>
      </c>
      <c r="G174" s="16">
        <v>45188</v>
      </c>
      <c r="H174" s="1">
        <v>8224877706</v>
      </c>
      <c r="I174" s="16">
        <v>45188</v>
      </c>
      <c r="J174" s="1" t="s">
        <v>93</v>
      </c>
      <c r="K174" s="1">
        <v>11</v>
      </c>
      <c r="L174" s="1" t="s">
        <v>49</v>
      </c>
      <c r="M174" s="1" t="s">
        <v>152</v>
      </c>
      <c r="N174" s="1">
        <v>96071900</v>
      </c>
      <c r="O174" s="1">
        <v>15</v>
      </c>
      <c r="P174" s="1">
        <v>11</v>
      </c>
      <c r="Q174" s="1">
        <v>2.5</v>
      </c>
      <c r="R174" s="1" t="s">
        <v>44</v>
      </c>
      <c r="S174" s="1">
        <v>30</v>
      </c>
      <c r="T174" s="1">
        <v>2073.0300000000002</v>
      </c>
      <c r="U174" s="1" t="s">
        <v>104</v>
      </c>
      <c r="V174" s="1">
        <v>104.2664</v>
      </c>
      <c r="W174" s="1" t="s">
        <v>67</v>
      </c>
      <c r="X174" s="1" t="s">
        <v>40</v>
      </c>
      <c r="Y174" s="1">
        <v>216147.38</v>
      </c>
      <c r="Z174">
        <f t="shared" si="2"/>
        <v>216147.37519200004</v>
      </c>
    </row>
    <row r="175" spans="1:26" x14ac:dyDescent="0.25">
      <c r="A175" s="1">
        <v>172</v>
      </c>
      <c r="B175" s="1" t="s">
        <v>165</v>
      </c>
      <c r="C175" s="1" t="s">
        <v>305</v>
      </c>
      <c r="D175" s="1">
        <v>27467</v>
      </c>
      <c r="E175" s="16">
        <v>45194</v>
      </c>
      <c r="F175" s="1" t="s">
        <v>312</v>
      </c>
      <c r="G175" s="16">
        <v>45188</v>
      </c>
      <c r="H175" s="1">
        <v>8224877706</v>
      </c>
      <c r="I175" s="16">
        <v>45188</v>
      </c>
      <c r="J175" s="1" t="s">
        <v>93</v>
      </c>
      <c r="K175" s="1">
        <v>12</v>
      </c>
      <c r="L175" s="1" t="s">
        <v>49</v>
      </c>
      <c r="M175" s="1" t="s">
        <v>152</v>
      </c>
      <c r="N175" s="1">
        <v>96071900</v>
      </c>
      <c r="O175" s="1">
        <v>15</v>
      </c>
      <c r="P175" s="1">
        <v>11</v>
      </c>
      <c r="Q175" s="1">
        <v>2.5</v>
      </c>
      <c r="R175" s="1" t="s">
        <v>44</v>
      </c>
      <c r="S175" s="1">
        <v>30</v>
      </c>
      <c r="T175" s="1">
        <v>2073.0300000000002</v>
      </c>
      <c r="U175" s="1" t="s">
        <v>104</v>
      </c>
      <c r="V175" s="1">
        <v>104.2664</v>
      </c>
      <c r="W175" s="1" t="s">
        <v>67</v>
      </c>
      <c r="X175" s="1" t="s">
        <v>40</v>
      </c>
      <c r="Y175" s="1">
        <v>216147.38</v>
      </c>
      <c r="Z175">
        <f t="shared" si="2"/>
        <v>216147.37519200004</v>
      </c>
    </row>
    <row r="176" spans="1:26" x14ac:dyDescent="0.25">
      <c r="A176" s="1">
        <v>173</v>
      </c>
      <c r="B176" s="1" t="s">
        <v>165</v>
      </c>
      <c r="C176" s="1" t="s">
        <v>305</v>
      </c>
      <c r="D176" s="1">
        <v>27467</v>
      </c>
      <c r="E176" s="16">
        <v>45194</v>
      </c>
      <c r="F176" s="1" t="s">
        <v>312</v>
      </c>
      <c r="G176" s="16">
        <v>45188</v>
      </c>
      <c r="H176" s="1">
        <v>8224877706</v>
      </c>
      <c r="I176" s="16">
        <v>45188</v>
      </c>
      <c r="J176" s="1" t="s">
        <v>93</v>
      </c>
      <c r="K176" s="1">
        <v>13</v>
      </c>
      <c r="L176" s="1" t="s">
        <v>49</v>
      </c>
      <c r="M176" s="1" t="s">
        <v>150</v>
      </c>
      <c r="N176" s="1">
        <v>58071000</v>
      </c>
      <c r="O176" s="1">
        <v>10</v>
      </c>
      <c r="P176" s="1">
        <v>11</v>
      </c>
      <c r="Q176" s="1">
        <v>2.5</v>
      </c>
      <c r="R176" s="1" t="s">
        <v>44</v>
      </c>
      <c r="S176" s="1">
        <v>10</v>
      </c>
      <c r="T176" s="1">
        <v>80.569999999999993</v>
      </c>
      <c r="U176" s="1" t="s">
        <v>104</v>
      </c>
      <c r="V176" s="1">
        <v>104.2664</v>
      </c>
      <c r="W176" s="1" t="s">
        <v>67</v>
      </c>
      <c r="X176" s="1" t="s">
        <v>40</v>
      </c>
      <c r="Y176" s="1">
        <v>8400.74</v>
      </c>
      <c r="Z176">
        <f t="shared" si="2"/>
        <v>8400.7438480000001</v>
      </c>
    </row>
    <row r="177" spans="1:26" x14ac:dyDescent="0.25">
      <c r="A177" s="1">
        <v>174</v>
      </c>
      <c r="B177" s="1" t="s">
        <v>165</v>
      </c>
      <c r="C177" s="1" t="s">
        <v>305</v>
      </c>
      <c r="D177" s="1">
        <v>27467</v>
      </c>
      <c r="E177" s="16">
        <v>45194</v>
      </c>
      <c r="F177" s="1" t="s">
        <v>312</v>
      </c>
      <c r="G177" s="16">
        <v>45188</v>
      </c>
      <c r="H177" s="1">
        <v>8224877706</v>
      </c>
      <c r="I177" s="16">
        <v>45188</v>
      </c>
      <c r="J177" s="1" t="s">
        <v>93</v>
      </c>
      <c r="K177" s="1">
        <v>14</v>
      </c>
      <c r="L177" s="1" t="s">
        <v>49</v>
      </c>
      <c r="M177" s="1" t="s">
        <v>150</v>
      </c>
      <c r="N177" s="1">
        <v>58071000</v>
      </c>
      <c r="O177" s="1">
        <v>10</v>
      </c>
      <c r="P177" s="1">
        <v>11</v>
      </c>
      <c r="Q177" s="1">
        <v>2.5</v>
      </c>
      <c r="R177" s="1" t="s">
        <v>44</v>
      </c>
      <c r="S177" s="1">
        <v>30</v>
      </c>
      <c r="T177" s="1">
        <v>428.03</v>
      </c>
      <c r="U177" s="1" t="s">
        <v>104</v>
      </c>
      <c r="V177" s="1">
        <v>104.2664</v>
      </c>
      <c r="W177" s="1" t="s">
        <v>67</v>
      </c>
      <c r="X177" s="1" t="s">
        <v>40</v>
      </c>
      <c r="Y177" s="1">
        <v>44629.15</v>
      </c>
      <c r="Z177">
        <f t="shared" si="2"/>
        <v>44629.147191999997</v>
      </c>
    </row>
    <row r="178" spans="1:26" x14ac:dyDescent="0.25">
      <c r="A178" s="1">
        <v>175</v>
      </c>
      <c r="B178" s="1" t="s">
        <v>165</v>
      </c>
      <c r="C178" s="1" t="s">
        <v>305</v>
      </c>
      <c r="D178" s="1">
        <v>27467</v>
      </c>
      <c r="E178" s="16">
        <v>45194</v>
      </c>
      <c r="F178" s="1" t="s">
        <v>312</v>
      </c>
      <c r="G178" s="16">
        <v>45188</v>
      </c>
      <c r="H178" s="1">
        <v>8224877706</v>
      </c>
      <c r="I178" s="16">
        <v>45188</v>
      </c>
      <c r="J178" s="1" t="s">
        <v>93</v>
      </c>
      <c r="K178" s="1">
        <v>15</v>
      </c>
      <c r="L178" s="1" t="s">
        <v>49</v>
      </c>
      <c r="M178" s="1" t="s">
        <v>150</v>
      </c>
      <c r="N178" s="1">
        <v>58071000</v>
      </c>
      <c r="O178" s="1">
        <v>10</v>
      </c>
      <c r="P178" s="1">
        <v>11</v>
      </c>
      <c r="Q178" s="1">
        <v>2.5</v>
      </c>
      <c r="R178" s="1" t="s">
        <v>44</v>
      </c>
      <c r="S178" s="1">
        <v>20</v>
      </c>
      <c r="T178" s="1">
        <v>201.43</v>
      </c>
      <c r="U178" s="1" t="s">
        <v>104</v>
      </c>
      <c r="V178" s="1">
        <v>104.2664</v>
      </c>
      <c r="W178" s="1" t="s">
        <v>67</v>
      </c>
      <c r="X178" s="1" t="s">
        <v>40</v>
      </c>
      <c r="Y178" s="1">
        <v>21002.38</v>
      </c>
      <c r="Z178">
        <f t="shared" si="2"/>
        <v>21002.380952000003</v>
      </c>
    </row>
    <row r="179" spans="1:26" x14ac:dyDescent="0.25">
      <c r="A179" s="1">
        <v>176</v>
      </c>
      <c r="B179" s="1" t="s">
        <v>165</v>
      </c>
      <c r="C179" s="1" t="s">
        <v>305</v>
      </c>
      <c r="D179" s="1">
        <v>27467</v>
      </c>
      <c r="E179" s="16">
        <v>45194</v>
      </c>
      <c r="F179" s="1" t="s">
        <v>312</v>
      </c>
      <c r="G179" s="16">
        <v>45188</v>
      </c>
      <c r="H179" s="1">
        <v>8224877706</v>
      </c>
      <c r="I179" s="16">
        <v>45188</v>
      </c>
      <c r="J179" s="1" t="s">
        <v>93</v>
      </c>
      <c r="K179" s="1">
        <v>16</v>
      </c>
      <c r="L179" s="1" t="s">
        <v>49</v>
      </c>
      <c r="M179" s="1" t="s">
        <v>310</v>
      </c>
      <c r="N179" s="1">
        <v>60069000</v>
      </c>
      <c r="O179" s="1">
        <v>15</v>
      </c>
      <c r="P179" s="1">
        <v>11</v>
      </c>
      <c r="Q179" s="1">
        <v>2.5</v>
      </c>
      <c r="R179" s="1" t="s">
        <v>51</v>
      </c>
      <c r="S179" s="1">
        <v>2</v>
      </c>
      <c r="T179" s="1">
        <v>839.29</v>
      </c>
      <c r="U179" s="1" t="s">
        <v>104</v>
      </c>
      <c r="V179" s="1">
        <v>104.2664</v>
      </c>
      <c r="W179" s="1" t="s">
        <v>67</v>
      </c>
      <c r="X179" s="1" t="s">
        <v>40</v>
      </c>
      <c r="Y179" s="1">
        <v>87509.75</v>
      </c>
      <c r="Z179">
        <f t="shared" si="2"/>
        <v>87509.746855999998</v>
      </c>
    </row>
    <row r="180" spans="1:26" x14ac:dyDescent="0.25">
      <c r="A180" s="1">
        <v>177</v>
      </c>
      <c r="B180" s="1" t="s">
        <v>165</v>
      </c>
      <c r="C180" s="1" t="s">
        <v>305</v>
      </c>
      <c r="D180" s="1">
        <v>27467</v>
      </c>
      <c r="E180" s="16">
        <v>45194</v>
      </c>
      <c r="F180" s="1" t="s">
        <v>312</v>
      </c>
      <c r="G180" s="16">
        <v>45188</v>
      </c>
      <c r="H180" s="1">
        <v>8224877706</v>
      </c>
      <c r="I180" s="16">
        <v>45188</v>
      </c>
      <c r="J180" s="1" t="s">
        <v>93</v>
      </c>
      <c r="K180" s="1">
        <v>17</v>
      </c>
      <c r="L180" s="1" t="s">
        <v>49</v>
      </c>
      <c r="M180" s="1" t="s">
        <v>134</v>
      </c>
      <c r="N180" s="1">
        <v>52041900</v>
      </c>
      <c r="O180" s="1">
        <v>7.5</v>
      </c>
      <c r="P180" s="1">
        <v>11</v>
      </c>
      <c r="Q180" s="1">
        <v>2.5</v>
      </c>
      <c r="R180" s="1" t="s">
        <v>137</v>
      </c>
      <c r="S180" s="1">
        <v>12</v>
      </c>
      <c r="T180" s="1">
        <v>12287.11</v>
      </c>
      <c r="U180" s="1" t="s">
        <v>104</v>
      </c>
      <c r="V180" s="1">
        <v>104.2664</v>
      </c>
      <c r="W180" s="1" t="s">
        <v>67</v>
      </c>
      <c r="X180" s="1" t="s">
        <v>40</v>
      </c>
      <c r="Y180" s="1">
        <v>1281132.73</v>
      </c>
      <c r="Z180">
        <f t="shared" si="2"/>
        <v>1281132.7261040001</v>
      </c>
    </row>
    <row r="181" spans="1:26" x14ac:dyDescent="0.25">
      <c r="A181" s="1">
        <v>178</v>
      </c>
      <c r="B181" s="1" t="s">
        <v>165</v>
      </c>
      <c r="C181" s="1" t="s">
        <v>305</v>
      </c>
      <c r="D181" s="1">
        <v>27467</v>
      </c>
      <c r="E181" s="16">
        <v>45194</v>
      </c>
      <c r="F181" s="1" t="s">
        <v>312</v>
      </c>
      <c r="G181" s="16">
        <v>45188</v>
      </c>
      <c r="H181" s="1">
        <v>8224877706</v>
      </c>
      <c r="I181" s="16">
        <v>45188</v>
      </c>
      <c r="J181" s="1" t="s">
        <v>93</v>
      </c>
      <c r="K181" s="1">
        <v>18</v>
      </c>
      <c r="L181" s="1" t="s">
        <v>49</v>
      </c>
      <c r="M181" s="1" t="s">
        <v>264</v>
      </c>
      <c r="N181" s="1">
        <v>96061090</v>
      </c>
      <c r="O181" s="1">
        <v>10</v>
      </c>
      <c r="P181" s="1">
        <v>11</v>
      </c>
      <c r="Q181" s="1">
        <v>2.5</v>
      </c>
      <c r="R181" s="1" t="s">
        <v>44</v>
      </c>
      <c r="S181" s="1">
        <v>60</v>
      </c>
      <c r="T181" s="1">
        <v>755.36</v>
      </c>
      <c r="U181" s="1" t="s">
        <v>104</v>
      </c>
      <c r="V181" s="1">
        <v>104.2664</v>
      </c>
      <c r="W181" s="1" t="s">
        <v>67</v>
      </c>
      <c r="X181" s="1" t="s">
        <v>40</v>
      </c>
      <c r="Y181" s="1">
        <v>78758.67</v>
      </c>
      <c r="Z181">
        <f t="shared" si="2"/>
        <v>78758.667904000002</v>
      </c>
    </row>
    <row r="182" spans="1:26" x14ac:dyDescent="0.25">
      <c r="A182" s="1">
        <v>179</v>
      </c>
      <c r="B182" s="1" t="s">
        <v>165</v>
      </c>
      <c r="C182" s="1" t="s">
        <v>305</v>
      </c>
      <c r="D182" s="1">
        <v>27467</v>
      </c>
      <c r="E182" s="16">
        <v>45194</v>
      </c>
      <c r="F182" s="1" t="s">
        <v>312</v>
      </c>
      <c r="G182" s="16">
        <v>45188</v>
      </c>
      <c r="H182" s="1">
        <v>8224877706</v>
      </c>
      <c r="I182" s="16">
        <v>45188</v>
      </c>
      <c r="J182" s="1" t="s">
        <v>93</v>
      </c>
      <c r="K182" s="1">
        <v>19</v>
      </c>
      <c r="L182" s="1" t="s">
        <v>49</v>
      </c>
      <c r="M182" s="1" t="s">
        <v>311</v>
      </c>
      <c r="N182" s="1">
        <v>96061090</v>
      </c>
      <c r="O182" s="1">
        <v>10</v>
      </c>
      <c r="P182" s="1">
        <v>11</v>
      </c>
      <c r="Q182" s="1">
        <v>2.5</v>
      </c>
      <c r="R182" s="1" t="s">
        <v>44</v>
      </c>
      <c r="S182" s="1">
        <v>40</v>
      </c>
      <c r="T182" s="1">
        <v>570.71</v>
      </c>
      <c r="U182" s="1" t="s">
        <v>104</v>
      </c>
      <c r="V182" s="1">
        <v>104.2664</v>
      </c>
      <c r="W182" s="1" t="s">
        <v>67</v>
      </c>
      <c r="X182" s="1" t="s">
        <v>40</v>
      </c>
      <c r="Y182" s="1">
        <v>59505.88</v>
      </c>
      <c r="Z182">
        <f t="shared" si="2"/>
        <v>59505.877144000006</v>
      </c>
    </row>
    <row r="183" spans="1:26" x14ac:dyDescent="0.25">
      <c r="A183" s="1">
        <v>180</v>
      </c>
      <c r="B183" s="1" t="s">
        <v>165</v>
      </c>
      <c r="C183" s="1" t="s">
        <v>305</v>
      </c>
      <c r="D183" s="1">
        <v>27467</v>
      </c>
      <c r="E183" s="16">
        <v>45194</v>
      </c>
      <c r="F183" s="1" t="s">
        <v>312</v>
      </c>
      <c r="G183" s="16">
        <v>45188</v>
      </c>
      <c r="H183" s="1">
        <v>8224877706</v>
      </c>
      <c r="I183" s="16">
        <v>45188</v>
      </c>
      <c r="J183" s="1" t="s">
        <v>93</v>
      </c>
      <c r="K183" s="1">
        <v>20</v>
      </c>
      <c r="L183" s="1" t="s">
        <v>49</v>
      </c>
      <c r="M183" s="1" t="s">
        <v>153</v>
      </c>
      <c r="N183" s="1">
        <v>96061090</v>
      </c>
      <c r="O183" s="1">
        <v>10</v>
      </c>
      <c r="P183" s="1">
        <v>11</v>
      </c>
      <c r="Q183" s="1">
        <v>2.5</v>
      </c>
      <c r="R183" s="1" t="s">
        <v>128</v>
      </c>
      <c r="S183" s="1">
        <v>60</v>
      </c>
      <c r="T183" s="1">
        <v>362.57</v>
      </c>
      <c r="U183" s="1" t="s">
        <v>104</v>
      </c>
      <c r="V183" s="1">
        <v>104.2664</v>
      </c>
      <c r="W183" s="1" t="s">
        <v>67</v>
      </c>
      <c r="X183" s="1" t="s">
        <v>40</v>
      </c>
      <c r="Y183" s="1">
        <v>37803.870000000003</v>
      </c>
      <c r="Z183">
        <f t="shared" si="2"/>
        <v>37803.868648000003</v>
      </c>
    </row>
    <row r="184" spans="1:26" x14ac:dyDescent="0.25">
      <c r="A184" s="1">
        <v>181</v>
      </c>
      <c r="B184" s="1" t="s">
        <v>165</v>
      </c>
      <c r="C184" s="1" t="s">
        <v>305</v>
      </c>
      <c r="D184" s="1">
        <v>27467</v>
      </c>
      <c r="E184" s="16">
        <v>45194</v>
      </c>
      <c r="F184" s="1" t="s">
        <v>312</v>
      </c>
      <c r="G184" s="16">
        <v>45188</v>
      </c>
      <c r="H184" s="1">
        <v>8224877706</v>
      </c>
      <c r="I184" s="16">
        <v>45188</v>
      </c>
      <c r="J184" s="1" t="s">
        <v>93</v>
      </c>
      <c r="K184" s="1">
        <v>21</v>
      </c>
      <c r="L184" s="1" t="s">
        <v>49</v>
      </c>
      <c r="M184" s="1" t="s">
        <v>307</v>
      </c>
      <c r="N184" s="1">
        <v>39269099</v>
      </c>
      <c r="O184" s="1">
        <v>20</v>
      </c>
      <c r="P184" s="1">
        <v>11</v>
      </c>
      <c r="Q184" s="1">
        <v>7.5</v>
      </c>
      <c r="R184" s="1" t="s">
        <v>44</v>
      </c>
      <c r="S184" s="1">
        <v>200</v>
      </c>
      <c r="T184" s="1">
        <v>604.29</v>
      </c>
      <c r="U184" s="1" t="s">
        <v>104</v>
      </c>
      <c r="V184" s="1">
        <v>104.2664</v>
      </c>
      <c r="W184" s="1" t="s">
        <v>67</v>
      </c>
      <c r="X184" s="1" t="s">
        <v>40</v>
      </c>
      <c r="Y184" s="1">
        <v>63007.14</v>
      </c>
      <c r="Z184">
        <f t="shared" si="2"/>
        <v>63007.142855999999</v>
      </c>
    </row>
    <row r="185" spans="1:26" x14ac:dyDescent="0.25">
      <c r="A185" s="1">
        <v>182</v>
      </c>
      <c r="B185" s="1" t="s">
        <v>165</v>
      </c>
      <c r="C185" s="1" t="s">
        <v>305</v>
      </c>
      <c r="D185" s="1">
        <v>27467</v>
      </c>
      <c r="E185" s="16">
        <v>45194</v>
      </c>
      <c r="F185" s="1" t="s">
        <v>312</v>
      </c>
      <c r="G185" s="16">
        <v>45188</v>
      </c>
      <c r="H185" s="1">
        <v>8224877706</v>
      </c>
      <c r="I185" s="16">
        <v>45188</v>
      </c>
      <c r="J185" s="1" t="s">
        <v>93</v>
      </c>
      <c r="K185" s="1">
        <v>35</v>
      </c>
      <c r="L185" s="1" t="s">
        <v>49</v>
      </c>
      <c r="M185" s="1" t="s">
        <v>164</v>
      </c>
      <c r="N185" s="1">
        <v>58062090</v>
      </c>
      <c r="O185" s="1">
        <v>10</v>
      </c>
      <c r="P185" s="1">
        <v>11</v>
      </c>
      <c r="Q185" s="1">
        <v>2.5</v>
      </c>
      <c r="R185" s="1" t="s">
        <v>51</v>
      </c>
      <c r="S185" s="1">
        <v>50</v>
      </c>
      <c r="T185" s="1">
        <v>1846.43</v>
      </c>
      <c r="U185" s="1" t="s">
        <v>104</v>
      </c>
      <c r="V185" s="1">
        <v>104.2664</v>
      </c>
      <c r="W185" s="1" t="s">
        <v>67</v>
      </c>
      <c r="X185" s="1" t="s">
        <v>40</v>
      </c>
      <c r="Y185" s="1">
        <v>192520.61</v>
      </c>
      <c r="Z185">
        <f t="shared" si="2"/>
        <v>192520.60895200001</v>
      </c>
    </row>
    <row r="186" spans="1:26" x14ac:dyDescent="0.25">
      <c r="A186" s="1">
        <v>183</v>
      </c>
      <c r="B186" s="1" t="s">
        <v>6</v>
      </c>
      <c r="C186" s="1" t="s">
        <v>314</v>
      </c>
      <c r="D186" s="1">
        <v>27516</v>
      </c>
      <c r="E186" s="16">
        <v>45195</v>
      </c>
      <c r="F186" s="1" t="s">
        <v>46</v>
      </c>
      <c r="G186" s="16">
        <v>45189</v>
      </c>
      <c r="H186" s="1">
        <v>704030310934</v>
      </c>
      <c r="I186" s="16">
        <v>45189</v>
      </c>
      <c r="J186" s="1" t="s">
        <v>282</v>
      </c>
      <c r="K186" s="1">
        <v>1</v>
      </c>
      <c r="L186" s="1" t="s">
        <v>46</v>
      </c>
      <c r="M186" s="1" t="s">
        <v>317</v>
      </c>
      <c r="N186" s="1">
        <v>60063290</v>
      </c>
      <c r="O186" s="1">
        <v>15</v>
      </c>
      <c r="P186" s="1">
        <v>11</v>
      </c>
      <c r="Q186" s="1">
        <v>2.5</v>
      </c>
      <c r="R186" s="1" t="s">
        <v>41</v>
      </c>
      <c r="S186" s="1">
        <v>5</v>
      </c>
      <c r="T186" s="1">
        <v>36.729999999999997</v>
      </c>
      <c r="U186" s="1" t="s">
        <v>42</v>
      </c>
      <c r="V186" s="1">
        <v>15358</v>
      </c>
      <c r="W186" s="1" t="s">
        <v>43</v>
      </c>
      <c r="X186" s="1" t="s">
        <v>40</v>
      </c>
      <c r="Y186" s="1">
        <v>564099.34</v>
      </c>
      <c r="Z186">
        <f t="shared" si="2"/>
        <v>564099.34</v>
      </c>
    </row>
    <row r="187" spans="1:26" x14ac:dyDescent="0.25">
      <c r="A187" s="1">
        <v>184</v>
      </c>
      <c r="B187" s="1" t="s">
        <v>6</v>
      </c>
      <c r="C187" s="1" t="s">
        <v>315</v>
      </c>
      <c r="D187" s="1">
        <v>27571</v>
      </c>
      <c r="E187" s="16">
        <v>45195</v>
      </c>
      <c r="F187" s="1" t="s">
        <v>46</v>
      </c>
      <c r="G187" s="16">
        <v>45192</v>
      </c>
      <c r="H187" s="1">
        <v>704030318269</v>
      </c>
      <c r="I187" s="16">
        <v>45192</v>
      </c>
      <c r="J187" s="1" t="s">
        <v>330</v>
      </c>
      <c r="K187" s="1">
        <v>1</v>
      </c>
      <c r="L187" s="1" t="s">
        <v>46</v>
      </c>
      <c r="M187" s="1" t="s">
        <v>318</v>
      </c>
      <c r="N187" s="1">
        <v>60063290</v>
      </c>
      <c r="O187" s="1">
        <v>15</v>
      </c>
      <c r="P187" s="1">
        <v>11</v>
      </c>
      <c r="Q187" s="1">
        <v>2.5</v>
      </c>
      <c r="R187" s="1" t="s">
        <v>51</v>
      </c>
      <c r="S187" s="1">
        <v>4</v>
      </c>
      <c r="T187" s="1">
        <v>35.729999999999997</v>
      </c>
      <c r="U187" s="1" t="s">
        <v>42</v>
      </c>
      <c r="V187" s="1">
        <v>15358</v>
      </c>
      <c r="W187" s="1" t="s">
        <v>43</v>
      </c>
      <c r="X187" s="1" t="s">
        <v>40</v>
      </c>
      <c r="Y187" s="1">
        <v>548741.34</v>
      </c>
      <c r="Z187">
        <f t="shared" si="2"/>
        <v>548741.34</v>
      </c>
    </row>
    <row r="188" spans="1:26" x14ac:dyDescent="0.25">
      <c r="A188" s="1">
        <v>185</v>
      </c>
      <c r="B188" s="1" t="s">
        <v>6</v>
      </c>
      <c r="C188" s="1" t="s">
        <v>316</v>
      </c>
      <c r="D188" s="1">
        <v>27584</v>
      </c>
      <c r="E188" s="16">
        <v>45195</v>
      </c>
      <c r="F188" s="1" t="s">
        <v>331</v>
      </c>
      <c r="G188" s="16">
        <v>45192</v>
      </c>
      <c r="H188" s="1">
        <v>3774912746</v>
      </c>
      <c r="I188" s="16">
        <v>45190</v>
      </c>
      <c r="J188" s="1" t="s">
        <v>332</v>
      </c>
      <c r="K188" s="1">
        <v>11</v>
      </c>
      <c r="L188" s="1" t="s">
        <v>49</v>
      </c>
      <c r="M188" s="1" t="s">
        <v>319</v>
      </c>
      <c r="N188" s="1">
        <v>96071900</v>
      </c>
      <c r="O188" s="1">
        <v>15</v>
      </c>
      <c r="P188" s="1">
        <v>11</v>
      </c>
      <c r="Q188" s="1">
        <v>2.5</v>
      </c>
      <c r="R188" s="1" t="s">
        <v>44</v>
      </c>
      <c r="S188" s="1">
        <v>2</v>
      </c>
      <c r="T188" s="1">
        <v>1.57</v>
      </c>
      <c r="U188" s="1" t="s">
        <v>42</v>
      </c>
      <c r="V188" s="1">
        <v>15358</v>
      </c>
      <c r="W188" s="1" t="s">
        <v>67</v>
      </c>
      <c r="X188" s="1" t="s">
        <v>40</v>
      </c>
      <c r="Y188" s="1">
        <v>24112.06</v>
      </c>
      <c r="Z188">
        <f t="shared" si="2"/>
        <v>24112.06</v>
      </c>
    </row>
    <row r="189" spans="1:26" x14ac:dyDescent="0.25">
      <c r="A189" s="1">
        <v>186</v>
      </c>
      <c r="B189" s="1" t="s">
        <v>6</v>
      </c>
      <c r="C189" s="1" t="s">
        <v>316</v>
      </c>
      <c r="D189" s="1">
        <v>27584</v>
      </c>
      <c r="E189" s="16">
        <v>45195</v>
      </c>
      <c r="F189" s="1" t="s">
        <v>331</v>
      </c>
      <c r="G189" s="16">
        <v>45192</v>
      </c>
      <c r="H189" s="1">
        <v>3774912746</v>
      </c>
      <c r="I189" s="16">
        <v>45190</v>
      </c>
      <c r="J189" s="1" t="s">
        <v>332</v>
      </c>
      <c r="K189" s="1">
        <v>1</v>
      </c>
      <c r="L189" s="1" t="s">
        <v>49</v>
      </c>
      <c r="M189" s="1" t="s">
        <v>320</v>
      </c>
      <c r="N189" s="1">
        <v>58071000</v>
      </c>
      <c r="O189" s="1">
        <v>10</v>
      </c>
      <c r="P189" s="1">
        <v>11</v>
      </c>
      <c r="Q189" s="1">
        <v>2.5</v>
      </c>
      <c r="R189" s="1" t="s">
        <v>44</v>
      </c>
      <c r="S189" s="1">
        <v>2</v>
      </c>
      <c r="T189" s="1">
        <v>0.16</v>
      </c>
      <c r="U189" s="1" t="s">
        <v>42</v>
      </c>
      <c r="V189" s="1">
        <v>15358</v>
      </c>
      <c r="W189" s="1" t="s">
        <v>67</v>
      </c>
      <c r="X189" s="1" t="s">
        <v>40</v>
      </c>
      <c r="Y189" s="1">
        <v>2457.2800000000002</v>
      </c>
      <c r="Z189">
        <f t="shared" si="2"/>
        <v>2457.2800000000002</v>
      </c>
    </row>
    <row r="190" spans="1:26" x14ac:dyDescent="0.25">
      <c r="A190" s="1">
        <v>187</v>
      </c>
      <c r="B190" s="1" t="s">
        <v>6</v>
      </c>
      <c r="C190" s="1" t="s">
        <v>316</v>
      </c>
      <c r="D190" s="1">
        <v>27584</v>
      </c>
      <c r="E190" s="16">
        <v>45195</v>
      </c>
      <c r="F190" s="1" t="s">
        <v>331</v>
      </c>
      <c r="G190" s="16">
        <v>45192</v>
      </c>
      <c r="H190" s="1">
        <v>3774912746</v>
      </c>
      <c r="I190" s="16">
        <v>45190</v>
      </c>
      <c r="J190" s="1" t="s">
        <v>332</v>
      </c>
      <c r="K190" s="1">
        <v>2</v>
      </c>
      <c r="L190" s="1" t="s">
        <v>49</v>
      </c>
      <c r="M190" s="1" t="s">
        <v>321</v>
      </c>
      <c r="N190" s="1">
        <v>58071000</v>
      </c>
      <c r="O190" s="1">
        <v>10</v>
      </c>
      <c r="P190" s="1">
        <v>11</v>
      </c>
      <c r="Q190" s="1">
        <v>2.5</v>
      </c>
      <c r="R190" s="1" t="s">
        <v>44</v>
      </c>
      <c r="S190" s="1">
        <v>2</v>
      </c>
      <c r="T190" s="1">
        <v>0.09</v>
      </c>
      <c r="U190" s="1" t="s">
        <v>42</v>
      </c>
      <c r="V190" s="1">
        <v>15358</v>
      </c>
      <c r="W190" s="1" t="s">
        <v>67</v>
      </c>
      <c r="X190" s="1" t="s">
        <v>40</v>
      </c>
      <c r="Y190" s="1">
        <v>1382.22</v>
      </c>
      <c r="Z190">
        <f t="shared" si="2"/>
        <v>1382.22</v>
      </c>
    </row>
    <row r="191" spans="1:26" x14ac:dyDescent="0.25">
      <c r="A191" s="1">
        <v>188</v>
      </c>
      <c r="B191" s="1" t="s">
        <v>6</v>
      </c>
      <c r="C191" s="1" t="s">
        <v>316</v>
      </c>
      <c r="D191" s="1">
        <v>27584</v>
      </c>
      <c r="E191" s="16">
        <v>45195</v>
      </c>
      <c r="F191" s="1" t="s">
        <v>331</v>
      </c>
      <c r="G191" s="16">
        <v>45192</v>
      </c>
      <c r="H191" s="1">
        <v>3774912746</v>
      </c>
      <c r="I191" s="16">
        <v>45190</v>
      </c>
      <c r="J191" s="1" t="s">
        <v>332</v>
      </c>
      <c r="K191" s="1">
        <v>3</v>
      </c>
      <c r="L191" s="1" t="s">
        <v>49</v>
      </c>
      <c r="M191" s="1" t="s">
        <v>322</v>
      </c>
      <c r="N191" s="1">
        <v>58062090</v>
      </c>
      <c r="O191" s="1">
        <v>10</v>
      </c>
      <c r="P191" s="1">
        <v>11</v>
      </c>
      <c r="Q191" s="1">
        <v>2.5</v>
      </c>
      <c r="R191" s="1" t="s">
        <v>51</v>
      </c>
      <c r="S191" s="1">
        <v>30</v>
      </c>
      <c r="T191" s="1">
        <v>14.07</v>
      </c>
      <c r="U191" s="1" t="s">
        <v>42</v>
      </c>
      <c r="V191" s="1">
        <v>15358</v>
      </c>
      <c r="W191" s="1" t="s">
        <v>67</v>
      </c>
      <c r="X191" s="1" t="s">
        <v>40</v>
      </c>
      <c r="Y191" s="1">
        <v>216087.06</v>
      </c>
      <c r="Z191">
        <f t="shared" si="2"/>
        <v>216087.06</v>
      </c>
    </row>
    <row r="192" spans="1:26" x14ac:dyDescent="0.25">
      <c r="A192" s="1">
        <v>189</v>
      </c>
      <c r="B192" s="1" t="s">
        <v>6</v>
      </c>
      <c r="C192" s="1" t="s">
        <v>316</v>
      </c>
      <c r="D192" s="1">
        <v>27584</v>
      </c>
      <c r="E192" s="16">
        <v>45195</v>
      </c>
      <c r="F192" s="1" t="s">
        <v>331</v>
      </c>
      <c r="G192" s="16">
        <v>45192</v>
      </c>
      <c r="H192" s="1">
        <v>3774912746</v>
      </c>
      <c r="I192" s="16">
        <v>45190</v>
      </c>
      <c r="J192" s="1" t="s">
        <v>332</v>
      </c>
      <c r="K192" s="1">
        <v>4</v>
      </c>
      <c r="L192" s="1" t="s">
        <v>49</v>
      </c>
      <c r="M192" s="1" t="s">
        <v>323</v>
      </c>
      <c r="N192" s="1">
        <v>48211090</v>
      </c>
      <c r="O192" s="1">
        <v>5</v>
      </c>
      <c r="P192" s="1">
        <v>11</v>
      </c>
      <c r="Q192" s="1">
        <v>2.5</v>
      </c>
      <c r="R192" s="1" t="s">
        <v>44</v>
      </c>
      <c r="S192" s="1">
        <v>2</v>
      </c>
      <c r="T192" s="1">
        <v>0.31</v>
      </c>
      <c r="U192" s="1" t="s">
        <v>42</v>
      </c>
      <c r="V192" s="1">
        <v>15358</v>
      </c>
      <c r="W192" s="1" t="s">
        <v>67</v>
      </c>
      <c r="X192" s="1" t="s">
        <v>40</v>
      </c>
      <c r="Y192" s="1">
        <v>4760.9799999999996</v>
      </c>
      <c r="Z192">
        <f t="shared" si="2"/>
        <v>4760.9799999999996</v>
      </c>
    </row>
    <row r="193" spans="1:26" x14ac:dyDescent="0.25">
      <c r="A193" s="1">
        <v>190</v>
      </c>
      <c r="B193" s="1" t="s">
        <v>6</v>
      </c>
      <c r="C193" s="1" t="s">
        <v>316</v>
      </c>
      <c r="D193" s="1">
        <v>27584</v>
      </c>
      <c r="E193" s="16">
        <v>45195</v>
      </c>
      <c r="F193" s="1" t="s">
        <v>331</v>
      </c>
      <c r="G193" s="16">
        <v>45192</v>
      </c>
      <c r="H193" s="1">
        <v>3774912746</v>
      </c>
      <c r="I193" s="16">
        <v>45190</v>
      </c>
      <c r="J193" s="1" t="s">
        <v>332</v>
      </c>
      <c r="K193" s="1">
        <v>5</v>
      </c>
      <c r="L193" s="1" t="s">
        <v>49</v>
      </c>
      <c r="M193" s="1" t="s">
        <v>324</v>
      </c>
      <c r="N193" s="1">
        <v>58081090</v>
      </c>
      <c r="O193" s="1">
        <v>10</v>
      </c>
      <c r="P193" s="1">
        <v>11</v>
      </c>
      <c r="Q193" s="1">
        <v>2.5</v>
      </c>
      <c r="R193" s="1" t="s">
        <v>44</v>
      </c>
      <c r="S193" s="1">
        <v>1</v>
      </c>
      <c r="T193" s="1">
        <v>2.34</v>
      </c>
      <c r="U193" s="1" t="s">
        <v>42</v>
      </c>
      <c r="V193" s="1">
        <v>15358</v>
      </c>
      <c r="W193" s="1" t="s">
        <v>67</v>
      </c>
      <c r="X193" s="1" t="s">
        <v>40</v>
      </c>
      <c r="Y193" s="1">
        <v>35937.72</v>
      </c>
      <c r="Z193">
        <f t="shared" si="2"/>
        <v>35937.72</v>
      </c>
    </row>
    <row r="194" spans="1:26" x14ac:dyDescent="0.25">
      <c r="A194" s="1">
        <v>191</v>
      </c>
      <c r="B194" s="1" t="s">
        <v>6</v>
      </c>
      <c r="C194" s="1" t="s">
        <v>316</v>
      </c>
      <c r="D194" s="1">
        <v>27584</v>
      </c>
      <c r="E194" s="16">
        <v>45195</v>
      </c>
      <c r="F194" s="1" t="s">
        <v>331</v>
      </c>
      <c r="G194" s="16">
        <v>45192</v>
      </c>
      <c r="H194" s="1">
        <v>3774912746</v>
      </c>
      <c r="I194" s="16">
        <v>45190</v>
      </c>
      <c r="J194" s="1" t="s">
        <v>332</v>
      </c>
      <c r="K194" s="1">
        <v>6</v>
      </c>
      <c r="L194" s="1" t="s">
        <v>49</v>
      </c>
      <c r="M194" s="1" t="s">
        <v>320</v>
      </c>
      <c r="N194" s="1">
        <v>58071000</v>
      </c>
      <c r="O194" s="1">
        <v>10</v>
      </c>
      <c r="P194" s="1">
        <v>11</v>
      </c>
      <c r="Q194" s="1">
        <v>2.5</v>
      </c>
      <c r="R194" s="1" t="s">
        <v>44</v>
      </c>
      <c r="S194" s="1">
        <v>2</v>
      </c>
      <c r="T194" s="1">
        <v>0.16</v>
      </c>
      <c r="U194" s="1" t="s">
        <v>42</v>
      </c>
      <c r="V194" s="1">
        <v>15358</v>
      </c>
      <c r="W194" s="1" t="s">
        <v>67</v>
      </c>
      <c r="X194" s="1" t="s">
        <v>40</v>
      </c>
      <c r="Y194" s="1">
        <v>2457.2800000000002</v>
      </c>
      <c r="Z194">
        <f t="shared" si="2"/>
        <v>2457.2800000000002</v>
      </c>
    </row>
    <row r="195" spans="1:26" x14ac:dyDescent="0.25">
      <c r="A195" s="1">
        <v>192</v>
      </c>
      <c r="B195" s="1" t="s">
        <v>6</v>
      </c>
      <c r="C195" s="1" t="s">
        <v>316</v>
      </c>
      <c r="D195" s="1">
        <v>27584</v>
      </c>
      <c r="E195" s="16">
        <v>45195</v>
      </c>
      <c r="F195" s="1" t="s">
        <v>331</v>
      </c>
      <c r="G195" s="16">
        <v>45192</v>
      </c>
      <c r="H195" s="1">
        <v>3774912746</v>
      </c>
      <c r="I195" s="16">
        <v>45190</v>
      </c>
      <c r="J195" s="1" t="s">
        <v>332</v>
      </c>
      <c r="K195" s="1">
        <v>7</v>
      </c>
      <c r="L195" s="1" t="s">
        <v>49</v>
      </c>
      <c r="M195" s="1" t="s">
        <v>325</v>
      </c>
      <c r="N195" s="1">
        <v>49081000</v>
      </c>
      <c r="O195" s="1">
        <v>5</v>
      </c>
      <c r="P195" s="1">
        <v>11</v>
      </c>
      <c r="Q195" s="1">
        <v>2.5</v>
      </c>
      <c r="R195" s="1" t="s">
        <v>44</v>
      </c>
      <c r="S195" s="1">
        <v>2</v>
      </c>
      <c r="T195" s="1">
        <v>0.62</v>
      </c>
      <c r="U195" s="1" t="s">
        <v>42</v>
      </c>
      <c r="V195" s="1">
        <v>15358</v>
      </c>
      <c r="W195" s="1" t="s">
        <v>67</v>
      </c>
      <c r="X195" s="1" t="s">
        <v>40</v>
      </c>
      <c r="Y195" s="1">
        <v>9521.9599999999991</v>
      </c>
      <c r="Z195">
        <f t="shared" si="2"/>
        <v>9521.9599999999991</v>
      </c>
    </row>
    <row r="196" spans="1:26" x14ac:dyDescent="0.25">
      <c r="A196" s="1">
        <v>193</v>
      </c>
      <c r="B196" s="1" t="s">
        <v>6</v>
      </c>
      <c r="C196" s="1" t="s">
        <v>316</v>
      </c>
      <c r="D196" s="1">
        <v>27584</v>
      </c>
      <c r="E196" s="16">
        <v>45195</v>
      </c>
      <c r="F196" s="1" t="s">
        <v>331</v>
      </c>
      <c r="G196" s="16">
        <v>45192</v>
      </c>
      <c r="H196" s="1">
        <v>3774912746</v>
      </c>
      <c r="I196" s="16">
        <v>45190</v>
      </c>
      <c r="J196" s="1" t="s">
        <v>332</v>
      </c>
      <c r="K196" s="1">
        <v>8</v>
      </c>
      <c r="L196" s="1" t="s">
        <v>49</v>
      </c>
      <c r="M196" s="1" t="s">
        <v>326</v>
      </c>
      <c r="N196" s="1">
        <v>58071000</v>
      </c>
      <c r="O196" s="1">
        <v>10</v>
      </c>
      <c r="P196" s="1">
        <v>11</v>
      </c>
      <c r="Q196" s="1">
        <v>2.5</v>
      </c>
      <c r="R196" s="1" t="s">
        <v>44</v>
      </c>
      <c r="S196" s="1">
        <v>2</v>
      </c>
      <c r="T196" s="1">
        <v>0.09</v>
      </c>
      <c r="U196" s="1" t="s">
        <v>42</v>
      </c>
      <c r="V196" s="1">
        <v>15358</v>
      </c>
      <c r="W196" s="1" t="s">
        <v>67</v>
      </c>
      <c r="X196" s="1" t="s">
        <v>40</v>
      </c>
      <c r="Y196" s="1">
        <v>1382.22</v>
      </c>
      <c r="Z196">
        <f t="shared" si="2"/>
        <v>1382.22</v>
      </c>
    </row>
    <row r="197" spans="1:26" x14ac:dyDescent="0.25">
      <c r="A197" s="1">
        <v>194</v>
      </c>
      <c r="B197" s="1" t="s">
        <v>6</v>
      </c>
      <c r="C197" s="1" t="s">
        <v>316</v>
      </c>
      <c r="D197" s="1">
        <v>27584</v>
      </c>
      <c r="E197" s="16">
        <v>45195</v>
      </c>
      <c r="F197" s="1" t="s">
        <v>331</v>
      </c>
      <c r="G197" s="16">
        <v>45192</v>
      </c>
      <c r="H197" s="1">
        <v>3774912746</v>
      </c>
      <c r="I197" s="16">
        <v>45190</v>
      </c>
      <c r="J197" s="1" t="s">
        <v>332</v>
      </c>
      <c r="K197" s="1">
        <v>9</v>
      </c>
      <c r="L197" s="1" t="s">
        <v>49</v>
      </c>
      <c r="M197" s="1" t="s">
        <v>323</v>
      </c>
      <c r="N197" s="1">
        <v>48211090</v>
      </c>
      <c r="O197" s="1">
        <v>5</v>
      </c>
      <c r="P197" s="1">
        <v>11</v>
      </c>
      <c r="Q197" s="1">
        <v>2.5</v>
      </c>
      <c r="R197" s="1" t="s">
        <v>44</v>
      </c>
      <c r="S197" s="1">
        <v>2</v>
      </c>
      <c r="T197" s="1">
        <v>0.31</v>
      </c>
      <c r="U197" s="1" t="s">
        <v>42</v>
      </c>
      <c r="V197" s="1">
        <v>15358</v>
      </c>
      <c r="W197" s="1" t="s">
        <v>67</v>
      </c>
      <c r="X197" s="1" t="s">
        <v>40</v>
      </c>
      <c r="Y197" s="1">
        <v>4760.9799999999996</v>
      </c>
      <c r="Z197">
        <f t="shared" ref="Z197:Z223" si="3">T197*V197</f>
        <v>4760.9799999999996</v>
      </c>
    </row>
    <row r="198" spans="1:26" x14ac:dyDescent="0.25">
      <c r="A198" s="1">
        <v>195</v>
      </c>
      <c r="B198" s="1" t="s">
        <v>6</v>
      </c>
      <c r="C198" s="1" t="s">
        <v>316</v>
      </c>
      <c r="D198" s="1">
        <v>27584</v>
      </c>
      <c r="E198" s="16">
        <v>45195</v>
      </c>
      <c r="F198" s="1" t="s">
        <v>331</v>
      </c>
      <c r="G198" s="16">
        <v>45192</v>
      </c>
      <c r="H198" s="1">
        <v>3774912746</v>
      </c>
      <c r="I198" s="16">
        <v>45190</v>
      </c>
      <c r="J198" s="1" t="s">
        <v>332</v>
      </c>
      <c r="K198" s="1">
        <v>10</v>
      </c>
      <c r="L198" s="1" t="s">
        <v>49</v>
      </c>
      <c r="M198" s="1" t="s">
        <v>324</v>
      </c>
      <c r="N198" s="1">
        <v>58081090</v>
      </c>
      <c r="O198" s="1">
        <v>10</v>
      </c>
      <c r="P198" s="1">
        <v>11</v>
      </c>
      <c r="Q198" s="1">
        <v>2.5</v>
      </c>
      <c r="R198" s="1" t="s">
        <v>44</v>
      </c>
      <c r="S198" s="1">
        <v>1</v>
      </c>
      <c r="T198" s="1">
        <v>2.34</v>
      </c>
      <c r="U198" s="1" t="s">
        <v>42</v>
      </c>
      <c r="V198" s="1">
        <v>15358</v>
      </c>
      <c r="W198" s="1" t="s">
        <v>67</v>
      </c>
      <c r="X198" s="1" t="s">
        <v>40</v>
      </c>
      <c r="Y198" s="1">
        <v>35937.72</v>
      </c>
      <c r="Z198">
        <f t="shared" si="3"/>
        <v>35937.72</v>
      </c>
    </row>
    <row r="199" spans="1:26" x14ac:dyDescent="0.25">
      <c r="A199" s="1">
        <v>196</v>
      </c>
      <c r="B199" s="1" t="s">
        <v>6</v>
      </c>
      <c r="C199" s="1" t="s">
        <v>316</v>
      </c>
      <c r="D199" s="1">
        <v>27584</v>
      </c>
      <c r="E199" s="16">
        <v>45195</v>
      </c>
      <c r="F199" s="1" t="s">
        <v>331</v>
      </c>
      <c r="G199" s="16">
        <v>45192</v>
      </c>
      <c r="H199" s="1">
        <v>3774912746</v>
      </c>
      <c r="I199" s="16">
        <v>45190</v>
      </c>
      <c r="J199" s="1" t="s">
        <v>332</v>
      </c>
      <c r="K199" s="1">
        <v>12</v>
      </c>
      <c r="L199" s="1" t="s">
        <v>49</v>
      </c>
      <c r="M199" s="1" t="s">
        <v>320</v>
      </c>
      <c r="N199" s="1">
        <v>58071000</v>
      </c>
      <c r="O199" s="1">
        <v>10</v>
      </c>
      <c r="P199" s="1">
        <v>11</v>
      </c>
      <c r="Q199" s="1">
        <v>2.5</v>
      </c>
      <c r="R199" s="1" t="s">
        <v>44</v>
      </c>
      <c r="S199" s="1">
        <v>2</v>
      </c>
      <c r="T199" s="1">
        <v>0.16</v>
      </c>
      <c r="U199" s="1" t="s">
        <v>42</v>
      </c>
      <c r="V199" s="1">
        <v>15358</v>
      </c>
      <c r="W199" s="1" t="s">
        <v>67</v>
      </c>
      <c r="X199" s="1" t="s">
        <v>40</v>
      </c>
      <c r="Y199" s="1">
        <v>2457.2800000000002</v>
      </c>
      <c r="Z199">
        <f t="shared" si="3"/>
        <v>2457.2800000000002</v>
      </c>
    </row>
    <row r="200" spans="1:26" x14ac:dyDescent="0.25">
      <c r="A200" s="1">
        <v>197</v>
      </c>
      <c r="B200" s="1" t="s">
        <v>6</v>
      </c>
      <c r="C200" s="1" t="s">
        <v>316</v>
      </c>
      <c r="D200" s="1">
        <v>27584</v>
      </c>
      <c r="E200" s="16">
        <v>45195</v>
      </c>
      <c r="F200" s="1" t="s">
        <v>331</v>
      </c>
      <c r="G200" s="16">
        <v>45192</v>
      </c>
      <c r="H200" s="1">
        <v>3774912746</v>
      </c>
      <c r="I200" s="16">
        <v>45190</v>
      </c>
      <c r="J200" s="1" t="s">
        <v>332</v>
      </c>
      <c r="K200" s="1">
        <v>13</v>
      </c>
      <c r="L200" s="1" t="s">
        <v>49</v>
      </c>
      <c r="M200" s="1" t="s">
        <v>325</v>
      </c>
      <c r="N200" s="1">
        <v>49081000</v>
      </c>
      <c r="O200" s="1">
        <v>5</v>
      </c>
      <c r="P200" s="1">
        <v>11</v>
      </c>
      <c r="Q200" s="1">
        <v>2.5</v>
      </c>
      <c r="R200" s="1" t="s">
        <v>44</v>
      </c>
      <c r="S200" s="1">
        <v>2</v>
      </c>
      <c r="T200" s="1">
        <v>0.62</v>
      </c>
      <c r="U200" s="1" t="s">
        <v>42</v>
      </c>
      <c r="V200" s="1">
        <v>15358</v>
      </c>
      <c r="W200" s="1" t="s">
        <v>67</v>
      </c>
      <c r="X200" s="1" t="s">
        <v>40</v>
      </c>
      <c r="Y200" s="1">
        <v>9521.9599999999991</v>
      </c>
      <c r="Z200">
        <f t="shared" si="3"/>
        <v>9521.9599999999991</v>
      </c>
    </row>
    <row r="201" spans="1:26" x14ac:dyDescent="0.25">
      <c r="A201" s="1">
        <v>198</v>
      </c>
      <c r="B201" s="1" t="s">
        <v>6</v>
      </c>
      <c r="C201" s="1" t="s">
        <v>316</v>
      </c>
      <c r="D201" s="1">
        <v>27584</v>
      </c>
      <c r="E201" s="16">
        <v>45195</v>
      </c>
      <c r="F201" s="1" t="s">
        <v>331</v>
      </c>
      <c r="G201" s="16">
        <v>45192</v>
      </c>
      <c r="H201" s="1">
        <v>3774912746</v>
      </c>
      <c r="I201" s="16">
        <v>45190</v>
      </c>
      <c r="J201" s="1" t="s">
        <v>332</v>
      </c>
      <c r="K201" s="1">
        <v>14</v>
      </c>
      <c r="L201" s="1" t="s">
        <v>49</v>
      </c>
      <c r="M201" s="1" t="s">
        <v>326</v>
      </c>
      <c r="N201" s="1">
        <v>58071000</v>
      </c>
      <c r="O201" s="1">
        <v>10</v>
      </c>
      <c r="P201" s="1">
        <v>11</v>
      </c>
      <c r="Q201" s="1">
        <v>2.5</v>
      </c>
      <c r="R201" s="1" t="s">
        <v>44</v>
      </c>
      <c r="S201" s="1">
        <v>2</v>
      </c>
      <c r="T201" s="1">
        <v>0.09</v>
      </c>
      <c r="U201" s="1" t="s">
        <v>42</v>
      </c>
      <c r="V201" s="1">
        <v>15358</v>
      </c>
      <c r="W201" s="1" t="s">
        <v>67</v>
      </c>
      <c r="X201" s="1" t="s">
        <v>40</v>
      </c>
      <c r="Y201" s="1">
        <v>1382.22</v>
      </c>
      <c r="Z201">
        <f t="shared" si="3"/>
        <v>1382.22</v>
      </c>
    </row>
    <row r="202" spans="1:26" x14ac:dyDescent="0.25">
      <c r="A202" s="1">
        <v>199</v>
      </c>
      <c r="B202" s="1" t="s">
        <v>6</v>
      </c>
      <c r="C202" s="1" t="s">
        <v>316</v>
      </c>
      <c r="D202" s="1">
        <v>27584</v>
      </c>
      <c r="E202" s="16">
        <v>45195</v>
      </c>
      <c r="F202" s="1" t="s">
        <v>331</v>
      </c>
      <c r="G202" s="16">
        <v>45192</v>
      </c>
      <c r="H202" s="1">
        <v>3774912746</v>
      </c>
      <c r="I202" s="16">
        <v>45190</v>
      </c>
      <c r="J202" s="1" t="s">
        <v>332</v>
      </c>
      <c r="K202" s="1">
        <v>15</v>
      </c>
      <c r="L202" s="1" t="s">
        <v>49</v>
      </c>
      <c r="M202" s="1" t="s">
        <v>323</v>
      </c>
      <c r="N202" s="1">
        <v>48211090</v>
      </c>
      <c r="O202" s="1">
        <v>5</v>
      </c>
      <c r="P202" s="1">
        <v>11</v>
      </c>
      <c r="Q202" s="1">
        <v>2.5</v>
      </c>
      <c r="R202" s="1" t="s">
        <v>44</v>
      </c>
      <c r="S202" s="1">
        <v>2</v>
      </c>
      <c r="T202" s="1">
        <v>0.31</v>
      </c>
      <c r="U202" s="1" t="s">
        <v>42</v>
      </c>
      <c r="V202" s="1">
        <v>15358</v>
      </c>
      <c r="W202" s="1" t="s">
        <v>67</v>
      </c>
      <c r="X202" s="1" t="s">
        <v>40</v>
      </c>
      <c r="Y202" s="1">
        <v>4760.9799999999996</v>
      </c>
      <c r="Z202">
        <f t="shared" si="3"/>
        <v>4760.9799999999996</v>
      </c>
    </row>
    <row r="203" spans="1:26" x14ac:dyDescent="0.25">
      <c r="A203" s="1">
        <v>200</v>
      </c>
      <c r="B203" s="1" t="s">
        <v>6</v>
      </c>
      <c r="C203" s="1" t="s">
        <v>316</v>
      </c>
      <c r="D203" s="1">
        <v>27584</v>
      </c>
      <c r="E203" s="16">
        <v>45195</v>
      </c>
      <c r="F203" s="1" t="s">
        <v>331</v>
      </c>
      <c r="G203" s="16">
        <v>45192</v>
      </c>
      <c r="H203" s="1">
        <v>3774912746</v>
      </c>
      <c r="I203" s="16">
        <v>45190</v>
      </c>
      <c r="J203" s="1" t="s">
        <v>332</v>
      </c>
      <c r="K203" s="1">
        <v>16</v>
      </c>
      <c r="L203" s="1" t="s">
        <v>49</v>
      </c>
      <c r="M203" s="1" t="s">
        <v>324</v>
      </c>
      <c r="N203" s="1">
        <v>58081090</v>
      </c>
      <c r="O203" s="1">
        <v>10</v>
      </c>
      <c r="P203" s="1">
        <v>11</v>
      </c>
      <c r="Q203" s="1">
        <v>2.5</v>
      </c>
      <c r="R203" s="1" t="s">
        <v>44</v>
      </c>
      <c r="S203" s="1">
        <v>1</v>
      </c>
      <c r="T203" s="1">
        <v>2.34</v>
      </c>
      <c r="U203" s="1" t="s">
        <v>42</v>
      </c>
      <c r="V203" s="1">
        <v>15358</v>
      </c>
      <c r="W203" s="1" t="s">
        <v>67</v>
      </c>
      <c r="X203" s="1" t="s">
        <v>40</v>
      </c>
      <c r="Y203" s="1">
        <v>35937.72</v>
      </c>
      <c r="Z203">
        <f t="shared" si="3"/>
        <v>35937.72</v>
      </c>
    </row>
    <row r="204" spans="1:26" x14ac:dyDescent="0.25">
      <c r="A204" s="1">
        <v>201</v>
      </c>
      <c r="B204" s="1" t="s">
        <v>6</v>
      </c>
      <c r="C204" s="1" t="s">
        <v>316</v>
      </c>
      <c r="D204" s="1">
        <v>27584</v>
      </c>
      <c r="E204" s="16">
        <v>45195</v>
      </c>
      <c r="F204" s="1" t="s">
        <v>331</v>
      </c>
      <c r="G204" s="16">
        <v>45192</v>
      </c>
      <c r="H204" s="1">
        <v>3774912746</v>
      </c>
      <c r="I204" s="16">
        <v>45190</v>
      </c>
      <c r="J204" s="1" t="s">
        <v>332</v>
      </c>
      <c r="K204" s="1">
        <v>17</v>
      </c>
      <c r="L204" s="1" t="s">
        <v>49</v>
      </c>
      <c r="M204" s="1" t="s">
        <v>320</v>
      </c>
      <c r="N204" s="1">
        <v>58071000</v>
      </c>
      <c r="O204" s="1">
        <v>10</v>
      </c>
      <c r="P204" s="1">
        <v>11</v>
      </c>
      <c r="Q204" s="1">
        <v>2.5</v>
      </c>
      <c r="R204" s="1" t="s">
        <v>44</v>
      </c>
      <c r="S204" s="1">
        <v>2</v>
      </c>
      <c r="T204" s="1">
        <v>0.16</v>
      </c>
      <c r="U204" s="1" t="s">
        <v>42</v>
      </c>
      <c r="V204" s="1">
        <v>15358</v>
      </c>
      <c r="W204" s="1" t="s">
        <v>67</v>
      </c>
      <c r="X204" s="1" t="s">
        <v>40</v>
      </c>
      <c r="Y204" s="1">
        <v>2457.2800000000002</v>
      </c>
      <c r="Z204">
        <f t="shared" si="3"/>
        <v>2457.2800000000002</v>
      </c>
    </row>
    <row r="205" spans="1:26" x14ac:dyDescent="0.25">
      <c r="A205" s="1">
        <v>202</v>
      </c>
      <c r="B205" s="1" t="s">
        <v>6</v>
      </c>
      <c r="C205" s="1" t="s">
        <v>316</v>
      </c>
      <c r="D205" s="1">
        <v>27584</v>
      </c>
      <c r="E205" s="16">
        <v>45195</v>
      </c>
      <c r="F205" s="1" t="s">
        <v>331</v>
      </c>
      <c r="G205" s="16">
        <v>45192</v>
      </c>
      <c r="H205" s="1">
        <v>3774912746</v>
      </c>
      <c r="I205" s="16">
        <v>45190</v>
      </c>
      <c r="J205" s="1" t="s">
        <v>332</v>
      </c>
      <c r="K205" s="1">
        <v>18</v>
      </c>
      <c r="L205" s="1" t="s">
        <v>49</v>
      </c>
      <c r="M205" s="1" t="s">
        <v>325</v>
      </c>
      <c r="N205" s="1">
        <v>49081000</v>
      </c>
      <c r="O205" s="1">
        <v>5</v>
      </c>
      <c r="P205" s="1">
        <v>11</v>
      </c>
      <c r="Q205" s="1">
        <v>2.5</v>
      </c>
      <c r="R205" s="1" t="s">
        <v>44</v>
      </c>
      <c r="S205" s="1">
        <v>2</v>
      </c>
      <c r="T205" s="1">
        <v>0.62</v>
      </c>
      <c r="U205" s="1" t="s">
        <v>42</v>
      </c>
      <c r="V205" s="1">
        <v>15358</v>
      </c>
      <c r="W205" s="1" t="s">
        <v>67</v>
      </c>
      <c r="X205" s="1" t="s">
        <v>40</v>
      </c>
      <c r="Y205" s="1">
        <v>9521.9599999999991</v>
      </c>
      <c r="Z205">
        <f t="shared" si="3"/>
        <v>9521.9599999999991</v>
      </c>
    </row>
    <row r="206" spans="1:26" x14ac:dyDescent="0.25">
      <c r="A206" s="1">
        <v>203</v>
      </c>
      <c r="B206" s="1" t="s">
        <v>6</v>
      </c>
      <c r="C206" s="1" t="s">
        <v>316</v>
      </c>
      <c r="D206" s="1">
        <v>27584</v>
      </c>
      <c r="E206" s="16">
        <v>45195</v>
      </c>
      <c r="F206" s="1" t="s">
        <v>331</v>
      </c>
      <c r="G206" s="16">
        <v>45192</v>
      </c>
      <c r="H206" s="1">
        <v>3774912746</v>
      </c>
      <c r="I206" s="16">
        <v>45190</v>
      </c>
      <c r="J206" s="1" t="s">
        <v>332</v>
      </c>
      <c r="K206" s="1">
        <v>19</v>
      </c>
      <c r="L206" s="1" t="s">
        <v>49</v>
      </c>
      <c r="M206" s="1" t="s">
        <v>326</v>
      </c>
      <c r="N206" s="1">
        <v>58071000</v>
      </c>
      <c r="O206" s="1">
        <v>10</v>
      </c>
      <c r="P206" s="1">
        <v>11</v>
      </c>
      <c r="Q206" s="1">
        <v>2.5</v>
      </c>
      <c r="R206" s="1" t="s">
        <v>44</v>
      </c>
      <c r="S206" s="1">
        <v>2</v>
      </c>
      <c r="T206" s="1">
        <v>0.09</v>
      </c>
      <c r="U206" s="1" t="s">
        <v>42</v>
      </c>
      <c r="V206" s="1">
        <v>15358</v>
      </c>
      <c r="W206" s="1" t="s">
        <v>67</v>
      </c>
      <c r="X206" s="1" t="s">
        <v>40</v>
      </c>
      <c r="Y206" s="1">
        <v>1382.22</v>
      </c>
      <c r="Z206">
        <f t="shared" si="3"/>
        <v>1382.22</v>
      </c>
    </row>
    <row r="207" spans="1:26" x14ac:dyDescent="0.25">
      <c r="A207" s="1">
        <v>204</v>
      </c>
      <c r="B207" s="1" t="s">
        <v>6</v>
      </c>
      <c r="C207" s="1" t="s">
        <v>316</v>
      </c>
      <c r="D207" s="1">
        <v>27584</v>
      </c>
      <c r="E207" s="16">
        <v>45195</v>
      </c>
      <c r="F207" s="1" t="s">
        <v>331</v>
      </c>
      <c r="G207" s="16">
        <v>45192</v>
      </c>
      <c r="H207" s="1">
        <v>3774912746</v>
      </c>
      <c r="I207" s="16">
        <v>45190</v>
      </c>
      <c r="J207" s="1" t="s">
        <v>332</v>
      </c>
      <c r="K207" s="1">
        <v>20</v>
      </c>
      <c r="L207" s="1" t="s">
        <v>49</v>
      </c>
      <c r="M207" s="1" t="s">
        <v>327</v>
      </c>
      <c r="N207" s="1">
        <v>56041000</v>
      </c>
      <c r="O207" s="1">
        <v>5</v>
      </c>
      <c r="P207" s="1">
        <v>11</v>
      </c>
      <c r="Q207" s="1">
        <v>2.5</v>
      </c>
      <c r="R207" s="1" t="s">
        <v>51</v>
      </c>
      <c r="S207" s="1">
        <v>30</v>
      </c>
      <c r="T207" s="1">
        <v>12.66</v>
      </c>
      <c r="U207" s="1" t="s">
        <v>42</v>
      </c>
      <c r="V207" s="1">
        <v>15358</v>
      </c>
      <c r="W207" s="1" t="s">
        <v>67</v>
      </c>
      <c r="X207" s="1" t="s">
        <v>40</v>
      </c>
      <c r="Y207" s="1">
        <v>194432.28</v>
      </c>
      <c r="Z207">
        <f t="shared" si="3"/>
        <v>194432.28</v>
      </c>
    </row>
    <row r="208" spans="1:26" x14ac:dyDescent="0.25">
      <c r="A208" s="1">
        <v>205</v>
      </c>
      <c r="B208" s="1" t="s">
        <v>6</v>
      </c>
      <c r="C208" s="1" t="s">
        <v>316</v>
      </c>
      <c r="D208" s="1">
        <v>27584</v>
      </c>
      <c r="E208" s="16">
        <v>45195</v>
      </c>
      <c r="F208" s="1" t="s">
        <v>331</v>
      </c>
      <c r="G208" s="16">
        <v>45192</v>
      </c>
      <c r="H208" s="1">
        <v>3774912746</v>
      </c>
      <c r="I208" s="16">
        <v>45190</v>
      </c>
      <c r="J208" s="1" t="s">
        <v>332</v>
      </c>
      <c r="K208" s="1">
        <v>21</v>
      </c>
      <c r="L208" s="1" t="s">
        <v>49</v>
      </c>
      <c r="M208" s="1" t="s">
        <v>328</v>
      </c>
      <c r="N208" s="1">
        <v>60053500</v>
      </c>
      <c r="O208" s="1">
        <v>15</v>
      </c>
      <c r="P208" s="1">
        <v>11</v>
      </c>
      <c r="Q208" s="1">
        <v>2.5</v>
      </c>
      <c r="R208" s="1" t="s">
        <v>51</v>
      </c>
      <c r="S208" s="1">
        <v>50</v>
      </c>
      <c r="T208" s="1">
        <v>5.47</v>
      </c>
      <c r="U208" s="1" t="s">
        <v>42</v>
      </c>
      <c r="V208" s="1">
        <v>15358</v>
      </c>
      <c r="W208" s="1" t="s">
        <v>67</v>
      </c>
      <c r="X208" s="1" t="s">
        <v>40</v>
      </c>
      <c r="Y208" s="1">
        <v>84008.26</v>
      </c>
      <c r="Z208">
        <f t="shared" si="3"/>
        <v>84008.26</v>
      </c>
    </row>
    <row r="209" spans="1:26" x14ac:dyDescent="0.25">
      <c r="A209" s="1">
        <v>206</v>
      </c>
      <c r="B209" s="1" t="s">
        <v>6</v>
      </c>
      <c r="C209" s="1" t="s">
        <v>316</v>
      </c>
      <c r="D209" s="1">
        <v>27584</v>
      </c>
      <c r="E209" s="16">
        <v>45195</v>
      </c>
      <c r="F209" s="1" t="s">
        <v>331</v>
      </c>
      <c r="G209" s="16">
        <v>45192</v>
      </c>
      <c r="H209" s="1">
        <v>3774912746</v>
      </c>
      <c r="I209" s="16">
        <v>45190</v>
      </c>
      <c r="J209" s="1" t="s">
        <v>332</v>
      </c>
      <c r="K209" s="1">
        <v>22</v>
      </c>
      <c r="L209" s="1" t="s">
        <v>49</v>
      </c>
      <c r="M209" s="1" t="s">
        <v>323</v>
      </c>
      <c r="N209" s="1">
        <v>48211090</v>
      </c>
      <c r="O209" s="1">
        <v>5</v>
      </c>
      <c r="P209" s="1">
        <v>11</v>
      </c>
      <c r="Q209" s="1">
        <v>2.5</v>
      </c>
      <c r="R209" s="1" t="s">
        <v>44</v>
      </c>
      <c r="S209" s="1">
        <v>2</v>
      </c>
      <c r="T209" s="1">
        <v>0.31</v>
      </c>
      <c r="U209" s="1" t="s">
        <v>42</v>
      </c>
      <c r="V209" s="1">
        <v>15358</v>
      </c>
      <c r="W209" s="1" t="s">
        <v>67</v>
      </c>
      <c r="X209" s="1" t="s">
        <v>40</v>
      </c>
      <c r="Y209" s="1">
        <v>4760.9799999999996</v>
      </c>
      <c r="Z209">
        <f t="shared" si="3"/>
        <v>4760.9799999999996</v>
      </c>
    </row>
    <row r="210" spans="1:26" x14ac:dyDescent="0.25">
      <c r="A210" s="1">
        <v>207</v>
      </c>
      <c r="B210" s="1" t="s">
        <v>6</v>
      </c>
      <c r="C210" s="1" t="s">
        <v>316</v>
      </c>
      <c r="D210" s="1">
        <v>27584</v>
      </c>
      <c r="E210" s="16">
        <v>45195</v>
      </c>
      <c r="F210" s="1" t="s">
        <v>331</v>
      </c>
      <c r="G210" s="16">
        <v>45192</v>
      </c>
      <c r="H210" s="1">
        <v>3774912746</v>
      </c>
      <c r="I210" s="16">
        <v>45190</v>
      </c>
      <c r="J210" s="1" t="s">
        <v>332</v>
      </c>
      <c r="K210" s="1">
        <v>23</v>
      </c>
      <c r="L210" s="1" t="s">
        <v>49</v>
      </c>
      <c r="M210" s="1" t="s">
        <v>324</v>
      </c>
      <c r="N210" s="1">
        <v>58081090</v>
      </c>
      <c r="O210" s="1">
        <v>10</v>
      </c>
      <c r="P210" s="1">
        <v>11</v>
      </c>
      <c r="Q210" s="1">
        <v>2.5</v>
      </c>
      <c r="R210" s="1" t="s">
        <v>44</v>
      </c>
      <c r="S210" s="1">
        <v>1</v>
      </c>
      <c r="T210" s="1">
        <v>2.34</v>
      </c>
      <c r="U210" s="1" t="s">
        <v>42</v>
      </c>
      <c r="V210" s="1">
        <v>15358</v>
      </c>
      <c r="W210" s="1" t="s">
        <v>67</v>
      </c>
      <c r="X210" s="1" t="s">
        <v>40</v>
      </c>
      <c r="Y210" s="1">
        <v>35937.72</v>
      </c>
      <c r="Z210">
        <f t="shared" si="3"/>
        <v>35937.72</v>
      </c>
    </row>
    <row r="211" spans="1:26" x14ac:dyDescent="0.25">
      <c r="A211" s="1">
        <v>208</v>
      </c>
      <c r="B211" s="1" t="s">
        <v>6</v>
      </c>
      <c r="C211" s="1" t="s">
        <v>316</v>
      </c>
      <c r="D211" s="1">
        <v>27584</v>
      </c>
      <c r="E211" s="16">
        <v>45195</v>
      </c>
      <c r="F211" s="1" t="s">
        <v>331</v>
      </c>
      <c r="G211" s="16">
        <v>45192</v>
      </c>
      <c r="H211" s="1">
        <v>3774912746</v>
      </c>
      <c r="I211" s="16">
        <v>45190</v>
      </c>
      <c r="J211" s="1" t="s">
        <v>332</v>
      </c>
      <c r="K211" s="1">
        <v>24</v>
      </c>
      <c r="L211" s="1" t="s">
        <v>49</v>
      </c>
      <c r="M211" s="1" t="s">
        <v>320</v>
      </c>
      <c r="N211" s="1">
        <v>58071000</v>
      </c>
      <c r="O211" s="1">
        <v>10</v>
      </c>
      <c r="P211" s="1">
        <v>11</v>
      </c>
      <c r="Q211" s="1">
        <v>2.5</v>
      </c>
      <c r="R211" s="1" t="s">
        <v>44</v>
      </c>
      <c r="S211" s="1">
        <v>2</v>
      </c>
      <c r="T211" s="1">
        <v>0.16</v>
      </c>
      <c r="U211" s="1" t="s">
        <v>42</v>
      </c>
      <c r="V211" s="1">
        <v>15358</v>
      </c>
      <c r="W211" s="1" t="s">
        <v>67</v>
      </c>
      <c r="X211" s="1" t="s">
        <v>40</v>
      </c>
      <c r="Y211" s="1">
        <v>2457.2800000000002</v>
      </c>
      <c r="Z211">
        <f t="shared" si="3"/>
        <v>2457.2800000000002</v>
      </c>
    </row>
    <row r="212" spans="1:26" x14ac:dyDescent="0.25">
      <c r="A212" s="1">
        <v>209</v>
      </c>
      <c r="B212" s="1" t="s">
        <v>6</v>
      </c>
      <c r="C212" s="1" t="s">
        <v>316</v>
      </c>
      <c r="D212" s="1">
        <v>27584</v>
      </c>
      <c r="E212" s="16">
        <v>45195</v>
      </c>
      <c r="F212" s="1" t="s">
        <v>331</v>
      </c>
      <c r="G212" s="16">
        <v>45192</v>
      </c>
      <c r="H212" s="1">
        <v>3774912746</v>
      </c>
      <c r="I212" s="16">
        <v>45190</v>
      </c>
      <c r="J212" s="1" t="s">
        <v>332</v>
      </c>
      <c r="K212" s="1">
        <v>25</v>
      </c>
      <c r="L212" s="1" t="s">
        <v>49</v>
      </c>
      <c r="M212" s="1" t="s">
        <v>326</v>
      </c>
      <c r="N212" s="1">
        <v>58071000</v>
      </c>
      <c r="O212" s="1">
        <v>10</v>
      </c>
      <c r="P212" s="1">
        <v>11</v>
      </c>
      <c r="Q212" s="1">
        <v>2.5</v>
      </c>
      <c r="R212" s="1" t="s">
        <v>44</v>
      </c>
      <c r="S212" s="1">
        <v>2</v>
      </c>
      <c r="T212" s="1">
        <v>0.09</v>
      </c>
      <c r="U212" s="1" t="s">
        <v>42</v>
      </c>
      <c r="V212" s="1">
        <v>15358</v>
      </c>
      <c r="W212" s="1" t="s">
        <v>67</v>
      </c>
      <c r="X212" s="1" t="s">
        <v>40</v>
      </c>
      <c r="Y212" s="1">
        <v>1382.22</v>
      </c>
      <c r="Z212">
        <f t="shared" si="3"/>
        <v>1382.22</v>
      </c>
    </row>
    <row r="213" spans="1:26" x14ac:dyDescent="0.25">
      <c r="A213" s="1">
        <v>210</v>
      </c>
      <c r="B213" s="1" t="s">
        <v>6</v>
      </c>
      <c r="C213" s="1" t="s">
        <v>316</v>
      </c>
      <c r="D213" s="1">
        <v>27584</v>
      </c>
      <c r="E213" s="16">
        <v>45195</v>
      </c>
      <c r="F213" s="1" t="s">
        <v>331</v>
      </c>
      <c r="G213" s="16">
        <v>45192</v>
      </c>
      <c r="H213" s="1">
        <v>3774912746</v>
      </c>
      <c r="I213" s="16">
        <v>45190</v>
      </c>
      <c r="J213" s="1" t="s">
        <v>332</v>
      </c>
      <c r="K213" s="1">
        <v>26</v>
      </c>
      <c r="L213" s="1" t="s">
        <v>49</v>
      </c>
      <c r="M213" s="1" t="s">
        <v>325</v>
      </c>
      <c r="N213" s="1">
        <v>49081000</v>
      </c>
      <c r="O213" s="1">
        <v>5</v>
      </c>
      <c r="P213" s="1">
        <v>11</v>
      </c>
      <c r="Q213" s="1">
        <v>2.5</v>
      </c>
      <c r="R213" s="1" t="s">
        <v>44</v>
      </c>
      <c r="S213" s="1">
        <v>2</v>
      </c>
      <c r="T213" s="1">
        <v>0.62</v>
      </c>
      <c r="U213" s="1" t="s">
        <v>42</v>
      </c>
      <c r="V213" s="1">
        <v>15358</v>
      </c>
      <c r="W213" s="1" t="s">
        <v>67</v>
      </c>
      <c r="X213" s="1" t="s">
        <v>40</v>
      </c>
      <c r="Y213" s="1">
        <v>9521.9599999999991</v>
      </c>
      <c r="Z213">
        <f t="shared" si="3"/>
        <v>9521.9599999999991</v>
      </c>
    </row>
    <row r="214" spans="1:26" x14ac:dyDescent="0.25">
      <c r="A214" s="1">
        <v>211</v>
      </c>
      <c r="B214" s="1" t="s">
        <v>6</v>
      </c>
      <c r="C214" s="1" t="s">
        <v>316</v>
      </c>
      <c r="D214" s="1">
        <v>27584</v>
      </c>
      <c r="E214" s="16">
        <v>45195</v>
      </c>
      <c r="F214" s="1" t="s">
        <v>331</v>
      </c>
      <c r="G214" s="16">
        <v>45192</v>
      </c>
      <c r="H214" s="1">
        <v>3774912746</v>
      </c>
      <c r="I214" s="16">
        <v>45190</v>
      </c>
      <c r="J214" s="1" t="s">
        <v>332</v>
      </c>
      <c r="K214" s="1">
        <v>27</v>
      </c>
      <c r="L214" s="1" t="s">
        <v>49</v>
      </c>
      <c r="M214" s="1" t="s">
        <v>323</v>
      </c>
      <c r="N214" s="1">
        <v>48211090</v>
      </c>
      <c r="O214" s="1">
        <v>5</v>
      </c>
      <c r="P214" s="1">
        <v>11</v>
      </c>
      <c r="Q214" s="1">
        <v>2.5</v>
      </c>
      <c r="R214" s="1" t="s">
        <v>44</v>
      </c>
      <c r="S214" s="1">
        <v>2</v>
      </c>
      <c r="T214" s="1">
        <v>0.31</v>
      </c>
      <c r="U214" s="1" t="s">
        <v>42</v>
      </c>
      <c r="V214" s="1">
        <v>15358</v>
      </c>
      <c r="W214" s="1" t="s">
        <v>67</v>
      </c>
      <c r="X214" s="1" t="s">
        <v>40</v>
      </c>
      <c r="Y214" s="1">
        <v>4760.9799999999996</v>
      </c>
      <c r="Z214">
        <f t="shared" si="3"/>
        <v>4760.9799999999996</v>
      </c>
    </row>
    <row r="215" spans="1:26" x14ac:dyDescent="0.25">
      <c r="A215" s="1">
        <v>212</v>
      </c>
      <c r="B215" s="1" t="s">
        <v>6</v>
      </c>
      <c r="C215" s="1" t="s">
        <v>316</v>
      </c>
      <c r="D215" s="1">
        <v>27584</v>
      </c>
      <c r="E215" s="16">
        <v>45195</v>
      </c>
      <c r="F215" s="1" t="s">
        <v>331</v>
      </c>
      <c r="G215" s="16">
        <v>45192</v>
      </c>
      <c r="H215" s="1">
        <v>3774912746</v>
      </c>
      <c r="I215" s="16">
        <v>45190</v>
      </c>
      <c r="J215" s="1" t="s">
        <v>332</v>
      </c>
      <c r="K215" s="1">
        <v>28</v>
      </c>
      <c r="L215" s="1" t="s">
        <v>49</v>
      </c>
      <c r="M215" s="1" t="s">
        <v>320</v>
      </c>
      <c r="N215" s="1">
        <v>58071000</v>
      </c>
      <c r="O215" s="1">
        <v>10</v>
      </c>
      <c r="P215" s="1">
        <v>11</v>
      </c>
      <c r="Q215" s="1">
        <v>2.5</v>
      </c>
      <c r="R215" s="1" t="s">
        <v>44</v>
      </c>
      <c r="S215" s="1">
        <v>2</v>
      </c>
      <c r="T215" s="1">
        <v>0.16</v>
      </c>
      <c r="U215" s="1" t="s">
        <v>42</v>
      </c>
      <c r="V215" s="1">
        <v>15358</v>
      </c>
      <c r="W215" s="1" t="s">
        <v>67</v>
      </c>
      <c r="X215" s="1" t="s">
        <v>40</v>
      </c>
      <c r="Y215" s="1">
        <v>2457.2800000000002</v>
      </c>
      <c r="Z215">
        <f t="shared" si="3"/>
        <v>2457.2800000000002</v>
      </c>
    </row>
    <row r="216" spans="1:26" x14ac:dyDescent="0.25">
      <c r="A216" s="1">
        <v>213</v>
      </c>
      <c r="B216" s="1" t="s">
        <v>6</v>
      </c>
      <c r="C216" s="1" t="s">
        <v>316</v>
      </c>
      <c r="D216" s="1">
        <v>27584</v>
      </c>
      <c r="E216" s="16">
        <v>45195</v>
      </c>
      <c r="F216" s="1" t="s">
        <v>331</v>
      </c>
      <c r="G216" s="16">
        <v>45192</v>
      </c>
      <c r="H216" s="1">
        <v>3774912746</v>
      </c>
      <c r="I216" s="16">
        <v>45190</v>
      </c>
      <c r="J216" s="1" t="s">
        <v>332</v>
      </c>
      <c r="K216" s="1">
        <v>29</v>
      </c>
      <c r="L216" s="1" t="s">
        <v>49</v>
      </c>
      <c r="M216" s="1" t="s">
        <v>326</v>
      </c>
      <c r="N216" s="1">
        <v>58071000</v>
      </c>
      <c r="O216" s="1">
        <v>10</v>
      </c>
      <c r="P216" s="1">
        <v>11</v>
      </c>
      <c r="Q216" s="1">
        <v>2.5</v>
      </c>
      <c r="R216" s="1" t="s">
        <v>44</v>
      </c>
      <c r="S216" s="1">
        <v>2</v>
      </c>
      <c r="T216" s="1">
        <v>0.09</v>
      </c>
      <c r="U216" s="1" t="s">
        <v>42</v>
      </c>
      <c r="V216" s="1">
        <v>15358</v>
      </c>
      <c r="W216" s="1" t="s">
        <v>67</v>
      </c>
      <c r="X216" s="1" t="s">
        <v>40</v>
      </c>
      <c r="Y216" s="1">
        <v>1382.22</v>
      </c>
      <c r="Z216">
        <f t="shared" si="3"/>
        <v>1382.22</v>
      </c>
    </row>
    <row r="217" spans="1:26" x14ac:dyDescent="0.25">
      <c r="A217" s="1">
        <v>214</v>
      </c>
      <c r="B217" s="1" t="s">
        <v>6</v>
      </c>
      <c r="C217" s="1" t="s">
        <v>316</v>
      </c>
      <c r="D217" s="1">
        <v>27584</v>
      </c>
      <c r="E217" s="16">
        <v>45195</v>
      </c>
      <c r="F217" s="1" t="s">
        <v>331</v>
      </c>
      <c r="G217" s="16">
        <v>45192</v>
      </c>
      <c r="H217" s="1">
        <v>3774912746</v>
      </c>
      <c r="I217" s="16">
        <v>45190</v>
      </c>
      <c r="J217" s="1" t="s">
        <v>332</v>
      </c>
      <c r="K217" s="1">
        <v>30</v>
      </c>
      <c r="L217" s="1" t="s">
        <v>49</v>
      </c>
      <c r="M217" s="1" t="s">
        <v>329</v>
      </c>
      <c r="N217" s="1">
        <v>52041900</v>
      </c>
      <c r="O217" s="1">
        <v>7.5</v>
      </c>
      <c r="P217" s="1">
        <v>11</v>
      </c>
      <c r="Q217" s="1">
        <v>2.5</v>
      </c>
      <c r="R217" s="1" t="s">
        <v>44</v>
      </c>
      <c r="S217" s="1">
        <v>1</v>
      </c>
      <c r="T217" s="1">
        <v>2.34</v>
      </c>
      <c r="U217" s="1" t="s">
        <v>42</v>
      </c>
      <c r="V217" s="1">
        <v>15358</v>
      </c>
      <c r="W217" s="1" t="s">
        <v>67</v>
      </c>
      <c r="X217" s="1" t="s">
        <v>40</v>
      </c>
      <c r="Y217" s="1">
        <v>35937.72</v>
      </c>
      <c r="Z217">
        <f t="shared" si="3"/>
        <v>35937.72</v>
      </c>
    </row>
    <row r="218" spans="1:26" x14ac:dyDescent="0.25">
      <c r="A218" s="1">
        <v>215</v>
      </c>
      <c r="B218" s="1" t="s">
        <v>6</v>
      </c>
      <c r="C218" s="1" t="s">
        <v>316</v>
      </c>
      <c r="D218" s="1">
        <v>27584</v>
      </c>
      <c r="E218" s="16">
        <v>45195</v>
      </c>
      <c r="F218" s="1" t="s">
        <v>331</v>
      </c>
      <c r="G218" s="16">
        <v>45192</v>
      </c>
      <c r="H218" s="1">
        <v>3774912746</v>
      </c>
      <c r="I218" s="16">
        <v>45190</v>
      </c>
      <c r="J218" s="1" t="s">
        <v>332</v>
      </c>
      <c r="K218" s="1">
        <v>31</v>
      </c>
      <c r="L218" s="1" t="s">
        <v>49</v>
      </c>
      <c r="M218" s="1" t="s">
        <v>323</v>
      </c>
      <c r="N218" s="1">
        <v>48211090</v>
      </c>
      <c r="O218" s="1">
        <v>5</v>
      </c>
      <c r="P218" s="1">
        <v>11</v>
      </c>
      <c r="Q218" s="1">
        <v>2.5</v>
      </c>
      <c r="R218" s="1" t="s">
        <v>44</v>
      </c>
      <c r="S218" s="1">
        <v>2</v>
      </c>
      <c r="T218" s="1">
        <v>0.31</v>
      </c>
      <c r="U218" s="1" t="s">
        <v>42</v>
      </c>
      <c r="V218" s="1">
        <v>15358</v>
      </c>
      <c r="W218" s="1" t="s">
        <v>67</v>
      </c>
      <c r="X218" s="1" t="s">
        <v>40</v>
      </c>
      <c r="Y218" s="1">
        <v>4760.9799999999996</v>
      </c>
      <c r="Z218">
        <f t="shared" si="3"/>
        <v>4760.9799999999996</v>
      </c>
    </row>
    <row r="219" spans="1:26" x14ac:dyDescent="0.25">
      <c r="A219" s="1">
        <v>216</v>
      </c>
      <c r="B219" s="1" t="s">
        <v>6</v>
      </c>
      <c r="C219" s="1" t="s">
        <v>334</v>
      </c>
      <c r="D219" s="1">
        <v>27765</v>
      </c>
      <c r="E219" s="16">
        <v>45196</v>
      </c>
      <c r="F219" s="1" t="s">
        <v>48</v>
      </c>
      <c r="G219" s="16">
        <v>45189</v>
      </c>
      <c r="H219" s="1">
        <v>1668954416</v>
      </c>
      <c r="I219" s="16">
        <v>45189</v>
      </c>
      <c r="J219" s="1" t="s">
        <v>336</v>
      </c>
      <c r="K219" s="1">
        <v>1</v>
      </c>
      <c r="L219" s="1" t="s">
        <v>49</v>
      </c>
      <c r="M219" s="1" t="s">
        <v>335</v>
      </c>
      <c r="N219" s="1">
        <v>60069000</v>
      </c>
      <c r="O219" s="1">
        <v>15</v>
      </c>
      <c r="P219" s="1">
        <v>11</v>
      </c>
      <c r="Q219" s="1">
        <v>2.5</v>
      </c>
      <c r="R219" s="1" t="s">
        <v>51</v>
      </c>
      <c r="S219" s="1">
        <v>17</v>
      </c>
      <c r="T219" s="1">
        <v>51.46</v>
      </c>
      <c r="U219" s="1" t="s">
        <v>42</v>
      </c>
      <c r="V219" s="1">
        <v>15386</v>
      </c>
      <c r="W219" s="1" t="s">
        <v>43</v>
      </c>
      <c r="X219" s="1" t="s">
        <v>40</v>
      </c>
      <c r="Y219" s="1">
        <v>791763.56</v>
      </c>
      <c r="Z219">
        <f t="shared" si="3"/>
        <v>791763.56</v>
      </c>
    </row>
    <row r="220" spans="1:26" x14ac:dyDescent="0.25">
      <c r="A220" s="1">
        <v>217</v>
      </c>
      <c r="B220" s="1" t="s">
        <v>6</v>
      </c>
      <c r="C220" s="1" t="s">
        <v>339</v>
      </c>
      <c r="D220" s="1">
        <v>27946</v>
      </c>
      <c r="E220" s="16">
        <v>45198</v>
      </c>
      <c r="F220" s="1" t="s">
        <v>345</v>
      </c>
      <c r="G220" s="16">
        <v>45196</v>
      </c>
      <c r="H220" s="1">
        <v>7206085611</v>
      </c>
      <c r="I220" s="16">
        <v>45196</v>
      </c>
      <c r="J220" s="1" t="s">
        <v>346</v>
      </c>
      <c r="K220" s="1">
        <v>1</v>
      </c>
      <c r="L220" s="1" t="s">
        <v>49</v>
      </c>
      <c r="M220" s="1" t="s">
        <v>341</v>
      </c>
      <c r="N220" s="1">
        <v>96071900</v>
      </c>
      <c r="O220" s="1">
        <v>15</v>
      </c>
      <c r="P220" s="1">
        <v>11</v>
      </c>
      <c r="Q220" s="1">
        <v>2.5</v>
      </c>
      <c r="R220" s="1" t="s">
        <v>44</v>
      </c>
      <c r="S220" s="1">
        <v>10</v>
      </c>
      <c r="T220" s="1">
        <v>418.62</v>
      </c>
      <c r="U220" s="1" t="s">
        <v>104</v>
      </c>
      <c r="V220" s="1">
        <v>103.9918</v>
      </c>
      <c r="W220" s="1" t="s">
        <v>286</v>
      </c>
      <c r="X220" s="1" t="s">
        <v>40</v>
      </c>
      <c r="Y220" s="1">
        <v>43533.05</v>
      </c>
      <c r="Z220">
        <f t="shared" si="3"/>
        <v>43533.047315999996</v>
      </c>
    </row>
    <row r="221" spans="1:26" x14ac:dyDescent="0.25">
      <c r="A221" s="1">
        <v>218</v>
      </c>
      <c r="B221" s="1" t="s">
        <v>6</v>
      </c>
      <c r="C221" s="1" t="s">
        <v>340</v>
      </c>
      <c r="D221" s="1">
        <v>27957</v>
      </c>
      <c r="E221" s="16">
        <v>45198</v>
      </c>
      <c r="F221" s="1" t="s">
        <v>347</v>
      </c>
      <c r="G221" s="16">
        <v>45195</v>
      </c>
      <c r="H221" s="1">
        <v>4910013124</v>
      </c>
      <c r="I221" s="16">
        <v>45195</v>
      </c>
      <c r="J221" s="1" t="s">
        <v>57</v>
      </c>
      <c r="K221" s="1">
        <v>3</v>
      </c>
      <c r="L221" s="1" t="s">
        <v>49</v>
      </c>
      <c r="M221" s="1" t="s">
        <v>342</v>
      </c>
      <c r="N221" s="1">
        <v>62114390</v>
      </c>
      <c r="O221" s="1">
        <v>25</v>
      </c>
      <c r="P221" s="1">
        <v>11</v>
      </c>
      <c r="Q221" s="1">
        <v>7.5</v>
      </c>
      <c r="R221" s="1" t="s">
        <v>44</v>
      </c>
      <c r="S221" s="1">
        <v>1</v>
      </c>
      <c r="T221" s="1">
        <v>10.06</v>
      </c>
      <c r="U221" s="1" t="s">
        <v>42</v>
      </c>
      <c r="V221" s="1">
        <v>15386</v>
      </c>
      <c r="W221" s="1" t="s">
        <v>67</v>
      </c>
      <c r="X221" s="1" t="s">
        <v>40</v>
      </c>
      <c r="Y221" s="1">
        <v>154783.16</v>
      </c>
      <c r="Z221">
        <f t="shared" si="3"/>
        <v>154783.16</v>
      </c>
    </row>
    <row r="222" spans="1:26" x14ac:dyDescent="0.25">
      <c r="A222" s="1">
        <v>219</v>
      </c>
      <c r="B222" s="1" t="s">
        <v>6</v>
      </c>
      <c r="C222" s="1" t="s">
        <v>340</v>
      </c>
      <c r="D222" s="1">
        <v>27957</v>
      </c>
      <c r="E222" s="16">
        <v>45198</v>
      </c>
      <c r="F222" s="1" t="s">
        <v>347</v>
      </c>
      <c r="G222" s="16">
        <v>45195</v>
      </c>
      <c r="H222" s="1">
        <v>4910013124</v>
      </c>
      <c r="I222" s="16">
        <v>45195</v>
      </c>
      <c r="J222" s="1" t="s">
        <v>57</v>
      </c>
      <c r="K222" s="1">
        <v>1</v>
      </c>
      <c r="L222" s="1" t="s">
        <v>49</v>
      </c>
      <c r="M222" s="1" t="s">
        <v>343</v>
      </c>
      <c r="N222" s="1">
        <v>62114390</v>
      </c>
      <c r="O222" s="1">
        <v>25</v>
      </c>
      <c r="P222" s="1">
        <v>11</v>
      </c>
      <c r="Q222" s="1">
        <v>7.5</v>
      </c>
      <c r="R222" s="1" t="s">
        <v>44</v>
      </c>
      <c r="S222" s="1">
        <v>2</v>
      </c>
      <c r="T222" s="1">
        <v>20.13</v>
      </c>
      <c r="U222" s="1" t="s">
        <v>42</v>
      </c>
      <c r="V222" s="1">
        <v>15386</v>
      </c>
      <c r="W222" s="1" t="s">
        <v>67</v>
      </c>
      <c r="X222" s="1" t="s">
        <v>40</v>
      </c>
      <c r="Y222" s="1">
        <v>309720.18</v>
      </c>
      <c r="Z222">
        <f t="shared" si="3"/>
        <v>309720.18</v>
      </c>
    </row>
    <row r="223" spans="1:26" x14ac:dyDescent="0.25">
      <c r="A223" s="1">
        <v>220</v>
      </c>
      <c r="B223" s="1" t="s">
        <v>6</v>
      </c>
      <c r="C223" s="1" t="s">
        <v>340</v>
      </c>
      <c r="D223" s="1">
        <v>27957</v>
      </c>
      <c r="E223" s="16">
        <v>45198</v>
      </c>
      <c r="F223" s="1" t="s">
        <v>347</v>
      </c>
      <c r="G223" s="16">
        <v>45195</v>
      </c>
      <c r="H223" s="1">
        <v>4910013124</v>
      </c>
      <c r="I223" s="16">
        <v>45195</v>
      </c>
      <c r="J223" s="1" t="s">
        <v>57</v>
      </c>
      <c r="K223" s="1">
        <v>2</v>
      </c>
      <c r="L223" s="1" t="s">
        <v>49</v>
      </c>
      <c r="M223" s="1" t="s">
        <v>344</v>
      </c>
      <c r="N223" s="1">
        <v>62114390</v>
      </c>
      <c r="O223" s="1">
        <v>25</v>
      </c>
      <c r="P223" s="1">
        <v>11</v>
      </c>
      <c r="Q223" s="1">
        <v>7.5</v>
      </c>
      <c r="R223" s="1" t="s">
        <v>44</v>
      </c>
      <c r="S223" s="1">
        <v>1</v>
      </c>
      <c r="T223" s="1">
        <v>10.06</v>
      </c>
      <c r="U223" s="1" t="s">
        <v>42</v>
      </c>
      <c r="V223" s="1">
        <v>15386</v>
      </c>
      <c r="W223" s="1" t="s">
        <v>67</v>
      </c>
      <c r="X223" s="1" t="s">
        <v>40</v>
      </c>
      <c r="Y223" s="1">
        <v>154783.16</v>
      </c>
      <c r="Z223">
        <f t="shared" si="3"/>
        <v>154783.16</v>
      </c>
    </row>
    <row r="224" spans="1:26" x14ac:dyDescent="0.25">
      <c r="E224" s="9"/>
      <c r="G224" s="9"/>
      <c r="I224" s="9"/>
      <c r="S224">
        <f>SUM(S4:S223)</f>
        <v>860975.1</v>
      </c>
      <c r="T224">
        <f>SUM(T4:T223)</f>
        <v>30004477.360000011</v>
      </c>
    </row>
    <row r="225" spans="5:9" x14ac:dyDescent="0.25">
      <c r="E225" s="9"/>
      <c r="G225" s="9"/>
      <c r="I225" s="9"/>
    </row>
    <row r="226" spans="5:9" x14ac:dyDescent="0.25">
      <c r="E226" s="9"/>
      <c r="G226" s="9"/>
      <c r="I226" s="9"/>
    </row>
    <row r="227" spans="5:9" x14ac:dyDescent="0.25">
      <c r="E227" s="9"/>
      <c r="G227" s="9"/>
      <c r="I227" s="9"/>
    </row>
    <row r="228" spans="5:9" x14ac:dyDescent="0.25">
      <c r="E228" s="9"/>
      <c r="G228" s="9"/>
      <c r="I228" s="9"/>
    </row>
    <row r="229" spans="5:9" x14ac:dyDescent="0.25">
      <c r="E229" s="9"/>
      <c r="G229" s="9"/>
      <c r="I229" s="9"/>
    </row>
    <row r="230" spans="5:9" x14ac:dyDescent="0.25">
      <c r="E230" s="9"/>
      <c r="G230" s="9"/>
      <c r="I230" s="9"/>
    </row>
    <row r="231" spans="5:9" x14ac:dyDescent="0.25">
      <c r="E231" s="9"/>
      <c r="G231" s="9"/>
      <c r="I231" s="9"/>
    </row>
    <row r="232" spans="5:9" x14ac:dyDescent="0.25">
      <c r="E232" s="9"/>
      <c r="G232" s="9"/>
      <c r="I232" s="9"/>
    </row>
    <row r="233" spans="5:9" x14ac:dyDescent="0.25">
      <c r="E233" s="9"/>
      <c r="G233" s="9"/>
      <c r="I233" s="9"/>
    </row>
    <row r="234" spans="5:9" x14ac:dyDescent="0.25">
      <c r="E234" s="9"/>
      <c r="G234" s="9"/>
      <c r="I234" s="9"/>
    </row>
    <row r="235" spans="5:9" x14ac:dyDescent="0.25">
      <c r="E235" s="9"/>
      <c r="G235" s="9"/>
      <c r="I235" s="9"/>
    </row>
    <row r="236" spans="5:9" x14ac:dyDescent="0.25">
      <c r="E236" s="9"/>
      <c r="G236" s="9"/>
      <c r="I236" s="9"/>
    </row>
    <row r="237" spans="5:9" x14ac:dyDescent="0.25">
      <c r="E237" s="9"/>
      <c r="G237" s="9"/>
      <c r="I237" s="9"/>
    </row>
    <row r="238" spans="5:9" x14ac:dyDescent="0.25">
      <c r="E238" s="9"/>
      <c r="G238" s="9"/>
      <c r="I238" s="9"/>
    </row>
    <row r="239" spans="5:9" x14ac:dyDescent="0.25">
      <c r="E239" s="9"/>
      <c r="G239" s="9"/>
      <c r="I239" s="9"/>
    </row>
    <row r="240" spans="5:9" x14ac:dyDescent="0.25">
      <c r="E240" s="9"/>
      <c r="G240" s="9"/>
      <c r="I240" s="9"/>
    </row>
    <row r="241" spans="5:9" x14ac:dyDescent="0.25">
      <c r="E241" s="9"/>
      <c r="G241" s="9"/>
      <c r="I241" s="9"/>
    </row>
    <row r="242" spans="5:9" x14ac:dyDescent="0.25">
      <c r="E242" s="9"/>
      <c r="G242" s="9"/>
      <c r="I242" s="9"/>
    </row>
    <row r="243" spans="5:9" x14ac:dyDescent="0.25">
      <c r="E243" s="9"/>
      <c r="G243" s="9"/>
      <c r="I243" s="9"/>
    </row>
    <row r="244" spans="5:9" x14ac:dyDescent="0.25">
      <c r="E244" s="9"/>
      <c r="G244" s="9"/>
      <c r="I244" s="9"/>
    </row>
    <row r="245" spans="5:9" x14ac:dyDescent="0.25">
      <c r="E245" s="9"/>
      <c r="G245" s="9"/>
      <c r="I245" s="9"/>
    </row>
    <row r="246" spans="5:9" x14ac:dyDescent="0.25">
      <c r="E246" s="9"/>
      <c r="G246" s="9"/>
      <c r="I246" s="9"/>
    </row>
    <row r="247" spans="5:9" x14ac:dyDescent="0.25">
      <c r="E247" s="9"/>
      <c r="G247" s="9"/>
      <c r="I247" s="9"/>
    </row>
    <row r="248" spans="5:9" x14ac:dyDescent="0.25">
      <c r="E248" s="9"/>
      <c r="G248" s="9"/>
      <c r="I248" s="9"/>
    </row>
    <row r="249" spans="5:9" x14ac:dyDescent="0.25">
      <c r="E249" s="9"/>
      <c r="G249" s="9"/>
      <c r="I249" s="9"/>
    </row>
    <row r="250" spans="5:9" x14ac:dyDescent="0.25">
      <c r="E250" s="9"/>
      <c r="G250" s="9"/>
      <c r="I250" s="9"/>
    </row>
    <row r="251" spans="5:9" x14ac:dyDescent="0.25">
      <c r="E251" s="9"/>
      <c r="G251" s="9"/>
      <c r="I251" s="9"/>
    </row>
    <row r="252" spans="5:9" x14ac:dyDescent="0.25">
      <c r="E252" s="9"/>
      <c r="G252" s="9"/>
      <c r="I252" s="9"/>
    </row>
    <row r="253" spans="5:9" x14ac:dyDescent="0.25">
      <c r="E253" s="9"/>
      <c r="G253" s="9"/>
      <c r="I253" s="9"/>
    </row>
    <row r="254" spans="5:9" x14ac:dyDescent="0.25">
      <c r="E254" s="9"/>
      <c r="G254" s="9"/>
      <c r="I254" s="9"/>
    </row>
  </sheetData>
  <autoFilter ref="A3:Y3" xr:uid="{F94CF0A3-CDD2-40B3-94B9-CBE7422A61D9}"/>
  <mergeCells count="2">
    <mergeCell ref="A2:B2"/>
    <mergeCell ref="D1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STATUS</vt:lpstr>
      <vt:lpstr>RPA</vt:lpstr>
      <vt:lpstr>BANTUAN</vt:lpstr>
      <vt:lpstr>Tarikan_TPB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aldi prasetyo</cp:lastModifiedBy>
  <dcterms:created xsi:type="dcterms:W3CDTF">2023-09-07T03:13:32Z</dcterms:created>
  <dcterms:modified xsi:type="dcterms:W3CDTF">2023-10-02T09:29:10Z</dcterms:modified>
</cp:coreProperties>
</file>