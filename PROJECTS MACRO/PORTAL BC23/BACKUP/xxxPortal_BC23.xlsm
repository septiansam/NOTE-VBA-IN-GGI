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ORTAL BC23\"/>
    </mc:Choice>
  </mc:AlternateContent>
  <xr:revisionPtr revIDLastSave="0" documentId="13_ncr:1_{181705FD-4EDC-4483-B258-3E479FA1DED1}" xr6:coauthVersionLast="47" xr6:coauthVersionMax="47" xr10:uidLastSave="{00000000-0000-0000-0000-000000000000}"/>
  <bookViews>
    <workbookView xWindow="-120" yWindow="-120" windowWidth="20730" windowHeight="11160" activeTab="1" xr2:uid="{C86B6822-02DA-4590-ADEA-A975829E23FB}"/>
  </bookViews>
  <sheets>
    <sheet name="STATUS" sheetId="102" r:id="rId1"/>
    <sheet name="RPA" sheetId="3" r:id="rId2"/>
    <sheet name="BANTUAN" sheetId="1" r:id="rId3"/>
    <sheet name="Tarikan_TPB" sheetId="101" r:id="rId4"/>
  </sheets>
  <definedNames>
    <definedName name="_xlnm._FilterDatabase" localSheetId="3" hidden="1">Tarikan_TPB!$C$6:$C$125</definedName>
    <definedName name="_xlnm.Extract" localSheetId="3">Tarikan_TPB!$SAM$1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Y2" i="101"/>
  <c r="Y4" i="101"/>
  <c r="T226" i="101"/>
  <c r="S226" i="101"/>
</calcChain>
</file>

<file path=xl/sharedStrings.xml><?xml version="1.0" encoding="utf-8"?>
<sst xmlns="http://schemas.openxmlformats.org/spreadsheetml/2006/main" count="1323" uniqueCount="147">
  <si>
    <t>Kode Kantor Pengawas</t>
  </si>
  <si>
    <t xml:space="preserve">Kode Dokumen </t>
  </si>
  <si>
    <t>Tanggal Daftar</t>
  </si>
  <si>
    <t>Nama File</t>
  </si>
  <si>
    <t>BANDUNG</t>
  </si>
  <si>
    <t>Path File</t>
  </si>
  <si>
    <t>BC 23</t>
  </si>
  <si>
    <t>\\10.8.0.35\Bersama\IT\SEPTIAN\PORTAL BC23\FILE PORTAL</t>
  </si>
  <si>
    <t>NO</t>
  </si>
  <si>
    <t>NOMOR AJU</t>
  </si>
  <si>
    <t>NOMOR DAFTAR</t>
  </si>
  <si>
    <t>TANGGAL DAFTAR</t>
  </si>
  <si>
    <t>KURS</t>
  </si>
  <si>
    <t>DOKUMEN</t>
  </si>
  <si>
    <t>NOMOR INVOICE</t>
  </si>
  <si>
    <t>TANGGAL INVOICE</t>
  </si>
  <si>
    <t>NOMOR BL/AWB</t>
  </si>
  <si>
    <t>TANGGAL BL/AWB</t>
  </si>
  <si>
    <t>NAMA PEMASOK/PENGIRIM</t>
  </si>
  <si>
    <t>SERI BARANG</t>
  </si>
  <si>
    <t>KODE BARANG</t>
  </si>
  <si>
    <t>NAMA BARANG</t>
  </si>
  <si>
    <t>KODE HS</t>
  </si>
  <si>
    <t>TARIF BM %</t>
  </si>
  <si>
    <t>TARIF PPN %</t>
  </si>
  <si>
    <t>TARIF PPH %</t>
  </si>
  <si>
    <t>SATUAN</t>
  </si>
  <si>
    <t>JUMLAH</t>
  </si>
  <si>
    <t>NILAI BARANG</t>
  </si>
  <si>
    <t>VALUTA</t>
  </si>
  <si>
    <t>KODE NEGARA PEMASOK</t>
  </si>
  <si>
    <t>DATA SOURCE</t>
  </si>
  <si>
    <t>TOTAL RP</t>
  </si>
  <si>
    <t>TGL TARIKAN DATA</t>
  </si>
  <si>
    <t>NAMA FILE</t>
  </si>
  <si>
    <t>PROSES</t>
  </si>
  <si>
    <t>2023_SEPTEMBER_20230906_115000</t>
  </si>
  <si>
    <t>HISTORY</t>
  </si>
  <si>
    <t>STATUS</t>
  </si>
  <si>
    <t>FILE PORTAL BC 23</t>
  </si>
  <si>
    <t>DONE</t>
  </si>
  <si>
    <t>UNTUK MEMBUAT NAMA FILE NYA</t>
  </si>
  <si>
    <t>GUNAKAN TOMBOL DIBAWAH INI</t>
  </si>
  <si>
    <t>ISI TANGGAL BERAPA</t>
  </si>
  <si>
    <t>JIKA ADA TANGGAL YANG TERLEWAT DI BULAN INI</t>
  </si>
  <si>
    <t>2023_SEPTEMBER_20230904_154044</t>
  </si>
  <si>
    <t>2023_SEPTEMBER_20230905_155201</t>
  </si>
  <si>
    <t>2023_SEPTEMBER_20230910_155410</t>
  </si>
  <si>
    <t>2023_SEPTEMBER_20230911_155442</t>
  </si>
  <si>
    <t>2023_SEPTEMBER_20230912_155524</t>
  </si>
  <si>
    <t>2023_SEPTEMBER_20230913_155601</t>
  </si>
  <si>
    <t>2023_SEPTEMBER_20230915_155700</t>
  </si>
  <si>
    <t>2023_SEPTEMBER_20230917_155806</t>
  </si>
  <si>
    <t>2023_SEPTEMBER_20230918_155844</t>
  </si>
  <si>
    <t>2023_SEPTEMBER_20230919_155922</t>
  </si>
  <si>
    <t>2023_SEPTEMBER_20230921_160036</t>
  </si>
  <si>
    <t>2023_SEPTEMBER_20230922_160206</t>
  </si>
  <si>
    <t>2023_SEPTEMBER_20230925_160300</t>
  </si>
  <si>
    <t>2023_SEPTEMBER_20230907_164038</t>
  </si>
  <si>
    <t>2023_SEPTEMBER_20230908_145054</t>
  </si>
  <si>
    <t>2023_SEPTEMBER_20230926_104720</t>
  </si>
  <si>
    <t>2023_SEPTEMBER_20230927_105013</t>
  </si>
  <si>
    <t>2023_OKTOBER_20231002_160523</t>
  </si>
  <si>
    <t>2023_OKTOBER_20231009_081706</t>
  </si>
  <si>
    <t>ON PROGRES</t>
  </si>
  <si>
    <t>2023_OKTOBER_20231009_111417</t>
  </si>
  <si>
    <t>00002303067620230904008989</t>
  </si>
  <si>
    <t>00002302750620230901007222</t>
  </si>
  <si>
    <t>05052300520520230828000126</t>
  </si>
  <si>
    <t>00002303067620230904008995</t>
  </si>
  <si>
    <t>00002303067620230904008997</t>
  </si>
  <si>
    <t>05052300520520230829000127</t>
  </si>
  <si>
    <t>05052300520520230829000128</t>
  </si>
  <si>
    <t>00002303067620230901008911</t>
  </si>
  <si>
    <t>BC 2.3</t>
  </si>
  <si>
    <t>.</t>
  </si>
  <si>
    <t>-</t>
  </si>
  <si>
    <t>BP0949</t>
  </si>
  <si>
    <t>BP0920</t>
  </si>
  <si>
    <t>BP0854</t>
  </si>
  <si>
    <t>PLASTIC &amp; NYLON ZIPPERS</t>
  </si>
  <si>
    <t>100% POLY FABRIC</t>
  </si>
  <si>
    <t>NYLON CARE LABEL</t>
  </si>
  <si>
    <t>POLYESTER CARE LABEL</t>
  </si>
  <si>
    <t>POLYPROPYLENE BAG</t>
  </si>
  <si>
    <t>POLYESTER WOVEN NAME</t>
  </si>
  <si>
    <t>POLYESTER SIZE NAME</t>
  </si>
  <si>
    <t>JAN CODE SEAL</t>
  </si>
  <si>
    <t>PAPER STYLE NO SEAL</t>
  </si>
  <si>
    <t>NYLON STYLE NO/SIZE NAME</t>
  </si>
  <si>
    <t>UREA BUTTON</t>
  </si>
  <si>
    <t>POLYESTER ERASTIC GOMME</t>
  </si>
  <si>
    <t>CELLOPHAN TAPE</t>
  </si>
  <si>
    <t>POLYESTER MAGIC TAPE</t>
  </si>
  <si>
    <t>POLYESTER TRICOT FABRIC.(DYED)(TATEAMI)</t>
  </si>
  <si>
    <t>PRINTED LABEL 25MMX50MM #NX-NAMELABEL</t>
  </si>
  <si>
    <t>HEAT TRANSFER SHEET 22MMX155MM C/#SIL #REFLECTSHEET-BACK</t>
  </si>
  <si>
    <t>PRINTED LABEL 30MMX50MM#NX-CARELABEL GROUP NXCL(KOUNAI)WINTER FOR TOPS INDONESIA</t>
  </si>
  <si>
    <t>POLYESTER 100% WOVEN FABRIC DYED POPLIN</t>
  </si>
  <si>
    <t>POLYESTER WOVEN LABEL</t>
  </si>
  <si>
    <t>GLPTST POLYESTER 63% COTTON 34% POLYURETHANE 3% DYED FABRIC SLEEK</t>
  </si>
  <si>
    <t>ZIPPER</t>
  </si>
  <si>
    <t>BRASS RIVET BUTTON</t>
  </si>
  <si>
    <t>POLYESTER 100% NON FORMALIN PACKING (ADJUSTER)</t>
  </si>
  <si>
    <t>EYELETS BRASS</t>
  </si>
  <si>
    <t>POST BRASS DOT BUTTON</t>
  </si>
  <si>
    <t>BRASS DOT BUTTON UNDERPARTS STUD &amp; POST</t>
  </si>
  <si>
    <t>BRASS DOT BUTTON (GLADIATOR)</t>
  </si>
  <si>
    <t>POLYESTER 100% DYED FABRIC TAFFETA SLEEK</t>
  </si>
  <si>
    <t>POLYESTER 100% NON WOVEN FABRIC</t>
  </si>
  <si>
    <t>POLYESTER NON WOVEN INTERLINING</t>
  </si>
  <si>
    <t>RAYON WOVEN LABEL</t>
  </si>
  <si>
    <t>NYLON QUICKLON (JA) CUT/TAPE</t>
  </si>
  <si>
    <t>NYLON QUICKLON (JBL) CUT/TAPE</t>
  </si>
  <si>
    <t>POLYESTER SEWING THREAD</t>
  </si>
  <si>
    <t>POLYESTER STRING THREAD</t>
  </si>
  <si>
    <t>GLADIATOR POLYESTER BUTTON</t>
  </si>
  <si>
    <t>BRASS DOT BUTTON</t>
  </si>
  <si>
    <t>POLYPROPYLENE BELT TAPE ROLL</t>
  </si>
  <si>
    <t>PCE</t>
  </si>
  <si>
    <t>MTR</t>
  </si>
  <si>
    <t>RO</t>
  </si>
  <si>
    <t>SET</t>
  </si>
  <si>
    <t>CJ</t>
  </si>
  <si>
    <t>IE00012333</t>
  </si>
  <si>
    <t>YKK POLAND</t>
  </si>
  <si>
    <t xml:space="preserve">WANGQIUJIE 12 C/O CITY KNOW EXPRESS CO </t>
  </si>
  <si>
    <t>3TTS0056</t>
  </si>
  <si>
    <t>ONEYTYODB6000402</t>
  </si>
  <si>
    <t>MARUBENI CORPORATION,</t>
  </si>
  <si>
    <t>5314316-452T23</t>
  </si>
  <si>
    <t>SHIMADA SHOJI CO.,LTD.</t>
  </si>
  <si>
    <t>IV0060027</t>
  </si>
  <si>
    <t>MARUBENI CORPORATION</t>
  </si>
  <si>
    <t>3TTS0055</t>
  </si>
  <si>
    <t>ONEYTYODB6000400</t>
  </si>
  <si>
    <t>3TTS0054</t>
  </si>
  <si>
    <t>ONEYTYODB6000401</t>
  </si>
  <si>
    <t>HOMK-230829-CO-MB101</t>
  </si>
  <si>
    <t>MITSUBOSHI CORPORATION</t>
  </si>
  <si>
    <t>PORTAL</t>
  </si>
  <si>
    <t>USD</t>
  </si>
  <si>
    <t>PL</t>
  </si>
  <si>
    <t>CN</t>
  </si>
  <si>
    <t>JPY</t>
  </si>
  <si>
    <t>JP</t>
  </si>
  <si>
    <t>9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</si>
</sst>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theme="0"/>
      <name val="Arial"/>
      <family val="2"/>
    </font>
    <font>
      <sz val="11"/>
      <color theme="7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3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3" borderId="0" xfId="0" applyFont="1" applyFill="1"/>
    <xf numFmtId="0" fontId="4" fillId="4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5" fontId="0" fillId="0" borderId="0" xfId="0" applyNumberFormat="1"/>
    <xf numFmtId="0" fontId="0" fillId="5" borderId="0" xfId="0" applyFill="1"/>
    <xf numFmtId="0" fontId="0" fillId="6" borderId="0" xfId="0" applyFill="1"/>
    <xf numFmtId="0" fontId="7" fillId="8" borderId="0" xfId="0" applyFont="1" applyFill="1"/>
    <xf numFmtId="0" fontId="7" fillId="0" borderId="0" xfId="0" applyFont="1"/>
    <xf numFmtId="15" fontId="0" fillId="0" borderId="0" xfId="0" applyNumberFormat="1" applyAlignment="1">
      <alignment horizontal="center" vertical="center"/>
    </xf>
    <xf numFmtId="0" fontId="9" fillId="2" borderId="0" xfId="0" applyFont="1" applyFill="1"/>
    <xf numFmtId="0" fontId="8" fillId="2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1" fillId="12" borderId="2" xfId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14" fontId="12" fillId="12" borderId="2" xfId="0" applyNumberFormat="1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955DAF96-996E-46C6-974F-1F6BA09F46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25</xdr:row>
      <xdr:rowOff>8572</xdr:rowOff>
    </xdr:from>
    <xdr:to>
      <xdr:col>1</xdr:col>
      <xdr:colOff>68580</xdr:colOff>
      <xdr:row>27</xdr:row>
      <xdr:rowOff>145732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875" y="4771072"/>
          <a:ext cx="1363980" cy="51816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 b="1">
              <a:solidFill>
                <a:schemeClr val="tx1"/>
              </a:solidFill>
              <a:latin typeface="Comic Sans MS" panose="030F0702030302020204" pitchFamily="66" charset="0"/>
            </a:rPr>
            <a:t>GASKEN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2</xdr:row>
          <xdr:rowOff>123825</xdr:rowOff>
        </xdr:from>
        <xdr:to>
          <xdr:col>4</xdr:col>
          <xdr:colOff>1866900</xdr:colOff>
          <xdr:row>4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8</xdr:row>
      <xdr:rowOff>38099</xdr:rowOff>
    </xdr:from>
    <xdr:to>
      <xdr:col>11</xdr:col>
      <xdr:colOff>438151</xdr:colOff>
      <xdr:row>11</xdr:row>
      <xdr:rowOff>180974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86425" y="1562099"/>
          <a:ext cx="1457326" cy="714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onsolas" panose="020B0609020204030204" pitchFamily="49" charset="0"/>
            </a:rPr>
            <a:t>PROCESS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47625</xdr:rowOff>
        </xdr:from>
        <xdr:to>
          <xdr:col>1</xdr:col>
          <xdr:colOff>171450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%20PORTA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69B3-691A-4587-9E17-BBA07C45A8FA}">
  <sheetPr codeName="Sheet1"/>
  <dimension ref="C2:K25"/>
  <sheetViews>
    <sheetView showGridLines="0" workbookViewId="0">
      <selection activeCell="J23" sqref="J23"/>
    </sheetView>
  </sheetViews>
  <sheetFormatPr defaultColWidth="9.140625" defaultRowHeight="15" x14ac:dyDescent="0.25"/>
  <cols>
    <col min="1" max="2" width="9.140625" style="1"/>
    <col min="3" max="3" width="32.85546875" style="1" bestFit="1" customWidth="1"/>
    <col min="4" max="4" width="10" style="1" customWidth="1"/>
    <col min="5" max="6" width="9.140625" style="1"/>
    <col min="7" max="7" width="32.85546875" style="1" bestFit="1" customWidth="1"/>
    <col min="8" max="8" width="12.42578125" style="1" bestFit="1" customWidth="1"/>
    <col min="9" max="9" width="9.140625" style="1"/>
    <col min="10" max="10" width="32.28515625" style="1" bestFit="1" customWidth="1"/>
    <col min="11" max="11" width="12.42578125" style="1" bestFit="1" customWidth="1"/>
    <col min="12" max="12" width="9.140625" style="1"/>
    <col min="13" max="13" width="32.28515625" style="1" bestFit="1" customWidth="1"/>
    <col min="14" max="16384" width="9.140625" style="1"/>
  </cols>
  <sheetData>
    <row r="2" spans="3:11" ht="15.75" x14ac:dyDescent="0.25">
      <c r="C2" s="23" t="s">
        <v>39</v>
      </c>
      <c r="D2" s="23"/>
      <c r="G2" s="24" t="s">
        <v>37</v>
      </c>
      <c r="H2" s="24"/>
    </row>
    <row r="3" spans="3:11" ht="15.75" x14ac:dyDescent="0.25">
      <c r="C3" s="16" t="s">
        <v>34</v>
      </c>
      <c r="D3" s="16" t="s">
        <v>35</v>
      </c>
      <c r="G3" s="17" t="s">
        <v>34</v>
      </c>
      <c r="H3" s="17" t="s">
        <v>38</v>
      </c>
    </row>
    <row r="4" spans="3:11" x14ac:dyDescent="0.25">
      <c r="C4" s="1" t="s">
        <v>45</v>
      </c>
      <c r="D4" s="1" t="s">
        <v>40</v>
      </c>
      <c r="G4" s="1" t="s">
        <v>45</v>
      </c>
      <c r="H4" s="1" t="s">
        <v>40</v>
      </c>
      <c r="J4" s="1" t="s">
        <v>65</v>
      </c>
      <c r="K4" s="1" t="s">
        <v>40</v>
      </c>
    </row>
    <row r="5" spans="3:11" x14ac:dyDescent="0.25">
      <c r="J5" s="1" t="s">
        <v>45</v>
      </c>
      <c r="K5" s="1" t="s">
        <v>40</v>
      </c>
    </row>
    <row r="6" spans="3:11" x14ac:dyDescent="0.25">
      <c r="J6" s="1" t="s">
        <v>46</v>
      </c>
      <c r="K6" s="1" t="s">
        <v>40</v>
      </c>
    </row>
    <row r="7" spans="3:11" x14ac:dyDescent="0.25">
      <c r="J7" s="1" t="s">
        <v>36</v>
      </c>
      <c r="K7" s="1" t="s">
        <v>40</v>
      </c>
    </row>
    <row r="8" spans="3:11" x14ac:dyDescent="0.25">
      <c r="J8" s="1" t="s">
        <v>58</v>
      </c>
      <c r="K8" s="1" t="s">
        <v>40</v>
      </c>
    </row>
    <row r="9" spans="3:11" x14ac:dyDescent="0.25">
      <c r="J9" s="1" t="s">
        <v>59</v>
      </c>
      <c r="K9" s="1" t="s">
        <v>40</v>
      </c>
    </row>
    <row r="10" spans="3:11" x14ac:dyDescent="0.25">
      <c r="J10" s="1" t="s">
        <v>47</v>
      </c>
      <c r="K10" s="1" t="s">
        <v>40</v>
      </c>
    </row>
    <row r="11" spans="3:11" x14ac:dyDescent="0.25">
      <c r="J11" s="1" t="s">
        <v>48</v>
      </c>
      <c r="K11" s="1" t="s">
        <v>40</v>
      </c>
    </row>
    <row r="12" spans="3:11" x14ac:dyDescent="0.25">
      <c r="J12" s="1" t="s">
        <v>49</v>
      </c>
      <c r="K12" s="1" t="s">
        <v>40</v>
      </c>
    </row>
    <row r="13" spans="3:11" x14ac:dyDescent="0.25">
      <c r="J13" s="1" t="s">
        <v>50</v>
      </c>
      <c r="K13" s="1" t="s">
        <v>40</v>
      </c>
    </row>
    <row r="14" spans="3:11" x14ac:dyDescent="0.25">
      <c r="J14" s="1" t="s">
        <v>51</v>
      </c>
      <c r="K14" s="1" t="s">
        <v>40</v>
      </c>
    </row>
    <row r="15" spans="3:11" x14ac:dyDescent="0.25">
      <c r="J15" s="1" t="s">
        <v>52</v>
      </c>
      <c r="K15" s="1" t="s">
        <v>40</v>
      </c>
    </row>
    <row r="16" spans="3:11" x14ac:dyDescent="0.25">
      <c r="J16" s="1" t="s">
        <v>53</v>
      </c>
      <c r="K16" s="1" t="s">
        <v>40</v>
      </c>
    </row>
    <row r="17" spans="10:11" x14ac:dyDescent="0.25">
      <c r="J17" s="1" t="s">
        <v>54</v>
      </c>
      <c r="K17" s="1" t="s">
        <v>40</v>
      </c>
    </row>
    <row r="18" spans="10:11" x14ac:dyDescent="0.25">
      <c r="J18" s="1" t="s">
        <v>55</v>
      </c>
      <c r="K18" s="1" t="s">
        <v>40</v>
      </c>
    </row>
    <row r="19" spans="10:11" x14ac:dyDescent="0.25">
      <c r="J19" s="1" t="s">
        <v>56</v>
      </c>
      <c r="K19" s="1" t="s">
        <v>40</v>
      </c>
    </row>
    <row r="20" spans="10:11" x14ac:dyDescent="0.25">
      <c r="J20" s="1" t="s">
        <v>57</v>
      </c>
      <c r="K20" s="1" t="s">
        <v>40</v>
      </c>
    </row>
    <row r="21" spans="10:11" x14ac:dyDescent="0.25">
      <c r="J21" s="1" t="s">
        <v>60</v>
      </c>
      <c r="K21" s="1" t="s">
        <v>40</v>
      </c>
    </row>
    <row r="22" spans="10:11" x14ac:dyDescent="0.25">
      <c r="J22" s="1" t="s">
        <v>61</v>
      </c>
      <c r="K22" s="1" t="s">
        <v>40</v>
      </c>
    </row>
    <row r="23" spans="10:11" x14ac:dyDescent="0.25">
      <c r="J23" s="1" t="s">
        <v>62</v>
      </c>
      <c r="K23" s="1" t="s">
        <v>40</v>
      </c>
    </row>
    <row r="24" spans="10:11" x14ac:dyDescent="0.25">
      <c r="J24" s="1" t="s">
        <v>63</v>
      </c>
      <c r="K24" s="1" t="s">
        <v>64</v>
      </c>
    </row>
    <row r="25" spans="10:11" x14ac:dyDescent="0.25">
      <c r="J25" s="1" t="s">
        <v>45</v>
      </c>
      <c r="K25" s="1" t="s">
        <v>64</v>
      </c>
    </row>
  </sheetData>
  <mergeCells count="2">
    <mergeCell ref="C2:D2"/>
    <mergeCell ref="G2:H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2353-5156-49EB-B15C-65230DD0A774}">
  <sheetPr codeName="Sheet3"/>
  <dimension ref="A1:E6"/>
  <sheetViews>
    <sheetView showGridLines="0" tabSelected="1" zoomScale="110" zoomScaleNormal="110" workbookViewId="0">
      <selection activeCell="D7" sqref="D7"/>
    </sheetView>
  </sheetViews>
  <sheetFormatPr defaultColWidth="9.140625" defaultRowHeight="15.75" x14ac:dyDescent="0.25"/>
  <cols>
    <col min="1" max="1" width="24" style="18" bestFit="1" customWidth="1"/>
    <col min="2" max="2" width="16.7109375" style="18" bestFit="1" customWidth="1"/>
    <col min="3" max="3" width="15.42578125" style="18" bestFit="1" customWidth="1"/>
    <col min="4" max="4" width="59.42578125" style="18" bestFit="1" customWidth="1"/>
    <col min="5" max="5" width="37" style="18" bestFit="1" customWidth="1"/>
    <col min="6" max="6" width="32.85546875" style="18" bestFit="1" customWidth="1"/>
    <col min="7" max="16384" width="9.140625" style="18"/>
  </cols>
  <sheetData>
    <row r="1" spans="1:5" ht="24.75" customHeight="1" x14ac:dyDescent="0.25">
      <c r="A1" s="20" t="s">
        <v>0</v>
      </c>
      <c r="B1" s="20" t="s">
        <v>1</v>
      </c>
      <c r="C1" s="20" t="s">
        <v>2</v>
      </c>
      <c r="D1" s="20" t="s">
        <v>5</v>
      </c>
      <c r="E1" s="20" t="s">
        <v>3</v>
      </c>
    </row>
    <row r="2" spans="1:5" x14ac:dyDescent="0.25">
      <c r="A2" s="21" t="s">
        <v>4</v>
      </c>
      <c r="B2" s="21" t="s">
        <v>6</v>
      </c>
      <c r="C2" s="32">
        <v>45025</v>
      </c>
      <c r="D2" s="22" t="s">
        <v>7</v>
      </c>
      <c r="E2" s="21" t="str">
        <f ca="1">YEAR(C2)&amp;"_"&amp;UPPER(TEXT(NOW(),"[$-id-ID]mmmm"))&amp;"_"&amp;YEAR(C2)&amp;DAY(C2)&amp;MONTH(C2)&amp;"_"&amp;TEXT(NOW(),"hhmmss")</f>
        <v>2023_OKTOBER_202394_105518</v>
      </c>
    </row>
    <row r="4" spans="1:5" x14ac:dyDescent="0.25">
      <c r="D4" s="19"/>
    </row>
    <row r="6" spans="1:5" x14ac:dyDescent="0.25">
      <c r="C6" s="19"/>
      <c r="E6" s="18" t="s">
        <v>45</v>
      </c>
    </row>
  </sheetData>
  <sortState xmlns:xlrd2="http://schemas.microsoft.com/office/spreadsheetml/2017/richdata2" ref="F2:F19">
    <sortCondition ref="F2:F19"/>
  </sortState>
  <hyperlinks>
    <hyperlink ref="D2" r:id="rId1" xr:uid="{CF439A40-5ABD-4FCB-8172-F8FA10EF7E9E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4</xdr:col>
                <xdr:colOff>533400</xdr:colOff>
                <xdr:row>2</xdr:row>
                <xdr:rowOff>123825</xdr:rowOff>
              </from>
              <to>
                <xdr:col>4</xdr:col>
                <xdr:colOff>1866900</xdr:colOff>
                <xdr:row>4</xdr:row>
                <xdr:rowOff>171450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7C23-377D-47D5-84D2-32DB39C1BC7A}">
  <sheetPr codeName="Sheet2">
    <pageSetUpPr autoPageBreaks="0"/>
  </sheetPr>
  <dimension ref="A1:Q20"/>
  <sheetViews>
    <sheetView showGridLines="0" topLeftCell="G1" zoomScaleNormal="100" workbookViewId="0">
      <selection activeCell="K8" sqref="K8"/>
    </sheetView>
  </sheetViews>
  <sheetFormatPr defaultRowHeight="15" x14ac:dyDescent="0.25"/>
  <cols>
    <col min="1" max="1" width="10.42578125" style="2" customWidth="1"/>
    <col min="2" max="2" width="10.140625" style="2" customWidth="1"/>
    <col min="3" max="3" width="5.5703125" style="2" customWidth="1"/>
    <col min="4" max="16384" width="9.140625" style="2"/>
  </cols>
  <sheetData>
    <row r="1" spans="1:17" s="9" customFormat="1" ht="10.5" customHeight="1" x14ac:dyDescent="0.25">
      <c r="J1" s="2"/>
      <c r="K1" s="2"/>
      <c r="L1" s="2"/>
    </row>
    <row r="2" spans="1:17" s="9" customFormat="1" ht="9" customHeight="1" x14ac:dyDescent="0.25">
      <c r="J2" s="2"/>
      <c r="K2" s="2"/>
      <c r="L2" s="2"/>
    </row>
    <row r="5" spans="1:17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ht="30.75" customHeight="1" x14ac:dyDescent="0.25">
      <c r="A6" s="25" t="s">
        <v>44</v>
      </c>
      <c r="B6" s="25"/>
      <c r="C6" s="25"/>
      <c r="D6" s="2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25">
      <c r="A7" s="26" t="s">
        <v>42</v>
      </c>
      <c r="B7" s="26"/>
      <c r="C7" s="26"/>
      <c r="D7" s="26"/>
      <c r="E7" s="3"/>
      <c r="F7" s="3"/>
      <c r="G7" s="3"/>
      <c r="H7" s="3"/>
      <c r="I7" s="10"/>
      <c r="J7" s="10"/>
      <c r="K7" s="3"/>
      <c r="L7" s="10"/>
      <c r="M7" s="10"/>
      <c r="N7" s="3"/>
      <c r="O7" s="3"/>
      <c r="P7" s="3"/>
      <c r="Q7" s="3"/>
    </row>
    <row r="8" spans="1:17" x14ac:dyDescent="0.25">
      <c r="A8" s="26" t="s">
        <v>41</v>
      </c>
      <c r="B8" s="26"/>
      <c r="C8" s="26"/>
      <c r="D8" s="26"/>
      <c r="E8" s="3"/>
      <c r="F8" s="3"/>
      <c r="G8" s="3"/>
      <c r="H8" s="3"/>
      <c r="I8" s="10"/>
      <c r="J8" s="3"/>
      <c r="K8" s="3"/>
      <c r="L8" s="3"/>
      <c r="M8" s="10"/>
      <c r="N8" s="3"/>
      <c r="O8" s="3"/>
      <c r="P8" s="3"/>
      <c r="Q8" s="3"/>
    </row>
    <row r="9" spans="1:17" x14ac:dyDescent="0.25">
      <c r="A9" s="14"/>
      <c r="B9" s="14"/>
      <c r="C9" s="14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 x14ac:dyDescent="0.25">
      <c r="A10" s="26" t="s">
        <v>43</v>
      </c>
      <c r="B10" s="26"/>
      <c r="C10" s="15">
        <v>25</v>
      </c>
      <c r="D10" s="14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 x14ac:dyDescent="0.25">
      <c r="A11" s="14"/>
      <c r="B11" s="14"/>
      <c r="C11" s="14"/>
      <c r="D11" s="14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x14ac:dyDescent="0.25">
      <c r="A12" s="14"/>
      <c r="B12" s="14"/>
      <c r="C12" s="14"/>
      <c r="D12" s="14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17" x14ac:dyDescent="0.25">
      <c r="A13" s="14"/>
      <c r="B13" s="14"/>
      <c r="C13" s="14"/>
      <c r="D13" s="14"/>
      <c r="E13" s="3"/>
      <c r="F13" s="3"/>
      <c r="G13" s="3"/>
      <c r="H13" s="3"/>
      <c r="I13" s="10"/>
      <c r="J13" s="3"/>
      <c r="K13" s="3"/>
      <c r="L13" s="3"/>
      <c r="M13" s="10"/>
      <c r="N13" s="3"/>
      <c r="O13" s="3"/>
      <c r="P13" s="3"/>
      <c r="Q13" s="3"/>
    </row>
    <row r="14" spans="1:17" x14ac:dyDescent="0.25">
      <c r="E14" s="3"/>
      <c r="F14" s="3"/>
      <c r="G14" s="3"/>
      <c r="H14" s="3"/>
      <c r="I14" s="10"/>
      <c r="J14" s="10"/>
      <c r="K14" s="3"/>
      <c r="L14" s="10"/>
      <c r="M14" s="10"/>
      <c r="N14" s="3"/>
      <c r="O14" s="3"/>
      <c r="P14" s="3"/>
      <c r="Q14" s="3"/>
    </row>
    <row r="15" spans="1:17" x14ac:dyDescent="0.25"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x14ac:dyDescent="0.25"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9" spans="10:12" s="9" customFormat="1" x14ac:dyDescent="0.25">
      <c r="J19" s="2"/>
      <c r="K19" s="2"/>
      <c r="L19" s="2"/>
    </row>
    <row r="20" spans="10:12" s="9" customFormat="1" x14ac:dyDescent="0.25">
      <c r="J20" s="2"/>
      <c r="K20" s="2"/>
      <c r="L20" s="2"/>
    </row>
  </sheetData>
  <mergeCells count="4">
    <mergeCell ref="A6:D6"/>
    <mergeCell ref="A7:D7"/>
    <mergeCell ref="A8:D8"/>
    <mergeCell ref="A10:B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0</xdr:col>
                <xdr:colOff>0</xdr:colOff>
                <xdr:row>20</xdr:row>
                <xdr:rowOff>47625</xdr:rowOff>
              </from>
              <to>
                <xdr:col>1</xdr:col>
                <xdr:colOff>171450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F0A3-CDD2-40B3-94B9-CBE7422A61D9}">
  <sheetPr codeName="Sheet20"/>
  <dimension ref="A1:SAM256"/>
  <sheetViews>
    <sheetView topLeftCell="T1" zoomScale="80" zoomScaleNormal="80" workbookViewId="0">
      <pane ySplit="5" topLeftCell="A6" activePane="bottomLeft" state="frozen"/>
      <selection pane="bottomLeft" activeCell="A3" sqref="A3:C3"/>
    </sheetView>
  </sheetViews>
  <sheetFormatPr defaultRowHeight="15" x14ac:dyDescent="0.25"/>
  <cols>
    <col min="1" max="1" width="9.42578125" bestFit="1" customWidth="1"/>
    <col min="2" max="2" width="14.7109375" customWidth="1"/>
    <col min="3" max="3" width="29.85546875" bestFit="1" customWidth="1"/>
    <col min="4" max="4" width="16.5703125" bestFit="1" customWidth="1"/>
    <col min="5" max="5" width="18" bestFit="1" customWidth="1"/>
    <col min="6" max="6" width="24.85546875" bestFit="1" customWidth="1"/>
    <col min="7" max="7" width="18" bestFit="1" customWidth="1"/>
    <col min="8" max="8" width="20.28515625" bestFit="1" customWidth="1"/>
    <col min="9" max="9" width="18.140625" bestFit="1" customWidth="1"/>
    <col min="10" max="10" width="43.85546875" bestFit="1" customWidth="1"/>
    <col min="11" max="11" width="13.5703125" bestFit="1" customWidth="1"/>
    <col min="12" max="12" width="15" bestFit="1" customWidth="1"/>
    <col min="13" max="13" width="94.85546875" bestFit="1" customWidth="1"/>
    <col min="14" max="14" width="9.85546875" bestFit="1" customWidth="1"/>
    <col min="15" max="15" width="12.140625" bestFit="1" customWidth="1"/>
    <col min="16" max="17" width="12.7109375" bestFit="1" customWidth="1"/>
    <col min="18" max="18" width="8.7109375" bestFit="1" customWidth="1"/>
    <col min="19" max="19" width="9.85546875" bestFit="1" customWidth="1"/>
    <col min="20" max="20" width="14.42578125" bestFit="1" customWidth="1"/>
    <col min="21" max="21" width="8.42578125" bestFit="1" customWidth="1"/>
    <col min="22" max="22" width="9.85546875" bestFit="1" customWidth="1"/>
    <col min="23" max="23" width="24.5703125" bestFit="1" customWidth="1"/>
    <col min="24" max="24" width="14.28515625" bestFit="1" customWidth="1"/>
    <col min="25" max="25" width="13" bestFit="1" customWidth="1"/>
    <col min="26" max="26" width="12" bestFit="1" customWidth="1"/>
    <col min="27" max="27" width="11" bestFit="1" customWidth="1"/>
    <col min="12881" max="12881" width="29.85546875" bestFit="1" customWidth="1"/>
    <col min="12883" max="12883" width="29.85546875" bestFit="1" customWidth="1"/>
  </cols>
  <sheetData>
    <row r="1" spans="1:25 12881:12883" hidden="1" x14ac:dyDescent="0.25">
      <c r="SAK1" s="1"/>
      <c r="SAL1" s="1"/>
    </row>
    <row r="2" spans="1:25 12881:12883" hidden="1" x14ac:dyDescent="0.25">
      <c r="Y2">
        <f>SUBTOTAL(9,$Y$4:$Y$1048576)</f>
        <v>5604492519.5799971</v>
      </c>
      <c r="SAK2" s="1"/>
      <c r="SAL2" s="1"/>
    </row>
    <row r="3" spans="1:25 12881:12883" x14ac:dyDescent="0.25">
      <c r="A3" s="4" t="s">
        <v>6</v>
      </c>
      <c r="B3" s="4"/>
      <c r="C3" s="5" t="s">
        <v>146</v>
      </c>
      <c r="D3" s="27"/>
      <c r="E3" s="6"/>
      <c r="H3" s="7"/>
      <c r="I3" s="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SAK3" s="1"/>
      <c r="SAL3" s="1"/>
    </row>
    <row r="4" spans="1:25 12881:12883" x14ac:dyDescent="0.25">
      <c r="A4" s="30" t="s">
        <v>33</v>
      </c>
      <c r="B4" s="30"/>
      <c r="C4" s="31">
        <v>45196.656342592592</v>
      </c>
      <c r="D4" s="28"/>
      <c r="E4" s="6"/>
      <c r="H4" s="7"/>
      <c r="I4" s="6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Y4">
        <f>SUBTOTAL(9,$Y$6:$Y$1048576)</f>
        <v>5604492519.5799971</v>
      </c>
      <c r="SAK4" s="1"/>
      <c r="SAL4" s="1"/>
    </row>
    <row r="5" spans="1:25 12881:12883" s="12" customFormat="1" x14ac:dyDescent="0.25">
      <c r="A5" s="29" t="s">
        <v>8</v>
      </c>
      <c r="B5" s="29" t="s">
        <v>13</v>
      </c>
      <c r="C5" s="29" t="s">
        <v>9</v>
      </c>
      <c r="D5" s="11" t="s">
        <v>10</v>
      </c>
      <c r="E5" s="11" t="s">
        <v>11</v>
      </c>
      <c r="F5" s="11" t="s">
        <v>14</v>
      </c>
      <c r="G5" s="11" t="s">
        <v>15</v>
      </c>
      <c r="H5" s="11" t="s">
        <v>16</v>
      </c>
      <c r="I5" s="11" t="s">
        <v>17</v>
      </c>
      <c r="J5" s="11" t="s">
        <v>18</v>
      </c>
      <c r="K5" s="11" t="s">
        <v>19</v>
      </c>
      <c r="L5" s="11" t="s">
        <v>20</v>
      </c>
      <c r="M5" s="11" t="s">
        <v>21</v>
      </c>
      <c r="N5" s="11" t="s">
        <v>22</v>
      </c>
      <c r="O5" s="11" t="s">
        <v>23</v>
      </c>
      <c r="P5" s="11" t="s">
        <v>24</v>
      </c>
      <c r="Q5" s="11" t="s">
        <v>25</v>
      </c>
      <c r="R5" s="11" t="s">
        <v>26</v>
      </c>
      <c r="S5" s="11" t="s">
        <v>27</v>
      </c>
      <c r="T5" s="11" t="s">
        <v>28</v>
      </c>
      <c r="U5" s="11" t="s">
        <v>29</v>
      </c>
      <c r="V5" s="11" t="s">
        <v>12</v>
      </c>
      <c r="W5" s="11" t="s">
        <v>30</v>
      </c>
      <c r="X5" s="11" t="s">
        <v>31</v>
      </c>
      <c r="Y5" s="11" t="s">
        <v>32</v>
      </c>
      <c r="SAK5" s="1"/>
      <c r="SAL5" s="1"/>
      <c r="SAM5"/>
    </row>
    <row r="6" spans="1:25 12881:12883" x14ac:dyDescent="0.25">
      <c r="A6" s="1">
        <v>1</v>
      </c>
      <c r="B6" s="1" t="s">
        <v>74</v>
      </c>
      <c r="C6" s="1" t="s">
        <v>66</v>
      </c>
      <c r="D6" s="1">
        <v>25214</v>
      </c>
      <c r="E6" s="13">
        <v>45173</v>
      </c>
      <c r="F6" s="1" t="s">
        <v>124</v>
      </c>
      <c r="G6" s="13">
        <v>45169</v>
      </c>
      <c r="H6" s="1">
        <v>3483329076</v>
      </c>
      <c r="I6" s="13">
        <v>45169</v>
      </c>
      <c r="J6" s="1" t="s">
        <v>125</v>
      </c>
      <c r="K6" s="1">
        <v>1</v>
      </c>
      <c r="L6" s="1" t="s">
        <v>75</v>
      </c>
      <c r="M6" s="1" t="s">
        <v>80</v>
      </c>
      <c r="N6" s="1">
        <v>96071900</v>
      </c>
      <c r="O6" s="1">
        <v>15</v>
      </c>
      <c r="P6" s="1">
        <v>11</v>
      </c>
      <c r="Q6" s="1">
        <v>2.5</v>
      </c>
      <c r="R6" s="1" t="s">
        <v>119</v>
      </c>
      <c r="S6" s="1">
        <v>500</v>
      </c>
      <c r="T6" s="1">
        <v>450.5</v>
      </c>
      <c r="U6" s="1" t="s">
        <v>141</v>
      </c>
      <c r="V6" s="1">
        <v>15305</v>
      </c>
      <c r="W6" s="1" t="s">
        <v>142</v>
      </c>
      <c r="X6" s="1" t="s">
        <v>140</v>
      </c>
      <c r="Y6" s="1">
        <v>6894902.5</v>
      </c>
      <c r="SAK6" s="1"/>
      <c r="SAL6" s="1"/>
    </row>
    <row r="7" spans="1:25 12881:12883" x14ac:dyDescent="0.25">
      <c r="A7" s="1">
        <v>2</v>
      </c>
      <c r="B7" s="1" t="s">
        <v>74</v>
      </c>
      <c r="C7" s="1" t="s">
        <v>67</v>
      </c>
      <c r="D7" s="1">
        <v>25232</v>
      </c>
      <c r="E7" s="13">
        <v>45173</v>
      </c>
      <c r="F7" s="1" t="s">
        <v>76</v>
      </c>
      <c r="G7" s="13">
        <v>45170</v>
      </c>
      <c r="H7" s="1">
        <v>704030269727</v>
      </c>
      <c r="I7" s="13">
        <v>45170</v>
      </c>
      <c r="J7" s="1" t="s">
        <v>126</v>
      </c>
      <c r="K7" s="1">
        <v>1</v>
      </c>
      <c r="L7" s="1" t="s">
        <v>76</v>
      </c>
      <c r="M7" s="1" t="s">
        <v>81</v>
      </c>
      <c r="N7" s="1">
        <v>60063290</v>
      </c>
      <c r="O7" s="1">
        <v>15</v>
      </c>
      <c r="P7" s="1">
        <v>11</v>
      </c>
      <c r="Q7" s="1">
        <v>2.5</v>
      </c>
      <c r="R7" s="1" t="s">
        <v>120</v>
      </c>
      <c r="S7" s="1">
        <v>1</v>
      </c>
      <c r="T7" s="1">
        <v>32.700000000000003</v>
      </c>
      <c r="U7" s="1" t="s">
        <v>141</v>
      </c>
      <c r="V7" s="1">
        <v>15305</v>
      </c>
      <c r="W7" s="1" t="s">
        <v>143</v>
      </c>
      <c r="X7" s="1" t="s">
        <v>140</v>
      </c>
      <c r="Y7" s="1">
        <v>500473.5</v>
      </c>
      <c r="SAK7" s="1"/>
      <c r="SAL7" s="1"/>
    </row>
    <row r="8" spans="1:25 12881:12883" x14ac:dyDescent="0.25">
      <c r="A8" s="1">
        <v>3</v>
      </c>
      <c r="B8" s="1" t="s">
        <v>74</v>
      </c>
      <c r="C8" s="1" t="s">
        <v>68</v>
      </c>
      <c r="D8" s="1">
        <v>25235</v>
      </c>
      <c r="E8" s="13">
        <v>45173</v>
      </c>
      <c r="F8" s="1" t="s">
        <v>127</v>
      </c>
      <c r="G8" s="13">
        <v>45148</v>
      </c>
      <c r="H8" s="1" t="s">
        <v>128</v>
      </c>
      <c r="I8" s="13">
        <v>45162</v>
      </c>
      <c r="J8" s="1" t="s">
        <v>129</v>
      </c>
      <c r="K8" s="1">
        <v>1</v>
      </c>
      <c r="L8" s="1" t="s">
        <v>77</v>
      </c>
      <c r="M8" s="1" t="s">
        <v>82</v>
      </c>
      <c r="N8" s="1">
        <v>58071000</v>
      </c>
      <c r="O8" s="1">
        <v>10</v>
      </c>
      <c r="P8" s="1">
        <v>11</v>
      </c>
      <c r="Q8" s="1">
        <v>2.5</v>
      </c>
      <c r="R8" s="1" t="s">
        <v>119</v>
      </c>
      <c r="S8" s="1">
        <v>32856</v>
      </c>
      <c r="T8" s="1">
        <v>82140</v>
      </c>
      <c r="U8" s="1" t="s">
        <v>144</v>
      </c>
      <c r="V8" s="1">
        <v>104.9395</v>
      </c>
      <c r="W8" s="1" t="s">
        <v>145</v>
      </c>
      <c r="X8" s="1" t="s">
        <v>140</v>
      </c>
      <c r="Y8" s="1">
        <v>8619730.5299999993</v>
      </c>
      <c r="SAK8" s="1"/>
      <c r="SAL8" s="1"/>
    </row>
    <row r="9" spans="1:25 12881:12883" x14ac:dyDescent="0.25">
      <c r="A9" s="1">
        <v>4</v>
      </c>
      <c r="B9" s="1" t="s">
        <v>74</v>
      </c>
      <c r="C9" s="1" t="s">
        <v>68</v>
      </c>
      <c r="D9" s="1">
        <v>25235</v>
      </c>
      <c r="E9" s="13">
        <v>45173</v>
      </c>
      <c r="F9" s="1" t="s">
        <v>127</v>
      </c>
      <c r="G9" s="13">
        <v>45148</v>
      </c>
      <c r="H9" s="1" t="s">
        <v>128</v>
      </c>
      <c r="I9" s="13">
        <v>45162</v>
      </c>
      <c r="J9" s="1" t="s">
        <v>129</v>
      </c>
      <c r="K9" s="1">
        <v>2</v>
      </c>
      <c r="L9" s="1" t="s">
        <v>77</v>
      </c>
      <c r="M9" s="1" t="s">
        <v>83</v>
      </c>
      <c r="N9" s="1">
        <v>58071000</v>
      </c>
      <c r="O9" s="1">
        <v>10</v>
      </c>
      <c r="P9" s="1">
        <v>11</v>
      </c>
      <c r="Q9" s="1">
        <v>2.5</v>
      </c>
      <c r="R9" s="1" t="s">
        <v>119</v>
      </c>
      <c r="S9" s="1">
        <v>13586</v>
      </c>
      <c r="T9" s="1">
        <v>61137</v>
      </c>
      <c r="U9" s="1" t="s">
        <v>144</v>
      </c>
      <c r="V9" s="1">
        <v>104.9395</v>
      </c>
      <c r="W9" s="1" t="s">
        <v>145</v>
      </c>
      <c r="X9" s="1" t="s">
        <v>140</v>
      </c>
      <c r="Y9" s="1">
        <v>6415686.21</v>
      </c>
    </row>
    <row r="10" spans="1:25 12881:12883" x14ac:dyDescent="0.25">
      <c r="A10" s="1">
        <v>5</v>
      </c>
      <c r="B10" s="1" t="s">
        <v>74</v>
      </c>
      <c r="C10" s="1" t="s">
        <v>68</v>
      </c>
      <c r="D10" s="1">
        <v>25235</v>
      </c>
      <c r="E10" s="13">
        <v>45173</v>
      </c>
      <c r="F10" s="1" t="s">
        <v>127</v>
      </c>
      <c r="G10" s="13">
        <v>45148</v>
      </c>
      <c r="H10" s="1" t="s">
        <v>128</v>
      </c>
      <c r="I10" s="13">
        <v>45162</v>
      </c>
      <c r="J10" s="1" t="s">
        <v>129</v>
      </c>
      <c r="K10" s="1">
        <v>3</v>
      </c>
      <c r="L10" s="1" t="s">
        <v>77</v>
      </c>
      <c r="M10" s="1" t="s">
        <v>84</v>
      </c>
      <c r="N10" s="1">
        <v>39232990</v>
      </c>
      <c r="O10" s="1">
        <v>10</v>
      </c>
      <c r="P10" s="1">
        <v>11</v>
      </c>
      <c r="Q10" s="1">
        <v>2.5</v>
      </c>
      <c r="R10" s="1" t="s">
        <v>119</v>
      </c>
      <c r="S10" s="1">
        <v>29402</v>
      </c>
      <c r="T10" s="1">
        <v>246572</v>
      </c>
      <c r="U10" s="1" t="s">
        <v>144</v>
      </c>
      <c r="V10" s="1">
        <v>104.9395</v>
      </c>
      <c r="W10" s="1" t="s">
        <v>145</v>
      </c>
      <c r="X10" s="1" t="s">
        <v>140</v>
      </c>
      <c r="Y10" s="1">
        <v>25875142.390000001</v>
      </c>
    </row>
    <row r="11" spans="1:25 12881:12883" x14ac:dyDescent="0.25">
      <c r="A11" s="1">
        <v>6</v>
      </c>
      <c r="B11" s="1" t="s">
        <v>74</v>
      </c>
      <c r="C11" s="1" t="s">
        <v>68</v>
      </c>
      <c r="D11" s="1">
        <v>25235</v>
      </c>
      <c r="E11" s="13">
        <v>45173</v>
      </c>
      <c r="F11" s="1" t="s">
        <v>127</v>
      </c>
      <c r="G11" s="13">
        <v>45148</v>
      </c>
      <c r="H11" s="1" t="s">
        <v>128</v>
      </c>
      <c r="I11" s="13">
        <v>45162</v>
      </c>
      <c r="J11" s="1" t="s">
        <v>129</v>
      </c>
      <c r="K11" s="1">
        <v>4</v>
      </c>
      <c r="L11" s="1" t="s">
        <v>77</v>
      </c>
      <c r="M11" s="1" t="s">
        <v>85</v>
      </c>
      <c r="N11" s="1">
        <v>58071000</v>
      </c>
      <c r="O11" s="1">
        <v>10</v>
      </c>
      <c r="P11" s="1">
        <v>11</v>
      </c>
      <c r="Q11" s="1">
        <v>2.5</v>
      </c>
      <c r="R11" s="1" t="s">
        <v>119</v>
      </c>
      <c r="S11" s="1">
        <v>13586</v>
      </c>
      <c r="T11" s="1">
        <v>129067</v>
      </c>
      <c r="U11" s="1" t="s">
        <v>144</v>
      </c>
      <c r="V11" s="1">
        <v>104.9395</v>
      </c>
      <c r="W11" s="1" t="s">
        <v>145</v>
      </c>
      <c r="X11" s="1" t="s">
        <v>140</v>
      </c>
      <c r="Y11" s="1">
        <v>13544226.449999999</v>
      </c>
    </row>
    <row r="12" spans="1:25 12881:12883" x14ac:dyDescent="0.25">
      <c r="A12" s="1">
        <v>7</v>
      </c>
      <c r="B12" s="1" t="s">
        <v>74</v>
      </c>
      <c r="C12" s="1" t="s">
        <v>68</v>
      </c>
      <c r="D12" s="1">
        <v>25235</v>
      </c>
      <c r="E12" s="13">
        <v>45173</v>
      </c>
      <c r="F12" s="1" t="s">
        <v>127</v>
      </c>
      <c r="G12" s="13">
        <v>45148</v>
      </c>
      <c r="H12" s="1" t="s">
        <v>128</v>
      </c>
      <c r="I12" s="13">
        <v>45162</v>
      </c>
      <c r="J12" s="1" t="s">
        <v>129</v>
      </c>
      <c r="K12" s="1">
        <v>5</v>
      </c>
      <c r="L12" s="1" t="s">
        <v>77</v>
      </c>
      <c r="M12" s="1" t="s">
        <v>86</v>
      </c>
      <c r="N12" s="1">
        <v>58071000</v>
      </c>
      <c r="O12" s="1">
        <v>10</v>
      </c>
      <c r="P12" s="1">
        <v>11</v>
      </c>
      <c r="Q12" s="1">
        <v>2.5</v>
      </c>
      <c r="R12" s="1" t="s">
        <v>119</v>
      </c>
      <c r="S12" s="1">
        <v>8160</v>
      </c>
      <c r="T12" s="1">
        <v>8160</v>
      </c>
      <c r="U12" s="1" t="s">
        <v>144</v>
      </c>
      <c r="V12" s="1">
        <v>104.9395</v>
      </c>
      <c r="W12" s="1" t="s">
        <v>145</v>
      </c>
      <c r="X12" s="1" t="s">
        <v>140</v>
      </c>
      <c r="Y12" s="1">
        <v>856306.32</v>
      </c>
    </row>
    <row r="13" spans="1:25 12881:12883" x14ac:dyDescent="0.25">
      <c r="A13" s="1">
        <v>8</v>
      </c>
      <c r="B13" s="1" t="s">
        <v>74</v>
      </c>
      <c r="C13" s="1" t="s">
        <v>68</v>
      </c>
      <c r="D13" s="1">
        <v>25235</v>
      </c>
      <c r="E13" s="13">
        <v>45173</v>
      </c>
      <c r="F13" s="1" t="s">
        <v>127</v>
      </c>
      <c r="G13" s="13">
        <v>45148</v>
      </c>
      <c r="H13" s="1" t="s">
        <v>128</v>
      </c>
      <c r="I13" s="13">
        <v>45162</v>
      </c>
      <c r="J13" s="1" t="s">
        <v>129</v>
      </c>
      <c r="K13" s="1">
        <v>6</v>
      </c>
      <c r="L13" s="1" t="s">
        <v>77</v>
      </c>
      <c r="M13" s="1" t="s">
        <v>87</v>
      </c>
      <c r="N13" s="1">
        <v>48211010</v>
      </c>
      <c r="O13" s="1">
        <v>5</v>
      </c>
      <c r="P13" s="1">
        <v>11</v>
      </c>
      <c r="Q13" s="1">
        <v>2.5</v>
      </c>
      <c r="R13" s="1" t="s">
        <v>119</v>
      </c>
      <c r="S13" s="1">
        <v>27917</v>
      </c>
      <c r="T13" s="1">
        <v>27917</v>
      </c>
      <c r="U13" s="1" t="s">
        <v>144</v>
      </c>
      <c r="V13" s="1">
        <v>104.9395</v>
      </c>
      <c r="W13" s="1" t="s">
        <v>145</v>
      </c>
      <c r="X13" s="1" t="s">
        <v>140</v>
      </c>
      <c r="Y13" s="1">
        <v>2929596.02</v>
      </c>
    </row>
    <row r="14" spans="1:25 12881:12883" x14ac:dyDescent="0.25">
      <c r="A14" s="1">
        <v>9</v>
      </c>
      <c r="B14" s="1" t="s">
        <v>74</v>
      </c>
      <c r="C14" s="1" t="s">
        <v>68</v>
      </c>
      <c r="D14" s="1">
        <v>25235</v>
      </c>
      <c r="E14" s="13">
        <v>45173</v>
      </c>
      <c r="F14" s="1" t="s">
        <v>127</v>
      </c>
      <c r="G14" s="13">
        <v>45148</v>
      </c>
      <c r="H14" s="1" t="s">
        <v>128</v>
      </c>
      <c r="I14" s="13">
        <v>45162</v>
      </c>
      <c r="J14" s="1" t="s">
        <v>129</v>
      </c>
      <c r="K14" s="1">
        <v>7</v>
      </c>
      <c r="L14" s="1" t="s">
        <v>77</v>
      </c>
      <c r="M14" s="1" t="s">
        <v>88</v>
      </c>
      <c r="N14" s="1">
        <v>58071000</v>
      </c>
      <c r="O14" s="1">
        <v>10</v>
      </c>
      <c r="P14" s="1">
        <v>11</v>
      </c>
      <c r="Q14" s="1">
        <v>2.5</v>
      </c>
      <c r="R14" s="1" t="s">
        <v>119</v>
      </c>
      <c r="S14" s="1">
        <v>14331</v>
      </c>
      <c r="T14" s="1">
        <v>42993</v>
      </c>
      <c r="U14" s="1" t="s">
        <v>144</v>
      </c>
      <c r="V14" s="1">
        <v>104.9395</v>
      </c>
      <c r="W14" s="1" t="s">
        <v>145</v>
      </c>
      <c r="X14" s="1" t="s">
        <v>140</v>
      </c>
      <c r="Y14" s="1">
        <v>4511663.92</v>
      </c>
    </row>
    <row r="15" spans="1:25 12881:12883" x14ac:dyDescent="0.25">
      <c r="A15" s="1">
        <v>10</v>
      </c>
      <c r="B15" s="1" t="s">
        <v>74</v>
      </c>
      <c r="C15" s="1" t="s">
        <v>68</v>
      </c>
      <c r="D15" s="1">
        <v>25235</v>
      </c>
      <c r="E15" s="13">
        <v>45173</v>
      </c>
      <c r="F15" s="1" t="s">
        <v>127</v>
      </c>
      <c r="G15" s="13">
        <v>45148</v>
      </c>
      <c r="H15" s="1" t="s">
        <v>128</v>
      </c>
      <c r="I15" s="13">
        <v>45162</v>
      </c>
      <c r="J15" s="1" t="s">
        <v>129</v>
      </c>
      <c r="K15" s="1">
        <v>8</v>
      </c>
      <c r="L15" s="1" t="s">
        <v>77</v>
      </c>
      <c r="M15" s="1" t="s">
        <v>89</v>
      </c>
      <c r="N15" s="1">
        <v>58071000</v>
      </c>
      <c r="O15" s="1">
        <v>10</v>
      </c>
      <c r="P15" s="1">
        <v>11</v>
      </c>
      <c r="Q15" s="1">
        <v>2.5</v>
      </c>
      <c r="R15" s="1" t="s">
        <v>119</v>
      </c>
      <c r="S15" s="1">
        <v>13586</v>
      </c>
      <c r="T15" s="1">
        <v>33965</v>
      </c>
      <c r="U15" s="1" t="s">
        <v>144</v>
      </c>
      <c r="V15" s="1">
        <v>104.9395</v>
      </c>
      <c r="W15" s="1" t="s">
        <v>145</v>
      </c>
      <c r="X15" s="1" t="s">
        <v>140</v>
      </c>
      <c r="Y15" s="1">
        <v>3564270.12</v>
      </c>
    </row>
    <row r="16" spans="1:25 12881:12883" x14ac:dyDescent="0.25">
      <c r="A16" s="1">
        <v>11</v>
      </c>
      <c r="B16" s="1" t="s">
        <v>74</v>
      </c>
      <c r="C16" s="1" t="s">
        <v>68</v>
      </c>
      <c r="D16" s="1">
        <v>25235</v>
      </c>
      <c r="E16" s="13">
        <v>45173</v>
      </c>
      <c r="F16" s="1" t="s">
        <v>127</v>
      </c>
      <c r="G16" s="13">
        <v>45148</v>
      </c>
      <c r="H16" s="1" t="s">
        <v>128</v>
      </c>
      <c r="I16" s="13">
        <v>45162</v>
      </c>
      <c r="J16" s="1" t="s">
        <v>129</v>
      </c>
      <c r="K16" s="1">
        <v>9</v>
      </c>
      <c r="L16" s="1" t="s">
        <v>77</v>
      </c>
      <c r="M16" s="1" t="s">
        <v>90</v>
      </c>
      <c r="N16" s="1">
        <v>96062100</v>
      </c>
      <c r="O16" s="1">
        <v>10</v>
      </c>
      <c r="P16" s="1">
        <v>11</v>
      </c>
      <c r="Q16" s="1">
        <v>2.5</v>
      </c>
      <c r="R16" s="1" t="s">
        <v>119</v>
      </c>
      <c r="S16" s="1">
        <v>6693</v>
      </c>
      <c r="T16" s="1">
        <v>20079</v>
      </c>
      <c r="U16" s="1" t="s">
        <v>144</v>
      </c>
      <c r="V16" s="1">
        <v>104.9395</v>
      </c>
      <c r="W16" s="1" t="s">
        <v>145</v>
      </c>
      <c r="X16" s="1" t="s">
        <v>140</v>
      </c>
      <c r="Y16" s="1">
        <v>2107080.2200000002</v>
      </c>
    </row>
    <row r="17" spans="1:25" x14ac:dyDescent="0.25">
      <c r="A17" s="1">
        <v>12</v>
      </c>
      <c r="B17" s="1" t="s">
        <v>74</v>
      </c>
      <c r="C17" s="1" t="s">
        <v>68</v>
      </c>
      <c r="D17" s="1">
        <v>25235</v>
      </c>
      <c r="E17" s="13">
        <v>45173</v>
      </c>
      <c r="F17" s="1" t="s">
        <v>127</v>
      </c>
      <c r="G17" s="13">
        <v>45148</v>
      </c>
      <c r="H17" s="1" t="s">
        <v>128</v>
      </c>
      <c r="I17" s="13">
        <v>45162</v>
      </c>
      <c r="J17" s="1" t="s">
        <v>129</v>
      </c>
      <c r="K17" s="1">
        <v>10</v>
      </c>
      <c r="L17" s="1" t="s">
        <v>77</v>
      </c>
      <c r="M17" s="1" t="s">
        <v>91</v>
      </c>
      <c r="N17" s="1">
        <v>58062090</v>
      </c>
      <c r="O17" s="1">
        <v>10</v>
      </c>
      <c r="P17" s="1">
        <v>11</v>
      </c>
      <c r="Q17" s="1">
        <v>2.5</v>
      </c>
      <c r="R17" s="1" t="s">
        <v>120</v>
      </c>
      <c r="S17" s="1">
        <v>14430</v>
      </c>
      <c r="T17" s="1">
        <v>140250</v>
      </c>
      <c r="U17" s="1" t="s">
        <v>144</v>
      </c>
      <c r="V17" s="1">
        <v>104.9395</v>
      </c>
      <c r="W17" s="1" t="s">
        <v>145</v>
      </c>
      <c r="X17" s="1" t="s">
        <v>140</v>
      </c>
      <c r="Y17" s="1">
        <v>14717764.880000001</v>
      </c>
    </row>
    <row r="18" spans="1:25" x14ac:dyDescent="0.25">
      <c r="A18" s="1">
        <v>13</v>
      </c>
      <c r="B18" s="1" t="s">
        <v>74</v>
      </c>
      <c r="C18" s="1" t="s">
        <v>68</v>
      </c>
      <c r="D18" s="1">
        <v>25235</v>
      </c>
      <c r="E18" s="13">
        <v>45173</v>
      </c>
      <c r="F18" s="1" t="s">
        <v>127</v>
      </c>
      <c r="G18" s="13">
        <v>45148</v>
      </c>
      <c r="H18" s="1" t="s">
        <v>128</v>
      </c>
      <c r="I18" s="13">
        <v>45162</v>
      </c>
      <c r="J18" s="1" t="s">
        <v>129</v>
      </c>
      <c r="K18" s="1">
        <v>11</v>
      </c>
      <c r="L18" s="1" t="s">
        <v>77</v>
      </c>
      <c r="M18" s="1" t="s">
        <v>92</v>
      </c>
      <c r="N18" s="1">
        <v>48211010</v>
      </c>
      <c r="O18" s="1">
        <v>5</v>
      </c>
      <c r="P18" s="1">
        <v>11</v>
      </c>
      <c r="Q18" s="1">
        <v>2.5</v>
      </c>
      <c r="R18" s="1" t="s">
        <v>121</v>
      </c>
      <c r="S18" s="1">
        <v>65</v>
      </c>
      <c r="T18" s="1">
        <v>19175</v>
      </c>
      <c r="U18" s="1" t="s">
        <v>144</v>
      </c>
      <c r="V18" s="1">
        <v>104.9395</v>
      </c>
      <c r="W18" s="1" t="s">
        <v>145</v>
      </c>
      <c r="X18" s="1" t="s">
        <v>140</v>
      </c>
      <c r="Y18" s="1">
        <v>2012214.91</v>
      </c>
    </row>
    <row r="19" spans="1:25" x14ac:dyDescent="0.25">
      <c r="A19" s="1">
        <v>14</v>
      </c>
      <c r="B19" s="1" t="s">
        <v>74</v>
      </c>
      <c r="C19" s="1" t="s">
        <v>68</v>
      </c>
      <c r="D19" s="1">
        <v>25235</v>
      </c>
      <c r="E19" s="13">
        <v>45173</v>
      </c>
      <c r="F19" s="1" t="s">
        <v>127</v>
      </c>
      <c r="G19" s="13">
        <v>45148</v>
      </c>
      <c r="H19" s="1" t="s">
        <v>128</v>
      </c>
      <c r="I19" s="13">
        <v>45162</v>
      </c>
      <c r="J19" s="1" t="s">
        <v>129</v>
      </c>
      <c r="K19" s="1">
        <v>12</v>
      </c>
      <c r="L19" s="1" t="s">
        <v>77</v>
      </c>
      <c r="M19" s="1" t="s">
        <v>93</v>
      </c>
      <c r="N19" s="1">
        <v>58063290</v>
      </c>
      <c r="O19" s="1">
        <v>10</v>
      </c>
      <c r="P19" s="1">
        <v>11</v>
      </c>
      <c r="Q19" s="1">
        <v>2.5</v>
      </c>
      <c r="R19" s="1" t="s">
        <v>122</v>
      </c>
      <c r="S19" s="1">
        <v>11355</v>
      </c>
      <c r="T19" s="1">
        <v>56775</v>
      </c>
      <c r="U19" s="1" t="s">
        <v>144</v>
      </c>
      <c r="V19" s="1">
        <v>104.9395</v>
      </c>
      <c r="W19" s="1" t="s">
        <v>145</v>
      </c>
      <c r="X19" s="1" t="s">
        <v>140</v>
      </c>
      <c r="Y19" s="1">
        <v>5957940.1100000003</v>
      </c>
    </row>
    <row r="20" spans="1:25" x14ac:dyDescent="0.25">
      <c r="A20" s="1">
        <v>15</v>
      </c>
      <c r="B20" s="1" t="s">
        <v>74</v>
      </c>
      <c r="C20" s="1" t="s">
        <v>69</v>
      </c>
      <c r="D20" s="1">
        <v>25252</v>
      </c>
      <c r="E20" s="13">
        <v>45173</v>
      </c>
      <c r="F20" s="1" t="s">
        <v>130</v>
      </c>
      <c r="G20" s="13">
        <v>45170</v>
      </c>
      <c r="H20" s="1">
        <v>7102449970</v>
      </c>
      <c r="I20" s="13">
        <v>45169</v>
      </c>
      <c r="J20" s="1" t="s">
        <v>131</v>
      </c>
      <c r="K20" s="1">
        <v>1</v>
      </c>
      <c r="L20" s="1" t="s">
        <v>75</v>
      </c>
      <c r="M20" s="1" t="s">
        <v>94</v>
      </c>
      <c r="N20" s="1">
        <v>60063290</v>
      </c>
      <c r="O20" s="1">
        <v>15</v>
      </c>
      <c r="P20" s="1">
        <v>11</v>
      </c>
      <c r="Q20" s="1">
        <v>2.5</v>
      </c>
      <c r="R20" s="1" t="s">
        <v>120</v>
      </c>
      <c r="S20" s="1">
        <v>6</v>
      </c>
      <c r="T20" s="1">
        <v>2357.17</v>
      </c>
      <c r="U20" s="1" t="s">
        <v>144</v>
      </c>
      <c r="V20" s="1">
        <v>104.9395</v>
      </c>
      <c r="W20" s="1" t="s">
        <v>145</v>
      </c>
      <c r="X20" s="1" t="s">
        <v>140</v>
      </c>
      <c r="Y20" s="1">
        <v>247360.24</v>
      </c>
    </row>
    <row r="21" spans="1:25" x14ac:dyDescent="0.25">
      <c r="A21" s="1">
        <v>16</v>
      </c>
      <c r="B21" s="1" t="s">
        <v>74</v>
      </c>
      <c r="C21" s="1" t="s">
        <v>70</v>
      </c>
      <c r="D21" s="1">
        <v>25254</v>
      </c>
      <c r="E21" s="13">
        <v>45173</v>
      </c>
      <c r="F21" s="1" t="s">
        <v>132</v>
      </c>
      <c r="G21" s="13">
        <v>45170</v>
      </c>
      <c r="H21" s="1">
        <v>3583351682</v>
      </c>
      <c r="I21" s="13">
        <v>45169</v>
      </c>
      <c r="J21" s="1" t="s">
        <v>133</v>
      </c>
      <c r="K21" s="1">
        <v>1</v>
      </c>
      <c r="L21" s="1" t="s">
        <v>75</v>
      </c>
      <c r="M21" s="1" t="s">
        <v>95</v>
      </c>
      <c r="N21" s="1">
        <v>58071000</v>
      </c>
      <c r="O21" s="1">
        <v>10</v>
      </c>
      <c r="P21" s="1">
        <v>11</v>
      </c>
      <c r="Q21" s="1">
        <v>2.5</v>
      </c>
      <c r="R21" s="1" t="s">
        <v>119</v>
      </c>
      <c r="S21" s="1">
        <v>10</v>
      </c>
      <c r="T21" s="1">
        <v>41.87</v>
      </c>
      <c r="U21" s="1" t="s">
        <v>144</v>
      </c>
      <c r="V21" s="1">
        <v>104.9395</v>
      </c>
      <c r="W21" s="1" t="s">
        <v>145</v>
      </c>
      <c r="X21" s="1" t="s">
        <v>140</v>
      </c>
      <c r="Y21" s="1">
        <v>4393.82</v>
      </c>
    </row>
    <row r="22" spans="1:25" x14ac:dyDescent="0.25">
      <c r="A22" s="1">
        <v>17</v>
      </c>
      <c r="B22" s="1" t="s">
        <v>74</v>
      </c>
      <c r="C22" s="1" t="s">
        <v>70</v>
      </c>
      <c r="D22" s="1">
        <v>25254</v>
      </c>
      <c r="E22" s="13">
        <v>45173</v>
      </c>
      <c r="F22" s="1" t="s">
        <v>132</v>
      </c>
      <c r="G22" s="13">
        <v>45170</v>
      </c>
      <c r="H22" s="1">
        <v>3583351682</v>
      </c>
      <c r="I22" s="13">
        <v>45169</v>
      </c>
      <c r="J22" s="1" t="s">
        <v>133</v>
      </c>
      <c r="K22" s="1">
        <v>2</v>
      </c>
      <c r="L22" s="1" t="s">
        <v>75</v>
      </c>
      <c r="M22" s="1" t="s">
        <v>96</v>
      </c>
      <c r="N22" s="1">
        <v>49081000</v>
      </c>
      <c r="O22" s="1">
        <v>5</v>
      </c>
      <c r="P22" s="1">
        <v>11</v>
      </c>
      <c r="Q22" s="1">
        <v>2.5</v>
      </c>
      <c r="R22" s="1" t="s">
        <v>119</v>
      </c>
      <c r="S22" s="1">
        <v>10</v>
      </c>
      <c r="T22" s="1">
        <v>825.5</v>
      </c>
      <c r="U22" s="1" t="s">
        <v>144</v>
      </c>
      <c r="V22" s="1">
        <v>104.9395</v>
      </c>
      <c r="W22" s="1" t="s">
        <v>145</v>
      </c>
      <c r="X22" s="1" t="s">
        <v>140</v>
      </c>
      <c r="Y22" s="1">
        <v>86627.56</v>
      </c>
    </row>
    <row r="23" spans="1:25" x14ac:dyDescent="0.25">
      <c r="A23" s="1">
        <v>18</v>
      </c>
      <c r="B23" s="1" t="s">
        <v>74</v>
      </c>
      <c r="C23" s="1" t="s">
        <v>70</v>
      </c>
      <c r="D23" s="1">
        <v>25254</v>
      </c>
      <c r="E23" s="13">
        <v>45173</v>
      </c>
      <c r="F23" s="1" t="s">
        <v>132</v>
      </c>
      <c r="G23" s="13">
        <v>45170</v>
      </c>
      <c r="H23" s="1">
        <v>3583351682</v>
      </c>
      <c r="I23" s="13">
        <v>45169</v>
      </c>
      <c r="J23" s="1" t="s">
        <v>133</v>
      </c>
      <c r="K23" s="1">
        <v>3</v>
      </c>
      <c r="L23" s="1" t="s">
        <v>75</v>
      </c>
      <c r="M23" s="1" t="s">
        <v>97</v>
      </c>
      <c r="N23" s="1">
        <v>58071000</v>
      </c>
      <c r="O23" s="1">
        <v>10</v>
      </c>
      <c r="P23" s="1">
        <v>11</v>
      </c>
      <c r="Q23" s="1">
        <v>2.5</v>
      </c>
      <c r="R23" s="1" t="s">
        <v>119</v>
      </c>
      <c r="S23" s="1">
        <v>10</v>
      </c>
      <c r="T23" s="1">
        <v>47.86</v>
      </c>
      <c r="U23" s="1" t="s">
        <v>144</v>
      </c>
      <c r="V23" s="1">
        <v>104.9395</v>
      </c>
      <c r="W23" s="1" t="s">
        <v>145</v>
      </c>
      <c r="X23" s="1" t="s">
        <v>140</v>
      </c>
      <c r="Y23" s="1">
        <v>5022.3999999999996</v>
      </c>
    </row>
    <row r="24" spans="1:25" x14ac:dyDescent="0.25">
      <c r="A24" s="1">
        <v>19</v>
      </c>
      <c r="B24" s="1" t="s">
        <v>74</v>
      </c>
      <c r="C24" s="1" t="s">
        <v>71</v>
      </c>
      <c r="D24" s="1">
        <v>25266</v>
      </c>
      <c r="E24" s="13">
        <v>45173</v>
      </c>
      <c r="F24" s="1" t="s">
        <v>134</v>
      </c>
      <c r="G24" s="13">
        <v>45148</v>
      </c>
      <c r="H24" s="1" t="s">
        <v>135</v>
      </c>
      <c r="I24" s="13">
        <v>45162</v>
      </c>
      <c r="J24" s="1" t="s">
        <v>129</v>
      </c>
      <c r="K24" s="1">
        <v>1</v>
      </c>
      <c r="L24" s="1" t="s">
        <v>78</v>
      </c>
      <c r="M24" s="1" t="s">
        <v>98</v>
      </c>
      <c r="N24" s="1">
        <v>55121900</v>
      </c>
      <c r="O24" s="1">
        <v>15</v>
      </c>
      <c r="P24" s="1">
        <v>11</v>
      </c>
      <c r="Q24" s="1">
        <v>2.5</v>
      </c>
      <c r="R24" s="1" t="s">
        <v>120</v>
      </c>
      <c r="S24" s="1">
        <v>25478.7</v>
      </c>
      <c r="T24" s="1">
        <v>17619644</v>
      </c>
      <c r="U24" s="1" t="s">
        <v>144</v>
      </c>
      <c r="V24" s="1">
        <v>104.9395</v>
      </c>
      <c r="W24" s="1" t="s">
        <v>145</v>
      </c>
      <c r="X24" s="1" t="s">
        <v>140</v>
      </c>
      <c r="Y24" s="1">
        <v>1848996631.54</v>
      </c>
    </row>
    <row r="25" spans="1:25" x14ac:dyDescent="0.25">
      <c r="A25" s="1">
        <v>20</v>
      </c>
      <c r="B25" s="1" t="s">
        <v>74</v>
      </c>
      <c r="C25" s="1" t="s">
        <v>72</v>
      </c>
      <c r="D25" s="1">
        <v>25267</v>
      </c>
      <c r="E25" s="13">
        <v>45173</v>
      </c>
      <c r="F25" s="1" t="s">
        <v>136</v>
      </c>
      <c r="G25" s="13">
        <v>45148</v>
      </c>
      <c r="H25" s="1" t="s">
        <v>137</v>
      </c>
      <c r="I25" s="13">
        <v>45162</v>
      </c>
      <c r="J25" s="1" t="s">
        <v>129</v>
      </c>
      <c r="K25" s="1">
        <v>1</v>
      </c>
      <c r="L25" s="1" t="s">
        <v>79</v>
      </c>
      <c r="M25" s="1" t="s">
        <v>98</v>
      </c>
      <c r="N25" s="1">
        <v>55121900</v>
      </c>
      <c r="O25" s="1">
        <v>15</v>
      </c>
      <c r="P25" s="1">
        <v>11</v>
      </c>
      <c r="Q25" s="1">
        <v>2.5</v>
      </c>
      <c r="R25" s="1" t="s">
        <v>120</v>
      </c>
      <c r="S25" s="1">
        <v>11296.5</v>
      </c>
      <c r="T25" s="1">
        <v>8043108</v>
      </c>
      <c r="U25" s="1" t="s">
        <v>144</v>
      </c>
      <c r="V25" s="1">
        <v>104.9395</v>
      </c>
      <c r="W25" s="1" t="s">
        <v>145</v>
      </c>
      <c r="X25" s="1" t="s">
        <v>140</v>
      </c>
      <c r="Y25" s="1">
        <v>844039731.97000003</v>
      </c>
    </row>
    <row r="26" spans="1:25" x14ac:dyDescent="0.25">
      <c r="A26" s="1">
        <v>21</v>
      </c>
      <c r="B26" s="1" t="s">
        <v>74</v>
      </c>
      <c r="C26" s="1" t="s">
        <v>73</v>
      </c>
      <c r="D26" s="1">
        <v>25289</v>
      </c>
      <c r="E26" s="13">
        <v>45173</v>
      </c>
      <c r="F26" s="1" t="s">
        <v>138</v>
      </c>
      <c r="G26" s="13">
        <v>45167</v>
      </c>
      <c r="H26" s="1">
        <v>1710295812</v>
      </c>
      <c r="I26" s="13">
        <v>45166</v>
      </c>
      <c r="J26" s="1" t="s">
        <v>139</v>
      </c>
      <c r="K26" s="1">
        <v>1</v>
      </c>
      <c r="L26" s="1" t="s">
        <v>75</v>
      </c>
      <c r="M26" s="1" t="s">
        <v>99</v>
      </c>
      <c r="N26" s="1">
        <v>58071000</v>
      </c>
      <c r="O26" s="1">
        <v>10</v>
      </c>
      <c r="P26" s="1">
        <v>11</v>
      </c>
      <c r="Q26" s="1">
        <v>2.5</v>
      </c>
      <c r="R26" s="1" t="s">
        <v>119</v>
      </c>
      <c r="S26" s="1">
        <v>10</v>
      </c>
      <c r="T26" s="1">
        <v>103.82</v>
      </c>
      <c r="U26" s="1" t="s">
        <v>144</v>
      </c>
      <c r="V26" s="1">
        <v>104.9395</v>
      </c>
      <c r="W26" s="1" t="s">
        <v>145</v>
      </c>
      <c r="X26" s="1" t="s">
        <v>140</v>
      </c>
      <c r="Y26" s="1">
        <v>10894.82</v>
      </c>
    </row>
    <row r="27" spans="1:25" x14ac:dyDescent="0.25">
      <c r="A27" s="1">
        <v>22</v>
      </c>
      <c r="B27" s="1" t="s">
        <v>74</v>
      </c>
      <c r="C27" s="1" t="s">
        <v>73</v>
      </c>
      <c r="D27" s="1">
        <v>25289</v>
      </c>
      <c r="E27" s="13">
        <v>45173</v>
      </c>
      <c r="F27" s="1" t="s">
        <v>138</v>
      </c>
      <c r="G27" s="13">
        <v>45167</v>
      </c>
      <c r="H27" s="1">
        <v>1710295812</v>
      </c>
      <c r="I27" s="13">
        <v>45166</v>
      </c>
      <c r="J27" s="1" t="s">
        <v>139</v>
      </c>
      <c r="K27" s="1">
        <v>2</v>
      </c>
      <c r="L27" s="1" t="s">
        <v>75</v>
      </c>
      <c r="M27" s="1" t="s">
        <v>99</v>
      </c>
      <c r="N27" s="1">
        <v>58071000</v>
      </c>
      <c r="O27" s="1">
        <v>10</v>
      </c>
      <c r="P27" s="1">
        <v>11</v>
      </c>
      <c r="Q27" s="1">
        <v>2.5</v>
      </c>
      <c r="R27" s="1" t="s">
        <v>119</v>
      </c>
      <c r="S27" s="1">
        <v>10</v>
      </c>
      <c r="T27" s="1">
        <v>103.82</v>
      </c>
      <c r="U27" s="1" t="s">
        <v>144</v>
      </c>
      <c r="V27" s="1">
        <v>104.9395</v>
      </c>
      <c r="W27" s="1" t="s">
        <v>145</v>
      </c>
      <c r="X27" s="1" t="s">
        <v>140</v>
      </c>
      <c r="Y27" s="1">
        <v>10894.82</v>
      </c>
    </row>
    <row r="28" spans="1:25" x14ac:dyDescent="0.25">
      <c r="A28" s="1">
        <v>23</v>
      </c>
      <c r="B28" s="1" t="s">
        <v>74</v>
      </c>
      <c r="C28" s="1" t="s">
        <v>73</v>
      </c>
      <c r="D28" s="1">
        <v>25289</v>
      </c>
      <c r="E28" s="13">
        <v>45173</v>
      </c>
      <c r="F28" s="1" t="s">
        <v>138</v>
      </c>
      <c r="G28" s="13">
        <v>45167</v>
      </c>
      <c r="H28" s="1">
        <v>1710295812</v>
      </c>
      <c r="I28" s="13">
        <v>45166</v>
      </c>
      <c r="J28" s="1" t="s">
        <v>139</v>
      </c>
      <c r="K28" s="1">
        <v>3</v>
      </c>
      <c r="L28" s="1" t="s">
        <v>75</v>
      </c>
      <c r="M28" s="1" t="s">
        <v>99</v>
      </c>
      <c r="N28" s="1">
        <v>58071000</v>
      </c>
      <c r="O28" s="1">
        <v>10</v>
      </c>
      <c r="P28" s="1">
        <v>11</v>
      </c>
      <c r="Q28" s="1">
        <v>2.5</v>
      </c>
      <c r="R28" s="1" t="s">
        <v>119</v>
      </c>
      <c r="S28" s="1">
        <v>10</v>
      </c>
      <c r="T28" s="1">
        <v>268.19</v>
      </c>
      <c r="U28" s="1" t="s">
        <v>144</v>
      </c>
      <c r="V28" s="1">
        <v>104.9395</v>
      </c>
      <c r="W28" s="1" t="s">
        <v>145</v>
      </c>
      <c r="X28" s="1" t="s">
        <v>140</v>
      </c>
      <c r="Y28" s="1">
        <v>28143.72</v>
      </c>
    </row>
    <row r="29" spans="1:25" x14ac:dyDescent="0.25">
      <c r="A29" s="1">
        <v>24</v>
      </c>
      <c r="B29" s="1" t="s">
        <v>74</v>
      </c>
      <c r="C29" s="1" t="s">
        <v>73</v>
      </c>
      <c r="D29" s="1">
        <v>25289</v>
      </c>
      <c r="E29" s="13">
        <v>45173</v>
      </c>
      <c r="F29" s="1" t="s">
        <v>138</v>
      </c>
      <c r="G29" s="13">
        <v>45167</v>
      </c>
      <c r="H29" s="1">
        <v>1710295812</v>
      </c>
      <c r="I29" s="13">
        <v>45166</v>
      </c>
      <c r="J29" s="1" t="s">
        <v>139</v>
      </c>
      <c r="K29" s="1">
        <v>4</v>
      </c>
      <c r="L29" s="1" t="s">
        <v>75</v>
      </c>
      <c r="M29" s="1" t="s">
        <v>99</v>
      </c>
      <c r="N29" s="1">
        <v>58071000</v>
      </c>
      <c r="O29" s="1">
        <v>10</v>
      </c>
      <c r="P29" s="1">
        <v>11</v>
      </c>
      <c r="Q29" s="1">
        <v>2.5</v>
      </c>
      <c r="R29" s="1" t="s">
        <v>119</v>
      </c>
      <c r="S29" s="1">
        <v>10</v>
      </c>
      <c r="T29" s="1">
        <v>268.19</v>
      </c>
      <c r="U29" s="1" t="s">
        <v>144</v>
      </c>
      <c r="V29" s="1">
        <v>104.9395</v>
      </c>
      <c r="W29" s="1" t="s">
        <v>145</v>
      </c>
      <c r="X29" s="1" t="s">
        <v>140</v>
      </c>
      <c r="Y29" s="1">
        <v>28143.72</v>
      </c>
    </row>
    <row r="30" spans="1:25" x14ac:dyDescent="0.25">
      <c r="A30" s="1">
        <v>25</v>
      </c>
      <c r="B30" s="1" t="s">
        <v>74</v>
      </c>
      <c r="C30" s="1" t="s">
        <v>73</v>
      </c>
      <c r="D30" s="1">
        <v>25289</v>
      </c>
      <c r="E30" s="13">
        <v>45173</v>
      </c>
      <c r="F30" s="1" t="s">
        <v>138</v>
      </c>
      <c r="G30" s="13">
        <v>45167</v>
      </c>
      <c r="H30" s="1">
        <v>1710295812</v>
      </c>
      <c r="I30" s="13">
        <v>45166</v>
      </c>
      <c r="J30" s="1" t="s">
        <v>139</v>
      </c>
      <c r="K30" s="1">
        <v>5</v>
      </c>
      <c r="L30" s="1" t="s">
        <v>75</v>
      </c>
      <c r="M30" s="1" t="s">
        <v>100</v>
      </c>
      <c r="N30" s="1">
        <v>60053500</v>
      </c>
      <c r="O30" s="1">
        <v>15</v>
      </c>
      <c r="P30" s="1">
        <v>11</v>
      </c>
      <c r="Q30" s="1">
        <v>2.5</v>
      </c>
      <c r="R30" s="1" t="s">
        <v>120</v>
      </c>
      <c r="S30" s="1">
        <v>5</v>
      </c>
      <c r="T30" s="1">
        <v>3114.43</v>
      </c>
      <c r="U30" s="1" t="s">
        <v>144</v>
      </c>
      <c r="V30" s="1">
        <v>104.9395</v>
      </c>
      <c r="W30" s="1" t="s">
        <v>145</v>
      </c>
      <c r="X30" s="1" t="s">
        <v>140</v>
      </c>
      <c r="Y30" s="1">
        <v>326826.73</v>
      </c>
    </row>
    <row r="31" spans="1:25" x14ac:dyDescent="0.25">
      <c r="A31" s="1">
        <v>26</v>
      </c>
      <c r="B31" s="1" t="s">
        <v>74</v>
      </c>
      <c r="C31" s="1" t="s">
        <v>73</v>
      </c>
      <c r="D31" s="1">
        <v>25289</v>
      </c>
      <c r="E31" s="13">
        <v>45173</v>
      </c>
      <c r="F31" s="1" t="s">
        <v>138</v>
      </c>
      <c r="G31" s="13">
        <v>45167</v>
      </c>
      <c r="H31" s="1">
        <v>1710295812</v>
      </c>
      <c r="I31" s="13">
        <v>45166</v>
      </c>
      <c r="J31" s="1" t="s">
        <v>139</v>
      </c>
      <c r="K31" s="1">
        <v>6</v>
      </c>
      <c r="L31" s="1" t="s">
        <v>75</v>
      </c>
      <c r="M31" s="1" t="s">
        <v>101</v>
      </c>
      <c r="N31" s="1">
        <v>96071900</v>
      </c>
      <c r="O31" s="1">
        <v>15</v>
      </c>
      <c r="P31" s="1">
        <v>11</v>
      </c>
      <c r="Q31" s="1">
        <v>2.5</v>
      </c>
      <c r="R31" s="1" t="s">
        <v>119</v>
      </c>
      <c r="S31" s="1">
        <v>20</v>
      </c>
      <c r="T31" s="1">
        <v>1418.79</v>
      </c>
      <c r="U31" s="1" t="s">
        <v>144</v>
      </c>
      <c r="V31" s="1">
        <v>104.9395</v>
      </c>
      <c r="W31" s="1" t="s">
        <v>145</v>
      </c>
      <c r="X31" s="1" t="s">
        <v>140</v>
      </c>
      <c r="Y31" s="1">
        <v>148887.10999999999</v>
      </c>
    </row>
    <row r="32" spans="1:25" x14ac:dyDescent="0.25">
      <c r="A32" s="1">
        <v>27</v>
      </c>
      <c r="B32" s="1" t="s">
        <v>74</v>
      </c>
      <c r="C32" s="1" t="s">
        <v>73</v>
      </c>
      <c r="D32" s="1">
        <v>25289</v>
      </c>
      <c r="E32" s="13">
        <v>45173</v>
      </c>
      <c r="F32" s="1" t="s">
        <v>138</v>
      </c>
      <c r="G32" s="13">
        <v>45167</v>
      </c>
      <c r="H32" s="1">
        <v>1710295812</v>
      </c>
      <c r="I32" s="13">
        <v>45166</v>
      </c>
      <c r="J32" s="1" t="s">
        <v>139</v>
      </c>
      <c r="K32" s="1">
        <v>7</v>
      </c>
      <c r="L32" s="1" t="s">
        <v>75</v>
      </c>
      <c r="M32" s="1" t="s">
        <v>101</v>
      </c>
      <c r="N32" s="1">
        <v>96071900</v>
      </c>
      <c r="O32" s="1">
        <v>15</v>
      </c>
      <c r="P32" s="1">
        <v>11</v>
      </c>
      <c r="Q32" s="1">
        <v>2.5</v>
      </c>
      <c r="R32" s="1" t="s">
        <v>119</v>
      </c>
      <c r="S32" s="1">
        <v>20</v>
      </c>
      <c r="T32" s="1">
        <v>1418.79</v>
      </c>
      <c r="U32" s="1" t="s">
        <v>144</v>
      </c>
      <c r="V32" s="1">
        <v>104.9395</v>
      </c>
      <c r="W32" s="1" t="s">
        <v>145</v>
      </c>
      <c r="X32" s="1" t="s">
        <v>140</v>
      </c>
      <c r="Y32" s="1">
        <v>148887.10999999999</v>
      </c>
    </row>
    <row r="33" spans="1:25" x14ac:dyDescent="0.25">
      <c r="A33" s="1">
        <v>28</v>
      </c>
      <c r="B33" s="1" t="s">
        <v>74</v>
      </c>
      <c r="C33" s="1" t="s">
        <v>73</v>
      </c>
      <c r="D33" s="1">
        <v>25289</v>
      </c>
      <c r="E33" s="13">
        <v>45173</v>
      </c>
      <c r="F33" s="1" t="s">
        <v>138</v>
      </c>
      <c r="G33" s="13">
        <v>45167</v>
      </c>
      <c r="H33" s="1">
        <v>1710295812</v>
      </c>
      <c r="I33" s="13">
        <v>45166</v>
      </c>
      <c r="J33" s="1" t="s">
        <v>139</v>
      </c>
      <c r="K33" s="1">
        <v>8</v>
      </c>
      <c r="L33" s="1" t="s">
        <v>75</v>
      </c>
      <c r="M33" s="1" t="s">
        <v>101</v>
      </c>
      <c r="N33" s="1">
        <v>96071900</v>
      </c>
      <c r="O33" s="1">
        <v>15</v>
      </c>
      <c r="P33" s="1">
        <v>11</v>
      </c>
      <c r="Q33" s="1">
        <v>2.5</v>
      </c>
      <c r="R33" s="1" t="s">
        <v>119</v>
      </c>
      <c r="S33" s="1">
        <v>10</v>
      </c>
      <c r="T33" s="1">
        <v>1730.23</v>
      </c>
      <c r="U33" s="1" t="s">
        <v>144</v>
      </c>
      <c r="V33" s="1">
        <v>104.9395</v>
      </c>
      <c r="W33" s="1" t="s">
        <v>145</v>
      </c>
      <c r="X33" s="1" t="s">
        <v>140</v>
      </c>
      <c r="Y33" s="1">
        <v>181569.47</v>
      </c>
    </row>
    <row r="34" spans="1:25" x14ac:dyDescent="0.25">
      <c r="A34" s="1">
        <v>29</v>
      </c>
      <c r="B34" s="1" t="s">
        <v>74</v>
      </c>
      <c r="C34" s="1" t="s">
        <v>73</v>
      </c>
      <c r="D34" s="1">
        <v>25289</v>
      </c>
      <c r="E34" s="13">
        <v>45173</v>
      </c>
      <c r="F34" s="1" t="s">
        <v>138</v>
      </c>
      <c r="G34" s="13">
        <v>45167</v>
      </c>
      <c r="H34" s="1">
        <v>1710295812</v>
      </c>
      <c r="I34" s="13">
        <v>45166</v>
      </c>
      <c r="J34" s="1" t="s">
        <v>139</v>
      </c>
      <c r="K34" s="1">
        <v>9</v>
      </c>
      <c r="L34" s="1" t="s">
        <v>75</v>
      </c>
      <c r="M34" s="1" t="s">
        <v>101</v>
      </c>
      <c r="N34" s="1">
        <v>96071900</v>
      </c>
      <c r="O34" s="1">
        <v>15</v>
      </c>
      <c r="P34" s="1">
        <v>11</v>
      </c>
      <c r="Q34" s="1">
        <v>2.5</v>
      </c>
      <c r="R34" s="1" t="s">
        <v>119</v>
      </c>
      <c r="S34" s="1">
        <v>10</v>
      </c>
      <c r="T34" s="1">
        <v>1730.23</v>
      </c>
      <c r="U34" s="1" t="s">
        <v>144</v>
      </c>
      <c r="V34" s="1">
        <v>104.9395</v>
      </c>
      <c r="W34" s="1" t="s">
        <v>145</v>
      </c>
      <c r="X34" s="1" t="s">
        <v>140</v>
      </c>
      <c r="Y34" s="1">
        <v>181569.47</v>
      </c>
    </row>
    <row r="35" spans="1:25" x14ac:dyDescent="0.25">
      <c r="A35" s="1">
        <v>30</v>
      </c>
      <c r="B35" s="1" t="s">
        <v>74</v>
      </c>
      <c r="C35" s="1" t="s">
        <v>73</v>
      </c>
      <c r="D35" s="1">
        <v>25289</v>
      </c>
      <c r="E35" s="13">
        <v>45173</v>
      </c>
      <c r="F35" s="1" t="s">
        <v>138</v>
      </c>
      <c r="G35" s="13">
        <v>45167</v>
      </c>
      <c r="H35" s="1">
        <v>1710295812</v>
      </c>
      <c r="I35" s="13">
        <v>45166</v>
      </c>
      <c r="J35" s="1" t="s">
        <v>139</v>
      </c>
      <c r="K35" s="1">
        <v>10</v>
      </c>
      <c r="L35" s="1" t="s">
        <v>75</v>
      </c>
      <c r="M35" s="1" t="s">
        <v>102</v>
      </c>
      <c r="N35" s="1">
        <v>96061090</v>
      </c>
      <c r="O35" s="1">
        <v>10</v>
      </c>
      <c r="P35" s="1">
        <v>11</v>
      </c>
      <c r="Q35" s="1">
        <v>2.5</v>
      </c>
      <c r="R35" s="1" t="s">
        <v>122</v>
      </c>
      <c r="S35" s="1">
        <v>60</v>
      </c>
      <c r="T35" s="1">
        <v>373.73</v>
      </c>
      <c r="U35" s="1" t="s">
        <v>144</v>
      </c>
      <c r="V35" s="1">
        <v>104.9395</v>
      </c>
      <c r="W35" s="1" t="s">
        <v>145</v>
      </c>
      <c r="X35" s="1" t="s">
        <v>140</v>
      </c>
      <c r="Y35" s="1">
        <v>39219.040000000001</v>
      </c>
    </row>
    <row r="36" spans="1:25" x14ac:dyDescent="0.25">
      <c r="A36" s="1">
        <v>31</v>
      </c>
      <c r="B36" s="1" t="s">
        <v>74</v>
      </c>
      <c r="C36" s="1" t="s">
        <v>73</v>
      </c>
      <c r="D36" s="1">
        <v>25289</v>
      </c>
      <c r="E36" s="13">
        <v>45173</v>
      </c>
      <c r="F36" s="1" t="s">
        <v>138</v>
      </c>
      <c r="G36" s="13">
        <v>45167</v>
      </c>
      <c r="H36" s="1">
        <v>1710295812</v>
      </c>
      <c r="I36" s="13">
        <v>45166</v>
      </c>
      <c r="J36" s="1" t="s">
        <v>139</v>
      </c>
      <c r="K36" s="1">
        <v>11</v>
      </c>
      <c r="L36" s="1" t="s">
        <v>75</v>
      </c>
      <c r="M36" s="1" t="s">
        <v>103</v>
      </c>
      <c r="N36" s="1">
        <v>39269099</v>
      </c>
      <c r="O36" s="1">
        <v>20</v>
      </c>
      <c r="P36" s="1">
        <v>11</v>
      </c>
      <c r="Q36" s="1">
        <v>7.5</v>
      </c>
      <c r="R36" s="1" t="s">
        <v>119</v>
      </c>
      <c r="S36" s="1">
        <v>100</v>
      </c>
      <c r="T36" s="1">
        <v>311.44</v>
      </c>
      <c r="U36" s="1" t="s">
        <v>144</v>
      </c>
      <c r="V36" s="1">
        <v>104.9395</v>
      </c>
      <c r="W36" s="1" t="s">
        <v>145</v>
      </c>
      <c r="X36" s="1" t="s">
        <v>140</v>
      </c>
      <c r="Y36" s="1">
        <v>32682.36</v>
      </c>
    </row>
    <row r="37" spans="1:25" x14ac:dyDescent="0.25">
      <c r="A37" s="1">
        <v>32</v>
      </c>
      <c r="B37" s="1" t="s">
        <v>74</v>
      </c>
      <c r="C37" s="1" t="s">
        <v>73</v>
      </c>
      <c r="D37" s="1">
        <v>25289</v>
      </c>
      <c r="E37" s="13">
        <v>45173</v>
      </c>
      <c r="F37" s="1" t="s">
        <v>138</v>
      </c>
      <c r="G37" s="13">
        <v>45167</v>
      </c>
      <c r="H37" s="1">
        <v>1710295812</v>
      </c>
      <c r="I37" s="13">
        <v>45166</v>
      </c>
      <c r="J37" s="1" t="s">
        <v>139</v>
      </c>
      <c r="K37" s="1">
        <v>12</v>
      </c>
      <c r="L37" s="1" t="s">
        <v>75</v>
      </c>
      <c r="M37" s="1" t="s">
        <v>104</v>
      </c>
      <c r="N37" s="1">
        <v>83081000</v>
      </c>
      <c r="O37" s="1">
        <v>5</v>
      </c>
      <c r="P37" s="1">
        <v>11</v>
      </c>
      <c r="Q37" s="1">
        <v>2.5</v>
      </c>
      <c r="R37" s="1" t="s">
        <v>122</v>
      </c>
      <c r="S37" s="1">
        <v>40</v>
      </c>
      <c r="T37" s="1">
        <v>249.15</v>
      </c>
      <c r="U37" s="1" t="s">
        <v>144</v>
      </c>
      <c r="V37" s="1">
        <v>104.9395</v>
      </c>
      <c r="W37" s="1" t="s">
        <v>145</v>
      </c>
      <c r="X37" s="1" t="s">
        <v>140</v>
      </c>
      <c r="Y37" s="1">
        <v>26145.68</v>
      </c>
    </row>
    <row r="38" spans="1:25" x14ac:dyDescent="0.25">
      <c r="A38" s="1">
        <v>33</v>
      </c>
      <c r="B38" s="1" t="s">
        <v>74</v>
      </c>
      <c r="C38" s="1" t="s">
        <v>73</v>
      </c>
      <c r="D38" s="1">
        <v>25289</v>
      </c>
      <c r="E38" s="13">
        <v>45173</v>
      </c>
      <c r="F38" s="1" t="s">
        <v>138</v>
      </c>
      <c r="G38" s="13">
        <v>45167</v>
      </c>
      <c r="H38" s="1">
        <v>1710295812</v>
      </c>
      <c r="I38" s="13">
        <v>45166</v>
      </c>
      <c r="J38" s="1" t="s">
        <v>139</v>
      </c>
      <c r="K38" s="1">
        <v>13</v>
      </c>
      <c r="L38" s="1" t="s">
        <v>75</v>
      </c>
      <c r="M38" s="1" t="s">
        <v>105</v>
      </c>
      <c r="N38" s="1">
        <v>96061090</v>
      </c>
      <c r="O38" s="1">
        <v>10</v>
      </c>
      <c r="P38" s="1">
        <v>11</v>
      </c>
      <c r="Q38" s="1">
        <v>2.5</v>
      </c>
      <c r="R38" s="1" t="s">
        <v>122</v>
      </c>
      <c r="S38" s="1">
        <v>60</v>
      </c>
      <c r="T38" s="1">
        <v>778.61</v>
      </c>
      <c r="U38" s="1" t="s">
        <v>144</v>
      </c>
      <c r="V38" s="1">
        <v>104.9395</v>
      </c>
      <c r="W38" s="1" t="s">
        <v>145</v>
      </c>
      <c r="X38" s="1" t="s">
        <v>140</v>
      </c>
      <c r="Y38" s="1">
        <v>81706.94</v>
      </c>
    </row>
    <row r="39" spans="1:25" x14ac:dyDescent="0.25">
      <c r="A39" s="1">
        <v>34</v>
      </c>
      <c r="B39" s="1" t="s">
        <v>74</v>
      </c>
      <c r="C39" s="1" t="s">
        <v>73</v>
      </c>
      <c r="D39" s="1">
        <v>25289</v>
      </c>
      <c r="E39" s="13">
        <v>45173</v>
      </c>
      <c r="F39" s="1" t="s">
        <v>138</v>
      </c>
      <c r="G39" s="13">
        <v>45167</v>
      </c>
      <c r="H39" s="1">
        <v>1710295812</v>
      </c>
      <c r="I39" s="13">
        <v>45166</v>
      </c>
      <c r="J39" s="1" t="s">
        <v>139</v>
      </c>
      <c r="K39" s="1">
        <v>14</v>
      </c>
      <c r="L39" s="1" t="s">
        <v>75</v>
      </c>
      <c r="M39" s="1" t="s">
        <v>103</v>
      </c>
      <c r="N39" s="1">
        <v>39269099</v>
      </c>
      <c r="O39" s="1">
        <v>20</v>
      </c>
      <c r="P39" s="1">
        <v>11</v>
      </c>
      <c r="Q39" s="1">
        <v>7.5</v>
      </c>
      <c r="R39" s="1" t="s">
        <v>119</v>
      </c>
      <c r="S39" s="1">
        <v>100</v>
      </c>
      <c r="T39" s="1">
        <v>311.44</v>
      </c>
      <c r="U39" s="1" t="s">
        <v>144</v>
      </c>
      <c r="V39" s="1">
        <v>104.9395</v>
      </c>
      <c r="W39" s="1" t="s">
        <v>145</v>
      </c>
      <c r="X39" s="1" t="s">
        <v>140</v>
      </c>
      <c r="Y39" s="1">
        <v>32682.36</v>
      </c>
    </row>
    <row r="40" spans="1:25" x14ac:dyDescent="0.25">
      <c r="A40" s="1">
        <v>35</v>
      </c>
      <c r="B40" s="1" t="s">
        <v>74</v>
      </c>
      <c r="C40" s="1" t="s">
        <v>73</v>
      </c>
      <c r="D40" s="1">
        <v>25289</v>
      </c>
      <c r="E40" s="13">
        <v>45173</v>
      </c>
      <c r="F40" s="1" t="s">
        <v>138</v>
      </c>
      <c r="G40" s="13">
        <v>45167</v>
      </c>
      <c r="H40" s="1">
        <v>1710295812</v>
      </c>
      <c r="I40" s="13">
        <v>45166</v>
      </c>
      <c r="J40" s="1" t="s">
        <v>139</v>
      </c>
      <c r="K40" s="1">
        <v>15</v>
      </c>
      <c r="L40" s="1" t="s">
        <v>75</v>
      </c>
      <c r="M40" s="1" t="s">
        <v>106</v>
      </c>
      <c r="N40" s="1">
        <v>96061090</v>
      </c>
      <c r="O40" s="1">
        <v>10</v>
      </c>
      <c r="P40" s="1">
        <v>11</v>
      </c>
      <c r="Q40" s="1">
        <v>2.5</v>
      </c>
      <c r="R40" s="1" t="s">
        <v>122</v>
      </c>
      <c r="S40" s="1">
        <v>60</v>
      </c>
      <c r="T40" s="1">
        <v>321.82</v>
      </c>
      <c r="U40" s="1" t="s">
        <v>144</v>
      </c>
      <c r="V40" s="1">
        <v>104.9395</v>
      </c>
      <c r="W40" s="1" t="s">
        <v>145</v>
      </c>
      <c r="X40" s="1" t="s">
        <v>140</v>
      </c>
      <c r="Y40" s="1">
        <v>33771.629999999997</v>
      </c>
    </row>
    <row r="41" spans="1:25" x14ac:dyDescent="0.25">
      <c r="A41" s="1">
        <v>36</v>
      </c>
      <c r="B41" s="1" t="s">
        <v>74</v>
      </c>
      <c r="C41" s="1" t="s">
        <v>73</v>
      </c>
      <c r="D41" s="1">
        <v>25289</v>
      </c>
      <c r="E41" s="13">
        <v>45173</v>
      </c>
      <c r="F41" s="1" t="s">
        <v>138</v>
      </c>
      <c r="G41" s="13">
        <v>45167</v>
      </c>
      <c r="H41" s="1">
        <v>1710295812</v>
      </c>
      <c r="I41" s="13">
        <v>45166</v>
      </c>
      <c r="J41" s="1" t="s">
        <v>139</v>
      </c>
      <c r="K41" s="1">
        <v>16</v>
      </c>
      <c r="L41" s="1" t="s">
        <v>75</v>
      </c>
      <c r="M41" s="1" t="s">
        <v>107</v>
      </c>
      <c r="N41" s="1">
        <v>96061090</v>
      </c>
      <c r="O41" s="1">
        <v>10</v>
      </c>
      <c r="P41" s="1">
        <v>11</v>
      </c>
      <c r="Q41" s="1">
        <v>2.5</v>
      </c>
      <c r="R41" s="1" t="s">
        <v>122</v>
      </c>
      <c r="S41" s="1">
        <v>10</v>
      </c>
      <c r="T41" s="1">
        <v>280.3</v>
      </c>
      <c r="U41" s="1" t="s">
        <v>144</v>
      </c>
      <c r="V41" s="1">
        <v>104.9395</v>
      </c>
      <c r="W41" s="1" t="s">
        <v>145</v>
      </c>
      <c r="X41" s="1" t="s">
        <v>140</v>
      </c>
      <c r="Y41" s="1">
        <v>29414.54</v>
      </c>
    </row>
    <row r="42" spans="1:25" x14ac:dyDescent="0.25">
      <c r="A42" s="1">
        <v>37</v>
      </c>
      <c r="B42" s="1" t="s">
        <v>74</v>
      </c>
      <c r="C42" s="1" t="s">
        <v>73</v>
      </c>
      <c r="D42" s="1">
        <v>25289</v>
      </c>
      <c r="E42" s="13">
        <v>45173</v>
      </c>
      <c r="F42" s="1" t="s">
        <v>138</v>
      </c>
      <c r="G42" s="13">
        <v>45167</v>
      </c>
      <c r="H42" s="1">
        <v>1710295812</v>
      </c>
      <c r="I42" s="13">
        <v>45166</v>
      </c>
      <c r="J42" s="1" t="s">
        <v>139</v>
      </c>
      <c r="K42" s="1">
        <v>17</v>
      </c>
      <c r="L42" s="1" t="s">
        <v>75</v>
      </c>
      <c r="M42" s="1" t="s">
        <v>108</v>
      </c>
      <c r="N42" s="1">
        <v>60053500</v>
      </c>
      <c r="O42" s="1">
        <v>15</v>
      </c>
      <c r="P42" s="1">
        <v>11</v>
      </c>
      <c r="Q42" s="1">
        <v>2.5</v>
      </c>
      <c r="R42" s="1" t="s">
        <v>120</v>
      </c>
      <c r="S42" s="1">
        <v>20</v>
      </c>
      <c r="T42" s="1">
        <v>3806.52</v>
      </c>
      <c r="U42" s="1" t="s">
        <v>144</v>
      </c>
      <c r="V42" s="1">
        <v>104.9395</v>
      </c>
      <c r="W42" s="1" t="s">
        <v>145</v>
      </c>
      <c r="X42" s="1" t="s">
        <v>140</v>
      </c>
      <c r="Y42" s="1">
        <v>399454.31</v>
      </c>
    </row>
    <row r="43" spans="1:25" x14ac:dyDescent="0.25">
      <c r="A43" s="1">
        <v>38</v>
      </c>
      <c r="B43" s="1" t="s">
        <v>74</v>
      </c>
      <c r="C43" s="1" t="s">
        <v>73</v>
      </c>
      <c r="D43" s="1">
        <v>25289</v>
      </c>
      <c r="E43" s="13">
        <v>45173</v>
      </c>
      <c r="F43" s="1" t="s">
        <v>138</v>
      </c>
      <c r="G43" s="13">
        <v>45167</v>
      </c>
      <c r="H43" s="1">
        <v>1710295812</v>
      </c>
      <c r="I43" s="13">
        <v>45166</v>
      </c>
      <c r="J43" s="1" t="s">
        <v>139</v>
      </c>
      <c r="K43" s="1">
        <v>18</v>
      </c>
      <c r="L43" s="1" t="s">
        <v>75</v>
      </c>
      <c r="M43" s="1" t="s">
        <v>109</v>
      </c>
      <c r="N43" s="1">
        <v>60069000</v>
      </c>
      <c r="O43" s="1">
        <v>15</v>
      </c>
      <c r="P43" s="1">
        <v>11</v>
      </c>
      <c r="Q43" s="1">
        <v>2.5</v>
      </c>
      <c r="R43" s="1" t="s">
        <v>120</v>
      </c>
      <c r="S43" s="1">
        <v>2</v>
      </c>
      <c r="T43" s="1">
        <v>865.12</v>
      </c>
      <c r="U43" s="1" t="s">
        <v>144</v>
      </c>
      <c r="V43" s="1">
        <v>104.9395</v>
      </c>
      <c r="W43" s="1" t="s">
        <v>145</v>
      </c>
      <c r="X43" s="1" t="s">
        <v>140</v>
      </c>
      <c r="Y43" s="1">
        <v>90785.26</v>
      </c>
    </row>
    <row r="44" spans="1:25" x14ac:dyDescent="0.25">
      <c r="A44" s="1">
        <v>39</v>
      </c>
      <c r="B44" s="1" t="s">
        <v>74</v>
      </c>
      <c r="C44" s="1" t="s">
        <v>73</v>
      </c>
      <c r="D44" s="1">
        <v>25289</v>
      </c>
      <c r="E44" s="13">
        <v>45173</v>
      </c>
      <c r="F44" s="1" t="s">
        <v>138</v>
      </c>
      <c r="G44" s="13">
        <v>45167</v>
      </c>
      <c r="H44" s="1">
        <v>1710295812</v>
      </c>
      <c r="I44" s="13">
        <v>45166</v>
      </c>
      <c r="J44" s="1" t="s">
        <v>139</v>
      </c>
      <c r="K44" s="1">
        <v>19</v>
      </c>
      <c r="L44" s="1" t="s">
        <v>75</v>
      </c>
      <c r="M44" s="1" t="s">
        <v>109</v>
      </c>
      <c r="N44" s="1">
        <v>60069000</v>
      </c>
      <c r="O44" s="1">
        <v>15</v>
      </c>
      <c r="P44" s="1">
        <v>11</v>
      </c>
      <c r="Q44" s="1">
        <v>2.5</v>
      </c>
      <c r="R44" s="1" t="s">
        <v>120</v>
      </c>
      <c r="S44" s="1">
        <v>2</v>
      </c>
      <c r="T44" s="1">
        <v>899.72</v>
      </c>
      <c r="U44" s="1" t="s">
        <v>144</v>
      </c>
      <c r="V44" s="1">
        <v>104.9395</v>
      </c>
      <c r="W44" s="1" t="s">
        <v>145</v>
      </c>
      <c r="X44" s="1" t="s">
        <v>140</v>
      </c>
      <c r="Y44" s="1">
        <v>94416.17</v>
      </c>
    </row>
    <row r="45" spans="1:25" x14ac:dyDescent="0.25">
      <c r="A45" s="1">
        <v>40</v>
      </c>
      <c r="B45" s="1" t="s">
        <v>74</v>
      </c>
      <c r="C45" s="1" t="s">
        <v>73</v>
      </c>
      <c r="D45" s="1">
        <v>25289</v>
      </c>
      <c r="E45" s="13">
        <v>45173</v>
      </c>
      <c r="F45" s="1" t="s">
        <v>138</v>
      </c>
      <c r="G45" s="13">
        <v>45167</v>
      </c>
      <c r="H45" s="1">
        <v>1710295812</v>
      </c>
      <c r="I45" s="13">
        <v>45166</v>
      </c>
      <c r="J45" s="1" t="s">
        <v>139</v>
      </c>
      <c r="K45" s="1">
        <v>20</v>
      </c>
      <c r="L45" s="1" t="s">
        <v>75</v>
      </c>
      <c r="M45" s="1" t="s">
        <v>110</v>
      </c>
      <c r="N45" s="1">
        <v>59039090</v>
      </c>
      <c r="O45" s="1">
        <v>10</v>
      </c>
      <c r="P45" s="1">
        <v>11</v>
      </c>
      <c r="Q45" s="1">
        <v>2.5</v>
      </c>
      <c r="R45" s="1" t="s">
        <v>120</v>
      </c>
      <c r="S45" s="1">
        <v>20</v>
      </c>
      <c r="T45" s="1">
        <v>1730.23</v>
      </c>
      <c r="U45" s="1" t="s">
        <v>144</v>
      </c>
      <c r="V45" s="1">
        <v>104.9395</v>
      </c>
      <c r="W45" s="1" t="s">
        <v>145</v>
      </c>
      <c r="X45" s="1" t="s">
        <v>140</v>
      </c>
      <c r="Y45" s="1">
        <v>181569.47</v>
      </c>
    </row>
    <row r="46" spans="1:25" x14ac:dyDescent="0.25">
      <c r="A46" s="1">
        <v>41</v>
      </c>
      <c r="B46" s="1" t="s">
        <v>74</v>
      </c>
      <c r="C46" s="1" t="s">
        <v>73</v>
      </c>
      <c r="D46" s="1">
        <v>25289</v>
      </c>
      <c r="E46" s="13">
        <v>45173</v>
      </c>
      <c r="F46" s="1" t="s">
        <v>138</v>
      </c>
      <c r="G46" s="13">
        <v>45167</v>
      </c>
      <c r="H46" s="1">
        <v>1710295812</v>
      </c>
      <c r="I46" s="13">
        <v>45166</v>
      </c>
      <c r="J46" s="1" t="s">
        <v>139</v>
      </c>
      <c r="K46" s="1">
        <v>21</v>
      </c>
      <c r="L46" s="1" t="s">
        <v>75</v>
      </c>
      <c r="M46" s="1" t="s">
        <v>99</v>
      </c>
      <c r="N46" s="1">
        <v>58071000</v>
      </c>
      <c r="O46" s="1">
        <v>10</v>
      </c>
      <c r="P46" s="1">
        <v>11</v>
      </c>
      <c r="Q46" s="1">
        <v>2.5</v>
      </c>
      <c r="R46" s="1" t="s">
        <v>119</v>
      </c>
      <c r="S46" s="1">
        <v>10</v>
      </c>
      <c r="T46" s="1">
        <v>83.05</v>
      </c>
      <c r="U46" s="1" t="s">
        <v>144</v>
      </c>
      <c r="V46" s="1">
        <v>104.9395</v>
      </c>
      <c r="W46" s="1" t="s">
        <v>145</v>
      </c>
      <c r="X46" s="1" t="s">
        <v>140</v>
      </c>
      <c r="Y46" s="1">
        <v>8715.23</v>
      </c>
    </row>
    <row r="47" spans="1:25" x14ac:dyDescent="0.25">
      <c r="A47" s="1">
        <v>42</v>
      </c>
      <c r="B47" s="1" t="s">
        <v>74</v>
      </c>
      <c r="C47" s="1" t="s">
        <v>73</v>
      </c>
      <c r="D47" s="1">
        <v>25289</v>
      </c>
      <c r="E47" s="13">
        <v>45173</v>
      </c>
      <c r="F47" s="1" t="s">
        <v>138</v>
      </c>
      <c r="G47" s="13">
        <v>45167</v>
      </c>
      <c r="H47" s="1">
        <v>1710295812</v>
      </c>
      <c r="I47" s="13">
        <v>45166</v>
      </c>
      <c r="J47" s="1" t="s">
        <v>139</v>
      </c>
      <c r="K47" s="1">
        <v>22</v>
      </c>
      <c r="L47" s="1" t="s">
        <v>75</v>
      </c>
      <c r="M47" s="1" t="s">
        <v>111</v>
      </c>
      <c r="N47" s="1">
        <v>58071000</v>
      </c>
      <c r="O47" s="1">
        <v>10</v>
      </c>
      <c r="P47" s="1">
        <v>11</v>
      </c>
      <c r="Q47" s="1">
        <v>2.5</v>
      </c>
      <c r="R47" s="1" t="s">
        <v>119</v>
      </c>
      <c r="S47" s="1">
        <v>20</v>
      </c>
      <c r="T47" s="1">
        <v>51.91</v>
      </c>
      <c r="U47" s="1" t="s">
        <v>144</v>
      </c>
      <c r="V47" s="1">
        <v>104.9395</v>
      </c>
      <c r="W47" s="1" t="s">
        <v>145</v>
      </c>
      <c r="X47" s="1" t="s">
        <v>140</v>
      </c>
      <c r="Y47" s="1">
        <v>5447.41</v>
      </c>
    </row>
    <row r="48" spans="1:25" x14ac:dyDescent="0.25">
      <c r="A48" s="1">
        <v>43</v>
      </c>
      <c r="B48" s="1" t="s">
        <v>74</v>
      </c>
      <c r="C48" s="1" t="s">
        <v>73</v>
      </c>
      <c r="D48" s="1">
        <v>25289</v>
      </c>
      <c r="E48" s="13">
        <v>45173</v>
      </c>
      <c r="F48" s="1" t="s">
        <v>138</v>
      </c>
      <c r="G48" s="13">
        <v>45167</v>
      </c>
      <c r="H48" s="1">
        <v>1710295812</v>
      </c>
      <c r="I48" s="13">
        <v>45166</v>
      </c>
      <c r="J48" s="1" t="s">
        <v>139</v>
      </c>
      <c r="K48" s="1">
        <v>23</v>
      </c>
      <c r="L48" s="1" t="s">
        <v>75</v>
      </c>
      <c r="M48" s="1" t="s">
        <v>112</v>
      </c>
      <c r="N48" s="1">
        <v>58062090</v>
      </c>
      <c r="O48" s="1">
        <v>10</v>
      </c>
      <c r="P48" s="1">
        <v>11</v>
      </c>
      <c r="Q48" s="1">
        <v>2.5</v>
      </c>
      <c r="R48" s="1" t="s">
        <v>119</v>
      </c>
      <c r="S48" s="1">
        <v>20</v>
      </c>
      <c r="T48" s="1">
        <v>103.82</v>
      </c>
      <c r="U48" s="1" t="s">
        <v>144</v>
      </c>
      <c r="V48" s="1">
        <v>104.9395</v>
      </c>
      <c r="W48" s="1" t="s">
        <v>145</v>
      </c>
      <c r="X48" s="1" t="s">
        <v>140</v>
      </c>
      <c r="Y48" s="1">
        <v>10894.82</v>
      </c>
    </row>
    <row r="49" spans="1:25" x14ac:dyDescent="0.25">
      <c r="A49" s="1">
        <v>44</v>
      </c>
      <c r="B49" s="1" t="s">
        <v>74</v>
      </c>
      <c r="C49" s="1" t="s">
        <v>73</v>
      </c>
      <c r="D49" s="1">
        <v>25289</v>
      </c>
      <c r="E49" s="13">
        <v>45173</v>
      </c>
      <c r="F49" s="1" t="s">
        <v>138</v>
      </c>
      <c r="G49" s="13">
        <v>45167</v>
      </c>
      <c r="H49" s="1">
        <v>1710295812</v>
      </c>
      <c r="I49" s="13">
        <v>45166</v>
      </c>
      <c r="J49" s="1" t="s">
        <v>139</v>
      </c>
      <c r="K49" s="1">
        <v>24</v>
      </c>
      <c r="L49" s="1" t="s">
        <v>75</v>
      </c>
      <c r="M49" s="1" t="s">
        <v>113</v>
      </c>
      <c r="N49" s="1">
        <v>58062090</v>
      </c>
      <c r="O49" s="1">
        <v>10</v>
      </c>
      <c r="P49" s="1">
        <v>11</v>
      </c>
      <c r="Q49" s="1">
        <v>2.5</v>
      </c>
      <c r="R49" s="1" t="s">
        <v>119</v>
      </c>
      <c r="S49" s="1">
        <v>20</v>
      </c>
      <c r="T49" s="1">
        <v>103.82</v>
      </c>
      <c r="U49" s="1" t="s">
        <v>144</v>
      </c>
      <c r="V49" s="1">
        <v>104.9395</v>
      </c>
      <c r="W49" s="1" t="s">
        <v>145</v>
      </c>
      <c r="X49" s="1" t="s">
        <v>140</v>
      </c>
      <c r="Y49" s="1">
        <v>10894.82</v>
      </c>
    </row>
    <row r="50" spans="1:25" x14ac:dyDescent="0.25">
      <c r="A50" s="1">
        <v>45</v>
      </c>
      <c r="B50" s="1" t="s">
        <v>74</v>
      </c>
      <c r="C50" s="1" t="s">
        <v>73</v>
      </c>
      <c r="D50" s="1">
        <v>25289</v>
      </c>
      <c r="E50" s="13">
        <v>45173</v>
      </c>
      <c r="F50" s="1" t="s">
        <v>138</v>
      </c>
      <c r="G50" s="13">
        <v>45167</v>
      </c>
      <c r="H50" s="1">
        <v>1710295812</v>
      </c>
      <c r="I50" s="13">
        <v>45166</v>
      </c>
      <c r="J50" s="1" t="s">
        <v>139</v>
      </c>
      <c r="K50" s="1">
        <v>25</v>
      </c>
      <c r="L50" s="1" t="s">
        <v>75</v>
      </c>
      <c r="M50" s="1" t="s">
        <v>99</v>
      </c>
      <c r="N50" s="1">
        <v>58071000</v>
      </c>
      <c r="O50" s="1">
        <v>10</v>
      </c>
      <c r="P50" s="1">
        <v>11</v>
      </c>
      <c r="Q50" s="1">
        <v>2.5</v>
      </c>
      <c r="R50" s="1" t="s">
        <v>119</v>
      </c>
      <c r="S50" s="1">
        <v>10</v>
      </c>
      <c r="T50" s="1">
        <v>69.2</v>
      </c>
      <c r="U50" s="1" t="s">
        <v>144</v>
      </c>
      <c r="V50" s="1">
        <v>104.9395</v>
      </c>
      <c r="W50" s="1" t="s">
        <v>145</v>
      </c>
      <c r="X50" s="1" t="s">
        <v>140</v>
      </c>
      <c r="Y50" s="1">
        <v>7261.81</v>
      </c>
    </row>
    <row r="51" spans="1:25" x14ac:dyDescent="0.25">
      <c r="A51" s="1">
        <v>46</v>
      </c>
      <c r="B51" s="1" t="s">
        <v>74</v>
      </c>
      <c r="C51" s="1" t="s">
        <v>73</v>
      </c>
      <c r="D51" s="1">
        <v>25289</v>
      </c>
      <c r="E51" s="13">
        <v>45173</v>
      </c>
      <c r="F51" s="1" t="s">
        <v>138</v>
      </c>
      <c r="G51" s="13">
        <v>45167</v>
      </c>
      <c r="H51" s="1">
        <v>1710295812</v>
      </c>
      <c r="I51" s="13">
        <v>45166</v>
      </c>
      <c r="J51" s="1" t="s">
        <v>139</v>
      </c>
      <c r="K51" s="1">
        <v>26</v>
      </c>
      <c r="L51" s="1" t="s">
        <v>75</v>
      </c>
      <c r="M51" s="1" t="s">
        <v>114</v>
      </c>
      <c r="N51" s="1">
        <v>55113000</v>
      </c>
      <c r="O51" s="1">
        <v>7.5</v>
      </c>
      <c r="P51" s="1">
        <v>11</v>
      </c>
      <c r="Q51" s="1">
        <v>2.5</v>
      </c>
      <c r="R51" s="1" t="s">
        <v>123</v>
      </c>
      <c r="S51" s="1">
        <v>12</v>
      </c>
      <c r="T51" s="1">
        <v>12665.35</v>
      </c>
      <c r="U51" s="1" t="s">
        <v>144</v>
      </c>
      <c r="V51" s="1">
        <v>104.9395</v>
      </c>
      <c r="W51" s="1" t="s">
        <v>145</v>
      </c>
      <c r="X51" s="1" t="s">
        <v>140</v>
      </c>
      <c r="Y51" s="1">
        <v>1329095.5</v>
      </c>
    </row>
    <row r="52" spans="1:25" x14ac:dyDescent="0.25">
      <c r="A52" s="1">
        <v>47</v>
      </c>
      <c r="B52" s="1" t="s">
        <v>74</v>
      </c>
      <c r="C52" s="1" t="s">
        <v>73</v>
      </c>
      <c r="D52" s="1">
        <v>25289</v>
      </c>
      <c r="E52" s="13">
        <v>45173</v>
      </c>
      <c r="F52" s="1" t="s">
        <v>138</v>
      </c>
      <c r="G52" s="13">
        <v>45167</v>
      </c>
      <c r="H52" s="1">
        <v>1710295812</v>
      </c>
      <c r="I52" s="13">
        <v>45166</v>
      </c>
      <c r="J52" s="1" t="s">
        <v>139</v>
      </c>
      <c r="K52" s="1">
        <v>27</v>
      </c>
      <c r="L52" s="1" t="s">
        <v>75</v>
      </c>
      <c r="M52" s="1" t="s">
        <v>114</v>
      </c>
      <c r="N52" s="1">
        <v>55113000</v>
      </c>
      <c r="O52" s="1">
        <v>7.5</v>
      </c>
      <c r="P52" s="1">
        <v>11</v>
      </c>
      <c r="Q52" s="1">
        <v>2.5</v>
      </c>
      <c r="R52" s="1" t="s">
        <v>123</v>
      </c>
      <c r="S52" s="1">
        <v>24</v>
      </c>
      <c r="T52" s="1">
        <v>16610.3</v>
      </c>
      <c r="U52" s="1" t="s">
        <v>144</v>
      </c>
      <c r="V52" s="1">
        <v>104.9395</v>
      </c>
      <c r="W52" s="1" t="s">
        <v>145</v>
      </c>
      <c r="X52" s="1" t="s">
        <v>140</v>
      </c>
      <c r="Y52" s="1">
        <v>1743076.58</v>
      </c>
    </row>
    <row r="53" spans="1:25" x14ac:dyDescent="0.25">
      <c r="A53" s="1">
        <v>48</v>
      </c>
      <c r="B53" s="1" t="s">
        <v>74</v>
      </c>
      <c r="C53" s="1" t="s">
        <v>73</v>
      </c>
      <c r="D53" s="1">
        <v>25289</v>
      </c>
      <c r="E53" s="13">
        <v>45173</v>
      </c>
      <c r="F53" s="1" t="s">
        <v>138</v>
      </c>
      <c r="G53" s="13">
        <v>45167</v>
      </c>
      <c r="H53" s="1">
        <v>1710295812</v>
      </c>
      <c r="I53" s="13">
        <v>45166</v>
      </c>
      <c r="J53" s="1" t="s">
        <v>139</v>
      </c>
      <c r="K53" s="1">
        <v>28</v>
      </c>
      <c r="L53" s="1" t="s">
        <v>75</v>
      </c>
      <c r="M53" s="1" t="s">
        <v>114</v>
      </c>
      <c r="N53" s="1">
        <v>55113000</v>
      </c>
      <c r="O53" s="1">
        <v>7.5</v>
      </c>
      <c r="P53" s="1">
        <v>11</v>
      </c>
      <c r="Q53" s="1">
        <v>2.5</v>
      </c>
      <c r="R53" s="1" t="s">
        <v>123</v>
      </c>
      <c r="S53" s="1">
        <v>36</v>
      </c>
      <c r="T53" s="1">
        <v>27406.99</v>
      </c>
      <c r="U53" s="1" t="s">
        <v>144</v>
      </c>
      <c r="V53" s="1">
        <v>104.9395</v>
      </c>
      <c r="W53" s="1" t="s">
        <v>145</v>
      </c>
      <c r="X53" s="1" t="s">
        <v>140</v>
      </c>
      <c r="Y53" s="1">
        <v>2876075.83</v>
      </c>
    </row>
    <row r="54" spans="1:25" x14ac:dyDescent="0.25">
      <c r="A54" s="1">
        <v>49</v>
      </c>
      <c r="B54" s="1" t="s">
        <v>74</v>
      </c>
      <c r="C54" s="1" t="s">
        <v>73</v>
      </c>
      <c r="D54" s="1">
        <v>25289</v>
      </c>
      <c r="E54" s="13">
        <v>45173</v>
      </c>
      <c r="F54" s="1" t="s">
        <v>138</v>
      </c>
      <c r="G54" s="13">
        <v>45167</v>
      </c>
      <c r="H54" s="1">
        <v>1710295812</v>
      </c>
      <c r="I54" s="13">
        <v>45166</v>
      </c>
      <c r="J54" s="1" t="s">
        <v>139</v>
      </c>
      <c r="K54" s="1">
        <v>29</v>
      </c>
      <c r="L54" s="1" t="s">
        <v>75</v>
      </c>
      <c r="M54" s="1" t="s">
        <v>115</v>
      </c>
      <c r="N54" s="1">
        <v>55113000</v>
      </c>
      <c r="O54" s="1">
        <v>7.5</v>
      </c>
      <c r="P54" s="1">
        <v>11</v>
      </c>
      <c r="Q54" s="1">
        <v>2.5</v>
      </c>
      <c r="R54" s="1" t="s">
        <v>123</v>
      </c>
      <c r="S54" s="1">
        <v>12</v>
      </c>
      <c r="T54" s="1">
        <v>11419.58</v>
      </c>
      <c r="U54" s="1" t="s">
        <v>144</v>
      </c>
      <c r="V54" s="1">
        <v>104.9395</v>
      </c>
      <c r="W54" s="1" t="s">
        <v>145</v>
      </c>
      <c r="X54" s="1" t="s">
        <v>140</v>
      </c>
      <c r="Y54" s="1">
        <v>1198365.02</v>
      </c>
    </row>
    <row r="55" spans="1:25" x14ac:dyDescent="0.25">
      <c r="A55" s="1">
        <v>50</v>
      </c>
      <c r="B55" s="1" t="s">
        <v>74</v>
      </c>
      <c r="C55" s="1" t="s">
        <v>73</v>
      </c>
      <c r="D55" s="1">
        <v>25289</v>
      </c>
      <c r="E55" s="13">
        <v>45173</v>
      </c>
      <c r="F55" s="1" t="s">
        <v>138</v>
      </c>
      <c r="G55" s="13">
        <v>45167</v>
      </c>
      <c r="H55" s="1">
        <v>1710295812</v>
      </c>
      <c r="I55" s="13">
        <v>45166</v>
      </c>
      <c r="J55" s="1" t="s">
        <v>139</v>
      </c>
      <c r="K55" s="1">
        <v>30</v>
      </c>
      <c r="L55" s="1" t="s">
        <v>75</v>
      </c>
      <c r="M55" s="1" t="s">
        <v>99</v>
      </c>
      <c r="N55" s="1">
        <v>58071000</v>
      </c>
      <c r="O55" s="1">
        <v>10</v>
      </c>
      <c r="P55" s="1">
        <v>11</v>
      </c>
      <c r="Q55" s="1">
        <v>2.5</v>
      </c>
      <c r="R55" s="1" t="s">
        <v>119</v>
      </c>
      <c r="S55" s="1">
        <v>30</v>
      </c>
      <c r="T55" s="1">
        <v>441.21</v>
      </c>
      <c r="U55" s="1" t="s">
        <v>144</v>
      </c>
      <c r="V55" s="1">
        <v>104.9395</v>
      </c>
      <c r="W55" s="1" t="s">
        <v>145</v>
      </c>
      <c r="X55" s="1" t="s">
        <v>140</v>
      </c>
      <c r="Y55" s="1">
        <v>46300.36</v>
      </c>
    </row>
    <row r="56" spans="1:25" x14ac:dyDescent="0.25">
      <c r="A56" s="1">
        <v>51</v>
      </c>
      <c r="B56" s="1" t="s">
        <v>74</v>
      </c>
      <c r="C56" s="1" t="s">
        <v>73</v>
      </c>
      <c r="D56" s="1">
        <v>25289</v>
      </c>
      <c r="E56" s="13">
        <v>45173</v>
      </c>
      <c r="F56" s="1" t="s">
        <v>138</v>
      </c>
      <c r="G56" s="13">
        <v>45167</v>
      </c>
      <c r="H56" s="1">
        <v>1710295812</v>
      </c>
      <c r="I56" s="13">
        <v>45166</v>
      </c>
      <c r="J56" s="1" t="s">
        <v>139</v>
      </c>
      <c r="K56" s="1">
        <v>31</v>
      </c>
      <c r="L56" s="1" t="s">
        <v>75</v>
      </c>
      <c r="M56" s="1" t="s">
        <v>99</v>
      </c>
      <c r="N56" s="1">
        <v>58071000</v>
      </c>
      <c r="O56" s="1">
        <v>10</v>
      </c>
      <c r="P56" s="1">
        <v>11</v>
      </c>
      <c r="Q56" s="1">
        <v>2.5</v>
      </c>
      <c r="R56" s="1" t="s">
        <v>119</v>
      </c>
      <c r="S56" s="1">
        <v>20</v>
      </c>
      <c r="T56" s="1">
        <v>207.62</v>
      </c>
      <c r="U56" s="1" t="s">
        <v>144</v>
      </c>
      <c r="V56" s="1">
        <v>104.9395</v>
      </c>
      <c r="W56" s="1" t="s">
        <v>145</v>
      </c>
      <c r="X56" s="1" t="s">
        <v>140</v>
      </c>
      <c r="Y56" s="1">
        <v>21787.54</v>
      </c>
    </row>
    <row r="57" spans="1:25" x14ac:dyDescent="0.25">
      <c r="A57" s="1">
        <v>52</v>
      </c>
      <c r="B57" s="1" t="s">
        <v>74</v>
      </c>
      <c r="C57" s="1" t="s">
        <v>73</v>
      </c>
      <c r="D57" s="1">
        <v>25289</v>
      </c>
      <c r="E57" s="13">
        <v>45173</v>
      </c>
      <c r="F57" s="1" t="s">
        <v>138</v>
      </c>
      <c r="G57" s="13">
        <v>45167</v>
      </c>
      <c r="H57" s="1">
        <v>1710295812</v>
      </c>
      <c r="I57" s="13">
        <v>45166</v>
      </c>
      <c r="J57" s="1" t="s">
        <v>139</v>
      </c>
      <c r="K57" s="1">
        <v>32</v>
      </c>
      <c r="L57" s="1" t="s">
        <v>75</v>
      </c>
      <c r="M57" s="1" t="s">
        <v>99</v>
      </c>
      <c r="N57" s="1">
        <v>58071000</v>
      </c>
      <c r="O57" s="1">
        <v>10</v>
      </c>
      <c r="P57" s="1">
        <v>11</v>
      </c>
      <c r="Q57" s="1">
        <v>2.5</v>
      </c>
      <c r="R57" s="1" t="s">
        <v>119</v>
      </c>
      <c r="S57" s="1">
        <v>20</v>
      </c>
      <c r="T57" s="1">
        <v>207.62</v>
      </c>
      <c r="U57" s="1" t="s">
        <v>144</v>
      </c>
      <c r="V57" s="1">
        <v>104.9395</v>
      </c>
      <c r="W57" s="1" t="s">
        <v>145</v>
      </c>
      <c r="X57" s="1" t="s">
        <v>140</v>
      </c>
      <c r="Y57" s="1">
        <v>21787.54</v>
      </c>
    </row>
    <row r="58" spans="1:25" x14ac:dyDescent="0.25">
      <c r="A58" s="1">
        <v>53</v>
      </c>
      <c r="B58" s="1" t="s">
        <v>74</v>
      </c>
      <c r="C58" s="1" t="s">
        <v>73</v>
      </c>
      <c r="D58" s="1">
        <v>25289</v>
      </c>
      <c r="E58" s="13">
        <v>45173</v>
      </c>
      <c r="F58" s="1" t="s">
        <v>138</v>
      </c>
      <c r="G58" s="13">
        <v>45167</v>
      </c>
      <c r="H58" s="1">
        <v>1710295812</v>
      </c>
      <c r="I58" s="13">
        <v>45166</v>
      </c>
      <c r="J58" s="1" t="s">
        <v>139</v>
      </c>
      <c r="K58" s="1">
        <v>33</v>
      </c>
      <c r="L58" s="1" t="s">
        <v>75</v>
      </c>
      <c r="M58" s="1" t="s">
        <v>101</v>
      </c>
      <c r="N58" s="1">
        <v>96071900</v>
      </c>
      <c r="O58" s="1">
        <v>15</v>
      </c>
      <c r="P58" s="1">
        <v>11</v>
      </c>
      <c r="Q58" s="1">
        <v>2.5</v>
      </c>
      <c r="R58" s="1" t="s">
        <v>119</v>
      </c>
      <c r="S58" s="1">
        <v>40</v>
      </c>
      <c r="T58" s="1">
        <v>1661.03</v>
      </c>
      <c r="U58" s="1" t="s">
        <v>144</v>
      </c>
      <c r="V58" s="1">
        <v>104.9395</v>
      </c>
      <c r="W58" s="1" t="s">
        <v>145</v>
      </c>
      <c r="X58" s="1" t="s">
        <v>140</v>
      </c>
      <c r="Y58" s="1">
        <v>174307.66</v>
      </c>
    </row>
    <row r="59" spans="1:25" x14ac:dyDescent="0.25">
      <c r="A59" s="1">
        <v>54</v>
      </c>
      <c r="B59" s="1" t="s">
        <v>74</v>
      </c>
      <c r="C59" s="1" t="s">
        <v>73</v>
      </c>
      <c r="D59" s="1">
        <v>25289</v>
      </c>
      <c r="E59" s="13">
        <v>45173</v>
      </c>
      <c r="F59" s="1" t="s">
        <v>138</v>
      </c>
      <c r="G59" s="13">
        <v>45167</v>
      </c>
      <c r="H59" s="1">
        <v>1710295812</v>
      </c>
      <c r="I59" s="13">
        <v>45166</v>
      </c>
      <c r="J59" s="1" t="s">
        <v>139</v>
      </c>
      <c r="K59" s="1">
        <v>34</v>
      </c>
      <c r="L59" s="1" t="s">
        <v>75</v>
      </c>
      <c r="M59" s="1" t="s">
        <v>101</v>
      </c>
      <c r="N59" s="1">
        <v>96071900</v>
      </c>
      <c r="O59" s="1">
        <v>15</v>
      </c>
      <c r="P59" s="1">
        <v>11</v>
      </c>
      <c r="Q59" s="1">
        <v>2.5</v>
      </c>
      <c r="R59" s="1" t="s">
        <v>119</v>
      </c>
      <c r="S59" s="1">
        <v>20</v>
      </c>
      <c r="T59" s="1">
        <v>1418.79</v>
      </c>
      <c r="U59" s="1" t="s">
        <v>144</v>
      </c>
      <c r="V59" s="1">
        <v>104.9395</v>
      </c>
      <c r="W59" s="1" t="s">
        <v>145</v>
      </c>
      <c r="X59" s="1" t="s">
        <v>140</v>
      </c>
      <c r="Y59" s="1">
        <v>148887.10999999999</v>
      </c>
    </row>
    <row r="60" spans="1:25" x14ac:dyDescent="0.25">
      <c r="A60" s="1">
        <v>55</v>
      </c>
      <c r="B60" s="1" t="s">
        <v>74</v>
      </c>
      <c r="C60" s="1" t="s">
        <v>73</v>
      </c>
      <c r="D60" s="1">
        <v>25289</v>
      </c>
      <c r="E60" s="13">
        <v>45173</v>
      </c>
      <c r="F60" s="1" t="s">
        <v>138</v>
      </c>
      <c r="G60" s="13">
        <v>45167</v>
      </c>
      <c r="H60" s="1">
        <v>1710295812</v>
      </c>
      <c r="I60" s="13">
        <v>45166</v>
      </c>
      <c r="J60" s="1" t="s">
        <v>139</v>
      </c>
      <c r="K60" s="1">
        <v>35</v>
      </c>
      <c r="L60" s="1" t="s">
        <v>75</v>
      </c>
      <c r="M60" s="1" t="s">
        <v>101</v>
      </c>
      <c r="N60" s="1">
        <v>96071900</v>
      </c>
      <c r="O60" s="1">
        <v>15</v>
      </c>
      <c r="P60" s="1">
        <v>11</v>
      </c>
      <c r="Q60" s="1">
        <v>2.5</v>
      </c>
      <c r="R60" s="1" t="s">
        <v>119</v>
      </c>
      <c r="S60" s="1">
        <v>20</v>
      </c>
      <c r="T60" s="1">
        <v>1418.79</v>
      </c>
      <c r="U60" s="1" t="s">
        <v>144</v>
      </c>
      <c r="V60" s="1">
        <v>104.9395</v>
      </c>
      <c r="W60" s="1" t="s">
        <v>145</v>
      </c>
      <c r="X60" s="1" t="s">
        <v>140</v>
      </c>
      <c r="Y60" s="1">
        <v>148887.10999999999</v>
      </c>
    </row>
    <row r="61" spans="1:25" x14ac:dyDescent="0.25">
      <c r="A61" s="1">
        <v>56</v>
      </c>
      <c r="B61" s="1" t="s">
        <v>74</v>
      </c>
      <c r="C61" s="1" t="s">
        <v>73</v>
      </c>
      <c r="D61" s="1">
        <v>25289</v>
      </c>
      <c r="E61" s="13">
        <v>45173</v>
      </c>
      <c r="F61" s="1" t="s">
        <v>138</v>
      </c>
      <c r="G61" s="13">
        <v>45167</v>
      </c>
      <c r="H61" s="1">
        <v>1710295812</v>
      </c>
      <c r="I61" s="13">
        <v>45166</v>
      </c>
      <c r="J61" s="1" t="s">
        <v>139</v>
      </c>
      <c r="K61" s="1">
        <v>36</v>
      </c>
      <c r="L61" s="1" t="s">
        <v>75</v>
      </c>
      <c r="M61" s="1" t="s">
        <v>116</v>
      </c>
      <c r="N61" s="1">
        <v>96062100</v>
      </c>
      <c r="O61" s="1">
        <v>10</v>
      </c>
      <c r="P61" s="1">
        <v>11</v>
      </c>
      <c r="Q61" s="1">
        <v>2.5</v>
      </c>
      <c r="R61" s="1" t="s">
        <v>119</v>
      </c>
      <c r="S61" s="1">
        <v>100</v>
      </c>
      <c r="T61" s="1">
        <v>1366.89</v>
      </c>
      <c r="U61" s="1" t="s">
        <v>144</v>
      </c>
      <c r="V61" s="1">
        <v>104.9395</v>
      </c>
      <c r="W61" s="1" t="s">
        <v>145</v>
      </c>
      <c r="X61" s="1" t="s">
        <v>140</v>
      </c>
      <c r="Y61" s="1">
        <v>143440.75</v>
      </c>
    </row>
    <row r="62" spans="1:25" x14ac:dyDescent="0.25">
      <c r="A62" s="1">
        <v>57</v>
      </c>
      <c r="B62" s="1" t="s">
        <v>74</v>
      </c>
      <c r="C62" s="1" t="s">
        <v>73</v>
      </c>
      <c r="D62" s="1">
        <v>25289</v>
      </c>
      <c r="E62" s="13">
        <v>45173</v>
      </c>
      <c r="F62" s="1" t="s">
        <v>138</v>
      </c>
      <c r="G62" s="13">
        <v>45167</v>
      </c>
      <c r="H62" s="1">
        <v>1710295812</v>
      </c>
      <c r="I62" s="13">
        <v>45166</v>
      </c>
      <c r="J62" s="1" t="s">
        <v>139</v>
      </c>
      <c r="K62" s="1">
        <v>37</v>
      </c>
      <c r="L62" s="1" t="s">
        <v>75</v>
      </c>
      <c r="M62" s="1" t="s">
        <v>103</v>
      </c>
      <c r="N62" s="1">
        <v>39269099</v>
      </c>
      <c r="O62" s="1">
        <v>20</v>
      </c>
      <c r="P62" s="1">
        <v>11</v>
      </c>
      <c r="Q62" s="1">
        <v>7.5</v>
      </c>
      <c r="R62" s="1" t="s">
        <v>119</v>
      </c>
      <c r="S62" s="1">
        <v>100</v>
      </c>
      <c r="T62" s="1">
        <v>311.44</v>
      </c>
      <c r="U62" s="1" t="s">
        <v>144</v>
      </c>
      <c r="V62" s="1">
        <v>104.9395</v>
      </c>
      <c r="W62" s="1" t="s">
        <v>145</v>
      </c>
      <c r="X62" s="1" t="s">
        <v>140</v>
      </c>
      <c r="Y62" s="1">
        <v>32682.36</v>
      </c>
    </row>
    <row r="63" spans="1:25" x14ac:dyDescent="0.25">
      <c r="A63" s="1">
        <v>58</v>
      </c>
      <c r="B63" s="1" t="s">
        <v>74</v>
      </c>
      <c r="C63" s="1" t="s">
        <v>73</v>
      </c>
      <c r="D63" s="1">
        <v>25289</v>
      </c>
      <c r="E63" s="13">
        <v>45173</v>
      </c>
      <c r="F63" s="1" t="s">
        <v>138</v>
      </c>
      <c r="G63" s="13">
        <v>45167</v>
      </c>
      <c r="H63" s="1">
        <v>1710295812</v>
      </c>
      <c r="I63" s="13">
        <v>45166</v>
      </c>
      <c r="J63" s="1" t="s">
        <v>139</v>
      </c>
      <c r="K63" s="1">
        <v>38</v>
      </c>
      <c r="L63" s="1" t="s">
        <v>75</v>
      </c>
      <c r="M63" s="1" t="s">
        <v>104</v>
      </c>
      <c r="N63" s="1">
        <v>83081000</v>
      </c>
      <c r="O63" s="1">
        <v>5</v>
      </c>
      <c r="P63" s="1">
        <v>11</v>
      </c>
      <c r="Q63" s="1">
        <v>2.5</v>
      </c>
      <c r="R63" s="1" t="s">
        <v>122</v>
      </c>
      <c r="S63" s="1">
        <v>100</v>
      </c>
      <c r="T63" s="1">
        <v>622.88</v>
      </c>
      <c r="U63" s="1" t="s">
        <v>144</v>
      </c>
      <c r="V63" s="1">
        <v>104.9395</v>
      </c>
      <c r="W63" s="1" t="s">
        <v>145</v>
      </c>
      <c r="X63" s="1" t="s">
        <v>140</v>
      </c>
      <c r="Y63" s="1">
        <v>65364.72</v>
      </c>
    </row>
    <row r="64" spans="1:25" x14ac:dyDescent="0.25">
      <c r="A64" s="1">
        <v>59</v>
      </c>
      <c r="B64" s="1" t="s">
        <v>74</v>
      </c>
      <c r="C64" s="1" t="s">
        <v>73</v>
      </c>
      <c r="D64" s="1">
        <v>25289</v>
      </c>
      <c r="E64" s="13">
        <v>45173</v>
      </c>
      <c r="F64" s="1" t="s">
        <v>138</v>
      </c>
      <c r="G64" s="13">
        <v>45167</v>
      </c>
      <c r="H64" s="1">
        <v>1710295812</v>
      </c>
      <c r="I64" s="13">
        <v>45166</v>
      </c>
      <c r="J64" s="1" t="s">
        <v>139</v>
      </c>
      <c r="K64" s="1">
        <v>39</v>
      </c>
      <c r="L64" s="1" t="s">
        <v>75</v>
      </c>
      <c r="M64" s="1" t="s">
        <v>117</v>
      </c>
      <c r="N64" s="1">
        <v>96061090</v>
      </c>
      <c r="O64" s="1">
        <v>10</v>
      </c>
      <c r="P64" s="1">
        <v>11</v>
      </c>
      <c r="Q64" s="1">
        <v>2.5</v>
      </c>
      <c r="R64" s="1" t="s">
        <v>122</v>
      </c>
      <c r="S64" s="1">
        <v>20</v>
      </c>
      <c r="T64" s="1">
        <v>560.6</v>
      </c>
      <c r="U64" s="1" t="s">
        <v>144</v>
      </c>
      <c r="V64" s="1">
        <v>104.9395</v>
      </c>
      <c r="W64" s="1" t="s">
        <v>145</v>
      </c>
      <c r="X64" s="1" t="s">
        <v>140</v>
      </c>
      <c r="Y64" s="1">
        <v>58829.08</v>
      </c>
    </row>
    <row r="65" spans="1:25" x14ac:dyDescent="0.25">
      <c r="A65" s="1">
        <v>60</v>
      </c>
      <c r="B65" s="1" t="s">
        <v>74</v>
      </c>
      <c r="C65" s="1" t="s">
        <v>73</v>
      </c>
      <c r="D65" s="1">
        <v>25289</v>
      </c>
      <c r="E65" s="13">
        <v>45173</v>
      </c>
      <c r="F65" s="1" t="s">
        <v>138</v>
      </c>
      <c r="G65" s="13">
        <v>45167</v>
      </c>
      <c r="H65" s="1">
        <v>1710295812</v>
      </c>
      <c r="I65" s="13">
        <v>45166</v>
      </c>
      <c r="J65" s="1" t="s">
        <v>139</v>
      </c>
      <c r="K65" s="1">
        <v>40</v>
      </c>
      <c r="L65" s="1" t="s">
        <v>75</v>
      </c>
      <c r="M65" s="1" t="s">
        <v>118</v>
      </c>
      <c r="N65" s="1">
        <v>58062090</v>
      </c>
      <c r="O65" s="1">
        <v>10</v>
      </c>
      <c r="P65" s="1">
        <v>11</v>
      </c>
      <c r="Q65" s="1">
        <v>2.5</v>
      </c>
      <c r="R65" s="1" t="s">
        <v>120</v>
      </c>
      <c r="S65" s="1">
        <v>50</v>
      </c>
      <c r="T65" s="1">
        <v>1903.27</v>
      </c>
      <c r="U65" s="1" t="s">
        <v>144</v>
      </c>
      <c r="V65" s="1">
        <v>104.9395</v>
      </c>
      <c r="W65" s="1" t="s">
        <v>145</v>
      </c>
      <c r="X65" s="1" t="s">
        <v>140</v>
      </c>
      <c r="Y65" s="1">
        <v>199728.2</v>
      </c>
    </row>
    <row r="66" spans="1:25" x14ac:dyDescent="0.25">
      <c r="A66" s="1">
        <v>61</v>
      </c>
      <c r="B66" s="1" t="s">
        <v>74</v>
      </c>
      <c r="C66" s="1" t="s">
        <v>66</v>
      </c>
      <c r="D66" s="1">
        <v>25214</v>
      </c>
      <c r="E66" s="13">
        <v>45173</v>
      </c>
      <c r="F66" s="1" t="s">
        <v>124</v>
      </c>
      <c r="G66" s="13">
        <v>45169</v>
      </c>
      <c r="H66" s="1">
        <v>3483329076</v>
      </c>
      <c r="I66" s="13">
        <v>45169</v>
      </c>
      <c r="J66" s="1" t="s">
        <v>125</v>
      </c>
      <c r="K66" s="1">
        <v>1</v>
      </c>
      <c r="L66" s="1" t="s">
        <v>75</v>
      </c>
      <c r="M66" s="1" t="s">
        <v>80</v>
      </c>
      <c r="N66" s="1">
        <v>96071900</v>
      </c>
      <c r="O66" s="1">
        <v>15</v>
      </c>
      <c r="P66" s="1">
        <v>11</v>
      </c>
      <c r="Q66" s="1">
        <v>2.5</v>
      </c>
      <c r="R66" s="1" t="s">
        <v>119</v>
      </c>
      <c r="S66" s="1">
        <v>500</v>
      </c>
      <c r="T66" s="1">
        <v>450.5</v>
      </c>
      <c r="U66" s="1" t="s">
        <v>141</v>
      </c>
      <c r="V66" s="1">
        <v>15305</v>
      </c>
      <c r="W66" s="1" t="s">
        <v>142</v>
      </c>
      <c r="X66" s="1" t="s">
        <v>140</v>
      </c>
      <c r="Y66" s="1">
        <v>6894902.5</v>
      </c>
    </row>
    <row r="67" spans="1:25" x14ac:dyDescent="0.25">
      <c r="A67" s="1">
        <v>62</v>
      </c>
      <c r="B67" s="1" t="s">
        <v>74</v>
      </c>
      <c r="C67" s="1" t="s">
        <v>67</v>
      </c>
      <c r="D67" s="1">
        <v>25232</v>
      </c>
      <c r="E67" s="13">
        <v>45173</v>
      </c>
      <c r="F67" s="1" t="s">
        <v>76</v>
      </c>
      <c r="G67" s="13">
        <v>45170</v>
      </c>
      <c r="H67" s="1">
        <v>704030269727</v>
      </c>
      <c r="I67" s="13">
        <v>45170</v>
      </c>
      <c r="J67" s="1" t="s">
        <v>126</v>
      </c>
      <c r="K67" s="1">
        <v>1</v>
      </c>
      <c r="L67" s="1" t="s">
        <v>76</v>
      </c>
      <c r="M67" s="1" t="s">
        <v>81</v>
      </c>
      <c r="N67" s="1">
        <v>60063290</v>
      </c>
      <c r="O67" s="1">
        <v>15</v>
      </c>
      <c r="P67" s="1">
        <v>11</v>
      </c>
      <c r="Q67" s="1">
        <v>2.5</v>
      </c>
      <c r="R67" s="1" t="s">
        <v>120</v>
      </c>
      <c r="S67" s="1">
        <v>1</v>
      </c>
      <c r="T67" s="1">
        <v>32.700000000000003</v>
      </c>
      <c r="U67" s="1" t="s">
        <v>141</v>
      </c>
      <c r="V67" s="1">
        <v>15305</v>
      </c>
      <c r="W67" s="1" t="s">
        <v>143</v>
      </c>
      <c r="X67" s="1" t="s">
        <v>140</v>
      </c>
      <c r="Y67" s="1">
        <v>500473.5</v>
      </c>
    </row>
    <row r="68" spans="1:25" x14ac:dyDescent="0.25">
      <c r="A68" s="1">
        <v>63</v>
      </c>
      <c r="B68" s="1" t="s">
        <v>74</v>
      </c>
      <c r="C68" s="1" t="s">
        <v>68</v>
      </c>
      <c r="D68" s="1">
        <v>25235</v>
      </c>
      <c r="E68" s="13">
        <v>45173</v>
      </c>
      <c r="F68" s="1" t="s">
        <v>127</v>
      </c>
      <c r="G68" s="13">
        <v>45148</v>
      </c>
      <c r="H68" s="1" t="s">
        <v>128</v>
      </c>
      <c r="I68" s="13">
        <v>45162</v>
      </c>
      <c r="J68" s="1" t="s">
        <v>129</v>
      </c>
      <c r="K68" s="1">
        <v>1</v>
      </c>
      <c r="L68" s="1" t="s">
        <v>77</v>
      </c>
      <c r="M68" s="1" t="s">
        <v>82</v>
      </c>
      <c r="N68" s="1">
        <v>58071000</v>
      </c>
      <c r="O68" s="1">
        <v>10</v>
      </c>
      <c r="P68" s="1">
        <v>11</v>
      </c>
      <c r="Q68" s="1">
        <v>2.5</v>
      </c>
      <c r="R68" s="1" t="s">
        <v>119</v>
      </c>
      <c r="S68" s="1">
        <v>32856</v>
      </c>
      <c r="T68" s="1">
        <v>82140</v>
      </c>
      <c r="U68" s="1" t="s">
        <v>144</v>
      </c>
      <c r="V68" s="1">
        <v>104.9395</v>
      </c>
      <c r="W68" s="1" t="s">
        <v>145</v>
      </c>
      <c r="X68" s="1" t="s">
        <v>140</v>
      </c>
      <c r="Y68" s="1">
        <v>8619730.5299999993</v>
      </c>
    </row>
    <row r="69" spans="1:25" x14ac:dyDescent="0.25">
      <c r="A69" s="1">
        <v>64</v>
      </c>
      <c r="B69" s="1" t="s">
        <v>74</v>
      </c>
      <c r="C69" s="1" t="s">
        <v>68</v>
      </c>
      <c r="D69" s="1">
        <v>25235</v>
      </c>
      <c r="E69" s="13">
        <v>45173</v>
      </c>
      <c r="F69" s="1" t="s">
        <v>127</v>
      </c>
      <c r="G69" s="13">
        <v>45148</v>
      </c>
      <c r="H69" s="1" t="s">
        <v>128</v>
      </c>
      <c r="I69" s="13">
        <v>45162</v>
      </c>
      <c r="J69" s="1" t="s">
        <v>129</v>
      </c>
      <c r="K69" s="1">
        <v>2</v>
      </c>
      <c r="L69" s="1" t="s">
        <v>77</v>
      </c>
      <c r="M69" s="1" t="s">
        <v>83</v>
      </c>
      <c r="N69" s="1">
        <v>58071000</v>
      </c>
      <c r="O69" s="1">
        <v>10</v>
      </c>
      <c r="P69" s="1">
        <v>11</v>
      </c>
      <c r="Q69" s="1">
        <v>2.5</v>
      </c>
      <c r="R69" s="1" t="s">
        <v>119</v>
      </c>
      <c r="S69" s="1">
        <v>13586</v>
      </c>
      <c r="T69" s="1">
        <v>61137</v>
      </c>
      <c r="U69" s="1" t="s">
        <v>144</v>
      </c>
      <c r="V69" s="1">
        <v>104.9395</v>
      </c>
      <c r="W69" s="1" t="s">
        <v>145</v>
      </c>
      <c r="X69" s="1" t="s">
        <v>140</v>
      </c>
      <c r="Y69" s="1">
        <v>6415686.21</v>
      </c>
    </row>
    <row r="70" spans="1:25" x14ac:dyDescent="0.25">
      <c r="A70" s="1">
        <v>65</v>
      </c>
      <c r="B70" s="1" t="s">
        <v>74</v>
      </c>
      <c r="C70" s="1" t="s">
        <v>68</v>
      </c>
      <c r="D70" s="1">
        <v>25235</v>
      </c>
      <c r="E70" s="13">
        <v>45173</v>
      </c>
      <c r="F70" s="1" t="s">
        <v>127</v>
      </c>
      <c r="G70" s="13">
        <v>45148</v>
      </c>
      <c r="H70" s="1" t="s">
        <v>128</v>
      </c>
      <c r="I70" s="13">
        <v>45162</v>
      </c>
      <c r="J70" s="1" t="s">
        <v>129</v>
      </c>
      <c r="K70" s="1">
        <v>3</v>
      </c>
      <c r="L70" s="1" t="s">
        <v>77</v>
      </c>
      <c r="M70" s="1" t="s">
        <v>84</v>
      </c>
      <c r="N70" s="1">
        <v>39232990</v>
      </c>
      <c r="O70" s="1">
        <v>10</v>
      </c>
      <c r="P70" s="1">
        <v>11</v>
      </c>
      <c r="Q70" s="1">
        <v>2.5</v>
      </c>
      <c r="R70" s="1" t="s">
        <v>119</v>
      </c>
      <c r="S70" s="1">
        <v>29402</v>
      </c>
      <c r="T70" s="1">
        <v>246572</v>
      </c>
      <c r="U70" s="1" t="s">
        <v>144</v>
      </c>
      <c r="V70" s="1">
        <v>104.9395</v>
      </c>
      <c r="W70" s="1" t="s">
        <v>145</v>
      </c>
      <c r="X70" s="1" t="s">
        <v>140</v>
      </c>
      <c r="Y70" s="1">
        <v>25875142.390000001</v>
      </c>
    </row>
    <row r="71" spans="1:25" x14ac:dyDescent="0.25">
      <c r="A71" s="1">
        <v>66</v>
      </c>
      <c r="B71" s="1" t="s">
        <v>74</v>
      </c>
      <c r="C71" s="1" t="s">
        <v>68</v>
      </c>
      <c r="D71" s="1">
        <v>25235</v>
      </c>
      <c r="E71" s="13">
        <v>45173</v>
      </c>
      <c r="F71" s="1" t="s">
        <v>127</v>
      </c>
      <c r="G71" s="13">
        <v>45148</v>
      </c>
      <c r="H71" s="1" t="s">
        <v>128</v>
      </c>
      <c r="I71" s="13">
        <v>45162</v>
      </c>
      <c r="J71" s="1" t="s">
        <v>129</v>
      </c>
      <c r="K71" s="1">
        <v>4</v>
      </c>
      <c r="L71" s="1" t="s">
        <v>77</v>
      </c>
      <c r="M71" s="1" t="s">
        <v>85</v>
      </c>
      <c r="N71" s="1">
        <v>58071000</v>
      </c>
      <c r="O71" s="1">
        <v>10</v>
      </c>
      <c r="P71" s="1">
        <v>11</v>
      </c>
      <c r="Q71" s="1">
        <v>2.5</v>
      </c>
      <c r="R71" s="1" t="s">
        <v>119</v>
      </c>
      <c r="S71" s="1">
        <v>13586</v>
      </c>
      <c r="T71" s="1">
        <v>129067</v>
      </c>
      <c r="U71" s="1" t="s">
        <v>144</v>
      </c>
      <c r="V71" s="1">
        <v>104.9395</v>
      </c>
      <c r="W71" s="1" t="s">
        <v>145</v>
      </c>
      <c r="X71" s="1" t="s">
        <v>140</v>
      </c>
      <c r="Y71" s="1">
        <v>13544226.449999999</v>
      </c>
    </row>
    <row r="72" spans="1:25" x14ac:dyDescent="0.25">
      <c r="A72" s="1">
        <v>67</v>
      </c>
      <c r="B72" s="1" t="s">
        <v>74</v>
      </c>
      <c r="C72" s="1" t="s">
        <v>68</v>
      </c>
      <c r="D72" s="1">
        <v>25235</v>
      </c>
      <c r="E72" s="13">
        <v>45173</v>
      </c>
      <c r="F72" s="1" t="s">
        <v>127</v>
      </c>
      <c r="G72" s="13">
        <v>45148</v>
      </c>
      <c r="H72" s="1" t="s">
        <v>128</v>
      </c>
      <c r="I72" s="13">
        <v>45162</v>
      </c>
      <c r="J72" s="1" t="s">
        <v>129</v>
      </c>
      <c r="K72" s="1">
        <v>5</v>
      </c>
      <c r="L72" s="1" t="s">
        <v>77</v>
      </c>
      <c r="M72" s="1" t="s">
        <v>86</v>
      </c>
      <c r="N72" s="1">
        <v>58071000</v>
      </c>
      <c r="O72" s="1">
        <v>10</v>
      </c>
      <c r="P72" s="1">
        <v>11</v>
      </c>
      <c r="Q72" s="1">
        <v>2.5</v>
      </c>
      <c r="R72" s="1" t="s">
        <v>119</v>
      </c>
      <c r="S72" s="1">
        <v>8160</v>
      </c>
      <c r="T72" s="1">
        <v>8160</v>
      </c>
      <c r="U72" s="1" t="s">
        <v>144</v>
      </c>
      <c r="V72" s="1">
        <v>104.9395</v>
      </c>
      <c r="W72" s="1" t="s">
        <v>145</v>
      </c>
      <c r="X72" s="1" t="s">
        <v>140</v>
      </c>
      <c r="Y72" s="1">
        <v>856306.32</v>
      </c>
    </row>
    <row r="73" spans="1:25" x14ac:dyDescent="0.25">
      <c r="A73" s="1">
        <v>68</v>
      </c>
      <c r="B73" s="1" t="s">
        <v>74</v>
      </c>
      <c r="C73" s="1" t="s">
        <v>68</v>
      </c>
      <c r="D73" s="1">
        <v>25235</v>
      </c>
      <c r="E73" s="13">
        <v>45173</v>
      </c>
      <c r="F73" s="1" t="s">
        <v>127</v>
      </c>
      <c r="G73" s="13">
        <v>45148</v>
      </c>
      <c r="H73" s="1" t="s">
        <v>128</v>
      </c>
      <c r="I73" s="13">
        <v>45162</v>
      </c>
      <c r="J73" s="1" t="s">
        <v>129</v>
      </c>
      <c r="K73" s="1">
        <v>6</v>
      </c>
      <c r="L73" s="1" t="s">
        <v>77</v>
      </c>
      <c r="M73" s="1" t="s">
        <v>87</v>
      </c>
      <c r="N73" s="1">
        <v>48211010</v>
      </c>
      <c r="O73" s="1">
        <v>5</v>
      </c>
      <c r="P73" s="1">
        <v>11</v>
      </c>
      <c r="Q73" s="1">
        <v>2.5</v>
      </c>
      <c r="R73" s="1" t="s">
        <v>119</v>
      </c>
      <c r="S73" s="1">
        <v>27917</v>
      </c>
      <c r="T73" s="1">
        <v>27917</v>
      </c>
      <c r="U73" s="1" t="s">
        <v>144</v>
      </c>
      <c r="V73" s="1">
        <v>104.9395</v>
      </c>
      <c r="W73" s="1" t="s">
        <v>145</v>
      </c>
      <c r="X73" s="1" t="s">
        <v>140</v>
      </c>
      <c r="Y73" s="1">
        <v>2929596.02</v>
      </c>
    </row>
    <row r="74" spans="1:25" x14ac:dyDescent="0.25">
      <c r="A74" s="1">
        <v>69</v>
      </c>
      <c r="B74" s="1" t="s">
        <v>74</v>
      </c>
      <c r="C74" s="1" t="s">
        <v>68</v>
      </c>
      <c r="D74" s="1">
        <v>25235</v>
      </c>
      <c r="E74" s="13">
        <v>45173</v>
      </c>
      <c r="F74" s="1" t="s">
        <v>127</v>
      </c>
      <c r="G74" s="13">
        <v>45148</v>
      </c>
      <c r="H74" s="1" t="s">
        <v>128</v>
      </c>
      <c r="I74" s="13">
        <v>45162</v>
      </c>
      <c r="J74" s="1" t="s">
        <v>129</v>
      </c>
      <c r="K74" s="1">
        <v>7</v>
      </c>
      <c r="L74" s="1" t="s">
        <v>77</v>
      </c>
      <c r="M74" s="1" t="s">
        <v>88</v>
      </c>
      <c r="N74" s="1">
        <v>58071000</v>
      </c>
      <c r="O74" s="1">
        <v>10</v>
      </c>
      <c r="P74" s="1">
        <v>11</v>
      </c>
      <c r="Q74" s="1">
        <v>2.5</v>
      </c>
      <c r="R74" s="1" t="s">
        <v>119</v>
      </c>
      <c r="S74" s="1">
        <v>14331</v>
      </c>
      <c r="T74" s="1">
        <v>42993</v>
      </c>
      <c r="U74" s="1" t="s">
        <v>144</v>
      </c>
      <c r="V74" s="1">
        <v>104.9395</v>
      </c>
      <c r="W74" s="1" t="s">
        <v>145</v>
      </c>
      <c r="X74" s="1" t="s">
        <v>140</v>
      </c>
      <c r="Y74" s="1">
        <v>4511663.92</v>
      </c>
    </row>
    <row r="75" spans="1:25" x14ac:dyDescent="0.25">
      <c r="A75" s="1">
        <v>70</v>
      </c>
      <c r="B75" s="1" t="s">
        <v>74</v>
      </c>
      <c r="C75" s="1" t="s">
        <v>68</v>
      </c>
      <c r="D75" s="1">
        <v>25235</v>
      </c>
      <c r="E75" s="13">
        <v>45173</v>
      </c>
      <c r="F75" s="1" t="s">
        <v>127</v>
      </c>
      <c r="G75" s="13">
        <v>45148</v>
      </c>
      <c r="H75" s="1" t="s">
        <v>128</v>
      </c>
      <c r="I75" s="13">
        <v>45162</v>
      </c>
      <c r="J75" s="1" t="s">
        <v>129</v>
      </c>
      <c r="K75" s="1">
        <v>8</v>
      </c>
      <c r="L75" s="1" t="s">
        <v>77</v>
      </c>
      <c r="M75" s="1" t="s">
        <v>89</v>
      </c>
      <c r="N75" s="1">
        <v>58071000</v>
      </c>
      <c r="O75" s="1">
        <v>10</v>
      </c>
      <c r="P75" s="1">
        <v>11</v>
      </c>
      <c r="Q75" s="1">
        <v>2.5</v>
      </c>
      <c r="R75" s="1" t="s">
        <v>119</v>
      </c>
      <c r="S75" s="1">
        <v>13586</v>
      </c>
      <c r="T75" s="1">
        <v>33965</v>
      </c>
      <c r="U75" s="1" t="s">
        <v>144</v>
      </c>
      <c r="V75" s="1">
        <v>104.9395</v>
      </c>
      <c r="W75" s="1" t="s">
        <v>145</v>
      </c>
      <c r="X75" s="1" t="s">
        <v>140</v>
      </c>
      <c r="Y75" s="1">
        <v>3564270.12</v>
      </c>
    </row>
    <row r="76" spans="1:25" x14ac:dyDescent="0.25">
      <c r="A76" s="1">
        <v>71</v>
      </c>
      <c r="B76" s="1" t="s">
        <v>74</v>
      </c>
      <c r="C76" s="1" t="s">
        <v>68</v>
      </c>
      <c r="D76" s="1">
        <v>25235</v>
      </c>
      <c r="E76" s="13">
        <v>45173</v>
      </c>
      <c r="F76" s="1" t="s">
        <v>127</v>
      </c>
      <c r="G76" s="13">
        <v>45148</v>
      </c>
      <c r="H76" s="1" t="s">
        <v>128</v>
      </c>
      <c r="I76" s="13">
        <v>45162</v>
      </c>
      <c r="J76" s="1" t="s">
        <v>129</v>
      </c>
      <c r="K76" s="1">
        <v>9</v>
      </c>
      <c r="L76" s="1" t="s">
        <v>77</v>
      </c>
      <c r="M76" s="1" t="s">
        <v>90</v>
      </c>
      <c r="N76" s="1">
        <v>96062100</v>
      </c>
      <c r="O76" s="1">
        <v>10</v>
      </c>
      <c r="P76" s="1">
        <v>11</v>
      </c>
      <c r="Q76" s="1">
        <v>2.5</v>
      </c>
      <c r="R76" s="1" t="s">
        <v>119</v>
      </c>
      <c r="S76" s="1">
        <v>6693</v>
      </c>
      <c r="T76" s="1">
        <v>20079</v>
      </c>
      <c r="U76" s="1" t="s">
        <v>144</v>
      </c>
      <c r="V76" s="1">
        <v>104.9395</v>
      </c>
      <c r="W76" s="1" t="s">
        <v>145</v>
      </c>
      <c r="X76" s="1" t="s">
        <v>140</v>
      </c>
      <c r="Y76" s="1">
        <v>2107080.2200000002</v>
      </c>
    </row>
    <row r="77" spans="1:25" x14ac:dyDescent="0.25">
      <c r="A77" s="1">
        <v>72</v>
      </c>
      <c r="B77" s="1" t="s">
        <v>74</v>
      </c>
      <c r="C77" s="1" t="s">
        <v>68</v>
      </c>
      <c r="D77" s="1">
        <v>25235</v>
      </c>
      <c r="E77" s="13">
        <v>45173</v>
      </c>
      <c r="F77" s="1" t="s">
        <v>127</v>
      </c>
      <c r="G77" s="13">
        <v>45148</v>
      </c>
      <c r="H77" s="1" t="s">
        <v>128</v>
      </c>
      <c r="I77" s="13">
        <v>45162</v>
      </c>
      <c r="J77" s="1" t="s">
        <v>129</v>
      </c>
      <c r="K77" s="1">
        <v>10</v>
      </c>
      <c r="L77" s="1" t="s">
        <v>77</v>
      </c>
      <c r="M77" s="1" t="s">
        <v>91</v>
      </c>
      <c r="N77" s="1">
        <v>58062090</v>
      </c>
      <c r="O77" s="1">
        <v>10</v>
      </c>
      <c r="P77" s="1">
        <v>11</v>
      </c>
      <c r="Q77" s="1">
        <v>2.5</v>
      </c>
      <c r="R77" s="1" t="s">
        <v>120</v>
      </c>
      <c r="S77" s="1">
        <v>14430</v>
      </c>
      <c r="T77" s="1">
        <v>140250</v>
      </c>
      <c r="U77" s="1" t="s">
        <v>144</v>
      </c>
      <c r="V77" s="1">
        <v>104.9395</v>
      </c>
      <c r="W77" s="1" t="s">
        <v>145</v>
      </c>
      <c r="X77" s="1" t="s">
        <v>140</v>
      </c>
      <c r="Y77" s="1">
        <v>14717764.880000001</v>
      </c>
    </row>
    <row r="78" spans="1:25" x14ac:dyDescent="0.25">
      <c r="A78" s="1">
        <v>73</v>
      </c>
      <c r="B78" s="1" t="s">
        <v>74</v>
      </c>
      <c r="C78" s="1" t="s">
        <v>68</v>
      </c>
      <c r="D78" s="1">
        <v>25235</v>
      </c>
      <c r="E78" s="13">
        <v>45173</v>
      </c>
      <c r="F78" s="1" t="s">
        <v>127</v>
      </c>
      <c r="G78" s="13">
        <v>45148</v>
      </c>
      <c r="H78" s="1" t="s">
        <v>128</v>
      </c>
      <c r="I78" s="13">
        <v>45162</v>
      </c>
      <c r="J78" s="1" t="s">
        <v>129</v>
      </c>
      <c r="K78" s="1">
        <v>11</v>
      </c>
      <c r="L78" s="1" t="s">
        <v>77</v>
      </c>
      <c r="M78" s="1" t="s">
        <v>92</v>
      </c>
      <c r="N78" s="1">
        <v>48211010</v>
      </c>
      <c r="O78" s="1">
        <v>5</v>
      </c>
      <c r="P78" s="1">
        <v>11</v>
      </c>
      <c r="Q78" s="1">
        <v>2.5</v>
      </c>
      <c r="R78" s="1" t="s">
        <v>121</v>
      </c>
      <c r="S78" s="1">
        <v>65</v>
      </c>
      <c r="T78" s="1">
        <v>19175</v>
      </c>
      <c r="U78" s="1" t="s">
        <v>144</v>
      </c>
      <c r="V78" s="1">
        <v>104.9395</v>
      </c>
      <c r="W78" s="1" t="s">
        <v>145</v>
      </c>
      <c r="X78" s="1" t="s">
        <v>140</v>
      </c>
      <c r="Y78" s="1">
        <v>2012214.91</v>
      </c>
    </row>
    <row r="79" spans="1:25" x14ac:dyDescent="0.25">
      <c r="A79" s="1">
        <v>74</v>
      </c>
      <c r="B79" s="1" t="s">
        <v>74</v>
      </c>
      <c r="C79" s="1" t="s">
        <v>68</v>
      </c>
      <c r="D79" s="1">
        <v>25235</v>
      </c>
      <c r="E79" s="13">
        <v>45173</v>
      </c>
      <c r="F79" s="1" t="s">
        <v>127</v>
      </c>
      <c r="G79" s="13">
        <v>45148</v>
      </c>
      <c r="H79" s="1" t="s">
        <v>128</v>
      </c>
      <c r="I79" s="13">
        <v>45162</v>
      </c>
      <c r="J79" s="1" t="s">
        <v>129</v>
      </c>
      <c r="K79" s="1">
        <v>12</v>
      </c>
      <c r="L79" s="1" t="s">
        <v>77</v>
      </c>
      <c r="M79" s="1" t="s">
        <v>93</v>
      </c>
      <c r="N79" s="1">
        <v>58063290</v>
      </c>
      <c r="O79" s="1">
        <v>10</v>
      </c>
      <c r="P79" s="1">
        <v>11</v>
      </c>
      <c r="Q79" s="1">
        <v>2.5</v>
      </c>
      <c r="R79" s="1" t="s">
        <v>122</v>
      </c>
      <c r="S79" s="1">
        <v>11355</v>
      </c>
      <c r="T79" s="1">
        <v>56775</v>
      </c>
      <c r="U79" s="1" t="s">
        <v>144</v>
      </c>
      <c r="V79" s="1">
        <v>104.9395</v>
      </c>
      <c r="W79" s="1" t="s">
        <v>145</v>
      </c>
      <c r="X79" s="1" t="s">
        <v>140</v>
      </c>
      <c r="Y79" s="1">
        <v>5957940.1100000003</v>
      </c>
    </row>
    <row r="80" spans="1:25" x14ac:dyDescent="0.25">
      <c r="A80" s="1">
        <v>75</v>
      </c>
      <c r="B80" s="1" t="s">
        <v>74</v>
      </c>
      <c r="C80" s="1" t="s">
        <v>69</v>
      </c>
      <c r="D80" s="1">
        <v>25252</v>
      </c>
      <c r="E80" s="13">
        <v>45173</v>
      </c>
      <c r="F80" s="1" t="s">
        <v>130</v>
      </c>
      <c r="G80" s="13">
        <v>45170</v>
      </c>
      <c r="H80" s="1">
        <v>7102449970</v>
      </c>
      <c r="I80" s="13">
        <v>45169</v>
      </c>
      <c r="J80" s="1" t="s">
        <v>131</v>
      </c>
      <c r="K80" s="1">
        <v>1</v>
      </c>
      <c r="L80" s="1" t="s">
        <v>75</v>
      </c>
      <c r="M80" s="1" t="s">
        <v>94</v>
      </c>
      <c r="N80" s="1">
        <v>60063290</v>
      </c>
      <c r="O80" s="1">
        <v>15</v>
      </c>
      <c r="P80" s="1">
        <v>11</v>
      </c>
      <c r="Q80" s="1">
        <v>2.5</v>
      </c>
      <c r="R80" s="1" t="s">
        <v>120</v>
      </c>
      <c r="S80" s="1">
        <v>6</v>
      </c>
      <c r="T80" s="1">
        <v>2357.17</v>
      </c>
      <c r="U80" s="1" t="s">
        <v>144</v>
      </c>
      <c r="V80" s="1">
        <v>104.9395</v>
      </c>
      <c r="W80" s="1" t="s">
        <v>145</v>
      </c>
      <c r="X80" s="1" t="s">
        <v>140</v>
      </c>
      <c r="Y80" s="1">
        <v>247360.24</v>
      </c>
    </row>
    <row r="81" spans="1:25" x14ac:dyDescent="0.25">
      <c r="A81" s="1">
        <v>76</v>
      </c>
      <c r="B81" s="1" t="s">
        <v>74</v>
      </c>
      <c r="C81" s="1" t="s">
        <v>70</v>
      </c>
      <c r="D81" s="1">
        <v>25254</v>
      </c>
      <c r="E81" s="13">
        <v>45173</v>
      </c>
      <c r="F81" s="1" t="s">
        <v>132</v>
      </c>
      <c r="G81" s="13">
        <v>45170</v>
      </c>
      <c r="H81" s="1">
        <v>3583351682</v>
      </c>
      <c r="I81" s="13">
        <v>45169</v>
      </c>
      <c r="J81" s="1" t="s">
        <v>133</v>
      </c>
      <c r="K81" s="1">
        <v>1</v>
      </c>
      <c r="L81" s="1" t="s">
        <v>75</v>
      </c>
      <c r="M81" s="1" t="s">
        <v>95</v>
      </c>
      <c r="N81" s="1">
        <v>58071000</v>
      </c>
      <c r="O81" s="1">
        <v>10</v>
      </c>
      <c r="P81" s="1">
        <v>11</v>
      </c>
      <c r="Q81" s="1">
        <v>2.5</v>
      </c>
      <c r="R81" s="1" t="s">
        <v>119</v>
      </c>
      <c r="S81" s="1">
        <v>10</v>
      </c>
      <c r="T81" s="1">
        <v>41.87</v>
      </c>
      <c r="U81" s="1" t="s">
        <v>144</v>
      </c>
      <c r="V81" s="1">
        <v>104.9395</v>
      </c>
      <c r="W81" s="1" t="s">
        <v>145</v>
      </c>
      <c r="X81" s="1" t="s">
        <v>140</v>
      </c>
      <c r="Y81" s="1">
        <v>4393.82</v>
      </c>
    </row>
    <row r="82" spans="1:25" x14ac:dyDescent="0.25">
      <c r="A82" s="1">
        <v>77</v>
      </c>
      <c r="B82" s="1" t="s">
        <v>74</v>
      </c>
      <c r="C82" s="1" t="s">
        <v>70</v>
      </c>
      <c r="D82" s="1">
        <v>25254</v>
      </c>
      <c r="E82" s="13">
        <v>45173</v>
      </c>
      <c r="F82" s="1" t="s">
        <v>132</v>
      </c>
      <c r="G82" s="13">
        <v>45170</v>
      </c>
      <c r="H82" s="1">
        <v>3583351682</v>
      </c>
      <c r="I82" s="13">
        <v>45169</v>
      </c>
      <c r="J82" s="1" t="s">
        <v>133</v>
      </c>
      <c r="K82" s="1">
        <v>2</v>
      </c>
      <c r="L82" s="1" t="s">
        <v>75</v>
      </c>
      <c r="M82" s="1" t="s">
        <v>96</v>
      </c>
      <c r="N82" s="1">
        <v>49081000</v>
      </c>
      <c r="O82" s="1">
        <v>5</v>
      </c>
      <c r="P82" s="1">
        <v>11</v>
      </c>
      <c r="Q82" s="1">
        <v>2.5</v>
      </c>
      <c r="R82" s="1" t="s">
        <v>119</v>
      </c>
      <c r="S82" s="1">
        <v>10</v>
      </c>
      <c r="T82" s="1">
        <v>825.5</v>
      </c>
      <c r="U82" s="1" t="s">
        <v>144</v>
      </c>
      <c r="V82" s="1">
        <v>104.9395</v>
      </c>
      <c r="W82" s="1" t="s">
        <v>145</v>
      </c>
      <c r="X82" s="1" t="s">
        <v>140</v>
      </c>
      <c r="Y82" s="1">
        <v>86627.56</v>
      </c>
    </row>
    <row r="83" spans="1:25" x14ac:dyDescent="0.25">
      <c r="A83" s="1">
        <v>78</v>
      </c>
      <c r="B83" s="1" t="s">
        <v>74</v>
      </c>
      <c r="C83" s="1" t="s">
        <v>70</v>
      </c>
      <c r="D83" s="1">
        <v>25254</v>
      </c>
      <c r="E83" s="13">
        <v>45173</v>
      </c>
      <c r="F83" s="1" t="s">
        <v>132</v>
      </c>
      <c r="G83" s="13">
        <v>45170</v>
      </c>
      <c r="H83" s="1">
        <v>3583351682</v>
      </c>
      <c r="I83" s="13">
        <v>45169</v>
      </c>
      <c r="J83" s="1" t="s">
        <v>133</v>
      </c>
      <c r="K83" s="1">
        <v>3</v>
      </c>
      <c r="L83" s="1" t="s">
        <v>75</v>
      </c>
      <c r="M83" s="1" t="s">
        <v>97</v>
      </c>
      <c r="N83" s="1">
        <v>58071000</v>
      </c>
      <c r="O83" s="1">
        <v>10</v>
      </c>
      <c r="P83" s="1">
        <v>11</v>
      </c>
      <c r="Q83" s="1">
        <v>2.5</v>
      </c>
      <c r="R83" s="1" t="s">
        <v>119</v>
      </c>
      <c r="S83" s="1">
        <v>10</v>
      </c>
      <c r="T83" s="1">
        <v>47.86</v>
      </c>
      <c r="U83" s="1" t="s">
        <v>144</v>
      </c>
      <c r="V83" s="1">
        <v>104.9395</v>
      </c>
      <c r="W83" s="1" t="s">
        <v>145</v>
      </c>
      <c r="X83" s="1" t="s">
        <v>140</v>
      </c>
      <c r="Y83" s="1">
        <v>5022.3999999999996</v>
      </c>
    </row>
    <row r="84" spans="1:25" x14ac:dyDescent="0.25">
      <c r="A84" s="1">
        <v>79</v>
      </c>
      <c r="B84" s="1" t="s">
        <v>74</v>
      </c>
      <c r="C84" s="1" t="s">
        <v>71</v>
      </c>
      <c r="D84" s="1">
        <v>25266</v>
      </c>
      <c r="E84" s="13">
        <v>45173</v>
      </c>
      <c r="F84" s="1" t="s">
        <v>134</v>
      </c>
      <c r="G84" s="13">
        <v>45148</v>
      </c>
      <c r="H84" s="1" t="s">
        <v>135</v>
      </c>
      <c r="I84" s="13">
        <v>45162</v>
      </c>
      <c r="J84" s="1" t="s">
        <v>129</v>
      </c>
      <c r="K84" s="1">
        <v>1</v>
      </c>
      <c r="L84" s="1" t="s">
        <v>78</v>
      </c>
      <c r="M84" s="1" t="s">
        <v>98</v>
      </c>
      <c r="N84" s="1">
        <v>55121900</v>
      </c>
      <c r="O84" s="1">
        <v>15</v>
      </c>
      <c r="P84" s="1">
        <v>11</v>
      </c>
      <c r="Q84" s="1">
        <v>2.5</v>
      </c>
      <c r="R84" s="1" t="s">
        <v>120</v>
      </c>
      <c r="S84" s="1">
        <v>25478.7</v>
      </c>
      <c r="T84" s="1">
        <v>17619644</v>
      </c>
      <c r="U84" s="1" t="s">
        <v>144</v>
      </c>
      <c r="V84" s="1">
        <v>104.9395</v>
      </c>
      <c r="W84" s="1" t="s">
        <v>145</v>
      </c>
      <c r="X84" s="1" t="s">
        <v>140</v>
      </c>
      <c r="Y84" s="1">
        <v>1848996631.54</v>
      </c>
    </row>
    <row r="85" spans="1:25" x14ac:dyDescent="0.25">
      <c r="A85" s="1">
        <v>80</v>
      </c>
      <c r="B85" s="1" t="s">
        <v>74</v>
      </c>
      <c r="C85" s="1" t="s">
        <v>72</v>
      </c>
      <c r="D85" s="1">
        <v>25267</v>
      </c>
      <c r="E85" s="13">
        <v>45173</v>
      </c>
      <c r="F85" s="1" t="s">
        <v>136</v>
      </c>
      <c r="G85" s="13">
        <v>45148</v>
      </c>
      <c r="H85" s="1" t="s">
        <v>137</v>
      </c>
      <c r="I85" s="13">
        <v>45162</v>
      </c>
      <c r="J85" s="1" t="s">
        <v>129</v>
      </c>
      <c r="K85" s="1">
        <v>1</v>
      </c>
      <c r="L85" s="1" t="s">
        <v>79</v>
      </c>
      <c r="M85" s="1" t="s">
        <v>98</v>
      </c>
      <c r="N85" s="1">
        <v>55121900</v>
      </c>
      <c r="O85" s="1">
        <v>15</v>
      </c>
      <c r="P85" s="1">
        <v>11</v>
      </c>
      <c r="Q85" s="1">
        <v>2.5</v>
      </c>
      <c r="R85" s="1" t="s">
        <v>120</v>
      </c>
      <c r="S85" s="1">
        <v>11296.5</v>
      </c>
      <c r="T85" s="1">
        <v>8043108</v>
      </c>
      <c r="U85" s="1" t="s">
        <v>144</v>
      </c>
      <c r="V85" s="1">
        <v>104.9395</v>
      </c>
      <c r="W85" s="1" t="s">
        <v>145</v>
      </c>
      <c r="X85" s="1" t="s">
        <v>140</v>
      </c>
      <c r="Y85" s="1">
        <v>844039731.97000003</v>
      </c>
    </row>
    <row r="86" spans="1:25" x14ac:dyDescent="0.25">
      <c r="A86" s="1">
        <v>81</v>
      </c>
      <c r="B86" s="1" t="s">
        <v>74</v>
      </c>
      <c r="C86" s="1" t="s">
        <v>73</v>
      </c>
      <c r="D86" s="1">
        <v>25289</v>
      </c>
      <c r="E86" s="13">
        <v>45173</v>
      </c>
      <c r="F86" s="1" t="s">
        <v>138</v>
      </c>
      <c r="G86" s="13">
        <v>45167</v>
      </c>
      <c r="H86" s="1">
        <v>1710295812</v>
      </c>
      <c r="I86" s="13">
        <v>45166</v>
      </c>
      <c r="J86" s="1" t="s">
        <v>139</v>
      </c>
      <c r="K86" s="1">
        <v>1</v>
      </c>
      <c r="L86" s="1" t="s">
        <v>75</v>
      </c>
      <c r="M86" s="1" t="s">
        <v>99</v>
      </c>
      <c r="N86" s="1">
        <v>58071000</v>
      </c>
      <c r="O86" s="1">
        <v>10</v>
      </c>
      <c r="P86" s="1">
        <v>11</v>
      </c>
      <c r="Q86" s="1">
        <v>2.5</v>
      </c>
      <c r="R86" s="1" t="s">
        <v>119</v>
      </c>
      <c r="S86" s="1">
        <v>10</v>
      </c>
      <c r="T86" s="1">
        <v>103.82</v>
      </c>
      <c r="U86" s="1" t="s">
        <v>144</v>
      </c>
      <c r="V86" s="1">
        <v>104.9395</v>
      </c>
      <c r="W86" s="1" t="s">
        <v>145</v>
      </c>
      <c r="X86" s="1" t="s">
        <v>140</v>
      </c>
      <c r="Y86" s="1">
        <v>10894.82</v>
      </c>
    </row>
    <row r="87" spans="1:25" x14ac:dyDescent="0.25">
      <c r="A87" s="1">
        <v>82</v>
      </c>
      <c r="B87" s="1" t="s">
        <v>74</v>
      </c>
      <c r="C87" s="1" t="s">
        <v>73</v>
      </c>
      <c r="D87" s="1">
        <v>25289</v>
      </c>
      <c r="E87" s="13">
        <v>45173</v>
      </c>
      <c r="F87" s="1" t="s">
        <v>138</v>
      </c>
      <c r="G87" s="13">
        <v>45167</v>
      </c>
      <c r="H87" s="1">
        <v>1710295812</v>
      </c>
      <c r="I87" s="13">
        <v>45166</v>
      </c>
      <c r="J87" s="1" t="s">
        <v>139</v>
      </c>
      <c r="K87" s="1">
        <v>2</v>
      </c>
      <c r="L87" s="1" t="s">
        <v>75</v>
      </c>
      <c r="M87" s="1" t="s">
        <v>99</v>
      </c>
      <c r="N87" s="1">
        <v>58071000</v>
      </c>
      <c r="O87" s="1">
        <v>10</v>
      </c>
      <c r="P87" s="1">
        <v>11</v>
      </c>
      <c r="Q87" s="1">
        <v>2.5</v>
      </c>
      <c r="R87" s="1" t="s">
        <v>119</v>
      </c>
      <c r="S87" s="1">
        <v>10</v>
      </c>
      <c r="T87" s="1">
        <v>103.82</v>
      </c>
      <c r="U87" s="1" t="s">
        <v>144</v>
      </c>
      <c r="V87" s="1">
        <v>104.9395</v>
      </c>
      <c r="W87" s="1" t="s">
        <v>145</v>
      </c>
      <c r="X87" s="1" t="s">
        <v>140</v>
      </c>
      <c r="Y87" s="1">
        <v>10894.82</v>
      </c>
    </row>
    <row r="88" spans="1:25" x14ac:dyDescent="0.25">
      <c r="A88" s="1">
        <v>83</v>
      </c>
      <c r="B88" s="1" t="s">
        <v>74</v>
      </c>
      <c r="C88" s="1" t="s">
        <v>73</v>
      </c>
      <c r="D88" s="1">
        <v>25289</v>
      </c>
      <c r="E88" s="13">
        <v>45173</v>
      </c>
      <c r="F88" s="1" t="s">
        <v>138</v>
      </c>
      <c r="G88" s="13">
        <v>45167</v>
      </c>
      <c r="H88" s="1">
        <v>1710295812</v>
      </c>
      <c r="I88" s="13">
        <v>45166</v>
      </c>
      <c r="J88" s="1" t="s">
        <v>139</v>
      </c>
      <c r="K88" s="1">
        <v>3</v>
      </c>
      <c r="L88" s="1" t="s">
        <v>75</v>
      </c>
      <c r="M88" s="1" t="s">
        <v>99</v>
      </c>
      <c r="N88" s="1">
        <v>58071000</v>
      </c>
      <c r="O88" s="1">
        <v>10</v>
      </c>
      <c r="P88" s="1">
        <v>11</v>
      </c>
      <c r="Q88" s="1">
        <v>2.5</v>
      </c>
      <c r="R88" s="1" t="s">
        <v>119</v>
      </c>
      <c r="S88" s="1">
        <v>10</v>
      </c>
      <c r="T88" s="1">
        <v>268.19</v>
      </c>
      <c r="U88" s="1" t="s">
        <v>144</v>
      </c>
      <c r="V88" s="1">
        <v>104.9395</v>
      </c>
      <c r="W88" s="1" t="s">
        <v>145</v>
      </c>
      <c r="X88" s="1" t="s">
        <v>140</v>
      </c>
      <c r="Y88" s="1">
        <v>28143.72</v>
      </c>
    </row>
    <row r="89" spans="1:25" x14ac:dyDescent="0.25">
      <c r="A89" s="1">
        <v>84</v>
      </c>
      <c r="B89" s="1" t="s">
        <v>74</v>
      </c>
      <c r="C89" s="1" t="s">
        <v>73</v>
      </c>
      <c r="D89" s="1">
        <v>25289</v>
      </c>
      <c r="E89" s="13">
        <v>45173</v>
      </c>
      <c r="F89" s="1" t="s">
        <v>138</v>
      </c>
      <c r="G89" s="13">
        <v>45167</v>
      </c>
      <c r="H89" s="1">
        <v>1710295812</v>
      </c>
      <c r="I89" s="13">
        <v>45166</v>
      </c>
      <c r="J89" s="1" t="s">
        <v>139</v>
      </c>
      <c r="K89" s="1">
        <v>4</v>
      </c>
      <c r="L89" s="1" t="s">
        <v>75</v>
      </c>
      <c r="M89" s="1" t="s">
        <v>99</v>
      </c>
      <c r="N89" s="1">
        <v>58071000</v>
      </c>
      <c r="O89" s="1">
        <v>10</v>
      </c>
      <c r="P89" s="1">
        <v>11</v>
      </c>
      <c r="Q89" s="1">
        <v>2.5</v>
      </c>
      <c r="R89" s="1" t="s">
        <v>119</v>
      </c>
      <c r="S89" s="1">
        <v>10</v>
      </c>
      <c r="T89" s="1">
        <v>268.19</v>
      </c>
      <c r="U89" s="1" t="s">
        <v>144</v>
      </c>
      <c r="V89" s="1">
        <v>104.9395</v>
      </c>
      <c r="W89" s="1" t="s">
        <v>145</v>
      </c>
      <c r="X89" s="1" t="s">
        <v>140</v>
      </c>
      <c r="Y89" s="1">
        <v>28143.72</v>
      </c>
    </row>
    <row r="90" spans="1:25" x14ac:dyDescent="0.25">
      <c r="A90" s="1">
        <v>85</v>
      </c>
      <c r="B90" s="1" t="s">
        <v>74</v>
      </c>
      <c r="C90" s="1" t="s">
        <v>73</v>
      </c>
      <c r="D90" s="1">
        <v>25289</v>
      </c>
      <c r="E90" s="13">
        <v>45173</v>
      </c>
      <c r="F90" s="1" t="s">
        <v>138</v>
      </c>
      <c r="G90" s="13">
        <v>45167</v>
      </c>
      <c r="H90" s="1">
        <v>1710295812</v>
      </c>
      <c r="I90" s="13">
        <v>45166</v>
      </c>
      <c r="J90" s="1" t="s">
        <v>139</v>
      </c>
      <c r="K90" s="1">
        <v>5</v>
      </c>
      <c r="L90" s="1" t="s">
        <v>75</v>
      </c>
      <c r="M90" s="1" t="s">
        <v>100</v>
      </c>
      <c r="N90" s="1">
        <v>60053500</v>
      </c>
      <c r="O90" s="1">
        <v>15</v>
      </c>
      <c r="P90" s="1">
        <v>11</v>
      </c>
      <c r="Q90" s="1">
        <v>2.5</v>
      </c>
      <c r="R90" s="1" t="s">
        <v>120</v>
      </c>
      <c r="S90" s="1">
        <v>5</v>
      </c>
      <c r="T90" s="1">
        <v>3114.43</v>
      </c>
      <c r="U90" s="1" t="s">
        <v>144</v>
      </c>
      <c r="V90" s="1">
        <v>104.9395</v>
      </c>
      <c r="W90" s="1" t="s">
        <v>145</v>
      </c>
      <c r="X90" s="1" t="s">
        <v>140</v>
      </c>
      <c r="Y90" s="1">
        <v>326826.73</v>
      </c>
    </row>
    <row r="91" spans="1:25" x14ac:dyDescent="0.25">
      <c r="A91" s="1">
        <v>86</v>
      </c>
      <c r="B91" s="1" t="s">
        <v>74</v>
      </c>
      <c r="C91" s="1" t="s">
        <v>73</v>
      </c>
      <c r="D91" s="1">
        <v>25289</v>
      </c>
      <c r="E91" s="13">
        <v>45173</v>
      </c>
      <c r="F91" s="1" t="s">
        <v>138</v>
      </c>
      <c r="G91" s="13">
        <v>45167</v>
      </c>
      <c r="H91" s="1">
        <v>1710295812</v>
      </c>
      <c r="I91" s="13">
        <v>45166</v>
      </c>
      <c r="J91" s="1" t="s">
        <v>139</v>
      </c>
      <c r="K91" s="1">
        <v>6</v>
      </c>
      <c r="L91" s="1" t="s">
        <v>75</v>
      </c>
      <c r="M91" s="1" t="s">
        <v>101</v>
      </c>
      <c r="N91" s="1">
        <v>96071900</v>
      </c>
      <c r="O91" s="1">
        <v>15</v>
      </c>
      <c r="P91" s="1">
        <v>11</v>
      </c>
      <c r="Q91" s="1">
        <v>2.5</v>
      </c>
      <c r="R91" s="1" t="s">
        <v>119</v>
      </c>
      <c r="S91" s="1">
        <v>20</v>
      </c>
      <c r="T91" s="1">
        <v>1418.79</v>
      </c>
      <c r="U91" s="1" t="s">
        <v>144</v>
      </c>
      <c r="V91" s="1">
        <v>104.9395</v>
      </c>
      <c r="W91" s="1" t="s">
        <v>145</v>
      </c>
      <c r="X91" s="1" t="s">
        <v>140</v>
      </c>
      <c r="Y91" s="1">
        <v>148887.10999999999</v>
      </c>
    </row>
    <row r="92" spans="1:25" x14ac:dyDescent="0.25">
      <c r="A92" s="1">
        <v>87</v>
      </c>
      <c r="B92" s="1" t="s">
        <v>74</v>
      </c>
      <c r="C92" s="1" t="s">
        <v>73</v>
      </c>
      <c r="D92" s="1">
        <v>25289</v>
      </c>
      <c r="E92" s="13">
        <v>45173</v>
      </c>
      <c r="F92" s="1" t="s">
        <v>138</v>
      </c>
      <c r="G92" s="13">
        <v>45167</v>
      </c>
      <c r="H92" s="1">
        <v>1710295812</v>
      </c>
      <c r="I92" s="13">
        <v>45166</v>
      </c>
      <c r="J92" s="1" t="s">
        <v>139</v>
      </c>
      <c r="K92" s="1">
        <v>7</v>
      </c>
      <c r="L92" s="1" t="s">
        <v>75</v>
      </c>
      <c r="M92" s="1" t="s">
        <v>101</v>
      </c>
      <c r="N92" s="1">
        <v>96071900</v>
      </c>
      <c r="O92" s="1">
        <v>15</v>
      </c>
      <c r="P92" s="1">
        <v>11</v>
      </c>
      <c r="Q92" s="1">
        <v>2.5</v>
      </c>
      <c r="R92" s="1" t="s">
        <v>119</v>
      </c>
      <c r="S92" s="1">
        <v>20</v>
      </c>
      <c r="T92" s="1">
        <v>1418.79</v>
      </c>
      <c r="U92" s="1" t="s">
        <v>144</v>
      </c>
      <c r="V92" s="1">
        <v>104.9395</v>
      </c>
      <c r="W92" s="1" t="s">
        <v>145</v>
      </c>
      <c r="X92" s="1" t="s">
        <v>140</v>
      </c>
      <c r="Y92" s="1">
        <v>148887.10999999999</v>
      </c>
    </row>
    <row r="93" spans="1:25" x14ac:dyDescent="0.25">
      <c r="A93" s="1">
        <v>88</v>
      </c>
      <c r="B93" s="1" t="s">
        <v>74</v>
      </c>
      <c r="C93" s="1" t="s">
        <v>73</v>
      </c>
      <c r="D93" s="1">
        <v>25289</v>
      </c>
      <c r="E93" s="13">
        <v>45173</v>
      </c>
      <c r="F93" s="1" t="s">
        <v>138</v>
      </c>
      <c r="G93" s="13">
        <v>45167</v>
      </c>
      <c r="H93" s="1">
        <v>1710295812</v>
      </c>
      <c r="I93" s="13">
        <v>45166</v>
      </c>
      <c r="J93" s="1" t="s">
        <v>139</v>
      </c>
      <c r="K93" s="1">
        <v>8</v>
      </c>
      <c r="L93" s="1" t="s">
        <v>75</v>
      </c>
      <c r="M93" s="1" t="s">
        <v>101</v>
      </c>
      <c r="N93" s="1">
        <v>96071900</v>
      </c>
      <c r="O93" s="1">
        <v>15</v>
      </c>
      <c r="P93" s="1">
        <v>11</v>
      </c>
      <c r="Q93" s="1">
        <v>2.5</v>
      </c>
      <c r="R93" s="1" t="s">
        <v>119</v>
      </c>
      <c r="S93" s="1">
        <v>10</v>
      </c>
      <c r="T93" s="1">
        <v>1730.23</v>
      </c>
      <c r="U93" s="1" t="s">
        <v>144</v>
      </c>
      <c r="V93" s="1">
        <v>104.9395</v>
      </c>
      <c r="W93" s="1" t="s">
        <v>145</v>
      </c>
      <c r="X93" s="1" t="s">
        <v>140</v>
      </c>
      <c r="Y93" s="1">
        <v>181569.47</v>
      </c>
    </row>
    <row r="94" spans="1:25" x14ac:dyDescent="0.25">
      <c r="A94" s="1">
        <v>89</v>
      </c>
      <c r="B94" s="1" t="s">
        <v>74</v>
      </c>
      <c r="C94" s="1" t="s">
        <v>73</v>
      </c>
      <c r="D94" s="1">
        <v>25289</v>
      </c>
      <c r="E94" s="13">
        <v>45173</v>
      </c>
      <c r="F94" s="1" t="s">
        <v>138</v>
      </c>
      <c r="G94" s="13">
        <v>45167</v>
      </c>
      <c r="H94" s="1">
        <v>1710295812</v>
      </c>
      <c r="I94" s="13">
        <v>45166</v>
      </c>
      <c r="J94" s="1" t="s">
        <v>139</v>
      </c>
      <c r="K94" s="1">
        <v>9</v>
      </c>
      <c r="L94" s="1" t="s">
        <v>75</v>
      </c>
      <c r="M94" s="1" t="s">
        <v>101</v>
      </c>
      <c r="N94" s="1">
        <v>96071900</v>
      </c>
      <c r="O94" s="1">
        <v>15</v>
      </c>
      <c r="P94" s="1">
        <v>11</v>
      </c>
      <c r="Q94" s="1">
        <v>2.5</v>
      </c>
      <c r="R94" s="1" t="s">
        <v>119</v>
      </c>
      <c r="S94" s="1">
        <v>10</v>
      </c>
      <c r="T94" s="1">
        <v>1730.23</v>
      </c>
      <c r="U94" s="1" t="s">
        <v>144</v>
      </c>
      <c r="V94" s="1">
        <v>104.9395</v>
      </c>
      <c r="W94" s="1" t="s">
        <v>145</v>
      </c>
      <c r="X94" s="1" t="s">
        <v>140</v>
      </c>
      <c r="Y94" s="1">
        <v>181569.47</v>
      </c>
    </row>
    <row r="95" spans="1:25" x14ac:dyDescent="0.25">
      <c r="A95" s="1">
        <v>90</v>
      </c>
      <c r="B95" s="1" t="s">
        <v>74</v>
      </c>
      <c r="C95" s="1" t="s">
        <v>73</v>
      </c>
      <c r="D95" s="1">
        <v>25289</v>
      </c>
      <c r="E95" s="13">
        <v>45173</v>
      </c>
      <c r="F95" s="1" t="s">
        <v>138</v>
      </c>
      <c r="G95" s="13">
        <v>45167</v>
      </c>
      <c r="H95" s="1">
        <v>1710295812</v>
      </c>
      <c r="I95" s="13">
        <v>45166</v>
      </c>
      <c r="J95" s="1" t="s">
        <v>139</v>
      </c>
      <c r="K95" s="1">
        <v>10</v>
      </c>
      <c r="L95" s="1" t="s">
        <v>75</v>
      </c>
      <c r="M95" s="1" t="s">
        <v>102</v>
      </c>
      <c r="N95" s="1">
        <v>96061090</v>
      </c>
      <c r="O95" s="1">
        <v>10</v>
      </c>
      <c r="P95" s="1">
        <v>11</v>
      </c>
      <c r="Q95" s="1">
        <v>2.5</v>
      </c>
      <c r="R95" s="1" t="s">
        <v>122</v>
      </c>
      <c r="S95" s="1">
        <v>60</v>
      </c>
      <c r="T95" s="1">
        <v>373.73</v>
      </c>
      <c r="U95" s="1" t="s">
        <v>144</v>
      </c>
      <c r="V95" s="1">
        <v>104.9395</v>
      </c>
      <c r="W95" s="1" t="s">
        <v>145</v>
      </c>
      <c r="X95" s="1" t="s">
        <v>140</v>
      </c>
      <c r="Y95" s="1">
        <v>39219.040000000001</v>
      </c>
    </row>
    <row r="96" spans="1:25" x14ac:dyDescent="0.25">
      <c r="A96" s="1">
        <v>91</v>
      </c>
      <c r="B96" s="1" t="s">
        <v>74</v>
      </c>
      <c r="C96" s="1" t="s">
        <v>73</v>
      </c>
      <c r="D96" s="1">
        <v>25289</v>
      </c>
      <c r="E96" s="13">
        <v>45173</v>
      </c>
      <c r="F96" s="1" t="s">
        <v>138</v>
      </c>
      <c r="G96" s="13">
        <v>45167</v>
      </c>
      <c r="H96" s="1">
        <v>1710295812</v>
      </c>
      <c r="I96" s="13">
        <v>45166</v>
      </c>
      <c r="J96" s="1" t="s">
        <v>139</v>
      </c>
      <c r="K96" s="1">
        <v>11</v>
      </c>
      <c r="L96" s="1" t="s">
        <v>75</v>
      </c>
      <c r="M96" s="1" t="s">
        <v>103</v>
      </c>
      <c r="N96" s="1">
        <v>39269099</v>
      </c>
      <c r="O96" s="1">
        <v>20</v>
      </c>
      <c r="P96" s="1">
        <v>11</v>
      </c>
      <c r="Q96" s="1">
        <v>7.5</v>
      </c>
      <c r="R96" s="1" t="s">
        <v>119</v>
      </c>
      <c r="S96" s="1">
        <v>100</v>
      </c>
      <c r="T96" s="1">
        <v>311.44</v>
      </c>
      <c r="U96" s="1" t="s">
        <v>144</v>
      </c>
      <c r="V96" s="1">
        <v>104.9395</v>
      </c>
      <c r="W96" s="1" t="s">
        <v>145</v>
      </c>
      <c r="X96" s="1" t="s">
        <v>140</v>
      </c>
      <c r="Y96" s="1">
        <v>32682.36</v>
      </c>
    </row>
    <row r="97" spans="1:25" x14ac:dyDescent="0.25">
      <c r="A97" s="1">
        <v>92</v>
      </c>
      <c r="B97" s="1" t="s">
        <v>74</v>
      </c>
      <c r="C97" s="1" t="s">
        <v>73</v>
      </c>
      <c r="D97" s="1">
        <v>25289</v>
      </c>
      <c r="E97" s="13">
        <v>45173</v>
      </c>
      <c r="F97" s="1" t="s">
        <v>138</v>
      </c>
      <c r="G97" s="13">
        <v>45167</v>
      </c>
      <c r="H97" s="1">
        <v>1710295812</v>
      </c>
      <c r="I97" s="13">
        <v>45166</v>
      </c>
      <c r="J97" s="1" t="s">
        <v>139</v>
      </c>
      <c r="K97" s="1">
        <v>12</v>
      </c>
      <c r="L97" s="1" t="s">
        <v>75</v>
      </c>
      <c r="M97" s="1" t="s">
        <v>104</v>
      </c>
      <c r="N97" s="1">
        <v>83081000</v>
      </c>
      <c r="O97" s="1">
        <v>5</v>
      </c>
      <c r="P97" s="1">
        <v>11</v>
      </c>
      <c r="Q97" s="1">
        <v>2.5</v>
      </c>
      <c r="R97" s="1" t="s">
        <v>122</v>
      </c>
      <c r="S97" s="1">
        <v>40</v>
      </c>
      <c r="T97" s="1">
        <v>249.15</v>
      </c>
      <c r="U97" s="1" t="s">
        <v>144</v>
      </c>
      <c r="V97" s="1">
        <v>104.9395</v>
      </c>
      <c r="W97" s="1" t="s">
        <v>145</v>
      </c>
      <c r="X97" s="1" t="s">
        <v>140</v>
      </c>
      <c r="Y97" s="1">
        <v>26145.68</v>
      </c>
    </row>
    <row r="98" spans="1:25" x14ac:dyDescent="0.25">
      <c r="A98" s="1">
        <v>93</v>
      </c>
      <c r="B98" s="1" t="s">
        <v>74</v>
      </c>
      <c r="C98" s="1" t="s">
        <v>73</v>
      </c>
      <c r="D98" s="1">
        <v>25289</v>
      </c>
      <c r="E98" s="13">
        <v>45173</v>
      </c>
      <c r="F98" s="1" t="s">
        <v>138</v>
      </c>
      <c r="G98" s="13">
        <v>45167</v>
      </c>
      <c r="H98" s="1">
        <v>1710295812</v>
      </c>
      <c r="I98" s="13">
        <v>45166</v>
      </c>
      <c r="J98" s="1" t="s">
        <v>139</v>
      </c>
      <c r="K98" s="1">
        <v>13</v>
      </c>
      <c r="L98" s="1" t="s">
        <v>75</v>
      </c>
      <c r="M98" s="1" t="s">
        <v>105</v>
      </c>
      <c r="N98" s="1">
        <v>96061090</v>
      </c>
      <c r="O98" s="1">
        <v>10</v>
      </c>
      <c r="P98" s="1">
        <v>11</v>
      </c>
      <c r="Q98" s="1">
        <v>2.5</v>
      </c>
      <c r="R98" s="1" t="s">
        <v>122</v>
      </c>
      <c r="S98" s="1">
        <v>60</v>
      </c>
      <c r="T98" s="1">
        <v>778.61</v>
      </c>
      <c r="U98" s="1" t="s">
        <v>144</v>
      </c>
      <c r="V98" s="1">
        <v>104.9395</v>
      </c>
      <c r="W98" s="1" t="s">
        <v>145</v>
      </c>
      <c r="X98" s="1" t="s">
        <v>140</v>
      </c>
      <c r="Y98" s="1">
        <v>81706.94</v>
      </c>
    </row>
    <row r="99" spans="1:25" x14ac:dyDescent="0.25">
      <c r="A99" s="1">
        <v>94</v>
      </c>
      <c r="B99" s="1" t="s">
        <v>74</v>
      </c>
      <c r="C99" s="1" t="s">
        <v>73</v>
      </c>
      <c r="D99" s="1">
        <v>25289</v>
      </c>
      <c r="E99" s="13">
        <v>45173</v>
      </c>
      <c r="F99" s="1" t="s">
        <v>138</v>
      </c>
      <c r="G99" s="13">
        <v>45167</v>
      </c>
      <c r="H99" s="1">
        <v>1710295812</v>
      </c>
      <c r="I99" s="13">
        <v>45166</v>
      </c>
      <c r="J99" s="1" t="s">
        <v>139</v>
      </c>
      <c r="K99" s="1">
        <v>14</v>
      </c>
      <c r="L99" s="1" t="s">
        <v>75</v>
      </c>
      <c r="M99" s="1" t="s">
        <v>103</v>
      </c>
      <c r="N99" s="1">
        <v>39269099</v>
      </c>
      <c r="O99" s="1">
        <v>20</v>
      </c>
      <c r="P99" s="1">
        <v>11</v>
      </c>
      <c r="Q99" s="1">
        <v>7.5</v>
      </c>
      <c r="R99" s="1" t="s">
        <v>119</v>
      </c>
      <c r="S99" s="1">
        <v>100</v>
      </c>
      <c r="T99" s="1">
        <v>311.44</v>
      </c>
      <c r="U99" s="1" t="s">
        <v>144</v>
      </c>
      <c r="V99" s="1">
        <v>104.9395</v>
      </c>
      <c r="W99" s="1" t="s">
        <v>145</v>
      </c>
      <c r="X99" s="1" t="s">
        <v>140</v>
      </c>
      <c r="Y99" s="1">
        <v>32682.36</v>
      </c>
    </row>
    <row r="100" spans="1:25" x14ac:dyDescent="0.25">
      <c r="A100" s="1">
        <v>95</v>
      </c>
      <c r="B100" s="1" t="s">
        <v>74</v>
      </c>
      <c r="C100" s="1" t="s">
        <v>73</v>
      </c>
      <c r="D100" s="1">
        <v>25289</v>
      </c>
      <c r="E100" s="13">
        <v>45173</v>
      </c>
      <c r="F100" s="1" t="s">
        <v>138</v>
      </c>
      <c r="G100" s="13">
        <v>45167</v>
      </c>
      <c r="H100" s="1">
        <v>1710295812</v>
      </c>
      <c r="I100" s="13">
        <v>45166</v>
      </c>
      <c r="J100" s="1" t="s">
        <v>139</v>
      </c>
      <c r="K100" s="1">
        <v>15</v>
      </c>
      <c r="L100" s="1" t="s">
        <v>75</v>
      </c>
      <c r="M100" s="1" t="s">
        <v>106</v>
      </c>
      <c r="N100" s="1">
        <v>96061090</v>
      </c>
      <c r="O100" s="1">
        <v>10</v>
      </c>
      <c r="P100" s="1">
        <v>11</v>
      </c>
      <c r="Q100" s="1">
        <v>2.5</v>
      </c>
      <c r="R100" s="1" t="s">
        <v>122</v>
      </c>
      <c r="S100" s="1">
        <v>60</v>
      </c>
      <c r="T100" s="1">
        <v>321.82</v>
      </c>
      <c r="U100" s="1" t="s">
        <v>144</v>
      </c>
      <c r="V100" s="1">
        <v>104.9395</v>
      </c>
      <c r="W100" s="1" t="s">
        <v>145</v>
      </c>
      <c r="X100" s="1" t="s">
        <v>140</v>
      </c>
      <c r="Y100" s="1">
        <v>33771.629999999997</v>
      </c>
    </row>
    <row r="101" spans="1:25" x14ac:dyDescent="0.25">
      <c r="A101" s="1">
        <v>96</v>
      </c>
      <c r="B101" s="1" t="s">
        <v>74</v>
      </c>
      <c r="C101" s="1" t="s">
        <v>73</v>
      </c>
      <c r="D101" s="1">
        <v>25289</v>
      </c>
      <c r="E101" s="13">
        <v>45173</v>
      </c>
      <c r="F101" s="1" t="s">
        <v>138</v>
      </c>
      <c r="G101" s="13">
        <v>45167</v>
      </c>
      <c r="H101" s="1">
        <v>1710295812</v>
      </c>
      <c r="I101" s="13">
        <v>45166</v>
      </c>
      <c r="J101" s="1" t="s">
        <v>139</v>
      </c>
      <c r="K101" s="1">
        <v>16</v>
      </c>
      <c r="L101" s="1" t="s">
        <v>75</v>
      </c>
      <c r="M101" s="1" t="s">
        <v>107</v>
      </c>
      <c r="N101" s="1">
        <v>96061090</v>
      </c>
      <c r="O101" s="1">
        <v>10</v>
      </c>
      <c r="P101" s="1">
        <v>11</v>
      </c>
      <c r="Q101" s="1">
        <v>2.5</v>
      </c>
      <c r="R101" s="1" t="s">
        <v>122</v>
      </c>
      <c r="S101" s="1">
        <v>10</v>
      </c>
      <c r="T101" s="1">
        <v>280.3</v>
      </c>
      <c r="U101" s="1" t="s">
        <v>144</v>
      </c>
      <c r="V101" s="1">
        <v>104.9395</v>
      </c>
      <c r="W101" s="1" t="s">
        <v>145</v>
      </c>
      <c r="X101" s="1" t="s">
        <v>140</v>
      </c>
      <c r="Y101" s="1">
        <v>29414.54</v>
      </c>
    </row>
    <row r="102" spans="1:25" x14ac:dyDescent="0.25">
      <c r="A102" s="1">
        <v>97</v>
      </c>
      <c r="B102" s="1" t="s">
        <v>74</v>
      </c>
      <c r="C102" s="1" t="s">
        <v>73</v>
      </c>
      <c r="D102" s="1">
        <v>25289</v>
      </c>
      <c r="E102" s="13">
        <v>45173</v>
      </c>
      <c r="F102" s="1" t="s">
        <v>138</v>
      </c>
      <c r="G102" s="13">
        <v>45167</v>
      </c>
      <c r="H102" s="1">
        <v>1710295812</v>
      </c>
      <c r="I102" s="13">
        <v>45166</v>
      </c>
      <c r="J102" s="1" t="s">
        <v>139</v>
      </c>
      <c r="K102" s="1">
        <v>17</v>
      </c>
      <c r="L102" s="1" t="s">
        <v>75</v>
      </c>
      <c r="M102" s="1" t="s">
        <v>108</v>
      </c>
      <c r="N102" s="1">
        <v>60053500</v>
      </c>
      <c r="O102" s="1">
        <v>15</v>
      </c>
      <c r="P102" s="1">
        <v>11</v>
      </c>
      <c r="Q102" s="1">
        <v>2.5</v>
      </c>
      <c r="R102" s="1" t="s">
        <v>120</v>
      </c>
      <c r="S102" s="1">
        <v>20</v>
      </c>
      <c r="T102" s="1">
        <v>3806.52</v>
      </c>
      <c r="U102" s="1" t="s">
        <v>144</v>
      </c>
      <c r="V102" s="1">
        <v>104.9395</v>
      </c>
      <c r="W102" s="1" t="s">
        <v>145</v>
      </c>
      <c r="X102" s="1" t="s">
        <v>140</v>
      </c>
      <c r="Y102" s="1">
        <v>399454.31</v>
      </c>
    </row>
    <row r="103" spans="1:25" x14ac:dyDescent="0.25">
      <c r="A103" s="1">
        <v>98</v>
      </c>
      <c r="B103" s="1" t="s">
        <v>74</v>
      </c>
      <c r="C103" s="1" t="s">
        <v>73</v>
      </c>
      <c r="D103" s="1">
        <v>25289</v>
      </c>
      <c r="E103" s="13">
        <v>45173</v>
      </c>
      <c r="F103" s="1" t="s">
        <v>138</v>
      </c>
      <c r="G103" s="13">
        <v>45167</v>
      </c>
      <c r="H103" s="1">
        <v>1710295812</v>
      </c>
      <c r="I103" s="13">
        <v>45166</v>
      </c>
      <c r="J103" s="1" t="s">
        <v>139</v>
      </c>
      <c r="K103" s="1">
        <v>18</v>
      </c>
      <c r="L103" s="1" t="s">
        <v>75</v>
      </c>
      <c r="M103" s="1" t="s">
        <v>109</v>
      </c>
      <c r="N103" s="1">
        <v>60069000</v>
      </c>
      <c r="O103" s="1">
        <v>15</v>
      </c>
      <c r="P103" s="1">
        <v>11</v>
      </c>
      <c r="Q103" s="1">
        <v>2.5</v>
      </c>
      <c r="R103" s="1" t="s">
        <v>120</v>
      </c>
      <c r="S103" s="1">
        <v>2</v>
      </c>
      <c r="T103" s="1">
        <v>865.12</v>
      </c>
      <c r="U103" s="1" t="s">
        <v>144</v>
      </c>
      <c r="V103" s="1">
        <v>104.9395</v>
      </c>
      <c r="W103" s="1" t="s">
        <v>145</v>
      </c>
      <c r="X103" s="1" t="s">
        <v>140</v>
      </c>
      <c r="Y103" s="1">
        <v>90785.26</v>
      </c>
    </row>
    <row r="104" spans="1:25" x14ac:dyDescent="0.25">
      <c r="A104" s="1">
        <v>99</v>
      </c>
      <c r="B104" s="1" t="s">
        <v>74</v>
      </c>
      <c r="C104" s="1" t="s">
        <v>73</v>
      </c>
      <c r="D104" s="1">
        <v>25289</v>
      </c>
      <c r="E104" s="13">
        <v>45173</v>
      </c>
      <c r="F104" s="1" t="s">
        <v>138</v>
      </c>
      <c r="G104" s="13">
        <v>45167</v>
      </c>
      <c r="H104" s="1">
        <v>1710295812</v>
      </c>
      <c r="I104" s="13">
        <v>45166</v>
      </c>
      <c r="J104" s="1" t="s">
        <v>139</v>
      </c>
      <c r="K104" s="1">
        <v>19</v>
      </c>
      <c r="L104" s="1" t="s">
        <v>75</v>
      </c>
      <c r="M104" s="1" t="s">
        <v>109</v>
      </c>
      <c r="N104" s="1">
        <v>60069000</v>
      </c>
      <c r="O104" s="1">
        <v>15</v>
      </c>
      <c r="P104" s="1">
        <v>11</v>
      </c>
      <c r="Q104" s="1">
        <v>2.5</v>
      </c>
      <c r="R104" s="1" t="s">
        <v>120</v>
      </c>
      <c r="S104" s="1">
        <v>2</v>
      </c>
      <c r="T104" s="1">
        <v>899.72</v>
      </c>
      <c r="U104" s="1" t="s">
        <v>144</v>
      </c>
      <c r="V104" s="1">
        <v>104.9395</v>
      </c>
      <c r="W104" s="1" t="s">
        <v>145</v>
      </c>
      <c r="X104" s="1" t="s">
        <v>140</v>
      </c>
      <c r="Y104" s="1">
        <v>94416.17</v>
      </c>
    </row>
    <row r="105" spans="1:25" x14ac:dyDescent="0.25">
      <c r="A105" s="1">
        <v>100</v>
      </c>
      <c r="B105" s="1" t="s">
        <v>74</v>
      </c>
      <c r="C105" s="1" t="s">
        <v>73</v>
      </c>
      <c r="D105" s="1">
        <v>25289</v>
      </c>
      <c r="E105" s="13">
        <v>45173</v>
      </c>
      <c r="F105" s="1" t="s">
        <v>138</v>
      </c>
      <c r="G105" s="13">
        <v>45167</v>
      </c>
      <c r="H105" s="1">
        <v>1710295812</v>
      </c>
      <c r="I105" s="13">
        <v>45166</v>
      </c>
      <c r="J105" s="1" t="s">
        <v>139</v>
      </c>
      <c r="K105" s="1">
        <v>20</v>
      </c>
      <c r="L105" s="1" t="s">
        <v>75</v>
      </c>
      <c r="M105" s="1" t="s">
        <v>110</v>
      </c>
      <c r="N105" s="1">
        <v>59039090</v>
      </c>
      <c r="O105" s="1">
        <v>10</v>
      </c>
      <c r="P105" s="1">
        <v>11</v>
      </c>
      <c r="Q105" s="1">
        <v>2.5</v>
      </c>
      <c r="R105" s="1" t="s">
        <v>120</v>
      </c>
      <c r="S105" s="1">
        <v>20</v>
      </c>
      <c r="T105" s="1">
        <v>1730.23</v>
      </c>
      <c r="U105" s="1" t="s">
        <v>144</v>
      </c>
      <c r="V105" s="1">
        <v>104.9395</v>
      </c>
      <c r="W105" s="1" t="s">
        <v>145</v>
      </c>
      <c r="X105" s="1" t="s">
        <v>140</v>
      </c>
      <c r="Y105" s="1">
        <v>181569.47</v>
      </c>
    </row>
    <row r="106" spans="1:25" x14ac:dyDescent="0.25">
      <c r="A106" s="1">
        <v>101</v>
      </c>
      <c r="B106" s="1" t="s">
        <v>74</v>
      </c>
      <c r="C106" s="1" t="s">
        <v>73</v>
      </c>
      <c r="D106" s="1">
        <v>25289</v>
      </c>
      <c r="E106" s="13">
        <v>45173</v>
      </c>
      <c r="F106" s="1" t="s">
        <v>138</v>
      </c>
      <c r="G106" s="13">
        <v>45167</v>
      </c>
      <c r="H106" s="1">
        <v>1710295812</v>
      </c>
      <c r="I106" s="13">
        <v>45166</v>
      </c>
      <c r="J106" s="1" t="s">
        <v>139</v>
      </c>
      <c r="K106" s="1">
        <v>21</v>
      </c>
      <c r="L106" s="1" t="s">
        <v>75</v>
      </c>
      <c r="M106" s="1" t="s">
        <v>99</v>
      </c>
      <c r="N106" s="1">
        <v>58071000</v>
      </c>
      <c r="O106" s="1">
        <v>10</v>
      </c>
      <c r="P106" s="1">
        <v>11</v>
      </c>
      <c r="Q106" s="1">
        <v>2.5</v>
      </c>
      <c r="R106" s="1" t="s">
        <v>119</v>
      </c>
      <c r="S106" s="1">
        <v>10</v>
      </c>
      <c r="T106" s="1">
        <v>83.05</v>
      </c>
      <c r="U106" s="1" t="s">
        <v>144</v>
      </c>
      <c r="V106" s="1">
        <v>104.9395</v>
      </c>
      <c r="W106" s="1" t="s">
        <v>145</v>
      </c>
      <c r="X106" s="1" t="s">
        <v>140</v>
      </c>
      <c r="Y106" s="1">
        <v>8715.23</v>
      </c>
    </row>
    <row r="107" spans="1:25" x14ac:dyDescent="0.25">
      <c r="A107" s="1">
        <v>102</v>
      </c>
      <c r="B107" s="1" t="s">
        <v>74</v>
      </c>
      <c r="C107" s="1" t="s">
        <v>73</v>
      </c>
      <c r="D107" s="1">
        <v>25289</v>
      </c>
      <c r="E107" s="13">
        <v>45173</v>
      </c>
      <c r="F107" s="1" t="s">
        <v>138</v>
      </c>
      <c r="G107" s="13">
        <v>45167</v>
      </c>
      <c r="H107" s="1">
        <v>1710295812</v>
      </c>
      <c r="I107" s="13">
        <v>45166</v>
      </c>
      <c r="J107" s="1" t="s">
        <v>139</v>
      </c>
      <c r="K107" s="1">
        <v>22</v>
      </c>
      <c r="L107" s="1" t="s">
        <v>75</v>
      </c>
      <c r="M107" s="1" t="s">
        <v>111</v>
      </c>
      <c r="N107" s="1">
        <v>58071000</v>
      </c>
      <c r="O107" s="1">
        <v>10</v>
      </c>
      <c r="P107" s="1">
        <v>11</v>
      </c>
      <c r="Q107" s="1">
        <v>2.5</v>
      </c>
      <c r="R107" s="1" t="s">
        <v>119</v>
      </c>
      <c r="S107" s="1">
        <v>20</v>
      </c>
      <c r="T107" s="1">
        <v>51.91</v>
      </c>
      <c r="U107" s="1" t="s">
        <v>144</v>
      </c>
      <c r="V107" s="1">
        <v>104.9395</v>
      </c>
      <c r="W107" s="1" t="s">
        <v>145</v>
      </c>
      <c r="X107" s="1" t="s">
        <v>140</v>
      </c>
      <c r="Y107" s="1">
        <v>5447.41</v>
      </c>
    </row>
    <row r="108" spans="1:25" x14ac:dyDescent="0.25">
      <c r="A108" s="1">
        <v>103</v>
      </c>
      <c r="B108" s="1" t="s">
        <v>74</v>
      </c>
      <c r="C108" s="1" t="s">
        <v>73</v>
      </c>
      <c r="D108" s="1">
        <v>25289</v>
      </c>
      <c r="E108" s="13">
        <v>45173</v>
      </c>
      <c r="F108" s="1" t="s">
        <v>138</v>
      </c>
      <c r="G108" s="13">
        <v>45167</v>
      </c>
      <c r="H108" s="1">
        <v>1710295812</v>
      </c>
      <c r="I108" s="13">
        <v>45166</v>
      </c>
      <c r="J108" s="1" t="s">
        <v>139</v>
      </c>
      <c r="K108" s="1">
        <v>23</v>
      </c>
      <c r="L108" s="1" t="s">
        <v>75</v>
      </c>
      <c r="M108" s="1" t="s">
        <v>112</v>
      </c>
      <c r="N108" s="1">
        <v>58062090</v>
      </c>
      <c r="O108" s="1">
        <v>10</v>
      </c>
      <c r="P108" s="1">
        <v>11</v>
      </c>
      <c r="Q108" s="1">
        <v>2.5</v>
      </c>
      <c r="R108" s="1" t="s">
        <v>119</v>
      </c>
      <c r="S108" s="1">
        <v>20</v>
      </c>
      <c r="T108" s="1">
        <v>103.82</v>
      </c>
      <c r="U108" s="1" t="s">
        <v>144</v>
      </c>
      <c r="V108" s="1">
        <v>104.9395</v>
      </c>
      <c r="W108" s="1" t="s">
        <v>145</v>
      </c>
      <c r="X108" s="1" t="s">
        <v>140</v>
      </c>
      <c r="Y108" s="1">
        <v>10894.82</v>
      </c>
    </row>
    <row r="109" spans="1:25" x14ac:dyDescent="0.25">
      <c r="A109" s="1">
        <v>104</v>
      </c>
      <c r="B109" s="1" t="s">
        <v>74</v>
      </c>
      <c r="C109" s="1" t="s">
        <v>73</v>
      </c>
      <c r="D109" s="1">
        <v>25289</v>
      </c>
      <c r="E109" s="13">
        <v>45173</v>
      </c>
      <c r="F109" s="1" t="s">
        <v>138</v>
      </c>
      <c r="G109" s="13">
        <v>45167</v>
      </c>
      <c r="H109" s="1">
        <v>1710295812</v>
      </c>
      <c r="I109" s="13">
        <v>45166</v>
      </c>
      <c r="J109" s="1" t="s">
        <v>139</v>
      </c>
      <c r="K109" s="1">
        <v>24</v>
      </c>
      <c r="L109" s="1" t="s">
        <v>75</v>
      </c>
      <c r="M109" s="1" t="s">
        <v>113</v>
      </c>
      <c r="N109" s="1">
        <v>58062090</v>
      </c>
      <c r="O109" s="1">
        <v>10</v>
      </c>
      <c r="P109" s="1">
        <v>11</v>
      </c>
      <c r="Q109" s="1">
        <v>2.5</v>
      </c>
      <c r="R109" s="1" t="s">
        <v>119</v>
      </c>
      <c r="S109" s="1">
        <v>20</v>
      </c>
      <c r="T109" s="1">
        <v>103.82</v>
      </c>
      <c r="U109" s="1" t="s">
        <v>144</v>
      </c>
      <c r="V109" s="1">
        <v>104.9395</v>
      </c>
      <c r="W109" s="1" t="s">
        <v>145</v>
      </c>
      <c r="X109" s="1" t="s">
        <v>140</v>
      </c>
      <c r="Y109" s="1">
        <v>10894.82</v>
      </c>
    </row>
    <row r="110" spans="1:25" x14ac:dyDescent="0.25">
      <c r="A110" s="1">
        <v>105</v>
      </c>
      <c r="B110" s="1" t="s">
        <v>74</v>
      </c>
      <c r="C110" s="1" t="s">
        <v>73</v>
      </c>
      <c r="D110" s="1">
        <v>25289</v>
      </c>
      <c r="E110" s="13">
        <v>45173</v>
      </c>
      <c r="F110" s="1" t="s">
        <v>138</v>
      </c>
      <c r="G110" s="13">
        <v>45167</v>
      </c>
      <c r="H110" s="1">
        <v>1710295812</v>
      </c>
      <c r="I110" s="13">
        <v>45166</v>
      </c>
      <c r="J110" s="1" t="s">
        <v>139</v>
      </c>
      <c r="K110" s="1">
        <v>25</v>
      </c>
      <c r="L110" s="1" t="s">
        <v>75</v>
      </c>
      <c r="M110" s="1" t="s">
        <v>99</v>
      </c>
      <c r="N110" s="1">
        <v>58071000</v>
      </c>
      <c r="O110" s="1">
        <v>10</v>
      </c>
      <c r="P110" s="1">
        <v>11</v>
      </c>
      <c r="Q110" s="1">
        <v>2.5</v>
      </c>
      <c r="R110" s="1" t="s">
        <v>119</v>
      </c>
      <c r="S110" s="1">
        <v>10</v>
      </c>
      <c r="T110" s="1">
        <v>69.2</v>
      </c>
      <c r="U110" s="1" t="s">
        <v>144</v>
      </c>
      <c r="V110" s="1">
        <v>104.9395</v>
      </c>
      <c r="W110" s="1" t="s">
        <v>145</v>
      </c>
      <c r="X110" s="1" t="s">
        <v>140</v>
      </c>
      <c r="Y110" s="1">
        <v>7261.81</v>
      </c>
    </row>
    <row r="111" spans="1:25" x14ac:dyDescent="0.25">
      <c r="A111" s="1">
        <v>106</v>
      </c>
      <c r="B111" s="1" t="s">
        <v>74</v>
      </c>
      <c r="C111" s="1" t="s">
        <v>73</v>
      </c>
      <c r="D111" s="1">
        <v>25289</v>
      </c>
      <c r="E111" s="13">
        <v>45173</v>
      </c>
      <c r="F111" s="1" t="s">
        <v>138</v>
      </c>
      <c r="G111" s="13">
        <v>45167</v>
      </c>
      <c r="H111" s="1">
        <v>1710295812</v>
      </c>
      <c r="I111" s="13">
        <v>45166</v>
      </c>
      <c r="J111" s="1" t="s">
        <v>139</v>
      </c>
      <c r="K111" s="1">
        <v>26</v>
      </c>
      <c r="L111" s="1" t="s">
        <v>75</v>
      </c>
      <c r="M111" s="1" t="s">
        <v>114</v>
      </c>
      <c r="N111" s="1">
        <v>55113000</v>
      </c>
      <c r="O111" s="1">
        <v>7.5</v>
      </c>
      <c r="P111" s="1">
        <v>11</v>
      </c>
      <c r="Q111" s="1">
        <v>2.5</v>
      </c>
      <c r="R111" s="1" t="s">
        <v>123</v>
      </c>
      <c r="S111" s="1">
        <v>12</v>
      </c>
      <c r="T111" s="1">
        <v>12665.35</v>
      </c>
      <c r="U111" s="1" t="s">
        <v>144</v>
      </c>
      <c r="V111" s="1">
        <v>104.9395</v>
      </c>
      <c r="W111" s="1" t="s">
        <v>145</v>
      </c>
      <c r="X111" s="1" t="s">
        <v>140</v>
      </c>
      <c r="Y111" s="1">
        <v>1329095.5</v>
      </c>
    </row>
    <row r="112" spans="1:25" x14ac:dyDescent="0.25">
      <c r="A112" s="1">
        <v>107</v>
      </c>
      <c r="B112" s="1" t="s">
        <v>74</v>
      </c>
      <c r="C112" s="1" t="s">
        <v>73</v>
      </c>
      <c r="D112" s="1">
        <v>25289</v>
      </c>
      <c r="E112" s="13">
        <v>45173</v>
      </c>
      <c r="F112" s="1" t="s">
        <v>138</v>
      </c>
      <c r="G112" s="13">
        <v>45167</v>
      </c>
      <c r="H112" s="1">
        <v>1710295812</v>
      </c>
      <c r="I112" s="13">
        <v>45166</v>
      </c>
      <c r="J112" s="1" t="s">
        <v>139</v>
      </c>
      <c r="K112" s="1">
        <v>27</v>
      </c>
      <c r="L112" s="1" t="s">
        <v>75</v>
      </c>
      <c r="M112" s="1" t="s">
        <v>114</v>
      </c>
      <c r="N112" s="1">
        <v>55113000</v>
      </c>
      <c r="O112" s="1">
        <v>7.5</v>
      </c>
      <c r="P112" s="1">
        <v>11</v>
      </c>
      <c r="Q112" s="1">
        <v>2.5</v>
      </c>
      <c r="R112" s="1" t="s">
        <v>123</v>
      </c>
      <c r="S112" s="1">
        <v>24</v>
      </c>
      <c r="T112" s="1">
        <v>16610.3</v>
      </c>
      <c r="U112" s="1" t="s">
        <v>144</v>
      </c>
      <c r="V112" s="1">
        <v>104.9395</v>
      </c>
      <c r="W112" s="1" t="s">
        <v>145</v>
      </c>
      <c r="X112" s="1" t="s">
        <v>140</v>
      </c>
      <c r="Y112" s="1">
        <v>1743076.58</v>
      </c>
    </row>
    <row r="113" spans="1:25" x14ac:dyDescent="0.25">
      <c r="A113" s="1">
        <v>108</v>
      </c>
      <c r="B113" s="1" t="s">
        <v>74</v>
      </c>
      <c r="C113" s="1" t="s">
        <v>73</v>
      </c>
      <c r="D113" s="1">
        <v>25289</v>
      </c>
      <c r="E113" s="13">
        <v>45173</v>
      </c>
      <c r="F113" s="1" t="s">
        <v>138</v>
      </c>
      <c r="G113" s="13">
        <v>45167</v>
      </c>
      <c r="H113" s="1">
        <v>1710295812</v>
      </c>
      <c r="I113" s="13">
        <v>45166</v>
      </c>
      <c r="J113" s="1" t="s">
        <v>139</v>
      </c>
      <c r="K113" s="1">
        <v>28</v>
      </c>
      <c r="L113" s="1" t="s">
        <v>75</v>
      </c>
      <c r="M113" s="1" t="s">
        <v>114</v>
      </c>
      <c r="N113" s="1">
        <v>55113000</v>
      </c>
      <c r="O113" s="1">
        <v>7.5</v>
      </c>
      <c r="P113" s="1">
        <v>11</v>
      </c>
      <c r="Q113" s="1">
        <v>2.5</v>
      </c>
      <c r="R113" s="1" t="s">
        <v>123</v>
      </c>
      <c r="S113" s="1">
        <v>36</v>
      </c>
      <c r="T113" s="1">
        <v>27406.99</v>
      </c>
      <c r="U113" s="1" t="s">
        <v>144</v>
      </c>
      <c r="V113" s="1">
        <v>104.9395</v>
      </c>
      <c r="W113" s="1" t="s">
        <v>145</v>
      </c>
      <c r="X113" s="1" t="s">
        <v>140</v>
      </c>
      <c r="Y113" s="1">
        <v>2876075.83</v>
      </c>
    </row>
    <row r="114" spans="1:25" x14ac:dyDescent="0.25">
      <c r="A114" s="1">
        <v>109</v>
      </c>
      <c r="B114" s="1" t="s">
        <v>74</v>
      </c>
      <c r="C114" s="1" t="s">
        <v>73</v>
      </c>
      <c r="D114" s="1">
        <v>25289</v>
      </c>
      <c r="E114" s="13">
        <v>45173</v>
      </c>
      <c r="F114" s="1" t="s">
        <v>138</v>
      </c>
      <c r="G114" s="13">
        <v>45167</v>
      </c>
      <c r="H114" s="1">
        <v>1710295812</v>
      </c>
      <c r="I114" s="13">
        <v>45166</v>
      </c>
      <c r="J114" s="1" t="s">
        <v>139</v>
      </c>
      <c r="K114" s="1">
        <v>29</v>
      </c>
      <c r="L114" s="1" t="s">
        <v>75</v>
      </c>
      <c r="M114" s="1" t="s">
        <v>115</v>
      </c>
      <c r="N114" s="1">
        <v>55113000</v>
      </c>
      <c r="O114" s="1">
        <v>7.5</v>
      </c>
      <c r="P114" s="1">
        <v>11</v>
      </c>
      <c r="Q114" s="1">
        <v>2.5</v>
      </c>
      <c r="R114" s="1" t="s">
        <v>123</v>
      </c>
      <c r="S114" s="1">
        <v>12</v>
      </c>
      <c r="T114" s="1">
        <v>11419.58</v>
      </c>
      <c r="U114" s="1" t="s">
        <v>144</v>
      </c>
      <c r="V114" s="1">
        <v>104.9395</v>
      </c>
      <c r="W114" s="1" t="s">
        <v>145</v>
      </c>
      <c r="X114" s="1" t="s">
        <v>140</v>
      </c>
      <c r="Y114" s="1">
        <v>1198365.02</v>
      </c>
    </row>
    <row r="115" spans="1:25" x14ac:dyDescent="0.25">
      <c r="A115" s="1">
        <v>110</v>
      </c>
      <c r="B115" s="1" t="s">
        <v>74</v>
      </c>
      <c r="C115" s="1" t="s">
        <v>73</v>
      </c>
      <c r="D115" s="1">
        <v>25289</v>
      </c>
      <c r="E115" s="13">
        <v>45173</v>
      </c>
      <c r="F115" s="1" t="s">
        <v>138</v>
      </c>
      <c r="G115" s="13">
        <v>45167</v>
      </c>
      <c r="H115" s="1">
        <v>1710295812</v>
      </c>
      <c r="I115" s="13">
        <v>45166</v>
      </c>
      <c r="J115" s="1" t="s">
        <v>139</v>
      </c>
      <c r="K115" s="1">
        <v>30</v>
      </c>
      <c r="L115" s="1" t="s">
        <v>75</v>
      </c>
      <c r="M115" s="1" t="s">
        <v>99</v>
      </c>
      <c r="N115" s="1">
        <v>58071000</v>
      </c>
      <c r="O115" s="1">
        <v>10</v>
      </c>
      <c r="P115" s="1">
        <v>11</v>
      </c>
      <c r="Q115" s="1">
        <v>2.5</v>
      </c>
      <c r="R115" s="1" t="s">
        <v>119</v>
      </c>
      <c r="S115" s="1">
        <v>30</v>
      </c>
      <c r="T115" s="1">
        <v>441.21</v>
      </c>
      <c r="U115" s="1" t="s">
        <v>144</v>
      </c>
      <c r="V115" s="1">
        <v>104.9395</v>
      </c>
      <c r="W115" s="1" t="s">
        <v>145</v>
      </c>
      <c r="X115" s="1" t="s">
        <v>140</v>
      </c>
      <c r="Y115" s="1">
        <v>46300.36</v>
      </c>
    </row>
    <row r="116" spans="1:25" x14ac:dyDescent="0.25">
      <c r="A116" s="1">
        <v>111</v>
      </c>
      <c r="B116" s="1" t="s">
        <v>74</v>
      </c>
      <c r="C116" s="1" t="s">
        <v>73</v>
      </c>
      <c r="D116" s="1">
        <v>25289</v>
      </c>
      <c r="E116" s="13">
        <v>45173</v>
      </c>
      <c r="F116" s="1" t="s">
        <v>138</v>
      </c>
      <c r="G116" s="13">
        <v>45167</v>
      </c>
      <c r="H116" s="1">
        <v>1710295812</v>
      </c>
      <c r="I116" s="13">
        <v>45166</v>
      </c>
      <c r="J116" s="1" t="s">
        <v>139</v>
      </c>
      <c r="K116" s="1">
        <v>31</v>
      </c>
      <c r="L116" s="1" t="s">
        <v>75</v>
      </c>
      <c r="M116" s="1" t="s">
        <v>99</v>
      </c>
      <c r="N116" s="1">
        <v>58071000</v>
      </c>
      <c r="O116" s="1">
        <v>10</v>
      </c>
      <c r="P116" s="1">
        <v>11</v>
      </c>
      <c r="Q116" s="1">
        <v>2.5</v>
      </c>
      <c r="R116" s="1" t="s">
        <v>119</v>
      </c>
      <c r="S116" s="1">
        <v>20</v>
      </c>
      <c r="T116" s="1">
        <v>207.62</v>
      </c>
      <c r="U116" s="1" t="s">
        <v>144</v>
      </c>
      <c r="V116" s="1">
        <v>104.9395</v>
      </c>
      <c r="W116" s="1" t="s">
        <v>145</v>
      </c>
      <c r="X116" s="1" t="s">
        <v>140</v>
      </c>
      <c r="Y116" s="1">
        <v>21787.54</v>
      </c>
    </row>
    <row r="117" spans="1:25" x14ac:dyDescent="0.25">
      <c r="A117" s="1">
        <v>112</v>
      </c>
      <c r="B117" s="1" t="s">
        <v>74</v>
      </c>
      <c r="C117" s="1" t="s">
        <v>73</v>
      </c>
      <c r="D117" s="1">
        <v>25289</v>
      </c>
      <c r="E117" s="13">
        <v>45173</v>
      </c>
      <c r="F117" s="1" t="s">
        <v>138</v>
      </c>
      <c r="G117" s="13">
        <v>45167</v>
      </c>
      <c r="H117" s="1">
        <v>1710295812</v>
      </c>
      <c r="I117" s="13">
        <v>45166</v>
      </c>
      <c r="J117" s="1" t="s">
        <v>139</v>
      </c>
      <c r="K117" s="1">
        <v>32</v>
      </c>
      <c r="L117" s="1" t="s">
        <v>75</v>
      </c>
      <c r="M117" s="1" t="s">
        <v>99</v>
      </c>
      <c r="N117" s="1">
        <v>58071000</v>
      </c>
      <c r="O117" s="1">
        <v>10</v>
      </c>
      <c r="P117" s="1">
        <v>11</v>
      </c>
      <c r="Q117" s="1">
        <v>2.5</v>
      </c>
      <c r="R117" s="1" t="s">
        <v>119</v>
      </c>
      <c r="S117" s="1">
        <v>20</v>
      </c>
      <c r="T117" s="1">
        <v>207.62</v>
      </c>
      <c r="U117" s="1" t="s">
        <v>144</v>
      </c>
      <c r="V117" s="1">
        <v>104.9395</v>
      </c>
      <c r="W117" s="1" t="s">
        <v>145</v>
      </c>
      <c r="X117" s="1" t="s">
        <v>140</v>
      </c>
      <c r="Y117" s="1">
        <v>21787.54</v>
      </c>
    </row>
    <row r="118" spans="1:25" x14ac:dyDescent="0.25">
      <c r="A118" s="1">
        <v>113</v>
      </c>
      <c r="B118" s="1" t="s">
        <v>74</v>
      </c>
      <c r="C118" s="1" t="s">
        <v>73</v>
      </c>
      <c r="D118" s="1">
        <v>25289</v>
      </c>
      <c r="E118" s="13">
        <v>45173</v>
      </c>
      <c r="F118" s="1" t="s">
        <v>138</v>
      </c>
      <c r="G118" s="13">
        <v>45167</v>
      </c>
      <c r="H118" s="1">
        <v>1710295812</v>
      </c>
      <c r="I118" s="13">
        <v>45166</v>
      </c>
      <c r="J118" s="1" t="s">
        <v>139</v>
      </c>
      <c r="K118" s="1">
        <v>33</v>
      </c>
      <c r="L118" s="1" t="s">
        <v>75</v>
      </c>
      <c r="M118" s="1" t="s">
        <v>101</v>
      </c>
      <c r="N118" s="1">
        <v>96071900</v>
      </c>
      <c r="O118" s="1">
        <v>15</v>
      </c>
      <c r="P118" s="1">
        <v>11</v>
      </c>
      <c r="Q118" s="1">
        <v>2.5</v>
      </c>
      <c r="R118" s="1" t="s">
        <v>119</v>
      </c>
      <c r="S118" s="1">
        <v>40</v>
      </c>
      <c r="T118" s="1">
        <v>1661.03</v>
      </c>
      <c r="U118" s="1" t="s">
        <v>144</v>
      </c>
      <c r="V118" s="1">
        <v>104.9395</v>
      </c>
      <c r="W118" s="1" t="s">
        <v>145</v>
      </c>
      <c r="X118" s="1" t="s">
        <v>140</v>
      </c>
      <c r="Y118" s="1">
        <v>174307.66</v>
      </c>
    </row>
    <row r="119" spans="1:25" x14ac:dyDescent="0.25">
      <c r="A119" s="1">
        <v>114</v>
      </c>
      <c r="B119" s="1" t="s">
        <v>74</v>
      </c>
      <c r="C119" s="1" t="s">
        <v>73</v>
      </c>
      <c r="D119" s="1">
        <v>25289</v>
      </c>
      <c r="E119" s="13">
        <v>45173</v>
      </c>
      <c r="F119" s="1" t="s">
        <v>138</v>
      </c>
      <c r="G119" s="13">
        <v>45167</v>
      </c>
      <c r="H119" s="1">
        <v>1710295812</v>
      </c>
      <c r="I119" s="13">
        <v>45166</v>
      </c>
      <c r="J119" s="1" t="s">
        <v>139</v>
      </c>
      <c r="K119" s="1">
        <v>34</v>
      </c>
      <c r="L119" s="1" t="s">
        <v>75</v>
      </c>
      <c r="M119" s="1" t="s">
        <v>101</v>
      </c>
      <c r="N119" s="1">
        <v>96071900</v>
      </c>
      <c r="O119" s="1">
        <v>15</v>
      </c>
      <c r="P119" s="1">
        <v>11</v>
      </c>
      <c r="Q119" s="1">
        <v>2.5</v>
      </c>
      <c r="R119" s="1" t="s">
        <v>119</v>
      </c>
      <c r="S119" s="1">
        <v>20</v>
      </c>
      <c r="T119" s="1">
        <v>1418.79</v>
      </c>
      <c r="U119" s="1" t="s">
        <v>144</v>
      </c>
      <c r="V119" s="1">
        <v>104.9395</v>
      </c>
      <c r="W119" s="1" t="s">
        <v>145</v>
      </c>
      <c r="X119" s="1" t="s">
        <v>140</v>
      </c>
      <c r="Y119" s="1">
        <v>148887.10999999999</v>
      </c>
    </row>
    <row r="120" spans="1:25" x14ac:dyDescent="0.25">
      <c r="A120" s="1">
        <v>115</v>
      </c>
      <c r="B120" s="1" t="s">
        <v>74</v>
      </c>
      <c r="C120" s="1" t="s">
        <v>73</v>
      </c>
      <c r="D120" s="1">
        <v>25289</v>
      </c>
      <c r="E120" s="13">
        <v>45173</v>
      </c>
      <c r="F120" s="1" t="s">
        <v>138</v>
      </c>
      <c r="G120" s="13">
        <v>45167</v>
      </c>
      <c r="H120" s="1">
        <v>1710295812</v>
      </c>
      <c r="I120" s="13">
        <v>45166</v>
      </c>
      <c r="J120" s="1" t="s">
        <v>139</v>
      </c>
      <c r="K120" s="1">
        <v>35</v>
      </c>
      <c r="L120" s="1" t="s">
        <v>75</v>
      </c>
      <c r="M120" s="1" t="s">
        <v>101</v>
      </c>
      <c r="N120" s="1">
        <v>96071900</v>
      </c>
      <c r="O120" s="1">
        <v>15</v>
      </c>
      <c r="P120" s="1">
        <v>11</v>
      </c>
      <c r="Q120" s="1">
        <v>2.5</v>
      </c>
      <c r="R120" s="1" t="s">
        <v>119</v>
      </c>
      <c r="S120" s="1">
        <v>20</v>
      </c>
      <c r="T120" s="1">
        <v>1418.79</v>
      </c>
      <c r="U120" s="1" t="s">
        <v>144</v>
      </c>
      <c r="V120" s="1">
        <v>104.9395</v>
      </c>
      <c r="W120" s="1" t="s">
        <v>145</v>
      </c>
      <c r="X120" s="1" t="s">
        <v>140</v>
      </c>
      <c r="Y120" s="1">
        <v>148887.10999999999</v>
      </c>
    </row>
    <row r="121" spans="1:25" x14ac:dyDescent="0.25">
      <c r="A121" s="1">
        <v>116</v>
      </c>
      <c r="B121" s="1" t="s">
        <v>74</v>
      </c>
      <c r="C121" s="1" t="s">
        <v>73</v>
      </c>
      <c r="D121" s="1">
        <v>25289</v>
      </c>
      <c r="E121" s="13">
        <v>45173</v>
      </c>
      <c r="F121" s="1" t="s">
        <v>138</v>
      </c>
      <c r="G121" s="13">
        <v>45167</v>
      </c>
      <c r="H121" s="1">
        <v>1710295812</v>
      </c>
      <c r="I121" s="13">
        <v>45166</v>
      </c>
      <c r="J121" s="1" t="s">
        <v>139</v>
      </c>
      <c r="K121" s="1">
        <v>36</v>
      </c>
      <c r="L121" s="1" t="s">
        <v>75</v>
      </c>
      <c r="M121" s="1" t="s">
        <v>116</v>
      </c>
      <c r="N121" s="1">
        <v>96062100</v>
      </c>
      <c r="O121" s="1">
        <v>10</v>
      </c>
      <c r="P121" s="1">
        <v>11</v>
      </c>
      <c r="Q121" s="1">
        <v>2.5</v>
      </c>
      <c r="R121" s="1" t="s">
        <v>119</v>
      </c>
      <c r="S121" s="1">
        <v>100</v>
      </c>
      <c r="T121" s="1">
        <v>1366.89</v>
      </c>
      <c r="U121" s="1" t="s">
        <v>144</v>
      </c>
      <c r="V121" s="1">
        <v>104.9395</v>
      </c>
      <c r="W121" s="1" t="s">
        <v>145</v>
      </c>
      <c r="X121" s="1" t="s">
        <v>140</v>
      </c>
      <c r="Y121" s="1">
        <v>143440.75</v>
      </c>
    </row>
    <row r="122" spans="1:25" x14ac:dyDescent="0.25">
      <c r="A122" s="1">
        <v>117</v>
      </c>
      <c r="B122" s="1" t="s">
        <v>74</v>
      </c>
      <c r="C122" s="1" t="s">
        <v>73</v>
      </c>
      <c r="D122" s="1">
        <v>25289</v>
      </c>
      <c r="E122" s="13">
        <v>45173</v>
      </c>
      <c r="F122" s="1" t="s">
        <v>138</v>
      </c>
      <c r="G122" s="13">
        <v>45167</v>
      </c>
      <c r="H122" s="1">
        <v>1710295812</v>
      </c>
      <c r="I122" s="13">
        <v>45166</v>
      </c>
      <c r="J122" s="1" t="s">
        <v>139</v>
      </c>
      <c r="K122" s="1">
        <v>37</v>
      </c>
      <c r="L122" s="1" t="s">
        <v>75</v>
      </c>
      <c r="M122" s="1" t="s">
        <v>103</v>
      </c>
      <c r="N122" s="1">
        <v>39269099</v>
      </c>
      <c r="O122" s="1">
        <v>20</v>
      </c>
      <c r="P122" s="1">
        <v>11</v>
      </c>
      <c r="Q122" s="1">
        <v>7.5</v>
      </c>
      <c r="R122" s="1" t="s">
        <v>119</v>
      </c>
      <c r="S122" s="1">
        <v>100</v>
      </c>
      <c r="T122" s="1">
        <v>311.44</v>
      </c>
      <c r="U122" s="1" t="s">
        <v>144</v>
      </c>
      <c r="V122" s="1">
        <v>104.9395</v>
      </c>
      <c r="W122" s="1" t="s">
        <v>145</v>
      </c>
      <c r="X122" s="1" t="s">
        <v>140</v>
      </c>
      <c r="Y122" s="1">
        <v>32682.36</v>
      </c>
    </row>
    <row r="123" spans="1:25" x14ac:dyDescent="0.25">
      <c r="A123" s="1">
        <v>118</v>
      </c>
      <c r="B123" s="1" t="s">
        <v>74</v>
      </c>
      <c r="C123" s="1" t="s">
        <v>73</v>
      </c>
      <c r="D123" s="1">
        <v>25289</v>
      </c>
      <c r="E123" s="13">
        <v>45173</v>
      </c>
      <c r="F123" s="1" t="s">
        <v>138</v>
      </c>
      <c r="G123" s="13">
        <v>45167</v>
      </c>
      <c r="H123" s="1">
        <v>1710295812</v>
      </c>
      <c r="I123" s="13">
        <v>45166</v>
      </c>
      <c r="J123" s="1" t="s">
        <v>139</v>
      </c>
      <c r="K123" s="1">
        <v>38</v>
      </c>
      <c r="L123" s="1" t="s">
        <v>75</v>
      </c>
      <c r="M123" s="1" t="s">
        <v>104</v>
      </c>
      <c r="N123" s="1">
        <v>83081000</v>
      </c>
      <c r="O123" s="1">
        <v>5</v>
      </c>
      <c r="P123" s="1">
        <v>11</v>
      </c>
      <c r="Q123" s="1">
        <v>2.5</v>
      </c>
      <c r="R123" s="1" t="s">
        <v>122</v>
      </c>
      <c r="S123" s="1">
        <v>100</v>
      </c>
      <c r="T123" s="1">
        <v>622.88</v>
      </c>
      <c r="U123" s="1" t="s">
        <v>144</v>
      </c>
      <c r="V123" s="1">
        <v>104.9395</v>
      </c>
      <c r="W123" s="1" t="s">
        <v>145</v>
      </c>
      <c r="X123" s="1" t="s">
        <v>140</v>
      </c>
      <c r="Y123" s="1">
        <v>65364.72</v>
      </c>
    </row>
    <row r="124" spans="1:25" x14ac:dyDescent="0.25">
      <c r="A124" s="1">
        <v>119</v>
      </c>
      <c r="B124" s="1" t="s">
        <v>74</v>
      </c>
      <c r="C124" s="1" t="s">
        <v>73</v>
      </c>
      <c r="D124" s="1">
        <v>25289</v>
      </c>
      <c r="E124" s="13">
        <v>45173</v>
      </c>
      <c r="F124" s="1" t="s">
        <v>138</v>
      </c>
      <c r="G124" s="13">
        <v>45167</v>
      </c>
      <c r="H124" s="1">
        <v>1710295812</v>
      </c>
      <c r="I124" s="13">
        <v>45166</v>
      </c>
      <c r="J124" s="1" t="s">
        <v>139</v>
      </c>
      <c r="K124" s="1">
        <v>39</v>
      </c>
      <c r="L124" s="1" t="s">
        <v>75</v>
      </c>
      <c r="M124" s="1" t="s">
        <v>117</v>
      </c>
      <c r="N124" s="1">
        <v>96061090</v>
      </c>
      <c r="O124" s="1">
        <v>10</v>
      </c>
      <c r="P124" s="1">
        <v>11</v>
      </c>
      <c r="Q124" s="1">
        <v>2.5</v>
      </c>
      <c r="R124" s="1" t="s">
        <v>122</v>
      </c>
      <c r="S124" s="1">
        <v>20</v>
      </c>
      <c r="T124" s="1">
        <v>560.6</v>
      </c>
      <c r="U124" s="1" t="s">
        <v>144</v>
      </c>
      <c r="V124" s="1">
        <v>104.9395</v>
      </c>
      <c r="W124" s="1" t="s">
        <v>145</v>
      </c>
      <c r="X124" s="1" t="s">
        <v>140</v>
      </c>
      <c r="Y124" s="1">
        <v>58829.08</v>
      </c>
    </row>
    <row r="125" spans="1:25" x14ac:dyDescent="0.25">
      <c r="A125" s="1">
        <v>120</v>
      </c>
      <c r="B125" s="1" t="s">
        <v>74</v>
      </c>
      <c r="C125" s="1" t="s">
        <v>73</v>
      </c>
      <c r="D125" s="1">
        <v>25289</v>
      </c>
      <c r="E125" s="13">
        <v>45173</v>
      </c>
      <c r="F125" s="1" t="s">
        <v>138</v>
      </c>
      <c r="G125" s="13">
        <v>45167</v>
      </c>
      <c r="H125" s="1">
        <v>1710295812</v>
      </c>
      <c r="I125" s="13">
        <v>45166</v>
      </c>
      <c r="J125" s="1" t="s">
        <v>139</v>
      </c>
      <c r="K125" s="1">
        <v>40</v>
      </c>
      <c r="L125" s="1" t="s">
        <v>75</v>
      </c>
      <c r="M125" s="1" t="s">
        <v>118</v>
      </c>
      <c r="N125" s="1">
        <v>58062090</v>
      </c>
      <c r="O125" s="1">
        <v>10</v>
      </c>
      <c r="P125" s="1">
        <v>11</v>
      </c>
      <c r="Q125" s="1">
        <v>2.5</v>
      </c>
      <c r="R125" s="1" t="s">
        <v>120</v>
      </c>
      <c r="S125" s="1">
        <v>50</v>
      </c>
      <c r="T125" s="1">
        <v>1903.27</v>
      </c>
      <c r="U125" s="1" t="s">
        <v>144</v>
      </c>
      <c r="V125" s="1">
        <v>104.9395</v>
      </c>
      <c r="W125" s="1" t="s">
        <v>145</v>
      </c>
      <c r="X125" s="1" t="s">
        <v>140</v>
      </c>
      <c r="Y125" s="1">
        <v>199728.2</v>
      </c>
    </row>
    <row r="126" spans="1:25" x14ac:dyDescent="0.25">
      <c r="A126" s="1"/>
      <c r="B126" s="1"/>
      <c r="C126" s="1"/>
      <c r="D126" s="1"/>
      <c r="E126" s="13"/>
      <c r="F126" s="1"/>
      <c r="G126" s="13"/>
      <c r="H126" s="1"/>
      <c r="I126" s="13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25">
      <c r="A127" s="1"/>
      <c r="B127" s="1"/>
      <c r="C127" s="1"/>
      <c r="D127" s="1"/>
      <c r="E127" s="13"/>
      <c r="F127" s="1"/>
      <c r="G127" s="13"/>
      <c r="H127" s="1"/>
      <c r="I127" s="13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25">
      <c r="A128" s="1"/>
      <c r="B128" s="1"/>
      <c r="C128" s="1"/>
      <c r="D128" s="1"/>
      <c r="E128" s="13"/>
      <c r="F128" s="1"/>
      <c r="G128" s="13"/>
      <c r="H128" s="1"/>
      <c r="I128" s="13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1"/>
      <c r="B129" s="1"/>
      <c r="C129" s="1"/>
      <c r="D129" s="1"/>
      <c r="E129" s="13"/>
      <c r="F129" s="1"/>
      <c r="G129" s="13"/>
      <c r="H129" s="1"/>
      <c r="I129" s="13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1"/>
      <c r="B130" s="1"/>
      <c r="C130" s="1"/>
      <c r="D130" s="1"/>
      <c r="E130" s="13"/>
      <c r="F130" s="1"/>
      <c r="G130" s="13"/>
      <c r="H130" s="1"/>
      <c r="I130" s="13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1"/>
      <c r="B131" s="1"/>
      <c r="C131" s="1"/>
      <c r="D131" s="1"/>
      <c r="E131" s="13"/>
      <c r="F131" s="1"/>
      <c r="G131" s="13"/>
      <c r="H131" s="1"/>
      <c r="I131" s="13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1"/>
      <c r="B132" s="1"/>
      <c r="C132" s="1"/>
      <c r="D132" s="1"/>
      <c r="E132" s="13"/>
      <c r="F132" s="1"/>
      <c r="G132" s="13"/>
      <c r="H132" s="1"/>
      <c r="I132" s="13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1"/>
      <c r="B133" s="1"/>
      <c r="C133" s="1"/>
      <c r="D133" s="1"/>
      <c r="E133" s="13"/>
      <c r="F133" s="1"/>
      <c r="G133" s="13"/>
      <c r="H133" s="1"/>
      <c r="I133" s="13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1"/>
      <c r="B134" s="1"/>
      <c r="C134" s="1"/>
      <c r="D134" s="1"/>
      <c r="E134" s="13"/>
      <c r="F134" s="1"/>
      <c r="G134" s="13"/>
      <c r="H134" s="1"/>
      <c r="I134" s="13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1"/>
      <c r="B135" s="1"/>
      <c r="C135" s="1"/>
      <c r="D135" s="1"/>
      <c r="E135" s="13"/>
      <c r="F135" s="1"/>
      <c r="G135" s="13"/>
      <c r="H135" s="1"/>
      <c r="I135" s="13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1"/>
      <c r="B136" s="1"/>
      <c r="C136" s="1"/>
      <c r="D136" s="1"/>
      <c r="E136" s="13"/>
      <c r="F136" s="1"/>
      <c r="G136" s="13"/>
      <c r="H136" s="1"/>
      <c r="I136" s="13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1"/>
      <c r="B137" s="1"/>
      <c r="C137" s="1"/>
      <c r="D137" s="1"/>
      <c r="E137" s="13"/>
      <c r="F137" s="1"/>
      <c r="G137" s="13"/>
      <c r="H137" s="1"/>
      <c r="I137" s="13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1"/>
      <c r="B138" s="1"/>
      <c r="C138" s="1"/>
      <c r="D138" s="1"/>
      <c r="E138" s="13"/>
      <c r="F138" s="1"/>
      <c r="G138" s="13"/>
      <c r="H138" s="1"/>
      <c r="I138" s="13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1"/>
      <c r="B139" s="1"/>
      <c r="C139" s="1"/>
      <c r="D139" s="1"/>
      <c r="E139" s="13"/>
      <c r="F139" s="1"/>
      <c r="G139" s="13"/>
      <c r="H139" s="1"/>
      <c r="I139" s="13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1"/>
      <c r="B140" s="1"/>
      <c r="C140" s="1"/>
      <c r="D140" s="1"/>
      <c r="E140" s="13"/>
      <c r="F140" s="1"/>
      <c r="G140" s="13"/>
      <c r="H140" s="1"/>
      <c r="I140" s="13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1"/>
      <c r="B141" s="1"/>
      <c r="C141" s="1"/>
      <c r="D141" s="1"/>
      <c r="E141" s="13"/>
      <c r="F141" s="1"/>
      <c r="G141" s="13"/>
      <c r="H141" s="1"/>
      <c r="I141" s="13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1"/>
      <c r="B142" s="1"/>
      <c r="C142" s="1"/>
      <c r="D142" s="1"/>
      <c r="E142" s="13"/>
      <c r="F142" s="1"/>
      <c r="G142" s="13"/>
      <c r="H142" s="1"/>
      <c r="I142" s="13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1"/>
      <c r="B143" s="1"/>
      <c r="C143" s="1"/>
      <c r="D143" s="1"/>
      <c r="E143" s="13"/>
      <c r="F143" s="1"/>
      <c r="G143" s="13"/>
      <c r="H143" s="1"/>
      <c r="I143" s="13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1"/>
      <c r="B144" s="1"/>
      <c r="C144" s="1"/>
      <c r="D144" s="1"/>
      <c r="E144" s="13"/>
      <c r="F144" s="1"/>
      <c r="G144" s="13"/>
      <c r="H144" s="1"/>
      <c r="I144" s="13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25">
      <c r="A145" s="1"/>
      <c r="B145" s="1"/>
      <c r="C145" s="1"/>
      <c r="D145" s="1"/>
      <c r="E145" s="13"/>
      <c r="F145" s="1"/>
      <c r="G145" s="13"/>
      <c r="H145" s="1"/>
      <c r="I145" s="13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1"/>
      <c r="B146" s="1"/>
      <c r="C146" s="1"/>
      <c r="D146" s="1"/>
      <c r="E146" s="13"/>
      <c r="F146" s="1"/>
      <c r="G146" s="13"/>
      <c r="H146" s="1"/>
      <c r="I146" s="13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1"/>
      <c r="B147" s="1"/>
      <c r="C147" s="1"/>
      <c r="D147" s="1"/>
      <c r="E147" s="13"/>
      <c r="F147" s="1"/>
      <c r="G147" s="13"/>
      <c r="H147" s="1"/>
      <c r="I147" s="13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1"/>
      <c r="B148" s="1"/>
      <c r="C148" s="1"/>
      <c r="D148" s="1"/>
      <c r="E148" s="13"/>
      <c r="F148" s="1"/>
      <c r="G148" s="13"/>
      <c r="H148" s="1"/>
      <c r="I148" s="13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1"/>
      <c r="B149" s="1"/>
      <c r="C149" s="1"/>
      <c r="D149" s="1"/>
      <c r="E149" s="13"/>
      <c r="F149" s="1"/>
      <c r="G149" s="13"/>
      <c r="H149" s="1"/>
      <c r="I149" s="13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1"/>
      <c r="B150" s="1"/>
      <c r="C150" s="1"/>
      <c r="D150" s="1"/>
      <c r="E150" s="13"/>
      <c r="F150" s="1"/>
      <c r="G150" s="13"/>
      <c r="H150" s="1"/>
      <c r="I150" s="13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1"/>
      <c r="B151" s="1"/>
      <c r="C151" s="1"/>
      <c r="D151" s="1"/>
      <c r="E151" s="13"/>
      <c r="F151" s="1"/>
      <c r="G151" s="13"/>
      <c r="H151" s="1"/>
      <c r="I151" s="13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1"/>
      <c r="B152" s="1"/>
      <c r="C152" s="1"/>
      <c r="D152" s="1"/>
      <c r="E152" s="13"/>
      <c r="F152" s="1"/>
      <c r="G152" s="13"/>
      <c r="H152" s="1"/>
      <c r="I152" s="13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1"/>
      <c r="B153" s="1"/>
      <c r="C153" s="1"/>
      <c r="D153" s="1"/>
      <c r="E153" s="13"/>
      <c r="F153" s="1"/>
      <c r="G153" s="13"/>
      <c r="H153" s="1"/>
      <c r="I153" s="13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1"/>
      <c r="B154" s="1"/>
      <c r="C154" s="1"/>
      <c r="D154" s="1"/>
      <c r="E154" s="13"/>
      <c r="F154" s="1"/>
      <c r="G154" s="13"/>
      <c r="H154" s="1"/>
      <c r="I154" s="13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1"/>
      <c r="B155" s="1"/>
      <c r="C155" s="1"/>
      <c r="D155" s="1"/>
      <c r="E155" s="13"/>
      <c r="F155" s="1"/>
      <c r="G155" s="13"/>
      <c r="H155" s="1"/>
      <c r="I155" s="13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1"/>
      <c r="B156" s="1"/>
      <c r="C156" s="1"/>
      <c r="D156" s="1"/>
      <c r="E156" s="13"/>
      <c r="F156" s="1"/>
      <c r="G156" s="13"/>
      <c r="H156" s="1"/>
      <c r="I156" s="13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1"/>
      <c r="B157" s="1"/>
      <c r="C157" s="1"/>
      <c r="D157" s="1"/>
      <c r="E157" s="13"/>
      <c r="F157" s="1"/>
      <c r="G157" s="13"/>
      <c r="H157" s="1"/>
      <c r="I157" s="13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1"/>
      <c r="B158" s="1"/>
      <c r="C158" s="1"/>
      <c r="D158" s="1"/>
      <c r="E158" s="13"/>
      <c r="F158" s="1"/>
      <c r="G158" s="13"/>
      <c r="H158" s="1"/>
      <c r="I158" s="13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1"/>
      <c r="B159" s="1"/>
      <c r="C159" s="1"/>
      <c r="D159" s="1"/>
      <c r="E159" s="13"/>
      <c r="F159" s="1"/>
      <c r="G159" s="13"/>
      <c r="H159" s="1"/>
      <c r="I159" s="13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1"/>
      <c r="B160" s="1"/>
      <c r="C160" s="1"/>
      <c r="D160" s="1"/>
      <c r="E160" s="13"/>
      <c r="F160" s="1"/>
      <c r="G160" s="13"/>
      <c r="H160" s="1"/>
      <c r="I160" s="13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1"/>
      <c r="B161" s="1"/>
      <c r="C161" s="1"/>
      <c r="D161" s="1"/>
      <c r="E161" s="13"/>
      <c r="F161" s="1"/>
      <c r="G161" s="13"/>
      <c r="H161" s="1"/>
      <c r="I161" s="13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25">
      <c r="A162" s="1"/>
      <c r="B162" s="1"/>
      <c r="C162" s="1"/>
      <c r="D162" s="1"/>
      <c r="E162" s="13"/>
      <c r="F162" s="1"/>
      <c r="G162" s="13"/>
      <c r="H162" s="1"/>
      <c r="I162" s="13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1"/>
      <c r="B163" s="1"/>
      <c r="C163" s="1"/>
      <c r="D163" s="1"/>
      <c r="E163" s="13"/>
      <c r="F163" s="1"/>
      <c r="G163" s="13"/>
      <c r="H163" s="1"/>
      <c r="I163" s="13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1"/>
      <c r="B164" s="1"/>
      <c r="C164" s="1"/>
      <c r="D164" s="1"/>
      <c r="E164" s="13"/>
      <c r="F164" s="1"/>
      <c r="G164" s="13"/>
      <c r="H164" s="1"/>
      <c r="I164" s="13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25">
      <c r="A165" s="1"/>
      <c r="B165" s="1"/>
      <c r="C165" s="1"/>
      <c r="D165" s="1"/>
      <c r="E165" s="13"/>
      <c r="F165" s="1"/>
      <c r="G165" s="13"/>
      <c r="H165" s="1"/>
      <c r="I165" s="13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1"/>
      <c r="B166" s="1"/>
      <c r="C166" s="1"/>
      <c r="D166" s="1"/>
      <c r="E166" s="13"/>
      <c r="F166" s="1"/>
      <c r="G166" s="13"/>
      <c r="H166" s="1"/>
      <c r="I166" s="13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1"/>
      <c r="B167" s="1"/>
      <c r="C167" s="1"/>
      <c r="D167" s="1"/>
      <c r="E167" s="13"/>
      <c r="F167" s="1"/>
      <c r="G167" s="13"/>
      <c r="H167" s="1"/>
      <c r="I167" s="13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25">
      <c r="A168" s="1"/>
      <c r="B168" s="1"/>
      <c r="C168" s="1"/>
      <c r="D168" s="1"/>
      <c r="E168" s="13"/>
      <c r="F168" s="1"/>
      <c r="G168" s="13"/>
      <c r="H168" s="1"/>
      <c r="I168" s="13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25">
      <c r="A169" s="1"/>
      <c r="B169" s="1"/>
      <c r="C169" s="1"/>
      <c r="D169" s="1"/>
      <c r="E169" s="13"/>
      <c r="F169" s="1"/>
      <c r="G169" s="13"/>
      <c r="H169" s="1"/>
      <c r="I169" s="13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1"/>
      <c r="B170" s="1"/>
      <c r="C170" s="1"/>
      <c r="D170" s="1"/>
      <c r="E170" s="13"/>
      <c r="F170" s="1"/>
      <c r="G170" s="13"/>
      <c r="H170" s="1"/>
      <c r="I170" s="13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1"/>
      <c r="B171" s="1"/>
      <c r="C171" s="1"/>
      <c r="D171" s="1"/>
      <c r="E171" s="13"/>
      <c r="F171" s="1"/>
      <c r="G171" s="13"/>
      <c r="H171" s="1"/>
      <c r="I171" s="13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1"/>
      <c r="B172" s="1"/>
      <c r="C172" s="1"/>
      <c r="D172" s="1"/>
      <c r="E172" s="13"/>
      <c r="F172" s="1"/>
      <c r="G172" s="13"/>
      <c r="H172" s="1"/>
      <c r="I172" s="13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1"/>
      <c r="B173" s="1"/>
      <c r="C173" s="1"/>
      <c r="D173" s="1"/>
      <c r="E173" s="13"/>
      <c r="F173" s="1"/>
      <c r="G173" s="13"/>
      <c r="H173" s="1"/>
      <c r="I173" s="13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1"/>
      <c r="B174" s="1"/>
      <c r="C174" s="1"/>
      <c r="D174" s="1"/>
      <c r="E174" s="13"/>
      <c r="F174" s="1"/>
      <c r="G174" s="13"/>
      <c r="H174" s="1"/>
      <c r="I174" s="13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1"/>
      <c r="B175" s="1"/>
      <c r="C175" s="1"/>
      <c r="D175" s="1"/>
      <c r="E175" s="13"/>
      <c r="F175" s="1"/>
      <c r="G175" s="13"/>
      <c r="H175" s="1"/>
      <c r="I175" s="13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1"/>
      <c r="B176" s="1"/>
      <c r="C176" s="1"/>
      <c r="D176" s="1"/>
      <c r="E176" s="13"/>
      <c r="F176" s="1"/>
      <c r="G176" s="13"/>
      <c r="H176" s="1"/>
      <c r="I176" s="13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25">
      <c r="A177" s="1"/>
      <c r="B177" s="1"/>
      <c r="C177" s="1"/>
      <c r="D177" s="1"/>
      <c r="E177" s="13"/>
      <c r="F177" s="1"/>
      <c r="G177" s="13"/>
      <c r="H177" s="1"/>
      <c r="I177" s="13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1"/>
      <c r="B178" s="1"/>
      <c r="C178" s="1"/>
      <c r="D178" s="1"/>
      <c r="E178" s="13"/>
      <c r="F178" s="1"/>
      <c r="G178" s="13"/>
      <c r="H178" s="1"/>
      <c r="I178" s="13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1"/>
      <c r="B179" s="1"/>
      <c r="C179" s="1"/>
      <c r="D179" s="1"/>
      <c r="E179" s="13"/>
      <c r="F179" s="1"/>
      <c r="G179" s="13"/>
      <c r="H179" s="1"/>
      <c r="I179" s="13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25">
      <c r="A180" s="1"/>
      <c r="B180" s="1"/>
      <c r="C180" s="1"/>
      <c r="D180" s="1"/>
      <c r="E180" s="13"/>
      <c r="F180" s="1"/>
      <c r="G180" s="13"/>
      <c r="H180" s="1"/>
      <c r="I180" s="13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1"/>
      <c r="B181" s="1"/>
      <c r="C181" s="1"/>
      <c r="D181" s="1"/>
      <c r="E181" s="13"/>
      <c r="F181" s="1"/>
      <c r="G181" s="13"/>
      <c r="H181" s="1"/>
      <c r="I181" s="13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25">
      <c r="A182" s="1"/>
      <c r="B182" s="1"/>
      <c r="C182" s="1"/>
      <c r="D182" s="1"/>
      <c r="E182" s="13"/>
      <c r="F182" s="1"/>
      <c r="G182" s="13"/>
      <c r="H182" s="1"/>
      <c r="I182" s="13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1"/>
      <c r="B183" s="1"/>
      <c r="C183" s="1"/>
      <c r="D183" s="1"/>
      <c r="E183" s="13"/>
      <c r="F183" s="1"/>
      <c r="G183" s="13"/>
      <c r="H183" s="1"/>
      <c r="I183" s="13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1"/>
      <c r="B184" s="1"/>
      <c r="C184" s="1"/>
      <c r="D184" s="1"/>
      <c r="E184" s="13"/>
      <c r="F184" s="1"/>
      <c r="G184" s="13"/>
      <c r="H184" s="1"/>
      <c r="I184" s="13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25">
      <c r="A185" s="1"/>
      <c r="B185" s="1"/>
      <c r="C185" s="1"/>
      <c r="D185" s="1"/>
      <c r="E185" s="13"/>
      <c r="F185" s="1"/>
      <c r="G185" s="13"/>
      <c r="H185" s="1"/>
      <c r="I185" s="13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1"/>
      <c r="B186" s="1"/>
      <c r="C186" s="1"/>
      <c r="D186" s="1"/>
      <c r="E186" s="13"/>
      <c r="F186" s="1"/>
      <c r="G186" s="13"/>
      <c r="H186" s="1"/>
      <c r="I186" s="13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1"/>
      <c r="B187" s="1"/>
      <c r="C187" s="1"/>
      <c r="D187" s="1"/>
      <c r="E187" s="13"/>
      <c r="F187" s="1"/>
      <c r="G187" s="13"/>
      <c r="H187" s="1"/>
      <c r="I187" s="13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1"/>
      <c r="B188" s="1"/>
      <c r="C188" s="1"/>
      <c r="D188" s="1"/>
      <c r="E188" s="13"/>
      <c r="F188" s="1"/>
      <c r="G188" s="13"/>
      <c r="H188" s="1"/>
      <c r="I188" s="13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25">
      <c r="A189" s="1"/>
      <c r="B189" s="1"/>
      <c r="C189" s="1"/>
      <c r="D189" s="1"/>
      <c r="E189" s="13"/>
      <c r="F189" s="1"/>
      <c r="G189" s="13"/>
      <c r="H189" s="1"/>
      <c r="I189" s="13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1"/>
      <c r="B190" s="1"/>
      <c r="C190" s="1"/>
      <c r="D190" s="1"/>
      <c r="E190" s="13"/>
      <c r="F190" s="1"/>
      <c r="G190" s="13"/>
      <c r="H190" s="1"/>
      <c r="I190" s="13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1"/>
      <c r="B191" s="1"/>
      <c r="C191" s="1"/>
      <c r="D191" s="1"/>
      <c r="E191" s="13"/>
      <c r="F191" s="1"/>
      <c r="G191" s="13"/>
      <c r="H191" s="1"/>
      <c r="I191" s="13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1"/>
      <c r="B192" s="1"/>
      <c r="C192" s="1"/>
      <c r="D192" s="1"/>
      <c r="E192" s="13"/>
      <c r="F192" s="1"/>
      <c r="G192" s="13"/>
      <c r="H192" s="1"/>
      <c r="I192" s="13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1"/>
      <c r="B193" s="1"/>
      <c r="C193" s="1"/>
      <c r="D193" s="1"/>
      <c r="E193" s="13"/>
      <c r="F193" s="1"/>
      <c r="G193" s="13"/>
      <c r="H193" s="1"/>
      <c r="I193" s="13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1"/>
      <c r="B194" s="1"/>
      <c r="C194" s="1"/>
      <c r="D194" s="1"/>
      <c r="E194" s="13"/>
      <c r="F194" s="1"/>
      <c r="G194" s="13"/>
      <c r="H194" s="1"/>
      <c r="I194" s="13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1"/>
      <c r="B195" s="1"/>
      <c r="C195" s="1"/>
      <c r="D195" s="1"/>
      <c r="E195" s="13"/>
      <c r="F195" s="1"/>
      <c r="G195" s="13"/>
      <c r="H195" s="1"/>
      <c r="I195" s="13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1"/>
      <c r="B196" s="1"/>
      <c r="C196" s="1"/>
      <c r="D196" s="1"/>
      <c r="E196" s="13"/>
      <c r="F196" s="1"/>
      <c r="G196" s="13"/>
      <c r="H196" s="1"/>
      <c r="I196" s="13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1"/>
      <c r="B197" s="1"/>
      <c r="C197" s="1"/>
      <c r="D197" s="1"/>
      <c r="E197" s="13"/>
      <c r="F197" s="1"/>
      <c r="G197" s="13"/>
      <c r="H197" s="1"/>
      <c r="I197" s="13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1"/>
      <c r="B198" s="1"/>
      <c r="C198" s="1"/>
      <c r="D198" s="1"/>
      <c r="E198" s="13"/>
      <c r="F198" s="1"/>
      <c r="G198" s="13"/>
      <c r="H198" s="1"/>
      <c r="I198" s="13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1"/>
      <c r="B199" s="1"/>
      <c r="C199" s="1"/>
      <c r="D199" s="1"/>
      <c r="E199" s="13"/>
      <c r="F199" s="1"/>
      <c r="G199" s="13"/>
      <c r="H199" s="1"/>
      <c r="I199" s="13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1"/>
      <c r="B200" s="1"/>
      <c r="C200" s="1"/>
      <c r="D200" s="1"/>
      <c r="E200" s="13"/>
      <c r="F200" s="1"/>
      <c r="G200" s="13"/>
      <c r="H200" s="1"/>
      <c r="I200" s="13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1"/>
      <c r="B201" s="1"/>
      <c r="C201" s="1"/>
      <c r="D201" s="1"/>
      <c r="E201" s="13"/>
      <c r="F201" s="1"/>
      <c r="G201" s="13"/>
      <c r="H201" s="1"/>
      <c r="I201" s="13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1"/>
      <c r="B202" s="1"/>
      <c r="C202" s="1"/>
      <c r="D202" s="1"/>
      <c r="E202" s="13"/>
      <c r="F202" s="1"/>
      <c r="G202" s="13"/>
      <c r="H202" s="1"/>
      <c r="I202" s="13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25">
      <c r="A203" s="1"/>
      <c r="B203" s="1"/>
      <c r="C203" s="1"/>
      <c r="D203" s="1"/>
      <c r="E203" s="13"/>
      <c r="F203" s="1"/>
      <c r="G203" s="13"/>
      <c r="H203" s="1"/>
      <c r="I203" s="13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25">
      <c r="A204" s="1"/>
      <c r="B204" s="1"/>
      <c r="C204" s="1"/>
      <c r="D204" s="1"/>
      <c r="E204" s="13"/>
      <c r="F204" s="1"/>
      <c r="G204" s="13"/>
      <c r="H204" s="1"/>
      <c r="I204" s="13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25">
      <c r="A205" s="1"/>
      <c r="B205" s="1"/>
      <c r="C205" s="1"/>
      <c r="D205" s="1"/>
      <c r="E205" s="13"/>
      <c r="F205" s="1"/>
      <c r="G205" s="13"/>
      <c r="H205" s="1"/>
      <c r="I205" s="13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25">
      <c r="A206" s="1"/>
      <c r="B206" s="1"/>
      <c r="C206" s="1"/>
      <c r="D206" s="1"/>
      <c r="E206" s="13"/>
      <c r="F206" s="1"/>
      <c r="G206" s="13"/>
      <c r="H206" s="1"/>
      <c r="I206" s="13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25">
      <c r="A207" s="1"/>
      <c r="B207" s="1"/>
      <c r="C207" s="1"/>
      <c r="D207" s="1"/>
      <c r="E207" s="13"/>
      <c r="F207" s="1"/>
      <c r="G207" s="13"/>
      <c r="H207" s="1"/>
      <c r="I207" s="13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25">
      <c r="A208" s="1"/>
      <c r="B208" s="1"/>
      <c r="C208" s="1"/>
      <c r="D208" s="1"/>
      <c r="E208" s="13"/>
      <c r="F208" s="1"/>
      <c r="G208" s="13"/>
      <c r="H208" s="1"/>
      <c r="I208" s="13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25">
      <c r="A209" s="1"/>
      <c r="B209" s="1"/>
      <c r="C209" s="1"/>
      <c r="D209" s="1"/>
      <c r="E209" s="13"/>
      <c r="F209" s="1"/>
      <c r="G209" s="13"/>
      <c r="H209" s="1"/>
      <c r="I209" s="13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25">
      <c r="A210" s="1"/>
      <c r="B210" s="1"/>
      <c r="C210" s="1"/>
      <c r="D210" s="1"/>
      <c r="E210" s="13"/>
      <c r="F210" s="1"/>
      <c r="G210" s="13"/>
      <c r="H210" s="1"/>
      <c r="I210" s="13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25">
      <c r="A211" s="1"/>
      <c r="B211" s="1"/>
      <c r="C211" s="1"/>
      <c r="D211" s="1"/>
      <c r="E211" s="13"/>
      <c r="F211" s="1"/>
      <c r="G211" s="13"/>
      <c r="H211" s="1"/>
      <c r="I211" s="13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x14ac:dyDescent="0.25">
      <c r="A212" s="1"/>
      <c r="B212" s="1"/>
      <c r="C212" s="1"/>
      <c r="D212" s="1"/>
      <c r="E212" s="13"/>
      <c r="F212" s="1"/>
      <c r="G212" s="13"/>
      <c r="H212" s="1"/>
      <c r="I212" s="13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25">
      <c r="A213" s="1"/>
      <c r="B213" s="1"/>
      <c r="C213" s="1"/>
      <c r="D213" s="1"/>
      <c r="E213" s="13"/>
      <c r="F213" s="1"/>
      <c r="G213" s="13"/>
      <c r="H213" s="1"/>
      <c r="I213" s="13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25">
      <c r="A214" s="1"/>
      <c r="B214" s="1"/>
      <c r="C214" s="1"/>
      <c r="D214" s="1"/>
      <c r="E214" s="13"/>
      <c r="F214" s="1"/>
      <c r="G214" s="13"/>
      <c r="H214" s="1"/>
      <c r="I214" s="13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25">
      <c r="A215" s="1"/>
      <c r="B215" s="1"/>
      <c r="C215" s="1"/>
      <c r="D215" s="1"/>
      <c r="E215" s="13"/>
      <c r="F215" s="1"/>
      <c r="G215" s="13"/>
      <c r="H215" s="1"/>
      <c r="I215" s="13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25">
      <c r="A216" s="1"/>
      <c r="B216" s="1"/>
      <c r="C216" s="1"/>
      <c r="D216" s="1"/>
      <c r="E216" s="13"/>
      <c r="F216" s="1"/>
      <c r="G216" s="13"/>
      <c r="H216" s="1"/>
      <c r="I216" s="13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25">
      <c r="A217" s="1"/>
      <c r="B217" s="1"/>
      <c r="C217" s="1"/>
      <c r="D217" s="1"/>
      <c r="E217" s="13"/>
      <c r="F217" s="1"/>
      <c r="G217" s="13"/>
      <c r="H217" s="1"/>
      <c r="I217" s="13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25">
      <c r="A218" s="1"/>
      <c r="B218" s="1"/>
      <c r="C218" s="1"/>
      <c r="D218" s="1"/>
      <c r="E218" s="13"/>
      <c r="F218" s="1"/>
      <c r="G218" s="13"/>
      <c r="H218" s="1"/>
      <c r="I218" s="13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25">
      <c r="A219" s="1"/>
      <c r="B219" s="1"/>
      <c r="C219" s="1"/>
      <c r="D219" s="1"/>
      <c r="E219" s="13"/>
      <c r="F219" s="1"/>
      <c r="G219" s="13"/>
      <c r="H219" s="1"/>
      <c r="I219" s="13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25">
      <c r="A220" s="1"/>
      <c r="B220" s="1"/>
      <c r="C220" s="1"/>
      <c r="D220" s="1"/>
      <c r="E220" s="13"/>
      <c r="F220" s="1"/>
      <c r="G220" s="13"/>
      <c r="H220" s="1"/>
      <c r="I220" s="13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x14ac:dyDescent="0.25">
      <c r="A221" s="1"/>
      <c r="B221" s="1"/>
      <c r="C221" s="1"/>
      <c r="D221" s="1"/>
      <c r="E221" s="13"/>
      <c r="F221" s="1"/>
      <c r="G221" s="13"/>
      <c r="H221" s="1"/>
      <c r="I221" s="13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x14ac:dyDescent="0.25">
      <c r="A222" s="1"/>
      <c r="B222" s="1"/>
      <c r="C222" s="1"/>
      <c r="D222" s="1"/>
      <c r="E222" s="13"/>
      <c r="F222" s="1"/>
      <c r="G222" s="13"/>
      <c r="H222" s="1"/>
      <c r="I222" s="13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x14ac:dyDescent="0.25">
      <c r="A223" s="1"/>
      <c r="B223" s="1"/>
      <c r="C223" s="1"/>
      <c r="D223" s="1"/>
      <c r="E223" s="13"/>
      <c r="F223" s="1"/>
      <c r="G223" s="13"/>
      <c r="H223" s="1"/>
      <c r="I223" s="13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x14ac:dyDescent="0.25">
      <c r="A224" s="1"/>
      <c r="B224" s="1"/>
      <c r="C224" s="1"/>
      <c r="D224" s="1"/>
      <c r="E224" s="13"/>
      <c r="F224" s="1"/>
      <c r="G224" s="13"/>
      <c r="H224" s="1"/>
      <c r="I224" s="13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x14ac:dyDescent="0.25">
      <c r="A225" s="1"/>
      <c r="B225" s="1"/>
      <c r="C225" s="1"/>
      <c r="D225" s="1"/>
      <c r="E225" s="13"/>
      <c r="F225" s="1"/>
      <c r="G225" s="13"/>
      <c r="H225" s="1"/>
      <c r="I225" s="13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x14ac:dyDescent="0.25">
      <c r="E226" s="8"/>
      <c r="G226" s="8"/>
      <c r="I226" s="8"/>
      <c r="S226">
        <f>SUM(S6:S225)</f>
        <v>449084.4</v>
      </c>
      <c r="T226">
        <f>SUM(T6:T225)</f>
        <v>53266912.659999974</v>
      </c>
    </row>
    <row r="227" spans="1:25" x14ac:dyDescent="0.25">
      <c r="E227" s="8"/>
      <c r="G227" s="8"/>
      <c r="I227" s="8"/>
    </row>
    <row r="228" spans="1:25" x14ac:dyDescent="0.25">
      <c r="E228" s="8"/>
      <c r="G228" s="8"/>
      <c r="I228" s="8"/>
    </row>
    <row r="229" spans="1:25" x14ac:dyDescent="0.25">
      <c r="E229" s="8"/>
      <c r="G229" s="8"/>
      <c r="I229" s="8"/>
    </row>
    <row r="230" spans="1:25" x14ac:dyDescent="0.25">
      <c r="E230" s="8"/>
      <c r="G230" s="8"/>
      <c r="I230" s="8"/>
    </row>
    <row r="231" spans="1:25" x14ac:dyDescent="0.25">
      <c r="E231" s="8"/>
      <c r="G231" s="8"/>
      <c r="I231" s="8"/>
    </row>
    <row r="232" spans="1:25" x14ac:dyDescent="0.25">
      <c r="E232" s="8"/>
      <c r="G232" s="8"/>
      <c r="I232" s="8"/>
    </row>
    <row r="233" spans="1:25" x14ac:dyDescent="0.25">
      <c r="E233" s="8"/>
      <c r="G233" s="8"/>
      <c r="I233" s="8"/>
    </row>
    <row r="234" spans="1:25" x14ac:dyDescent="0.25">
      <c r="E234" s="8"/>
      <c r="G234" s="8"/>
      <c r="I234" s="8"/>
    </row>
    <row r="235" spans="1:25" x14ac:dyDescent="0.25">
      <c r="E235" s="8"/>
      <c r="G235" s="8"/>
      <c r="I235" s="8"/>
    </row>
    <row r="236" spans="1:25" x14ac:dyDescent="0.25">
      <c r="E236" s="8"/>
      <c r="G236" s="8"/>
      <c r="I236" s="8"/>
    </row>
    <row r="237" spans="1:25" x14ac:dyDescent="0.25">
      <c r="E237" s="8"/>
      <c r="G237" s="8"/>
      <c r="I237" s="8"/>
    </row>
    <row r="238" spans="1:25" x14ac:dyDescent="0.25">
      <c r="E238" s="8"/>
      <c r="G238" s="8"/>
      <c r="I238" s="8"/>
    </row>
    <row r="239" spans="1:25" x14ac:dyDescent="0.25">
      <c r="E239" s="8"/>
      <c r="G239" s="8"/>
      <c r="I239" s="8"/>
    </row>
    <row r="240" spans="1:25" x14ac:dyDescent="0.25">
      <c r="E240" s="8"/>
      <c r="G240" s="8"/>
      <c r="I240" s="8"/>
    </row>
    <row r="241" spans="5:9" x14ac:dyDescent="0.25">
      <c r="E241" s="8"/>
      <c r="G241" s="8"/>
      <c r="I241" s="8"/>
    </row>
    <row r="242" spans="5:9" x14ac:dyDescent="0.25">
      <c r="E242" s="8"/>
      <c r="G242" s="8"/>
      <c r="I242" s="8"/>
    </row>
    <row r="243" spans="5:9" x14ac:dyDescent="0.25">
      <c r="E243" s="8"/>
      <c r="G243" s="8"/>
      <c r="I243" s="8"/>
    </row>
    <row r="244" spans="5:9" x14ac:dyDescent="0.25">
      <c r="E244" s="8"/>
      <c r="G244" s="8"/>
      <c r="I244" s="8"/>
    </row>
    <row r="245" spans="5:9" x14ac:dyDescent="0.25">
      <c r="E245" s="8"/>
      <c r="G245" s="8"/>
      <c r="I245" s="8"/>
    </row>
    <row r="246" spans="5:9" x14ac:dyDescent="0.25">
      <c r="E246" s="8"/>
      <c r="G246" s="8"/>
      <c r="I246" s="8"/>
    </row>
    <row r="247" spans="5:9" x14ac:dyDescent="0.25">
      <c r="E247" s="8"/>
      <c r="G247" s="8"/>
      <c r="I247" s="8"/>
    </row>
    <row r="248" spans="5:9" x14ac:dyDescent="0.25">
      <c r="E248" s="8"/>
      <c r="G248" s="8"/>
      <c r="I248" s="8"/>
    </row>
    <row r="249" spans="5:9" x14ac:dyDescent="0.25">
      <c r="E249" s="8"/>
      <c r="G249" s="8"/>
      <c r="I249" s="8"/>
    </row>
    <row r="250" spans="5:9" x14ac:dyDescent="0.25">
      <c r="E250" s="8"/>
      <c r="G250" s="8"/>
      <c r="I250" s="8"/>
    </row>
    <row r="251" spans="5:9" x14ac:dyDescent="0.25">
      <c r="E251" s="8"/>
      <c r="G251" s="8"/>
      <c r="I251" s="8"/>
    </row>
    <row r="252" spans="5:9" x14ac:dyDescent="0.25">
      <c r="E252" s="8"/>
      <c r="G252" s="8"/>
      <c r="I252" s="8"/>
    </row>
    <row r="253" spans="5:9" x14ac:dyDescent="0.25">
      <c r="E253" s="8"/>
      <c r="G253" s="8"/>
      <c r="I253" s="8"/>
    </row>
    <row r="254" spans="5:9" x14ac:dyDescent="0.25">
      <c r="E254" s="8"/>
      <c r="G254" s="8"/>
      <c r="I254" s="8"/>
    </row>
    <row r="255" spans="5:9" x14ac:dyDescent="0.25">
      <c r="E255" s="8"/>
      <c r="G255" s="8"/>
      <c r="I255" s="8"/>
    </row>
    <row r="256" spans="5:9" x14ac:dyDescent="0.25">
      <c r="E256" s="8"/>
      <c r="G256" s="8"/>
      <c r="I256" s="8"/>
    </row>
  </sheetData>
  <mergeCells count="2">
    <mergeCell ref="A4:B4"/>
    <mergeCell ref="D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STATUS</vt:lpstr>
      <vt:lpstr>RPA</vt:lpstr>
      <vt:lpstr>BANTUAN</vt:lpstr>
      <vt:lpstr>Tarikan_TPB</vt:lpstr>
      <vt:lpstr>Tarikan_TPB!Extract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user</cp:lastModifiedBy>
  <dcterms:created xsi:type="dcterms:W3CDTF">2023-09-07T03:13:32Z</dcterms:created>
  <dcterms:modified xsi:type="dcterms:W3CDTF">2023-10-16T03:57:58Z</dcterms:modified>
</cp:coreProperties>
</file>