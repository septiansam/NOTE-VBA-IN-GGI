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11" codeName="{AE6600E7-7A62-396C-DE95-9942FA9DD81E}"/>
  <workbookPr codeName="ThisWorkbook" defaultThemeVersion="166925"/>
  <mc:AlternateContent xmlns:mc="http://schemas.openxmlformats.org/markup-compatibility/2006">
    <mc:Choice Requires="x15">
      <x15ac:absPath xmlns:x15ac="http://schemas.microsoft.com/office/spreadsheetml/2010/11/ac" url="\\10.8.0.35\rpa$\RPA Excel Template\Accounting Finance\MACRO_PROCESS - Tarik Data ILDV\RPA Preference\.Macro\Backup\2025-01-06\DEVELOP\"/>
    </mc:Choice>
  </mc:AlternateContent>
  <xr:revisionPtr revIDLastSave="0" documentId="8_{52891BD1-D4A5-4DA2-AB07-AA90DD96E643}" xr6:coauthVersionLast="47" xr6:coauthVersionMax="47" xr10:uidLastSave="{00000000-0000-0000-0000-000000000000}"/>
  <bookViews>
    <workbookView xWindow="20370" yWindow="-120" windowWidth="20730" windowHeight="11160" tabRatio="852" activeTab="4" xr2:uid="{2CCE3C95-2940-4053-8BE7-2A6EFE1350AC}"/>
  </bookViews>
  <sheets>
    <sheet name="ss" sheetId="15" r:id="rId1"/>
    <sheet name="ref_WA" sheetId="26" r:id="rId2"/>
    <sheet name="HOME" sheetId="8" r:id="rId3"/>
    <sheet name="RPA1_BV" sheetId="53" r:id="rId4"/>
    <sheet name="RPA2" sheetId="54" r:id="rId5"/>
    <sheet name="ValidasiPathFile" sheetId="55" r:id="rId6"/>
    <sheet name="RPA_Check_Validasi" sheetId="56" r:id="rId7"/>
    <sheet name="RPA_WA1" sheetId="57" r:id="rId8"/>
    <sheet name="RPA_WA2" sheetId="58" r:id="rId9"/>
  </sheets>
  <functionGroups builtInGroupCount="19"/>
  <externalReferences>
    <externalReference r:id="rId10"/>
  </externalReferences>
  <definedNames>
    <definedName name="Calibri" localSheetId="1">#REF!</definedName>
    <definedName name="Calibr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 i="26" l="1"/>
  <c r="G3" i="26"/>
  <c r="C3" i="26"/>
  <c r="S3" i="26"/>
  <c r="R3" i="26" s="1"/>
  <c r="K3" i="26" s="1"/>
  <c r="L3" i="26"/>
  <c r="G6" i="8" l="1"/>
  <c r="F6"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1" authorId="0" shapeId="0" xr:uid="{DADDF5E6-4475-47A6-8FB5-EC8CED565089}">
      <text>
        <r>
          <rPr>
            <b/>
            <sz val="9"/>
            <color indexed="81"/>
            <rFont val="Tahoma"/>
            <family val="2"/>
          </rPr>
          <t>1 = LANJUT
0 = STOP (ada file yang tidak ditemukan)
RPA KIRIM WA</t>
        </r>
      </text>
    </comment>
  </commentList>
</comments>
</file>

<file path=xl/sharedStrings.xml><?xml version="1.0" encoding="utf-8"?>
<sst xmlns="http://schemas.openxmlformats.org/spreadsheetml/2006/main" count="330" uniqueCount="144">
  <si>
    <t>-</t>
  </si>
  <si>
    <r>
      <rPr>
        <b/>
        <sz val="9"/>
        <color rgb="FF00B0F0"/>
        <rFont val="Calibri"/>
        <family val="2"/>
        <scheme val="minor"/>
      </rPr>
      <t>▼</t>
    </r>
    <r>
      <rPr>
        <b/>
        <i/>
        <u/>
        <sz val="9"/>
        <color rgb="FF00B0F0"/>
        <rFont val="Calibri"/>
        <family val="2"/>
        <scheme val="minor"/>
      </rPr>
      <t>Pengaturan</t>
    </r>
    <r>
      <rPr>
        <i/>
        <sz val="8"/>
        <color rgb="FF9A9DA1"/>
        <rFont val="Calibri"/>
        <family val="2"/>
        <scheme val="minor"/>
      </rPr>
      <t xml:space="preserve"> </t>
    </r>
    <r>
      <rPr>
        <i/>
        <sz val="8"/>
        <color theme="8" tint="0.59999389629810485"/>
        <rFont val="Calibri"/>
        <family val="2"/>
        <scheme val="minor"/>
      </rPr>
      <t>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t>
    </r>
  </si>
  <si>
    <t>•TOMBOL</t>
  </si>
  <si>
    <t>Ξ☼Ξ</t>
  </si>
  <si>
    <t xml:space="preserve"> •VALUE 1</t>
  </si>
  <si>
    <t xml:space="preserve"> •ENTITY</t>
  </si>
  <si>
    <t xml:space="preserve"> •VALUE 2</t>
  </si>
  <si>
    <t xml:space="preserve"> •NOTE</t>
  </si>
  <si>
    <t>BU</t>
  </si>
  <si>
    <t>Membuat Draft untuk RPA1 download Dokumen di Portal</t>
  </si>
  <si>
    <t>BV</t>
  </si>
  <si>
    <t>VERSION</t>
  </si>
  <si>
    <t>BATCH APPLICATION</t>
  </si>
  <si>
    <t>R564111M</t>
  </si>
  <si>
    <t>GG0002</t>
  </si>
  <si>
    <t>GL</t>
  </si>
  <si>
    <t>INPA</t>
  </si>
  <si>
    <t>JOB NUMBER</t>
  </si>
  <si>
    <t>INAC</t>
  </si>
  <si>
    <t>\\10.8.0.35\Bersama\santy\CLOSING bersama\TAHUN 2024\ARUS BARANG</t>
  </si>
  <si>
    <t>RPA2</t>
  </si>
  <si>
    <t>GL DATE1 (Is Less than or equal to)</t>
  </si>
  <si>
    <t>GL DATE2 (Is Not Equal to)</t>
  </si>
  <si>
    <t>Item Number</t>
  </si>
  <si>
    <t>GL DATE1</t>
  </si>
  <si>
    <t>Null Date</t>
  </si>
  <si>
    <t>INFA</t>
  </si>
  <si>
    <t>INFO</t>
  </si>
  <si>
    <t>ININ</t>
  </si>
  <si>
    <t>INSA</t>
  </si>
  <si>
    <t>INSP</t>
  </si>
  <si>
    <t>INUM</t>
  </si>
  <si>
    <t>INAC|INFA|INFO|ININ|INPA|INSA|INSP|INUM</t>
  </si>
  <si>
    <t>Folder Layer1</t>
  </si>
  <si>
    <t>1201|1204|1205|1206</t>
  </si>
  <si>
    <t>File Name</t>
  </si>
  <si>
    <t>Full Path</t>
  </si>
  <si>
    <t>11. 1201 LAB NOV 2024 INAC.xlsx</t>
  </si>
  <si>
    <t>11. 1201 LAB NOV 2024 INFA.xlsx</t>
  </si>
  <si>
    <t>11. 1201 LAB NOV 2024 INFO.xlsx</t>
  </si>
  <si>
    <t>11. 1201 LAB NOV 2024 ININ.xlsx</t>
  </si>
  <si>
    <t>11. 1201 LAB NOV 2024 INPA.xlsx</t>
  </si>
  <si>
    <t>11. 1201 LAB NOV 2024 INSA.xlsx</t>
  </si>
  <si>
    <t>11. 1201 LAB NOV 2024 INSP.xlsx</t>
  </si>
  <si>
    <t>11. 1201 LAB NOV 2024 INUM.xlsx</t>
  </si>
  <si>
    <t>STATUS</t>
  </si>
  <si>
    <t>\\10.8.0.35\rpa$\RPA Excel Template\Accounting Finance\MACRO_PROCESS - Tarik Data ILDV\RPA Preference\.Result\ValidasiPathFile.xlsx</t>
  </si>
  <si>
    <t>11. 1204 LAB NOV 2024 INSP.xlsx</t>
  </si>
  <si>
    <t>11. 1204 LAB NOV 2024 INUM.xlsx</t>
  </si>
  <si>
    <r>
      <t>LOKASI FILE  (</t>
    </r>
    <r>
      <rPr>
        <i/>
        <sz val="10"/>
        <color theme="4" tint="-0.499984740745262"/>
        <rFont val="Calibri"/>
        <family val="2"/>
        <scheme val="minor"/>
      </rPr>
      <t>Arus Barang</t>
    </r>
    <r>
      <rPr>
        <sz val="11"/>
        <color theme="4" tint="-0.499984740745262"/>
        <rFont val="Calibri"/>
        <family val="2"/>
        <scheme val="minor"/>
      </rPr>
      <t>)</t>
    </r>
  </si>
  <si>
    <r>
      <t>LOKASI FILE  (</t>
    </r>
    <r>
      <rPr>
        <i/>
        <sz val="10"/>
        <color theme="4" tint="-0.499984740745262"/>
        <rFont val="Calibri"/>
        <family val="2"/>
        <scheme val="minor"/>
      </rPr>
      <t>Hasil Validasi PathFile</t>
    </r>
    <r>
      <rPr>
        <sz val="11"/>
        <color theme="4" tint="-0.499984740745262"/>
        <rFont val="Calibri"/>
        <family val="2"/>
        <scheme val="minor"/>
      </rPr>
      <t>)</t>
    </r>
  </si>
  <si>
    <r>
      <t>LOKASI FILE  (</t>
    </r>
    <r>
      <rPr>
        <i/>
        <sz val="10"/>
        <color theme="4" tint="-0.499984740745262"/>
        <rFont val="Calibri"/>
        <family val="2"/>
        <scheme val="minor"/>
      </rPr>
      <t>This Macro</t>
    </r>
    <r>
      <rPr>
        <sz val="11"/>
        <color theme="4" tint="-0.499984740745262"/>
        <rFont val="Calibri"/>
        <family val="2"/>
        <scheme val="minor"/>
      </rPr>
      <t>)</t>
    </r>
  </si>
  <si>
    <t>WA1 [USER]</t>
  </si>
  <si>
    <t>WA2 [GROUP]</t>
  </si>
  <si>
    <t>KALIMAT PESAN UNTUK USER</t>
  </si>
  <si>
    <t>CONTACT NAME</t>
  </si>
  <si>
    <t>MESSAGE</t>
  </si>
  <si>
    <t>ATTACHMENT</t>
  </si>
  <si>
    <t>ISI PESAN</t>
  </si>
  <si>
    <t>DM1_SUBJECT</t>
  </si>
  <si>
    <t>DM1_SUBJECT2</t>
  </si>
  <si>
    <t>HADI</t>
  </si>
  <si>
    <t>RPA GGI &amp; Makro GGI</t>
  </si>
  <si>
    <t>*PROSES DIHENTIKAN!* Terdapat file yg tidak ditemukan _*RPA Proses Tarik Data ILDV*_, pastikan nama dan format filenya sudah benar, silakan check file terlampir, valdiasi eksistensi file oleh RPA. Segera perbaiki setelahnya buat tiket kembali untuk mentriger RPA agar dijalankan kembali pasca update data.</t>
  </si>
  <si>
    <t>Tarik Data ILDV</t>
  </si>
  <si>
    <t>\\10.8.0.35\rpa$\RPA Excel Template\Accounting Finance\MACRO_PROCESS - Tarik Data ILDV\RPA Preference\.Macro\Backup\2025-01-06\DEVELOP\MACRO_RPA -  Tarik Data ILDV.xlsm</t>
  </si>
  <si>
    <t>1201_RPA_INAC</t>
  </si>
  <si>
    <t>1201_RPA_INFA</t>
  </si>
  <si>
    <t>1201_RPA_INFO</t>
  </si>
  <si>
    <t>1201_RPA_ININ</t>
  </si>
  <si>
    <t>1201_RPA_INPA</t>
  </si>
  <si>
    <t>1201_RPA_INSA</t>
  </si>
  <si>
    <t>1201_RPA_INSP</t>
  </si>
  <si>
    <t>1201_RPA_INUM</t>
  </si>
  <si>
    <t>1204_RPA_INAC</t>
  </si>
  <si>
    <t>11. 1204 LAB NOV 2024 INAC.xlsx</t>
  </si>
  <si>
    <t>1204_RPA_INFA</t>
  </si>
  <si>
    <t>11. 1204 LAB NOV 2024 INFA.xlsx</t>
  </si>
  <si>
    <t>1204_RPA_INFO</t>
  </si>
  <si>
    <t>11. 1204 LAB NOV 2024 INFO.xlsx</t>
  </si>
  <si>
    <t>1204_RPA_ININ</t>
  </si>
  <si>
    <t>11. 1204 LAB NOV 2024 ININ.xlsx</t>
  </si>
  <si>
    <t>1204_RPA_INPA</t>
  </si>
  <si>
    <t>11. 1204 LAB NOV 2024 INPA.xlsx</t>
  </si>
  <si>
    <t>1204_RPA_INSA</t>
  </si>
  <si>
    <t>11. 1204 LAB NOV 2024 INSA.xlsx</t>
  </si>
  <si>
    <t>1204_RPA_INSP</t>
  </si>
  <si>
    <t>1204_RPA_INUM</t>
  </si>
  <si>
    <t>1205_RPA_INAC</t>
  </si>
  <si>
    <t>11. 1205 LAB NOV 2024 INAC.xlsx</t>
  </si>
  <si>
    <t>1205_RPA_INFA</t>
  </si>
  <si>
    <t>11. 1205 LAB NOV 2024 INFA.xlsx</t>
  </si>
  <si>
    <t>1205_RPA_INFO</t>
  </si>
  <si>
    <t>11. 1205 LAB NOV 2024 INFO.xlsx</t>
  </si>
  <si>
    <t>1205_RPA_ININ</t>
  </si>
  <si>
    <t>11. 1205 LAB NOV 2024 ININ.xlsx</t>
  </si>
  <si>
    <t>1205_RPA_INPA</t>
  </si>
  <si>
    <t>11. 1205 LAB NOV 2024 INPA.xlsx</t>
  </si>
  <si>
    <t>1205_RPA_INSA</t>
  </si>
  <si>
    <t>11. 1205 LAB NOV 2024 INSA.xlsx</t>
  </si>
  <si>
    <t>1205_RPA_INSP</t>
  </si>
  <si>
    <t>11. 1205 LAB NOV 2024 INSP.xlsx</t>
  </si>
  <si>
    <t>1205_RPA_INUM</t>
  </si>
  <si>
    <t>11. 1205 LAB NOV 2024 INUM.xlsx</t>
  </si>
  <si>
    <t>1206_RPA_INFO</t>
  </si>
  <si>
    <t>11. 1206 LAB NOV 2024 INFO.xlsx</t>
  </si>
  <si>
    <t>1206_RPA_INSP</t>
  </si>
  <si>
    <t>11. 1206 LAB NOV 2024 INSP.xlsx</t>
  </si>
  <si>
    <t>1206_RPA_INUM</t>
  </si>
  <si>
    <t>11. 1206 LAB NOV 2024 INUM.xlsx</t>
  </si>
  <si>
    <t>CHECK DIR FILE</t>
  </si>
  <si>
    <t>\11.24</t>
  </si>
  <si>
    <t>\11.24.1201\</t>
  </si>
  <si>
    <t>\\10.8.0.35\Bersama\santy\CLOSING bersama\TAHUN 2024\ARUS BARANG\11.24\11.24.1201\11. 1201 LAB NOV 2024 INAC.xlsx</t>
  </si>
  <si>
    <t>\\10.8.0.35\Bersama\santy\CLOSING bersama\TAHUN 2024\ARUS BARANG\11.24\11.24.1201\11. 1201 LAB NOV 2024 INFA.xlsx</t>
  </si>
  <si>
    <t>\\10.8.0.35\Bersama\santy\CLOSING bersama\TAHUN 2024\ARUS BARANG\11.24\11.24.1201\11. 1201 LAB NOV 2024 INFO.xlsx</t>
  </si>
  <si>
    <t>\\10.8.0.35\Bersama\santy\CLOSING bersama\TAHUN 2024\ARUS BARANG\11.24\11.24.1201\11. 1201 LAB NOV 2024 ININ.xlsx</t>
  </si>
  <si>
    <t>\\10.8.0.35\Bersama\santy\CLOSING bersama\TAHUN 2024\ARUS BARANG\11.24\11.24.1201\11. 1201 LAB NOV 2024 INPA.xlsx</t>
  </si>
  <si>
    <t>\\10.8.0.35\Bersama\santy\CLOSING bersama\TAHUN 2024\ARUS BARANG\11.24\11.24.1201\11. 1201 LAB NOV 2024 INSA.xlsx</t>
  </si>
  <si>
    <t>\\10.8.0.35\Bersama\santy\CLOSING bersama\TAHUN 2024\ARUS BARANG\11.24\11.24.1201\11. 1201 LAB NOV 2024 INSP.xlsx</t>
  </si>
  <si>
    <t>\\10.8.0.35\Bersama\santy\CLOSING bersama\TAHUN 2024\ARUS BARANG\11.24\11.24.1201\11. 1201 LAB NOV 2024 INUM.xlsx</t>
  </si>
  <si>
    <t>\11.24.1204\</t>
  </si>
  <si>
    <t>\\10.8.0.35\Bersama\santy\CLOSING bersama\TAHUN 2024\ARUS BARANG\11.24\11.24.1204\11. 1204 LAB NOV 2024 INAC.xlsx</t>
  </si>
  <si>
    <t>\\10.8.0.35\Bersama\santy\CLOSING bersama\TAHUN 2024\ARUS BARANG\11.24\11.24.1204\11. 1204 LAB NOV 2024 INFA.xlsx</t>
  </si>
  <si>
    <t>\\10.8.0.35\Bersama\santy\CLOSING bersama\TAHUN 2024\ARUS BARANG\11.24\11.24.1204\11. 1204 LAB NOV 2024 INFO.xlsx</t>
  </si>
  <si>
    <t>\\10.8.0.35\Bersama\santy\CLOSING bersama\TAHUN 2024\ARUS BARANG\11.24\11.24.1204\11. 1204 LAB NOV 2024 ININ.xlsx</t>
  </si>
  <si>
    <t>\\10.8.0.35\Bersama\santy\CLOSING bersama\TAHUN 2024\ARUS BARANG\11.24\11.24.1204\11. 1204 LAB NOV 2024 INPA.xlsx</t>
  </si>
  <si>
    <t>\\10.8.0.35\Bersama\santy\CLOSING bersama\TAHUN 2024\ARUS BARANG\11.24\11.24.1204\11. 1204 LAB NOV 2024 INSA.xlsx</t>
  </si>
  <si>
    <t>\\10.8.0.35\Bersama\santy\CLOSING bersama\TAHUN 2024\ARUS BARANG\11.24\11.24.1204\11. 1204 LAB NOV 2024 INSP.xlsx</t>
  </si>
  <si>
    <t>\\10.8.0.35\Bersama\santy\CLOSING bersama\TAHUN 2024\ARUS BARANG\11.24\11.24.1204\11. 1204 LAB NOV 2024 INUM.xlsx</t>
  </si>
  <si>
    <t>\11.24.1205\</t>
  </si>
  <si>
    <t>\\10.8.0.35\Bersama\santy\CLOSING bersama\TAHUN 2024\ARUS BARANG\11.24\11.24.1205\11. 1205 LAB NOV 2024 INAC.xlsx</t>
  </si>
  <si>
    <t>\\10.8.0.35\Bersama\santy\CLOSING bersama\TAHUN 2024\ARUS BARANG\11.24\11.24.1205\11. 1205 LAB NOV 2024 INFA.xlsx</t>
  </si>
  <si>
    <t>\\10.8.0.35\Bersama\santy\CLOSING bersama\TAHUN 2024\ARUS BARANG\11.24\11.24.1205\11. 1205 LAB NOV 2024 INFO.xlsx</t>
  </si>
  <si>
    <t>\\10.8.0.35\Bersama\santy\CLOSING bersama\TAHUN 2024\ARUS BARANG\11.24\11.24.1205\11. 1205 LAB NOV 2024 ININ.xlsx</t>
  </si>
  <si>
    <t>\\10.8.0.35\Bersama\santy\CLOSING bersama\TAHUN 2024\ARUS BARANG\11.24\11.24.1205\11. 1205 LAB NOV 2024 INPA.xlsx</t>
  </si>
  <si>
    <t>\\10.8.0.35\Bersama\santy\CLOSING bersama\TAHUN 2024\ARUS BARANG\11.24\11.24.1205\11. 1205 LAB NOV 2024 INSA.xlsx</t>
  </si>
  <si>
    <t>\\10.8.0.35\Bersama\santy\CLOSING bersama\TAHUN 2024\ARUS BARANG\11.24\11.24.1205\11. 1205 LAB NOV 2024 INSP.xlsx</t>
  </si>
  <si>
    <t>\\10.8.0.35\Bersama\santy\CLOSING bersama\TAHUN 2024\ARUS BARANG\11.24\11.24.1205\11. 1205 LAB NOV 2024 INUM.xlsx</t>
  </si>
  <si>
    <t>\11.24.1206\</t>
  </si>
  <si>
    <t>\\10.8.0.35\Bersama\santy\CLOSING bersama\TAHUN 2024\ARUS BARANG\11.24\11.24.1206\11. 1206 LAB NOV 2024 INFO.xlsx</t>
  </si>
  <si>
    <t>\\10.8.0.35\Bersama\santy\CLOSING bersama\TAHUN 2024\ARUS BARANG\11.24\11.24.1206\11. 1206 LAB NOV 2024 INSP.xlsx</t>
  </si>
  <si>
    <t>\\10.8.0.35\Bersama\santy\CLOSING bersama\TAHUN 2024\ARUS BARANG\11.24\11.24.1206\11. 1206 LAB NOV 2024 INUM.xlsx</t>
  </si>
  <si>
    <t>*PROSES DIHENTIKAN!* Terdapat file yg tidak ditemukan \\10.8.0.35\rpa$\RPA Excel Template\Accounting Finance\MACRO_PROCESS - Tarik Data ILDV\RPA Preference\.Macro\Backup\2025-01-06\DEVELOP\MACRO_RPA -  Tarik Data ILDV.xlsm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</si>
</sst>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2" x14ac:knownFonts="1">
    <font>
      <sz val="11"/>
      <color theme="1"/>
      <name val="Calibri"/>
      <family val="2"/>
      <scheme val="minor"/>
    </font>
    <font>
      <sz val="11"/>
      <color theme="0"/>
      <name val="Calibri"/>
      <family val="2"/>
      <scheme val="minor"/>
    </font>
    <font>
      <u/>
      <sz val="11"/>
      <color theme="10"/>
      <name val="Calibri"/>
      <family val="2"/>
      <scheme val="minor"/>
    </font>
    <font>
      <b/>
      <sz val="9"/>
      <color rgb="FF00B0F0"/>
      <name val="Calibri"/>
      <family val="2"/>
      <scheme val="minor"/>
    </font>
    <font>
      <b/>
      <i/>
      <u/>
      <sz val="9"/>
      <color rgb="FF00B0F0"/>
      <name val="Calibri"/>
      <family val="2"/>
      <scheme val="minor"/>
    </font>
    <font>
      <i/>
      <sz val="8"/>
      <color rgb="FF9A9DA1"/>
      <name val="Calibri"/>
      <family val="2"/>
      <scheme val="minor"/>
    </font>
    <font>
      <i/>
      <sz val="8"/>
      <color theme="8" tint="0.59999389629810485"/>
      <name val="Calibri"/>
      <family val="2"/>
      <scheme val="minor"/>
    </font>
    <font>
      <b/>
      <sz val="12"/>
      <color theme="0"/>
      <name val="Calibri"/>
      <family val="2"/>
      <scheme val="minor"/>
    </font>
    <font>
      <sz val="11"/>
      <color theme="4" tint="-0.499984740745262"/>
      <name val="Calibri"/>
      <family val="2"/>
      <scheme val="minor"/>
    </font>
    <font>
      <i/>
      <sz val="10"/>
      <color theme="4" tint="-0.499984740745262"/>
      <name val="Calibri"/>
      <family val="2"/>
      <scheme val="minor"/>
    </font>
    <font>
      <sz val="48"/>
      <color rgb="FFBAF6FE"/>
      <name val="Calibri"/>
      <family val="2"/>
      <scheme val="minor"/>
    </font>
    <font>
      <b/>
      <sz val="11"/>
      <color theme="1"/>
      <name val="Calibri"/>
      <family val="2"/>
      <scheme val="minor"/>
    </font>
    <font>
      <sz val="11"/>
      <name val="Calibri"/>
      <family val="2"/>
    </font>
    <font>
      <sz val="8"/>
      <color theme="1"/>
      <name val="Calibri"/>
      <family val="2"/>
      <scheme val="minor"/>
    </font>
    <font>
      <sz val="11"/>
      <color rgb="FFFF0000"/>
      <name val="Calibri"/>
      <family val="2"/>
      <scheme val="minor"/>
    </font>
    <font>
      <sz val="10"/>
      <color theme="1"/>
      <name val="Calibri"/>
      <family val="2"/>
      <scheme val="minor"/>
    </font>
    <font>
      <sz val="10"/>
      <color rgb="FFFF0000"/>
      <name val="Calibri"/>
      <family val="2"/>
      <scheme val="minor"/>
    </font>
    <font>
      <sz val="10"/>
      <color rgb="FF141414"/>
      <name val="Times New Roman"/>
      <family val="1"/>
    </font>
    <font>
      <sz val="10"/>
      <name val="Calibri"/>
      <family val="2"/>
      <scheme val="minor"/>
    </font>
    <font>
      <b/>
      <sz val="9"/>
      <color indexed="81"/>
      <name val="Tahoma"/>
      <family val="2"/>
    </font>
    <font>
      <sz val="8"/>
      <name val="Calibri"/>
      <family val="2"/>
      <scheme val="minor"/>
    </font>
    <font>
      <b/>
      <sz val="11"/>
      <color theme="0"/>
      <name val="Century Gothic"/>
      <family val="2"/>
    </font>
  </fonts>
  <fills count="12">
    <fill>
      <patternFill patternType="none"/>
    </fill>
    <fill>
      <patternFill patternType="gray125"/>
    </fill>
    <fill>
      <patternFill patternType="solid">
        <fgColor rgb="FF2FC9FF"/>
        <bgColor indexed="64"/>
      </patternFill>
    </fill>
    <fill>
      <patternFill patternType="solid">
        <fgColor rgb="FF9BF0FB"/>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theme="0" tint="-0.499984740745262"/>
        <bgColor indexed="64"/>
      </patternFill>
    </fill>
    <fill>
      <patternFill patternType="solid">
        <fgColor rgb="FF808080"/>
        <bgColor indexed="64"/>
      </patternFill>
    </fill>
    <fill>
      <patternFill patternType="solid">
        <fgColor rgb="FFD9E1F2"/>
        <bgColor rgb="FFF7EFFF"/>
      </patternFill>
    </fill>
    <fill>
      <patternFill patternType="solid">
        <fgColor rgb="FFD0CECE"/>
        <bgColor rgb="FFF7EFFF"/>
      </patternFill>
    </fill>
    <fill>
      <patternFill patternType="solid">
        <fgColor rgb="FFD0CECE"/>
        <bgColor indexed="64"/>
      </patternFill>
    </fill>
  </fills>
  <borders count="8">
    <border>
      <left/>
      <right/>
      <top/>
      <bottom/>
      <diagonal/>
    </border>
    <border>
      <left/>
      <right/>
      <top style="thin">
        <color rgb="FF96E6E7"/>
      </top>
      <bottom/>
      <diagonal/>
    </border>
    <border>
      <left style="thin">
        <color theme="0"/>
      </left>
      <right/>
      <top/>
      <bottom/>
      <diagonal/>
    </border>
    <border>
      <left/>
      <right style="thin">
        <color theme="0"/>
      </right>
      <top/>
      <bottom/>
      <diagonal/>
    </border>
    <border>
      <left/>
      <right style="thin">
        <color theme="0" tint="-0.14999847407452621"/>
      </right>
      <top/>
      <bottom/>
      <diagonal/>
    </border>
    <border>
      <left style="thin">
        <color theme="0" tint="-0.14999847407452621"/>
      </left>
      <right style="thin">
        <color theme="0" tint="-0.14999847407452621"/>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0" fontId="12" fillId="0" borderId="0"/>
  </cellStyleXfs>
  <cellXfs count="47">
    <xf numFmtId="0" fontId="0" fillId="0" borderId="0" xfId="0"/>
    <xf numFmtId="0" fontId="1" fillId="0" borderId="0" xfId="0" applyFont="1"/>
    <xf numFmtId="0" fontId="7" fillId="2" borderId="2" xfId="0" applyFont="1" applyFill="1" applyBorder="1" applyAlignment="1">
      <alignment vertical="center"/>
    </xf>
    <xf numFmtId="0" fontId="7" fillId="2" borderId="2" xfId="0" applyFont="1" applyFill="1" applyBorder="1" applyAlignment="1">
      <alignment horizontal="left" vertical="center"/>
    </xf>
    <xf numFmtId="0" fontId="8" fillId="0" borderId="0" xfId="0" applyFont="1"/>
    <xf numFmtId="0" fontId="0" fillId="0" borderId="0" xfId="0" applyAlignment="1">
      <alignment horizontal="center"/>
    </xf>
    <xf numFmtId="0" fontId="5" fillId="0" borderId="0" xfId="0" applyFont="1" applyAlignment="1">
      <alignment horizontal="left"/>
    </xf>
    <xf numFmtId="0" fontId="7" fillId="2" borderId="2" xfId="0" applyFont="1" applyFill="1" applyBorder="1" applyAlignment="1">
      <alignment horizontal="center" vertical="center"/>
    </xf>
    <xf numFmtId="0" fontId="8" fillId="0" borderId="4" xfId="0" applyFont="1" applyBorder="1"/>
    <xf numFmtId="0" fontId="8" fillId="0" borderId="4" xfId="0" applyFont="1" applyBorder="1" applyAlignment="1">
      <alignment horizontal="left"/>
    </xf>
    <xf numFmtId="0" fontId="2" fillId="0" borderId="4" xfId="1" applyFill="1" applyBorder="1"/>
    <xf numFmtId="0" fontId="0" fillId="0" borderId="5" xfId="0" applyBorder="1" applyAlignment="1">
      <alignment horizontal="left"/>
    </xf>
    <xf numFmtId="0" fontId="2" fillId="0" borderId="5" xfId="1" applyBorder="1" applyAlignment="1">
      <alignment horizontal="left"/>
    </xf>
    <xf numFmtId="0" fontId="2" fillId="0" borderId="4" xfId="1" applyBorder="1" applyAlignment="1">
      <alignment horizontal="left"/>
    </xf>
    <xf numFmtId="164" fontId="0" fillId="0" borderId="0" xfId="0" applyNumberFormat="1" applyAlignment="1">
      <alignment horizontal="left"/>
    </xf>
    <xf numFmtId="0" fontId="0" fillId="4" borderId="0" xfId="0" applyFill="1"/>
    <xf numFmtId="0" fontId="0" fillId="2" borderId="0" xfId="0" applyFill="1"/>
    <xf numFmtId="0" fontId="13" fillId="0" borderId="0" xfId="0" applyFont="1" applyFill="1"/>
    <xf numFmtId="14" fontId="14" fillId="0" borderId="4" xfId="1" applyNumberFormat="1" applyFont="1" applyFill="1" applyBorder="1" applyAlignment="1">
      <alignment horizontal="left"/>
    </xf>
    <xf numFmtId="14" fontId="17" fillId="0" borderId="0" xfId="0" applyNumberFormat="1" applyFont="1"/>
    <xf numFmtId="14" fontId="0" fillId="0" borderId="0" xfId="0" applyNumberFormat="1"/>
    <xf numFmtId="0" fontId="15" fillId="0" borderId="0" xfId="0" applyFont="1" applyFill="1" applyAlignment="1">
      <alignment horizontal="left"/>
    </xf>
    <xf numFmtId="0" fontId="18" fillId="0" borderId="4" xfId="1" applyFont="1" applyFill="1" applyBorder="1" applyAlignment="1">
      <alignment horizontal="left"/>
    </xf>
    <xf numFmtId="14" fontId="16" fillId="0" borderId="4" xfId="1" applyNumberFormat="1" applyFont="1" applyFill="1" applyBorder="1" applyAlignment="1">
      <alignment horizontal="left"/>
    </xf>
    <xf numFmtId="14" fontId="18" fillId="0" borderId="4" xfId="1" applyNumberFormat="1" applyFont="1" applyFill="1" applyBorder="1" applyAlignment="1">
      <alignment horizontal="left"/>
    </xf>
    <xf numFmtId="0" fontId="0" fillId="0" borderId="0" xfId="0" applyAlignment="1">
      <alignment horizontal="center"/>
    </xf>
    <xf numFmtId="0" fontId="20" fillId="0" borderId="4" xfId="1" applyFont="1" applyFill="1" applyBorder="1"/>
    <xf numFmtId="0" fontId="0" fillId="0" borderId="0" xfId="0" applyAlignment="1">
      <alignment horizontal="center"/>
    </xf>
    <xf numFmtId="0" fontId="7" fillId="2" borderId="2" xfId="0" applyFont="1" applyFill="1" applyBorder="1" applyAlignment="1">
      <alignment horizontal="left" vertical="center"/>
    </xf>
    <xf numFmtId="0" fontId="7" fillId="2" borderId="3" xfId="0" applyFont="1" applyFill="1" applyBorder="1" applyAlignment="1">
      <alignment horizontal="left" vertical="center"/>
    </xf>
    <xf numFmtId="0" fontId="9" fillId="4" borderId="4" xfId="0" applyFont="1" applyFill="1" applyBorder="1" applyAlignment="1">
      <alignment horizontal="left" vertical="center" wrapText="1"/>
    </xf>
    <xf numFmtId="0" fontId="10" fillId="3" borderId="1" xfId="0" applyFont="1" applyFill="1" applyBorder="1" applyAlignment="1">
      <alignment horizontal="center" vertical="center"/>
    </xf>
    <xf numFmtId="0" fontId="10" fillId="3" borderId="0" xfId="0" applyFont="1" applyFill="1" applyAlignment="1">
      <alignment horizontal="center" vertical="center"/>
    </xf>
    <xf numFmtId="0" fontId="5" fillId="0" borderId="0" xfId="0" applyFont="1" applyAlignment="1">
      <alignment horizontal="left"/>
    </xf>
    <xf numFmtId="0" fontId="0" fillId="3" borderId="0" xfId="0" applyFill="1" applyAlignment="1">
      <alignment horizontal="center"/>
    </xf>
    <xf numFmtId="49" fontId="21" fillId="5" borderId="6" xfId="0" applyNumberFormat="1" applyFont="1" applyFill="1" applyBorder="1" applyAlignment="1">
      <alignment horizontal="center" vertical="center"/>
    </xf>
    <xf numFmtId="0" fontId="21" fillId="6" borderId="7" xfId="0" applyFont="1" applyFill="1" applyBorder="1" applyAlignment="1">
      <alignment horizontal="center" vertical="center"/>
    </xf>
    <xf numFmtId="49" fontId="21" fillId="7" borderId="6" xfId="0" applyNumberFormat="1" applyFont="1" applyFill="1" applyBorder="1" applyAlignment="1">
      <alignment horizontal="center" vertical="center"/>
    </xf>
    <xf numFmtId="49" fontId="21" fillId="8" borderId="7" xfId="0" applyNumberFormat="1" applyFont="1" applyFill="1" applyBorder="1" applyAlignment="1">
      <alignment horizontal="center" vertical="center"/>
    </xf>
    <xf numFmtId="0" fontId="21" fillId="8" borderId="7" xfId="0" applyFont="1" applyFill="1" applyBorder="1"/>
    <xf numFmtId="49" fontId="0" fillId="0" borderId="0" xfId="0" applyNumberFormat="1"/>
    <xf numFmtId="0" fontId="11" fillId="0" borderId="0" xfId="0" applyFont="1"/>
    <xf numFmtId="0" fontId="11" fillId="9" borderId="0" xfId="0" applyFont="1" applyFill="1"/>
    <xf numFmtId="0" fontId="11" fillId="10" borderId="0" xfId="0" applyFont="1" applyFill="1"/>
    <xf numFmtId="0" fontId="0" fillId="11" borderId="0" xfId="0" applyFill="1"/>
    <xf numFmtId="0" fontId="11" fillId="0" borderId="0" xfId="0" applyFont="1" applyAlignment="1">
      <alignment horizontal="center"/>
    </xf>
    <xf numFmtId="49" fontId="11" fillId="0" borderId="0" xfId="0" applyNumberFormat="1" applyFont="1"/>
  </cellXfs>
  <cellStyles count="3">
    <cellStyle name="Hyperlink" xfId="1" builtinId="8"/>
    <cellStyle name="Normal" xfId="0" builtinId="0"/>
    <cellStyle name="Normal 2" xfId="2" xr:uid="{2A580844-7141-4DA3-9F97-661ED82822E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112059</xdr:colOff>
      <xdr:row>1</xdr:row>
      <xdr:rowOff>104588</xdr:rowOff>
    </xdr:from>
    <xdr:to>
      <xdr:col>12</xdr:col>
      <xdr:colOff>369025</xdr:colOff>
      <xdr:row>12</xdr:row>
      <xdr:rowOff>164353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059" y="291353"/>
          <a:ext cx="7608025" cy="21141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393583</xdr:colOff>
      <xdr:row>0</xdr:row>
      <xdr:rowOff>43229</xdr:rowOff>
    </xdr:from>
    <xdr:to>
      <xdr:col>7</xdr:col>
      <xdr:colOff>777514</xdr:colOff>
      <xdr:row>1</xdr:row>
      <xdr:rowOff>56178</xdr:rowOff>
    </xdr:to>
    <xdr:pic macro="[0]!OPEN_About">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58183" y="43229"/>
          <a:ext cx="383931" cy="197099"/>
        </a:xfrm>
        <a:prstGeom prst="rect">
          <a:avLst/>
        </a:prstGeom>
      </xdr:spPr>
    </xdr:pic>
    <xdr:clientData/>
  </xdr:twoCellAnchor>
  <xdr:twoCellAnchor editAs="absolute">
    <xdr:from>
      <xdr:col>7</xdr:col>
      <xdr:colOff>130218</xdr:colOff>
      <xdr:row>12</xdr:row>
      <xdr:rowOff>63500</xdr:rowOff>
    </xdr:from>
    <xdr:to>
      <xdr:col>7</xdr:col>
      <xdr:colOff>1123950</xdr:colOff>
      <xdr:row>15</xdr:row>
      <xdr:rowOff>28575</xdr:rowOff>
    </xdr:to>
    <xdr:grpSp>
      <xdr:nvGrpSpPr>
        <xdr:cNvPr id="3" name="Group 2">
          <a:extLst>
            <a:ext uri="{FF2B5EF4-FFF2-40B4-BE49-F238E27FC236}">
              <a16:creationId xmlns:a16="http://schemas.microsoft.com/office/drawing/2014/main" id="{00000000-0008-0000-0100-000003000000}"/>
            </a:ext>
          </a:extLst>
        </xdr:cNvPr>
        <xdr:cNvGrpSpPr/>
      </xdr:nvGrpSpPr>
      <xdr:grpSpPr>
        <a:xfrm>
          <a:off x="9245643" y="2178050"/>
          <a:ext cx="993732" cy="536575"/>
          <a:chOff x="2984127" y="906998"/>
          <a:chExt cx="1670698" cy="429245"/>
        </a:xfrm>
      </xdr:grpSpPr>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84127" y="906998"/>
            <a:ext cx="1670698" cy="429245"/>
          </a:xfrm>
          <a:prstGeom prst="rect">
            <a:avLst/>
          </a:prstGeom>
        </xdr:spPr>
      </xdr:pic>
      <mc:AlternateContent xmlns:mc="http://schemas.openxmlformats.org/markup-compatibility/2006">
        <mc:Choice xmlns:a14="http://schemas.microsoft.com/office/drawing/2010/main" Requires="a14">
          <xdr:sp macro="" textlink="">
            <xdr:nvSpPr>
              <xdr:cNvPr id="8193" name="Btn_Proses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3159022" y="987276"/>
                <a:ext cx="1332348" cy="260664"/>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TOH%20MACRO_RPA%20-%20Report%20Aging%20PerGL%20PerBranch.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_WA"/>
      <sheetName val="HOME"/>
      <sheetName val="RPA1_BV"/>
      <sheetName val="RPA1_DataInput"/>
      <sheetName val="CHECK - File Arus Barang"/>
      <sheetName val="RPA2"/>
      <sheetName val="Compile - Report Aging"/>
      <sheetName val="Compile - Arus Barang"/>
      <sheetName val="TO PVT"/>
      <sheetName val="PVT - RESUME"/>
      <sheetName val="RESUME"/>
      <sheetName val="RPA3_WA1"/>
      <sheetName val="RPA3_WA2"/>
    </sheetNames>
    <sheetDataSet>
      <sheetData sheetId="0" refreshError="1"/>
      <sheetData sheetId="1">
        <row r="16">
          <cell r="F16" t="str">
            <v>\\10.8.0.35\rpa$\RPA Excel Template\Accounting Finance\MACRO_PROCESS - Report Aging PerGL PerBranch\RPA Preference\.Result\RESUME - Report Aginf perGL perBranch.xlsx</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2013 - 2022">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C6D7F-B40A-4180-BECD-C721D660A6A3}">
  <sheetPr codeName="Sheet2"/>
  <dimension ref="A1"/>
  <sheetViews>
    <sheetView zoomScale="85" zoomScaleNormal="85" workbookViewId="0">
      <selection activeCell="G17" sqref="G17"/>
    </sheetView>
  </sheetViews>
  <sheetFormatPr defaultRowHeight="15" x14ac:dyDescent="0.25"/>
  <sheetData>
    <row r="1" spans="1:1" x14ac:dyDescent="0.25">
      <c r="A1" t="s">
        <v>20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EC1CB-A0BA-41A6-BA77-D4385C795278}">
  <sheetPr codeName="Sheet3">
    <tabColor theme="8" tint="-0.499984740745262"/>
  </sheetPr>
  <dimension ref="A1:T3"/>
  <sheetViews>
    <sheetView workbookViewId="0">
      <selection activeCell="E6" sqref="E6"/>
    </sheetView>
  </sheetViews>
  <sheetFormatPr defaultRowHeight="15" x14ac:dyDescent="0.25"/>
  <cols>
    <col min="1" max="1" width="18.28515625" bestFit="1" customWidth="1"/>
    <col min="2" max="2" width="11" bestFit="1" customWidth="1"/>
    <col min="3" max="3" width="14.7109375" bestFit="1" customWidth="1"/>
    <col min="6" max="6" width="19.85546875" bestFit="1" customWidth="1"/>
    <col min="7" max="7" width="41.85546875" customWidth="1"/>
    <col min="10" max="10" width="18.28515625" bestFit="1" customWidth="1"/>
    <col min="11" max="11" width="15.28515625" customWidth="1"/>
    <col min="12" max="12" width="14.7109375" bestFit="1" customWidth="1"/>
    <col min="15" max="15" width="19.85546875" bestFit="1" customWidth="1"/>
    <col min="16" max="16" width="15.28515625" customWidth="1"/>
    <col min="18" max="18" width="16.85546875" customWidth="1"/>
    <col min="19" max="19" width="19" customWidth="1"/>
    <col min="20" max="20" width="28" bestFit="1" customWidth="1"/>
  </cols>
  <sheetData>
    <row r="1" spans="1:20" x14ac:dyDescent="0.25">
      <c r="A1" s="35" t="s">
        <v>52</v>
      </c>
      <c r="F1" s="35" t="s">
        <v>53</v>
      </c>
      <c r="J1" s="35" t="s">
        <v>52</v>
      </c>
      <c r="O1" s="35" t="s">
        <v>53</v>
      </c>
      <c r="R1" s="36" t="s">
        <v>54</v>
      </c>
      <c r="S1" s="36"/>
      <c r="T1" s="36"/>
    </row>
    <row r="2" spans="1:20" x14ac:dyDescent="0.25">
      <c r="A2" s="37" t="s">
        <v>55</v>
      </c>
      <c r="B2" s="37" t="s">
        <v>56</v>
      </c>
      <c r="C2" s="37" t="s">
        <v>57</v>
      </c>
      <c r="F2" s="37" t="s">
        <v>55</v>
      </c>
      <c r="G2" s="37" t="s">
        <v>56</v>
      </c>
      <c r="J2" s="37" t="s">
        <v>55</v>
      </c>
      <c r="K2" s="37" t="s">
        <v>56</v>
      </c>
      <c r="L2" s="37" t="s">
        <v>57</v>
      </c>
      <c r="O2" s="37" t="s">
        <v>55</v>
      </c>
      <c r="P2" s="37" t="s">
        <v>56</v>
      </c>
      <c r="R2" s="38" t="s">
        <v>58</v>
      </c>
      <c r="S2" s="39" t="s">
        <v>59</v>
      </c>
      <c r="T2" s="39" t="s">
        <v>60</v>
      </c>
    </row>
    <row r="3" spans="1:20" x14ac:dyDescent="0.25">
      <c r="A3" s="40" t="s">
        <v>61</v>
      </c>
      <c r="B3" t="s">
        <v>63</v>
      </c>
      <c r="C3" t="str">
        <f>HOME!F13</f>
        <v>\\10.8.0.35\rpa$\RPA Excel Template\Accounting Finance\MACRO_PROCESS - Tarik Data ILDV\RPA Preference\.Result\ValidasiPathFile.xlsx</v>
      </c>
      <c r="D3" t="s">
        <v>0</v>
      </c>
      <c r="F3" t="s">
        <v>62</v>
      </c>
      <c r="G3" t="str">
        <f>"*PROSES DIHENTIKAN!* Terdapat file yg tidak ditemukan "&amp;HOME!F14</f>
        <v>*PROSES DIHENTIKAN!* Terdapat file yg tidak ditemukan \\10.8.0.35\rpa$\RPA Excel Template\Accounting Finance\MACRO_PROCESS - Tarik Data ILDV\RPA Preference\.Macro\Backup\2025-01-06\DEVELOP\MACRO_RPA -  Tarik Data ILDV.xlsm</v>
      </c>
      <c r="H3" t="s">
        <v>0</v>
      </c>
      <c r="J3" s="40" t="s">
        <v>61</v>
      </c>
      <c r="K3" t="str">
        <f ca="1">$R$3</f>
        <v>Selamat Sore 
Berikut adalah Tarik Data ILDV
 _File Terlampir_.
Terima kasih
*GISCA*
*(Gistex Communication Assistant)*
_Please do not reply on this number_</v>
      </c>
      <c r="L3" t="str">
        <f>[1]HOME!F16</f>
        <v>\\10.8.0.35\rpa$\RPA Excel Template\Accounting Finance\MACRO_PROCESS - Report Aging PerGL PerBranch\RPA Preference\.Result\RESUME - Report Aginf perGL perBranch.xlsx</v>
      </c>
      <c r="M3" t="s">
        <v>0</v>
      </c>
      <c r="O3" t="s">
        <v>62</v>
      </c>
      <c r="P3" t="str">
        <f>"*DONE: * "&amp; HOME!F14</f>
        <v>*DONE: * \\10.8.0.35\rpa$\RPA Excel Template\Accounting Finance\MACRO_PROCESS - Tarik Data ILDV\RPA Preference\.Macro\Backup\2025-01-06\DEVELOP\MACRO_RPA -  Tarik Data ILDV.xlsm</v>
      </c>
      <c r="Q3" t="s">
        <v>0</v>
      </c>
      <c r="R3" t="str">
        <f ca="1">"Selamat " &amp; $S$3 &amp; " " &amp; CHAR(10) &amp;
"Berikut adalah " &amp; $T$3 &amp; CHAR(10) &amp;
" _File Terlampir_." &amp; CHAR(10) &amp; CHAR(10) &amp;
"Terima kasih" &amp; CHAR(10) &amp; CHAR(10) &amp;
"*GISCA*" &amp; CHAR(10) &amp;
"*(Gistex Communication Assistant)*" &amp; CHAR(10) &amp; CHAR(10) &amp;
"_Please do not reply on this number_"</f>
        <v>Selamat Sore 
Berikut adalah Tarik Data ILDV
 _File Terlampir_.
Terima kasih
*GISCA*
*(Gistex Communication Assistant)*
_Please do not reply on this number_</v>
      </c>
      <c r="S3" t="str">
        <f ca="1">IF(AND(HOUR(NOW())&gt;=6,HOUR(NOW())&lt;11),"Pagi",IF(AND(HOUR(NOW())&gt;=11,HOUR(NOW())&lt;15),"Siang",IF(AND(HOUR(NOW())&gt;=15,HOUR(NOW())&lt;18),"Sore","Malam")))</f>
        <v>Sore</v>
      </c>
      <c r="T3" t="s">
        <v>64</v>
      </c>
    </row>
  </sheetData>
  <mergeCells count="1">
    <mergeCell ref="R1:T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8F583-5E95-4B85-9B39-B51F739C6EF0}">
  <sheetPr codeName="Sheet1">
    <tabColor rgb="FF00B0F0"/>
  </sheetPr>
  <dimension ref="A1:H17"/>
  <sheetViews>
    <sheetView showGridLines="0" workbookViewId="0">
      <selection sqref="A1:B1"/>
    </sheetView>
  </sheetViews>
  <sheetFormatPr defaultRowHeight="15" x14ac:dyDescent="0.25"/>
  <cols>
    <col min="1" max="1" width="1.85546875" customWidth="1"/>
    <col min="2" max="2" width="0.28515625" customWidth="1"/>
    <col min="3" max="3" width="46.42578125" customWidth="1"/>
    <col min="4" max="4" width="33.42578125" customWidth="1"/>
    <col min="5" max="5" width="3" customWidth="1"/>
    <col min="6" max="6" width="37.85546875" customWidth="1"/>
    <col min="7" max="7" width="13.85546875" customWidth="1"/>
    <col min="8" max="8" width="18.28515625" customWidth="1"/>
    <col min="9" max="9" width="1.140625" customWidth="1"/>
  </cols>
  <sheetData>
    <row r="1" spans="1:8" ht="18" customHeight="1" x14ac:dyDescent="0.25">
      <c r="A1" s="27"/>
      <c r="B1" s="27"/>
      <c r="C1" s="33" t="s">
        <v>1</v>
      </c>
      <c r="D1" s="33"/>
      <c r="E1" s="33"/>
      <c r="F1" s="33"/>
      <c r="G1" s="33"/>
      <c r="H1" s="33"/>
    </row>
    <row r="2" spans="1:8" ht="18" customHeight="1" x14ac:dyDescent="0.25">
      <c r="A2" s="5"/>
      <c r="B2" s="5"/>
      <c r="C2" s="6"/>
      <c r="D2" s="6"/>
      <c r="E2" s="6"/>
      <c r="F2" s="6"/>
      <c r="G2" s="6"/>
    </row>
    <row r="3" spans="1:8" ht="15.75" x14ac:dyDescent="0.25">
      <c r="A3" s="27"/>
      <c r="B3" s="34"/>
      <c r="C3" s="2" t="s">
        <v>7</v>
      </c>
      <c r="D3" s="3" t="s">
        <v>5</v>
      </c>
      <c r="E3" s="28" t="s">
        <v>4</v>
      </c>
      <c r="F3" s="29"/>
      <c r="G3" s="3" t="s">
        <v>6</v>
      </c>
      <c r="H3" s="7" t="s">
        <v>2</v>
      </c>
    </row>
    <row r="4" spans="1:8" ht="15" customHeight="1" x14ac:dyDescent="0.25">
      <c r="A4" s="27"/>
      <c r="B4" s="34"/>
      <c r="C4" s="30" t="s">
        <v>9</v>
      </c>
      <c r="D4" s="8" t="s">
        <v>8</v>
      </c>
      <c r="E4" s="4"/>
      <c r="F4" s="21" t="s">
        <v>34</v>
      </c>
      <c r="G4" s="11"/>
      <c r="H4" s="31" t="s">
        <v>3</v>
      </c>
    </row>
    <row r="5" spans="1:8" x14ac:dyDescent="0.25">
      <c r="A5" s="27"/>
      <c r="B5" s="34"/>
      <c r="C5" s="30"/>
      <c r="D5" s="8" t="s">
        <v>15</v>
      </c>
      <c r="E5" s="4"/>
      <c r="F5" s="22" t="s">
        <v>32</v>
      </c>
      <c r="G5" s="14"/>
      <c r="H5" s="32"/>
    </row>
    <row r="6" spans="1:8" x14ac:dyDescent="0.25">
      <c r="A6" s="27"/>
      <c r="B6" s="34"/>
      <c r="C6" s="30"/>
      <c r="D6" s="8" t="s">
        <v>24</v>
      </c>
      <c r="E6" s="4"/>
      <c r="F6" s="24">
        <f ca="1">EOMONTH(G6, 0)</f>
        <v>45626</v>
      </c>
      <c r="G6" s="23">
        <f ca="1">TODAY()-60</f>
        <v>45603</v>
      </c>
      <c r="H6" s="32"/>
    </row>
    <row r="7" spans="1:8" x14ac:dyDescent="0.25">
      <c r="A7" s="27"/>
      <c r="B7" s="34"/>
      <c r="C7" s="30"/>
      <c r="D7" s="8"/>
      <c r="E7" s="4"/>
      <c r="F7" s="18"/>
      <c r="G7" s="19"/>
      <c r="H7" s="32"/>
    </row>
    <row r="8" spans="1:8" x14ac:dyDescent="0.25">
      <c r="A8" s="27"/>
      <c r="B8" s="34"/>
      <c r="C8" s="30"/>
      <c r="D8" s="9"/>
      <c r="E8" s="4"/>
      <c r="F8" s="13"/>
      <c r="G8" s="12"/>
      <c r="H8" s="32"/>
    </row>
    <row r="9" spans="1:8" ht="1.5" customHeight="1" x14ac:dyDescent="0.25">
      <c r="A9" s="27"/>
      <c r="B9" s="34"/>
      <c r="C9" s="16"/>
      <c r="D9" s="16"/>
      <c r="E9" s="16"/>
      <c r="F9" s="16"/>
      <c r="G9" s="16"/>
      <c r="H9" s="16"/>
    </row>
    <row r="10" spans="1:8" ht="7.5" customHeight="1" x14ac:dyDescent="0.25">
      <c r="A10" s="27"/>
      <c r="B10" s="27"/>
      <c r="C10" s="15"/>
      <c r="D10" s="15"/>
      <c r="E10" s="15"/>
      <c r="F10" s="15"/>
      <c r="G10" s="15"/>
      <c r="H10" s="15"/>
    </row>
    <row r="11" spans="1:8" ht="15.75" x14ac:dyDescent="0.25">
      <c r="A11" s="27"/>
      <c r="B11" s="27"/>
      <c r="C11" s="2" t="s">
        <v>7</v>
      </c>
      <c r="D11" s="3" t="s">
        <v>5</v>
      </c>
      <c r="E11" s="28" t="s">
        <v>4</v>
      </c>
      <c r="F11" s="29"/>
      <c r="G11" s="3" t="s">
        <v>6</v>
      </c>
      <c r="H11" s="7" t="s">
        <v>2</v>
      </c>
    </row>
    <row r="12" spans="1:8" x14ac:dyDescent="0.25">
      <c r="A12" s="27"/>
      <c r="B12" s="27"/>
      <c r="C12" s="30"/>
      <c r="D12" s="8" t="s">
        <v>49</v>
      </c>
      <c r="E12" s="1"/>
      <c r="F12" s="17" t="s">
        <v>19</v>
      </c>
      <c r="G12" s="14" t="s">
        <v>0</v>
      </c>
      <c r="H12" s="31" t="s">
        <v>3</v>
      </c>
    </row>
    <row r="13" spans="1:8" x14ac:dyDescent="0.25">
      <c r="A13" s="27"/>
      <c r="B13" s="27"/>
      <c r="C13" s="30"/>
      <c r="D13" s="8" t="s">
        <v>50</v>
      </c>
      <c r="E13" s="1"/>
      <c r="F13" s="26" t="s">
        <v>46</v>
      </c>
      <c r="G13" s="14" t="s">
        <v>0</v>
      </c>
      <c r="H13" s="32"/>
    </row>
    <row r="14" spans="1:8" x14ac:dyDescent="0.25">
      <c r="A14" s="27"/>
      <c r="B14" s="27"/>
      <c r="C14" s="30"/>
      <c r="D14" s="8" t="s">
        <v>51</v>
      </c>
      <c r="E14" s="1"/>
      <c r="F14" s="26" t="s">
        <v>65</v>
      </c>
      <c r="G14" s="14" t="s">
        <v>0</v>
      </c>
      <c r="H14" s="32"/>
    </row>
    <row r="15" spans="1:8" x14ac:dyDescent="0.25">
      <c r="A15" s="27"/>
      <c r="B15" s="27"/>
      <c r="C15" s="30"/>
      <c r="D15" s="8"/>
      <c r="E15" s="1"/>
      <c r="F15" s="26"/>
      <c r="G15" s="14"/>
      <c r="H15" s="32"/>
    </row>
    <row r="16" spans="1:8" x14ac:dyDescent="0.25">
      <c r="A16" s="27"/>
      <c r="B16" s="27"/>
      <c r="C16" s="30"/>
      <c r="D16" s="8"/>
      <c r="E16" s="4"/>
      <c r="F16" s="10"/>
      <c r="G16" s="12"/>
      <c r="H16" s="32"/>
    </row>
    <row r="17" spans="1:8" ht="1.5" customHeight="1" x14ac:dyDescent="0.25">
      <c r="A17" s="27"/>
      <c r="B17" s="27"/>
      <c r="C17" s="16"/>
      <c r="D17" s="16"/>
      <c r="E17" s="16"/>
      <c r="F17" s="16"/>
      <c r="G17" s="16"/>
      <c r="H17" s="16"/>
    </row>
  </sheetData>
  <mergeCells count="12">
    <mergeCell ref="A1:B1"/>
    <mergeCell ref="C1:H1"/>
    <mergeCell ref="A3:A9"/>
    <mergeCell ref="B3:B9"/>
    <mergeCell ref="E3:F3"/>
    <mergeCell ref="C4:C8"/>
    <mergeCell ref="H4:H8"/>
    <mergeCell ref="A10:A17"/>
    <mergeCell ref="B10:B17"/>
    <mergeCell ref="E11:F11"/>
    <mergeCell ref="C12:C16"/>
    <mergeCell ref="H12:H16"/>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Btn_Proses1">
          <controlPr defaultSize="0" autoLine="0" r:id="rId5">
            <anchor moveWithCells="1">
              <from>
                <xdr:col>7</xdr:col>
                <xdr:colOff>238125</xdr:colOff>
                <xdr:row>12</xdr:row>
                <xdr:rowOff>161925</xdr:rowOff>
              </from>
              <to>
                <xdr:col>7</xdr:col>
                <xdr:colOff>1028700</xdr:colOff>
                <xdr:row>14</xdr:row>
                <xdr:rowOff>104775</xdr:rowOff>
              </to>
            </anchor>
          </controlPr>
        </control>
      </mc:Choice>
      <mc:Fallback>
        <control shapeId="8193" r:id="rId4" name="Btn_Proses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52680-8ECC-4701-BF4E-85E865E849CC}">
  <sheetPr codeName="Sheet39"/>
  <dimension ref="A1:C2"/>
  <sheetViews>
    <sheetView workbookViewId="0"/>
  </sheetViews>
  <sheetFormatPr defaultRowHeight="15" x14ac:dyDescent="0.25"/>
  <cols>
    <col min="1" max="1" width="3.42578125" bestFit="1" customWidth="1"/>
    <col min="2" max="2" width="19.42578125" bestFit="1" customWidth="1"/>
    <col min="3" max="3" width="8.85546875" bestFit="1" customWidth="1"/>
  </cols>
  <sheetData>
    <row r="1" spans="1:3" s="41" customFormat="1" x14ac:dyDescent="0.25">
      <c r="A1" s="41" t="s">
        <v>10</v>
      </c>
      <c r="B1" s="41" t="s">
        <v>12</v>
      </c>
      <c r="C1" s="41" t="s">
        <v>11</v>
      </c>
    </row>
    <row r="2" spans="1:3" x14ac:dyDescent="0.25">
      <c r="A2" t="s">
        <v>10</v>
      </c>
      <c r="B2" t="s">
        <v>13</v>
      </c>
      <c r="C2" t="s">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4B459-4B51-45A4-9F24-D4EB9260708E}">
  <sheetPr codeName="Sheet40"/>
  <dimension ref="A1:J28"/>
  <sheetViews>
    <sheetView tabSelected="1" workbookViewId="0">
      <selection activeCell="A2" sqref="A2"/>
    </sheetView>
  </sheetViews>
  <sheetFormatPr defaultRowHeight="15" x14ac:dyDescent="0.25"/>
  <cols>
    <col min="1" max="1" width="5" bestFit="1" customWidth="1"/>
    <col min="2" max="2" width="6" bestFit="1" customWidth="1"/>
    <col min="3" max="3" width="31.85546875" bestFit="1" customWidth="1"/>
    <col min="4" max="4" width="24.28515625" bestFit="1" customWidth="1"/>
    <col min="5" max="5" width="15.7109375" bestFit="1" customWidth="1"/>
    <col min="6" max="6" width="12.7109375" bestFit="1" customWidth="1"/>
    <col min="7" max="8" width="12.85546875" bestFit="1" customWidth="1"/>
    <col min="9" max="9" width="30.85546875" bestFit="1" customWidth="1"/>
    <col min="10" max="10" width="115.140625" bestFit="1" customWidth="1"/>
  </cols>
  <sheetData>
    <row r="1" spans="1:10" s="41" customFormat="1" x14ac:dyDescent="0.25">
      <c r="A1" s="42" t="s">
        <v>15</v>
      </c>
      <c r="B1" s="42" t="s">
        <v>8</v>
      </c>
      <c r="C1" s="42" t="s">
        <v>21</v>
      </c>
      <c r="D1" s="42" t="s">
        <v>22</v>
      </c>
      <c r="E1" s="42" t="s">
        <v>23</v>
      </c>
      <c r="F1" s="42" t="s">
        <v>17</v>
      </c>
      <c r="G1" s="43" t="s">
        <v>33</v>
      </c>
      <c r="H1" s="43" t="s">
        <v>33</v>
      </c>
      <c r="I1" s="43" t="s">
        <v>35</v>
      </c>
      <c r="J1" s="43" t="s">
        <v>36</v>
      </c>
    </row>
    <row r="2" spans="1:10" x14ac:dyDescent="0.25">
      <c r="A2">
        <v>1201</v>
      </c>
      <c r="B2" t="s">
        <v>18</v>
      </c>
      <c r="C2" s="20">
        <v>45626</v>
      </c>
      <c r="D2" t="s">
        <v>25</v>
      </c>
      <c r="E2" t="s">
        <v>66</v>
      </c>
      <c r="G2" t="s">
        <v>111</v>
      </c>
      <c r="H2" t="s">
        <v>112</v>
      </c>
      <c r="I2" t="s">
        <v>37</v>
      </c>
      <c r="J2" t="s">
        <v>113</v>
      </c>
    </row>
    <row r="3" spans="1:10" x14ac:dyDescent="0.25">
      <c r="A3">
        <v>1201</v>
      </c>
      <c r="B3" t="s">
        <v>26</v>
      </c>
      <c r="C3" s="20">
        <v>45626</v>
      </c>
      <c r="D3" t="s">
        <v>25</v>
      </c>
      <c r="E3" t="s">
        <v>67</v>
      </c>
      <c r="G3" t="s">
        <v>111</v>
      </c>
      <c r="H3" t="s">
        <v>112</v>
      </c>
      <c r="I3" t="s">
        <v>38</v>
      </c>
      <c r="J3" t="s">
        <v>114</v>
      </c>
    </row>
    <row r="4" spans="1:10" x14ac:dyDescent="0.25">
      <c r="A4">
        <v>1201</v>
      </c>
      <c r="B4" t="s">
        <v>27</v>
      </c>
      <c r="C4" s="20">
        <v>45626</v>
      </c>
      <c r="D4" t="s">
        <v>25</v>
      </c>
      <c r="E4" t="s">
        <v>68</v>
      </c>
      <c r="G4" t="s">
        <v>111</v>
      </c>
      <c r="H4" t="s">
        <v>112</v>
      </c>
      <c r="I4" t="s">
        <v>39</v>
      </c>
      <c r="J4" t="s">
        <v>115</v>
      </c>
    </row>
    <row r="5" spans="1:10" x14ac:dyDescent="0.25">
      <c r="A5">
        <v>1201</v>
      </c>
      <c r="B5" t="s">
        <v>28</v>
      </c>
      <c r="C5" s="20">
        <v>45626</v>
      </c>
      <c r="D5" t="s">
        <v>25</v>
      </c>
      <c r="E5" t="s">
        <v>69</v>
      </c>
      <c r="G5" t="s">
        <v>111</v>
      </c>
      <c r="H5" t="s">
        <v>112</v>
      </c>
      <c r="I5" t="s">
        <v>40</v>
      </c>
      <c r="J5" t="s">
        <v>116</v>
      </c>
    </row>
    <row r="6" spans="1:10" x14ac:dyDescent="0.25">
      <c r="A6">
        <v>1201</v>
      </c>
      <c r="B6" t="s">
        <v>16</v>
      </c>
      <c r="C6" s="20">
        <v>45626</v>
      </c>
      <c r="D6" t="s">
        <v>25</v>
      </c>
      <c r="E6" t="s">
        <v>70</v>
      </c>
      <c r="G6" t="s">
        <v>111</v>
      </c>
      <c r="H6" t="s">
        <v>112</v>
      </c>
      <c r="I6" t="s">
        <v>41</v>
      </c>
      <c r="J6" t="s">
        <v>117</v>
      </c>
    </row>
    <row r="7" spans="1:10" x14ac:dyDescent="0.25">
      <c r="A7">
        <v>1201</v>
      </c>
      <c r="B7" t="s">
        <v>29</v>
      </c>
      <c r="C7" s="20">
        <v>45626</v>
      </c>
      <c r="D7" t="s">
        <v>25</v>
      </c>
      <c r="E7" t="s">
        <v>71</v>
      </c>
      <c r="G7" t="s">
        <v>111</v>
      </c>
      <c r="H7" t="s">
        <v>112</v>
      </c>
      <c r="I7" t="s">
        <v>42</v>
      </c>
      <c r="J7" t="s">
        <v>118</v>
      </c>
    </row>
    <row r="8" spans="1:10" x14ac:dyDescent="0.25">
      <c r="A8">
        <v>1201</v>
      </c>
      <c r="B8" t="s">
        <v>30</v>
      </c>
      <c r="C8" s="20">
        <v>45626</v>
      </c>
      <c r="D8" t="s">
        <v>25</v>
      </c>
      <c r="E8" t="s">
        <v>72</v>
      </c>
      <c r="G8" t="s">
        <v>111</v>
      </c>
      <c r="H8" t="s">
        <v>112</v>
      </c>
      <c r="I8" t="s">
        <v>43</v>
      </c>
      <c r="J8" t="s">
        <v>119</v>
      </c>
    </row>
    <row r="9" spans="1:10" x14ac:dyDescent="0.25">
      <c r="A9">
        <v>1201</v>
      </c>
      <c r="B9" t="s">
        <v>31</v>
      </c>
      <c r="C9" s="20">
        <v>45626</v>
      </c>
      <c r="D9" t="s">
        <v>25</v>
      </c>
      <c r="E9" t="s">
        <v>73</v>
      </c>
      <c r="G9" t="s">
        <v>111</v>
      </c>
      <c r="H9" t="s">
        <v>112</v>
      </c>
      <c r="I9" t="s">
        <v>44</v>
      </c>
      <c r="J9" t="s">
        <v>120</v>
      </c>
    </row>
    <row r="10" spans="1:10" x14ac:dyDescent="0.25">
      <c r="A10">
        <v>1204</v>
      </c>
      <c r="B10" t="s">
        <v>18</v>
      </c>
      <c r="C10" s="20">
        <v>45626</v>
      </c>
      <c r="D10" t="s">
        <v>25</v>
      </c>
      <c r="E10" t="s">
        <v>74</v>
      </c>
      <c r="G10" t="s">
        <v>111</v>
      </c>
      <c r="H10" t="s">
        <v>121</v>
      </c>
      <c r="I10" t="s">
        <v>75</v>
      </c>
      <c r="J10" t="s">
        <v>122</v>
      </c>
    </row>
    <row r="11" spans="1:10" x14ac:dyDescent="0.25">
      <c r="A11">
        <v>1204</v>
      </c>
      <c r="B11" t="s">
        <v>26</v>
      </c>
      <c r="C11" s="20">
        <v>45626</v>
      </c>
      <c r="D11" t="s">
        <v>25</v>
      </c>
      <c r="E11" t="s">
        <v>76</v>
      </c>
      <c r="G11" t="s">
        <v>111</v>
      </c>
      <c r="H11" t="s">
        <v>121</v>
      </c>
      <c r="I11" t="s">
        <v>77</v>
      </c>
      <c r="J11" t="s">
        <v>123</v>
      </c>
    </row>
    <row r="12" spans="1:10" x14ac:dyDescent="0.25">
      <c r="A12">
        <v>1204</v>
      </c>
      <c r="B12" t="s">
        <v>27</v>
      </c>
      <c r="C12" s="20">
        <v>45626</v>
      </c>
      <c r="D12" t="s">
        <v>25</v>
      </c>
      <c r="E12" t="s">
        <v>78</v>
      </c>
      <c r="G12" t="s">
        <v>111</v>
      </c>
      <c r="H12" t="s">
        <v>121</v>
      </c>
      <c r="I12" t="s">
        <v>79</v>
      </c>
      <c r="J12" t="s">
        <v>124</v>
      </c>
    </row>
    <row r="13" spans="1:10" x14ac:dyDescent="0.25">
      <c r="A13">
        <v>1204</v>
      </c>
      <c r="B13" t="s">
        <v>28</v>
      </c>
      <c r="C13" s="20">
        <v>45626</v>
      </c>
      <c r="D13" t="s">
        <v>25</v>
      </c>
      <c r="E13" t="s">
        <v>80</v>
      </c>
      <c r="G13" t="s">
        <v>111</v>
      </c>
      <c r="H13" t="s">
        <v>121</v>
      </c>
      <c r="I13" t="s">
        <v>81</v>
      </c>
      <c r="J13" t="s">
        <v>125</v>
      </c>
    </row>
    <row r="14" spans="1:10" x14ac:dyDescent="0.25">
      <c r="A14">
        <v>1204</v>
      </c>
      <c r="B14" t="s">
        <v>16</v>
      </c>
      <c r="C14" s="20">
        <v>45626</v>
      </c>
      <c r="D14" t="s">
        <v>25</v>
      </c>
      <c r="E14" t="s">
        <v>82</v>
      </c>
      <c r="G14" t="s">
        <v>111</v>
      </c>
      <c r="H14" t="s">
        <v>121</v>
      </c>
      <c r="I14" t="s">
        <v>83</v>
      </c>
      <c r="J14" t="s">
        <v>126</v>
      </c>
    </row>
    <row r="15" spans="1:10" x14ac:dyDescent="0.25">
      <c r="A15">
        <v>1204</v>
      </c>
      <c r="B15" t="s">
        <v>29</v>
      </c>
      <c r="C15" s="20">
        <v>45626</v>
      </c>
      <c r="D15" t="s">
        <v>25</v>
      </c>
      <c r="E15" t="s">
        <v>84</v>
      </c>
      <c r="G15" t="s">
        <v>111</v>
      </c>
      <c r="H15" t="s">
        <v>121</v>
      </c>
      <c r="I15" t="s">
        <v>85</v>
      </c>
      <c r="J15" t="s">
        <v>127</v>
      </c>
    </row>
    <row r="16" spans="1:10" x14ac:dyDescent="0.25">
      <c r="A16">
        <v>1204</v>
      </c>
      <c r="B16" t="s">
        <v>30</v>
      </c>
      <c r="C16" s="20">
        <v>45626</v>
      </c>
      <c r="D16" t="s">
        <v>25</v>
      </c>
      <c r="E16" t="s">
        <v>86</v>
      </c>
      <c r="G16" t="s">
        <v>111</v>
      </c>
      <c r="H16" t="s">
        <v>121</v>
      </c>
      <c r="I16" t="s">
        <v>47</v>
      </c>
      <c r="J16" t="s">
        <v>128</v>
      </c>
    </row>
    <row r="17" spans="1:10" x14ac:dyDescent="0.25">
      <c r="A17">
        <v>1204</v>
      </c>
      <c r="B17" t="s">
        <v>31</v>
      </c>
      <c r="C17" s="20">
        <v>45626</v>
      </c>
      <c r="D17" t="s">
        <v>25</v>
      </c>
      <c r="E17" t="s">
        <v>87</v>
      </c>
      <c r="G17" t="s">
        <v>111</v>
      </c>
      <c r="H17" t="s">
        <v>121</v>
      </c>
      <c r="I17" t="s">
        <v>48</v>
      </c>
      <c r="J17" t="s">
        <v>129</v>
      </c>
    </row>
    <row r="18" spans="1:10" x14ac:dyDescent="0.25">
      <c r="A18">
        <v>1205</v>
      </c>
      <c r="B18" t="s">
        <v>18</v>
      </c>
      <c r="C18" s="20">
        <v>45626</v>
      </c>
      <c r="D18" t="s">
        <v>25</v>
      </c>
      <c r="E18" t="s">
        <v>88</v>
      </c>
      <c r="G18" t="s">
        <v>111</v>
      </c>
      <c r="H18" t="s">
        <v>130</v>
      </c>
      <c r="I18" t="s">
        <v>89</v>
      </c>
      <c r="J18" t="s">
        <v>131</v>
      </c>
    </row>
    <row r="19" spans="1:10" x14ac:dyDescent="0.25">
      <c r="A19">
        <v>1205</v>
      </c>
      <c r="B19" t="s">
        <v>26</v>
      </c>
      <c r="C19" s="20">
        <v>45626</v>
      </c>
      <c r="D19" t="s">
        <v>25</v>
      </c>
      <c r="E19" t="s">
        <v>90</v>
      </c>
      <c r="G19" t="s">
        <v>111</v>
      </c>
      <c r="H19" t="s">
        <v>130</v>
      </c>
      <c r="I19" t="s">
        <v>91</v>
      </c>
      <c r="J19" t="s">
        <v>132</v>
      </c>
    </row>
    <row r="20" spans="1:10" x14ac:dyDescent="0.25">
      <c r="A20">
        <v>1205</v>
      </c>
      <c r="B20" t="s">
        <v>27</v>
      </c>
      <c r="C20" s="20">
        <v>45626</v>
      </c>
      <c r="D20" t="s">
        <v>25</v>
      </c>
      <c r="E20" t="s">
        <v>92</v>
      </c>
      <c r="G20" t="s">
        <v>111</v>
      </c>
      <c r="H20" t="s">
        <v>130</v>
      </c>
      <c r="I20" t="s">
        <v>93</v>
      </c>
      <c r="J20" t="s">
        <v>133</v>
      </c>
    </row>
    <row r="21" spans="1:10" x14ac:dyDescent="0.25">
      <c r="A21">
        <v>1205</v>
      </c>
      <c r="B21" t="s">
        <v>28</v>
      </c>
      <c r="C21" s="20">
        <v>45626</v>
      </c>
      <c r="D21" t="s">
        <v>25</v>
      </c>
      <c r="E21" t="s">
        <v>94</v>
      </c>
      <c r="G21" t="s">
        <v>111</v>
      </c>
      <c r="H21" t="s">
        <v>130</v>
      </c>
      <c r="I21" t="s">
        <v>95</v>
      </c>
      <c r="J21" t="s">
        <v>134</v>
      </c>
    </row>
    <row r="22" spans="1:10" x14ac:dyDescent="0.25">
      <c r="A22">
        <v>1205</v>
      </c>
      <c r="B22" t="s">
        <v>16</v>
      </c>
      <c r="C22" s="20">
        <v>45626</v>
      </c>
      <c r="D22" t="s">
        <v>25</v>
      </c>
      <c r="E22" t="s">
        <v>96</v>
      </c>
      <c r="G22" t="s">
        <v>111</v>
      </c>
      <c r="H22" t="s">
        <v>130</v>
      </c>
      <c r="I22" t="s">
        <v>97</v>
      </c>
      <c r="J22" t="s">
        <v>135</v>
      </c>
    </row>
    <row r="23" spans="1:10" x14ac:dyDescent="0.25">
      <c r="A23">
        <v>1205</v>
      </c>
      <c r="B23" t="s">
        <v>29</v>
      </c>
      <c r="C23" s="20">
        <v>45626</v>
      </c>
      <c r="D23" t="s">
        <v>25</v>
      </c>
      <c r="E23" t="s">
        <v>98</v>
      </c>
      <c r="G23" t="s">
        <v>111</v>
      </c>
      <c r="H23" t="s">
        <v>130</v>
      </c>
      <c r="I23" t="s">
        <v>99</v>
      </c>
      <c r="J23" t="s">
        <v>136</v>
      </c>
    </row>
    <row r="24" spans="1:10" x14ac:dyDescent="0.25">
      <c r="A24">
        <v>1205</v>
      </c>
      <c r="B24" t="s">
        <v>30</v>
      </c>
      <c r="C24" s="20">
        <v>45626</v>
      </c>
      <c r="D24" t="s">
        <v>25</v>
      </c>
      <c r="E24" t="s">
        <v>100</v>
      </c>
      <c r="G24" t="s">
        <v>111</v>
      </c>
      <c r="H24" t="s">
        <v>130</v>
      </c>
      <c r="I24" t="s">
        <v>101</v>
      </c>
      <c r="J24" t="s">
        <v>137</v>
      </c>
    </row>
    <row r="25" spans="1:10" x14ac:dyDescent="0.25">
      <c r="A25">
        <v>1205</v>
      </c>
      <c r="B25" t="s">
        <v>31</v>
      </c>
      <c r="C25" s="20">
        <v>45626</v>
      </c>
      <c r="D25" t="s">
        <v>25</v>
      </c>
      <c r="E25" t="s">
        <v>102</v>
      </c>
      <c r="G25" t="s">
        <v>111</v>
      </c>
      <c r="H25" t="s">
        <v>130</v>
      </c>
      <c r="I25" t="s">
        <v>103</v>
      </c>
      <c r="J25" t="s">
        <v>138</v>
      </c>
    </row>
    <row r="26" spans="1:10" x14ac:dyDescent="0.25">
      <c r="A26">
        <v>1206</v>
      </c>
      <c r="B26" t="s">
        <v>27</v>
      </c>
      <c r="C26" s="20">
        <v>45626</v>
      </c>
      <c r="D26" t="s">
        <v>25</v>
      </c>
      <c r="E26" t="s">
        <v>104</v>
      </c>
      <c r="G26" t="s">
        <v>111</v>
      </c>
      <c r="H26" t="s">
        <v>139</v>
      </c>
      <c r="I26" t="s">
        <v>105</v>
      </c>
      <c r="J26" t="s">
        <v>140</v>
      </c>
    </row>
    <row r="27" spans="1:10" x14ac:dyDescent="0.25">
      <c r="A27">
        <v>1206</v>
      </c>
      <c r="B27" t="s">
        <v>30</v>
      </c>
      <c r="C27" s="20">
        <v>45626</v>
      </c>
      <c r="D27" t="s">
        <v>25</v>
      </c>
      <c r="E27" t="s">
        <v>106</v>
      </c>
      <c r="G27" t="s">
        <v>111</v>
      </c>
      <c r="H27" t="s">
        <v>139</v>
      </c>
      <c r="I27" t="s">
        <v>107</v>
      </c>
      <c r="J27" t="s">
        <v>141</v>
      </c>
    </row>
    <row r="28" spans="1:10" x14ac:dyDescent="0.25">
      <c r="A28">
        <v>1206</v>
      </c>
      <c r="B28" t="s">
        <v>31</v>
      </c>
      <c r="C28" s="20">
        <v>45626</v>
      </c>
      <c r="D28" t="s">
        <v>25</v>
      </c>
      <c r="E28" t="s">
        <v>108</v>
      </c>
      <c r="G28" t="s">
        <v>111</v>
      </c>
      <c r="H28" t="s">
        <v>139</v>
      </c>
      <c r="I28" t="s">
        <v>109</v>
      </c>
      <c r="J28" t="s">
        <v>142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7F7B0-AAF8-406C-9ADB-06CDD09C0E91}">
  <sheetPr codeName="Sheet41"/>
  <dimension ref="A1:C28"/>
  <sheetViews>
    <sheetView workbookViewId="0"/>
  </sheetViews>
  <sheetFormatPr defaultRowHeight="15" x14ac:dyDescent="0.25"/>
  <cols>
    <col min="1" max="1" width="30.85546875" bestFit="1" customWidth="1"/>
    <col min="2" max="2" width="115.140625" bestFit="1" customWidth="1"/>
    <col min="3" max="3" width="14.140625" bestFit="1" customWidth="1"/>
  </cols>
  <sheetData>
    <row r="1" spans="1:3" x14ac:dyDescent="0.25">
      <c r="A1" s="43" t="s">
        <v>35</v>
      </c>
      <c r="B1" s="43" t="s">
        <v>36</v>
      </c>
      <c r="C1" s="44" t="s">
        <v>110</v>
      </c>
    </row>
    <row r="2" spans="1:3" x14ac:dyDescent="0.25">
      <c r="A2" t="s">
        <v>37</v>
      </c>
      <c r="B2" t="s">
        <v>113</v>
      </c>
      <c r="C2" t="b">
        <v>1</v>
      </c>
    </row>
    <row r="3" spans="1:3" x14ac:dyDescent="0.25">
      <c r="A3" t="s">
        <v>38</v>
      </c>
      <c r="B3" t="s">
        <v>114</v>
      </c>
      <c r="C3" t="b">
        <v>1</v>
      </c>
    </row>
    <row r="4" spans="1:3" x14ac:dyDescent="0.25">
      <c r="A4" t="s">
        <v>39</v>
      </c>
      <c r="B4" t="s">
        <v>115</v>
      </c>
      <c r="C4" t="b">
        <v>1</v>
      </c>
    </row>
    <row r="5" spans="1:3" x14ac:dyDescent="0.25">
      <c r="A5" t="s">
        <v>40</v>
      </c>
      <c r="B5" t="s">
        <v>116</v>
      </c>
      <c r="C5" t="b">
        <v>1</v>
      </c>
    </row>
    <row r="6" spans="1:3" x14ac:dyDescent="0.25">
      <c r="A6" t="s">
        <v>41</v>
      </c>
      <c r="B6" t="s">
        <v>117</v>
      </c>
      <c r="C6" t="b">
        <v>1</v>
      </c>
    </row>
    <row r="7" spans="1:3" x14ac:dyDescent="0.25">
      <c r="A7" t="s">
        <v>42</v>
      </c>
      <c r="B7" t="s">
        <v>118</v>
      </c>
      <c r="C7" t="b">
        <v>1</v>
      </c>
    </row>
    <row r="8" spans="1:3" x14ac:dyDescent="0.25">
      <c r="A8" t="s">
        <v>43</v>
      </c>
      <c r="B8" t="s">
        <v>119</v>
      </c>
      <c r="C8" t="b">
        <v>1</v>
      </c>
    </row>
    <row r="9" spans="1:3" x14ac:dyDescent="0.25">
      <c r="A9" t="s">
        <v>44</v>
      </c>
      <c r="B9" t="s">
        <v>120</v>
      </c>
      <c r="C9" t="b">
        <v>1</v>
      </c>
    </row>
    <row r="10" spans="1:3" x14ac:dyDescent="0.25">
      <c r="A10" t="s">
        <v>75</v>
      </c>
      <c r="B10" t="s">
        <v>122</v>
      </c>
      <c r="C10" t="b">
        <v>1</v>
      </c>
    </row>
    <row r="11" spans="1:3" x14ac:dyDescent="0.25">
      <c r="A11" t="s">
        <v>77</v>
      </c>
      <c r="B11" t="s">
        <v>123</v>
      </c>
      <c r="C11" t="b">
        <v>1</v>
      </c>
    </row>
    <row r="12" spans="1:3" x14ac:dyDescent="0.25">
      <c r="A12" t="s">
        <v>79</v>
      </c>
      <c r="B12" t="s">
        <v>124</v>
      </c>
      <c r="C12" t="b">
        <v>1</v>
      </c>
    </row>
    <row r="13" spans="1:3" x14ac:dyDescent="0.25">
      <c r="A13" t="s">
        <v>81</v>
      </c>
      <c r="B13" t="s">
        <v>125</v>
      </c>
      <c r="C13" t="b">
        <v>1</v>
      </c>
    </row>
    <row r="14" spans="1:3" x14ac:dyDescent="0.25">
      <c r="A14" t="s">
        <v>83</v>
      </c>
      <c r="B14" t="s">
        <v>126</v>
      </c>
      <c r="C14" t="b">
        <v>1</v>
      </c>
    </row>
    <row r="15" spans="1:3" x14ac:dyDescent="0.25">
      <c r="A15" t="s">
        <v>85</v>
      </c>
      <c r="B15" t="s">
        <v>127</v>
      </c>
      <c r="C15" t="b">
        <v>1</v>
      </c>
    </row>
    <row r="16" spans="1:3" x14ac:dyDescent="0.25">
      <c r="A16" t="s">
        <v>47</v>
      </c>
      <c r="B16" t="s">
        <v>128</v>
      </c>
      <c r="C16" t="b">
        <v>1</v>
      </c>
    </row>
    <row r="17" spans="1:3" x14ac:dyDescent="0.25">
      <c r="A17" t="s">
        <v>48</v>
      </c>
      <c r="B17" t="s">
        <v>129</v>
      </c>
      <c r="C17" t="b">
        <v>1</v>
      </c>
    </row>
    <row r="18" spans="1:3" x14ac:dyDescent="0.25">
      <c r="A18" t="s">
        <v>89</v>
      </c>
      <c r="B18" t="s">
        <v>131</v>
      </c>
      <c r="C18" t="b">
        <v>1</v>
      </c>
    </row>
    <row r="19" spans="1:3" x14ac:dyDescent="0.25">
      <c r="A19" t="s">
        <v>91</v>
      </c>
      <c r="B19" t="s">
        <v>132</v>
      </c>
      <c r="C19" t="b">
        <v>1</v>
      </c>
    </row>
    <row r="20" spans="1:3" x14ac:dyDescent="0.25">
      <c r="A20" t="s">
        <v>93</v>
      </c>
      <c r="B20" t="s">
        <v>133</v>
      </c>
      <c r="C20" t="b">
        <v>1</v>
      </c>
    </row>
    <row r="21" spans="1:3" x14ac:dyDescent="0.25">
      <c r="A21" t="s">
        <v>95</v>
      </c>
      <c r="B21" t="s">
        <v>134</v>
      </c>
      <c r="C21" t="b">
        <v>1</v>
      </c>
    </row>
    <row r="22" spans="1:3" x14ac:dyDescent="0.25">
      <c r="A22" t="s">
        <v>97</v>
      </c>
      <c r="B22" t="s">
        <v>135</v>
      </c>
      <c r="C22" t="b">
        <v>1</v>
      </c>
    </row>
    <row r="23" spans="1:3" x14ac:dyDescent="0.25">
      <c r="A23" t="s">
        <v>99</v>
      </c>
      <c r="B23" t="s">
        <v>136</v>
      </c>
      <c r="C23" t="b">
        <v>1</v>
      </c>
    </row>
    <row r="24" spans="1:3" x14ac:dyDescent="0.25">
      <c r="A24" t="s">
        <v>101</v>
      </c>
      <c r="B24" t="s">
        <v>137</v>
      </c>
      <c r="C24" t="b">
        <v>1</v>
      </c>
    </row>
    <row r="25" spans="1:3" x14ac:dyDescent="0.25">
      <c r="A25" t="s">
        <v>103</v>
      </c>
      <c r="B25" t="s">
        <v>138</v>
      </c>
      <c r="C25" t="b">
        <v>1</v>
      </c>
    </row>
    <row r="26" spans="1:3" x14ac:dyDescent="0.25">
      <c r="A26" t="s">
        <v>105</v>
      </c>
      <c r="B26" t="s">
        <v>140</v>
      </c>
      <c r="C26" t="b">
        <v>1</v>
      </c>
    </row>
    <row r="27" spans="1:3" x14ac:dyDescent="0.25">
      <c r="A27" t="s">
        <v>107</v>
      </c>
      <c r="B27" t="s">
        <v>141</v>
      </c>
      <c r="C27" t="b">
        <v>1</v>
      </c>
    </row>
    <row r="28" spans="1:3" x14ac:dyDescent="0.25">
      <c r="A28" t="s">
        <v>109</v>
      </c>
      <c r="B28" t="s">
        <v>142</v>
      </c>
      <c r="C28"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6170B-9E3A-40B3-888E-DDB98A91519D}">
  <sheetPr codeName="Sheet42"/>
  <dimension ref="A1:A2"/>
  <sheetViews>
    <sheetView workbookViewId="0"/>
  </sheetViews>
  <sheetFormatPr defaultRowHeight="15" x14ac:dyDescent="0.25"/>
  <cols>
    <col min="1" max="1" width="7.7109375" style="25" bestFit="1" customWidth="1"/>
  </cols>
  <sheetData>
    <row r="1" spans="1:1" x14ac:dyDescent="0.25">
      <c r="A1" s="45" t="s">
        <v>45</v>
      </c>
    </row>
    <row r="2" spans="1:1" x14ac:dyDescent="0.25">
      <c r="A2" s="25">
        <v>0</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2D47C-37C0-4E9B-B9C6-328AE5A4D3E2}">
  <sheetPr codeName="Sheet43"/>
  <dimension ref="A1:C2"/>
  <sheetViews>
    <sheetView workbookViewId="0">
      <selection activeCell="C19" sqref="C19"/>
    </sheetView>
  </sheetViews>
  <sheetFormatPr defaultRowHeight="15" x14ac:dyDescent="0.25"/>
  <cols>
    <col min="1" max="1" width="15.5703125" bestFit="1" customWidth="1"/>
    <col min="2" max="2" width="25.7109375" customWidth="1"/>
    <col min="3" max="3" width="127.42578125" bestFit="1" customWidth="1"/>
  </cols>
  <sheetData>
    <row r="1" spans="1:3" s="41" customFormat="1" x14ac:dyDescent="0.25">
      <c r="A1" s="46" t="s">
        <v>55</v>
      </c>
      <c r="B1" s="46" t="s">
        <v>56</v>
      </c>
      <c r="C1" s="46" t="s">
        <v>57</v>
      </c>
    </row>
    <row r="2" spans="1:3" x14ac:dyDescent="0.25">
      <c r="A2" s="40" t="s">
        <v>61</v>
      </c>
      <c r="B2" t="s">
        <v>63</v>
      </c>
      <c r="C2" t="s">
        <v>46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4BB43-7D6A-43FA-88F2-3B77879C5B4D}">
  <sheetPr codeName="Sheet44"/>
  <dimension ref="A1:B2"/>
  <sheetViews>
    <sheetView workbookViewId="0"/>
  </sheetViews>
  <sheetFormatPr defaultRowHeight="15" x14ac:dyDescent="0.25"/>
  <cols>
    <col min="1" max="1" width="19.85546875" bestFit="1" customWidth="1"/>
    <col min="2" max="2" width="219.85546875" bestFit="1" customWidth="1"/>
  </cols>
  <sheetData>
    <row r="1" spans="1:2" s="41" customFormat="1" x14ac:dyDescent="0.25">
      <c r="A1" s="46" t="s">
        <v>55</v>
      </c>
      <c r="B1" s="46" t="s">
        <v>56</v>
      </c>
    </row>
    <row r="2" spans="1:2" x14ac:dyDescent="0.25">
      <c r="A2" t="s">
        <v>62</v>
      </c>
      <c r="B2" t="s">
        <v>143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ss</vt:lpstr>
      <vt:lpstr>ref_WA</vt:lpstr>
      <vt:lpstr>HOME</vt:lpstr>
      <vt:lpstr>RPA1_BV</vt:lpstr>
      <vt:lpstr>RPA2</vt:lpstr>
      <vt:lpstr>ValidasiPathFile</vt:lpstr>
      <vt:lpstr>RPA_Check_Validasi</vt:lpstr>
      <vt:lpstr>RPA_WA1</vt:lpstr>
      <vt:lpstr>RPA_WA2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hadi</dc:creator>
  <cp:lastModifiedBy>user</cp:lastModifiedBy>
  <dcterms:created xsi:type="dcterms:W3CDTF">2024-02-29T02:44:46Z</dcterms:created>
  <dcterms:modified xsi:type="dcterms:W3CDTF">2025-01-06T09:04:15Z</dcterms:modified>
</cp:coreProperties>
</file>