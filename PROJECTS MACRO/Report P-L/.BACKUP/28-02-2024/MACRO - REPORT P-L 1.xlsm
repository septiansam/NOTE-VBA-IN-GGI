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IT\Report P-L\"/>
    </mc:Choice>
  </mc:AlternateContent>
  <xr:revisionPtr revIDLastSave="0" documentId="13_ncr:1_{E159916F-B667-4CD3-A873-19D9457FABDC}" xr6:coauthVersionLast="47" xr6:coauthVersionMax="47" xr10:uidLastSave="{00000000-0000-0000-0000-000000000000}"/>
  <bookViews>
    <workbookView xWindow="-120" yWindow="-120" windowWidth="20730" windowHeight="11160" activeTab="1" xr2:uid="{4F06FDC6-C426-4E75-820F-32A3B4633203}"/>
  </bookViews>
  <sheets>
    <sheet name="{HOME}" sheetId="1" r:id="rId1"/>
    <sheet name="RESULTS" sheetId="308" r:id="rId2"/>
  </sheets>
  <functionGroups builtInGroupCount="19"/>
  <definedNames>
    <definedName name="_xlnm.Print_Area" localSheetId="1">RESULTS!$B$1:$I$91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9" i="1" l="1"/>
</calcChain>
</file>

<file path=xl/sharedStrings.xml><?xml version="1.0" encoding="utf-8"?>
<sst xmlns="http://schemas.openxmlformats.org/spreadsheetml/2006/main" count="175" uniqueCount="95">
  <si>
    <t>NAMA FILE</t>
  </si>
  <si>
    <t>PATH FILE</t>
  </si>
  <si>
    <t>FORMAT FILE</t>
  </si>
  <si>
    <t>GI-IS - Cost Factory Report</t>
  </si>
  <si>
    <t>\\10.8.0.35\Bersama\IT\RPA IT\Report P-L</t>
  </si>
  <si>
    <t>.xlsx</t>
  </si>
  <si>
    <t>Keterangan Product</t>
  </si>
  <si>
    <t>.pdf</t>
  </si>
  <si>
    <t>\\10.8.0.35\Bersama\IT\RPA IT\Report P-L\FILE KETERANGAN PRODUCT.</t>
  </si>
  <si>
    <t>Factory</t>
  </si>
  <si>
    <t>Buyer</t>
  </si>
  <si>
    <t>CBA</t>
  </si>
  <si>
    <t>MARUBENI CORPORATION JEPANG</t>
  </si>
  <si>
    <t>MARUBENI CORPORATION JEPANG Total</t>
  </si>
  <si>
    <t>CHW</t>
  </si>
  <si>
    <t>EIGERINDO MULTI PRODUK INDUSTRI, PT.</t>
  </si>
  <si>
    <t>EIGERINDO MULTI PRODUK INDUSTRI, PT. Total</t>
  </si>
  <si>
    <t>MATSUOKA TRADING CO., LTD.</t>
  </si>
  <si>
    <t>MATSUOKA TRADING CO., LTD. Total</t>
  </si>
  <si>
    <t>PT BERJAYA SERVICE INDONESIA</t>
  </si>
  <si>
    <t>HIJAB</t>
  </si>
  <si>
    <t>PT BERJAYA SERVICE INDONESIA Total</t>
  </si>
  <si>
    <t>STYLEM HONGKONG</t>
  </si>
  <si>
    <t>SKIRT</t>
  </si>
  <si>
    <t>STYLEM HONGKONG Total</t>
  </si>
  <si>
    <t>STYLEM JAPAN</t>
  </si>
  <si>
    <t>STYLEM JAPAN Total</t>
  </si>
  <si>
    <t>STYLEM TAIWAN</t>
  </si>
  <si>
    <t>STYLEM TAIWAN Total</t>
  </si>
  <si>
    <t>CJL</t>
  </si>
  <si>
    <t>PT FINDORA INTERNUSA</t>
  </si>
  <si>
    <t>PT FINDORA INTERNUSA Total</t>
  </si>
  <si>
    <t>PT MERDEKA COOPER GOLD</t>
  </si>
  <si>
    <t>PANTS</t>
  </si>
  <si>
    <t>PT MERDEKA COOPER GOLD Total</t>
  </si>
  <si>
    <t>CNJ2</t>
  </si>
  <si>
    <t>H&amp;M</t>
  </si>
  <si>
    <t>BOXER</t>
  </si>
  <si>
    <t>H&amp;M Total</t>
  </si>
  <si>
    <t xml:space="preserve">TOP  </t>
  </si>
  <si>
    <t>SHINATOMO CO .,LTD</t>
  </si>
  <si>
    <t>SHINATOMO CO .,LTD Total</t>
  </si>
  <si>
    <t>CVA</t>
  </si>
  <si>
    <t>ASMARA KARYA ABADI, PT.</t>
  </si>
  <si>
    <t>ASMARA KARYA ABADI, PT. Total</t>
  </si>
  <si>
    <t>KANMO RETAIL GROUP</t>
  </si>
  <si>
    <t>KANMO RETAIL GROUP Total</t>
  </si>
  <si>
    <t>MARUBENI FASHION LINK LTD.</t>
  </si>
  <si>
    <t>PSHRT</t>
  </si>
  <si>
    <t>MARUBENI FASHION LINK LTD. Total</t>
  </si>
  <si>
    <t>CVA2</t>
  </si>
  <si>
    <t>KLB</t>
  </si>
  <si>
    <t>AGRON, INC.</t>
  </si>
  <si>
    <t>AGRON, INC. Total</t>
  </si>
  <si>
    <t>MJ1</t>
  </si>
  <si>
    <t>HEXAPOLE COMPANY LIMITED</t>
  </si>
  <si>
    <t>HEXAPOLE COMPANY LIMITED Total</t>
  </si>
  <si>
    <t>MJ2</t>
  </si>
  <si>
    <t>Grand Total</t>
  </si>
  <si>
    <t>Product</t>
  </si>
  <si>
    <t>BRIEF</t>
  </si>
  <si>
    <t>CREW NECK</t>
  </si>
  <si>
    <t>TANK TOP</t>
  </si>
  <si>
    <t>LEGGING</t>
  </si>
  <si>
    <t>HOODY</t>
  </si>
  <si>
    <t>LONG PANTS</t>
  </si>
  <si>
    <t>LONG SHORT PANTS</t>
  </si>
  <si>
    <t>SHORT PANTS</t>
  </si>
  <si>
    <t>JOGGER</t>
  </si>
  <si>
    <t>T-SHIRT SHORT SLEEVE</t>
  </si>
  <si>
    <t>T-SHIRT</t>
  </si>
  <si>
    <t>CARGO PANTS</t>
  </si>
  <si>
    <t>FOODWEAR</t>
  </si>
  <si>
    <t>JACKET</t>
  </si>
  <si>
    <t>UNIFORM</t>
  </si>
  <si>
    <t>BOX TOLKNING</t>
  </si>
  <si>
    <t>Quantity</t>
  </si>
  <si>
    <t>Sales</t>
  </si>
  <si>
    <t>Profit/Loss (USD)</t>
  </si>
  <si>
    <t>Resume Profit Loss Februari'24</t>
  </si>
  <si>
    <t>▼Tombol ΞΞΞΞΞΞΞΞΞΞΞΞΞΞΞΞΞΞΞΞΞΞΞΞΞΞΞΞΞΞΞΞΞΞΞΞΞΞΞΞΞΞΞΞΞΞΞΞΞΞΞΞΞΞΞΞΞΞΞΞΞΞΞΞΞΞΞΞΞΞΞΞΞΞΞΞΞΞΞΞΞΞΞΞΞΞΞΞΞΞΞΞΞΞΞΞΞ</t>
  </si>
  <si>
    <t>CBA Total</t>
  </si>
  <si>
    <t>CHW Total</t>
  </si>
  <si>
    <t>CJL Total</t>
  </si>
  <si>
    <t>CNJ2 Total</t>
  </si>
  <si>
    <t>CVA Total</t>
  </si>
  <si>
    <t>CVA2 Total</t>
  </si>
  <si>
    <t>KLB Total</t>
  </si>
  <si>
    <t>MJ1 Total</t>
  </si>
  <si>
    <t>MJ2 Total</t>
  </si>
  <si>
    <t>Profit/Loss (%)</t>
  </si>
  <si>
    <t>-</t>
  </si>
  <si>
    <t>Profit/Loss (PCS)</t>
  </si>
  <si>
    <t>PT. BUANA DAYA GEMILANG Total</t>
  </si>
  <si>
    <t>PT. BUANA DAYA GEMILANG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</si>
</sst>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##0_);[Red]\(#,##0\);_(* &quot;-&quot;??_)"/>
    <numFmt numFmtId="165" formatCode="0.00%;[Red]\-0.00%"/>
    <numFmt numFmtId="166" formatCode="#,##0.00_);[Red]\(#,##0.00\);_(* &quot;-&quot;??_)"/>
  </numFmts>
  <fonts count="10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Verdana"/>
      <family val="2"/>
    </font>
    <font>
      <b/>
      <sz val="12"/>
      <color rgb="FFFFFFFF"/>
      <name val="Century Gothic"/>
      <family val="2"/>
    </font>
    <font>
      <sz val="11"/>
      <color theme="3" tint="-0.249977111117893"/>
      <name val="Calibri"/>
      <family val="2"/>
      <scheme val="minor"/>
    </font>
    <font>
      <b/>
      <i/>
      <sz val="11"/>
      <color theme="4" tint="-0.499984740745262"/>
      <name val="Calibri"/>
      <family val="2"/>
      <scheme val="minor"/>
    </font>
    <font>
      <sz val="36"/>
      <color rgb="FFFFFFFF"/>
      <name val="Century Gothic"/>
      <family val="2"/>
    </font>
    <font>
      <b/>
      <sz val="11"/>
      <color theme="1"/>
      <name val="Verdana"/>
      <family val="2"/>
    </font>
    <font>
      <i/>
      <sz val="11"/>
      <color rgb="FF0270C0"/>
      <name val="Verdana"/>
      <family val="2"/>
    </font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346265"/>
        <bgColor indexed="64"/>
      </patternFill>
    </fill>
    <fill>
      <patternFill patternType="solid">
        <fgColor rgb="FFE4F0F1"/>
        <bgColor rgb="FFF7EFFF"/>
      </patternFill>
    </fill>
    <fill>
      <patternFill patternType="solid">
        <fgColor rgb="FF4F9297"/>
        <bgColor indexed="64"/>
      </patternFill>
    </fill>
    <fill>
      <patternFill patternType="solid">
        <fgColor rgb="FFE4F0F1"/>
        <bgColor indexed="64"/>
      </patternFill>
    </fill>
    <fill>
      <patternFill patternType="solid">
        <fgColor theme="8" tint="-0.49998474074526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9" fontId="9" fillId="0" borderId="0" applyFont="0" applyFill="0" applyBorder="0" applyAlignment="0" applyProtection="0"/>
  </cellStyleXfs>
  <cellXfs count="29">
    <xf numFmtId="0" fontId="0" fillId="0" borderId="0" xfId="0"/>
    <xf numFmtId="0" fontId="3" fillId="2" borderId="1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vertical="center"/>
    </xf>
    <xf numFmtId="0" fontId="1" fillId="0" borderId="0" xfId="1" applyAlignment="1">
      <alignment vertical="center"/>
    </xf>
    <xf numFmtId="0" fontId="4" fillId="6" borderId="0" xfId="0" applyFont="1" applyFill="1" applyAlignment="1">
      <alignment vertical="center"/>
    </xf>
    <xf numFmtId="0" fontId="7" fillId="3" borderId="1" xfId="0" applyFont="1" applyFill="1" applyBorder="1" applyAlignment="1">
      <alignment horizontal="center" vertical="center"/>
    </xf>
    <xf numFmtId="164" fontId="7" fillId="3" borderId="1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165" fontId="2" fillId="0" borderId="0" xfId="0" applyNumberFormat="1" applyFont="1" applyAlignment="1">
      <alignment horizontal="center" vertical="center"/>
    </xf>
    <xf numFmtId="166" fontId="2" fillId="0" borderId="0" xfId="0" applyNumberFormat="1" applyFont="1" applyAlignment="1">
      <alignment horizontal="center" vertical="center"/>
    </xf>
    <xf numFmtId="165" fontId="3" fillId="2" borderId="1" xfId="0" applyNumberFormat="1" applyFont="1" applyFill="1" applyBorder="1" applyAlignment="1">
      <alignment horizontal="center" vertical="center"/>
    </xf>
    <xf numFmtId="166" fontId="3" fillId="2" borderId="1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164" fontId="2" fillId="0" borderId="1" xfId="0" applyNumberFormat="1" applyFont="1" applyBorder="1" applyAlignment="1">
      <alignment horizontal="center" vertical="center"/>
    </xf>
    <xf numFmtId="165" fontId="2" fillId="0" borderId="1" xfId="0" applyNumberFormat="1" applyFont="1" applyBorder="1" applyAlignment="1">
      <alignment horizontal="center" vertical="center"/>
    </xf>
    <xf numFmtId="166" fontId="2" fillId="0" borderId="1" xfId="0" applyNumberFormat="1" applyFont="1" applyBorder="1" applyAlignment="1">
      <alignment horizontal="center" vertical="center"/>
    </xf>
    <xf numFmtId="165" fontId="7" fillId="3" borderId="1" xfId="0" applyNumberFormat="1" applyFont="1" applyFill="1" applyBorder="1" applyAlignment="1">
      <alignment horizontal="center" vertical="center"/>
    </xf>
    <xf numFmtId="166" fontId="7" fillId="3" borderId="1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5" fontId="2" fillId="3" borderId="1" xfId="0" applyNumberFormat="1" applyFont="1" applyFill="1" applyBorder="1" applyAlignment="1">
      <alignment horizontal="center" vertical="center"/>
    </xf>
    <xf numFmtId="166" fontId="2" fillId="3" borderId="1" xfId="0" applyNumberFormat="1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8" fillId="3" borderId="1" xfId="0" applyFont="1" applyFill="1" applyBorder="1" applyAlignment="1">
      <alignment horizontal="left" vertical="center"/>
    </xf>
    <xf numFmtId="10" fontId="2" fillId="0" borderId="0" xfId="2" applyNumberFormat="1" applyFont="1" applyAlignment="1">
      <alignment horizontal="center" vertical="center"/>
    </xf>
  </cellXfs>
  <cellStyles count="3">
    <cellStyle name="Hyperlink" xfId="1" builtinId="8"/>
    <cellStyle name="Normal" xfId="0" builtinId="0"/>
    <cellStyle name="Percent" xfId="2" builtinId="5"/>
  </cellStyles>
  <dxfs count="0"/>
  <tableStyles count="0" defaultTableStyle="TableStyleMedium2" defaultPivotStyle="PivotStyleLight16"/>
  <colors>
    <mruColors>
      <color rgb="FF346265"/>
      <color rgb="FF4F929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19051</xdr:colOff>
      <xdr:row>1</xdr:row>
      <xdr:rowOff>104775</xdr:rowOff>
    </xdr:from>
    <xdr:to>
      <xdr:col>2</xdr:col>
      <xdr:colOff>1133475</xdr:colOff>
      <xdr:row>3</xdr:row>
      <xdr:rowOff>38100</xdr:rowOff>
    </xdr:to>
    <xdr:sp macro="[0]!MAI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0F6EEBB-31F2-EAA2-E39D-8D21B7E45D2C}"/>
            </a:ext>
          </a:extLst>
        </xdr:cNvPr>
        <xdr:cNvSpPr/>
      </xdr:nvSpPr>
      <xdr:spPr>
        <a:xfrm>
          <a:off x="781051" y="523875"/>
          <a:ext cx="1114424" cy="428625"/>
        </a:xfrm>
        <a:prstGeom prst="roundRect">
          <a:avLst/>
        </a:prstGeom>
        <a:solidFill>
          <a:schemeClr val="accent5">
            <a:lumMod val="75000"/>
          </a:schemeClr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/>
              </a:solidFill>
              <a:latin typeface="JetBrains Mono" panose="02000009000000000000" pitchFamily="49" charset="0"/>
              <a:ea typeface="JetBrains Mono" panose="02000009000000000000" pitchFamily="49" charset="0"/>
              <a:cs typeface="JetBrains Mono" panose="02000009000000000000" pitchFamily="49" charset="0"/>
            </a:rPr>
            <a:t>EXECUTE</a:t>
          </a:r>
          <a:endParaRPr lang="en-US" sz="1100" b="1">
            <a:solidFill>
              <a:schemeClr val="tx1"/>
            </a:solidFill>
            <a:latin typeface="JetBrains Mono" panose="02000009000000000000" pitchFamily="49" charset="0"/>
            <a:ea typeface="JetBrains Mono" panose="02000009000000000000" pitchFamily="49" charset="0"/>
            <a:cs typeface="JetBrains Mono" panose="02000009000000000000" pitchFamily="49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../../Report%20P-L" TargetMode="External"/><Relationship Id="rId1" Type="http://schemas.openxmlformats.org/officeDocument/2006/relationships/hyperlink" Target="../FILE%20KETERANGAN%20PRODUCT.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A14BCB-C2A5-4825-9939-4065D21A73E0}">
  <sheetPr codeName="HOME">
    <tabColor rgb="FFFFC000"/>
  </sheetPr>
  <dimension ref="C1:E10"/>
  <sheetViews>
    <sheetView showGridLines="0" workbookViewId="0"/>
  </sheetViews>
  <sheetFormatPr defaultRowHeight="15" x14ac:dyDescent="0.25"/>
  <cols>
    <col min="1" max="2" width="5.7109375" style="2" customWidth="1"/>
    <col min="3" max="3" width="29.28515625" style="2" bestFit="1" customWidth="1"/>
    <col min="4" max="4" width="65.7109375" style="2" bestFit="1" customWidth="1"/>
    <col min="5" max="5" width="12.42578125" style="2" bestFit="1" customWidth="1"/>
    <col min="6" max="16384" width="9.140625" style="2"/>
  </cols>
  <sheetData>
    <row r="1" spans="3:5" ht="33" customHeight="1" x14ac:dyDescent="0.25">
      <c r="C1" s="23" t="s">
        <v>80</v>
      </c>
      <c r="D1" s="23"/>
      <c r="E1" s="23"/>
    </row>
    <row r="2" spans="3:5" ht="20.100000000000001" customHeight="1" x14ac:dyDescent="0.25"/>
    <row r="3" spans="3:5" ht="20.100000000000001" customHeight="1" x14ac:dyDescent="0.25"/>
    <row r="4" spans="3:5" ht="20.100000000000001" customHeight="1" x14ac:dyDescent="0.25"/>
    <row r="5" spans="3:5" ht="5.0999999999999996" customHeight="1" x14ac:dyDescent="0.25">
      <c r="C5" s="5"/>
      <c r="D5" s="5"/>
      <c r="E5" s="5"/>
    </row>
    <row r="6" spans="3:5" ht="17.100000000000001" customHeight="1" x14ac:dyDescent="0.25">
      <c r="C6" s="2" t="s">
        <v>0</v>
      </c>
      <c r="D6" s="2" t="s">
        <v>1</v>
      </c>
      <c r="E6" s="2" t="s">
        <v>2</v>
      </c>
    </row>
    <row r="7" spans="3:5" ht="17.100000000000001" customHeight="1" x14ac:dyDescent="0.25">
      <c r="C7" s="2" t="s">
        <v>3</v>
      </c>
      <c r="D7" s="4" t="s">
        <v>4</v>
      </c>
      <c r="E7" s="2" t="s">
        <v>5</v>
      </c>
    </row>
    <row r="8" spans="3:5" ht="17.100000000000001" customHeight="1" x14ac:dyDescent="0.25">
      <c r="C8" s="2" t="s">
        <v>6</v>
      </c>
      <c r="D8" s="4" t="s">
        <v>8</v>
      </c>
      <c r="E8" s="2" t="s">
        <v>5</v>
      </c>
    </row>
    <row r="9" spans="3:5" ht="17.100000000000001" customHeight="1" x14ac:dyDescent="0.25">
      <c r="C9" s="2" t="str">
        <f ca="1">"Resume Profit and Loss - "&amp;TEXT(NOW(),"[$-id-ID]mmm" &amp; "'" &amp; "yy")</f>
        <v>Resume Profit and Loss - Feb'24</v>
      </c>
      <c r="D9" s="4" t="s">
        <v>4</v>
      </c>
      <c r="E9" s="2" t="s">
        <v>7</v>
      </c>
    </row>
    <row r="10" spans="3:5" ht="5.0999999999999996" customHeight="1" x14ac:dyDescent="0.25">
      <c r="C10" s="3"/>
      <c r="D10" s="3"/>
      <c r="E10" s="3"/>
    </row>
  </sheetData>
  <mergeCells count="1">
    <mergeCell ref="C1:E1"/>
  </mergeCells>
  <hyperlinks>
    <hyperlink ref="D8" r:id="rId1" xr:uid="{20781B6F-99E5-444C-B75E-1D67C7C37C0C}"/>
    <hyperlink ref="D9" r:id="rId2" xr:uid="{4D7ED2FE-E4C2-4560-AA8E-5F9CABF305EB}"/>
  </hyperlinks>
  <pageMargins left="0.7" right="0.7" top="0.75" bottom="0.75" header="0.3" footer="0.3"/>
  <pageSetup orientation="portrait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7CC4EA-C018-48DB-9006-1B1DDD32F7F4}">
  <sheetPr>
    <tabColor rgb="FF4F9297"/>
    <pageSetUpPr fitToPage="1"/>
  </sheetPr>
  <dimension ref="B2:K91"/>
  <sheetViews>
    <sheetView tabSelected="1" zoomScale="80" zoomScaleNormal="80" workbookViewId="0">
      <pane ySplit="4" topLeftCell="A77" activePane="bottomLeft" state="frozen"/>
      <selection pane="bottomLeft" activeCell="J92" sqref="J92"/>
    </sheetView>
  </sheetViews>
  <sheetFormatPr defaultRowHeight="14.25" x14ac:dyDescent="0.25"/>
  <cols>
    <col min="1" max="1" width="3.7109375" style="8" customWidth="1"/>
    <col min="2" max="2" width="54.85546875" style="8" customWidth="1"/>
    <col min="3" max="3" width="14" style="8" customWidth="1"/>
    <col min="4" max="4" width="28" style="8" bestFit="1" customWidth="1"/>
    <col min="5" max="6" width="15.7109375" style="8" bestFit="1" customWidth="1"/>
    <col min="7" max="7" width="19.85546875" style="8" bestFit="1" customWidth="1"/>
    <col min="8" max="8" width="17.28515625" style="9" bestFit="1" customWidth="1"/>
    <col min="9" max="9" width="19.85546875" style="10" bestFit="1" customWidth="1"/>
    <col min="10" max="10" width="9.140625" style="8"/>
    <col min="11" max="11" width="12.42578125" style="8" bestFit="1" customWidth="1"/>
    <col min="12" max="16384" width="9.140625" style="8"/>
  </cols>
  <sheetData>
    <row r="2" spans="2:9" ht="50.85" customHeight="1" x14ac:dyDescent="0.25">
      <c r="B2" s="24" t="s">
        <v>79</v>
      </c>
      <c r="C2" s="24"/>
      <c r="D2" s="24"/>
      <c r="E2" s="24"/>
      <c r="F2" s="24"/>
      <c r="G2" s="24"/>
      <c r="H2" s="24"/>
      <c r="I2" s="24"/>
    </row>
    <row r="3" spans="2:9" ht="20.100000000000001" customHeight="1" x14ac:dyDescent="0.25">
      <c r="B3" s="25"/>
      <c r="C3" s="25"/>
      <c r="D3" s="25"/>
      <c r="E3" s="25"/>
      <c r="F3" s="25"/>
      <c r="G3" s="25"/>
      <c r="H3" s="25"/>
      <c r="I3" s="25"/>
    </row>
    <row r="4" spans="2:9" ht="18.95" customHeight="1" x14ac:dyDescent="0.25">
      <c r="B4" s="1" t="s">
        <v>10</v>
      </c>
      <c r="C4" s="1" t="s">
        <v>9</v>
      </c>
      <c r="D4" s="1" t="s">
        <v>59</v>
      </c>
      <c r="E4" s="1" t="s">
        <v>76</v>
      </c>
      <c r="F4" s="1" t="s">
        <v>77</v>
      </c>
      <c r="G4" s="1" t="s">
        <v>78</v>
      </c>
      <c r="H4" s="11" t="s">
        <v>90</v>
      </c>
      <c r="I4" s="12" t="s">
        <v>92</v>
      </c>
    </row>
    <row r="5" spans="2:9" x14ac:dyDescent="0.25">
      <c r="B5" s="26" t="s">
        <v>52</v>
      </c>
      <c r="C5" s="13" t="s">
        <v>51</v>
      </c>
      <c r="D5" s="13" t="s">
        <v>60</v>
      </c>
      <c r="E5" s="14">
        <v>214175</v>
      </c>
      <c r="F5" s="14">
        <v>367510.23000000004</v>
      </c>
      <c r="G5" s="14">
        <v>65841.350000000006</v>
      </c>
      <c r="H5" s="15">
        <v>0.17915514896007112</v>
      </c>
      <c r="I5" s="16">
        <v>0.31</v>
      </c>
    </row>
    <row r="6" spans="2:9" ht="16.350000000000001" customHeight="1" x14ac:dyDescent="0.25">
      <c r="B6" s="26"/>
      <c r="C6" s="22" t="s">
        <v>87</v>
      </c>
      <c r="D6" s="22"/>
      <c r="E6" s="19">
        <v>214175</v>
      </c>
      <c r="F6" s="19">
        <v>367510.23000000004</v>
      </c>
      <c r="G6" s="19">
        <v>65841.350000000006</v>
      </c>
      <c r="H6" s="20">
        <v>0.17915514896007112</v>
      </c>
      <c r="I6" s="21" t="s">
        <v>91</v>
      </c>
    </row>
    <row r="7" spans="2:9" x14ac:dyDescent="0.25">
      <c r="B7" s="26"/>
      <c r="C7" s="13" t="s">
        <v>54</v>
      </c>
      <c r="D7" s="13" t="s">
        <v>60</v>
      </c>
      <c r="E7" s="14">
        <v>127728</v>
      </c>
      <c r="F7" s="14">
        <v>182549.77000000002</v>
      </c>
      <c r="G7" s="14">
        <v>31106.023592938735</v>
      </c>
      <c r="H7" s="15">
        <v>0.17039749539502971</v>
      </c>
      <c r="I7" s="16">
        <v>0.25</v>
      </c>
    </row>
    <row r="8" spans="2:9" x14ac:dyDescent="0.25">
      <c r="B8" s="26"/>
      <c r="C8" s="13"/>
      <c r="D8" s="13" t="s">
        <v>61</v>
      </c>
      <c r="E8" s="14">
        <v>4091</v>
      </c>
      <c r="F8" s="14">
        <v>15194.52</v>
      </c>
      <c r="G8" s="14">
        <v>-2893.7976113360323</v>
      </c>
      <c r="H8" s="15">
        <v>-0.19045008406557312</v>
      </c>
      <c r="I8" s="16">
        <v>-0.71</v>
      </c>
    </row>
    <row r="9" spans="2:9" x14ac:dyDescent="0.25">
      <c r="B9" s="26"/>
      <c r="C9" s="13"/>
      <c r="D9" s="13" t="s">
        <v>62</v>
      </c>
      <c r="E9" s="14">
        <v>10581</v>
      </c>
      <c r="F9" s="14">
        <v>33861.450000000004</v>
      </c>
      <c r="G9" s="14">
        <v>-5613.5600000000013</v>
      </c>
      <c r="H9" s="15">
        <v>-0.16578026044366087</v>
      </c>
      <c r="I9" s="16">
        <v>-0.54</v>
      </c>
    </row>
    <row r="10" spans="2:9" ht="16.350000000000001" customHeight="1" x14ac:dyDescent="0.25">
      <c r="B10" s="26"/>
      <c r="C10" s="22" t="s">
        <v>88</v>
      </c>
      <c r="D10" s="22"/>
      <c r="E10" s="19">
        <v>142400</v>
      </c>
      <c r="F10" s="19">
        <v>231605.74000000002</v>
      </c>
      <c r="G10" s="19">
        <v>22598.665981602702</v>
      </c>
      <c r="H10" s="20">
        <v>9.7573859704870439E-2</v>
      </c>
      <c r="I10" s="21" t="s">
        <v>91</v>
      </c>
    </row>
    <row r="11" spans="2:9" x14ac:dyDescent="0.25">
      <c r="B11" s="26"/>
      <c r="C11" s="13" t="s">
        <v>57</v>
      </c>
      <c r="D11" s="13" t="s">
        <v>60</v>
      </c>
      <c r="E11" s="14">
        <v>394686</v>
      </c>
      <c r="F11" s="14">
        <v>696616.81999999972</v>
      </c>
      <c r="G11" s="14">
        <v>81671.690000000031</v>
      </c>
      <c r="H11" s="15">
        <v>0.11724047949344672</v>
      </c>
      <c r="I11" s="16">
        <v>0.21000000000000002</v>
      </c>
    </row>
    <row r="12" spans="2:9" ht="16.350000000000001" customHeight="1" x14ac:dyDescent="0.25">
      <c r="B12" s="26"/>
      <c r="C12" s="22" t="s">
        <v>89</v>
      </c>
      <c r="D12" s="22"/>
      <c r="E12" s="19">
        <v>394686</v>
      </c>
      <c r="F12" s="19">
        <v>696616.81999999972</v>
      </c>
      <c r="G12" s="19">
        <v>81671.690000000031</v>
      </c>
      <c r="H12" s="20">
        <v>0.11724047949344672</v>
      </c>
      <c r="I12" s="21" t="s">
        <v>91</v>
      </c>
    </row>
    <row r="13" spans="2:9" ht="16.350000000000001" customHeight="1" x14ac:dyDescent="0.25">
      <c r="B13" s="27" t="s">
        <v>53</v>
      </c>
      <c r="C13" s="22"/>
      <c r="D13" s="22"/>
      <c r="E13" s="19">
        <v>751261</v>
      </c>
      <c r="F13" s="19">
        <v>1295732.7899999996</v>
      </c>
      <c r="G13" s="19">
        <v>170111.70598160272</v>
      </c>
      <c r="H13" s="20">
        <v>0.13128610103446003</v>
      </c>
      <c r="I13" s="21">
        <v>0.23</v>
      </c>
    </row>
    <row r="14" spans="2:9" x14ac:dyDescent="0.25">
      <c r="B14" s="26" t="s">
        <v>43</v>
      </c>
      <c r="C14" s="13" t="s">
        <v>42</v>
      </c>
      <c r="D14" s="13" t="s">
        <v>63</v>
      </c>
      <c r="E14" s="14">
        <v>2840</v>
      </c>
      <c r="F14" s="14">
        <v>15466.89</v>
      </c>
      <c r="G14" s="14">
        <v>-6429.6214852600197</v>
      </c>
      <c r="H14" s="15">
        <v>-0.4157022830872929</v>
      </c>
      <c r="I14" s="16">
        <v>-2.2699999999999996</v>
      </c>
    </row>
    <row r="15" spans="2:9" x14ac:dyDescent="0.25">
      <c r="B15" s="26"/>
      <c r="C15" s="13"/>
      <c r="D15" s="13" t="s">
        <v>39</v>
      </c>
      <c r="E15" s="14">
        <v>4359</v>
      </c>
      <c r="F15" s="14">
        <v>18750.63</v>
      </c>
      <c r="G15" s="14">
        <v>-12567.282210305095</v>
      </c>
      <c r="H15" s="15">
        <v>-0.67023253140321659</v>
      </c>
      <c r="I15" s="16">
        <v>-2.8899999999999997</v>
      </c>
    </row>
    <row r="16" spans="2:9" ht="16.350000000000001" customHeight="1" x14ac:dyDescent="0.25">
      <c r="B16" s="26"/>
      <c r="C16" s="22" t="s">
        <v>85</v>
      </c>
      <c r="D16" s="22"/>
      <c r="E16" s="19">
        <v>7199</v>
      </c>
      <c r="F16" s="19">
        <v>34217.520000000004</v>
      </c>
      <c r="G16" s="19">
        <v>-18996.903695565114</v>
      </c>
      <c r="H16" s="20">
        <v>-0.55518061202463276</v>
      </c>
      <c r="I16" s="21" t="s">
        <v>91</v>
      </c>
    </row>
    <row r="17" spans="2:9" ht="16.350000000000001" customHeight="1" x14ac:dyDescent="0.25">
      <c r="B17" s="27" t="s">
        <v>44</v>
      </c>
      <c r="C17" s="22"/>
      <c r="D17" s="22"/>
      <c r="E17" s="19">
        <v>7199</v>
      </c>
      <c r="F17" s="19">
        <v>34217.520000000004</v>
      </c>
      <c r="G17" s="19">
        <v>-18996.903695565114</v>
      </c>
      <c r="H17" s="20">
        <v>-0.55518061202463276</v>
      </c>
      <c r="I17" s="21">
        <v>-2.6399999999999997</v>
      </c>
    </row>
    <row r="18" spans="2:9" x14ac:dyDescent="0.25">
      <c r="B18" s="26" t="s">
        <v>15</v>
      </c>
      <c r="C18" s="13" t="s">
        <v>14</v>
      </c>
      <c r="D18" s="13" t="s">
        <v>64</v>
      </c>
      <c r="E18" s="14">
        <v>1668</v>
      </c>
      <c r="F18" s="14">
        <v>13911.119999999999</v>
      </c>
      <c r="G18" s="14">
        <v>-514.23182582039476</v>
      </c>
      <c r="H18" s="15">
        <v>-3.69655229643907E-2</v>
      </c>
      <c r="I18" s="16">
        <v>-0.31</v>
      </c>
    </row>
    <row r="19" spans="2:9" ht="16.350000000000001" customHeight="1" x14ac:dyDescent="0.25">
      <c r="B19" s="26"/>
      <c r="C19" s="22" t="s">
        <v>82</v>
      </c>
      <c r="D19" s="22"/>
      <c r="E19" s="19">
        <v>1668</v>
      </c>
      <c r="F19" s="19">
        <v>13911.119999999999</v>
      </c>
      <c r="G19" s="19">
        <v>-514.23182582039476</v>
      </c>
      <c r="H19" s="20">
        <v>-3.69655229643907E-2</v>
      </c>
      <c r="I19" s="21" t="s">
        <v>91</v>
      </c>
    </row>
    <row r="20" spans="2:9" x14ac:dyDescent="0.25">
      <c r="B20" s="26"/>
      <c r="C20" s="13" t="s">
        <v>29</v>
      </c>
      <c r="D20" s="13" t="s">
        <v>64</v>
      </c>
      <c r="E20" s="14">
        <v>1344</v>
      </c>
      <c r="F20" s="14">
        <v>11356.8</v>
      </c>
      <c r="G20" s="14">
        <v>-434.69308472292636</v>
      </c>
      <c r="H20" s="15">
        <v>-3.8276018308231755E-2</v>
      </c>
      <c r="I20" s="16">
        <v>-0.33</v>
      </c>
    </row>
    <row r="21" spans="2:9" ht="16.350000000000001" customHeight="1" x14ac:dyDescent="0.25">
      <c r="B21" s="26"/>
      <c r="C21" s="22" t="s">
        <v>83</v>
      </c>
      <c r="D21" s="22"/>
      <c r="E21" s="19">
        <v>1344</v>
      </c>
      <c r="F21" s="19">
        <v>11356.8</v>
      </c>
      <c r="G21" s="19">
        <v>-434.69308472292636</v>
      </c>
      <c r="H21" s="20">
        <v>-3.8276018308231755E-2</v>
      </c>
      <c r="I21" s="21" t="s">
        <v>91</v>
      </c>
    </row>
    <row r="22" spans="2:9" x14ac:dyDescent="0.25">
      <c r="B22" s="26"/>
      <c r="C22" s="13" t="s">
        <v>54</v>
      </c>
      <c r="D22" s="13" t="s">
        <v>33</v>
      </c>
      <c r="E22" s="14">
        <v>955</v>
      </c>
      <c r="F22" s="14">
        <v>7429.9</v>
      </c>
      <c r="G22" s="14">
        <v>-3473.55</v>
      </c>
      <c r="H22" s="15">
        <v>-0.46750965692674201</v>
      </c>
      <c r="I22" s="16">
        <v>-3.6399999999999997</v>
      </c>
    </row>
    <row r="23" spans="2:9" ht="16.350000000000001" customHeight="1" x14ac:dyDescent="0.25">
      <c r="B23" s="26"/>
      <c r="C23" s="22" t="s">
        <v>88</v>
      </c>
      <c r="D23" s="22"/>
      <c r="E23" s="19">
        <v>955</v>
      </c>
      <c r="F23" s="19">
        <v>7429.9</v>
      </c>
      <c r="G23" s="19">
        <v>-3473.55</v>
      </c>
      <c r="H23" s="20">
        <v>-0.46750965692674201</v>
      </c>
      <c r="I23" s="21" t="s">
        <v>91</v>
      </c>
    </row>
    <row r="24" spans="2:9" ht="16.350000000000001" customHeight="1" x14ac:dyDescent="0.25">
      <c r="B24" s="27" t="s">
        <v>16</v>
      </c>
      <c r="C24" s="22"/>
      <c r="D24" s="22"/>
      <c r="E24" s="19">
        <v>3967</v>
      </c>
      <c r="F24" s="19">
        <v>32697.82</v>
      </c>
      <c r="G24" s="19">
        <v>-4422.4749105433211</v>
      </c>
      <c r="H24" s="20">
        <v>-0.13525289791623177</v>
      </c>
      <c r="I24" s="21">
        <v>-1.1200000000000001</v>
      </c>
    </row>
    <row r="25" spans="2:9" x14ac:dyDescent="0.25">
      <c r="B25" s="26" t="s">
        <v>36</v>
      </c>
      <c r="C25" s="13" t="s">
        <v>35</v>
      </c>
      <c r="D25" s="13" t="s">
        <v>37</v>
      </c>
      <c r="E25" s="14">
        <v>6715</v>
      </c>
      <c r="F25" s="14">
        <v>9608.1899999999987</v>
      </c>
      <c r="G25" s="14">
        <v>77.769999999999925</v>
      </c>
      <c r="H25" s="15">
        <v>8.0941363565874471E-3</v>
      </c>
      <c r="I25" s="16">
        <v>0.02</v>
      </c>
    </row>
    <row r="26" spans="2:9" ht="16.350000000000001" customHeight="1" x14ac:dyDescent="0.25">
      <c r="B26" s="26"/>
      <c r="C26" s="22" t="s">
        <v>84</v>
      </c>
      <c r="D26" s="22"/>
      <c r="E26" s="19">
        <v>6715</v>
      </c>
      <c r="F26" s="19">
        <v>9608.1899999999987</v>
      </c>
      <c r="G26" s="19">
        <v>77.769999999999925</v>
      </c>
      <c r="H26" s="20">
        <v>8.0941363565874471E-3</v>
      </c>
      <c r="I26" s="21" t="s">
        <v>91</v>
      </c>
    </row>
    <row r="27" spans="2:9" ht="16.350000000000001" customHeight="1" x14ac:dyDescent="0.25">
      <c r="B27" s="27" t="s">
        <v>38</v>
      </c>
      <c r="C27" s="22"/>
      <c r="D27" s="22"/>
      <c r="E27" s="19">
        <v>6715</v>
      </c>
      <c r="F27" s="19">
        <v>9608.1899999999987</v>
      </c>
      <c r="G27" s="19">
        <v>77.769999999999925</v>
      </c>
      <c r="H27" s="20">
        <v>8.0941363565874471E-3</v>
      </c>
      <c r="I27" s="21">
        <v>0.02</v>
      </c>
    </row>
    <row r="28" spans="2:9" x14ac:dyDescent="0.25">
      <c r="B28" s="26" t="s">
        <v>55</v>
      </c>
      <c r="C28" s="13" t="s">
        <v>54</v>
      </c>
      <c r="D28" s="13" t="s">
        <v>65</v>
      </c>
      <c r="E28" s="14">
        <v>2762</v>
      </c>
      <c r="F28" s="14">
        <v>15743.4</v>
      </c>
      <c r="G28" s="14">
        <v>5647.894314712943</v>
      </c>
      <c r="H28" s="15">
        <v>0.35874679641709817</v>
      </c>
      <c r="I28" s="16">
        <v>2.0499999999999998</v>
      </c>
    </row>
    <row r="29" spans="2:9" x14ac:dyDescent="0.25">
      <c r="B29" s="26"/>
      <c r="C29" s="13"/>
      <c r="D29" s="13" t="s">
        <v>66</v>
      </c>
      <c r="E29" s="14">
        <v>5</v>
      </c>
      <c r="F29" s="14">
        <v>27.75</v>
      </c>
      <c r="G29" s="14">
        <v>8.7884615384615365</v>
      </c>
      <c r="H29" s="15">
        <v>0.31670131670131663</v>
      </c>
      <c r="I29" s="16">
        <v>1.76</v>
      </c>
    </row>
    <row r="30" spans="2:9" x14ac:dyDescent="0.25">
      <c r="B30" s="26"/>
      <c r="C30" s="13"/>
      <c r="D30" s="13" t="s">
        <v>67</v>
      </c>
      <c r="E30" s="14">
        <v>4346</v>
      </c>
      <c r="F30" s="14">
        <v>20643.5</v>
      </c>
      <c r="G30" s="14">
        <v>1784.851242145894</v>
      </c>
      <c r="H30" s="15">
        <v>8.646068942504391E-2</v>
      </c>
      <c r="I30" s="16">
        <v>0.42</v>
      </c>
    </row>
    <row r="31" spans="2:9" ht="16.350000000000001" customHeight="1" x14ac:dyDescent="0.25">
      <c r="B31" s="26"/>
      <c r="C31" s="22" t="s">
        <v>88</v>
      </c>
      <c r="D31" s="22"/>
      <c r="E31" s="19">
        <v>7113</v>
      </c>
      <c r="F31" s="19">
        <v>36414.65</v>
      </c>
      <c r="G31" s="19">
        <v>7441.5340183972985</v>
      </c>
      <c r="H31" s="20">
        <v>0.20435550028346552</v>
      </c>
      <c r="I31" s="21" t="s">
        <v>91</v>
      </c>
    </row>
    <row r="32" spans="2:9" ht="16.350000000000001" customHeight="1" x14ac:dyDescent="0.25">
      <c r="B32" s="27" t="s">
        <v>56</v>
      </c>
      <c r="C32" s="22"/>
      <c r="D32" s="22"/>
      <c r="E32" s="19">
        <v>7113</v>
      </c>
      <c r="F32" s="19">
        <v>36414.65</v>
      </c>
      <c r="G32" s="19">
        <v>7441.5340183972985</v>
      </c>
      <c r="H32" s="20">
        <v>0.20435550028346552</v>
      </c>
      <c r="I32" s="21">
        <v>1.05</v>
      </c>
    </row>
    <row r="33" spans="2:9" x14ac:dyDescent="0.25">
      <c r="B33" s="26" t="s">
        <v>45</v>
      </c>
      <c r="C33" s="13" t="s">
        <v>42</v>
      </c>
      <c r="D33" s="13" t="s">
        <v>68</v>
      </c>
      <c r="E33" s="14">
        <v>799</v>
      </c>
      <c r="F33" s="14">
        <v>3739.3199999999997</v>
      </c>
      <c r="G33" s="14">
        <v>392.76714728904744</v>
      </c>
      <c r="H33" s="15">
        <v>0.10503705146632208</v>
      </c>
      <c r="I33" s="16">
        <v>0.5</v>
      </c>
    </row>
    <row r="34" spans="2:9" x14ac:dyDescent="0.25">
      <c r="B34" s="26"/>
      <c r="C34" s="13"/>
      <c r="D34" s="13" t="s">
        <v>67</v>
      </c>
      <c r="E34" s="14">
        <v>2954</v>
      </c>
      <c r="F34" s="14">
        <v>9216.4799999999977</v>
      </c>
      <c r="G34" s="14">
        <v>335.99694963990157</v>
      </c>
      <c r="H34" s="15">
        <v>3.6456103592684155E-2</v>
      </c>
      <c r="I34" s="16">
        <v>0.12</v>
      </c>
    </row>
    <row r="35" spans="2:9" x14ac:dyDescent="0.25">
      <c r="B35" s="26"/>
      <c r="C35" s="13"/>
      <c r="D35" s="13" t="s">
        <v>70</v>
      </c>
      <c r="E35" s="14">
        <v>2366</v>
      </c>
      <c r="F35" s="14">
        <v>7713.14</v>
      </c>
      <c r="G35" s="14">
        <v>-92.128552506219123</v>
      </c>
      <c r="H35" s="15">
        <v>-1.1944364098955693E-2</v>
      </c>
      <c r="I35" s="16">
        <v>-0.04</v>
      </c>
    </row>
    <row r="36" spans="2:9" x14ac:dyDescent="0.25">
      <c r="B36" s="26"/>
      <c r="C36" s="13"/>
      <c r="D36" s="13" t="s">
        <v>69</v>
      </c>
      <c r="E36" s="14">
        <v>5329</v>
      </c>
      <c r="F36" s="14">
        <v>15489.95</v>
      </c>
      <c r="G36" s="14">
        <v>701.52528241208745</v>
      </c>
      <c r="H36" s="15">
        <v>4.5289060481931022E-2</v>
      </c>
      <c r="I36" s="16">
        <v>0.14000000000000001</v>
      </c>
    </row>
    <row r="37" spans="2:9" ht="16.350000000000001" customHeight="1" x14ac:dyDescent="0.25">
      <c r="B37" s="26"/>
      <c r="C37" s="22" t="s">
        <v>85</v>
      </c>
      <c r="D37" s="22"/>
      <c r="E37" s="19">
        <v>11448</v>
      </c>
      <c r="F37" s="19">
        <v>36158.89</v>
      </c>
      <c r="G37" s="19">
        <v>1338.1608268348173</v>
      </c>
      <c r="H37" s="20">
        <v>3.70077960588618E-2</v>
      </c>
      <c r="I37" s="21" t="s">
        <v>91</v>
      </c>
    </row>
    <row r="38" spans="2:9" x14ac:dyDescent="0.25">
      <c r="B38" s="26"/>
      <c r="C38" s="13" t="s">
        <v>50</v>
      </c>
      <c r="D38" s="13" t="s">
        <v>68</v>
      </c>
      <c r="E38" s="14">
        <v>918</v>
      </c>
      <c r="F38" s="14">
        <v>4296.24</v>
      </c>
      <c r="G38" s="14">
        <v>28.143577235772398</v>
      </c>
      <c r="H38" s="15">
        <v>6.5507460560332758E-3</v>
      </c>
      <c r="I38" s="16">
        <v>0.04</v>
      </c>
    </row>
    <row r="39" spans="2:9" x14ac:dyDescent="0.25">
      <c r="B39" s="26"/>
      <c r="C39" s="13"/>
      <c r="D39" s="13" t="s">
        <v>63</v>
      </c>
      <c r="E39" s="14">
        <v>1070</v>
      </c>
      <c r="F39" s="14">
        <v>2760.6000000000004</v>
      </c>
      <c r="G39" s="14">
        <v>-401.3235772357724</v>
      </c>
      <c r="H39" s="15">
        <v>-0.14537548983401158</v>
      </c>
      <c r="I39" s="16">
        <v>-0.38</v>
      </c>
    </row>
    <row r="40" spans="2:9" x14ac:dyDescent="0.25">
      <c r="B40" s="26"/>
      <c r="C40" s="13"/>
      <c r="D40" s="13" t="s">
        <v>33</v>
      </c>
      <c r="E40" s="14">
        <v>2515</v>
      </c>
      <c r="F40" s="14">
        <v>4602.4500000000007</v>
      </c>
      <c r="G40" s="14">
        <v>1704.65</v>
      </c>
      <c r="H40" s="15">
        <v>0.37037881997631694</v>
      </c>
      <c r="I40" s="16">
        <v>0.68</v>
      </c>
    </row>
    <row r="41" spans="2:9" ht="16.350000000000001" customHeight="1" x14ac:dyDescent="0.25">
      <c r="B41" s="26"/>
      <c r="C41" s="22" t="s">
        <v>86</v>
      </c>
      <c r="D41" s="22"/>
      <c r="E41" s="19">
        <v>4503</v>
      </c>
      <c r="F41" s="19">
        <v>11659.29</v>
      </c>
      <c r="G41" s="19">
        <v>1331.47</v>
      </c>
      <c r="H41" s="20">
        <v>0.11419820589418395</v>
      </c>
      <c r="I41" s="21" t="s">
        <v>91</v>
      </c>
    </row>
    <row r="42" spans="2:9" ht="16.350000000000001" customHeight="1" x14ac:dyDescent="0.25">
      <c r="B42" s="27" t="s">
        <v>46</v>
      </c>
      <c r="C42" s="22"/>
      <c r="D42" s="22"/>
      <c r="E42" s="19">
        <v>15951</v>
      </c>
      <c r="F42" s="19">
        <v>47818.179999999993</v>
      </c>
      <c r="G42" s="19">
        <v>2669.6308268348175</v>
      </c>
      <c r="H42" s="20">
        <v>5.5828783672544999E-2</v>
      </c>
      <c r="I42" s="21">
        <v>0.17</v>
      </c>
    </row>
    <row r="43" spans="2:9" x14ac:dyDescent="0.25">
      <c r="B43" s="26" t="s">
        <v>12</v>
      </c>
      <c r="C43" s="13" t="s">
        <v>11</v>
      </c>
      <c r="D43" s="13" t="s">
        <v>71</v>
      </c>
      <c r="E43" s="14">
        <v>9793</v>
      </c>
      <c r="F43" s="14">
        <v>32659.81</v>
      </c>
      <c r="G43" s="14">
        <v>3464.2400000000002</v>
      </c>
      <c r="H43" s="15">
        <v>0.10607042723151176</v>
      </c>
      <c r="I43" s="16">
        <v>0.36</v>
      </c>
    </row>
    <row r="44" spans="2:9" x14ac:dyDescent="0.25">
      <c r="B44" s="26"/>
      <c r="C44" s="13"/>
      <c r="D44" s="13" t="s">
        <v>73</v>
      </c>
      <c r="E44" s="14">
        <v>2584</v>
      </c>
      <c r="F44" s="14">
        <v>11497.92</v>
      </c>
      <c r="G44" s="14">
        <v>1460.0600000000004</v>
      </c>
      <c r="H44" s="15">
        <v>0.12698470679914284</v>
      </c>
      <c r="I44" s="16">
        <v>0.57000000000000006</v>
      </c>
    </row>
    <row r="45" spans="2:9" ht="16.350000000000001" customHeight="1" x14ac:dyDescent="0.25">
      <c r="B45" s="26"/>
      <c r="C45" s="22" t="s">
        <v>81</v>
      </c>
      <c r="D45" s="22"/>
      <c r="E45" s="19">
        <v>12377</v>
      </c>
      <c r="F45" s="19">
        <v>44157.73</v>
      </c>
      <c r="G45" s="19">
        <v>4924.3000000000011</v>
      </c>
      <c r="H45" s="20">
        <v>0.11151614904117582</v>
      </c>
      <c r="I45" s="21" t="s">
        <v>91</v>
      </c>
    </row>
    <row r="46" spans="2:9" x14ac:dyDescent="0.25">
      <c r="B46" s="26"/>
      <c r="C46" s="13" t="s">
        <v>29</v>
      </c>
      <c r="D46" s="13" t="s">
        <v>73</v>
      </c>
      <c r="E46" s="14">
        <v>50</v>
      </c>
      <c r="F46" s="14">
        <v>570</v>
      </c>
      <c r="G46" s="14">
        <v>-1571.7570209133592</v>
      </c>
      <c r="H46" s="15">
        <v>-2.7574684577427355</v>
      </c>
      <c r="I46" s="16">
        <v>-31.44</v>
      </c>
    </row>
    <row r="47" spans="2:9" ht="16.350000000000001" customHeight="1" x14ac:dyDescent="0.25">
      <c r="B47" s="26"/>
      <c r="C47" s="22" t="s">
        <v>83</v>
      </c>
      <c r="D47" s="22"/>
      <c r="E47" s="19">
        <v>50</v>
      </c>
      <c r="F47" s="19">
        <v>570</v>
      </c>
      <c r="G47" s="19">
        <v>-1571.7570209133592</v>
      </c>
      <c r="H47" s="20">
        <v>-2.7574684577427355</v>
      </c>
      <c r="I47" s="21" t="s">
        <v>91</v>
      </c>
    </row>
    <row r="48" spans="2:9" x14ac:dyDescent="0.25">
      <c r="B48" s="26"/>
      <c r="C48" s="13" t="s">
        <v>35</v>
      </c>
      <c r="D48" s="13" t="s">
        <v>72</v>
      </c>
      <c r="E48" s="14">
        <v>3780</v>
      </c>
      <c r="F48" s="14">
        <v>7371</v>
      </c>
      <c r="G48" s="14">
        <v>184.90031576266875</v>
      </c>
      <c r="H48" s="15">
        <v>2.5084834589969983E-2</v>
      </c>
      <c r="I48" s="16">
        <v>0.05</v>
      </c>
    </row>
    <row r="49" spans="2:11" x14ac:dyDescent="0.25">
      <c r="B49" s="26"/>
      <c r="C49" s="13"/>
      <c r="D49" s="13" t="s">
        <v>33</v>
      </c>
      <c r="E49" s="14">
        <v>13878</v>
      </c>
      <c r="F49" s="14">
        <v>22204.800000000003</v>
      </c>
      <c r="G49" s="14">
        <v>701.06</v>
      </c>
      <c r="H49" s="15">
        <v>3.1572452802997544E-2</v>
      </c>
      <c r="I49" s="16">
        <v>6.0000000000000005E-2</v>
      </c>
    </row>
    <row r="50" spans="2:11" x14ac:dyDescent="0.25">
      <c r="B50" s="26"/>
      <c r="C50" s="13"/>
      <c r="D50" s="13" t="s">
        <v>39</v>
      </c>
      <c r="E50" s="14">
        <v>12550</v>
      </c>
      <c r="F50" s="14">
        <v>20707.5</v>
      </c>
      <c r="G50" s="14">
        <v>688.45756302520999</v>
      </c>
      <c r="H50" s="15">
        <v>3.3246773537375832E-2</v>
      </c>
      <c r="I50" s="16">
        <v>6.0000000000000005E-2</v>
      </c>
    </row>
    <row r="51" spans="2:11" x14ac:dyDescent="0.25">
      <c r="B51" s="26"/>
      <c r="C51" s="13"/>
      <c r="D51" s="13" t="s">
        <v>74</v>
      </c>
      <c r="E51" s="14">
        <v>28</v>
      </c>
      <c r="F51" s="14">
        <v>54.6</v>
      </c>
      <c r="G51" s="14">
        <v>0.49212121212120508</v>
      </c>
      <c r="H51" s="15">
        <v>9.0132090132088831E-3</v>
      </c>
      <c r="I51" s="16">
        <v>0.02</v>
      </c>
    </row>
    <row r="52" spans="2:11" ht="16.350000000000001" customHeight="1" x14ac:dyDescent="0.25">
      <c r="B52" s="26"/>
      <c r="C52" s="22" t="s">
        <v>84</v>
      </c>
      <c r="D52" s="22"/>
      <c r="E52" s="19">
        <v>30236</v>
      </c>
      <c r="F52" s="19">
        <v>50337.9</v>
      </c>
      <c r="G52" s="19">
        <v>1574.9099999999999</v>
      </c>
      <c r="H52" s="20">
        <v>3.1286764048559831E-2</v>
      </c>
      <c r="I52" s="21" t="s">
        <v>91</v>
      </c>
    </row>
    <row r="53" spans="2:11" ht="16.350000000000001" customHeight="1" x14ac:dyDescent="0.25">
      <c r="B53" s="27" t="s">
        <v>13</v>
      </c>
      <c r="C53" s="22"/>
      <c r="D53" s="22"/>
      <c r="E53" s="19">
        <v>42663</v>
      </c>
      <c r="F53" s="19">
        <v>95065.63</v>
      </c>
      <c r="G53" s="19">
        <v>4927.4529790866418</v>
      </c>
      <c r="H53" s="20">
        <v>5.1832118285931955E-2</v>
      </c>
      <c r="I53" s="21">
        <v>0.12</v>
      </c>
    </row>
    <row r="54" spans="2:11" x14ac:dyDescent="0.25">
      <c r="B54" s="26" t="s">
        <v>47</v>
      </c>
      <c r="C54" s="13" t="s">
        <v>42</v>
      </c>
      <c r="D54" s="13" t="s">
        <v>63</v>
      </c>
      <c r="E54" s="14">
        <v>149239</v>
      </c>
      <c r="F54" s="14">
        <v>159254.21000000002</v>
      </c>
      <c r="G54" s="14">
        <v>17102.610917510781</v>
      </c>
      <c r="H54" s="15">
        <v>0.10739189197893594</v>
      </c>
      <c r="I54" s="16">
        <v>0.12</v>
      </c>
    </row>
    <row r="55" spans="2:11" x14ac:dyDescent="0.25">
      <c r="B55" s="26"/>
      <c r="C55" s="13"/>
      <c r="D55" s="13" t="s">
        <v>33</v>
      </c>
      <c r="E55" s="14">
        <v>281</v>
      </c>
      <c r="F55" s="14">
        <v>477.7</v>
      </c>
      <c r="G55" s="14">
        <v>-547.69804878048785</v>
      </c>
      <c r="H55" s="15">
        <v>-1.1465313979076572</v>
      </c>
      <c r="I55" s="16">
        <v>-1.95</v>
      </c>
    </row>
    <row r="56" spans="2:11" x14ac:dyDescent="0.25">
      <c r="B56" s="26"/>
      <c r="C56" s="13"/>
      <c r="D56" s="13" t="s">
        <v>48</v>
      </c>
      <c r="E56" s="14">
        <v>1995</v>
      </c>
      <c r="F56" s="14">
        <v>3511.2000000000003</v>
      </c>
      <c r="G56" s="14">
        <v>-308.5</v>
      </c>
      <c r="H56" s="15">
        <v>-8.786169970380496E-2</v>
      </c>
      <c r="I56" s="16">
        <v>-0.16</v>
      </c>
    </row>
    <row r="57" spans="2:11" ht="16.350000000000001" customHeight="1" x14ac:dyDescent="0.25">
      <c r="B57" s="26"/>
      <c r="C57" s="22" t="s">
        <v>85</v>
      </c>
      <c r="D57" s="22"/>
      <c r="E57" s="19">
        <v>151515</v>
      </c>
      <c r="F57" s="19">
        <v>163243.11000000004</v>
      </c>
      <c r="G57" s="19">
        <v>16246.412868730295</v>
      </c>
      <c r="H57" s="20">
        <v>9.9522809071269772E-2</v>
      </c>
      <c r="I57" s="21" t="s">
        <v>91</v>
      </c>
    </row>
    <row r="58" spans="2:11" x14ac:dyDescent="0.25">
      <c r="B58" s="26"/>
      <c r="C58" s="13" t="s">
        <v>50</v>
      </c>
      <c r="D58" s="13" t="s">
        <v>63</v>
      </c>
      <c r="E58" s="14">
        <v>23192</v>
      </c>
      <c r="F58" s="14">
        <v>24352.720000000001</v>
      </c>
      <c r="G58" s="14">
        <v>2149.4800000000005</v>
      </c>
      <c r="H58" s="15">
        <v>8.8264473126615853E-2</v>
      </c>
      <c r="I58" s="16">
        <v>9.9999999999999992E-2</v>
      </c>
    </row>
    <row r="59" spans="2:11" ht="16.350000000000001" customHeight="1" x14ac:dyDescent="0.25">
      <c r="B59" s="26"/>
      <c r="C59" s="22" t="s">
        <v>86</v>
      </c>
      <c r="D59" s="22"/>
      <c r="E59" s="19">
        <v>23192</v>
      </c>
      <c r="F59" s="19">
        <v>24352.720000000001</v>
      </c>
      <c r="G59" s="19">
        <v>2149.4800000000005</v>
      </c>
      <c r="H59" s="20">
        <v>8.8264473126615853E-2</v>
      </c>
      <c r="I59" s="21" t="s">
        <v>91</v>
      </c>
    </row>
    <row r="60" spans="2:11" ht="16.350000000000001" customHeight="1" x14ac:dyDescent="0.25">
      <c r="B60" s="27" t="s">
        <v>49</v>
      </c>
      <c r="C60" s="22"/>
      <c r="D60" s="22"/>
      <c r="E60" s="19">
        <v>174707</v>
      </c>
      <c r="F60" s="19">
        <v>187595.83000000005</v>
      </c>
      <c r="G60" s="19">
        <v>18395.892868730294</v>
      </c>
      <c r="H60" s="20">
        <v>9.806131015135193E-2</v>
      </c>
      <c r="I60" s="21">
        <v>0.11</v>
      </c>
    </row>
    <row r="61" spans="2:11" x14ac:dyDescent="0.25">
      <c r="B61" s="26" t="s">
        <v>17</v>
      </c>
      <c r="C61" s="13" t="s">
        <v>14</v>
      </c>
      <c r="D61" s="13" t="s">
        <v>73</v>
      </c>
      <c r="E61" s="14">
        <v>476</v>
      </c>
      <c r="F61" s="14">
        <v>6083.8399999999992</v>
      </c>
      <c r="G61" s="14">
        <v>-1987.8724166038478</v>
      </c>
      <c r="H61" s="15">
        <v>-0.32674633399363689</v>
      </c>
      <c r="I61" s="16">
        <v>-4.18</v>
      </c>
    </row>
    <row r="62" spans="2:11" x14ac:dyDescent="0.25">
      <c r="B62" s="26"/>
      <c r="C62" s="13"/>
      <c r="D62" s="13" t="s">
        <v>65</v>
      </c>
      <c r="E62" s="14">
        <v>1571</v>
      </c>
      <c r="F62" s="14">
        <v>17124.440000000006</v>
      </c>
      <c r="G62" s="14">
        <v>-571.67141122284306</v>
      </c>
      <c r="H62" s="15">
        <v>-3.3383363848560471E-2</v>
      </c>
      <c r="I62" s="16">
        <v>-0.37</v>
      </c>
    </row>
    <row r="63" spans="2:11" x14ac:dyDescent="0.25">
      <c r="B63" s="26"/>
      <c r="C63" s="13"/>
      <c r="D63" s="13" t="s">
        <v>67</v>
      </c>
      <c r="E63" s="14">
        <v>102</v>
      </c>
      <c r="F63" s="14">
        <v>745.84</v>
      </c>
      <c r="G63" s="14">
        <v>-375.39468284269566</v>
      </c>
      <c r="H63" s="15">
        <v>-0.50331798085741664</v>
      </c>
      <c r="I63" s="16">
        <v>-3.69</v>
      </c>
    </row>
    <row r="64" spans="2:11" x14ac:dyDescent="0.25">
      <c r="B64" s="26"/>
      <c r="C64" s="13"/>
      <c r="D64" s="13" t="s">
        <v>70</v>
      </c>
      <c r="E64" s="14">
        <v>732</v>
      </c>
      <c r="F64" s="14">
        <v>4499.9400000000005</v>
      </c>
      <c r="G64" s="14">
        <v>-4796.3393129770993</v>
      </c>
      <c r="H64" s="15">
        <v>-1.0658673922268072</v>
      </c>
      <c r="I64" s="16">
        <v>-6.56</v>
      </c>
      <c r="K64" s="28"/>
    </row>
    <row r="65" spans="2:9" ht="16.350000000000001" customHeight="1" x14ac:dyDescent="0.25">
      <c r="B65" s="26"/>
      <c r="C65" s="22" t="s">
        <v>82</v>
      </c>
      <c r="D65" s="22"/>
      <c r="E65" s="19">
        <v>2881</v>
      </c>
      <c r="F65" s="19">
        <v>28454.060000000005</v>
      </c>
      <c r="G65" s="19">
        <v>-7731.2778236464856</v>
      </c>
      <c r="H65" s="20">
        <v>-0.27171088497200346</v>
      </c>
      <c r="I65" s="21" t="s">
        <v>91</v>
      </c>
    </row>
    <row r="66" spans="2:9" ht="16.350000000000001" customHeight="1" x14ac:dyDescent="0.25">
      <c r="B66" s="27" t="s">
        <v>18</v>
      </c>
      <c r="C66" s="22"/>
      <c r="D66" s="22"/>
      <c r="E66" s="19"/>
      <c r="F66" s="19"/>
      <c r="G66" s="19"/>
      <c r="H66" s="20"/>
      <c r="I66" s="21"/>
    </row>
    <row r="67" spans="2:9" x14ac:dyDescent="0.25">
      <c r="B67" s="26" t="s">
        <v>19</v>
      </c>
      <c r="C67" s="13" t="s">
        <v>14</v>
      </c>
      <c r="D67" s="13" t="s">
        <v>20</v>
      </c>
      <c r="E67" s="14">
        <v>582</v>
      </c>
      <c r="F67" s="14">
        <v>355.02</v>
      </c>
      <c r="G67" s="14">
        <v>-1788.006918672673</v>
      </c>
      <c r="H67" s="15">
        <v>-5.0363554691923644</v>
      </c>
      <c r="I67" s="16">
        <v>-3.0799999999999996</v>
      </c>
    </row>
    <row r="68" spans="2:9" ht="16.350000000000001" customHeight="1" x14ac:dyDescent="0.25">
      <c r="B68" s="26"/>
      <c r="C68" s="22" t="s">
        <v>82</v>
      </c>
      <c r="D68" s="22"/>
      <c r="E68" s="19">
        <v>582</v>
      </c>
      <c r="F68" s="19">
        <v>355.02</v>
      </c>
      <c r="G68" s="19">
        <v>-1788.006918672673</v>
      </c>
      <c r="H68" s="20">
        <v>-5.0363554691923644</v>
      </c>
      <c r="I68" s="21" t="s">
        <v>91</v>
      </c>
    </row>
    <row r="69" spans="2:9" ht="16.350000000000001" customHeight="1" x14ac:dyDescent="0.25">
      <c r="B69" s="27" t="s">
        <v>21</v>
      </c>
      <c r="C69" s="22"/>
      <c r="D69" s="22"/>
      <c r="E69" s="19">
        <v>582</v>
      </c>
      <c r="F69" s="19">
        <v>355.02</v>
      </c>
      <c r="G69" s="19">
        <v>-1788.006918672673</v>
      </c>
      <c r="H69" s="20">
        <v>-5.0363554691923644</v>
      </c>
      <c r="I69" s="21">
        <v>-3.0799999999999996</v>
      </c>
    </row>
    <row r="70" spans="2:9" x14ac:dyDescent="0.25">
      <c r="B70" s="26" t="s">
        <v>30</v>
      </c>
      <c r="C70" s="13" t="s">
        <v>29</v>
      </c>
      <c r="D70" s="13" t="s">
        <v>75</v>
      </c>
      <c r="E70" s="14">
        <v>2000</v>
      </c>
      <c r="F70" s="14">
        <v>2760</v>
      </c>
      <c r="G70" s="14">
        <v>-3842.7772183073766</v>
      </c>
      <c r="H70" s="15">
        <v>-1.3923105863432523</v>
      </c>
      <c r="I70" s="16">
        <v>-1.93</v>
      </c>
    </row>
    <row r="71" spans="2:9" ht="16.350000000000001" customHeight="1" x14ac:dyDescent="0.25">
      <c r="B71" s="26"/>
      <c r="C71" s="22" t="s">
        <v>83</v>
      </c>
      <c r="D71" s="22"/>
      <c r="E71" s="19">
        <v>2000</v>
      </c>
      <c r="F71" s="19">
        <v>2760</v>
      </c>
      <c r="G71" s="19">
        <v>-3842.7772183073766</v>
      </c>
      <c r="H71" s="20">
        <v>-1.3923105863432523</v>
      </c>
      <c r="I71" s="21" t="s">
        <v>91</v>
      </c>
    </row>
    <row r="72" spans="2:9" ht="16.350000000000001" customHeight="1" x14ac:dyDescent="0.25">
      <c r="B72" s="27" t="s">
        <v>31</v>
      </c>
      <c r="C72" s="22"/>
      <c r="D72" s="22"/>
      <c r="E72" s="19">
        <v>2000</v>
      </c>
      <c r="F72" s="19">
        <v>2760</v>
      </c>
      <c r="G72" s="19">
        <v>-3842.7772183073766</v>
      </c>
      <c r="H72" s="20">
        <v>-1.3923105863432523</v>
      </c>
      <c r="I72" s="21">
        <v>-1.93</v>
      </c>
    </row>
    <row r="73" spans="2:9" x14ac:dyDescent="0.25">
      <c r="B73" s="26" t="s">
        <v>32</v>
      </c>
      <c r="C73" s="13" t="s">
        <v>29</v>
      </c>
      <c r="D73" s="13" t="s">
        <v>33</v>
      </c>
      <c r="E73" s="14">
        <v>52</v>
      </c>
      <c r="F73" s="14">
        <v>691.6</v>
      </c>
      <c r="G73" s="14">
        <v>-340.59267605633801</v>
      </c>
      <c r="H73" s="15">
        <v>-0.49247061315259977</v>
      </c>
      <c r="I73" s="16">
        <v>-6.55</v>
      </c>
    </row>
    <row r="74" spans="2:9" ht="16.350000000000001" customHeight="1" x14ac:dyDescent="0.25">
      <c r="B74" s="26"/>
      <c r="C74" s="22" t="s">
        <v>83</v>
      </c>
      <c r="D74" s="22"/>
      <c r="E74" s="19">
        <v>52</v>
      </c>
      <c r="F74" s="19">
        <v>691.6</v>
      </c>
      <c r="G74" s="19">
        <v>-340.59267605633801</v>
      </c>
      <c r="H74" s="20">
        <v>-0.49247061315259977</v>
      </c>
      <c r="I74" s="21" t="s">
        <v>91</v>
      </c>
    </row>
    <row r="75" spans="2:9" ht="16.350000000000001" customHeight="1" x14ac:dyDescent="0.25">
      <c r="B75" s="27" t="s">
        <v>34</v>
      </c>
      <c r="C75" s="22"/>
      <c r="D75" s="22"/>
      <c r="E75" s="19">
        <v>52</v>
      </c>
      <c r="F75" s="19">
        <v>691.6</v>
      </c>
      <c r="G75" s="19">
        <v>-340.59267605633801</v>
      </c>
      <c r="H75" s="20">
        <v>-0.49247061315259977</v>
      </c>
      <c r="I75" s="21">
        <v>-6.55</v>
      </c>
    </row>
    <row r="76" spans="2:9" x14ac:dyDescent="0.25">
      <c r="B76" s="26" t="s">
        <v>94</v>
      </c>
      <c r="C76" s="13" t="s">
        <v>35</v>
      </c>
      <c r="D76" s="13" t="s">
        <v>70</v>
      </c>
      <c r="E76" s="14">
        <v>1172</v>
      </c>
      <c r="F76" s="14">
        <v>1535.3200000000002</v>
      </c>
      <c r="G76" s="14">
        <v>-585.21</v>
      </c>
      <c r="H76" s="15">
        <v>-0.38116483860042205</v>
      </c>
      <c r="I76" s="16">
        <v>-0.5</v>
      </c>
    </row>
    <row r="77" spans="2:9" ht="16.350000000000001" customHeight="1" x14ac:dyDescent="0.25">
      <c r="B77" s="26"/>
      <c r="C77" s="22" t="s">
        <v>84</v>
      </c>
      <c r="D77" s="22"/>
      <c r="E77" s="19">
        <v>1172</v>
      </c>
      <c r="F77" s="19">
        <v>1535.3200000000002</v>
      </c>
      <c r="G77" s="19">
        <v>-585.21</v>
      </c>
      <c r="H77" s="20">
        <v>-0.38116483860042205</v>
      </c>
      <c r="I77" s="21" t="s">
        <v>91</v>
      </c>
    </row>
    <row r="78" spans="2:9" ht="16.350000000000001" customHeight="1" x14ac:dyDescent="0.25">
      <c r="B78" s="27" t="s">
        <v>93</v>
      </c>
      <c r="C78" s="22"/>
      <c r="D78" s="22"/>
      <c r="E78" s="19">
        <v>1172</v>
      </c>
      <c r="F78" s="19">
        <v>1535.3200000000002</v>
      </c>
      <c r="G78" s="19">
        <v>-585.21</v>
      </c>
      <c r="H78" s="20">
        <v>-0.38116483860042205</v>
      </c>
      <c r="I78" s="21">
        <v>-0.5</v>
      </c>
    </row>
    <row r="79" spans="2:9" x14ac:dyDescent="0.25">
      <c r="B79" s="26" t="s">
        <v>40</v>
      </c>
      <c r="C79" s="13" t="s">
        <v>35</v>
      </c>
      <c r="D79" s="13" t="s">
        <v>33</v>
      </c>
      <c r="E79" s="14">
        <v>2461</v>
      </c>
      <c r="F79" s="14">
        <v>7875.2000000000007</v>
      </c>
      <c r="G79" s="14">
        <v>-7524.6</v>
      </c>
      <c r="H79" s="15">
        <v>-0.95548049573344163</v>
      </c>
      <c r="I79" s="16">
        <v>-3.0599999999999996</v>
      </c>
    </row>
    <row r="80" spans="2:9" ht="16.350000000000001" customHeight="1" x14ac:dyDescent="0.25">
      <c r="B80" s="26"/>
      <c r="C80" s="22" t="s">
        <v>84</v>
      </c>
      <c r="D80" s="22"/>
      <c r="E80" s="19">
        <v>2461</v>
      </c>
      <c r="F80" s="19">
        <v>7875.2000000000007</v>
      </c>
      <c r="G80" s="19">
        <v>-7524.6</v>
      </c>
      <c r="H80" s="20">
        <v>-0.95548049573344163</v>
      </c>
      <c r="I80" s="21" t="s">
        <v>91</v>
      </c>
    </row>
    <row r="81" spans="2:9" ht="16.350000000000001" customHeight="1" x14ac:dyDescent="0.25">
      <c r="B81" s="27" t="s">
        <v>41</v>
      </c>
      <c r="C81" s="22"/>
      <c r="D81" s="22"/>
      <c r="E81" s="19">
        <v>2461</v>
      </c>
      <c r="F81" s="19">
        <v>7875.2000000000007</v>
      </c>
      <c r="G81" s="19">
        <v>-7524.6</v>
      </c>
      <c r="H81" s="20">
        <v>-0.95548049573344163</v>
      </c>
      <c r="I81" s="21">
        <v>-3.0599999999999996</v>
      </c>
    </row>
    <row r="82" spans="2:9" x14ac:dyDescent="0.25">
      <c r="B82" s="26" t="s">
        <v>22</v>
      </c>
      <c r="C82" s="13" t="s">
        <v>14</v>
      </c>
      <c r="D82" s="13" t="s">
        <v>23</v>
      </c>
      <c r="E82" s="14">
        <v>84</v>
      </c>
      <c r="F82" s="14">
        <v>371.28</v>
      </c>
      <c r="G82" s="14">
        <v>-479.60648713457419</v>
      </c>
      <c r="H82" s="15">
        <v>-1.2917649405693121</v>
      </c>
      <c r="I82" s="16">
        <v>-5.71</v>
      </c>
    </row>
    <row r="83" spans="2:9" ht="16.350000000000001" customHeight="1" x14ac:dyDescent="0.25">
      <c r="B83" s="26"/>
      <c r="C83" s="22" t="s">
        <v>82</v>
      </c>
      <c r="D83" s="22"/>
      <c r="E83" s="19">
        <v>84</v>
      </c>
      <c r="F83" s="19">
        <v>371.28</v>
      </c>
      <c r="G83" s="19">
        <v>-479.60648713457419</v>
      </c>
      <c r="H83" s="20">
        <v>-1.2917649405693121</v>
      </c>
      <c r="I83" s="21" t="s">
        <v>91</v>
      </c>
    </row>
    <row r="84" spans="2:9" ht="16.350000000000001" customHeight="1" x14ac:dyDescent="0.25">
      <c r="B84" s="27" t="s">
        <v>24</v>
      </c>
      <c r="C84" s="22"/>
      <c r="D84" s="22"/>
      <c r="E84" s="19">
        <v>84</v>
      </c>
      <c r="F84" s="19">
        <v>371.28</v>
      </c>
      <c r="G84" s="19">
        <v>-479.60648713457419</v>
      </c>
      <c r="H84" s="20">
        <v>-1.2917649405693121</v>
      </c>
      <c r="I84" s="21">
        <v>-5.71</v>
      </c>
    </row>
    <row r="85" spans="2:9" x14ac:dyDescent="0.25">
      <c r="B85" s="26" t="s">
        <v>25</v>
      </c>
      <c r="C85" s="13" t="s">
        <v>14</v>
      </c>
      <c r="D85" s="13" t="s">
        <v>23</v>
      </c>
      <c r="E85" s="14">
        <v>1544</v>
      </c>
      <c r="F85" s="14">
        <v>6824.48</v>
      </c>
      <c r="G85" s="14">
        <v>501.0246187040085</v>
      </c>
      <c r="H85" s="15">
        <v>7.3415794127026313E-2</v>
      </c>
      <c r="I85" s="16">
        <v>0.33</v>
      </c>
    </row>
    <row r="86" spans="2:9" ht="16.350000000000001" customHeight="1" x14ac:dyDescent="0.25">
      <c r="B86" s="26"/>
      <c r="C86" s="22" t="s">
        <v>82</v>
      </c>
      <c r="D86" s="22"/>
      <c r="E86" s="19">
        <v>1544</v>
      </c>
      <c r="F86" s="19">
        <v>6824.48</v>
      </c>
      <c r="G86" s="19">
        <v>501.0246187040085</v>
      </c>
      <c r="H86" s="20">
        <v>7.3415794127026313E-2</v>
      </c>
      <c r="I86" s="21" t="s">
        <v>91</v>
      </c>
    </row>
    <row r="87" spans="2:9" ht="16.350000000000001" customHeight="1" x14ac:dyDescent="0.25">
      <c r="B87" s="27" t="s">
        <v>26</v>
      </c>
      <c r="C87" s="22"/>
      <c r="D87" s="22"/>
      <c r="E87" s="19">
        <v>1544</v>
      </c>
      <c r="F87" s="19">
        <v>6824.48</v>
      </c>
      <c r="G87" s="19">
        <v>501.0246187040085</v>
      </c>
      <c r="H87" s="20">
        <v>7.3415794127026313E-2</v>
      </c>
      <c r="I87" s="21">
        <v>0.33</v>
      </c>
    </row>
    <row r="88" spans="2:9" x14ac:dyDescent="0.25">
      <c r="B88" s="26" t="s">
        <v>27</v>
      </c>
      <c r="C88" s="13" t="s">
        <v>14</v>
      </c>
      <c r="D88" s="13" t="s">
        <v>23</v>
      </c>
      <c r="E88" s="14">
        <v>125</v>
      </c>
      <c r="F88" s="14">
        <v>552.5</v>
      </c>
      <c r="G88" s="14">
        <v>-58.691563429880873</v>
      </c>
      <c r="H88" s="15">
        <v>-0.10622907408123235</v>
      </c>
      <c r="I88" s="16">
        <v>-0.47000000000000003</v>
      </c>
    </row>
    <row r="89" spans="2:9" ht="16.350000000000001" customHeight="1" x14ac:dyDescent="0.25">
      <c r="B89" s="26"/>
      <c r="C89" s="22" t="s">
        <v>82</v>
      </c>
      <c r="D89" s="22"/>
      <c r="E89" s="19">
        <v>125</v>
      </c>
      <c r="F89" s="19">
        <v>552.5</v>
      </c>
      <c r="G89" s="19">
        <v>-58.691563429880873</v>
      </c>
      <c r="H89" s="20">
        <v>-0.10622907408123235</v>
      </c>
      <c r="I89" s="21" t="s">
        <v>91</v>
      </c>
    </row>
    <row r="90" spans="2:9" ht="16.350000000000001" customHeight="1" x14ac:dyDescent="0.25">
      <c r="B90" s="27" t="s">
        <v>28</v>
      </c>
      <c r="C90" s="22"/>
      <c r="D90" s="22"/>
      <c r="E90" s="19">
        <v>125</v>
      </c>
      <c r="F90" s="19">
        <v>552.5</v>
      </c>
      <c r="G90" s="19">
        <v>-58.691563429880873</v>
      </c>
      <c r="H90" s="20">
        <v>-0.10622907408123235</v>
      </c>
      <c r="I90" s="21">
        <v>-0.47000000000000003</v>
      </c>
    </row>
    <row r="91" spans="2:9" ht="18.2" customHeight="1" x14ac:dyDescent="0.25">
      <c r="B91" s="6" t="s">
        <v>58</v>
      </c>
      <c r="C91" s="6"/>
      <c r="D91" s="6"/>
      <c r="E91" s="7">
        <v>1020477</v>
      </c>
      <c r="F91" s="7">
        <v>1788570.0699999994</v>
      </c>
      <c r="G91" s="7">
        <v>158354.87</v>
      </c>
      <c r="H91" s="17">
        <v>8.8537135142823922E-2</v>
      </c>
      <c r="I91" s="18"/>
    </row>
  </sheetData>
  <mergeCells count="2">
    <mergeCell ref="B2:I2"/>
    <mergeCell ref="B3:I3"/>
  </mergeCells>
  <printOptions horizontalCentered="1"/>
  <pageMargins left="0.5" right="0.5" top="0.75" bottom="0.75" header="0.3" footer="0.3"/>
  <pageSetup scale="4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{HOME}</vt:lpstr>
      <vt:lpstr>RESULTS</vt:lpstr>
      <vt:lpstr>RESULTS!Print_Area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2024-02-28T02:28:30Z</cp:lastPrinted>
  <dcterms:created xsi:type="dcterms:W3CDTF">2024-02-27T01:53:24Z</dcterms:created>
  <dcterms:modified xsi:type="dcterms:W3CDTF">2024-02-28T02:28:35Z</dcterms:modified>
</cp:coreProperties>
</file>