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IT\RPA IT\Report P-L\DEV\"/>
    </mc:Choice>
  </mc:AlternateContent>
  <xr:revisionPtr revIDLastSave="0" documentId="13_ncr:1_{189470A6-FA24-4278-86D4-87809EC7F9EE}" xr6:coauthVersionLast="47" xr6:coauthVersionMax="47" xr10:uidLastSave="{00000000-0000-0000-0000-000000000000}"/>
  <bookViews>
    <workbookView xWindow="-120" yWindow="-120" windowWidth="20730" windowHeight="11160" xr2:uid="{4F06FDC6-C426-4E75-820F-32A3B4633203}"/>
  </bookViews>
  <sheets>
    <sheet name="{HOME}" sheetId="1" r:id="rId1"/>
    <sheet name="RESULTS" sheetId="218" r:id="rId2"/>
  </sheets>
  <functionGroups builtInGroupCount="19"/>
  <definedNames>
    <definedName name="_xlnm.Print_Area" localSheetId="1">RESULTS!$B$1:$G$64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<sst xmlns="http://schemas.openxmlformats.org/spreadsheetml/2006/main" count="119" uniqueCount="82">
  <si>
    <t>NAMA FILE</t>
  </si>
  <si>
    <t>PATH FILE</t>
  </si>
  <si>
    <t>FORMAT FILE</t>
  </si>
  <si>
    <t>GI-IS - Cost Factory Report</t>
  </si>
  <si>
    <t>\\10.8.0.35\Bersama\IT\RPA IT\Report P-L</t>
  </si>
  <si>
    <t>.xlsx</t>
  </si>
  <si>
    <t>Keterangan Product</t>
  </si>
  <si>
    <t>.pdf</t>
  </si>
  <si>
    <t>\\10.8.0.35\Bersama\IT\RPA IT\Report P-L\FILE COST</t>
  </si>
  <si>
    <t>\\10.8.0.35\Bersama\IT\RPA IT\Report P-L\FILE KETERANGAN PRODUCT.</t>
  </si>
  <si>
    <t>Factory</t>
  </si>
  <si>
    <t>Buyer</t>
  </si>
  <si>
    <t>CBA</t>
  </si>
  <si>
    <t>MARUBENI CORPORATION JEPANG</t>
  </si>
  <si>
    <t>MARUBENI CORPORATION JEPANG Total</t>
  </si>
  <si>
    <t>CHW</t>
  </si>
  <si>
    <t>EIGERINDO MULTI PRODUK INDUSTRI, PT.</t>
  </si>
  <si>
    <t>EIGERINDO MULTI PRODUK INDUSTRI, PT. Total</t>
  </si>
  <si>
    <t>MATSUOKA TRADING CO., LTD.</t>
  </si>
  <si>
    <t>MATSUOKA TRADING CO., LTD. Total</t>
  </si>
  <si>
    <t>PT BERJAYA SERVICE INDONESIA</t>
  </si>
  <si>
    <t>HIJAB</t>
  </si>
  <si>
    <t>PT BERJAYA SERVICE INDONESIA Total</t>
  </si>
  <si>
    <t>STYLEM HONGKONG</t>
  </si>
  <si>
    <t>SKIRT</t>
  </si>
  <si>
    <t>STYLEM HONGKONG Total</t>
  </si>
  <si>
    <t>STYLEM JAPAN</t>
  </si>
  <si>
    <t>STYLEM JAPAN Total</t>
  </si>
  <si>
    <t>STYLEM TAIWAN</t>
  </si>
  <si>
    <t>STYLEM TAIWAN Total</t>
  </si>
  <si>
    <t>CJL</t>
  </si>
  <si>
    <t>PT FINDORA INTERNUSA</t>
  </si>
  <si>
    <t>PT FINDORA INTERNUSA Total</t>
  </si>
  <si>
    <t>PT MERDEKA COOPER GOLD</t>
  </si>
  <si>
    <t>PANTS</t>
  </si>
  <si>
    <t>PT MERDEKA COOPER GOLD Total</t>
  </si>
  <si>
    <t>CNJ2</t>
  </si>
  <si>
    <t>H&amp;M</t>
  </si>
  <si>
    <t>BOXER</t>
  </si>
  <si>
    <t>H&amp;M Total</t>
  </si>
  <si>
    <t xml:space="preserve">TOP  </t>
  </si>
  <si>
    <t>SHINATOMO CO .,LTD</t>
  </si>
  <si>
    <t>SHINATOMO CO .,LTD Total</t>
  </si>
  <si>
    <t>CVA</t>
  </si>
  <si>
    <t>ASMARA KARYA ABADI, PT.</t>
  </si>
  <si>
    <t>ASMARA KARYA ABADI, PT. Total</t>
  </si>
  <si>
    <t>KANMO RETAIL GROUP</t>
  </si>
  <si>
    <t>KANMO RETAIL GROUP Total</t>
  </si>
  <si>
    <t>MARUBENI FASHION LINK LTD.</t>
  </si>
  <si>
    <t>PSHRT</t>
  </si>
  <si>
    <t>MARUBENI FASHION LINK LTD. Total</t>
  </si>
  <si>
    <t>CVA2</t>
  </si>
  <si>
    <t>KLB</t>
  </si>
  <si>
    <t>AGRON, INC.</t>
  </si>
  <si>
    <t>AGRON, INC. Total</t>
  </si>
  <si>
    <t>MJ1</t>
  </si>
  <si>
    <t>HEXAPOLE COMPANY LIMITED</t>
  </si>
  <si>
    <t>HEXAPOLE COMPANY LIMITED Total</t>
  </si>
  <si>
    <t>MJ2</t>
  </si>
  <si>
    <t>Grand Total</t>
  </si>
  <si>
    <t>Product</t>
  </si>
  <si>
    <t>BRIEF</t>
  </si>
  <si>
    <t>CREW NECK</t>
  </si>
  <si>
    <t>TANK TOP</t>
  </si>
  <si>
    <t>LEGGING</t>
  </si>
  <si>
    <t>HOODY</t>
  </si>
  <si>
    <t>LONG PANTS</t>
  </si>
  <si>
    <t>LONG SHORT PANTS</t>
  </si>
  <si>
    <t>SHORT PANTS</t>
  </si>
  <si>
    <t>JOGGER</t>
  </si>
  <si>
    <t>T-SHIRT SHORT SLEEVE</t>
  </si>
  <si>
    <t>T-SHIRT</t>
  </si>
  <si>
    <t>CARGO PANTS</t>
  </si>
  <si>
    <t>FOODWEAR</t>
  </si>
  <si>
    <t>JACKET</t>
  </si>
  <si>
    <t>UNIFORM</t>
  </si>
  <si>
    <t>BOX TOLKNING</t>
  </si>
  <si>
    <t>Quantity</t>
  </si>
  <si>
    <t>Sales</t>
  </si>
  <si>
    <t>Profit/Loss (USD)</t>
  </si>
  <si>
    <t>Resume Profit Loss Februari'24</t>
  </si>
  <si>
    <t>▼Tombol ΞΞΞΞΞΞΞΞΞΞΞΞΞΞΞΞΞΞΞΞΞΞΞΞΞΞΞΞΞΞΞΞΞΞΞΞΞΞΞΞΞΞΞΞΞΞΞΞΞΞΞΞΞΞΞΞΞΞΞΞΞΞΞΞΞΞΞΞΞΞΞΞΞΞΞΞΞΞΞΞΞΞΞΞΞΞΞΞΞΞΞΞΞΞΞΞΞ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</si>
</sst>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#,##0_);[Red]\(#,##0\);_(* &quot;-&quot;??_)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i/>
      <sz val="11"/>
      <color rgb="FF0270C0"/>
      <name val="Verdana"/>
      <family val="2"/>
    </font>
    <font>
      <b/>
      <sz val="12"/>
      <color rgb="FFFFFFFF"/>
      <name val="Century Gothic"/>
      <family val="2"/>
    </font>
    <font>
      <b/>
      <sz val="11"/>
      <color rgb="FF000000"/>
      <name val="Verdana"/>
      <family val="2"/>
    </font>
    <font>
      <b/>
      <sz val="28"/>
      <color rgb="FFFFFFFF"/>
      <name val="Calibri Light"/>
      <family val="2"/>
    </font>
    <font>
      <sz val="11"/>
      <color theme="3" tint="-0.249977111117893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346265"/>
        <bgColor indexed="64"/>
      </patternFill>
    </fill>
    <fill>
      <patternFill patternType="solid">
        <fgColor rgb="FFFFFFFF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00646E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4" fillId="2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6" fontId="2" fillId="3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center" vertical="center"/>
    </xf>
    <xf numFmtId="166" fontId="2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/>
    <xf numFmtId="0" fontId="3" fillId="3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2" fillId="7" borderId="2" xfId="0" applyFont="1" applyFill="1" applyBorder="1"/>
    <xf numFmtId="0" fontId="6" fillId="6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1" fillId="0" borderId="0" xfId="1" applyAlignment="1">
      <alignment vertical="center"/>
    </xf>
    <xf numFmtId="0" fontId="7" fillId="8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46265"/>
      <color rgb="FF4F92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1</xdr:row>
      <xdr:rowOff>104775</xdr:rowOff>
    </xdr:from>
    <xdr:to>
      <xdr:col>2</xdr:col>
      <xdr:colOff>1133475</xdr:colOff>
      <xdr:row>3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F6EEBB-31F2-EAA2-E39D-8D21B7E45D2C}"/>
            </a:ext>
          </a:extLst>
        </xdr:cNvPr>
        <xdr:cNvSpPr/>
      </xdr:nvSpPr>
      <xdr:spPr>
        <a:xfrm>
          <a:off x="781051" y="523875"/>
          <a:ext cx="1114424" cy="428625"/>
        </a:xfrm>
        <a:prstGeom prst="roundRect">
          <a:avLst/>
        </a:prstGeom>
        <a:solidFill>
          <a:schemeClr val="accent5">
            <a:lumMod val="75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EXECUTE</a:t>
          </a:r>
          <a:endParaRPr lang="en-US" sz="1100" b="1">
            <a:solidFill>
              <a:schemeClr val="tx1"/>
            </a:solidFill>
            <a:latin typeface="JetBrains Mono" panose="02000009000000000000" pitchFamily="49" charset="0"/>
            <a:ea typeface="JetBrains Mono" panose="02000009000000000000" pitchFamily="49" charset="0"/>
            <a:cs typeface="JetBrains Mono" panose="02000009000000000000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Report%20P-L" TargetMode="External"/><Relationship Id="rId2" Type="http://schemas.openxmlformats.org/officeDocument/2006/relationships/hyperlink" Target="../FILE%20KETERANGAN%20PRODUCT." TargetMode="External"/><Relationship Id="rId1" Type="http://schemas.openxmlformats.org/officeDocument/2006/relationships/hyperlink" Target="../FILE%20COST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4BCB-C2A5-4825-9939-4065D21A73E0}">
  <sheetPr codeName="HOME">
    <tabColor rgb="FFFFC000"/>
  </sheetPr>
  <dimension ref="C1:E10"/>
  <sheetViews>
    <sheetView showGridLines="0" tabSelected="1" workbookViewId="0"/>
  </sheetViews>
  <sheetFormatPr defaultRowHeight="15" x14ac:dyDescent="0.25"/>
  <cols>
    <col min="1" max="2" width="5.7109375" style="15" customWidth="1"/>
    <col min="3" max="3" width="29.28515625" style="15" bestFit="1" customWidth="1"/>
    <col min="4" max="4" width="65.7109375" style="15" bestFit="1" customWidth="1"/>
    <col min="5" max="5" width="12.42578125" style="15" bestFit="1" customWidth="1"/>
    <col min="6" max="16384" width="9.140625" style="15"/>
  </cols>
  <sheetData>
    <row r="1" spans="3:5" ht="33" customHeight="1" x14ac:dyDescent="0.25">
      <c r="C1" s="19" t="s">
        <v>81</v>
      </c>
      <c r="D1" s="19"/>
      <c r="E1" s="19"/>
    </row>
    <row r="2" spans="3:5" ht="20.100000000000001" customHeight="1" x14ac:dyDescent="0.25"/>
    <row r="3" spans="3:5" ht="20.100000000000001" customHeight="1" x14ac:dyDescent="0.25"/>
    <row r="4" spans="3:5" ht="20.100000000000001" customHeight="1" x14ac:dyDescent="0.25"/>
    <row r="5" spans="3:5" ht="5.0999999999999996" customHeight="1" x14ac:dyDescent="0.25">
      <c r="C5" s="18"/>
      <c r="D5" s="18"/>
      <c r="E5" s="18"/>
    </row>
    <row r="6" spans="3:5" ht="17.100000000000001" customHeight="1" x14ac:dyDescent="0.25">
      <c r="C6" s="15" t="s">
        <v>0</v>
      </c>
      <c r="D6" s="15" t="s">
        <v>1</v>
      </c>
      <c r="E6" s="15" t="s">
        <v>2</v>
      </c>
    </row>
    <row r="7" spans="3:5" ht="17.100000000000001" customHeight="1" x14ac:dyDescent="0.25">
      <c r="C7" s="15" t="s">
        <v>3</v>
      </c>
      <c r="D7" s="17" t="s">
        <v>8</v>
      </c>
      <c r="E7" s="15" t="s">
        <v>5</v>
      </c>
    </row>
    <row r="8" spans="3:5" ht="17.100000000000001" customHeight="1" x14ac:dyDescent="0.25">
      <c r="C8" s="15" t="s">
        <v>6</v>
      </c>
      <c r="D8" s="17" t="s">
        <v>9</v>
      </c>
      <c r="E8" s="15" t="s">
        <v>5</v>
      </c>
    </row>
    <row r="9" spans="3:5" ht="17.100000000000001" customHeight="1" x14ac:dyDescent="0.25">
      <c r="C9" s="15" t="str">
        <f ca="1">"Resume Profit and Loss - "&amp;TEXT(NOW(),"[$-id-ID]mmm" &amp; "'" &amp; "yy")</f>
        <v>Resume Profit and Loss - Feb'24</v>
      </c>
      <c r="D9" s="17" t="s">
        <v>4</v>
      </c>
      <c r="E9" s="15" t="s">
        <v>7</v>
      </c>
    </row>
    <row r="10" spans="3:5" ht="5.0999999999999996" customHeight="1" x14ac:dyDescent="0.25">
      <c r="C10" s="16"/>
      <c r="D10" s="16"/>
      <c r="E10" s="16"/>
    </row>
  </sheetData>
  <mergeCells count="1">
    <mergeCell ref="C1:E1"/>
  </mergeCells>
  <hyperlinks>
    <hyperlink ref="D7" r:id="rId1" xr:uid="{1973B78F-8AAB-440D-91A6-171430D4C7BA}"/>
    <hyperlink ref="D8" r:id="rId2" xr:uid="{20781B6F-99E5-444C-B75E-1D67C7C37C0C}"/>
    <hyperlink ref="D9" r:id="rId3" xr:uid="{4D7ED2FE-E4C2-4560-AA8E-5F9CABF305EB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73CB-7BD9-4D92-87AB-6410BB976103}">
  <sheetPr codeName="Sheet218">
    <tabColor rgb="FF4F9297"/>
    <pageSetUpPr fitToPage="1"/>
  </sheetPr>
  <dimension ref="B2:G64"/>
  <sheetViews>
    <sheetView zoomScale="80" zoomScaleNormal="80" workbookViewId="0">
      <pane ySplit="4" topLeftCell="A5" activePane="bottomLeft" state="frozen"/>
      <selection pane="bottomLeft"/>
    </sheetView>
  </sheetViews>
  <sheetFormatPr defaultRowHeight="14.25" x14ac:dyDescent="0.2"/>
  <cols>
    <col min="1" max="1" width="3.7109375" style="1" customWidth="1"/>
    <col min="2" max="2" width="56.28515625" style="1" bestFit="1" customWidth="1"/>
    <col min="3" max="3" width="9.85546875" style="1" bestFit="1" customWidth="1"/>
    <col min="4" max="4" width="28" style="1" bestFit="1" customWidth="1"/>
    <col min="5" max="5" width="13.140625" style="1" bestFit="1" customWidth="1"/>
    <col min="6" max="6" width="15.7109375" style="1" bestFit="1" customWidth="1"/>
    <col min="7" max="7" width="19.85546875" style="1" bestFit="1" customWidth="1"/>
    <col min="8" max="16384" width="9.140625" style="1"/>
  </cols>
  <sheetData>
    <row r="2" spans="2:7" ht="45.95" customHeight="1" x14ac:dyDescent="0.2">
      <c r="B2" s="14" t="s">
        <v>80</v>
      </c>
      <c r="C2" s="14"/>
      <c r="D2" s="14"/>
      <c r="E2" s="14"/>
      <c r="F2" s="14"/>
      <c r="G2" s="14"/>
    </row>
    <row r="3" spans="2:7" ht="19.350000000000001" customHeight="1" x14ac:dyDescent="0.2">
      <c r="B3" s="13"/>
      <c r="C3" s="13"/>
      <c r="D3" s="13"/>
      <c r="E3" s="13"/>
      <c r="F3" s="13"/>
      <c r="G3" s="13"/>
    </row>
    <row r="4" spans="2:7" ht="18.95" customHeight="1" x14ac:dyDescent="0.2">
      <c r="B4" s="2" t="s">
        <v>11</v>
      </c>
      <c r="C4" s="2" t="s">
        <v>10</v>
      </c>
      <c r="D4" s="2" t="s">
        <v>60</v>
      </c>
      <c r="E4" s="2" t="s">
        <v>77</v>
      </c>
      <c r="F4" s="2" t="s">
        <v>78</v>
      </c>
      <c r="G4" s="2" t="s">
        <v>79</v>
      </c>
    </row>
    <row r="5" spans="2:7" ht="16.350000000000001" customHeight="1" x14ac:dyDescent="0.2">
      <c r="B5" s="3" t="s">
        <v>53</v>
      </c>
      <c r="C5" s="4" t="s">
        <v>52</v>
      </c>
      <c r="D5" s="4" t="s">
        <v>61</v>
      </c>
      <c r="E5" s="5">
        <v>187320</v>
      </c>
      <c r="F5" s="5">
        <v>321652.53000000003</v>
      </c>
      <c r="G5" s="5">
        <v>57511.400000000016</v>
      </c>
    </row>
    <row r="6" spans="2:7" ht="16.350000000000001" customHeight="1" x14ac:dyDescent="0.2">
      <c r="B6" s="6"/>
      <c r="C6" s="7" t="s">
        <v>55</v>
      </c>
      <c r="D6" s="7" t="s">
        <v>61</v>
      </c>
      <c r="E6" s="8">
        <v>108711</v>
      </c>
      <c r="F6" s="8">
        <v>155319.87</v>
      </c>
      <c r="G6" s="8">
        <v>24239.253592938734</v>
      </c>
    </row>
    <row r="7" spans="2:7" ht="16.350000000000001" customHeight="1" x14ac:dyDescent="0.2">
      <c r="B7" s="3"/>
      <c r="C7" s="4"/>
      <c r="D7" s="4" t="s">
        <v>62</v>
      </c>
      <c r="E7" s="5">
        <v>3274</v>
      </c>
      <c r="F7" s="5">
        <v>12155.28</v>
      </c>
      <c r="G7" s="5">
        <v>-2041.0876113360323</v>
      </c>
    </row>
    <row r="8" spans="2:7" ht="16.350000000000001" customHeight="1" x14ac:dyDescent="0.2">
      <c r="B8" s="6"/>
      <c r="C8" s="7"/>
      <c r="D8" s="7" t="s">
        <v>63</v>
      </c>
      <c r="E8" s="8">
        <v>8586</v>
      </c>
      <c r="F8" s="8">
        <v>27457.5</v>
      </c>
      <c r="G8" s="8">
        <v>-6115.3600000000006</v>
      </c>
    </row>
    <row r="9" spans="2:7" ht="16.350000000000001" customHeight="1" x14ac:dyDescent="0.2">
      <c r="B9" s="3"/>
      <c r="C9" s="4" t="s">
        <v>58</v>
      </c>
      <c r="D9" s="4" t="s">
        <v>61</v>
      </c>
      <c r="E9" s="5">
        <v>369791</v>
      </c>
      <c r="F9" s="5">
        <v>654551.22</v>
      </c>
      <c r="G9" s="5">
        <v>76704.950000000041</v>
      </c>
    </row>
    <row r="10" spans="2:7" ht="16.350000000000001" customHeight="1" x14ac:dyDescent="0.2">
      <c r="B10" s="9" t="s">
        <v>54</v>
      </c>
      <c r="C10" s="7"/>
      <c r="D10" s="7"/>
      <c r="E10" s="8">
        <v>677682</v>
      </c>
      <c r="F10" s="8">
        <v>1171136.3999999999</v>
      </c>
      <c r="G10" s="8">
        <v>150299.15598160276</v>
      </c>
    </row>
    <row r="11" spans="2:7" ht="16.350000000000001" customHeight="1" x14ac:dyDescent="0.2">
      <c r="B11" s="3" t="s">
        <v>44</v>
      </c>
      <c r="C11" s="4" t="s">
        <v>43</v>
      </c>
      <c r="D11" s="4" t="s">
        <v>64</v>
      </c>
      <c r="E11" s="5">
        <v>2766</v>
      </c>
      <c r="F11" s="5">
        <v>15080.570000000002</v>
      </c>
      <c r="G11" s="5">
        <v>-6085.1271420565399</v>
      </c>
    </row>
    <row r="12" spans="2:7" ht="16.350000000000001" customHeight="1" x14ac:dyDescent="0.2">
      <c r="B12" s="6"/>
      <c r="C12" s="7"/>
      <c r="D12" s="7" t="s">
        <v>40</v>
      </c>
      <c r="E12" s="8">
        <v>4359</v>
      </c>
      <c r="F12" s="8">
        <v>18750.63</v>
      </c>
      <c r="G12" s="8">
        <v>-12567.282210305095</v>
      </c>
    </row>
    <row r="13" spans="2:7" ht="16.350000000000001" customHeight="1" x14ac:dyDescent="0.2">
      <c r="B13" s="10" t="s">
        <v>45</v>
      </c>
      <c r="C13" s="4"/>
      <c r="D13" s="4"/>
      <c r="E13" s="5">
        <v>7125</v>
      </c>
      <c r="F13" s="5">
        <v>33831.200000000004</v>
      </c>
      <c r="G13" s="5">
        <v>-18652.409352361636</v>
      </c>
    </row>
    <row r="14" spans="2:7" ht="16.350000000000001" customHeight="1" x14ac:dyDescent="0.2">
      <c r="B14" s="6" t="s">
        <v>16</v>
      </c>
      <c r="C14" s="7" t="s">
        <v>15</v>
      </c>
      <c r="D14" s="7" t="s">
        <v>65</v>
      </c>
      <c r="E14" s="8">
        <v>1356</v>
      </c>
      <c r="F14" s="8">
        <v>11309.039999999999</v>
      </c>
      <c r="G14" s="8">
        <v>-421.57716968477536</v>
      </c>
    </row>
    <row r="15" spans="2:7" ht="16.350000000000001" customHeight="1" x14ac:dyDescent="0.2">
      <c r="B15" s="3"/>
      <c r="C15" s="4" t="s">
        <v>30</v>
      </c>
      <c r="D15" s="4" t="s">
        <v>65</v>
      </c>
      <c r="E15" s="5">
        <v>1334</v>
      </c>
      <c r="F15" s="5">
        <v>11272.3</v>
      </c>
      <c r="G15" s="5">
        <v>-424.22760248942382</v>
      </c>
    </row>
    <row r="16" spans="2:7" ht="16.350000000000001" customHeight="1" x14ac:dyDescent="0.2">
      <c r="B16" s="6"/>
      <c r="C16" s="7" t="s">
        <v>55</v>
      </c>
      <c r="D16" s="7" t="s">
        <v>34</v>
      </c>
      <c r="E16" s="8">
        <v>955</v>
      </c>
      <c r="F16" s="8">
        <v>7429.9</v>
      </c>
      <c r="G16" s="8">
        <v>-3473.55</v>
      </c>
    </row>
    <row r="17" spans="2:7" ht="16.350000000000001" customHeight="1" x14ac:dyDescent="0.2">
      <c r="B17" s="10" t="s">
        <v>17</v>
      </c>
      <c r="C17" s="4"/>
      <c r="D17" s="4"/>
      <c r="E17" s="5">
        <v>3645</v>
      </c>
      <c r="F17" s="5">
        <v>30011.239999999998</v>
      </c>
      <c r="G17" s="5">
        <v>-4319.3547721741998</v>
      </c>
    </row>
    <row r="18" spans="2:7" ht="16.350000000000001" customHeight="1" x14ac:dyDescent="0.2">
      <c r="B18" s="6" t="s">
        <v>37</v>
      </c>
      <c r="C18" s="7" t="s">
        <v>36</v>
      </c>
      <c r="D18" s="7" t="s">
        <v>38</v>
      </c>
      <c r="E18" s="8">
        <v>5385</v>
      </c>
      <c r="F18" s="8">
        <v>7653.0899999999983</v>
      </c>
      <c r="G18" s="8">
        <v>20.769999999999925</v>
      </c>
    </row>
    <row r="19" spans="2:7" ht="16.350000000000001" customHeight="1" x14ac:dyDescent="0.2">
      <c r="B19" s="10" t="s">
        <v>39</v>
      </c>
      <c r="C19" s="4"/>
      <c r="D19" s="4"/>
      <c r="E19" s="5">
        <v>5385</v>
      </c>
      <c r="F19" s="5">
        <v>7653.0899999999983</v>
      </c>
      <c r="G19" s="5">
        <v>20.769999999999925</v>
      </c>
    </row>
    <row r="20" spans="2:7" ht="16.350000000000001" customHeight="1" x14ac:dyDescent="0.2">
      <c r="B20" s="6" t="s">
        <v>56</v>
      </c>
      <c r="C20" s="7" t="s">
        <v>55</v>
      </c>
      <c r="D20" s="7" t="s">
        <v>66</v>
      </c>
      <c r="E20" s="8">
        <v>2700</v>
      </c>
      <c r="F20" s="8">
        <v>15390</v>
      </c>
      <c r="G20" s="8">
        <v>5538.7855333509351</v>
      </c>
    </row>
    <row r="21" spans="2:7" ht="16.350000000000001" customHeight="1" x14ac:dyDescent="0.2">
      <c r="B21" s="3"/>
      <c r="C21" s="4"/>
      <c r="D21" s="4" t="s">
        <v>67</v>
      </c>
      <c r="E21" s="5">
        <v>5</v>
      </c>
      <c r="F21" s="5">
        <v>27.75</v>
      </c>
      <c r="G21" s="5">
        <v>8.7884615384615365</v>
      </c>
    </row>
    <row r="22" spans="2:7" ht="16.350000000000001" customHeight="1" x14ac:dyDescent="0.2">
      <c r="B22" s="6"/>
      <c r="C22" s="7"/>
      <c r="D22" s="7" t="s">
        <v>68</v>
      </c>
      <c r="E22" s="8">
        <v>3449</v>
      </c>
      <c r="F22" s="8">
        <v>16382.75</v>
      </c>
      <c r="G22" s="8">
        <v>1223.8100235079014</v>
      </c>
    </row>
    <row r="23" spans="2:7" ht="16.350000000000001" customHeight="1" x14ac:dyDescent="0.2">
      <c r="B23" s="10" t="s">
        <v>57</v>
      </c>
      <c r="C23" s="4"/>
      <c r="D23" s="4"/>
      <c r="E23" s="5">
        <v>6154</v>
      </c>
      <c r="F23" s="5">
        <v>31800.5</v>
      </c>
      <c r="G23" s="5">
        <v>6771.3840183972989</v>
      </c>
    </row>
    <row r="24" spans="2:7" ht="16.350000000000001" customHeight="1" x14ac:dyDescent="0.2">
      <c r="B24" s="6" t="s">
        <v>46</v>
      </c>
      <c r="C24" s="7" t="s">
        <v>43</v>
      </c>
      <c r="D24" s="7" t="s">
        <v>69</v>
      </c>
      <c r="E24" s="8">
        <v>799</v>
      </c>
      <c r="F24" s="8">
        <v>3739.3199999999997</v>
      </c>
      <c r="G24" s="8">
        <v>392.76714728904744</v>
      </c>
    </row>
    <row r="25" spans="2:7" ht="16.350000000000001" customHeight="1" x14ac:dyDescent="0.2">
      <c r="B25" s="3"/>
      <c r="C25" s="4"/>
      <c r="D25" s="4" t="s">
        <v>68</v>
      </c>
      <c r="E25" s="5">
        <v>2954</v>
      </c>
      <c r="F25" s="5">
        <v>9216.4799999999977</v>
      </c>
      <c r="G25" s="5">
        <v>335.99694963990157</v>
      </c>
    </row>
    <row r="26" spans="2:7" ht="16.350000000000001" customHeight="1" x14ac:dyDescent="0.2">
      <c r="B26" s="6"/>
      <c r="C26" s="7"/>
      <c r="D26" s="7" t="s">
        <v>71</v>
      </c>
      <c r="E26" s="8">
        <v>2366</v>
      </c>
      <c r="F26" s="8">
        <v>7713.14</v>
      </c>
      <c r="G26" s="8">
        <v>-92.128552506219123</v>
      </c>
    </row>
    <row r="27" spans="2:7" ht="16.350000000000001" customHeight="1" x14ac:dyDescent="0.2">
      <c r="B27" s="3"/>
      <c r="C27" s="4"/>
      <c r="D27" s="4" t="s">
        <v>70</v>
      </c>
      <c r="E27" s="5">
        <v>5329</v>
      </c>
      <c r="F27" s="5">
        <v>15489.95</v>
      </c>
      <c r="G27" s="5">
        <v>701.52528241208745</v>
      </c>
    </row>
    <row r="28" spans="2:7" ht="16.350000000000001" customHeight="1" x14ac:dyDescent="0.2">
      <c r="B28" s="6"/>
      <c r="C28" s="7" t="s">
        <v>51</v>
      </c>
      <c r="D28" s="7" t="s">
        <v>69</v>
      </c>
      <c r="E28" s="8">
        <v>918</v>
      </c>
      <c r="F28" s="8">
        <v>4296.24</v>
      </c>
      <c r="G28" s="8">
        <v>28.143577235772398</v>
      </c>
    </row>
    <row r="29" spans="2:7" ht="16.350000000000001" customHeight="1" x14ac:dyDescent="0.2">
      <c r="B29" s="3"/>
      <c r="C29" s="4"/>
      <c r="D29" s="4" t="s">
        <v>64</v>
      </c>
      <c r="E29" s="5">
        <v>1070</v>
      </c>
      <c r="F29" s="5">
        <v>2760.6000000000004</v>
      </c>
      <c r="G29" s="5">
        <v>-401.3235772357724</v>
      </c>
    </row>
    <row r="30" spans="2:7" ht="16.350000000000001" customHeight="1" x14ac:dyDescent="0.2">
      <c r="B30" s="6"/>
      <c r="C30" s="7"/>
      <c r="D30" s="7" t="s">
        <v>34</v>
      </c>
      <c r="E30" s="8">
        <v>2515</v>
      </c>
      <c r="F30" s="8">
        <v>4602.4500000000007</v>
      </c>
      <c r="G30" s="8">
        <v>1704.65</v>
      </c>
    </row>
    <row r="31" spans="2:7" ht="16.350000000000001" customHeight="1" x14ac:dyDescent="0.2">
      <c r="B31" s="10" t="s">
        <v>47</v>
      </c>
      <c r="C31" s="4"/>
      <c r="D31" s="4"/>
      <c r="E31" s="5">
        <v>15951</v>
      </c>
      <c r="F31" s="5">
        <v>47818.179999999993</v>
      </c>
      <c r="G31" s="5">
        <v>2669.6308268348175</v>
      </c>
    </row>
    <row r="32" spans="2:7" ht="16.350000000000001" customHeight="1" x14ac:dyDescent="0.2">
      <c r="B32" s="6" t="s">
        <v>13</v>
      </c>
      <c r="C32" s="7" t="s">
        <v>12</v>
      </c>
      <c r="D32" s="7" t="s">
        <v>72</v>
      </c>
      <c r="E32" s="8">
        <v>7813</v>
      </c>
      <c r="F32" s="8">
        <v>26264.410000000003</v>
      </c>
      <c r="G32" s="8">
        <v>2494.9100000000003</v>
      </c>
    </row>
    <row r="33" spans="2:7" ht="16.350000000000001" customHeight="1" x14ac:dyDescent="0.2">
      <c r="B33" s="3"/>
      <c r="C33" s="4"/>
      <c r="D33" s="4" t="s">
        <v>74</v>
      </c>
      <c r="E33" s="5">
        <v>2584</v>
      </c>
      <c r="F33" s="5">
        <v>11497.92</v>
      </c>
      <c r="G33" s="5">
        <v>1460.0600000000004</v>
      </c>
    </row>
    <row r="34" spans="2:7" ht="16.350000000000001" customHeight="1" x14ac:dyDescent="0.2">
      <c r="B34" s="6"/>
      <c r="C34" s="7" t="s">
        <v>30</v>
      </c>
      <c r="D34" s="7" t="s">
        <v>74</v>
      </c>
      <c r="E34" s="8">
        <v>50</v>
      </c>
      <c r="F34" s="8">
        <v>0</v>
      </c>
      <c r="G34" s="8">
        <v>-1571.7570209133592</v>
      </c>
    </row>
    <row r="35" spans="2:7" ht="16.350000000000001" customHeight="1" x14ac:dyDescent="0.2">
      <c r="B35" s="3"/>
      <c r="C35" s="4" t="s">
        <v>36</v>
      </c>
      <c r="D35" s="4" t="s">
        <v>73</v>
      </c>
      <c r="E35" s="5">
        <v>3780</v>
      </c>
      <c r="F35" s="5">
        <v>7371</v>
      </c>
      <c r="G35" s="5">
        <v>184.90031576266875</v>
      </c>
    </row>
    <row r="36" spans="2:7" ht="16.350000000000001" customHeight="1" x14ac:dyDescent="0.2">
      <c r="B36" s="6"/>
      <c r="C36" s="7"/>
      <c r="D36" s="7" t="s">
        <v>34</v>
      </c>
      <c r="E36" s="8">
        <v>13020</v>
      </c>
      <c r="F36" s="8">
        <v>20832</v>
      </c>
      <c r="G36" s="8">
        <v>1072.9299999999998</v>
      </c>
    </row>
    <row r="37" spans="2:7" ht="16.350000000000001" customHeight="1" x14ac:dyDescent="0.2">
      <c r="B37" s="3"/>
      <c r="C37" s="4"/>
      <c r="D37" s="4" t="s">
        <v>40</v>
      </c>
      <c r="E37" s="5">
        <v>10095</v>
      </c>
      <c r="F37" s="5">
        <v>16656.75</v>
      </c>
      <c r="G37" s="5">
        <v>208.33756302521013</v>
      </c>
    </row>
    <row r="38" spans="2:7" ht="16.350000000000001" customHeight="1" x14ac:dyDescent="0.2">
      <c r="B38" s="6"/>
      <c r="C38" s="7"/>
      <c r="D38" s="7" t="s">
        <v>75</v>
      </c>
      <c r="E38" s="8">
        <v>28</v>
      </c>
      <c r="F38" s="8">
        <v>54.6</v>
      </c>
      <c r="G38" s="8">
        <v>0.49212121212120508</v>
      </c>
    </row>
    <row r="39" spans="2:7" ht="16.350000000000001" customHeight="1" x14ac:dyDescent="0.2">
      <c r="B39" s="10" t="s">
        <v>14</v>
      </c>
      <c r="C39" s="4"/>
      <c r="D39" s="4"/>
      <c r="E39" s="5">
        <v>37370</v>
      </c>
      <c r="F39" s="5">
        <v>82676.680000000008</v>
      </c>
      <c r="G39" s="5">
        <v>3849.8729790866419</v>
      </c>
    </row>
    <row r="40" spans="2:7" ht="16.350000000000001" customHeight="1" x14ac:dyDescent="0.2">
      <c r="B40" s="6" t="s">
        <v>48</v>
      </c>
      <c r="C40" s="7" t="s">
        <v>43</v>
      </c>
      <c r="D40" s="7" t="s">
        <v>64</v>
      </c>
      <c r="E40" s="8">
        <v>100906</v>
      </c>
      <c r="F40" s="8">
        <v>108526.94</v>
      </c>
      <c r="G40" s="8">
        <v>10243.986574307306</v>
      </c>
    </row>
    <row r="41" spans="2:7" ht="16.350000000000001" customHeight="1" x14ac:dyDescent="0.2">
      <c r="B41" s="3"/>
      <c r="C41" s="4"/>
      <c r="D41" s="4" t="s">
        <v>34</v>
      </c>
      <c r="E41" s="5">
        <v>281</v>
      </c>
      <c r="F41" s="5">
        <v>477.7</v>
      </c>
      <c r="G41" s="5">
        <v>-547.69804878048785</v>
      </c>
    </row>
    <row r="42" spans="2:7" ht="16.350000000000001" customHeight="1" x14ac:dyDescent="0.2">
      <c r="B42" s="6"/>
      <c r="C42" s="7"/>
      <c r="D42" s="7" t="s">
        <v>49</v>
      </c>
      <c r="E42" s="8">
        <v>1995</v>
      </c>
      <c r="F42" s="8">
        <v>3511.2000000000003</v>
      </c>
      <c r="G42" s="8">
        <v>-308.5</v>
      </c>
    </row>
    <row r="43" spans="2:7" ht="16.350000000000001" customHeight="1" x14ac:dyDescent="0.2">
      <c r="B43" s="3"/>
      <c r="C43" s="4" t="s">
        <v>51</v>
      </c>
      <c r="D43" s="4" t="s">
        <v>64</v>
      </c>
      <c r="E43" s="5">
        <v>16352</v>
      </c>
      <c r="F43" s="5">
        <v>17170.72</v>
      </c>
      <c r="G43" s="5">
        <v>1028.6800000000003</v>
      </c>
    </row>
    <row r="44" spans="2:7" ht="16.350000000000001" customHeight="1" x14ac:dyDescent="0.2">
      <c r="B44" s="9" t="s">
        <v>50</v>
      </c>
      <c r="C44" s="7"/>
      <c r="D44" s="7"/>
      <c r="E44" s="8">
        <v>119534</v>
      </c>
      <c r="F44" s="8">
        <v>129686.56</v>
      </c>
      <c r="G44" s="8">
        <v>10416.468525526818</v>
      </c>
    </row>
    <row r="45" spans="2:7" ht="16.350000000000001" customHeight="1" x14ac:dyDescent="0.2">
      <c r="B45" s="3" t="s">
        <v>18</v>
      </c>
      <c r="C45" s="4" t="s">
        <v>15</v>
      </c>
      <c r="D45" s="4" t="s">
        <v>74</v>
      </c>
      <c r="E45" s="5">
        <v>435</v>
      </c>
      <c r="F45" s="5">
        <v>5566.9800000000005</v>
      </c>
      <c r="G45" s="5">
        <v>-2064.2070727394671</v>
      </c>
    </row>
    <row r="46" spans="2:7" ht="16.350000000000001" customHeight="1" x14ac:dyDescent="0.2">
      <c r="B46" s="6"/>
      <c r="C46" s="7"/>
      <c r="D46" s="7" t="s">
        <v>66</v>
      </c>
      <c r="E46" s="8">
        <v>1320</v>
      </c>
      <c r="F46" s="8">
        <v>14345.000000000002</v>
      </c>
      <c r="G46" s="8">
        <v>-399.92825215721456</v>
      </c>
    </row>
    <row r="47" spans="2:7" ht="16.350000000000001" customHeight="1" x14ac:dyDescent="0.2">
      <c r="B47" s="3"/>
      <c r="C47" s="4"/>
      <c r="D47" s="4" t="s">
        <v>68</v>
      </c>
      <c r="E47" s="5">
        <v>98</v>
      </c>
      <c r="F47" s="5">
        <v>713.52</v>
      </c>
      <c r="G47" s="5">
        <v>-165.33507693136565</v>
      </c>
    </row>
    <row r="48" spans="2:7" ht="16.350000000000001" customHeight="1" x14ac:dyDescent="0.2">
      <c r="B48" s="6"/>
      <c r="C48" s="7"/>
      <c r="D48" s="7" t="s">
        <v>71</v>
      </c>
      <c r="E48" s="8">
        <v>732</v>
      </c>
      <c r="F48" s="8">
        <v>4499.9400000000005</v>
      </c>
      <c r="G48" s="8">
        <v>-4796.3393129770993</v>
      </c>
    </row>
    <row r="49" spans="2:7" ht="16.350000000000001" customHeight="1" x14ac:dyDescent="0.2">
      <c r="B49" s="10" t="s">
        <v>19</v>
      </c>
      <c r="C49" s="4"/>
      <c r="D49" s="4"/>
      <c r="E49" s="5">
        <v>2585</v>
      </c>
      <c r="F49" s="5">
        <v>25125.440000000002</v>
      </c>
      <c r="G49" s="5">
        <v>-7425.8097148051465</v>
      </c>
    </row>
    <row r="50" spans="2:7" ht="16.350000000000001" customHeight="1" x14ac:dyDescent="0.2">
      <c r="B50" s="6" t="s">
        <v>20</v>
      </c>
      <c r="C50" s="7" t="s">
        <v>15</v>
      </c>
      <c r="D50" s="7" t="s">
        <v>21</v>
      </c>
      <c r="E50" s="8">
        <v>582</v>
      </c>
      <c r="F50" s="8">
        <v>0</v>
      </c>
      <c r="G50" s="8">
        <v>-1788.006918672673</v>
      </c>
    </row>
    <row r="51" spans="2:7" ht="16.350000000000001" customHeight="1" x14ac:dyDescent="0.2">
      <c r="B51" s="10" t="s">
        <v>22</v>
      </c>
      <c r="C51" s="4"/>
      <c r="D51" s="4"/>
      <c r="E51" s="5">
        <v>582</v>
      </c>
      <c r="F51" s="5">
        <v>0</v>
      </c>
      <c r="G51" s="5">
        <v>-1788.006918672673</v>
      </c>
    </row>
    <row r="52" spans="2:7" ht="16.350000000000001" customHeight="1" x14ac:dyDescent="0.2">
      <c r="B52" s="6" t="s">
        <v>31</v>
      </c>
      <c r="C52" s="7" t="s">
        <v>30</v>
      </c>
      <c r="D52" s="7" t="s">
        <v>76</v>
      </c>
      <c r="E52" s="8">
        <v>1765</v>
      </c>
      <c r="F52" s="8">
        <v>2435.6999999999998</v>
      </c>
      <c r="G52" s="8">
        <v>-2214.3427005408794</v>
      </c>
    </row>
    <row r="53" spans="2:7" ht="16.350000000000001" customHeight="1" x14ac:dyDescent="0.2">
      <c r="B53" s="10" t="s">
        <v>32</v>
      </c>
      <c r="C53" s="4"/>
      <c r="D53" s="4"/>
      <c r="E53" s="5">
        <v>1765</v>
      </c>
      <c r="F53" s="5">
        <v>2435.6999999999998</v>
      </c>
      <c r="G53" s="5">
        <v>-2214.3427005408794</v>
      </c>
    </row>
    <row r="54" spans="2:7" ht="16.350000000000001" customHeight="1" x14ac:dyDescent="0.2">
      <c r="B54" s="6" t="s">
        <v>33</v>
      </c>
      <c r="C54" s="7" t="s">
        <v>30</v>
      </c>
      <c r="D54" s="7" t="s">
        <v>34</v>
      </c>
      <c r="E54" s="8">
        <v>52</v>
      </c>
      <c r="F54" s="8">
        <v>691.6</v>
      </c>
      <c r="G54" s="8">
        <v>-340.59267605633801</v>
      </c>
    </row>
    <row r="55" spans="2:7" ht="16.350000000000001" customHeight="1" x14ac:dyDescent="0.2">
      <c r="B55" s="10" t="s">
        <v>35</v>
      </c>
      <c r="C55" s="4"/>
      <c r="D55" s="4"/>
      <c r="E55" s="5">
        <v>52</v>
      </c>
      <c r="F55" s="5">
        <v>691.6</v>
      </c>
      <c r="G55" s="5">
        <v>-340.59267605633801</v>
      </c>
    </row>
    <row r="56" spans="2:7" ht="16.350000000000001" customHeight="1" x14ac:dyDescent="0.2">
      <c r="B56" s="6" t="s">
        <v>41</v>
      </c>
      <c r="C56" s="7" t="s">
        <v>36</v>
      </c>
      <c r="D56" s="7" t="s">
        <v>34</v>
      </c>
      <c r="E56" s="8">
        <v>1821</v>
      </c>
      <c r="F56" s="8">
        <v>5827.2000000000007</v>
      </c>
      <c r="G56" s="8">
        <v>-6751.5700000000015</v>
      </c>
    </row>
    <row r="57" spans="2:7" ht="16.350000000000001" customHeight="1" x14ac:dyDescent="0.2">
      <c r="B57" s="10" t="s">
        <v>42</v>
      </c>
      <c r="C57" s="4"/>
      <c r="D57" s="4"/>
      <c r="E57" s="5">
        <v>1821</v>
      </c>
      <c r="F57" s="5">
        <v>5827.2000000000007</v>
      </c>
      <c r="G57" s="5">
        <v>-6751.5700000000015</v>
      </c>
    </row>
    <row r="58" spans="2:7" ht="16.350000000000001" customHeight="1" x14ac:dyDescent="0.2">
      <c r="B58" s="6" t="s">
        <v>23</v>
      </c>
      <c r="C58" s="7" t="s">
        <v>15</v>
      </c>
      <c r="D58" s="7" t="s">
        <v>24</v>
      </c>
      <c r="E58" s="8">
        <v>84</v>
      </c>
      <c r="F58" s="8">
        <v>371.28</v>
      </c>
      <c r="G58" s="8">
        <v>-479.60648713457419</v>
      </c>
    </row>
    <row r="59" spans="2:7" ht="16.350000000000001" customHeight="1" x14ac:dyDescent="0.2">
      <c r="B59" s="10" t="s">
        <v>25</v>
      </c>
      <c r="C59" s="4"/>
      <c r="D59" s="4"/>
      <c r="E59" s="5">
        <v>84</v>
      </c>
      <c r="F59" s="5">
        <v>371.28</v>
      </c>
      <c r="G59" s="5">
        <v>-479.60648713457419</v>
      </c>
    </row>
    <row r="60" spans="2:7" ht="16.350000000000001" customHeight="1" x14ac:dyDescent="0.2">
      <c r="B60" s="6" t="s">
        <v>26</v>
      </c>
      <c r="C60" s="7" t="s">
        <v>15</v>
      </c>
      <c r="D60" s="7" t="s">
        <v>24</v>
      </c>
      <c r="E60" s="8">
        <v>1199</v>
      </c>
      <c r="F60" s="8">
        <v>5299.58</v>
      </c>
      <c r="G60" s="8">
        <v>385.82185372704998</v>
      </c>
    </row>
    <row r="61" spans="2:7" ht="16.350000000000001" customHeight="1" x14ac:dyDescent="0.2">
      <c r="B61" s="10" t="s">
        <v>27</v>
      </c>
      <c r="C61" s="4"/>
      <c r="D61" s="4"/>
      <c r="E61" s="5">
        <v>1199</v>
      </c>
      <c r="F61" s="5">
        <v>5299.58</v>
      </c>
      <c r="G61" s="5">
        <v>385.82185372704998</v>
      </c>
    </row>
    <row r="62" spans="2:7" ht="16.350000000000001" customHeight="1" x14ac:dyDescent="0.2">
      <c r="B62" s="6" t="s">
        <v>28</v>
      </c>
      <c r="C62" s="7" t="s">
        <v>15</v>
      </c>
      <c r="D62" s="7" t="s">
        <v>24</v>
      </c>
      <c r="E62" s="8">
        <v>125</v>
      </c>
      <c r="F62" s="8">
        <v>552.5</v>
      </c>
      <c r="G62" s="8">
        <v>-58.691563429880873</v>
      </c>
    </row>
    <row r="63" spans="2:7" ht="16.350000000000001" customHeight="1" x14ac:dyDescent="0.2">
      <c r="B63" s="10" t="s">
        <v>29</v>
      </c>
      <c r="C63" s="4"/>
      <c r="D63" s="4"/>
      <c r="E63" s="5">
        <v>125</v>
      </c>
      <c r="F63" s="5">
        <v>552.5</v>
      </c>
      <c r="G63" s="5">
        <v>-58.691563429880873</v>
      </c>
    </row>
    <row r="64" spans="2:7" ht="18.2" customHeight="1" x14ac:dyDescent="0.2">
      <c r="B64" s="11" t="s">
        <v>59</v>
      </c>
      <c r="C64" s="11"/>
      <c r="D64" s="11"/>
      <c r="E64" s="12">
        <v>881059</v>
      </c>
      <c r="F64" s="12">
        <v>1574917.1499999997</v>
      </c>
      <c r="G64" s="12">
        <v>132382.72000000003</v>
      </c>
    </row>
  </sheetData>
  <mergeCells count="2">
    <mergeCell ref="B2:G2"/>
    <mergeCell ref="B3:G3"/>
  </mergeCells>
  <printOptions horizontalCentered="1"/>
  <pageMargins left="0.5" right="0.5" top="0.75" bottom="0.75" header="0.3" footer="0.3"/>
  <pageSetup scale="6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{HOME}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2024-02-27T04:55:35Z</cp:lastPrinted>
  <dcterms:created xsi:type="dcterms:W3CDTF">2024-02-27T01:53:24Z</dcterms:created>
  <dcterms:modified xsi:type="dcterms:W3CDTF">2024-02-27T04:58:28Z</dcterms:modified>
</cp:coreProperties>
</file>