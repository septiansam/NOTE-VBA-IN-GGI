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10.8.0.35\rpa$\RPA Excel Template\Accounting Finance\MACRO_PROCESS - Report Aging PerGL PerBranch\RPA Preference\.Macro\"/>
    </mc:Choice>
  </mc:AlternateContent>
  <xr:revisionPtr revIDLastSave="0" documentId="13_ncr:1_{11E71ECF-54E8-4DF9-94F5-DA1B7CC57967}" xr6:coauthVersionLast="47" xr6:coauthVersionMax="47" xr10:uidLastSave="{00000000-0000-0000-0000-000000000000}"/>
  <bookViews>
    <workbookView xWindow="-120" yWindow="-120" windowWidth="20730" windowHeight="11160" tabRatio="920" firstSheet="1" activeTab="1" xr2:uid="{2CCE3C95-2940-4053-8BE7-2A6EFE1350AC}"/>
  </bookViews>
  <sheets>
    <sheet name="ref_WA" sheetId="23" state="hidden" r:id="rId1"/>
    <sheet name="HOME" sheetId="8" r:id="rId2"/>
    <sheet name="RPA1_BV" sheetId="470" r:id="rId3"/>
    <sheet name="RPA1_DataInput" sheetId="471" r:id="rId4"/>
  </sheets>
  <functionGroups builtInGroupCount="19"/>
  <definedNames>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8" l="1"/>
  <c r="F26" i="8" l="1"/>
  <c r="F25" i="8"/>
  <c r="G3" i="23"/>
  <c r="C3" i="23"/>
  <c r="P3" i="23"/>
  <c r="S3" i="23"/>
  <c r="R3" i="23" s="1"/>
  <c r="K3" i="23" l="1"/>
  <c r="L3" i="23"/>
</calcChain>
</file>

<file path=xl/sharedStrings.xml><?xml version="1.0" encoding="utf-8"?>
<sst xmlns="http://schemas.openxmlformats.org/spreadsheetml/2006/main" count="156" uniqueCount="90">
  <si>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</si>
  <si>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</si>
  <si>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</si>
  <si>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</si>
  <si>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</si>
  <si>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</si>
  <si>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</si>
  <si>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</si>
  <si>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BV</t>
  </si>
  <si>
    <t>VERSION</t>
  </si>
  <si>
    <t>BATCH APPLICATION</t>
  </si>
  <si>
    <t>GL</t>
  </si>
  <si>
    <t>INAC</t>
  </si>
  <si>
    <t>R5641114</t>
  </si>
  <si>
    <t>GG0001</t>
  </si>
  <si>
    <t>Business Unit</t>
  </si>
  <si>
    <t>GL Date</t>
  </si>
  <si>
    <t>Save As</t>
  </si>
  <si>
    <t>\\10.8.0.35\rpa$\RPA Excel Template\Accounting Finance\MACRO_PROCESS - Report Aging PerGL PerBranch\RPA Preference\.Source\JDE</t>
  </si>
  <si>
    <r>
      <t>LOKASI FOLDER  (</t>
    </r>
    <r>
      <rPr>
        <i/>
        <sz val="9"/>
        <color theme="4" tint="-0.499984740745262"/>
        <rFont val="Calibri"/>
        <family val="2"/>
        <scheme val="minor"/>
      </rPr>
      <t>Tarikan JDE</t>
    </r>
    <r>
      <rPr>
        <sz val="11"/>
        <color theme="4" tint="-0.499984740745262"/>
        <rFont val="Calibri"/>
        <family val="2"/>
        <scheme val="minor"/>
      </rPr>
      <t>)</t>
    </r>
  </si>
  <si>
    <t>INFA</t>
  </si>
  <si>
    <t>INPA</t>
  </si>
  <si>
    <t>INUM</t>
  </si>
  <si>
    <t>INSP</t>
  </si>
  <si>
    <t>INFO</t>
  </si>
  <si>
    <t>Job Number</t>
  </si>
  <si>
    <t>BRANCH</t>
  </si>
  <si>
    <r>
      <t>GL Date (</t>
    </r>
    <r>
      <rPr>
        <i/>
        <sz val="9"/>
        <color theme="4" tint="-0.499984740745262"/>
        <rFont val="Calibri"/>
        <family val="2"/>
        <scheme val="minor"/>
      </rPr>
      <t>mm/dd/yyyy</t>
    </r>
    <r>
      <rPr>
        <sz val="11"/>
        <color theme="4" tint="-0.499984740745262"/>
        <rFont val="Calibri"/>
        <family val="2"/>
        <scheme val="minor"/>
      </rPr>
      <t>)</t>
    </r>
  </si>
  <si>
    <t>ININ</t>
  </si>
  <si>
    <r>
      <t>LOKASI FOLDER  (</t>
    </r>
    <r>
      <rPr>
        <i/>
        <sz val="9"/>
        <color theme="4" tint="-0.499984740745262"/>
        <rFont val="Calibri"/>
        <family val="2"/>
        <scheme val="minor"/>
      </rPr>
      <t>Arus Barang @Bersama</t>
    </r>
    <r>
      <rPr>
        <sz val="11"/>
        <color theme="4" tint="-0.499984740745262"/>
        <rFont val="Calibri"/>
        <family val="2"/>
        <scheme val="minor"/>
      </rPr>
      <t>)</t>
    </r>
  </si>
  <si>
    <t>\\10.8.0.35\rpa$\RPA Excel Template\Accounting Finance\MACRO_PROCESS - Report Aging PerGL PerBranch\RPA Preference\.Result\PLEASE CHECK FILES EXTENSION.xlsx</t>
  </si>
  <si>
    <r>
      <t>LOKASI FILE  (</t>
    </r>
    <r>
      <rPr>
        <i/>
        <sz val="9"/>
        <color theme="4" tint="-0.499984740745262"/>
        <rFont val="Calibri"/>
        <family val="2"/>
        <scheme val="minor"/>
      </rPr>
      <t>Check Arus Barang @Bersama</t>
    </r>
    <r>
      <rPr>
        <sz val="11"/>
        <color theme="4" tint="-0.499984740745262"/>
        <rFont val="Calibri"/>
        <family val="2"/>
        <scheme val="minor"/>
      </rPr>
      <t>)</t>
    </r>
  </si>
  <si>
    <t>MESSAGE</t>
  </si>
  <si>
    <t>ATTACHMENT</t>
  </si>
  <si>
    <t>CONTACT NAME</t>
  </si>
  <si>
    <t>WA1 [USER]</t>
  </si>
  <si>
    <t>*PROSES DIHENTIKAN!* Terdapat file yg tidak ditemukan _*RPA Proses Report Aging perGL perBranch*_, pastikan nama dan format filenya sudah benar, silakan check file terlampir, valdiasi eksistensi file oleh RPA. Segera perbaiki setelahnya buat tiket kembali untuk mentriger RPA agar dijalankan kembali pasca update data.</t>
  </si>
  <si>
    <t>\\10.8.0.35\Bersama\santy\CLOSING bersama</t>
  </si>
  <si>
    <t>\\10.8.0.35\rpa$\RPA Excel Template\Accounting Finance\MACRO_PROCESS - Report Aging PerGL PerBranch\RPA Preference\.Source\JDE\1205_INUM.xlsx</t>
  </si>
  <si>
    <t>\\10.8.0.35\rpa$\RPA Excel Template\Accounting Finance\MACRO_PROCESS - Report Aging PerGL PerBranch\RPA Preference\.Source\JDE\1205_INSP.xlsx</t>
  </si>
  <si>
    <t>\\10.8.0.35\rpa$\RPA Excel Template\Accounting Finance\MACRO_PROCESS - Report Aging PerGL PerBranch\RPA Preference\.Source\JDE\1205_INFO.xlsx</t>
  </si>
  <si>
    <r>
      <t>LOKASI FILE  (</t>
    </r>
    <r>
      <rPr>
        <i/>
        <sz val="9"/>
        <color theme="4" tint="-0.499984740745262"/>
        <rFont val="Calibri"/>
        <family val="2"/>
        <scheme val="minor"/>
      </rPr>
      <t>This Macro</t>
    </r>
    <r>
      <rPr>
        <sz val="11"/>
        <color theme="4" tint="-0.499984740745262"/>
        <rFont val="Calibri"/>
        <family val="2"/>
        <scheme val="minor"/>
      </rPr>
      <t>)</t>
    </r>
  </si>
  <si>
    <t>DM1_SUBJECT</t>
  </si>
  <si>
    <t>KALIMAT PESAN UNTUK USER</t>
  </si>
  <si>
    <t>RPA GGI &amp; Makro GGI</t>
  </si>
  <si>
    <t>ISI PESAN</t>
  </si>
  <si>
    <t>DM1_SUBJECT2</t>
  </si>
  <si>
    <t>WA2 [GROUP]</t>
  </si>
  <si>
    <t xml:space="preserve">  </t>
  </si>
  <si>
    <r>
      <rPr>
        <b/>
        <i/>
        <sz val="10"/>
        <color theme="4" tint="-0.499984740745262"/>
        <rFont val="Calibri"/>
        <family val="2"/>
        <scheme val="minor"/>
      </rPr>
      <t>Setup</t>
    </r>
    <r>
      <rPr>
        <i/>
        <sz val="10"/>
        <color theme="4" tint="-0.499984740745262"/>
        <rFont val="Calibri"/>
        <family val="2"/>
        <scheme val="minor"/>
      </rPr>
      <t xml:space="preserve"> Acuan Tarikan Report Aging di JDE</t>
    </r>
  </si>
  <si>
    <r>
      <rPr>
        <b/>
        <i/>
        <sz val="10"/>
        <color theme="4" tint="-0.499984740745262"/>
        <rFont val="Calibri"/>
        <family val="2"/>
        <scheme val="minor"/>
      </rPr>
      <t>Proses</t>
    </r>
    <r>
      <rPr>
        <i/>
        <sz val="10"/>
        <color theme="4" tint="-0.499984740745262"/>
        <rFont val="Calibri"/>
        <family val="2"/>
        <scheme val="minor"/>
      </rPr>
      <t xml:space="preserve"> Pengolahan Data</t>
    </r>
  </si>
  <si>
    <t>INAC|INFA|INPA|ININ|INUM|INSP|INFO|INSA</t>
  </si>
  <si>
    <t>INSA</t>
  </si>
  <si>
    <t>\\10.8.0.35\rpa$\RPA Excel Template\Accounting Finance\MACRO_PROCESS - Report Aging PerGL PerBranch\RPA Preference\.Source\JDE\1201_INAC.xlsx</t>
  </si>
  <si>
    <t>\\10.8.0.35\rpa$\RPA Excel Template\Accounting Finance\MACRO_PROCESS - Report Aging PerGL PerBranch\RPA Preference\.Source\JDE\1201_INFA.xlsx</t>
  </si>
  <si>
    <t>\\10.8.0.35\rpa$\RPA Excel Template\Accounting Finance\MACRO_PROCESS - Report Aging PerGL PerBranch\RPA Preference\.Source\JDE\1201_INPA.xlsx</t>
  </si>
  <si>
    <t>\\10.8.0.35\rpa$\RPA Excel Template\Accounting Finance\MACRO_PROCESS - Report Aging PerGL PerBranch\RPA Preference\.Source\JDE\1201_ININ.xlsx</t>
  </si>
  <si>
    <t>\\10.8.0.35\rpa$\RPA Excel Template\Accounting Finance\MACRO_PROCESS - Report Aging PerGL PerBranch\RPA Preference\.Source\JDE\1201_INUM.xlsx</t>
  </si>
  <si>
    <t>\\10.8.0.35\rpa$\RPA Excel Template\Accounting Finance\MACRO_PROCESS - Report Aging PerGL PerBranch\RPA Preference\.Source\JDE\1201_INSP.xlsx</t>
  </si>
  <si>
    <t>\\10.8.0.35\rpa$\RPA Excel Template\Accounting Finance\MACRO_PROCESS - Report Aging PerGL PerBranch\RPA Preference\.Source\JDE\1201_INFO.xlsx</t>
  </si>
  <si>
    <t>\\10.8.0.35\rpa$\RPA Excel Template\Accounting Finance\MACRO_PROCESS - Report Aging PerGL PerBranch\RPA Preference\.Source\JDE\1201_INSA.xlsx</t>
  </si>
  <si>
    <t>\\10.8.0.35\rpa$\RPA Excel Template\Accounting Finance\MACRO_PROCESS - Report Aging PerGL PerBranch\RPA Preference\.Source\JDE\1204_INAC.xlsx</t>
  </si>
  <si>
    <t>\\10.8.0.35\rpa$\RPA Excel Template\Accounting Finance\MACRO_PROCESS - Report Aging PerGL PerBranch\RPA Preference\.Source\JDE\1204_INFA.xlsx</t>
  </si>
  <si>
    <t>\\10.8.0.35\rpa$\RPA Excel Template\Accounting Finance\MACRO_PROCESS - Report Aging PerGL PerBranch\RPA Preference\.Source\JDE\1204_INPA.xlsx</t>
  </si>
  <si>
    <t>\\10.8.0.35\rpa$\RPA Excel Template\Accounting Finance\MACRO_PROCESS - Report Aging PerGL PerBranch\RPA Preference\.Source\JDE\1204_ININ.xlsx</t>
  </si>
  <si>
    <t>\\10.8.0.35\rpa$\RPA Excel Template\Accounting Finance\MACRO_PROCESS - Report Aging PerGL PerBranch\RPA Preference\.Source\JDE\1204_INUM.xlsx</t>
  </si>
  <si>
    <t>\\10.8.0.35\rpa$\RPA Excel Template\Accounting Finance\MACRO_PROCESS - Report Aging PerGL PerBranch\RPA Preference\.Source\JDE\1204_INSP.xlsx</t>
  </si>
  <si>
    <t>\\10.8.0.35\rpa$\RPA Excel Template\Accounting Finance\MACRO_PROCESS - Report Aging PerGL PerBranch\RPA Preference\.Source\JDE\1204_INFO.xlsx</t>
  </si>
  <si>
    <t>\\10.8.0.35\rpa$\RPA Excel Template\Accounting Finance\MACRO_PROCESS - Report Aging PerGL PerBranch\RPA Preference\.Source\JDE\1204_INSA.xlsx</t>
  </si>
  <si>
    <t>\\10.8.0.35\rpa$\RPA Excel Template\Accounting Finance\MACRO_PROCESS - Report Aging PerGL PerBranch\RPA Preference\.Source\JDE\1205_INAC.xlsx</t>
  </si>
  <si>
    <t>\\10.8.0.35\rpa$\RPA Excel Template\Accounting Finance\MACRO_PROCESS - Report Aging PerGL PerBranch\RPA Preference\.Source\JDE\1205_INFA.xlsx</t>
  </si>
  <si>
    <t>\\10.8.0.35\rpa$\RPA Excel Template\Accounting Finance\MACRO_PROCESS - Report Aging PerGL PerBranch\RPA Preference\.Source\JDE\1205_INPA.xlsx</t>
  </si>
  <si>
    <t>\\10.8.0.35\rpa$\RPA Excel Template\Accounting Finance\MACRO_PROCESS - Report Aging PerGL PerBranch\RPA Preference\.Source\JDE\1205_ININ.xlsx</t>
  </si>
  <si>
    <t>\\10.8.0.35\rpa$\RPA Excel Template\Accounting Finance\MACRO_PROCESS - Report Aging PerGL PerBranch\RPA Preference\.Source\JDE\1205_INSA.xlsx</t>
  </si>
  <si>
    <t>\\10.8.0.35\rpa$\RPA Excel Template\Accounting Finance\MACRO_PROCESS - Report Aging PerGL PerBranch\RPA Preference\.Source\JDE\1206_INUM.xlsx</t>
  </si>
  <si>
    <t>\\10.8.0.35\rpa$\RPA Excel Template\Accounting Finance\MACRO_PROCESS - Report Aging PerGL PerBranch\RPA Preference\.Source\JDE\1206_INSP.xlsx</t>
  </si>
  <si>
    <t>\\10.8.0.35\rpa$\RPA Excel Template\Accounting Finance\MACRO_PROCESS - Report Aging PerGL PerBranch\RPA Preference\.Source\JDE\1206_INFO.xlsx</t>
  </si>
  <si>
    <t>Intan Dahlia</t>
  </si>
  <si>
    <t>1201|1204|1205|1206</t>
  </si>
  <si>
    <r>
      <t>LOKASI FILE  (</t>
    </r>
    <r>
      <rPr>
        <i/>
        <sz val="8"/>
        <color theme="4" tint="-0.499984740745262"/>
        <rFont val="Calibri"/>
        <family val="2"/>
        <scheme val="minor"/>
      </rPr>
      <t>Detail Resume Report Aging</t>
    </r>
    <r>
      <rPr>
        <sz val="11"/>
        <color theme="4" tint="-0.499984740745262"/>
        <rFont val="Calibri"/>
        <family val="2"/>
        <scheme val="minor"/>
      </rPr>
      <t>)</t>
    </r>
  </si>
  <si>
    <t>\\10.8.0.35\rpa$\RPA Excel Template\Accounting Finance\MACRO_PROCESS - Report Aging PerGL PerBranch\RPA Preference\.Result\DETAIL AND RESUME - Report Aging perGL perBranch.xlsx</t>
  </si>
  <si>
    <t>DETAIL AND RESUME - Report Aging PerGL PerBranch</t>
  </si>
  <si>
    <r>
      <rPr>
        <b/>
        <i/>
        <sz val="10"/>
        <color theme="4" tint="-0.499984740745262"/>
        <rFont val="Calibri"/>
        <family val="2"/>
        <scheme val="minor"/>
      </rPr>
      <t>Setup</t>
    </r>
    <r>
      <rPr>
        <i/>
        <sz val="10"/>
        <color theme="4" tint="-0.499984740745262"/>
        <rFont val="Calibri"/>
        <family val="2"/>
        <scheme val="minor"/>
      </rPr>
      <t xml:space="preserve"> Acuan Untuk Tarikan ILDV</t>
    </r>
  </si>
  <si>
    <t>Periode Tahun</t>
  </si>
  <si>
    <r>
      <t>LOKASI FILE  (</t>
    </r>
    <r>
      <rPr>
        <i/>
        <sz val="8"/>
        <color theme="4" tint="-0.499984740745262"/>
        <rFont val="Calibri"/>
        <family val="2"/>
        <scheme val="minor"/>
      </rPr>
      <t>MACRO_RPA -  Tarik Data ILDV</t>
    </r>
    <r>
      <rPr>
        <sz val="11"/>
        <color theme="4" tint="-0.499984740745262"/>
        <rFont val="Calibri"/>
        <family val="2"/>
        <scheme val="minor"/>
      </rPr>
      <t>)</t>
    </r>
  </si>
  <si>
    <t>1201|1204|1205</t>
  </si>
  <si>
    <t>\\10.8.0.35\rpa$\RPA Excel Template\Accounting Finance\MACRO_PROCESS - Tarik Data ILDV\RPA Preference\.Macro\MACRO_RPA -  Tarik Data ILDV.xlsm</t>
  </si>
  <si>
    <t>INAC|INPA</t>
  </si>
  <si>
    <t>Periode Bulan</t>
  </si>
  <si>
    <t>\\10.8.0.35\rpa$\RPA Excel Template\Accounting Finance\MACRO_PROCESS - Report Aging PerGL PerBranch\RPA Preference\.Macro\MACRO_RPA - Report Aging PerGL PerBranch.xlsm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</si>
</sst>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9"/>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b/>
      <sz val="11"/>
      <color theme="0"/>
      <name val="Century Gothic"/>
      <family val="2"/>
    </font>
    <font>
      <sz val="8"/>
      <color theme="1"/>
      <name val="Calibri"/>
      <family val="2"/>
      <scheme val="minor"/>
    </font>
    <font>
      <sz val="8"/>
      <name val="Calibri"/>
      <family val="2"/>
      <scheme val="minor"/>
    </font>
    <font>
      <sz val="9"/>
      <color theme="1"/>
      <name val="Calibri"/>
      <family val="2"/>
      <scheme val="minor"/>
    </font>
    <font>
      <sz val="9"/>
      <name val="Calibri"/>
      <family val="2"/>
      <scheme val="minor"/>
    </font>
    <font>
      <b/>
      <i/>
      <sz val="10"/>
      <color theme="4" tint="-0.499984740745262"/>
      <name val="Calibri"/>
      <family val="2"/>
      <scheme val="minor"/>
    </font>
    <font>
      <i/>
      <sz val="8"/>
      <color theme="4" tint="-0.499984740745262"/>
      <name val="Calibri"/>
      <family val="2"/>
      <scheme val="minor"/>
    </font>
  </fonts>
  <fills count="9">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499984740745262"/>
        <bgColor indexed="64"/>
      </patternFill>
    </fill>
    <fill>
      <patternFill patternType="solid">
        <fgColor rgb="FF808080"/>
        <bgColor indexed="64"/>
      </patternFill>
    </fill>
    <fill>
      <patternFill patternType="solid">
        <fgColor rgb="FFFFC000"/>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3" fillId="0" borderId="0"/>
  </cellStyleXfs>
  <cellXfs count="43">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0" fillId="0" borderId="5" xfId="0" applyBorder="1" applyAlignment="1">
      <alignment horizontal="left"/>
    </xf>
    <xf numFmtId="0" fontId="2" fillId="0" borderId="5" xfId="1" applyBorder="1" applyAlignment="1">
      <alignment horizontal="left"/>
    </xf>
    <xf numFmtId="0" fontId="2" fillId="0" borderId="4"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49" fontId="14" fillId="5" borderId="6" xfId="0" applyNumberFormat="1" applyFont="1" applyFill="1" applyBorder="1" applyAlignment="1">
      <alignment horizontal="center" vertical="center"/>
    </xf>
    <xf numFmtId="49" fontId="0" fillId="0" borderId="0" xfId="0" applyNumberFormat="1"/>
    <xf numFmtId="0" fontId="12" fillId="0" borderId="0" xfId="0" applyFont="1"/>
    <xf numFmtId="0" fontId="17" fillId="0" borderId="0" xfId="0" applyFont="1"/>
    <xf numFmtId="0" fontId="18" fillId="0" borderId="4" xfId="1" applyFont="1" applyFill="1" applyBorder="1" applyAlignment="1">
      <alignment horizontal="left"/>
    </xf>
    <xf numFmtId="14" fontId="18" fillId="0" borderId="4" xfId="1" applyNumberFormat="1" applyFont="1" applyFill="1" applyBorder="1" applyAlignment="1">
      <alignment horizontal="left"/>
    </xf>
    <xf numFmtId="0" fontId="15" fillId="0" borderId="0" xfId="0" applyFont="1"/>
    <xf numFmtId="49" fontId="14" fillId="6" borderId="6" xfId="0" applyNumberFormat="1" applyFont="1" applyFill="1" applyBorder="1" applyAlignment="1">
      <alignment horizontal="center" vertical="center"/>
    </xf>
    <xf numFmtId="49" fontId="14" fillId="7" borderId="7" xfId="0" applyNumberFormat="1" applyFont="1" applyFill="1" applyBorder="1" applyAlignment="1">
      <alignment horizontal="center" vertical="center"/>
    </xf>
    <xf numFmtId="0" fontId="14" fillId="7" borderId="7" xfId="0" applyFont="1" applyFill="1" applyBorder="1"/>
    <xf numFmtId="0" fontId="2" fillId="0" borderId="0" xfId="1"/>
    <xf numFmtId="0" fontId="15" fillId="0" borderId="0" xfId="0" applyFont="1" applyFill="1"/>
    <xf numFmtId="0" fontId="7" fillId="2" borderId="2" xfId="0" applyFont="1" applyFill="1" applyBorder="1" applyAlignment="1">
      <alignment horizontal="left" vertical="center"/>
    </xf>
    <xf numFmtId="0" fontId="0" fillId="0" borderId="0" xfId="0" applyAlignment="1">
      <alignment wrapText="1"/>
    </xf>
    <xf numFmtId="0" fontId="16" fillId="0" borderId="4" xfId="1" applyFont="1" applyFill="1" applyBorder="1" applyAlignment="1">
      <alignment horizontal="left"/>
    </xf>
    <xf numFmtId="0" fontId="2" fillId="0" borderId="0" xfId="1" applyFill="1"/>
    <xf numFmtId="15" fontId="0" fillId="0" borderId="0" xfId="0" applyNumberFormat="1"/>
    <xf numFmtId="14" fontId="0" fillId="0" borderId="0" xfId="0" applyNumberFormat="1"/>
    <xf numFmtId="0" fontId="14" fillId="8" borderId="7" xfId="0" applyFont="1" applyFill="1" applyBorder="1" applyAlignment="1">
      <alignment horizontal="center" vertical="center"/>
    </xf>
    <xf numFmtId="0" fontId="0" fillId="0" borderId="0" xfId="0" applyAlignment="1">
      <alignment horizontal="center"/>
    </xf>
    <xf numFmtId="0" fontId="5" fillId="0" borderId="0" xfId="0" applyFont="1" applyAlignment="1">
      <alignment horizontal="left"/>
    </xf>
    <xf numFmtId="0" fontId="0" fillId="3" borderId="0" xfId="0" applyFill="1" applyAlignment="1">
      <alignment horizontal="center"/>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10" fillId="4" borderId="4" xfId="0" applyFont="1" applyFill="1" applyBorder="1" applyAlignment="1">
      <alignment horizontal="left" vertical="center" wrapText="1"/>
    </xf>
    <xf numFmtId="0" fontId="11" fillId="3" borderId="1" xfId="0" applyFont="1" applyFill="1" applyBorder="1" applyAlignment="1">
      <alignment horizontal="center" vertical="center"/>
    </xf>
    <xf numFmtId="0" fontId="11" fillId="3" borderId="0" xfId="0" applyFont="1" applyFill="1" applyAlignment="1">
      <alignment horizontal="center" vertical="center"/>
    </xf>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colors>
    <mruColors>
      <color rgb="FF84CCD2"/>
      <color rgb="FFE9F6F7"/>
      <color rgb="FF86D9EA"/>
      <color rgb="FF4EC8E0"/>
      <color rgb="FF135C6B"/>
      <color rgb="FF6DD1E5"/>
      <color rgb="FF4FC7DF"/>
      <color rgb="FF23A8C3"/>
      <color rgb="FF00FFFF"/>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xdr:from>
      <xdr:col>7</xdr:col>
      <xdr:colOff>130218</xdr:colOff>
      <xdr:row>4</xdr:row>
      <xdr:rowOff>184150</xdr:rowOff>
    </xdr:from>
    <xdr:to>
      <xdr:col>7</xdr:col>
      <xdr:colOff>1114425</xdr:colOff>
      <xdr:row>7</xdr:row>
      <xdr:rowOff>57150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9131343" y="1031875"/>
          <a:ext cx="984207" cy="444500"/>
          <a:chOff x="2984127" y="906998"/>
          <a:chExt cx="1670698" cy="429245"/>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149268</xdr:colOff>
      <xdr:row>13</xdr:row>
      <xdr:rowOff>184150</xdr:rowOff>
    </xdr:from>
    <xdr:to>
      <xdr:col>7</xdr:col>
      <xdr:colOff>1133475</xdr:colOff>
      <xdr:row>16</xdr:row>
      <xdr:rowOff>57150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9150393" y="2489200"/>
          <a:ext cx="984207" cy="444500"/>
          <a:chOff x="2984127" y="906998"/>
          <a:chExt cx="1670698" cy="429245"/>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5" name="Btn_Proses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149268</xdr:colOff>
      <xdr:row>22</xdr:row>
      <xdr:rowOff>98425</xdr:rowOff>
    </xdr:from>
    <xdr:to>
      <xdr:col>7</xdr:col>
      <xdr:colOff>1133475</xdr:colOff>
      <xdr:row>24</xdr:row>
      <xdr:rowOff>161925</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9150393" y="3860800"/>
          <a:ext cx="984207" cy="444500"/>
          <a:chOff x="2984127" y="906998"/>
          <a:chExt cx="1670698" cy="429245"/>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6" name="Btn_Proses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4</xdr:col>
      <xdr:colOff>53641</xdr:colOff>
      <xdr:row>21</xdr:row>
      <xdr:rowOff>44052</xdr:rowOff>
    </xdr:from>
    <xdr:to>
      <xdr:col>4</xdr:col>
      <xdr:colOff>114362</xdr:colOff>
      <xdr:row>21</xdr:row>
      <xdr:rowOff>178594</xdr:rowOff>
    </xdr:to>
    <xdr:sp macro="[0]!BUTTON_CariFile_MacroTarikDataILDV"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668378" y="3623447"/>
          <a:ext cx="60721" cy="134542"/>
        </a:xfrm>
        <a:prstGeom prst="roundRect">
          <a:avLst/>
        </a:prstGeom>
        <a:solidFill>
          <a:schemeClr val="accent1">
            <a:lumMod val="75000"/>
          </a:schemeClr>
        </a:solidFill>
        <a:scene3d>
          <a:camera prst="orthographicFront"/>
          <a:lightRig rig="threePt" dir="t"/>
        </a:scene3d>
        <a:sp3d>
          <a:bevelT/>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l-GR" sz="800"/>
            <a:t>Ξ</a:t>
          </a:r>
          <a:endParaRPr lang="en-ID" sz="800">
            <a:solidFill>
              <a:schemeClr val="bg1"/>
            </a:solidFill>
          </a:endParaRPr>
        </a:p>
      </xdr:txBody>
    </xdr:sp>
    <xdr:clientData/>
  </xdr:twoCellAnchor>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CRO_PROCESS%20-%20Tarik%20Data%20ILDV/RPA%20Preference/.Macro/MACRO_RPA%20-%20%20Tarik%20Data%20ILDV.xls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hyperlink" Target="../.Source/JDE/1204_INSP.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FE571-A64A-4B3E-9A2F-093C51338683}">
  <sheetPr codeName="Sheet3">
    <tabColor theme="8" tint="-0.499984740745262"/>
  </sheetPr>
  <dimension ref="A1:U10"/>
  <sheetViews>
    <sheetView topLeftCell="J1" workbookViewId="0">
      <selection activeCell="P8" sqref="P8"/>
    </sheetView>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2.71093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1" x14ac:dyDescent="0.25">
      <c r="A1" s="16" t="s">
        <v>35</v>
      </c>
      <c r="F1" s="16" t="s">
        <v>47</v>
      </c>
      <c r="J1" s="16" t="s">
        <v>35</v>
      </c>
      <c r="O1" s="16" t="s">
        <v>47</v>
      </c>
      <c r="R1" s="34" t="s">
        <v>43</v>
      </c>
      <c r="S1" s="34"/>
      <c r="T1" s="34"/>
    </row>
    <row r="2" spans="1:21" x14ac:dyDescent="0.25">
      <c r="A2" s="23" t="s">
        <v>34</v>
      </c>
      <c r="B2" s="23" t="s">
        <v>32</v>
      </c>
      <c r="C2" s="23" t="s">
        <v>33</v>
      </c>
      <c r="F2" s="23" t="s">
        <v>34</v>
      </c>
      <c r="G2" s="23" t="s">
        <v>32</v>
      </c>
      <c r="J2" s="23" t="s">
        <v>34</v>
      </c>
      <c r="K2" s="23" t="s">
        <v>32</v>
      </c>
      <c r="L2" s="23" t="s">
        <v>33</v>
      </c>
      <c r="O2" s="23" t="s">
        <v>34</v>
      </c>
      <c r="P2" s="23" t="s">
        <v>32</v>
      </c>
      <c r="R2" s="24" t="s">
        <v>45</v>
      </c>
      <c r="S2" s="25" t="s">
        <v>42</v>
      </c>
      <c r="T2" s="25" t="s">
        <v>46</v>
      </c>
    </row>
    <row r="3" spans="1:21" x14ac:dyDescent="0.25">
      <c r="A3" s="17" t="s">
        <v>77</v>
      </c>
      <c r="B3" t="s">
        <v>36</v>
      </c>
      <c r="C3" t="str">
        <f>HOME!F14</f>
        <v>\\10.8.0.35\rpa$\RPA Excel Template\Accounting Finance\MACRO_PROCESS - Report Aging PerGL PerBranch\RPA Preference\.Result\PLEASE CHECK FILES EXTENSION.xlsx</v>
      </c>
      <c r="D3" t="s">
        <v>0</v>
      </c>
      <c r="F3" t="s">
        <v>44</v>
      </c>
      <c r="G3" t="str">
        <f>"*PROSES DIHENTIKAN!* Terdapat file yg tidak ditemukan "&amp; HOME!F15</f>
        <v>*PROSES DIHENTIKAN!* Terdapat file yg tidak ditemukan \\10.8.0.35\rpa$\RPA Excel Template\Accounting Finance\MACRO_PROCESS - Report Aging PerGL PerBranch\RPA Preference\.Macro\MACRO_RPA - Report Aging PerGL PerBranch.xlsm</v>
      </c>
      <c r="H3" t="s">
        <v>0</v>
      </c>
      <c r="J3" s="17" t="s">
        <v>77</v>
      </c>
      <c r="K3" t="str">
        <f ca="1">$R$3</f>
        <v>Selamat Pagi 
Berikut adalah DETAIL AND RESUME - Report Aging PerGL PerBranch
 _File Terlampir_.
Terima kasih
*GISCA*
*(Gistex Communication Assistant)*
_Please do not reply on this number_</v>
      </c>
      <c r="L3" t="str">
        <f>HOME!F16</f>
        <v>\\10.8.0.35\rpa$\RPA Excel Template\Accounting Finance\MACRO_PROCESS - Report Aging PerGL PerBranch\RPA Preference\.Result\DETAIL AND RESUME - Report Aging perGL perBranch.xlsx</v>
      </c>
      <c r="M3" t="s">
        <v>0</v>
      </c>
      <c r="O3" t="s">
        <v>44</v>
      </c>
      <c r="P3" t="str">
        <f>"*DONE: * "&amp; HOME!F15</f>
        <v>*DONE: * \\10.8.0.35\rpa$\RPA Excel Template\Accounting Finance\MACRO_PROCESS - Report Aging PerGL PerBranch\RPA Preference\.Macro\MACRO_RPA - Report Aging PerGL PerBranch.xlsm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Pagi 
Berikut adalah DETAIL AND RESUME - Report Aging PerGL PerBranch
 _File Terlampir_.
Terima kasih
*GISCA*
*(Gistex Communication Assistant)*
_Please do not reply on this number_</v>
      </c>
      <c r="S3" t="str">
        <f ca="1">IF(AND(HOUR(NOW())&gt;=6,HOUR(NOW())&lt;11),"Pagi",IF(AND(HOUR(NOW())&gt;=11,HOUR(NOW())&lt;15),"Siang",IF(AND(HOUR(NOW())&gt;=15,HOUR(NOW())&lt;18),"Sore","Malam")))</f>
        <v>Pagi</v>
      </c>
      <c r="T3" t="s">
        <v>81</v>
      </c>
      <c r="U3" t="s">
        <v>0</v>
      </c>
    </row>
    <row r="6" spans="1:21" x14ac:dyDescent="0.25">
      <c r="J6" s="29"/>
    </row>
    <row r="9" spans="1:21" x14ac:dyDescent="0.25">
      <c r="A9" s="26"/>
    </row>
    <row r="10" spans="1:21" x14ac:dyDescent="0.25">
      <c r="F10" s="26"/>
    </row>
  </sheetData>
  <mergeCells count="1">
    <mergeCell ref="R1:T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K27"/>
  <sheetViews>
    <sheetView showGridLines="0" tabSelected="1" zoomScaleNormal="100" workbookViewId="0">
      <selection sqref="A1:B1"/>
    </sheetView>
  </sheetViews>
  <sheetFormatPr defaultRowHeight="15" x14ac:dyDescent="0.25"/>
  <cols>
    <col min="1" max="1" width="1.85546875" customWidth="1"/>
    <col min="2" max="2" width="0.28515625" customWidth="1"/>
    <col min="3" max="3" width="46.42578125" customWidth="1"/>
    <col min="4" max="4" width="35.5703125" customWidth="1"/>
    <col min="5" max="5" width="3" customWidth="1"/>
    <col min="6" max="6" width="34" customWidth="1"/>
    <col min="7" max="7" width="13.85546875" customWidth="1"/>
    <col min="8" max="8" width="18.28515625" customWidth="1"/>
    <col min="9" max="9" width="1.140625" customWidth="1"/>
    <col min="10" max="10" width="9.85546875" bestFit="1" customWidth="1"/>
  </cols>
  <sheetData>
    <row r="1" spans="1:11" ht="18" customHeight="1" x14ac:dyDescent="0.25">
      <c r="A1" s="35"/>
      <c r="B1" s="35"/>
      <c r="C1" s="36" t="s">
        <v>1</v>
      </c>
      <c r="D1" s="36"/>
      <c r="E1" s="36"/>
      <c r="F1" s="36"/>
      <c r="G1" s="36"/>
      <c r="H1" s="36"/>
    </row>
    <row r="2" spans="1:11" ht="18" customHeight="1" x14ac:dyDescent="0.25">
      <c r="A2" s="5"/>
      <c r="B2" s="5"/>
      <c r="C2" s="6"/>
      <c r="D2" s="6"/>
      <c r="E2" s="6"/>
      <c r="F2" s="6"/>
      <c r="G2" s="6"/>
    </row>
    <row r="3" spans="1:11" ht="15.75" x14ac:dyDescent="0.25">
      <c r="A3" s="35"/>
      <c r="B3" s="37"/>
      <c r="C3" s="2" t="s">
        <v>7</v>
      </c>
      <c r="D3" s="3" t="s">
        <v>5</v>
      </c>
      <c r="E3" s="38" t="s">
        <v>4</v>
      </c>
      <c r="F3" s="39"/>
      <c r="G3" s="3" t="s">
        <v>6</v>
      </c>
      <c r="H3" s="7" t="s">
        <v>2</v>
      </c>
    </row>
    <row r="4" spans="1:11" ht="15" customHeight="1" x14ac:dyDescent="0.25">
      <c r="A4" s="35"/>
      <c r="B4" s="37"/>
      <c r="C4" s="40" t="s">
        <v>49</v>
      </c>
      <c r="D4" s="8" t="s">
        <v>11</v>
      </c>
      <c r="E4" s="4"/>
      <c r="F4" s="19" t="s">
        <v>51</v>
      </c>
      <c r="G4" s="10" t="s">
        <v>0</v>
      </c>
      <c r="H4" s="41" t="s">
        <v>3</v>
      </c>
    </row>
    <row r="5" spans="1:11" x14ac:dyDescent="0.25">
      <c r="A5" s="35"/>
      <c r="B5" s="37"/>
      <c r="C5" s="40"/>
      <c r="D5" s="8" t="s">
        <v>26</v>
      </c>
      <c r="E5" s="4"/>
      <c r="F5" s="20" t="s">
        <v>78</v>
      </c>
      <c r="G5" s="13" t="s">
        <v>0</v>
      </c>
      <c r="H5" s="42"/>
    </row>
    <row r="6" spans="1:11" x14ac:dyDescent="0.25">
      <c r="A6" s="35"/>
      <c r="B6" s="37"/>
      <c r="C6" s="40"/>
      <c r="D6" s="8" t="s">
        <v>27</v>
      </c>
      <c r="E6" s="4"/>
      <c r="F6" s="21">
        <f ca="1">EOMONTH(TODAY(), -1)</f>
        <v>45716</v>
      </c>
      <c r="G6" s="13" t="s">
        <v>0</v>
      </c>
      <c r="H6" s="42"/>
      <c r="J6" s="32"/>
    </row>
    <row r="7" spans="1:11" x14ac:dyDescent="0.25">
      <c r="A7" s="35"/>
      <c r="B7" s="37"/>
      <c r="C7" s="40"/>
      <c r="D7" s="8" t="s">
        <v>19</v>
      </c>
      <c r="E7" s="4"/>
      <c r="F7" s="19" t="s">
        <v>18</v>
      </c>
      <c r="G7" s="13" t="s">
        <v>0</v>
      </c>
      <c r="H7" s="42"/>
    </row>
    <row r="8" spans="1:11" x14ac:dyDescent="0.25">
      <c r="A8" s="35"/>
      <c r="B8" s="37"/>
      <c r="C8" s="40"/>
      <c r="D8" s="8"/>
      <c r="E8" s="4"/>
      <c r="F8" s="22"/>
      <c r="G8" s="11"/>
      <c r="H8" s="42"/>
    </row>
    <row r="9" spans="1:11" x14ac:dyDescent="0.25">
      <c r="A9" s="35"/>
      <c r="B9" s="37"/>
      <c r="C9" s="40"/>
      <c r="D9" s="9"/>
      <c r="E9" s="4"/>
      <c r="F9" s="12"/>
      <c r="G9" s="11"/>
      <c r="H9" s="42"/>
    </row>
    <row r="10" spans="1:11" ht="1.5" customHeight="1" x14ac:dyDescent="0.25">
      <c r="A10" s="35"/>
      <c r="B10" s="37"/>
      <c r="C10" s="15"/>
      <c r="D10" s="15"/>
      <c r="E10" s="15"/>
      <c r="F10" s="15"/>
      <c r="G10" s="15"/>
      <c r="H10" s="15"/>
    </row>
    <row r="11" spans="1:11" ht="7.5" customHeight="1" x14ac:dyDescent="0.25">
      <c r="A11" s="35"/>
      <c r="B11" s="35"/>
      <c r="C11" s="14"/>
      <c r="D11" s="14"/>
      <c r="E11" s="14"/>
      <c r="F11" s="14"/>
      <c r="G11" s="14"/>
      <c r="H11" s="14"/>
    </row>
    <row r="12" spans="1:11" ht="15.75" x14ac:dyDescent="0.25">
      <c r="A12" s="35"/>
      <c r="B12" s="35"/>
      <c r="C12" s="2" t="s">
        <v>7</v>
      </c>
      <c r="D12" s="3" t="s">
        <v>5</v>
      </c>
      <c r="E12" s="38" t="s">
        <v>4</v>
      </c>
      <c r="F12" s="39"/>
      <c r="G12" s="3" t="s">
        <v>6</v>
      </c>
      <c r="H12" s="7" t="s">
        <v>2</v>
      </c>
    </row>
    <row r="13" spans="1:11" x14ac:dyDescent="0.25">
      <c r="A13" s="35"/>
      <c r="B13" s="35"/>
      <c r="C13" s="40" t="s">
        <v>50</v>
      </c>
      <c r="D13" s="8" t="s">
        <v>29</v>
      </c>
      <c r="E13" s="4"/>
      <c r="F13" s="22" t="s">
        <v>37</v>
      </c>
      <c r="G13" s="10" t="s">
        <v>0</v>
      </c>
      <c r="H13" s="41" t="s">
        <v>3</v>
      </c>
    </row>
    <row r="14" spans="1:11" x14ac:dyDescent="0.25">
      <c r="A14" s="35"/>
      <c r="B14" s="35"/>
      <c r="C14" s="40"/>
      <c r="D14" s="8" t="s">
        <v>31</v>
      </c>
      <c r="E14" s="1"/>
      <c r="F14" s="22" t="s">
        <v>30</v>
      </c>
      <c r="G14" s="10" t="s">
        <v>0</v>
      </c>
      <c r="H14" s="42"/>
      <c r="K14" t="s">
        <v>48</v>
      </c>
    </row>
    <row r="15" spans="1:11" x14ac:dyDescent="0.25">
      <c r="A15" s="35"/>
      <c r="B15" s="35"/>
      <c r="C15" s="40"/>
      <c r="D15" s="8" t="s">
        <v>41</v>
      </c>
      <c r="E15" s="1"/>
      <c r="F15" s="22" t="s">
        <v>89</v>
      </c>
      <c r="G15" s="10" t="s">
        <v>0</v>
      </c>
      <c r="H15" s="42"/>
    </row>
    <row r="16" spans="1:11" x14ac:dyDescent="0.25">
      <c r="A16" s="35"/>
      <c r="B16" s="35"/>
      <c r="C16" s="40"/>
      <c r="D16" s="8" t="s">
        <v>79</v>
      </c>
      <c r="E16" s="1"/>
      <c r="F16" s="27" t="s">
        <v>80</v>
      </c>
      <c r="G16" s="10" t="s">
        <v>0</v>
      </c>
      <c r="H16" s="42"/>
    </row>
    <row r="17" spans="1:11" x14ac:dyDescent="0.25">
      <c r="A17" s="35"/>
      <c r="B17" s="35"/>
      <c r="C17" s="40"/>
      <c r="D17" s="8"/>
      <c r="E17" s="1"/>
      <c r="F17" s="22"/>
      <c r="G17" s="10" t="s">
        <v>0</v>
      </c>
      <c r="H17" s="42"/>
    </row>
    <row r="18" spans="1:11" x14ac:dyDescent="0.25">
      <c r="A18" s="35"/>
      <c r="B18" s="35"/>
      <c r="C18" s="40"/>
      <c r="D18" s="8"/>
      <c r="E18" s="4"/>
      <c r="F18" s="22"/>
      <c r="G18" s="10" t="s">
        <v>0</v>
      </c>
      <c r="H18" s="42"/>
    </row>
    <row r="19" spans="1:11" ht="1.5" customHeight="1" x14ac:dyDescent="0.25">
      <c r="A19" s="35"/>
      <c r="B19" s="35"/>
      <c r="C19" s="15"/>
      <c r="D19" s="15"/>
      <c r="E19" s="15"/>
      <c r="F19" s="15"/>
      <c r="G19" s="15"/>
      <c r="H19" s="15"/>
    </row>
    <row r="20" spans="1:11" ht="7.5" customHeight="1" x14ac:dyDescent="0.25">
      <c r="A20" s="35"/>
      <c r="B20" s="35"/>
      <c r="C20" s="14"/>
      <c r="D20" s="14"/>
      <c r="E20" s="14"/>
      <c r="F20" s="14"/>
      <c r="G20" s="14"/>
      <c r="H20" s="14"/>
    </row>
    <row r="21" spans="1:11" ht="15.75" x14ac:dyDescent="0.25">
      <c r="A21" s="35"/>
      <c r="B21" s="35"/>
      <c r="C21" s="2" t="s">
        <v>7</v>
      </c>
      <c r="D21" s="28" t="s">
        <v>5</v>
      </c>
      <c r="E21" s="38" t="s">
        <v>4</v>
      </c>
      <c r="F21" s="39"/>
      <c r="G21" s="28" t="s">
        <v>6</v>
      </c>
      <c r="H21" s="7" t="s">
        <v>2</v>
      </c>
    </row>
    <row r="22" spans="1:11" x14ac:dyDescent="0.25">
      <c r="A22" s="35"/>
      <c r="B22" s="35"/>
      <c r="C22" s="40" t="s">
        <v>82</v>
      </c>
      <c r="D22" s="8" t="s">
        <v>84</v>
      </c>
      <c r="E22" s="4"/>
      <c r="F22" s="31" t="s">
        <v>86</v>
      </c>
      <c r="G22" s="10" t="s">
        <v>0</v>
      </c>
      <c r="H22" s="41" t="s">
        <v>3</v>
      </c>
    </row>
    <row r="23" spans="1:11" x14ac:dyDescent="0.25">
      <c r="A23" s="35"/>
      <c r="B23" s="35"/>
      <c r="C23" s="40"/>
      <c r="D23" s="8" t="s">
        <v>11</v>
      </c>
      <c r="E23" s="4"/>
      <c r="F23" s="22" t="s">
        <v>87</v>
      </c>
      <c r="G23" s="10" t="s">
        <v>0</v>
      </c>
      <c r="H23" s="42"/>
      <c r="K23" t="s">
        <v>48</v>
      </c>
    </row>
    <row r="24" spans="1:11" x14ac:dyDescent="0.25">
      <c r="A24" s="35"/>
      <c r="B24" s="35"/>
      <c r="C24" s="40"/>
      <c r="D24" s="8" t="s">
        <v>26</v>
      </c>
      <c r="E24" s="4"/>
      <c r="F24" s="30" t="s">
        <v>85</v>
      </c>
      <c r="G24" s="10" t="s">
        <v>0</v>
      </c>
      <c r="H24" s="42"/>
    </row>
    <row r="25" spans="1:11" x14ac:dyDescent="0.25">
      <c r="A25" s="35"/>
      <c r="B25" s="35"/>
      <c r="C25" s="40"/>
      <c r="D25" s="8" t="s">
        <v>83</v>
      </c>
      <c r="E25" s="1"/>
      <c r="F25" s="22" t="str">
        <f ca="1">TEXT(F6,"YYYY")</f>
        <v>2025</v>
      </c>
      <c r="G25" s="10" t="s">
        <v>0</v>
      </c>
      <c r="H25" s="42"/>
    </row>
    <row r="26" spans="1:11" x14ac:dyDescent="0.25">
      <c r="A26" s="35"/>
      <c r="B26" s="35"/>
      <c r="C26" s="40"/>
      <c r="D26" s="8" t="s">
        <v>88</v>
      </c>
      <c r="E26" s="1"/>
      <c r="F26" s="22" t="str">
        <f ca="1">TEXT(F6,"M")</f>
        <v>2</v>
      </c>
      <c r="G26" s="10" t="s">
        <v>0</v>
      </c>
      <c r="H26" s="42"/>
    </row>
    <row r="27" spans="1:11" ht="1.5" customHeight="1" x14ac:dyDescent="0.25">
      <c r="A27" s="35"/>
      <c r="B27" s="35"/>
      <c r="C27" s="15"/>
      <c r="D27" s="15"/>
      <c r="E27" s="15"/>
      <c r="F27" s="15"/>
      <c r="G27" s="15"/>
      <c r="H27" s="15"/>
    </row>
  </sheetData>
  <mergeCells count="17">
    <mergeCell ref="B20:B27"/>
    <mergeCell ref="A20:A27"/>
    <mergeCell ref="H22:H26"/>
    <mergeCell ref="C22:C26"/>
    <mergeCell ref="E21:F21"/>
    <mergeCell ref="A11:A19"/>
    <mergeCell ref="B11:B19"/>
    <mergeCell ref="E12:F12"/>
    <mergeCell ref="C13:C18"/>
    <mergeCell ref="H13:H18"/>
    <mergeCell ref="A1:B1"/>
    <mergeCell ref="C1:H1"/>
    <mergeCell ref="A3:A10"/>
    <mergeCell ref="B3:B10"/>
    <mergeCell ref="E3:F3"/>
    <mergeCell ref="C4:C9"/>
    <mergeCell ref="H4:H9"/>
  </mergeCells>
  <hyperlinks>
    <hyperlink ref="F22" r:id="rId1" xr:uid="{36790CD6-E50A-436A-AB7C-BD4AA5374B2D}"/>
  </hyperlinks>
  <pageMargins left="0.7" right="0.7" top="0.75" bottom="0.75" header="0.3" footer="0.3"/>
  <pageSetup orientation="portrait" r:id="rId2"/>
  <drawing r:id="rId3"/>
  <legacyDrawing r:id="rId4"/>
  <controls>
    <mc:AlternateContent xmlns:mc="http://schemas.openxmlformats.org/markup-compatibility/2006">
      <mc:Choice Requires="x14">
        <control shapeId="8196" r:id="rId5" name="Btn_Proses3">
          <controlPr defaultSize="0" autoLine="0" r:id="rId6">
            <anchor moveWithCells="1">
              <from>
                <xdr:col>7</xdr:col>
                <xdr:colOff>247650</xdr:colOff>
                <xdr:row>22</xdr:row>
                <xdr:rowOff>180975</xdr:rowOff>
              </from>
              <to>
                <xdr:col>7</xdr:col>
                <xdr:colOff>1038225</xdr:colOff>
                <xdr:row>24</xdr:row>
                <xdr:rowOff>66675</xdr:rowOff>
              </to>
            </anchor>
          </controlPr>
        </control>
      </mc:Choice>
      <mc:Fallback>
        <control shapeId="8196" r:id="rId5" name="Btn_Proses3"/>
      </mc:Fallback>
    </mc:AlternateContent>
    <mc:AlternateContent xmlns:mc="http://schemas.openxmlformats.org/markup-compatibility/2006">
      <mc:Choice Requires="x14">
        <control shapeId="8195" r:id="rId7" name="Btn_Proses2">
          <controlPr defaultSize="0" autoLine="0" r:id="rId8">
            <anchor moveWithCells="1">
              <from>
                <xdr:col>7</xdr:col>
                <xdr:colOff>247650</xdr:colOff>
                <xdr:row>14</xdr:row>
                <xdr:rowOff>76200</xdr:rowOff>
              </from>
              <to>
                <xdr:col>7</xdr:col>
                <xdr:colOff>1038225</xdr:colOff>
                <xdr:row>15</xdr:row>
                <xdr:rowOff>152400</xdr:rowOff>
              </to>
            </anchor>
          </controlPr>
        </control>
      </mc:Choice>
      <mc:Fallback>
        <control shapeId="8195" r:id="rId7" name="Btn_Proses2"/>
      </mc:Fallback>
    </mc:AlternateContent>
    <mc:AlternateContent xmlns:mc="http://schemas.openxmlformats.org/markup-compatibility/2006">
      <mc:Choice Requires="x14">
        <control shapeId="8193" r:id="rId9" name="Btn_Proses1">
          <controlPr defaultSize="0" autoLine="0" r:id="rId10">
            <anchor moveWithCells="1">
              <from>
                <xdr:col>7</xdr:col>
                <xdr:colOff>228600</xdr:colOff>
                <xdr:row>5</xdr:row>
                <xdr:rowOff>76200</xdr:rowOff>
              </from>
              <to>
                <xdr:col>7</xdr:col>
                <xdr:colOff>1019175</xdr:colOff>
                <xdr:row>6</xdr:row>
                <xdr:rowOff>152400</xdr:rowOff>
              </to>
            </anchor>
          </controlPr>
        </control>
      </mc:Choice>
      <mc:Fallback>
        <control shapeId="8193" r:id="rId9" name="Btn_Proses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1CB0-EDC2-4884-A67D-DC013B664D31}">
  <dimension ref="A1:C2"/>
  <sheetViews>
    <sheetView workbookViewId="0"/>
  </sheetViews>
  <sheetFormatPr defaultRowHeight="15" x14ac:dyDescent="0.25"/>
  <cols>
    <col min="1" max="1" width="3.42578125" bestFit="1" customWidth="1"/>
    <col min="2" max="2" width="19.42578125" bestFit="1" customWidth="1"/>
    <col min="3" max="3" width="8.85546875" bestFit="1" customWidth="1"/>
  </cols>
  <sheetData>
    <row r="1" spans="1:3" s="18" customFormat="1" x14ac:dyDescent="0.25">
      <c r="A1" s="18" t="s">
        <v>8</v>
      </c>
      <c r="B1" s="18" t="s">
        <v>10</v>
      </c>
      <c r="C1" s="18" t="s">
        <v>9</v>
      </c>
    </row>
    <row r="2" spans="1:3" x14ac:dyDescent="0.25">
      <c r="A2" t="s">
        <v>8</v>
      </c>
      <c r="B2" t="s">
        <v>13</v>
      </c>
      <c r="C2"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83B88-06F7-4FCA-A84A-73F88D3333D7}">
  <dimension ref="A1:E28"/>
  <sheetViews>
    <sheetView topLeftCell="A4" workbookViewId="0">
      <selection activeCell="G6" sqref="G6"/>
    </sheetView>
  </sheetViews>
  <sheetFormatPr defaultRowHeight="15" x14ac:dyDescent="0.25"/>
  <cols>
    <col min="3" max="3" width="10.7109375" bestFit="1" customWidth="1"/>
  </cols>
  <sheetData>
    <row r="1" spans="1:5" x14ac:dyDescent="0.25">
      <c r="A1" s="18" t="s">
        <v>15</v>
      </c>
      <c r="B1" s="18" t="s">
        <v>11</v>
      </c>
      <c r="C1" s="18" t="s">
        <v>16</v>
      </c>
      <c r="D1" s="18" t="s">
        <v>25</v>
      </c>
      <c r="E1" s="18" t="s">
        <v>17</v>
      </c>
    </row>
    <row r="2" spans="1:5" x14ac:dyDescent="0.25">
      <c r="A2">
        <v>1201</v>
      </c>
      <c r="B2" t="s">
        <v>12</v>
      </c>
      <c r="C2" s="33">
        <v>45716</v>
      </c>
      <c r="D2">
        <v>1956531</v>
      </c>
      <c r="E2" t="s">
        <v>53</v>
      </c>
    </row>
    <row r="3" spans="1:5" x14ac:dyDescent="0.25">
      <c r="A3">
        <v>1201</v>
      </c>
      <c r="B3" t="s">
        <v>20</v>
      </c>
      <c r="C3" s="33">
        <v>45716</v>
      </c>
      <c r="D3">
        <v>1956702</v>
      </c>
      <c r="E3" t="s">
        <v>54</v>
      </c>
    </row>
    <row r="4" spans="1:5" x14ac:dyDescent="0.25">
      <c r="A4">
        <v>1201</v>
      </c>
      <c r="B4" t="s">
        <v>21</v>
      </c>
      <c r="C4" s="33">
        <v>45716</v>
      </c>
      <c r="D4">
        <v>1956703</v>
      </c>
      <c r="E4" t="s">
        <v>55</v>
      </c>
    </row>
    <row r="5" spans="1:5" x14ac:dyDescent="0.25">
      <c r="A5">
        <v>1201</v>
      </c>
      <c r="B5" t="s">
        <v>28</v>
      </c>
      <c r="C5" s="33">
        <v>45716</v>
      </c>
      <c r="D5">
        <v>1956864</v>
      </c>
      <c r="E5" t="s">
        <v>56</v>
      </c>
    </row>
    <row r="6" spans="1:5" x14ac:dyDescent="0.25">
      <c r="A6">
        <v>1201</v>
      </c>
      <c r="B6" t="s">
        <v>22</v>
      </c>
      <c r="C6" s="33">
        <v>45716</v>
      </c>
      <c r="D6">
        <v>1956865</v>
      </c>
      <c r="E6" t="s">
        <v>57</v>
      </c>
    </row>
    <row r="7" spans="1:5" x14ac:dyDescent="0.25">
      <c r="A7">
        <v>1201</v>
      </c>
      <c r="B7" t="s">
        <v>23</v>
      </c>
      <c r="C7" s="33">
        <v>45716</v>
      </c>
      <c r="D7">
        <v>1956866</v>
      </c>
      <c r="E7" t="s">
        <v>58</v>
      </c>
    </row>
    <row r="8" spans="1:5" x14ac:dyDescent="0.25">
      <c r="A8">
        <v>1201</v>
      </c>
      <c r="B8" t="s">
        <v>24</v>
      </c>
      <c r="C8" s="33">
        <v>45716</v>
      </c>
      <c r="D8">
        <v>1956867</v>
      </c>
      <c r="E8" t="s">
        <v>59</v>
      </c>
    </row>
    <row r="9" spans="1:5" x14ac:dyDescent="0.25">
      <c r="A9">
        <v>1201</v>
      </c>
      <c r="B9" t="s">
        <v>52</v>
      </c>
      <c r="C9" s="33">
        <v>45716</v>
      </c>
      <c r="D9">
        <v>1956643</v>
      </c>
      <c r="E9" t="s">
        <v>60</v>
      </c>
    </row>
    <row r="10" spans="1:5" x14ac:dyDescent="0.25">
      <c r="A10">
        <v>1204</v>
      </c>
      <c r="B10" t="s">
        <v>12</v>
      </c>
      <c r="C10" s="33">
        <v>45716</v>
      </c>
      <c r="D10">
        <v>1956644</v>
      </c>
      <c r="E10" t="s">
        <v>61</v>
      </c>
    </row>
    <row r="11" spans="1:5" x14ac:dyDescent="0.25">
      <c r="A11">
        <v>1204</v>
      </c>
      <c r="B11" t="s">
        <v>20</v>
      </c>
      <c r="C11" s="33">
        <v>45716</v>
      </c>
      <c r="D11">
        <v>1956646</v>
      </c>
      <c r="E11" t="s">
        <v>62</v>
      </c>
    </row>
    <row r="12" spans="1:5" x14ac:dyDescent="0.25">
      <c r="A12">
        <v>1204</v>
      </c>
      <c r="B12" t="s">
        <v>21</v>
      </c>
      <c r="C12" s="33">
        <v>45716</v>
      </c>
      <c r="D12">
        <v>1956636</v>
      </c>
      <c r="E12" t="s">
        <v>63</v>
      </c>
    </row>
    <row r="13" spans="1:5" x14ac:dyDescent="0.25">
      <c r="A13">
        <v>1204</v>
      </c>
      <c r="B13" t="s">
        <v>28</v>
      </c>
      <c r="C13" s="33">
        <v>45716</v>
      </c>
      <c r="D13">
        <v>1956637</v>
      </c>
      <c r="E13" t="s">
        <v>64</v>
      </c>
    </row>
    <row r="14" spans="1:5" x14ac:dyDescent="0.25">
      <c r="A14">
        <v>1204</v>
      </c>
      <c r="B14" t="s">
        <v>22</v>
      </c>
      <c r="C14" s="33">
        <v>45716</v>
      </c>
      <c r="D14">
        <v>1956638</v>
      </c>
      <c r="E14" t="s">
        <v>65</v>
      </c>
    </row>
    <row r="15" spans="1:5" x14ac:dyDescent="0.25">
      <c r="A15">
        <v>1204</v>
      </c>
      <c r="B15" t="s">
        <v>23</v>
      </c>
      <c r="C15" s="33">
        <v>45716</v>
      </c>
      <c r="D15">
        <v>1956599</v>
      </c>
      <c r="E15" s="26" t="s">
        <v>66</v>
      </c>
    </row>
    <row r="16" spans="1:5" x14ac:dyDescent="0.25">
      <c r="A16">
        <v>1204</v>
      </c>
      <c r="B16" t="s">
        <v>24</v>
      </c>
      <c r="C16" s="33">
        <v>45716</v>
      </c>
      <c r="D16">
        <v>1956600</v>
      </c>
      <c r="E16" t="s">
        <v>67</v>
      </c>
    </row>
    <row r="17" spans="1:5" x14ac:dyDescent="0.25">
      <c r="A17">
        <v>1204</v>
      </c>
      <c r="B17" t="s">
        <v>52</v>
      </c>
      <c r="C17" s="33">
        <v>45716</v>
      </c>
      <c r="D17">
        <v>1956602</v>
      </c>
      <c r="E17" t="s">
        <v>68</v>
      </c>
    </row>
    <row r="18" spans="1:5" x14ac:dyDescent="0.25">
      <c r="A18">
        <v>1205</v>
      </c>
      <c r="B18" t="s">
        <v>12</v>
      </c>
      <c r="C18" s="33">
        <v>45716</v>
      </c>
      <c r="D18">
        <v>1956580</v>
      </c>
      <c r="E18" t="s">
        <v>69</v>
      </c>
    </row>
    <row r="19" spans="1:5" x14ac:dyDescent="0.25">
      <c r="A19">
        <v>1205</v>
      </c>
      <c r="B19" t="s">
        <v>20</v>
      </c>
      <c r="C19" s="33">
        <v>45716</v>
      </c>
      <c r="D19">
        <v>1956581</v>
      </c>
      <c r="E19" t="s">
        <v>70</v>
      </c>
    </row>
    <row r="20" spans="1:5" x14ac:dyDescent="0.25">
      <c r="A20">
        <v>1205</v>
      </c>
      <c r="B20" t="s">
        <v>21</v>
      </c>
      <c r="C20" s="33">
        <v>45716</v>
      </c>
      <c r="D20">
        <v>1956583</v>
      </c>
      <c r="E20" t="s">
        <v>71</v>
      </c>
    </row>
    <row r="21" spans="1:5" x14ac:dyDescent="0.25">
      <c r="A21">
        <v>1205</v>
      </c>
      <c r="B21" t="s">
        <v>28</v>
      </c>
      <c r="C21" s="33">
        <v>45716</v>
      </c>
      <c r="D21">
        <v>1956589</v>
      </c>
      <c r="E21" t="s">
        <v>72</v>
      </c>
    </row>
    <row r="22" spans="1:5" x14ac:dyDescent="0.25">
      <c r="A22">
        <v>1205</v>
      </c>
      <c r="B22" t="s">
        <v>22</v>
      </c>
      <c r="C22" s="33">
        <v>45716</v>
      </c>
      <c r="D22">
        <v>1956590</v>
      </c>
      <c r="E22" t="s">
        <v>38</v>
      </c>
    </row>
    <row r="23" spans="1:5" x14ac:dyDescent="0.25">
      <c r="A23">
        <v>1205</v>
      </c>
      <c r="B23" t="s">
        <v>23</v>
      </c>
      <c r="C23" s="33">
        <v>45716</v>
      </c>
      <c r="D23">
        <v>1956591</v>
      </c>
      <c r="E23" t="s">
        <v>39</v>
      </c>
    </row>
    <row r="24" spans="1:5" x14ac:dyDescent="0.25">
      <c r="A24">
        <v>1205</v>
      </c>
      <c r="B24" t="s">
        <v>24</v>
      </c>
      <c r="C24" s="33">
        <v>45716</v>
      </c>
      <c r="D24">
        <v>1956592</v>
      </c>
      <c r="E24" t="s">
        <v>40</v>
      </c>
    </row>
    <row r="25" spans="1:5" x14ac:dyDescent="0.25">
      <c r="A25">
        <v>1205</v>
      </c>
      <c r="B25" t="s">
        <v>52</v>
      </c>
      <c r="C25" s="33">
        <v>45716</v>
      </c>
      <c r="D25">
        <v>1956593</v>
      </c>
      <c r="E25" t="s">
        <v>73</v>
      </c>
    </row>
    <row r="26" spans="1:5" x14ac:dyDescent="0.25">
      <c r="A26">
        <v>1206</v>
      </c>
      <c r="B26" t="s">
        <v>24</v>
      </c>
      <c r="C26" s="33">
        <v>45716</v>
      </c>
      <c r="D26">
        <v>1956538</v>
      </c>
      <c r="E26" t="s">
        <v>76</v>
      </c>
    </row>
    <row r="27" spans="1:5" x14ac:dyDescent="0.25">
      <c r="A27">
        <v>1206</v>
      </c>
      <c r="B27" t="s">
        <v>23</v>
      </c>
      <c r="C27" s="33">
        <v>45716</v>
      </c>
      <c r="D27">
        <v>1956540</v>
      </c>
      <c r="E27" t="s">
        <v>75</v>
      </c>
    </row>
    <row r="28" spans="1:5" x14ac:dyDescent="0.25">
      <c r="A28">
        <v>1206</v>
      </c>
      <c r="B28" t="s">
        <v>22</v>
      </c>
      <c r="C28" s="33">
        <v>45716</v>
      </c>
      <c r="D28">
        <v>1956575</v>
      </c>
      <c r="E28" t="s">
        <v>74</v>
      </c>
    </row>
  </sheetData>
  <hyperlinks>
    <hyperlink ref="E15" r:id="rId1" xr:uid="{C819B953-BB9C-4DBA-9883-85ED7098CF1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ref_WA</vt:lpstr>
      <vt:lpstr>HOME</vt:lpstr>
      <vt:lpstr>RPA1_BV</vt:lpstr>
      <vt:lpstr>RPA1_DataInput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2025-03-06T01:05:48Z</dcterms:modified>
</cp:coreProperties>
</file>