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10.8.0.35\rpa$\RPA Excel Template\Accounting Finance\MACRO_PROCESS - Report Aging PerGL PerBranch\RPA Preference\.Macro\Backup\2024-12-24\UPDATED\"/>
    </mc:Choice>
  </mc:AlternateContent>
  <xr:revisionPtr revIDLastSave="0" documentId="13_ncr:1_{31667FC8-EE5E-4D04-979C-407D59EB7A6D}" xr6:coauthVersionLast="47" xr6:coauthVersionMax="47" xr10:uidLastSave="{00000000-0000-0000-0000-000000000000}"/>
  <bookViews>
    <workbookView xWindow="20370" yWindow="-120" windowWidth="20730" windowHeight="11160" tabRatio="793" activeTab="6" xr2:uid="{2CCE3C95-2940-4053-8BE7-2A6EFE1350AC}"/>
  </bookViews>
  <sheets>
    <sheet name="ref_WA" sheetId="23" r:id="rId1"/>
    <sheet name="INPUTAN_USER" sheetId="7" r:id="rId2"/>
    <sheet name="HOME" sheetId="8" r:id="rId3"/>
    <sheet name="RPA1_BV" sheetId="39" r:id="rId4"/>
    <sheet name="RPA1_DataInput" sheetId="40" r:id="rId5"/>
    <sheet name="CHECK - File Arus Barang" sheetId="57" r:id="rId6"/>
    <sheet name="RPA2" sheetId="58" r:id="rId7"/>
    <sheet name="RPA2.2_WA1" sheetId="59" r:id="rId8"/>
    <sheet name="RPA2.2_WA2" sheetId="60" r:id="rId9"/>
  </sheets>
  <functionGroups builtInGroupCount="19"/>
  <definedNames>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23" l="1"/>
  <c r="C3" i="23"/>
  <c r="P3" i="23"/>
  <c r="S3" i="23"/>
  <c r="R3" i="23" s="1"/>
  <c r="K3" i="23" l="1"/>
  <c r="L3" i="23" l="1"/>
  <c r="F6"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1" authorId="0" shapeId="0" xr:uid="{75837A10-1376-4A4C-9131-A2F8860B7BF2}">
      <text>
        <r>
          <rPr>
            <b/>
            <sz val="9"/>
            <color indexed="81"/>
            <rFont val="Tahoma"/>
            <family val="2"/>
          </rPr>
          <t>TRUE / FALSE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1" authorId="0" shapeId="0" xr:uid="{2D98F48C-45B0-438E-A8AE-36873D607878}">
      <text>
        <r>
          <rPr>
            <b/>
            <sz val="9"/>
            <color indexed="81"/>
            <rFont val="Tahoma"/>
            <family val="2"/>
          </rPr>
          <t>0 = STOP
1 = LANJUT tanpa WA</t>
        </r>
      </text>
    </comment>
  </commentList>
</comments>
</file>

<file path=xl/sharedStrings.xml><?xml version="1.0" encoding="utf-8"?>
<sst xmlns="http://schemas.openxmlformats.org/spreadsheetml/2006/main" count="177" uniqueCount="100">
  <si>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</si>
  <si>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</si>
  <si>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</si>
  <si>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</si>
  <si>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</si>
  <si>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</si>
  <si>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</si>
  <si>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</si>
  <si>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BV</t>
  </si>
  <si>
    <t>VERSION</t>
  </si>
  <si>
    <t>BATCH APPLICATION</t>
  </si>
  <si>
    <t>GL</t>
  </si>
  <si>
    <t>INAC</t>
  </si>
  <si>
    <t>R5641114</t>
  </si>
  <si>
    <t>GG0001</t>
  </si>
  <si>
    <t>Business Unit</t>
  </si>
  <si>
    <t>GL Date</t>
  </si>
  <si>
    <t>Save As</t>
  </si>
  <si>
    <t>\\10.8.0.35\rpa$\RPA Excel Template\Accounting Finance\MACRO_PROCESS - Report Aging PerGL PerBranch\RPA Preference\.Source\JDE</t>
  </si>
  <si>
    <r>
      <t>LOKASI FOLDER  (</t>
    </r>
    <r>
      <rPr>
        <i/>
        <sz val="9"/>
        <color theme="4" tint="-0.499984740745262"/>
        <rFont val="Calibri"/>
        <family val="2"/>
        <scheme val="minor"/>
      </rPr>
      <t>Tarikan JDE</t>
    </r>
    <r>
      <rPr>
        <sz val="11"/>
        <color theme="4" tint="-0.499984740745262"/>
        <rFont val="Calibri"/>
        <family val="2"/>
        <scheme val="minor"/>
      </rPr>
      <t>)</t>
    </r>
  </si>
  <si>
    <t>INFA</t>
  </si>
  <si>
    <t>INPA</t>
  </si>
  <si>
    <t>INUM</t>
  </si>
  <si>
    <t>INSP</t>
  </si>
  <si>
    <t>INFO</t>
  </si>
  <si>
    <t>Job Number</t>
  </si>
  <si>
    <t>BRANCH</t>
  </si>
  <si>
    <t>1201|1204|1205</t>
  </si>
  <si>
    <t>Setup Acuan Tarikan Report Aging di JDE</t>
  </si>
  <si>
    <r>
      <t>GL Date (</t>
    </r>
    <r>
      <rPr>
        <i/>
        <sz val="9"/>
        <color theme="4" tint="-0.499984740745262"/>
        <rFont val="Calibri"/>
        <family val="2"/>
        <scheme val="minor"/>
      </rPr>
      <t>mm/dd/yyyy</t>
    </r>
    <r>
      <rPr>
        <sz val="11"/>
        <color theme="4" tint="-0.499984740745262"/>
        <rFont val="Calibri"/>
        <family val="2"/>
        <scheme val="minor"/>
      </rPr>
      <t>)</t>
    </r>
  </si>
  <si>
    <t>ININ</t>
  </si>
  <si>
    <r>
      <t>LOKASI FOLDER  (</t>
    </r>
    <r>
      <rPr>
        <i/>
        <sz val="9"/>
        <color theme="4" tint="-0.499984740745262"/>
        <rFont val="Calibri"/>
        <family val="2"/>
        <scheme val="minor"/>
      </rPr>
      <t>Arus Barang @Bersama</t>
    </r>
    <r>
      <rPr>
        <sz val="11"/>
        <color theme="4" tint="-0.499984740745262"/>
        <rFont val="Calibri"/>
        <family val="2"/>
        <scheme val="minor"/>
      </rPr>
      <t>)</t>
    </r>
  </si>
  <si>
    <t>CHECK EKSTENSI FILE</t>
  </si>
  <si>
    <t>PATH FILE</t>
  </si>
  <si>
    <t>CHECK LANJUT PROSES</t>
  </si>
  <si>
    <t>\\10.8.0.35\rpa$\RPA Excel Template\Accounting Finance\MACRO_PROCESS - Report Aging PerGL PerBranch\RPA Preference\.Result\PLEASE CHECK FILES EXTENSION.xlsx</t>
  </si>
  <si>
    <r>
      <t>LOKASI FILE  (</t>
    </r>
    <r>
      <rPr>
        <i/>
        <sz val="9"/>
        <color theme="4" tint="-0.499984740745262"/>
        <rFont val="Calibri"/>
        <family val="2"/>
        <scheme val="minor"/>
      </rPr>
      <t>Check Arus Barang @Bersama</t>
    </r>
    <r>
      <rPr>
        <sz val="11"/>
        <color theme="4" tint="-0.499984740745262"/>
        <rFont val="Calibri"/>
        <family val="2"/>
        <scheme val="minor"/>
      </rPr>
      <t>)</t>
    </r>
  </si>
  <si>
    <t>MESSAGE</t>
  </si>
  <si>
    <t>ATTACHMENT</t>
  </si>
  <si>
    <t>HADI</t>
  </si>
  <si>
    <t>CONTACT NAME</t>
  </si>
  <si>
    <t>WA1 [USER]</t>
  </si>
  <si>
    <t>*PROSES DIHENTIKAN!* Terdapat file yg tidak ditemukan _*RPA Proses Report Aging perGL perBranch*_, pastikan nama dan format filenya sudah benar, silakan check file terlampir, valdiasi eksistensi file oleh RPA. Segera perbaiki setelahnya buat tiket kembali untuk mentriger RPA agar dijalankan kembali pasca update data.</t>
  </si>
  <si>
    <t>\\10.8.0.35\Bersama\santy\CLOSING bersama</t>
  </si>
  <si>
    <t>\\10.8.0.35\rpa$\RPA Excel Template\Accounting Finance\MACRO_PROCESS - Report Aging PerGL PerBranch\RPA Preference\.Source\JDE\1201_INAC.xlsx</t>
  </si>
  <si>
    <t>\\10.8.0.35\rpa$\RPA Excel Template\Accounting Finance\MACRO_PROCESS - Report Aging PerGL PerBranch\RPA Preference\.Source\JDE\1201_INFA.xlsx</t>
  </si>
  <si>
    <t>\\10.8.0.35\rpa$\RPA Excel Template\Accounting Finance\MACRO_PROCESS - Report Aging PerGL PerBranch\RPA Preference\.Source\JDE\1201_INPA.xlsx</t>
  </si>
  <si>
    <t>\\10.8.0.35\rpa$\RPA Excel Template\Accounting Finance\MACRO_PROCESS - Report Aging PerGL PerBranch\RPA Preference\.Source\JDE\1201_INUM.xlsx</t>
  </si>
  <si>
    <t>\\10.8.0.35\rpa$\RPA Excel Template\Accounting Finance\MACRO_PROCESS - Report Aging PerGL PerBranch\RPA Preference\.Source\JDE\1201_INSP.xlsx</t>
  </si>
  <si>
    <t>\\10.8.0.35\rpa$\RPA Excel Template\Accounting Finance\MACRO_PROCESS - Report Aging PerGL PerBranch\RPA Preference\.Source\JDE\1201_INFO.xlsx</t>
  </si>
  <si>
    <t>\\10.8.0.35\rpa$\RPA Excel Template\Accounting Finance\MACRO_PROCESS - Report Aging PerGL PerBranch\RPA Preference\.Source\JDE\1204_INAC.xlsx</t>
  </si>
  <si>
    <t>\\10.8.0.35\rpa$\RPA Excel Template\Accounting Finance\MACRO_PROCESS - Report Aging PerGL PerBranch\RPA Preference\.Source\JDE\1204_INFA.xlsx</t>
  </si>
  <si>
    <t>\\10.8.0.35\rpa$\RPA Excel Template\Accounting Finance\MACRO_PROCESS - Report Aging PerGL PerBranch\RPA Preference\.Source\JDE\1204_INPA.xlsx</t>
  </si>
  <si>
    <t>\\10.8.0.35\rpa$\RPA Excel Template\Accounting Finance\MACRO_PROCESS - Report Aging PerGL PerBranch\RPA Preference\.Source\JDE\1204_INUM.xlsx</t>
  </si>
  <si>
    <t>\\10.8.0.35\rpa$\RPA Excel Template\Accounting Finance\MACRO_PROCESS - Report Aging PerGL PerBranch\RPA Preference\.Source\JDE\1204_INSP.xlsx</t>
  </si>
  <si>
    <t>\\10.8.0.35\rpa$\RPA Excel Template\Accounting Finance\MACRO_PROCESS - Report Aging PerGL PerBranch\RPA Preference\.Source\JDE\1204_INFO.xlsx</t>
  </si>
  <si>
    <t>\\10.8.0.35\rpa$\RPA Excel Template\Accounting Finance\MACRO_PROCESS - Report Aging PerGL PerBranch\RPA Preference\.Source\JDE\1205_INAC.xlsx</t>
  </si>
  <si>
    <t>\\10.8.0.35\rpa$\RPA Excel Template\Accounting Finance\MACRO_PROCESS - Report Aging PerGL PerBranch\RPA Preference\.Source\JDE\1205_INFA.xlsx</t>
  </si>
  <si>
    <t>\\10.8.0.35\rpa$\RPA Excel Template\Accounting Finance\MACRO_PROCESS - Report Aging PerGL PerBranch\RPA Preference\.Source\JDE\1205_INPA.xlsx</t>
  </si>
  <si>
    <t>\\10.8.0.35\rpa$\RPA Excel Template\Accounting Finance\MACRO_PROCESS - Report Aging PerGL PerBranch\RPA Preference\.Source\JDE\1205_INUM.xlsx</t>
  </si>
  <si>
    <t>\\10.8.0.35\rpa$\RPA Excel Template\Accounting Finance\MACRO_PROCESS - Report Aging PerGL PerBranch\RPA Preference\.Source\JDE\1205_INSP.xlsx</t>
  </si>
  <si>
    <t>\\10.8.0.35\rpa$\RPA Excel Template\Accounting Finance\MACRO_PROCESS - Report Aging PerGL PerBranch\RPA Preference\.Source\JDE\1205_INFO.xlsx</t>
  </si>
  <si>
    <r>
      <t>LOKASI FILE  (</t>
    </r>
    <r>
      <rPr>
        <i/>
        <sz val="9"/>
        <color theme="4" tint="-0.499984740745262"/>
        <rFont val="Calibri"/>
        <family val="2"/>
        <scheme val="minor"/>
      </rPr>
      <t>This Macro</t>
    </r>
    <r>
      <rPr>
        <sz val="11"/>
        <color theme="4" tint="-0.499984740745262"/>
        <rFont val="Calibri"/>
        <family val="2"/>
        <scheme val="minor"/>
      </rPr>
      <t>)</t>
    </r>
  </si>
  <si>
    <r>
      <t>LOKASI FILE  (</t>
    </r>
    <r>
      <rPr>
        <i/>
        <sz val="9"/>
        <color theme="4" tint="-0.499984740745262"/>
        <rFont val="Calibri"/>
        <family val="2"/>
        <scheme val="minor"/>
      </rPr>
      <t>Resume</t>
    </r>
    <r>
      <rPr>
        <sz val="11"/>
        <color theme="4" tint="-0.499984740745262"/>
        <rFont val="Calibri"/>
        <family val="2"/>
        <scheme val="minor"/>
      </rPr>
      <t>)</t>
    </r>
  </si>
  <si>
    <t>\\10.8.0.35\rpa$\RPA Excel Template\Accounting Finance\MACRO_PROCESS - Report Aging PerGL PerBranch\RPA Preference\.Result\RESUME - Report Aginf perGL perBranch.xlsx</t>
  </si>
  <si>
    <t>INAC|INFA|INPA|ININ|INUM|INSP|INFO</t>
  </si>
  <si>
    <t>WA1 [GROUP]</t>
  </si>
  <si>
    <t>WA2 [USER]</t>
  </si>
  <si>
    <t>DM1_SUBJECT</t>
  </si>
  <si>
    <t>KALIMAT PESAN UNTUK USER</t>
  </si>
  <si>
    <t>RPA GGI &amp; Makro GGI</t>
  </si>
  <si>
    <t>ISI PESAN</t>
  </si>
  <si>
    <t>DM1_SUBJECT2</t>
  </si>
  <si>
    <t>Report Aging PerGL PerBranch</t>
  </si>
  <si>
    <t>\\10.8.0.35\rpa$\RPA Excel Template\Accounting Finance\MACRO_PROCESS - Report Aging PerGL PerBranch\RPA Preference\.Macro\Backup\2024-12-24\UPDATED\MACRO_RPA - Report Aging PerGL PerBranch.xlsm</t>
  </si>
  <si>
    <t>\\10.8.0.35\rpa$\RPA Excel Template\Accounting Finance\MACRO_PROCESS - Report Aging PerGL PerBranch\RPA Preference\.Source\JDE\1201_ININ.xlsx</t>
  </si>
  <si>
    <t>\\10.8.0.35\rpa$\RPA Excel Template\Accounting Finance\MACRO_PROCESS - Report Aging PerGL PerBranch\RPA Preference\.Source\JDE\1204_ININ.xlsx</t>
  </si>
  <si>
    <t>\\10.8.0.35\rpa$\RPA Excel Template\Accounting Finance\MACRO_PROCESS - Report Aging PerGL PerBranch\RPA Preference\.Source\JDE\1205_ININ.xlsx</t>
  </si>
  <si>
    <t>\\10.8.0.35\Bersama\santy\CLOSING bersama\TAHUN 2024\ARUS BARANG\11.24\11.24.1201\11. 1201 LAB NOV 2024 INAC.xlsx</t>
  </si>
  <si>
    <t>\\10.8.0.35\Bersama\santy\CLOSING bersama\TAHUN 2024\ARUS BARANG\11.24\11.24.1201\11. 1201 LAB NOV 2024 INFA.xlsx</t>
  </si>
  <si>
    <t>\\10.8.0.35\Bersama\santy\CLOSING bersama\TAHUN 2024\ARUS BARANG\11.24\11.24.1201\11. 1201 LAB NOV 2024 INPA.xlsx</t>
  </si>
  <si>
    <t>\\10.8.0.35\Bersama\santy\CLOSING bersama\TAHUN 2024\ARUS BARANG\11.24\11.24.1201\11. 1201 LAB NOV 2024 ININ.xlsx</t>
  </si>
  <si>
    <t>\\10.8.0.35\Bersama\santy\CLOSING bersama\TAHUN 2024\ARUS BARANG\11.24\11.24.1201\11. 1201 LAB NOV 2024 INUM.xlsx</t>
  </si>
  <si>
    <t>\\10.8.0.35\Bersama\santy\CLOSING bersama\TAHUN 2024\ARUS BARANG\11.24\11.24.1201\11. 1201 LAB NOV 2024 INSP.xlsx</t>
  </si>
  <si>
    <t>\\10.8.0.35\Bersama\santy\CLOSING bersama\TAHUN 2024\ARUS BARANG\11.24\11.24.1201\11. 1201 LAB NOV 2024 INFO.xlsx</t>
  </si>
  <si>
    <t>\\10.8.0.35\Bersama\santy\CLOSING bersama\TAHUN 2024\ARUS BARANG\11.24\11.24.1204\11. 1204 LAB NOV 2024 INAC.xlsx</t>
  </si>
  <si>
    <t>\\10.8.0.35\Bersama\santy\CLOSING bersama\TAHUN 2024\ARUS BARANG\11.24\11.24.1204\11. 1204 LAB NOV 2024 INFA.xlsx</t>
  </si>
  <si>
    <t>\\10.8.0.35\Bersama\santy\CLOSING bersama\TAHUN 2024\ARUS BARANG\11.24\11.24.1204\11. 1204 LAB NOV 2024 INPA.xlsx</t>
  </si>
  <si>
    <t>\\10.8.0.35\Bersama\santy\CLOSING bersama\TAHUN 2024\ARUS BARANG\11.24\11.24.1204\11. 1204 LAB NOV 2024 ININ.xlsx</t>
  </si>
  <si>
    <t>\\10.8.0.35\Bersama\santy\CLOSING bersama\TAHUN 2024\ARUS BARANG\11.24\11.24.1204\11. 1204 LAB NOV 2024 INUM.xlsx</t>
  </si>
  <si>
    <t>\\10.8.0.35\Bersama\santy\CLOSING bersama\TAHUN 2024\ARUS BARANG\11.24\11.24.1204\11. 1204 LAB NOV 2024 INSP.xlsx</t>
  </si>
  <si>
    <t>\\10.8.0.35\Bersama\santy\CLOSING bersama\TAHUN 2024\ARUS BARANG\11.24\11.24.1204\11. 1204 LAB NOV 2024 INFO.xlsx</t>
  </si>
  <si>
    <t>\\10.8.0.35\Bersama\santy\CLOSING bersama\TAHUN 2024\ARUS BARANG\11.24\11.24.1205\11. 1205 LAB NOV 2024 INAC.xlsx</t>
  </si>
  <si>
    <t>\\10.8.0.35\Bersama\santy\CLOSING bersama\TAHUN 2024\ARUS BARANG\11.24\11.24.1205\11. 1205 LAB NOV 2024 INFA.xlsx</t>
  </si>
  <si>
    <t>\\10.8.0.35\Bersama\santy\CLOSING bersama\TAHUN 2024\ARUS BARANG\11.24\11.24.1205\11. 1205 LAB NOV 2024 INPA.xlsx</t>
  </si>
  <si>
    <t>\\10.8.0.35\Bersama\santy\CLOSING bersama\TAHUN 2024\ARUS BARANG\11.24\11.24.1205\11. 1205 LAB NOV 2024 ININ.xlsx</t>
  </si>
  <si>
    <t>\\10.8.0.35\Bersama\santy\CLOSING bersama\TAHUN 2024\ARUS BARANG\11.24\11.24.1205\11. 1205 LAB NOV 2024 INUM.xlsx</t>
  </si>
  <si>
    <t>\\10.8.0.35\Bersama\santy\CLOSING bersama\TAHUN 2024\ARUS BARANG\11.24\11.24.1205\11. 1205 LAB NOV 2024 INSP.xlsx</t>
  </si>
  <si>
    <t>\\10.8.0.35\Bersama\santy\CLOSING bersama\TAHUN 2024\ARUS BARANG\11.24\11.24.1205\11. 1205 LAB NOV 2024 INFO.xlsx</t>
  </si>
  <si>
    <t>*PROSES DIHENTIKAN!* Terdapat file yg tidak ditemukan \\10.8.0.35\rpa$\RPA Excel Template\Accounting Finance\MACRO_PROCESS - Report Aging PerGL PerBranch\RPA Preference\.Macro\Backup\2024-12-24\UPDATED\MACRO_RPA - Report Aging PerGL PerBranch.xlsm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</si>
</sst>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mm/dd/yyyy"/>
  </numFmts>
  <fonts count="20"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9"/>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b/>
      <sz val="11"/>
      <color theme="0"/>
      <name val="Century Gothic"/>
      <family val="2"/>
    </font>
    <font>
      <sz val="8"/>
      <color theme="1"/>
      <name val="Calibri"/>
      <family val="2"/>
      <scheme val="minor"/>
    </font>
    <font>
      <sz val="8"/>
      <name val="Calibri"/>
      <family val="2"/>
      <scheme val="minor"/>
    </font>
    <font>
      <sz val="9"/>
      <color theme="1"/>
      <name val="Calibri"/>
      <family val="2"/>
      <scheme val="minor"/>
    </font>
    <font>
      <sz val="9"/>
      <name val="Calibri"/>
      <family val="2"/>
      <scheme val="minor"/>
    </font>
    <font>
      <b/>
      <sz val="9"/>
      <color indexed="81"/>
      <name val="Tahoma"/>
      <family val="2"/>
    </font>
  </fonts>
  <fills count="9">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499984740745262"/>
        <bgColor indexed="64"/>
      </patternFill>
    </fill>
    <fill>
      <patternFill patternType="solid">
        <fgColor rgb="FF808080"/>
        <bgColor indexed="64"/>
      </patternFill>
    </fill>
    <fill>
      <patternFill patternType="solid">
        <fgColor rgb="FFFFC000"/>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3" fillId="0" borderId="0"/>
  </cellStyleXfs>
  <cellXfs count="39">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0" fillId="0" borderId="5" xfId="0" applyBorder="1" applyAlignment="1">
      <alignment horizontal="left"/>
    </xf>
    <xf numFmtId="0" fontId="2" fillId="0" borderId="5" xfId="1" applyBorder="1" applyAlignment="1">
      <alignment horizontal="left"/>
    </xf>
    <xf numFmtId="0" fontId="2" fillId="0" borderId="4"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49" fontId="14" fillId="5" borderId="6" xfId="0" applyNumberFormat="1" applyFont="1" applyFill="1" applyBorder="1" applyAlignment="1">
      <alignment horizontal="center" vertical="center"/>
    </xf>
    <xf numFmtId="49" fontId="0" fillId="0" borderId="0" xfId="0" applyNumberFormat="1"/>
    <xf numFmtId="0" fontId="12" fillId="0" borderId="0" xfId="0" applyFont="1"/>
    <xf numFmtId="0" fontId="17" fillId="0" borderId="0" xfId="0" applyFont="1" applyFill="1"/>
    <xf numFmtId="0" fontId="18" fillId="0" borderId="4" xfId="1" applyFont="1" applyFill="1" applyBorder="1" applyAlignment="1">
      <alignment horizontal="left"/>
    </xf>
    <xf numFmtId="165" fontId="18" fillId="0" borderId="4" xfId="1" applyNumberFormat="1" applyFont="1" applyFill="1" applyBorder="1" applyAlignment="1">
      <alignment horizontal="left"/>
    </xf>
    <xf numFmtId="0" fontId="15" fillId="0" borderId="0" xfId="0" applyFont="1" applyFill="1"/>
    <xf numFmtId="49" fontId="14" fillId="6" borderId="6" xfId="0" applyNumberFormat="1" applyFont="1" applyFill="1" applyBorder="1" applyAlignment="1">
      <alignment horizontal="center" vertical="center"/>
    </xf>
    <xf numFmtId="0" fontId="0" fillId="0" borderId="0" xfId="0" applyAlignment="1">
      <alignment horizontal="center"/>
    </xf>
    <xf numFmtId="165" fontId="0" fillId="0" borderId="0" xfId="0" applyNumberFormat="1"/>
    <xf numFmtId="49" fontId="14" fillId="7" borderId="7" xfId="0" applyNumberFormat="1" applyFont="1" applyFill="1" applyBorder="1" applyAlignment="1">
      <alignment horizontal="center" vertical="center"/>
    </xf>
    <xf numFmtId="0" fontId="14" fillId="7" borderId="7" xfId="0" applyFont="1" applyFill="1" applyBorder="1"/>
    <xf numFmtId="0" fontId="0" fillId="0" borderId="0" xfId="0" applyAlignment="1"/>
    <xf numFmtId="49" fontId="12" fillId="0" borderId="0" xfId="0" applyNumberFormat="1" applyFont="1"/>
    <xf numFmtId="0" fontId="14" fillId="8" borderId="7" xfId="0" applyFont="1" applyFill="1" applyBorder="1" applyAlignment="1">
      <alignment horizontal="center" vertical="center"/>
    </xf>
    <xf numFmtId="0" fontId="0" fillId="0" borderId="0" xfId="0" applyAlignment="1">
      <alignment horizontal="center"/>
    </xf>
    <xf numFmtId="0" fontId="5" fillId="0" borderId="0" xfId="0" applyFont="1" applyAlignment="1">
      <alignment horizontal="left"/>
    </xf>
    <xf numFmtId="0" fontId="0" fillId="3" borderId="0" xfId="0" applyFill="1" applyAlignment="1">
      <alignment horizontal="center"/>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10" fillId="4" borderId="4" xfId="0" applyFont="1" applyFill="1" applyBorder="1" applyAlignment="1">
      <alignment horizontal="left" vertical="center" wrapText="1"/>
    </xf>
    <xf numFmtId="0" fontId="11" fillId="3" borderId="1" xfId="0" applyFont="1" applyFill="1" applyBorder="1" applyAlignment="1">
      <alignment horizontal="center" vertical="center"/>
    </xf>
    <xf numFmtId="0" fontId="11" fillId="3" borderId="0" xfId="0" applyFont="1" applyFill="1" applyAlignment="1">
      <alignment horizontal="center" vertical="center"/>
    </xf>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colors>
    <mruColors>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xdr:from>
      <xdr:col>7</xdr:col>
      <xdr:colOff>177843</xdr:colOff>
      <xdr:row>4</xdr:row>
      <xdr:rowOff>50800</xdr:rowOff>
    </xdr:from>
    <xdr:to>
      <xdr:col>7</xdr:col>
      <xdr:colOff>1181100</xdr:colOff>
      <xdr:row>8</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9055143" y="898525"/>
          <a:ext cx="1003257" cy="730250"/>
          <a:chOff x="2984127" y="906998"/>
          <a:chExt cx="1670698" cy="429245"/>
        </a:xfrm>
      </xdr:grpSpPr>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3159022"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FE571-A64A-4B3E-9A2F-093C51338683}">
  <sheetPr codeName="Sheet3">
    <tabColor theme="8" tint="-0.499984740745262"/>
  </sheetPr>
  <dimension ref="A1:T7"/>
  <sheetViews>
    <sheetView workbookViewId="0"/>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2.71093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0" x14ac:dyDescent="0.25">
      <c r="A1" s="16" t="s">
        <v>41</v>
      </c>
      <c r="F1" s="16" t="s">
        <v>66</v>
      </c>
      <c r="J1" s="16" t="s">
        <v>67</v>
      </c>
      <c r="O1" s="16" t="s">
        <v>66</v>
      </c>
      <c r="R1" s="30" t="s">
        <v>69</v>
      </c>
      <c r="S1" s="30"/>
      <c r="T1" s="30"/>
    </row>
    <row r="2" spans="1:20" x14ac:dyDescent="0.25">
      <c r="A2" s="23" t="s">
        <v>40</v>
      </c>
      <c r="B2" s="23" t="s">
        <v>37</v>
      </c>
      <c r="C2" s="23" t="s">
        <v>38</v>
      </c>
      <c r="F2" s="23" t="s">
        <v>40</v>
      </c>
      <c r="G2" s="23" t="s">
        <v>37</v>
      </c>
      <c r="J2" s="23" t="s">
        <v>40</v>
      </c>
      <c r="K2" s="23" t="s">
        <v>37</v>
      </c>
      <c r="L2" s="23" t="s">
        <v>38</v>
      </c>
      <c r="O2" s="23" t="s">
        <v>40</v>
      </c>
      <c r="P2" s="23" t="s">
        <v>37</v>
      </c>
      <c r="R2" s="26" t="s">
        <v>71</v>
      </c>
      <c r="S2" s="27" t="s">
        <v>68</v>
      </c>
      <c r="T2" s="27" t="s">
        <v>72</v>
      </c>
    </row>
    <row r="3" spans="1:20" x14ac:dyDescent="0.25">
      <c r="A3" s="17" t="s">
        <v>39</v>
      </c>
      <c r="B3" t="s">
        <v>42</v>
      </c>
      <c r="C3" t="str">
        <f>HOME!F14</f>
        <v>\\10.8.0.35\rpa$\RPA Excel Template\Accounting Finance\MACRO_PROCESS - Report Aging PerGL PerBranch\RPA Preference\.Result\PLEASE CHECK FILES EXTENSION.xlsx</v>
      </c>
      <c r="D3" t="s">
        <v>0</v>
      </c>
      <c r="F3" t="s">
        <v>70</v>
      </c>
      <c r="G3" t="str">
        <f>"*PROSES DIHENTIKAN!* Terdapat file yg tidak ditemukan "&amp; HOME!F15</f>
        <v>*PROSES DIHENTIKAN!* Terdapat file yg tidak ditemukan \\10.8.0.35\rpa$\RPA Excel Template\Accounting Finance\MACRO_PROCESS - Report Aging PerGL PerBranch\RPA Preference\.Macro\Backup\2024-12-24\UPDATED\MACRO_RPA - Report Aging PerGL PerBranch.xlsm</v>
      </c>
      <c r="H3" t="s">
        <v>0</v>
      </c>
      <c r="J3" s="17" t="s">
        <v>39</v>
      </c>
      <c r="K3" t="str">
        <f ca="1">$R$3</f>
        <v>Selamat Siang 
Berikut adalah Report Aging PerGL PerBranch
 _File Terlampir_.
Terima kasih
*GISCA*
*(Gistex Communication Assistant)*
_Please do not reply on this number_</v>
      </c>
      <c r="L3" t="str">
        <f>HOME!F16</f>
        <v>\\10.8.0.35\rpa$\RPA Excel Template\Accounting Finance\MACRO_PROCESS - Report Aging PerGL PerBranch\RPA Preference\.Result\RESUME - Report Aginf perGL perBranch.xlsx</v>
      </c>
      <c r="M3" t="s">
        <v>0</v>
      </c>
      <c r="O3" t="s">
        <v>70</v>
      </c>
      <c r="P3" t="str">
        <f>"*DONE: * "&amp; HOME!F15</f>
        <v>*DONE: * \\10.8.0.35\rpa$\RPA Excel Template\Accounting Finance\MACRO_PROCESS - Report Aging PerGL PerBranch\RPA Preference\.Macro\Backup\2024-12-24\UPDATED\MACRO_RPA - Report Aging PerGL PerBranch.xlsm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Siang 
Berikut adalah Report Aging PerGL PerBranch
 _File Terlampir_.
Terima kasih
*GISCA*
*(Gistex Communication Assistant)*
_Please do not reply on this number_</v>
      </c>
      <c r="S3" t="str">
        <f ca="1">IF(AND(HOUR(NOW())&gt;=6,HOUR(NOW())&lt;11),"Pagi",IF(AND(HOUR(NOW())&gt;=11,HOUR(NOW())&lt;15),"Siang",IF(AND(HOUR(NOW())&gt;=15,HOUR(NOW())&lt;18),"Sore","Malam")))</f>
        <v>Siang</v>
      </c>
      <c r="T3" t="s">
        <v>73</v>
      </c>
    </row>
    <row r="7" spans="1:20" x14ac:dyDescent="0.25">
      <c r="K7" s="28"/>
    </row>
  </sheetData>
  <mergeCells count="1">
    <mergeCell ref="R1:T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F7EF7-5FA0-4F11-B3E9-A38957E294C6}">
  <sheetPr codeName="Sheet2">
    <tabColor theme="8" tint="-0.499984740745262"/>
  </sheetPr>
  <dimension ref="A1:D2"/>
  <sheetViews>
    <sheetView workbookViewId="0"/>
  </sheetViews>
  <sheetFormatPr defaultRowHeight="15" x14ac:dyDescent="0.25"/>
  <cols>
    <col min="1" max="1" width="15.140625" customWidth="1"/>
    <col min="2" max="2" width="2.5703125" customWidth="1"/>
    <col min="3" max="3" width="15.140625" customWidth="1"/>
    <col min="4" max="4" width="7.28515625" customWidth="1"/>
  </cols>
  <sheetData>
    <row r="1" spans="1:4" ht="22.5" customHeight="1" x14ac:dyDescent="0.25">
      <c r="A1" s="16"/>
      <c r="C1" s="16"/>
      <c r="D1" s="17"/>
    </row>
    <row r="2" spans="1:4" x14ac:dyDescent="0.25">
      <c r="A2" s="17"/>
      <c r="C2" s="17"/>
      <c r="D2" s="1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H21"/>
  <sheetViews>
    <sheetView showGridLines="0" workbookViewId="0">
      <selection sqref="A1:B1"/>
    </sheetView>
  </sheetViews>
  <sheetFormatPr defaultRowHeight="15" x14ac:dyDescent="0.25"/>
  <cols>
    <col min="1" max="1" width="1.85546875" customWidth="1"/>
    <col min="2" max="2" width="0.28515625" customWidth="1"/>
    <col min="3" max="3" width="46.42578125" customWidth="1"/>
    <col min="4" max="4" width="33.7109375" customWidth="1"/>
    <col min="5" max="5" width="3" customWidth="1"/>
    <col min="6" max="6" width="34" customWidth="1"/>
    <col min="7" max="7" width="13.85546875" customWidth="1"/>
    <col min="8" max="8" width="18.28515625" customWidth="1"/>
    <col min="9" max="9" width="1.140625" customWidth="1"/>
  </cols>
  <sheetData>
    <row r="1" spans="1:8" ht="18" customHeight="1" x14ac:dyDescent="0.25">
      <c r="A1" s="31"/>
      <c r="B1" s="31"/>
      <c r="C1" s="32" t="s">
        <v>1</v>
      </c>
      <c r="D1" s="32"/>
      <c r="E1" s="32"/>
      <c r="F1" s="32"/>
      <c r="G1" s="32"/>
      <c r="H1" s="32"/>
    </row>
    <row r="2" spans="1:8" ht="18" customHeight="1" x14ac:dyDescent="0.25">
      <c r="A2" s="5"/>
      <c r="B2" s="5"/>
      <c r="C2" s="6"/>
      <c r="D2" s="6"/>
      <c r="E2" s="6"/>
      <c r="F2" s="6"/>
      <c r="G2" s="6"/>
    </row>
    <row r="3" spans="1:8" ht="15.75" x14ac:dyDescent="0.25">
      <c r="A3" s="31"/>
      <c r="B3" s="33"/>
      <c r="C3" s="2" t="s">
        <v>7</v>
      </c>
      <c r="D3" s="3" t="s">
        <v>5</v>
      </c>
      <c r="E3" s="34" t="s">
        <v>4</v>
      </c>
      <c r="F3" s="35"/>
      <c r="G3" s="3" t="s">
        <v>6</v>
      </c>
      <c r="H3" s="7" t="s">
        <v>2</v>
      </c>
    </row>
    <row r="4" spans="1:8" ht="15" customHeight="1" x14ac:dyDescent="0.25">
      <c r="A4" s="31"/>
      <c r="B4" s="33"/>
      <c r="C4" s="36" t="s">
        <v>28</v>
      </c>
      <c r="D4" s="8" t="s">
        <v>11</v>
      </c>
      <c r="E4" s="4"/>
      <c r="F4" s="19" t="s">
        <v>65</v>
      </c>
      <c r="G4" s="10" t="s">
        <v>0</v>
      </c>
      <c r="H4" s="37" t="s">
        <v>3</v>
      </c>
    </row>
    <row r="5" spans="1:8" x14ac:dyDescent="0.25">
      <c r="A5" s="31"/>
      <c r="B5" s="33"/>
      <c r="C5" s="36"/>
      <c r="D5" s="8" t="s">
        <v>26</v>
      </c>
      <c r="E5" s="4"/>
      <c r="F5" s="20" t="s">
        <v>27</v>
      </c>
      <c r="G5" s="13" t="s">
        <v>0</v>
      </c>
      <c r="H5" s="38"/>
    </row>
    <row r="6" spans="1:8" x14ac:dyDescent="0.25">
      <c r="A6" s="31"/>
      <c r="B6" s="33"/>
      <c r="C6" s="36"/>
      <c r="D6" s="8" t="s">
        <v>29</v>
      </c>
      <c r="E6" s="4"/>
      <c r="F6" s="21">
        <f ca="1">EOMONTH(TODAY(), -1)</f>
        <v>45626</v>
      </c>
      <c r="G6" s="13" t="s">
        <v>0</v>
      </c>
      <c r="H6" s="38"/>
    </row>
    <row r="7" spans="1:8" x14ac:dyDescent="0.25">
      <c r="A7" s="31"/>
      <c r="B7" s="33"/>
      <c r="C7" s="36"/>
      <c r="D7" s="8" t="s">
        <v>19</v>
      </c>
      <c r="E7" s="4"/>
      <c r="F7" s="22" t="s">
        <v>18</v>
      </c>
      <c r="G7" s="13" t="s">
        <v>0</v>
      </c>
      <c r="H7" s="38"/>
    </row>
    <row r="8" spans="1:8" x14ac:dyDescent="0.25">
      <c r="A8" s="31"/>
      <c r="B8" s="33"/>
      <c r="C8" s="36"/>
      <c r="D8" s="8"/>
      <c r="E8" s="4"/>
      <c r="F8" s="22"/>
      <c r="G8" s="13"/>
      <c r="H8" s="38"/>
    </row>
    <row r="9" spans="1:8" x14ac:dyDescent="0.25">
      <c r="A9" s="31"/>
      <c r="B9" s="33"/>
      <c r="C9" s="36"/>
      <c r="D9" s="9"/>
      <c r="E9" s="4"/>
      <c r="F9" s="12"/>
      <c r="G9" s="11"/>
      <c r="H9" s="38"/>
    </row>
    <row r="10" spans="1:8" ht="1.5" customHeight="1" x14ac:dyDescent="0.25">
      <c r="A10" s="31"/>
      <c r="B10" s="33"/>
      <c r="C10" s="15"/>
      <c r="D10" s="15"/>
      <c r="E10" s="15"/>
      <c r="F10" s="15"/>
      <c r="G10" s="15"/>
      <c r="H10" s="15"/>
    </row>
    <row r="11" spans="1:8" ht="7.5" customHeight="1" x14ac:dyDescent="0.25">
      <c r="A11" s="31"/>
      <c r="B11" s="31"/>
      <c r="C11" s="14"/>
      <c r="D11" s="14"/>
      <c r="E11" s="14"/>
      <c r="F11" s="14"/>
      <c r="G11" s="14"/>
      <c r="H11" s="14"/>
    </row>
    <row r="12" spans="1:8" ht="15.75" x14ac:dyDescent="0.25">
      <c r="A12" s="31"/>
      <c r="B12" s="31"/>
      <c r="C12" s="2" t="s">
        <v>7</v>
      </c>
      <c r="D12" s="3" t="s">
        <v>5</v>
      </c>
      <c r="E12" s="34" t="s">
        <v>4</v>
      </c>
      <c r="F12" s="35"/>
      <c r="G12" s="3" t="s">
        <v>6</v>
      </c>
      <c r="H12" s="7" t="s">
        <v>2</v>
      </c>
    </row>
    <row r="13" spans="1:8" x14ac:dyDescent="0.25">
      <c r="A13" s="31"/>
      <c r="B13" s="31"/>
      <c r="C13" s="36"/>
      <c r="D13" s="8" t="s">
        <v>31</v>
      </c>
      <c r="E13" s="4"/>
      <c r="F13" s="22" t="s">
        <v>43</v>
      </c>
      <c r="G13" s="10" t="s">
        <v>0</v>
      </c>
      <c r="H13" s="37" t="s">
        <v>3</v>
      </c>
    </row>
    <row r="14" spans="1:8" x14ac:dyDescent="0.25">
      <c r="A14" s="31"/>
      <c r="B14" s="31"/>
      <c r="C14" s="36"/>
      <c r="D14" s="8" t="s">
        <v>36</v>
      </c>
      <c r="E14" s="1"/>
      <c r="F14" s="22" t="s">
        <v>35</v>
      </c>
      <c r="G14" s="10" t="s">
        <v>0</v>
      </c>
      <c r="H14" s="38"/>
    </row>
    <row r="15" spans="1:8" x14ac:dyDescent="0.25">
      <c r="A15" s="31"/>
      <c r="B15" s="31"/>
      <c r="C15" s="36"/>
      <c r="D15" s="8" t="s">
        <v>62</v>
      </c>
      <c r="E15" s="1"/>
      <c r="F15" s="22" t="s">
        <v>74</v>
      </c>
      <c r="G15" s="10" t="s">
        <v>0</v>
      </c>
      <c r="H15" s="38"/>
    </row>
    <row r="16" spans="1:8" x14ac:dyDescent="0.25">
      <c r="A16" s="31"/>
      <c r="B16" s="31"/>
      <c r="C16" s="36"/>
      <c r="D16" s="8" t="s">
        <v>63</v>
      </c>
      <c r="E16" s="1"/>
      <c r="F16" s="22" t="s">
        <v>64</v>
      </c>
      <c r="G16" s="10" t="s">
        <v>0</v>
      </c>
      <c r="H16" s="38"/>
    </row>
    <row r="17" spans="1:8" x14ac:dyDescent="0.25">
      <c r="A17" s="31"/>
      <c r="B17" s="31"/>
      <c r="C17" s="36"/>
      <c r="D17" s="8"/>
      <c r="E17" s="1"/>
      <c r="F17" s="22"/>
      <c r="G17" s="10" t="s">
        <v>0</v>
      </c>
      <c r="H17" s="38"/>
    </row>
    <row r="18" spans="1:8" x14ac:dyDescent="0.25">
      <c r="A18" s="31"/>
      <c r="B18" s="31"/>
      <c r="C18" s="36"/>
      <c r="D18" s="8"/>
      <c r="E18" s="4"/>
      <c r="F18" s="22"/>
      <c r="G18" s="10" t="s">
        <v>0</v>
      </c>
      <c r="H18" s="38"/>
    </row>
    <row r="19" spans="1:8" ht="1.5" customHeight="1" x14ac:dyDescent="0.25">
      <c r="A19" s="31"/>
      <c r="B19" s="31"/>
      <c r="C19" s="15"/>
      <c r="D19" s="15"/>
      <c r="E19" s="15"/>
      <c r="F19" s="15"/>
      <c r="G19" s="15"/>
      <c r="H19" s="15"/>
    </row>
    <row r="21" spans="1:8" x14ac:dyDescent="0.25">
      <c r="F21" s="22"/>
    </row>
  </sheetData>
  <mergeCells count="12">
    <mergeCell ref="A11:A19"/>
    <mergeCell ref="B11:B19"/>
    <mergeCell ref="E12:F12"/>
    <mergeCell ref="C13:C18"/>
    <mergeCell ref="H13:H18"/>
    <mergeCell ref="A1:B1"/>
    <mergeCell ref="C1:H1"/>
    <mergeCell ref="A3:A10"/>
    <mergeCell ref="B3:B10"/>
    <mergeCell ref="E3:F3"/>
    <mergeCell ref="C4:C9"/>
    <mergeCell ref="H4:H9"/>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Btn_Proses1">
          <controlPr defaultSize="0" autoLine="0" r:id="rId5">
            <anchor moveWithCells="1">
              <from>
                <xdr:col>7</xdr:col>
                <xdr:colOff>285750</xdr:colOff>
                <xdr:row>5</xdr:row>
                <xdr:rowOff>0</xdr:rowOff>
              </from>
              <to>
                <xdr:col>7</xdr:col>
                <xdr:colOff>1085850</xdr:colOff>
                <xdr:row>7</xdr:row>
                <xdr:rowOff>57150</xdr:rowOff>
              </to>
            </anchor>
          </controlPr>
        </control>
      </mc:Choice>
      <mc:Fallback>
        <control shapeId="8193" r:id="rId4" name="Btn_Proses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BE72A-1DF1-468D-AEAE-85A59584EECC}">
  <sheetPr codeName="Sheet16"/>
  <dimension ref="A1:C2"/>
  <sheetViews>
    <sheetView workbookViewId="0"/>
  </sheetViews>
  <sheetFormatPr defaultRowHeight="15" x14ac:dyDescent="0.25"/>
  <cols>
    <col min="1" max="1" width="3.42578125" bestFit="1" customWidth="1"/>
    <col min="2" max="2" width="19.42578125" bestFit="1" customWidth="1"/>
    <col min="3" max="3" width="8.85546875" bestFit="1" customWidth="1"/>
  </cols>
  <sheetData>
    <row r="1" spans="1:3" s="18" customFormat="1" x14ac:dyDescent="0.25">
      <c r="A1" s="18" t="s">
        <v>8</v>
      </c>
      <c r="B1" s="18" t="s">
        <v>10</v>
      </c>
      <c r="C1" s="18" t="s">
        <v>9</v>
      </c>
    </row>
    <row r="2" spans="1:3" x14ac:dyDescent="0.25">
      <c r="A2" t="s">
        <v>8</v>
      </c>
      <c r="B2" t="s">
        <v>13</v>
      </c>
      <c r="C2" t="s">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4D967-F38C-46BA-B826-4A34847E4BF8}">
  <sheetPr codeName="Sheet17"/>
  <dimension ref="A1:E22"/>
  <sheetViews>
    <sheetView workbookViewId="0"/>
  </sheetViews>
  <sheetFormatPr defaultRowHeight="15" x14ac:dyDescent="0.25"/>
  <cols>
    <col min="1" max="1" width="13.140625" bestFit="1" customWidth="1"/>
    <col min="2" max="2" width="6" bestFit="1" customWidth="1"/>
    <col min="3" max="3" width="10.7109375" bestFit="1" customWidth="1"/>
    <col min="4" max="4" width="11.7109375" bestFit="1" customWidth="1"/>
    <col min="5" max="5" width="141.140625" bestFit="1" customWidth="1"/>
  </cols>
  <sheetData>
    <row r="1" spans="1:5" s="18" customFormat="1" x14ac:dyDescent="0.25">
      <c r="A1" s="18" t="s">
        <v>15</v>
      </c>
      <c r="B1" s="18" t="s">
        <v>11</v>
      </c>
      <c r="C1" s="18" t="s">
        <v>16</v>
      </c>
      <c r="D1" s="18" t="s">
        <v>25</v>
      </c>
      <c r="E1" s="18" t="s">
        <v>17</v>
      </c>
    </row>
    <row r="2" spans="1:5" x14ac:dyDescent="0.25">
      <c r="A2">
        <v>1201</v>
      </c>
      <c r="B2" t="s">
        <v>12</v>
      </c>
      <c r="C2" s="25">
        <v>45626</v>
      </c>
      <c r="E2" t="s">
        <v>44</v>
      </c>
    </row>
    <row r="3" spans="1:5" x14ac:dyDescent="0.25">
      <c r="A3">
        <v>1201</v>
      </c>
      <c r="B3" t="s">
        <v>20</v>
      </c>
      <c r="C3" s="25">
        <v>45626</v>
      </c>
      <c r="E3" t="s">
        <v>45</v>
      </c>
    </row>
    <row r="4" spans="1:5" x14ac:dyDescent="0.25">
      <c r="A4">
        <v>1201</v>
      </c>
      <c r="B4" t="s">
        <v>21</v>
      </c>
      <c r="C4" s="25">
        <v>45626</v>
      </c>
      <c r="E4" t="s">
        <v>46</v>
      </c>
    </row>
    <row r="5" spans="1:5" x14ac:dyDescent="0.25">
      <c r="A5">
        <v>1201</v>
      </c>
      <c r="B5" t="s">
        <v>30</v>
      </c>
      <c r="C5" s="25">
        <v>45626</v>
      </c>
      <c r="E5" t="s">
        <v>75</v>
      </c>
    </row>
    <row r="6" spans="1:5" x14ac:dyDescent="0.25">
      <c r="A6">
        <v>1201</v>
      </c>
      <c r="B6" t="s">
        <v>22</v>
      </c>
      <c r="C6" s="25">
        <v>45626</v>
      </c>
      <c r="E6" t="s">
        <v>47</v>
      </c>
    </row>
    <row r="7" spans="1:5" x14ac:dyDescent="0.25">
      <c r="A7">
        <v>1201</v>
      </c>
      <c r="B7" t="s">
        <v>23</v>
      </c>
      <c r="C7" s="25">
        <v>45626</v>
      </c>
      <c r="E7" t="s">
        <v>48</v>
      </c>
    </row>
    <row r="8" spans="1:5" x14ac:dyDescent="0.25">
      <c r="A8">
        <v>1201</v>
      </c>
      <c r="B8" t="s">
        <v>24</v>
      </c>
      <c r="C8" s="25">
        <v>45626</v>
      </c>
      <c r="E8" t="s">
        <v>49</v>
      </c>
    </row>
    <row r="9" spans="1:5" x14ac:dyDescent="0.25">
      <c r="A9">
        <v>1204</v>
      </c>
      <c r="B9" t="s">
        <v>12</v>
      </c>
      <c r="C9" s="25">
        <v>45626</v>
      </c>
      <c r="E9" t="s">
        <v>50</v>
      </c>
    </row>
    <row r="10" spans="1:5" x14ac:dyDescent="0.25">
      <c r="A10">
        <v>1204</v>
      </c>
      <c r="B10" t="s">
        <v>20</v>
      </c>
      <c r="C10" s="25">
        <v>45626</v>
      </c>
      <c r="E10" t="s">
        <v>51</v>
      </c>
    </row>
    <row r="11" spans="1:5" x14ac:dyDescent="0.25">
      <c r="A11">
        <v>1204</v>
      </c>
      <c r="B11" t="s">
        <v>21</v>
      </c>
      <c r="C11" s="25">
        <v>45626</v>
      </c>
      <c r="E11" t="s">
        <v>52</v>
      </c>
    </row>
    <row r="12" spans="1:5" x14ac:dyDescent="0.25">
      <c r="A12">
        <v>1204</v>
      </c>
      <c r="B12" t="s">
        <v>30</v>
      </c>
      <c r="C12" s="25">
        <v>45626</v>
      </c>
      <c r="E12" t="s">
        <v>76</v>
      </c>
    </row>
    <row r="13" spans="1:5" x14ac:dyDescent="0.25">
      <c r="A13">
        <v>1204</v>
      </c>
      <c r="B13" t="s">
        <v>22</v>
      </c>
      <c r="C13" s="25">
        <v>45626</v>
      </c>
      <c r="E13" t="s">
        <v>53</v>
      </c>
    </row>
    <row r="14" spans="1:5" x14ac:dyDescent="0.25">
      <c r="A14">
        <v>1204</v>
      </c>
      <c r="B14" t="s">
        <v>23</v>
      </c>
      <c r="C14" s="25">
        <v>45626</v>
      </c>
      <c r="E14" t="s">
        <v>54</v>
      </c>
    </row>
    <row r="15" spans="1:5" x14ac:dyDescent="0.25">
      <c r="A15">
        <v>1204</v>
      </c>
      <c r="B15" t="s">
        <v>24</v>
      </c>
      <c r="C15" s="25">
        <v>45626</v>
      </c>
      <c r="E15" t="s">
        <v>55</v>
      </c>
    </row>
    <row r="16" spans="1:5" x14ac:dyDescent="0.25">
      <c r="A16">
        <v>1205</v>
      </c>
      <c r="B16" t="s">
        <v>12</v>
      </c>
      <c r="C16" s="25">
        <v>45626</v>
      </c>
      <c r="E16" t="s">
        <v>56</v>
      </c>
    </row>
    <row r="17" spans="1:5" x14ac:dyDescent="0.25">
      <c r="A17">
        <v>1205</v>
      </c>
      <c r="B17" t="s">
        <v>20</v>
      </c>
      <c r="C17" s="25">
        <v>45626</v>
      </c>
      <c r="E17" t="s">
        <v>57</v>
      </c>
    </row>
    <row r="18" spans="1:5" x14ac:dyDescent="0.25">
      <c r="A18">
        <v>1205</v>
      </c>
      <c r="B18" t="s">
        <v>21</v>
      </c>
      <c r="C18" s="25">
        <v>45626</v>
      </c>
      <c r="E18" t="s">
        <v>58</v>
      </c>
    </row>
    <row r="19" spans="1:5" x14ac:dyDescent="0.25">
      <c r="A19">
        <v>1205</v>
      </c>
      <c r="B19" t="s">
        <v>30</v>
      </c>
      <c r="C19" s="25">
        <v>45626</v>
      </c>
      <c r="E19" t="s">
        <v>77</v>
      </c>
    </row>
    <row r="20" spans="1:5" x14ac:dyDescent="0.25">
      <c r="A20">
        <v>1205</v>
      </c>
      <c r="B20" t="s">
        <v>22</v>
      </c>
      <c r="C20" s="25">
        <v>45626</v>
      </c>
      <c r="E20" t="s">
        <v>59</v>
      </c>
    </row>
    <row r="21" spans="1:5" x14ac:dyDescent="0.25">
      <c r="A21">
        <v>1205</v>
      </c>
      <c r="B21" t="s">
        <v>23</v>
      </c>
      <c r="C21" s="25">
        <v>45626</v>
      </c>
      <c r="E21" t="s">
        <v>60</v>
      </c>
    </row>
    <row r="22" spans="1:5" x14ac:dyDescent="0.25">
      <c r="A22">
        <v>1205</v>
      </c>
      <c r="B22" t="s">
        <v>24</v>
      </c>
      <c r="C22" s="25">
        <v>45626</v>
      </c>
      <c r="E22" t="s">
        <v>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1AD94-BC1E-4827-94B6-F23AA523F9D9}">
  <sheetPr codeName="Sheet4"/>
  <dimension ref="A1:D22"/>
  <sheetViews>
    <sheetView workbookViewId="0"/>
  </sheetViews>
  <sheetFormatPr defaultRowHeight="15" x14ac:dyDescent="0.25"/>
  <cols>
    <col min="1" max="1" width="13.140625" bestFit="1" customWidth="1"/>
    <col min="2" max="2" width="6" bestFit="1" customWidth="1"/>
    <col min="3" max="3" width="115.140625" bestFit="1" customWidth="1"/>
    <col min="4" max="4" width="19.42578125" bestFit="1" customWidth="1"/>
  </cols>
  <sheetData>
    <row r="1" spans="1:4" s="18" customFormat="1" x14ac:dyDescent="0.25">
      <c r="A1" s="18" t="s">
        <v>15</v>
      </c>
      <c r="B1" s="18" t="s">
        <v>11</v>
      </c>
      <c r="C1" s="18" t="s">
        <v>33</v>
      </c>
      <c r="D1" s="18" t="s">
        <v>32</v>
      </c>
    </row>
    <row r="2" spans="1:4" x14ac:dyDescent="0.25">
      <c r="A2">
        <v>1201</v>
      </c>
      <c r="B2" t="s">
        <v>12</v>
      </c>
      <c r="C2" t="s">
        <v>78</v>
      </c>
      <c r="D2" t="b">
        <v>0</v>
      </c>
    </row>
    <row r="3" spans="1:4" x14ac:dyDescent="0.25">
      <c r="A3">
        <v>1201</v>
      </c>
      <c r="B3" t="s">
        <v>20</v>
      </c>
      <c r="C3" t="s">
        <v>79</v>
      </c>
      <c r="D3" t="b">
        <v>1</v>
      </c>
    </row>
    <row r="4" spans="1:4" x14ac:dyDescent="0.25">
      <c r="A4">
        <v>1201</v>
      </c>
      <c r="B4" t="s">
        <v>21</v>
      </c>
      <c r="C4" t="s">
        <v>80</v>
      </c>
      <c r="D4" t="b">
        <v>1</v>
      </c>
    </row>
    <row r="5" spans="1:4" x14ac:dyDescent="0.25">
      <c r="A5">
        <v>1201</v>
      </c>
      <c r="B5" t="s">
        <v>30</v>
      </c>
      <c r="C5" t="s">
        <v>81</v>
      </c>
      <c r="D5" t="b">
        <v>1</v>
      </c>
    </row>
    <row r="6" spans="1:4" x14ac:dyDescent="0.25">
      <c r="A6">
        <v>1201</v>
      </c>
      <c r="B6" t="s">
        <v>22</v>
      </c>
      <c r="C6" t="s">
        <v>82</v>
      </c>
      <c r="D6" t="b">
        <v>0</v>
      </c>
    </row>
    <row r="7" spans="1:4" x14ac:dyDescent="0.25">
      <c r="A7">
        <v>1201</v>
      </c>
      <c r="B7" t="s">
        <v>23</v>
      </c>
      <c r="C7" t="s">
        <v>83</v>
      </c>
      <c r="D7" t="b">
        <v>1</v>
      </c>
    </row>
    <row r="8" spans="1:4" x14ac:dyDescent="0.25">
      <c r="A8">
        <v>1201</v>
      </c>
      <c r="B8" t="s">
        <v>24</v>
      </c>
      <c r="C8" t="s">
        <v>84</v>
      </c>
      <c r="D8" t="b">
        <v>1</v>
      </c>
    </row>
    <row r="9" spans="1:4" x14ac:dyDescent="0.25">
      <c r="A9">
        <v>1204</v>
      </c>
      <c r="B9" t="s">
        <v>12</v>
      </c>
      <c r="C9" t="s">
        <v>85</v>
      </c>
      <c r="D9" t="b">
        <v>1</v>
      </c>
    </row>
    <row r="10" spans="1:4" x14ac:dyDescent="0.25">
      <c r="A10">
        <v>1204</v>
      </c>
      <c r="B10" t="s">
        <v>20</v>
      </c>
      <c r="C10" t="s">
        <v>86</v>
      </c>
      <c r="D10" t="b">
        <v>1</v>
      </c>
    </row>
    <row r="11" spans="1:4" x14ac:dyDescent="0.25">
      <c r="A11">
        <v>1204</v>
      </c>
      <c r="B11" t="s">
        <v>21</v>
      </c>
      <c r="C11" t="s">
        <v>87</v>
      </c>
      <c r="D11" t="b">
        <v>1</v>
      </c>
    </row>
    <row r="12" spans="1:4" x14ac:dyDescent="0.25">
      <c r="A12">
        <v>1204</v>
      </c>
      <c r="B12" t="s">
        <v>30</v>
      </c>
      <c r="C12" t="s">
        <v>88</v>
      </c>
      <c r="D12" t="b">
        <v>1</v>
      </c>
    </row>
    <row r="13" spans="1:4" x14ac:dyDescent="0.25">
      <c r="A13">
        <v>1204</v>
      </c>
      <c r="B13" t="s">
        <v>22</v>
      </c>
      <c r="C13" t="s">
        <v>89</v>
      </c>
      <c r="D13" t="b">
        <v>1</v>
      </c>
    </row>
    <row r="14" spans="1:4" x14ac:dyDescent="0.25">
      <c r="A14">
        <v>1204</v>
      </c>
      <c r="B14" t="s">
        <v>23</v>
      </c>
      <c r="C14" t="s">
        <v>90</v>
      </c>
      <c r="D14" t="b">
        <v>1</v>
      </c>
    </row>
    <row r="15" spans="1:4" x14ac:dyDescent="0.25">
      <c r="A15">
        <v>1204</v>
      </c>
      <c r="B15" t="s">
        <v>24</v>
      </c>
      <c r="C15" t="s">
        <v>91</v>
      </c>
      <c r="D15" t="b">
        <v>1</v>
      </c>
    </row>
    <row r="16" spans="1:4" x14ac:dyDescent="0.25">
      <c r="A16">
        <v>1205</v>
      </c>
      <c r="B16" t="s">
        <v>12</v>
      </c>
      <c r="C16" t="s">
        <v>92</v>
      </c>
      <c r="D16" t="b">
        <v>0</v>
      </c>
    </row>
    <row r="17" spans="1:4" x14ac:dyDescent="0.25">
      <c r="A17">
        <v>1205</v>
      </c>
      <c r="B17" t="s">
        <v>20</v>
      </c>
      <c r="C17" t="s">
        <v>93</v>
      </c>
      <c r="D17" t="b">
        <v>1</v>
      </c>
    </row>
    <row r="18" spans="1:4" x14ac:dyDescent="0.25">
      <c r="A18">
        <v>1205</v>
      </c>
      <c r="B18" t="s">
        <v>21</v>
      </c>
      <c r="C18" t="s">
        <v>94</v>
      </c>
      <c r="D18" t="b">
        <v>0</v>
      </c>
    </row>
    <row r="19" spans="1:4" x14ac:dyDescent="0.25">
      <c r="A19">
        <v>1205</v>
      </c>
      <c r="B19" t="s">
        <v>30</v>
      </c>
      <c r="C19" t="s">
        <v>95</v>
      </c>
      <c r="D19" t="b">
        <v>1</v>
      </c>
    </row>
    <row r="20" spans="1:4" x14ac:dyDescent="0.25">
      <c r="A20">
        <v>1205</v>
      </c>
      <c r="B20" t="s">
        <v>22</v>
      </c>
      <c r="C20" t="s">
        <v>96</v>
      </c>
      <c r="D20" t="b">
        <v>1</v>
      </c>
    </row>
    <row r="21" spans="1:4" x14ac:dyDescent="0.25">
      <c r="A21">
        <v>1205</v>
      </c>
      <c r="B21" t="s">
        <v>23</v>
      </c>
      <c r="C21" t="s">
        <v>97</v>
      </c>
      <c r="D21" t="b">
        <v>1</v>
      </c>
    </row>
    <row r="22" spans="1:4" x14ac:dyDescent="0.25">
      <c r="A22">
        <v>1205</v>
      </c>
      <c r="B22" t="s">
        <v>24</v>
      </c>
      <c r="C22" t="s">
        <v>98</v>
      </c>
      <c r="D22" t="b">
        <v>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A4E73-61E3-4D3E-B7C2-F60E80672A04}">
  <sheetPr codeName="Sheet5"/>
  <dimension ref="A1:A2"/>
  <sheetViews>
    <sheetView tabSelected="1" workbookViewId="0"/>
  </sheetViews>
  <sheetFormatPr defaultRowHeight="15" x14ac:dyDescent="0.25"/>
  <cols>
    <col min="1" max="1" width="21.42578125" bestFit="1" customWidth="1"/>
  </cols>
  <sheetData>
    <row r="1" spans="1:1" x14ac:dyDescent="0.25">
      <c r="A1" s="18" t="s">
        <v>34</v>
      </c>
    </row>
    <row r="2" spans="1:1" x14ac:dyDescent="0.25">
      <c r="A2" s="24">
        <v>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DFA34-2AFC-4217-8283-01F05455A889}">
  <sheetPr codeName="Sheet6"/>
  <dimension ref="A1:C2"/>
  <sheetViews>
    <sheetView workbookViewId="0"/>
  </sheetViews>
  <sheetFormatPr defaultRowHeight="15" x14ac:dyDescent="0.25"/>
  <cols>
    <col min="1" max="1" width="15.5703125" bestFit="1" customWidth="1"/>
    <col min="2" max="2" width="15.7109375" customWidth="1"/>
    <col min="3" max="3" width="155.140625" bestFit="1" customWidth="1"/>
  </cols>
  <sheetData>
    <row r="1" spans="1:3" s="18" customFormat="1" x14ac:dyDescent="0.25">
      <c r="A1" s="29" t="s">
        <v>40</v>
      </c>
      <c r="B1" s="29" t="s">
        <v>37</v>
      </c>
      <c r="C1" s="29" t="s">
        <v>38</v>
      </c>
    </row>
    <row r="2" spans="1:3" x14ac:dyDescent="0.25">
      <c r="A2" s="17" t="s">
        <v>39</v>
      </c>
      <c r="B2" t="s">
        <v>42</v>
      </c>
      <c r="C2" t="s">
        <v>35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18EFF-1936-4803-9746-7E8A16221236}">
  <sheetPr codeName="Sheet7"/>
  <dimension ref="A1:B2"/>
  <sheetViews>
    <sheetView workbookViewId="0"/>
  </sheetViews>
  <sheetFormatPr defaultRowHeight="15" x14ac:dyDescent="0.25"/>
  <cols>
    <col min="1" max="1" width="19.85546875" bestFit="1" customWidth="1"/>
    <col min="2" max="2" width="247.28515625" bestFit="1" customWidth="1"/>
  </cols>
  <sheetData>
    <row r="1" spans="1:2" s="18" customFormat="1" x14ac:dyDescent="0.25">
      <c r="A1" s="29" t="s">
        <v>40</v>
      </c>
      <c r="B1" s="29" t="s">
        <v>37</v>
      </c>
    </row>
    <row r="2" spans="1:2" x14ac:dyDescent="0.25">
      <c r="A2" t="s">
        <v>70</v>
      </c>
      <c r="B2" t="s">
        <v>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ref_WA</vt:lpstr>
      <vt:lpstr>INPUTAN_USER</vt:lpstr>
      <vt:lpstr>HOME</vt:lpstr>
      <vt:lpstr>RPA1_BV</vt:lpstr>
      <vt:lpstr>RPA1_DataInput</vt:lpstr>
      <vt:lpstr>CHECK - File Arus Barang</vt:lpstr>
      <vt:lpstr>RPA2</vt:lpstr>
      <vt:lpstr>RPA2.2_WA1</vt:lpstr>
      <vt:lpstr>RPA2.2_WA2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2024-12-31T06:29:50Z</dcterms:modified>
</cp:coreProperties>
</file>