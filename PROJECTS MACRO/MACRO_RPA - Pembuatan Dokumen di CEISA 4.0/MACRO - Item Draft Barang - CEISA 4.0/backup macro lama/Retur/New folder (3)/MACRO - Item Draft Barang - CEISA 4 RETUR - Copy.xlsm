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MACRO - Item Draft Barang - CEISA 4.0\backup macro lama\Retur\New folder (3)\"/>
    </mc:Choice>
  </mc:AlternateContent>
  <xr:revisionPtr revIDLastSave="0" documentId="13_ncr:1_{615C57E5-D9D7-47F7-8981-E7E89C4A505D}" xr6:coauthVersionLast="47" xr6:coauthVersionMax="47" xr10:uidLastSave="{00000000-0000-0000-0000-000000000000}"/>
  <bookViews>
    <workbookView xWindow="-120" yWindow="-120" windowWidth="20640" windowHeight="11160" tabRatio="685" xr2:uid="{7E7A7F93-5039-4D12-8102-F8D7E7D5379D}"/>
  </bookViews>
  <sheets>
    <sheet name="(M)" sheetId="12" r:id="rId1"/>
    <sheet name="Set_Def" sheetId="128" state="hidden" r:id="rId2"/>
    <sheet name="Set_Cach" sheetId="129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260" r:id="rId8"/>
    <sheet name="BAHANBAKU" sheetId="261" r:id="rId9"/>
  </sheets>
  <functionGroups builtInGroupCount="19"/>
  <externalReferences>
    <externalReference r:id="rId10"/>
  </externalReferences>
  <definedNames>
    <definedName name="_xlnm._FilterDatabase" localSheetId="8" hidden="1">BAHANBAKU!$A$2:$S$16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261"/>
  <c r="AD4" i="261"/>
  <c r="AD5" i="261"/>
  <c r="AD6" i="261"/>
  <c r="AD7" i="261"/>
  <c r="AD8" i="261"/>
  <c r="AD9" i="261"/>
  <c r="AD10" i="261"/>
  <c r="AD11" i="261"/>
  <c r="AD12" i="261"/>
  <c r="AD13" i="261"/>
  <c r="AD14" i="261"/>
  <c r="AD15" i="261"/>
  <c r="AD16" i="261"/>
  <c r="AC3" i="261"/>
  <c r="AC4" i="261"/>
  <c r="AC5" i="261"/>
  <c r="AC6" i="261"/>
  <c r="AC7" i="261"/>
  <c r="AC8" i="261"/>
  <c r="AC9" i="261"/>
  <c r="AC10" i="261"/>
  <c r="AC11" i="261"/>
  <c r="AC12" i="261"/>
  <c r="AC13" i="261"/>
  <c r="AC14" i="261"/>
  <c r="AC15" i="261"/>
  <c r="AC16" i="261"/>
  <c r="AB3" i="261"/>
  <c r="AB4" i="261"/>
  <c r="AB5" i="261"/>
  <c r="AB6" i="261"/>
  <c r="AB7" i="261"/>
  <c r="AB8" i="261"/>
  <c r="AB9" i="261"/>
  <c r="AB10" i="261"/>
  <c r="AB11" i="261"/>
  <c r="AB12" i="261"/>
  <c r="AB13" i="261"/>
  <c r="AB14" i="261"/>
  <c r="AB15" i="261"/>
  <c r="AB16" i="261"/>
  <c r="AA3" i="261"/>
  <c r="AA4" i="261"/>
  <c r="AA5" i="261"/>
  <c r="AA6" i="261"/>
  <c r="AA7" i="261"/>
  <c r="AA8" i="261"/>
  <c r="AA9" i="261"/>
  <c r="AA10" i="261"/>
  <c r="AA11" i="261"/>
  <c r="AA12" i="261"/>
  <c r="AA13" i="261"/>
  <c r="AA14" i="261"/>
  <c r="AA15" i="261"/>
  <c r="AA16" i="261"/>
  <c r="Z3" i="261"/>
  <c r="Z4" i="261"/>
  <c r="Z5" i="261"/>
  <c r="Z6" i="261"/>
  <c r="Z7" i="261"/>
  <c r="Z8" i="261"/>
  <c r="Z9" i="261"/>
  <c r="Z10" i="261"/>
  <c r="Z11" i="261"/>
  <c r="Z12" i="261"/>
  <c r="Z13" i="261"/>
  <c r="Z14" i="261"/>
  <c r="Z15" i="261"/>
  <c r="Z16" i="261"/>
  <c r="Y3" i="261"/>
  <c r="Y4" i="261"/>
  <c r="Y5" i="261"/>
  <c r="Y6" i="261"/>
  <c r="Y7" i="261"/>
  <c r="Y8" i="261"/>
  <c r="Y9" i="261"/>
  <c r="Y10" i="261"/>
  <c r="Y11" i="261"/>
  <c r="Y12" i="261"/>
  <c r="Y13" i="261"/>
  <c r="Y14" i="261"/>
  <c r="Y15" i="261"/>
  <c r="Y16" i="261"/>
  <c r="X3" i="261"/>
  <c r="X4" i="261"/>
  <c r="X5" i="261"/>
  <c r="X6" i="261"/>
  <c r="X7" i="261"/>
  <c r="X8" i="261"/>
  <c r="X9" i="261"/>
  <c r="X10" i="261"/>
  <c r="X11" i="261"/>
  <c r="X12" i="261"/>
  <c r="X13" i="261"/>
  <c r="X14" i="261"/>
  <c r="X15" i="261"/>
  <c r="X16" i="261"/>
  <c r="W3" i="261"/>
  <c r="W4" i="261"/>
  <c r="W5" i="261"/>
  <c r="W6" i="261"/>
  <c r="W7" i="261"/>
  <c r="W8" i="261"/>
  <c r="W9" i="261"/>
  <c r="W10" i="261"/>
  <c r="W11" i="261"/>
  <c r="W12" i="261"/>
  <c r="W13" i="261"/>
  <c r="W14" i="261"/>
  <c r="W15" i="261"/>
  <c r="W16" i="261"/>
  <c r="V3" i="261"/>
  <c r="V4" i="261"/>
  <c r="V5" i="261"/>
  <c r="V6" i="261"/>
  <c r="V7" i="261"/>
  <c r="V8" i="261"/>
  <c r="V9" i="261"/>
  <c r="V10" i="261"/>
  <c r="V11" i="261"/>
  <c r="V12" i="261"/>
  <c r="V13" i="261"/>
  <c r="V14" i="261"/>
  <c r="V15" i="261"/>
  <c r="V16" i="261"/>
  <c r="U3" i="261"/>
  <c r="U4" i="261"/>
  <c r="U5" i="261"/>
  <c r="U6" i="261"/>
  <c r="U7" i="261"/>
  <c r="U8" i="261"/>
  <c r="U9" i="261"/>
  <c r="U10" i="261"/>
  <c r="U11" i="261"/>
  <c r="U12" i="261"/>
  <c r="U13" i="261"/>
  <c r="U14" i="261"/>
  <c r="U15" i="261"/>
  <c r="U16" i="261"/>
  <c r="T3" i="261"/>
  <c r="T4" i="261"/>
  <c r="AE4" i="261" s="1"/>
  <c r="T5" i="261"/>
  <c r="AE5" i="261" s="1"/>
  <c r="T6" i="261"/>
  <c r="AE6" i="261" s="1"/>
  <c r="T7" i="261"/>
  <c r="AE7" i="261" s="1"/>
  <c r="T8" i="261"/>
  <c r="AE8" i="261" s="1"/>
  <c r="T9" i="261"/>
  <c r="AE9" i="261" s="1"/>
  <c r="T10" i="261"/>
  <c r="AE10" i="261" s="1"/>
  <c r="T11" i="261"/>
  <c r="AE11" i="261" s="1"/>
  <c r="T12" i="261"/>
  <c r="AE12" i="261" s="1"/>
  <c r="T13" i="261"/>
  <c r="AE13" i="261" s="1"/>
  <c r="T14" i="261"/>
  <c r="AE14" i="261" s="1"/>
  <c r="T15" i="261"/>
  <c r="AE15" i="261" s="1"/>
  <c r="T16" i="261"/>
  <c r="AE16" i="261" s="1"/>
  <c r="X3" i="260"/>
  <c r="X4" i="260"/>
  <c r="X5" i="260"/>
  <c r="X6" i="260"/>
  <c r="X7" i="260"/>
  <c r="X8" i="260"/>
  <c r="X9" i="260"/>
  <c r="X10" i="260"/>
  <c r="W3" i="260"/>
  <c r="W4" i="260"/>
  <c r="W5" i="260"/>
  <c r="W6" i="260"/>
  <c r="W7" i="260"/>
  <c r="W8" i="260"/>
  <c r="W9" i="260"/>
  <c r="W10" i="260"/>
  <c r="V3" i="260"/>
  <c r="V4" i="260"/>
  <c r="V5" i="260"/>
  <c r="V6" i="260"/>
  <c r="V7" i="260"/>
  <c r="V8" i="260"/>
  <c r="V9" i="260"/>
  <c r="V10" i="260"/>
  <c r="U3" i="260"/>
  <c r="U4" i="260"/>
  <c r="U5" i="260"/>
  <c r="U6" i="260"/>
  <c r="U7" i="260"/>
  <c r="U8" i="260"/>
  <c r="U9" i="260"/>
  <c r="U10" i="260"/>
  <c r="T3" i="260"/>
  <c r="T4" i="260"/>
  <c r="T5" i="260"/>
  <c r="T6" i="260"/>
  <c r="T7" i="260"/>
  <c r="T8" i="260"/>
  <c r="T9" i="260"/>
  <c r="T10" i="260"/>
  <c r="S3" i="260"/>
  <c r="S4" i="260"/>
  <c r="S5" i="260"/>
  <c r="S6" i="260"/>
  <c r="S7" i="260"/>
  <c r="S8" i="260"/>
  <c r="S9" i="260"/>
  <c r="S10" i="260"/>
  <c r="R3" i="260"/>
  <c r="R4" i="260"/>
  <c r="R5" i="260"/>
  <c r="R6" i="260"/>
  <c r="R7" i="260"/>
  <c r="R8" i="260"/>
  <c r="R9" i="260"/>
  <c r="R10" i="260"/>
  <c r="Q3" i="260"/>
  <c r="Q4" i="260"/>
  <c r="Q5" i="260"/>
  <c r="Q6" i="260"/>
  <c r="Q7" i="260"/>
  <c r="Q8" i="260"/>
  <c r="Q9" i="260"/>
  <c r="Q10" i="260"/>
  <c r="P3" i="260"/>
  <c r="P4" i="260"/>
  <c r="P5" i="260"/>
  <c r="P6" i="260"/>
  <c r="P7" i="260"/>
  <c r="P8" i="260"/>
  <c r="P9" i="260"/>
  <c r="P10" i="260"/>
  <c r="O3" i="260"/>
  <c r="Y3" i="260" s="1"/>
  <c r="O4" i="260"/>
  <c r="O5" i="260"/>
  <c r="O6" i="260"/>
  <c r="O7" i="260"/>
  <c r="O8" i="260"/>
  <c r="O9" i="260"/>
  <c r="O10" i="260"/>
  <c r="AE3" i="261" l="1"/>
  <c r="C12" i="135" s="1"/>
  <c r="Y10" i="260"/>
  <c r="Y8" i="260"/>
  <c r="Y6" i="260"/>
  <c r="Y4" i="260"/>
  <c r="Y9" i="260"/>
  <c r="Y7" i="260"/>
  <c r="Y5" i="260"/>
  <c r="C2" i="135"/>
  <c r="C6" i="135" l="1"/>
  <c r="C1" i="135" s="1"/>
  <c r="C3" i="135" s="1"/>
  <c r="D12" i="128" l="1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A92BB0FF-B0F5-485A-B829-9AEFF50528D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ADDB2AAB-1EA6-43D9-B7B5-22721D1CE52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3800DBA1-0DF3-4579-829A-41CA15D17AB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007BDAA6-98DA-4DB4-A7B2-87496EFE04E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F59DB77E-CF15-486F-8EE4-A520FD046162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CD0A6F5D-7AD3-4C78-B302-C509C468CB3A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559B5A48-8DFD-441A-B9ED-3D3EC96CA399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8C9796F1-2559-4C15-AA61-E014AD1345E8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A6E1FDC2-48FF-4836-9719-90CDD776E3D1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E5BCE920-701C-431D-8BCD-BA1897BA5B8E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B4222D55-FF1E-4F51-9BC9-948EA06DD76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D41435EA-CE39-42AB-BA6D-6744A07E8EC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6F4D33BC-B4D8-401A-91F7-3EC9055DE41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8C09F45D-D978-4FC4-9567-967D015BE70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301649E1-6228-4483-888E-153DDB85C9C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B35D3CE5-FA42-4723-86BD-216250B6720D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82D84962-B287-4DA6-AA8A-00C3EFAE687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8E9BB563-4081-454D-9629-D48CAAFE4B7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2B397759-850C-4779-A0D2-668661610AD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47D311FE-411E-4B44-BE4F-A57D5D213B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32E88008-CA1A-4414-94A4-AB982727372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77E7214D-50BB-4361-8708-0E4443615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55A590D0-084A-46A3-AAD4-FB5E8CCB101E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<sst xmlns="http://schemas.openxmlformats.org/spreadsheetml/2006/main" count="603" uniqueCount="208">
  <si>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</si>
  <si>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</si>
  <si>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</si>
  <si>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</si>
  <si>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</si>
  <si>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</si>
  <si>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</si>
  <si>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</si>
  <si>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</si>
  <si>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</si>
  <si>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</si>
  <si>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</si>
  <si>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</si>
  <si>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</si>
  <si>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</si>
  <si>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</si>
  <si>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</si>
  <si>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</si>
  <si>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</si>
  <si>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</si>
  <si>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</si>
  <si>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</si>
  <si>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</si>
  <si>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</si>
  <si>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</si>
  <si>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</si>
  <si>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</si>
  <si>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</si>
  <si>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</si>
  <si>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</si>
  <si>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</si>
  <si>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</si>
  <si>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</si>
  <si>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</si>
  <si>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</si>
  <si>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</si>
  <si>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</si>
  <si>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</si>
  <si>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</si>
  <si>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</si>
  <si>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</si>
  <si>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</si>
  <si>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</si>
  <si>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</si>
  <si>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</si>
  <si>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</si>
  <si>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</si>
  <si>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</si>
  <si>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</si>
  <si>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</si>
  <si>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</si>
  <si>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</si>
  <si>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</si>
  <si>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</si>
  <si>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</si>
  <si>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</si>
  <si>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</si>
  <si>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</si>
  <si>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</si>
  <si>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</si>
  <si>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</si>
  <si>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</si>
  <si>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</si>
  <si>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</si>
  <si>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</si>
  <si>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</si>
  <si>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</si>
  <si>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</si>
  <si>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</si>
  <si>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</si>
  <si>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</si>
  <si>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</si>
  <si>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</si>
  <si>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</si>
  <si>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</si>
  <si>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</si>
  <si>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</si>
  <si>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</si>
  <si>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</si>
  <si>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</si>
  <si>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</si>
  <si>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</si>
  <si>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</si>
  <si>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</si>
  <si>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</si>
  <si>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</si>
  <si>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</si>
  <si>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</si>
  <si>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</si>
  <si>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</si>
  <si>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</si>
  <si>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</si>
  <si>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</si>
  <si>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</si>
  <si>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</si>
  <si>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</si>
  <si>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</si>
  <si>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</si>
  <si>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</si>
  <si>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</si>
  <si>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</si>
  <si>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</si>
  <si>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</si>
  <si>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</si>
  <si>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</si>
  <si>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</si>
  <si>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</si>
  <si>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</si>
  <si>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</si>
  <si>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</si>
  <si>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</si>
  <si>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</si>
  <si>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</si>
  <si>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</si>
  <si>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</si>
  <si>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</si>
  <si>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</si>
  <si>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</si>
  <si>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</si>
  <si>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</si>
  <si>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</si>
  <si>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</si>
  <si>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</si>
  <si>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</si>
  <si>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</si>
  <si>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</si>
  <si>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</si>
  <si>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</si>
  <si>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</si>
  <si>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</si>
  <si>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</si>
  <si>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</si>
  <si>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</si>
  <si>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</si>
  <si>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</si>
  <si>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</si>
  <si>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</si>
  <si>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</si>
  <si>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</si>
  <si>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</si>
  <si>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</si>
  <si>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</si>
  <si>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</si>
  <si>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</si>
  <si>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</si>
  <si>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</si>
  <si>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</si>
  <si>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</si>
  <si>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</si>
  <si>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</si>
  <si>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</si>
  <si>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</si>
  <si>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</si>
  <si>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</si>
  <si>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</si>
  <si>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</si>
  <si>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</si>
  <si>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</si>
  <si>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</si>
  <si>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</si>
  <si>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</si>
  <si>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</si>
  <si>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</si>
  <si>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</si>
  <si>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</si>
  <si>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</si>
  <si>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</si>
  <si>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</si>
  <si>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</si>
  <si>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</si>
  <si>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</si>
  <si>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</si>
  <si>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</si>
  <si>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58062090</t>
  </si>
  <si>
    <t>SATIN TAPE, 7MM</t>
  </si>
  <si>
    <t>TAGPIN,@5000PC</t>
  </si>
  <si>
    <t>WAREHOUSE STICKER</t>
  </si>
  <si>
    <t>TAPE</t>
  </si>
  <si>
    <t>ASSORT STICKER</t>
  </si>
  <si>
    <t>BLISTER BAG, PE (W/ GUSSET)</t>
  </si>
  <si>
    <t>BUTTON</t>
  </si>
  <si>
    <t>2024-01-04</t>
  </si>
  <si>
    <t>276221</t>
  </si>
  <si>
    <t>39269090</t>
  </si>
  <si>
    <t>79419</t>
  </si>
  <si>
    <t>39232990</t>
  </si>
  <si>
    <t>48211090</t>
  </si>
  <si>
    <t>54011090</t>
  </si>
  <si>
    <t>225343</t>
  </si>
  <si>
    <t>236651</t>
  </si>
  <si>
    <t>96062200</t>
  </si>
  <si>
    <t>276222</t>
  </si>
  <si>
    <t>39269010</t>
  </si>
  <si>
    <t>236645/236647/236648/236649/236646/236650</t>
  </si>
  <si>
    <t>250709/250710/250711</t>
  </si>
  <si>
    <t>238381/238382</t>
  </si>
  <si>
    <t>CARTON BOX</t>
  </si>
  <si>
    <t>48192000</t>
  </si>
  <si>
    <t>C:\Users\sdewi\Downloads\00026231560820240429000465.xlsx</t>
  </si>
  <si>
    <t>236647/236648/236649/236646/236645</t>
  </si>
  <si>
    <t>238380/238382</t>
  </si>
  <si>
    <t>000201</t>
  </si>
  <si>
    <t>025775</t>
  </si>
  <si>
    <t>2023-12-19</t>
  </si>
  <si>
    <t>238380</t>
  </si>
  <si>
    <t>05052600520520231219002727</t>
  </si>
  <si>
    <t>05052600520520240104000017</t>
  </si>
  <si>
    <t>C:\Users\hadi\Downloads\BC 262 23001181-1201-.xlsx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</si>
</sst>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6" sqref="C6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198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207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D8" sqref="D8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73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25">
      <c r="A2" s="93" t="s">
        <v>74</v>
      </c>
      <c r="B2" s="93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4" t="s">
        <v>72</v>
      </c>
      <c r="B3" s="94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2" t="s">
        <v>124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8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934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2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4.3199999999999932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765.14</v>
      </c>
      <c r="E11" s="17"/>
      <c r="F11" s="16"/>
    </row>
    <row r="12" spans="1:7" x14ac:dyDescent="0.25">
      <c r="A12" s="92" t="s">
        <v>125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14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6215.5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FC024-06F9-4EFF-9701-99A5B8FC1343}">
  <sheetPr codeName="Sheet1"/>
  <dimension ref="A1:Y10"/>
  <sheetViews>
    <sheetView workbookViewId="0">
      <pane xSplit="1" ySplit="2" topLeftCell="F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35.28515625" style="11" bestFit="1" customWidth="1"/>
    <col min="4" max="4" width="27.1406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12" bestFit="1" customWidth="1"/>
    <col min="14" max="14" width="7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5" t="s">
        <v>170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ht="13.5" customHeight="1" x14ac:dyDescent="0.25">
      <c r="A3">
        <v>1</v>
      </c>
      <c r="B3" s="11" t="s">
        <v>187</v>
      </c>
      <c r="C3" s="11" t="s">
        <v>188</v>
      </c>
      <c r="D3" t="s">
        <v>177</v>
      </c>
      <c r="E3" t="s">
        <v>38</v>
      </c>
      <c r="F3" t="s">
        <v>38</v>
      </c>
      <c r="G3" t="s">
        <v>38</v>
      </c>
      <c r="H3" t="s">
        <v>38</v>
      </c>
      <c r="I3" t="s">
        <v>31</v>
      </c>
      <c r="J3">
        <v>1</v>
      </c>
      <c r="K3" t="s">
        <v>12</v>
      </c>
      <c r="L3">
        <v>0</v>
      </c>
      <c r="M3">
        <v>1.8524275591479699E-3</v>
      </c>
      <c r="N3">
        <v>0.33</v>
      </c>
      <c r="O3" t="str">
        <f t="shared" ref="O3:O10" si="0">IF(OR(A3="",A3&lt;1),FALSE,IF(ISNUMBER(A3), IF(INT(A3) = A3, "-", FALSE), FALSE))</f>
        <v>-</v>
      </c>
      <c r="P3" t="str">
        <f t="shared" ref="P3:P10" si="1">IF(B3="",FALSE,"-")</f>
        <v>-</v>
      </c>
      <c r="Q3" t="str">
        <f t="shared" ref="Q3:Q10" si="2">IF(C3="",FALSE,"-")</f>
        <v>-</v>
      </c>
      <c r="R3" t="str">
        <f t="shared" ref="R3:R10" si="3">IF(D3="",FALSE,"-")</f>
        <v>-</v>
      </c>
      <c r="S3" t="str">
        <f>IF(_xlfn.IFNA(VLOOKUP(I3,Set_Ref!$B$6:$B$1048576,1,FALSE),"")&lt;&gt;"","-",FALSE)</f>
        <v>-</v>
      </c>
      <c r="T3" t="str">
        <f t="shared" ref="T3:T10" si="4">IF(OR(J3="",J3&lt;1),FALSE,IF(ISNUMBER(J3),"-",FALSE))</f>
        <v>-</v>
      </c>
      <c r="U3" t="str">
        <f t="shared" ref="U3:U10" si="5">IF(ISTEXT(K3),  "-",FALSE)</f>
        <v>-</v>
      </c>
      <c r="V3" t="str">
        <f t="shared" ref="V3:V10" si="6">IF(OR(L3="",L3&lt;0),FALSE,IF(ISNUMBER(L3),"-",FALSE))</f>
        <v>-</v>
      </c>
      <c r="W3" t="str">
        <f t="shared" ref="W3:W10" si="7">IF(OR(M3="",M3&lt;0),FALSE,IF(ISNUMBER(M3),"-",FALSE))</f>
        <v>-</v>
      </c>
      <c r="X3" t="str">
        <f t="shared" ref="X3:X10" si="8">IF(OR(N3="",N3&lt;0),FALSE,IF(ISNUMBER(N3),"-",FALSE))</f>
        <v>-</v>
      </c>
      <c r="Y3" t="b">
        <f t="shared" ref="Y3:Y10" si="9">IF(COUNTIF($O$3:$X$3, "FALSE") &gt; 0, FALSE, TRUE)</f>
        <v>1</v>
      </c>
    </row>
    <row r="4" spans="1:25" x14ac:dyDescent="0.25">
      <c r="A4">
        <v>2</v>
      </c>
      <c r="B4" s="11" t="s">
        <v>173</v>
      </c>
      <c r="C4" s="11" t="s">
        <v>182</v>
      </c>
      <c r="D4" t="s">
        <v>174</v>
      </c>
      <c r="E4" t="s">
        <v>38</v>
      </c>
      <c r="F4" t="s">
        <v>38</v>
      </c>
      <c r="G4" t="s">
        <v>38</v>
      </c>
      <c r="H4" t="s">
        <v>38</v>
      </c>
      <c r="I4" t="s">
        <v>7</v>
      </c>
      <c r="J4">
        <v>208</v>
      </c>
      <c r="K4" t="s">
        <v>12</v>
      </c>
      <c r="L4">
        <v>1</v>
      </c>
      <c r="M4">
        <v>0.96326233075694301</v>
      </c>
      <c r="N4">
        <v>170.61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str">
        <f t="shared" si="6"/>
        <v>-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190</v>
      </c>
      <c r="C5" s="11" t="s">
        <v>191</v>
      </c>
      <c r="D5" t="s">
        <v>180</v>
      </c>
      <c r="E5" t="s">
        <v>38</v>
      </c>
      <c r="F5" t="s">
        <v>38</v>
      </c>
      <c r="G5" t="s">
        <v>38</v>
      </c>
      <c r="H5" t="s">
        <v>38</v>
      </c>
      <c r="I5" t="s">
        <v>6</v>
      </c>
      <c r="J5">
        <v>1</v>
      </c>
      <c r="K5" t="s">
        <v>12</v>
      </c>
      <c r="L5">
        <v>0</v>
      </c>
      <c r="M5">
        <v>1.9913596260840698E-3</v>
      </c>
      <c r="N5">
        <v>0.35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str">
        <f t="shared" si="6"/>
        <v>-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183</v>
      </c>
      <c r="C6" s="11" t="s">
        <v>184</v>
      </c>
      <c r="D6" t="s">
        <v>175</v>
      </c>
      <c r="E6" t="s">
        <v>38</v>
      </c>
      <c r="F6" t="s">
        <v>38</v>
      </c>
      <c r="G6" t="s">
        <v>38</v>
      </c>
      <c r="H6" t="s">
        <v>38</v>
      </c>
      <c r="I6" t="s">
        <v>31</v>
      </c>
      <c r="J6">
        <v>1</v>
      </c>
      <c r="K6" t="s">
        <v>12</v>
      </c>
      <c r="L6">
        <v>0</v>
      </c>
      <c r="M6">
        <v>4.6310688978699202E-3</v>
      </c>
      <c r="N6">
        <v>0.82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str">
        <f t="shared" si="6"/>
        <v>-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186</v>
      </c>
      <c r="C7" s="11" t="s">
        <v>189</v>
      </c>
      <c r="D7" t="s">
        <v>178</v>
      </c>
      <c r="E7" t="s">
        <v>38</v>
      </c>
      <c r="F7" t="s">
        <v>38</v>
      </c>
      <c r="G7" t="s">
        <v>38</v>
      </c>
      <c r="H7" t="s">
        <v>38</v>
      </c>
      <c r="I7" t="s">
        <v>8</v>
      </c>
      <c r="J7">
        <v>693</v>
      </c>
      <c r="K7" t="s">
        <v>12</v>
      </c>
      <c r="L7">
        <v>1</v>
      </c>
      <c r="M7">
        <v>3.2093307462238498</v>
      </c>
      <c r="N7">
        <v>568.42999999999995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str">
        <f t="shared" si="6"/>
        <v>-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185</v>
      </c>
      <c r="C8" s="11" t="s">
        <v>194</v>
      </c>
      <c r="D8" t="s">
        <v>179</v>
      </c>
      <c r="E8" t="s">
        <v>38</v>
      </c>
      <c r="F8" t="s">
        <v>38</v>
      </c>
      <c r="G8" t="s">
        <v>38</v>
      </c>
      <c r="H8" t="s">
        <v>38</v>
      </c>
      <c r="I8" t="s">
        <v>8</v>
      </c>
      <c r="J8">
        <v>3</v>
      </c>
      <c r="K8" t="s">
        <v>12</v>
      </c>
      <c r="L8">
        <v>0</v>
      </c>
      <c r="M8">
        <v>1.38932066936098E-2</v>
      </c>
      <c r="N8">
        <v>2.46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str">
        <f t="shared" si="6"/>
        <v>-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186</v>
      </c>
      <c r="C9" s="11" t="s">
        <v>199</v>
      </c>
      <c r="D9" t="s">
        <v>176</v>
      </c>
      <c r="E9" t="s">
        <v>38</v>
      </c>
      <c r="F9" t="s">
        <v>38</v>
      </c>
      <c r="G9" t="s">
        <v>38</v>
      </c>
      <c r="H9" t="s">
        <v>38</v>
      </c>
      <c r="I9" t="s">
        <v>8</v>
      </c>
      <c r="J9">
        <v>7</v>
      </c>
      <c r="K9" t="s">
        <v>12</v>
      </c>
      <c r="L9">
        <v>0</v>
      </c>
      <c r="M9">
        <v>3.2417482285089401E-2</v>
      </c>
      <c r="N9">
        <v>5.74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str">
        <f t="shared" si="6"/>
        <v>-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197</v>
      </c>
      <c r="C10" s="11" t="s">
        <v>200</v>
      </c>
      <c r="D10" t="s">
        <v>196</v>
      </c>
      <c r="E10" t="s">
        <v>38</v>
      </c>
      <c r="F10" t="s">
        <v>38</v>
      </c>
      <c r="G10" t="s">
        <v>38</v>
      </c>
      <c r="H10" t="s">
        <v>38</v>
      </c>
      <c r="I10" t="s">
        <v>8</v>
      </c>
      <c r="J10">
        <v>20</v>
      </c>
      <c r="K10" t="s">
        <v>12</v>
      </c>
      <c r="L10">
        <v>0</v>
      </c>
      <c r="M10">
        <v>9.2621377957398401E-2</v>
      </c>
      <c r="N10">
        <v>16.399999999999999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str">
        <f t="shared" si="6"/>
        <v>-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78F76-7D1D-46CA-B9E4-CC031F81E0A5}">
  <sheetPr codeName="Sheet2"/>
  <dimension ref="A1:AE16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R3" sqref="R3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100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91</v>
      </c>
      <c r="Q1" s="90"/>
      <c r="R1" s="90"/>
      <c r="S1" s="91"/>
      <c r="T1" s="95" t="s">
        <v>170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25">
      <c r="A3">
        <v>1</v>
      </c>
      <c r="B3">
        <v>1</v>
      </c>
      <c r="C3">
        <v>261</v>
      </c>
      <c r="D3" s="11" t="s">
        <v>145</v>
      </c>
      <c r="E3" s="11" t="s">
        <v>202</v>
      </c>
      <c r="F3" s="11" t="s">
        <v>203</v>
      </c>
      <c r="G3" s="11" t="s">
        <v>205</v>
      </c>
      <c r="H3">
        <v>1</v>
      </c>
      <c r="I3" s="11" t="s">
        <v>187</v>
      </c>
      <c r="J3" s="11" t="s">
        <v>188</v>
      </c>
      <c r="K3" s="11" t="s">
        <v>177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31</v>
      </c>
      <c r="Q3">
        <v>10</v>
      </c>
      <c r="R3">
        <v>0</v>
      </c>
      <c r="S3">
        <v>0</v>
      </c>
      <c r="T3" t="str">
        <f t="shared" ref="T3:T16" si="0">IF(OR(A3="",A3&lt;1),FALSE,IF(ISNUMBER(A3), IF(INT(A3) = A3, "-", FALSE), FALSE))</f>
        <v>-</v>
      </c>
      <c r="U3" t="str">
        <f t="shared" ref="U3:U16" si="1">IF(OR(B3="",A3&lt;1),FALSE,IF(ISNUMBER(A3), IF(INT(A3) = A3, "-", FALSE), FALSE))</f>
        <v>-</v>
      </c>
      <c r="V3" t="str">
        <f t="shared" ref="V3:V16" si="2">IF(OR(C3="",C3="PilihSalasatu"),FALSE,"-")</f>
        <v>-</v>
      </c>
      <c r="W3" t="str">
        <f t="shared" ref="W3:W16" si="3">IF(D3="",FALSE,"-")</f>
        <v>-</v>
      </c>
      <c r="X3" t="str">
        <f t="shared" ref="X3:X16" si="4">IF(E3="",FALSE,"-")</f>
        <v>-</v>
      </c>
      <c r="Y3" t="str">
        <f t="shared" ref="Y3:Y16" si="5">IF(F3="",FALSE,"-")</f>
        <v>-</v>
      </c>
      <c r="Z3" t="str">
        <f t="shared" ref="Z3:Z16" si="6">IF(I3="",FALSE,"-")</f>
        <v>-</v>
      </c>
      <c r="AA3" t="str">
        <f t="shared" ref="AA3:AA16" si="7">IF(J3="",FALSE,"-")</f>
        <v>-</v>
      </c>
      <c r="AB3" t="str">
        <f>IF(_xlfn.IFNA(VLOOKUP(P3,Set_Ref!$B$6:$B$1048576,1,FALSE),"")&lt;&gt;"","-",FALSE)</f>
        <v>-</v>
      </c>
      <c r="AC3" t="str">
        <f t="shared" ref="AC3:AC16" si="8">IF(OR(Q3="",Q3&lt;1),FALSE,IF(ISNUMBER(Q3),"-",FALSE))</f>
        <v>-</v>
      </c>
      <c r="AD3" t="str">
        <f t="shared" ref="AD3:AD16" si="9">IF(OR(G3="",H3="",I3="",K3=""),FALSE,"-")</f>
        <v>-</v>
      </c>
      <c r="AE3" t="b">
        <f t="shared" ref="AE3:AE16" si="10">IF(COUNTIF(T3:AD3, "FALSE") &gt; 0, FALSE, TRUE)</f>
        <v>1</v>
      </c>
    </row>
    <row r="4" spans="1:31" x14ac:dyDescent="0.25">
      <c r="A4">
        <v>2</v>
      </c>
      <c r="B4">
        <v>1</v>
      </c>
      <c r="C4">
        <v>261</v>
      </c>
      <c r="D4" s="11" t="s">
        <v>145</v>
      </c>
      <c r="E4" s="11" t="s">
        <v>202</v>
      </c>
      <c r="F4" s="11" t="s">
        <v>203</v>
      </c>
      <c r="G4" s="11" t="s">
        <v>205</v>
      </c>
      <c r="H4">
        <v>4</v>
      </c>
      <c r="I4" s="11" t="s">
        <v>173</v>
      </c>
      <c r="J4" s="11" t="s">
        <v>182</v>
      </c>
      <c r="K4" s="11" t="s">
        <v>174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7</v>
      </c>
      <c r="Q4">
        <v>2423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3</v>
      </c>
      <c r="B5">
        <v>1</v>
      </c>
      <c r="C5">
        <v>261</v>
      </c>
      <c r="D5" s="11" t="s">
        <v>145</v>
      </c>
      <c r="E5" s="11" t="s">
        <v>202</v>
      </c>
      <c r="F5" s="11" t="s">
        <v>203</v>
      </c>
      <c r="G5" s="11" t="s">
        <v>205</v>
      </c>
      <c r="H5">
        <v>5</v>
      </c>
      <c r="I5" s="11" t="s">
        <v>190</v>
      </c>
      <c r="J5" s="11" t="s">
        <v>191</v>
      </c>
      <c r="K5" s="11" t="s">
        <v>180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6</v>
      </c>
      <c r="Q5">
        <v>205.5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4</v>
      </c>
      <c r="B6">
        <v>1</v>
      </c>
      <c r="C6">
        <v>261</v>
      </c>
      <c r="D6" s="11" t="s">
        <v>145</v>
      </c>
      <c r="E6" s="11" t="s">
        <v>202</v>
      </c>
      <c r="F6" s="11" t="s">
        <v>203</v>
      </c>
      <c r="G6" s="11" t="s">
        <v>205</v>
      </c>
      <c r="H6">
        <v>16</v>
      </c>
      <c r="I6" s="11" t="s">
        <v>192</v>
      </c>
      <c r="J6" s="11" t="s">
        <v>184</v>
      </c>
      <c r="K6" s="11" t="s">
        <v>175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31</v>
      </c>
      <c r="Q6">
        <v>4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5</v>
      </c>
      <c r="B7">
        <v>1</v>
      </c>
      <c r="C7">
        <v>261</v>
      </c>
      <c r="D7" s="55" t="s">
        <v>145</v>
      </c>
      <c r="E7" s="11" t="s">
        <v>201</v>
      </c>
      <c r="F7" s="11" t="s">
        <v>181</v>
      </c>
      <c r="G7" s="11" t="s">
        <v>206</v>
      </c>
      <c r="H7">
        <v>3</v>
      </c>
      <c r="I7" s="11" t="s">
        <v>186</v>
      </c>
      <c r="J7" s="11" t="s">
        <v>189</v>
      </c>
      <c r="K7" s="11" t="s">
        <v>178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8</v>
      </c>
      <c r="Q7">
        <v>1719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5</v>
      </c>
      <c r="B8">
        <v>2</v>
      </c>
      <c r="C8">
        <v>261</v>
      </c>
      <c r="D8" s="11" t="s">
        <v>145</v>
      </c>
      <c r="E8" s="11" t="s">
        <v>202</v>
      </c>
      <c r="F8" s="11" t="s">
        <v>203</v>
      </c>
      <c r="G8" s="11" t="s">
        <v>205</v>
      </c>
      <c r="H8">
        <v>17</v>
      </c>
      <c r="I8" s="11" t="s">
        <v>186</v>
      </c>
      <c r="J8" s="11" t="s">
        <v>189</v>
      </c>
      <c r="K8" s="11" t="s">
        <v>178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8</v>
      </c>
      <c r="Q8">
        <v>1444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6</v>
      </c>
      <c r="B9">
        <v>1</v>
      </c>
      <c r="C9">
        <v>261</v>
      </c>
      <c r="D9" s="11" t="s">
        <v>145</v>
      </c>
      <c r="E9" s="11" t="s">
        <v>202</v>
      </c>
      <c r="F9" s="11" t="s">
        <v>203</v>
      </c>
      <c r="G9" s="11" t="s">
        <v>205</v>
      </c>
      <c r="H9">
        <v>13</v>
      </c>
      <c r="I9" s="11" t="s">
        <v>185</v>
      </c>
      <c r="J9" s="11" t="s">
        <v>194</v>
      </c>
      <c r="K9" s="11" t="s">
        <v>179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8</v>
      </c>
      <c r="Q9">
        <v>77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6</v>
      </c>
      <c r="B10">
        <v>2</v>
      </c>
      <c r="C10">
        <v>261</v>
      </c>
      <c r="D10" s="11" t="s">
        <v>145</v>
      </c>
      <c r="E10" s="11" t="s">
        <v>202</v>
      </c>
      <c r="F10" s="11" t="s">
        <v>203</v>
      </c>
      <c r="G10" s="11" t="s">
        <v>205</v>
      </c>
      <c r="H10">
        <v>13</v>
      </c>
      <c r="I10" s="11" t="s">
        <v>185</v>
      </c>
      <c r="J10" s="11" t="s">
        <v>194</v>
      </c>
      <c r="K10" s="11" t="s">
        <v>179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8</v>
      </c>
      <c r="Q10">
        <v>7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7</v>
      </c>
      <c r="B11">
        <v>1</v>
      </c>
      <c r="C11">
        <v>261</v>
      </c>
      <c r="D11" s="11" t="s">
        <v>145</v>
      </c>
      <c r="E11" s="11" t="s">
        <v>202</v>
      </c>
      <c r="F11" s="11" t="s">
        <v>203</v>
      </c>
      <c r="G11" s="11" t="s">
        <v>205</v>
      </c>
      <c r="H11">
        <v>14</v>
      </c>
      <c r="I11" s="11" t="s">
        <v>186</v>
      </c>
      <c r="J11" s="11" t="s">
        <v>193</v>
      </c>
      <c r="K11" s="11" t="s">
        <v>176</v>
      </c>
      <c r="L11" s="11" t="s">
        <v>38</v>
      </c>
      <c r="M11" s="11" t="s">
        <v>38</v>
      </c>
      <c r="N11" s="11" t="s">
        <v>38</v>
      </c>
      <c r="O11" s="11" t="s">
        <v>38</v>
      </c>
      <c r="P11" t="s">
        <v>8</v>
      </c>
      <c r="Q11">
        <v>42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7</v>
      </c>
      <c r="B12">
        <v>2</v>
      </c>
      <c r="C12">
        <v>261</v>
      </c>
      <c r="D12" s="11" t="s">
        <v>145</v>
      </c>
      <c r="E12" s="11" t="s">
        <v>202</v>
      </c>
      <c r="F12" s="11" t="s">
        <v>203</v>
      </c>
      <c r="G12" s="11" t="s">
        <v>205</v>
      </c>
      <c r="H12">
        <v>14</v>
      </c>
      <c r="I12" s="11" t="s">
        <v>186</v>
      </c>
      <c r="J12" s="11" t="s">
        <v>193</v>
      </c>
      <c r="K12" s="11" t="s">
        <v>176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8</v>
      </c>
      <c r="Q12">
        <v>45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7</v>
      </c>
      <c r="B13">
        <v>3</v>
      </c>
      <c r="C13">
        <v>261</v>
      </c>
      <c r="D13" s="11" t="s">
        <v>145</v>
      </c>
      <c r="E13" s="11" t="s">
        <v>202</v>
      </c>
      <c r="F13" s="11" t="s">
        <v>203</v>
      </c>
      <c r="G13" s="11" t="s">
        <v>205</v>
      </c>
      <c r="H13">
        <v>14</v>
      </c>
      <c r="I13" s="11" t="s">
        <v>186</v>
      </c>
      <c r="J13" s="11" t="s">
        <v>193</v>
      </c>
      <c r="K13" s="11" t="s">
        <v>176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8</v>
      </c>
      <c r="Q13">
        <v>17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7</v>
      </c>
      <c r="B14">
        <v>4</v>
      </c>
      <c r="C14">
        <v>261</v>
      </c>
      <c r="D14" s="11" t="s">
        <v>145</v>
      </c>
      <c r="E14" s="11" t="s">
        <v>202</v>
      </c>
      <c r="F14" s="11" t="s">
        <v>203</v>
      </c>
      <c r="G14" s="11" t="s">
        <v>205</v>
      </c>
      <c r="H14">
        <v>14</v>
      </c>
      <c r="I14" s="11" t="s">
        <v>186</v>
      </c>
      <c r="J14" s="11" t="s">
        <v>193</v>
      </c>
      <c r="K14" s="11" t="s">
        <v>176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8</v>
      </c>
      <c r="Q14">
        <v>66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8</v>
      </c>
      <c r="B15">
        <v>1</v>
      </c>
      <c r="C15">
        <v>261</v>
      </c>
      <c r="D15" s="11" t="s">
        <v>145</v>
      </c>
      <c r="E15" s="11" t="s">
        <v>201</v>
      </c>
      <c r="F15" s="11" t="s">
        <v>181</v>
      </c>
      <c r="G15" s="11" t="s">
        <v>206</v>
      </c>
      <c r="H15">
        <v>2</v>
      </c>
      <c r="I15" s="11" t="s">
        <v>197</v>
      </c>
      <c r="J15" s="11" t="s">
        <v>204</v>
      </c>
      <c r="K15" s="11" t="s">
        <v>196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8</v>
      </c>
      <c r="Q15">
        <v>152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8</v>
      </c>
      <c r="B16">
        <v>2</v>
      </c>
      <c r="C16">
        <v>261</v>
      </c>
      <c r="D16" s="11" t="s">
        <v>145</v>
      </c>
      <c r="E16" s="11" t="s">
        <v>202</v>
      </c>
      <c r="F16" s="11" t="s">
        <v>203</v>
      </c>
      <c r="G16" s="11" t="s">
        <v>205</v>
      </c>
      <c r="H16">
        <v>15</v>
      </c>
      <c r="I16" s="11" t="s">
        <v>197</v>
      </c>
      <c r="J16" s="11" t="s">
        <v>195</v>
      </c>
      <c r="K16" s="11" t="s">
        <v>196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8</v>
      </c>
      <c r="Q16">
        <v>4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8D47D537-7837-4010-8D05-4A56EDAA2613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2024-05-07T09:34:45Z</dcterms:modified>
</cp:coreProperties>
</file>