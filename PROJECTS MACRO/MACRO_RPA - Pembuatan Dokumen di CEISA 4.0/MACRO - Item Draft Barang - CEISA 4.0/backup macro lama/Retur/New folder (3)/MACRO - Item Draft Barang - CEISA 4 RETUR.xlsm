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MACRO - Item Draft Barang - CEISA 4.0\backup macro lama\Retur\New folder (3)\"/>
    </mc:Choice>
  </mc:AlternateContent>
  <xr:revisionPtr revIDLastSave="0" documentId="13_ncr:1_{B8BFB172-745F-454E-81F8-C799BC4E5991}" xr6:coauthVersionLast="47" xr6:coauthVersionMax="47" xr10:uidLastSave="{00000000-0000-0000-0000-000000000000}"/>
  <bookViews>
    <workbookView xWindow="-120" yWindow="-120" windowWidth="20640" windowHeight="11160" tabRatio="685" activeTab="7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262" r:id="rId8"/>
    <sheet name="BAHANBAKU" sheetId="263" r:id="rId9"/>
  </sheets>
  <functionGroups builtInGroupCount="19"/>
  <externalReferences>
    <externalReference r:id="rId10"/>
  </externalReferences>
  <definedNames>
    <definedName name="_xlnm._FilterDatabase" localSheetId="8" hidden="1">BAHANBAKU!$A$2:$S$16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262" l="1"/>
  <c r="U4" i="262"/>
  <c r="U5" i="262"/>
  <c r="U6" i="262"/>
  <c r="U7" i="262"/>
  <c r="U8" i="262"/>
  <c r="U9" i="262"/>
  <c r="U10" i="262"/>
  <c r="T4" i="262"/>
  <c r="T5" i="262"/>
  <c r="T6" i="262"/>
  <c r="T7" i="262"/>
  <c r="T8" i="262"/>
  <c r="T9" i="262"/>
  <c r="T10" i="262"/>
  <c r="D16" i="135"/>
  <c r="D15" i="135"/>
  <c r="D14" i="135"/>
  <c r="D13" i="135"/>
  <c r="D11" i="135"/>
  <c r="D10" i="135"/>
  <c r="D9" i="135"/>
  <c r="D8" i="135"/>
  <c r="D7" i="135"/>
  <c r="AD3" i="263"/>
  <c r="AD4" i="263"/>
  <c r="AD5" i="263"/>
  <c r="AD6" i="263"/>
  <c r="AD7" i="263"/>
  <c r="AD8" i="263"/>
  <c r="AD9" i="263"/>
  <c r="AD10" i="263"/>
  <c r="AD11" i="263"/>
  <c r="AD12" i="263"/>
  <c r="AD13" i="263"/>
  <c r="AD14" i="263"/>
  <c r="AD15" i="263"/>
  <c r="AD16" i="263"/>
  <c r="AC3" i="263"/>
  <c r="AC4" i="263"/>
  <c r="AC5" i="263"/>
  <c r="AC6" i="263"/>
  <c r="AC7" i="263"/>
  <c r="AC8" i="263"/>
  <c r="AC9" i="263"/>
  <c r="AC10" i="263"/>
  <c r="AC11" i="263"/>
  <c r="AC12" i="263"/>
  <c r="AC13" i="263"/>
  <c r="AC14" i="263"/>
  <c r="AC15" i="263"/>
  <c r="AC16" i="263"/>
  <c r="AB3" i="263"/>
  <c r="AB4" i="263"/>
  <c r="AB5" i="263"/>
  <c r="AB6" i="263"/>
  <c r="AB7" i="263"/>
  <c r="AB8" i="263"/>
  <c r="AB9" i="263"/>
  <c r="AB10" i="263"/>
  <c r="AB11" i="263"/>
  <c r="AB12" i="263"/>
  <c r="AB13" i="263"/>
  <c r="AB14" i="263"/>
  <c r="AB15" i="263"/>
  <c r="AB16" i="263"/>
  <c r="AA3" i="263"/>
  <c r="AA4" i="263"/>
  <c r="AA5" i="263"/>
  <c r="AA6" i="263"/>
  <c r="AA7" i="263"/>
  <c r="AA8" i="263"/>
  <c r="AA9" i="263"/>
  <c r="AA10" i="263"/>
  <c r="AA11" i="263"/>
  <c r="AA12" i="263"/>
  <c r="AA13" i="263"/>
  <c r="AA14" i="263"/>
  <c r="AA15" i="263"/>
  <c r="AA16" i="263"/>
  <c r="Z3" i="263"/>
  <c r="Z4" i="263"/>
  <c r="Z5" i="263"/>
  <c r="Z6" i="263"/>
  <c r="Z7" i="263"/>
  <c r="Z8" i="263"/>
  <c r="Z9" i="263"/>
  <c r="Z10" i="263"/>
  <c r="Z11" i="263"/>
  <c r="Z12" i="263"/>
  <c r="Z13" i="263"/>
  <c r="Z14" i="263"/>
  <c r="Z15" i="263"/>
  <c r="Z16" i="263"/>
  <c r="Y3" i="263"/>
  <c r="Y4" i="263"/>
  <c r="Y5" i="263"/>
  <c r="Y6" i="263"/>
  <c r="Y7" i="263"/>
  <c r="Y8" i="263"/>
  <c r="Y9" i="263"/>
  <c r="Y10" i="263"/>
  <c r="Y11" i="263"/>
  <c r="Y12" i="263"/>
  <c r="Y13" i="263"/>
  <c r="Y14" i="263"/>
  <c r="Y15" i="263"/>
  <c r="Y16" i="263"/>
  <c r="X3" i="263"/>
  <c r="X4" i="263"/>
  <c r="X5" i="263"/>
  <c r="X6" i="263"/>
  <c r="X7" i="263"/>
  <c r="X8" i="263"/>
  <c r="X9" i="263"/>
  <c r="X10" i="263"/>
  <c r="X11" i="263"/>
  <c r="X12" i="263"/>
  <c r="X13" i="263"/>
  <c r="X14" i="263"/>
  <c r="X15" i="263"/>
  <c r="X16" i="263"/>
  <c r="W3" i="263"/>
  <c r="W4" i="263"/>
  <c r="W5" i="263"/>
  <c r="W6" i="263"/>
  <c r="W7" i="263"/>
  <c r="W8" i="263"/>
  <c r="W9" i="263"/>
  <c r="W10" i="263"/>
  <c r="W11" i="263"/>
  <c r="W12" i="263"/>
  <c r="W13" i="263"/>
  <c r="W14" i="263"/>
  <c r="W15" i="263"/>
  <c r="W16" i="263"/>
  <c r="V3" i="263"/>
  <c r="V4" i="263"/>
  <c r="V5" i="263"/>
  <c r="V6" i="263"/>
  <c r="V7" i="263"/>
  <c r="V8" i="263"/>
  <c r="V9" i="263"/>
  <c r="V10" i="263"/>
  <c r="V11" i="263"/>
  <c r="V12" i="263"/>
  <c r="V13" i="263"/>
  <c r="V14" i="263"/>
  <c r="V15" i="263"/>
  <c r="V16" i="263"/>
  <c r="U3" i="263"/>
  <c r="U4" i="263"/>
  <c r="U5" i="263"/>
  <c r="U6" i="263"/>
  <c r="U7" i="263"/>
  <c r="U8" i="263"/>
  <c r="U9" i="263"/>
  <c r="U10" i="263"/>
  <c r="U11" i="263"/>
  <c r="U12" i="263"/>
  <c r="U13" i="263"/>
  <c r="U14" i="263"/>
  <c r="U15" i="263"/>
  <c r="U16" i="263"/>
  <c r="T3" i="263"/>
  <c r="T4" i="263"/>
  <c r="T5" i="263"/>
  <c r="T6" i="263"/>
  <c r="T7" i="263"/>
  <c r="T8" i="263"/>
  <c r="T9" i="263"/>
  <c r="T10" i="263"/>
  <c r="T11" i="263"/>
  <c r="T12" i="263"/>
  <c r="T13" i="263"/>
  <c r="T14" i="263"/>
  <c r="T15" i="263"/>
  <c r="T16" i="263"/>
  <c r="X3" i="262"/>
  <c r="X4" i="262"/>
  <c r="X5" i="262"/>
  <c r="X6" i="262"/>
  <c r="X7" i="262"/>
  <c r="X8" i="262"/>
  <c r="X9" i="262"/>
  <c r="X10" i="262"/>
  <c r="W3" i="262"/>
  <c r="W4" i="262"/>
  <c r="W5" i="262"/>
  <c r="W6" i="262"/>
  <c r="W7" i="262"/>
  <c r="W8" i="262"/>
  <c r="W9" i="262"/>
  <c r="W10" i="262"/>
  <c r="V3" i="262"/>
  <c r="V4" i="262"/>
  <c r="V5" i="262"/>
  <c r="V6" i="262"/>
  <c r="V7" i="262"/>
  <c r="V8" i="262"/>
  <c r="V9" i="262"/>
  <c r="V10" i="262"/>
  <c r="U3" i="262"/>
  <c r="S3" i="262"/>
  <c r="S4" i="262"/>
  <c r="S5" i="262"/>
  <c r="S6" i="262"/>
  <c r="S7" i="262"/>
  <c r="S8" i="262"/>
  <c r="S9" i="262"/>
  <c r="S10" i="262"/>
  <c r="R3" i="262"/>
  <c r="R4" i="262"/>
  <c r="R5" i="262"/>
  <c r="R6" i="262"/>
  <c r="R7" i="262"/>
  <c r="R8" i="262"/>
  <c r="R9" i="262"/>
  <c r="R10" i="262"/>
  <c r="Q3" i="262"/>
  <c r="Q4" i="262"/>
  <c r="Q5" i="262"/>
  <c r="Q6" i="262"/>
  <c r="Q7" i="262"/>
  <c r="Q8" i="262"/>
  <c r="Q9" i="262"/>
  <c r="Q10" i="262"/>
  <c r="P3" i="262"/>
  <c r="P4" i="262"/>
  <c r="P5" i="262"/>
  <c r="P6" i="262"/>
  <c r="P7" i="262"/>
  <c r="P8" i="262"/>
  <c r="P9" i="262"/>
  <c r="P10" i="262"/>
  <c r="O3" i="262"/>
  <c r="O4" i="262"/>
  <c r="O5" i="262"/>
  <c r="O6" i="262"/>
  <c r="O7" i="262"/>
  <c r="O8" i="262"/>
  <c r="O9" i="262"/>
  <c r="O10" i="262"/>
  <c r="AE13" i="263" l="1"/>
  <c r="AE12" i="263"/>
  <c r="AE4" i="263"/>
  <c r="AE5" i="263"/>
  <c r="AE11" i="263"/>
  <c r="AE3" i="263"/>
  <c r="AE9" i="263"/>
  <c r="AE15" i="263"/>
  <c r="AE7" i="263"/>
  <c r="AE10" i="263"/>
  <c r="AE16" i="263"/>
  <c r="AE8" i="263"/>
  <c r="AE14" i="263"/>
  <c r="AE6" i="263"/>
  <c r="Y3" i="262"/>
  <c r="Y10" i="262"/>
  <c r="Y9" i="262"/>
  <c r="Y8" i="262"/>
  <c r="Y7" i="262"/>
  <c r="Y6" i="262"/>
  <c r="Y5" i="262"/>
  <c r="Y4" i="262"/>
  <c r="C12" i="135" l="1"/>
  <c r="C2" i="135" s="1"/>
  <c r="C6" i="135"/>
  <c r="D12" i="128"/>
  <c r="C1" i="135" l="1"/>
  <c r="C3" i="135" s="1"/>
  <c r="D8" i="128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7AE17003-4147-4DA4-9125-1E00F2381269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7435ACCD-B650-4F2E-BE60-2597618D918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0BC5551F-5AA6-4184-B31B-6A7E281EA5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17A2BD49-3CD9-492C-A1CE-BD7ACE4D9F2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B0F06F7E-1F8E-443B-A5B9-3F4D2FB56761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AB5C3C0A-D34A-496E-AA89-24AF5B594279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4E33EEB4-481B-4D42-A463-98CBD5095ACE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E18335B5-9A18-43FC-BD35-D38C3B94FC29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1E5C325A-3AF1-46BD-A700-E2D4F3ED3CAE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C178D27F-9A63-4252-B2C0-A321759AE12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EF5927A1-AA05-46BD-95AE-A76ABE5AEBC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064BBF8D-C03C-4AA8-B641-6F4C7094535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CDEC3444-DF21-440D-98EE-73D808F4A43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147096CB-02DD-4E2F-9A05-5110E8A76DB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BE1812E1-C494-42FA-8AD2-E064B8611EF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E04C9741-7B41-4110-934C-68A0D44CB57F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683BB3E6-468E-41D5-B953-8B475533E42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9D9D34AE-AFE2-47FD-8B48-AFD4EF55DEE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D9929887-F659-4408-AE55-196262108DB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63AA9A8F-75F4-4DE5-8670-C223B46E18F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812AC35D-AB5F-4426-9405-1E7A00D5A46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FA42D50B-5AB0-4001-8233-E2B5CF399DD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CAEF4B4C-F2BF-4051-9BC6-86ACD277BD32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<sst xmlns="http://schemas.openxmlformats.org/spreadsheetml/2006/main" count="597" uniqueCount="209">
  <si>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</si>
  <si>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</si>
  <si>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</si>
  <si>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</si>
  <si>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</si>
  <si>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</si>
  <si>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</si>
  <si>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</si>
  <si>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</si>
  <si>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</si>
  <si>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</si>
  <si>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</si>
  <si>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</si>
  <si>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</si>
  <si>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</si>
  <si>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</si>
  <si>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</si>
  <si>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</si>
  <si>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</si>
  <si>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</si>
  <si>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</si>
  <si>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</si>
  <si>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</si>
  <si>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</si>
  <si>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</si>
  <si>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</si>
  <si>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</si>
  <si>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</si>
  <si>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</si>
  <si>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</si>
  <si>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</si>
  <si>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</si>
  <si>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</si>
  <si>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</si>
  <si>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</si>
  <si>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</si>
  <si>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</si>
  <si>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</si>
  <si>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</si>
  <si>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</si>
  <si>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</si>
  <si>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</si>
  <si>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</si>
  <si>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</si>
  <si>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</si>
  <si>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</si>
  <si>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</si>
  <si>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</si>
  <si>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</si>
  <si>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</si>
  <si>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</si>
  <si>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</si>
  <si>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</si>
  <si>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</si>
  <si>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</si>
  <si>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</si>
  <si>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</si>
  <si>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</si>
  <si>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</si>
  <si>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</si>
  <si>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</si>
  <si>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</si>
  <si>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</si>
  <si>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</si>
  <si>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</si>
  <si>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</si>
  <si>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</si>
  <si>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</si>
  <si>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</si>
  <si>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</si>
  <si>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</si>
  <si>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</si>
  <si>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</si>
  <si>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</si>
  <si>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</si>
  <si>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</si>
  <si>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</si>
  <si>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</si>
  <si>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</si>
  <si>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</si>
  <si>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</si>
  <si>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</si>
  <si>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</si>
  <si>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</si>
  <si>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</si>
  <si>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</si>
  <si>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</si>
  <si>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</si>
  <si>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</si>
  <si>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</si>
  <si>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</si>
  <si>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</si>
  <si>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</si>
  <si>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</si>
  <si>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</si>
  <si>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</si>
  <si>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</si>
  <si>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</si>
  <si>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</si>
  <si>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</si>
  <si>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</si>
  <si>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</si>
  <si>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</si>
  <si>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</si>
  <si>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</si>
  <si>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</si>
  <si>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</si>
  <si>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</si>
  <si>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</si>
  <si>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</si>
  <si>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</si>
  <si>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</si>
  <si>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</si>
  <si>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</si>
  <si>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</si>
  <si>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</si>
  <si>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</si>
  <si>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</si>
  <si>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</si>
  <si>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</si>
  <si>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</si>
  <si>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</si>
  <si>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</si>
  <si>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</si>
  <si>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</si>
  <si>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</si>
  <si>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</si>
  <si>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</si>
  <si>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</si>
  <si>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</si>
  <si>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</si>
  <si>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</si>
  <si>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</si>
  <si>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</si>
  <si>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</si>
  <si>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</si>
  <si>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</si>
  <si>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</si>
  <si>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</si>
  <si>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</si>
  <si>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</si>
  <si>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</si>
  <si>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</si>
  <si>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</si>
  <si>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</si>
  <si>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</si>
  <si>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</si>
  <si>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</si>
  <si>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</si>
  <si>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</si>
  <si>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</si>
  <si>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</si>
  <si>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</si>
  <si>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</si>
  <si>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</si>
  <si>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</si>
  <si>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</si>
  <si>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</si>
  <si>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</si>
  <si>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</si>
  <si>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</si>
  <si>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</si>
  <si>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</si>
  <si>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</si>
  <si>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</si>
  <si>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</si>
  <si>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</si>
  <si>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</si>
  <si>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</si>
  <si>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</si>
  <si>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VALIDASI 1</t>
  </si>
  <si>
    <t>T/F</t>
  </si>
  <si>
    <t>DATA YG WAJIB DICARI 2</t>
  </si>
  <si>
    <t>58062090</t>
  </si>
  <si>
    <t>SATIN TAPE, 7MM</t>
  </si>
  <si>
    <t>TAGPIN,@5000PC</t>
  </si>
  <si>
    <t>WAREHOUSE STICKER</t>
  </si>
  <si>
    <t>TAPE</t>
  </si>
  <si>
    <t>ASSORT STICKER</t>
  </si>
  <si>
    <t>BLISTER BAG, PE (W/ GUSSET)</t>
  </si>
  <si>
    <t>BUTTON</t>
  </si>
  <si>
    <t>2024-01-04</t>
  </si>
  <si>
    <t>276221</t>
  </si>
  <si>
    <t>39269090</t>
  </si>
  <si>
    <t>79419</t>
  </si>
  <si>
    <t>39232990</t>
  </si>
  <si>
    <t>48211090</t>
  </si>
  <si>
    <t>54011090</t>
  </si>
  <si>
    <t>225343</t>
  </si>
  <si>
    <t>236651</t>
  </si>
  <si>
    <t>96062200</t>
  </si>
  <si>
    <t>276222</t>
  </si>
  <si>
    <t>39269010</t>
  </si>
  <si>
    <t>236645/236647/236648/236649/236646/236650</t>
  </si>
  <si>
    <t>250709/250710/250711</t>
  </si>
  <si>
    <t>238381/238382</t>
  </si>
  <si>
    <t>CARTON BOX</t>
  </si>
  <si>
    <t>48192000</t>
  </si>
  <si>
    <t>C:\Users\sdewi\Downloads\00026231560820240429000465.xlsx</t>
  </si>
  <si>
    <t>236647/236648/236649/236646/236645</t>
  </si>
  <si>
    <t>238380/238382</t>
  </si>
  <si>
    <t>000201</t>
  </si>
  <si>
    <t>025775</t>
  </si>
  <si>
    <t>2023-12-19</t>
  </si>
  <si>
    <t>238380</t>
  </si>
  <si>
    <t>05052600520520231219002727</t>
  </si>
  <si>
    <t>05052600520520240104000017</t>
  </si>
  <si>
    <t>C:\Users\hadi\Downloads\BC 262 23001181-1201-.xlsx</t>
  </si>
  <si>
    <t>JUMLAH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</si>
</sst>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9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8"/>
      <c r="B5" s="88"/>
      <c r="C5" s="88"/>
      <c r="D5" s="88"/>
      <c r="E5" s="88"/>
      <c r="F5" s="88"/>
      <c r="G5" s="88"/>
      <c r="H5" s="38" t="s">
        <v>0</v>
      </c>
      <c r="I5" s="87"/>
      <c r="J5" s="87"/>
      <c r="K5" s="87"/>
      <c r="L5" s="87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6" t="s">
        <v>166</v>
      </c>
      <c r="I8" s="86"/>
      <c r="J8" s="86"/>
      <c r="K8" s="86"/>
      <c r="L8" s="86"/>
      <c r="M8" s="86"/>
    </row>
    <row r="9" spans="1:14" s="41" customFormat="1" ht="76.5" customHeight="1" x14ac:dyDescent="0.25">
      <c r="H9" s="86"/>
      <c r="I9" s="86"/>
      <c r="J9" s="86"/>
      <c r="K9" s="86"/>
      <c r="L9" s="86"/>
      <c r="M9" s="86"/>
    </row>
    <row r="10" spans="1:14" s="41" customFormat="1" x14ac:dyDescent="0.25">
      <c r="H10" s="86"/>
      <c r="I10" s="86"/>
      <c r="J10" s="86"/>
      <c r="K10" s="86"/>
      <c r="L10" s="86"/>
      <c r="M10" s="86"/>
    </row>
    <row r="11" spans="1:14" s="41" customFormat="1" x14ac:dyDescent="0.25">
      <c r="H11" s="86"/>
      <c r="I11" s="86"/>
      <c r="J11" s="86"/>
      <c r="K11" s="86"/>
      <c r="L11" s="86"/>
      <c r="M11" s="86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7"/>
      <c r="I14" s="87"/>
      <c r="J14" s="87"/>
      <c r="K14" s="87"/>
      <c r="L14" s="87"/>
      <c r="M14" s="87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C7" sqref="C7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6" sqref="C6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169</v>
      </c>
      <c r="DAU2">
        <v>13</v>
      </c>
      <c r="DAV2" t="s">
        <v>167</v>
      </c>
      <c r="DAW2" t="s">
        <v>168</v>
      </c>
      <c r="DAX2" t="s">
        <v>165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198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164</v>
      </c>
      <c r="C7" s="2" t="s">
        <v>207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0</v>
      </c>
      <c r="N7" s="2" t="s">
        <v>38</v>
      </c>
    </row>
    <row r="8" spans="1:14 2750:2782" x14ac:dyDescent="0.25">
      <c r="A8" s="2" t="b">
        <v>0</v>
      </c>
      <c r="B8" s="2"/>
      <c r="C8" s="8"/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134</v>
      </c>
    </row>
    <row r="5" spans="1:5" x14ac:dyDescent="0.2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137</v>
      </c>
    </row>
    <row r="7" spans="1:5" x14ac:dyDescent="0.25">
      <c r="A7" t="s">
        <v>42</v>
      </c>
      <c r="B7" t="s">
        <v>37</v>
      </c>
      <c r="D7">
        <v>7</v>
      </c>
      <c r="E7" t="s">
        <v>136</v>
      </c>
    </row>
    <row r="8" spans="1:5" x14ac:dyDescent="0.25">
      <c r="A8" t="s">
        <v>2</v>
      </c>
      <c r="B8" t="s">
        <v>8</v>
      </c>
      <c r="D8">
        <v>8</v>
      </c>
      <c r="E8" t="s">
        <v>138</v>
      </c>
    </row>
    <row r="9" spans="1:5" x14ac:dyDescent="0.25">
      <c r="A9" t="s">
        <v>16</v>
      </c>
      <c r="B9" t="s">
        <v>12</v>
      </c>
      <c r="D9">
        <v>9</v>
      </c>
      <c r="E9" t="s">
        <v>139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9" t="s">
        <v>35</v>
      </c>
      <c r="B4" s="90"/>
      <c r="C4" s="90"/>
      <c r="D4" s="90"/>
      <c r="E4" s="90"/>
      <c r="F4" s="90"/>
      <c r="G4" s="90"/>
      <c r="H4" s="91"/>
      <c r="I4" s="89" t="s">
        <v>91</v>
      </c>
      <c r="J4" s="90"/>
      <c r="K4" s="90"/>
      <c r="L4" s="90"/>
      <c r="M4" s="91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89" t="s">
        <v>35</v>
      </c>
      <c r="B8" s="90"/>
      <c r="C8" s="90"/>
      <c r="D8" s="90"/>
      <c r="E8" s="90"/>
      <c r="F8" s="90"/>
      <c r="G8" s="90"/>
      <c r="H8" s="91"/>
      <c r="I8" s="89" t="s">
        <v>91</v>
      </c>
      <c r="J8" s="90"/>
      <c r="K8" s="90"/>
      <c r="L8" s="90"/>
      <c r="M8" s="91"/>
      <c r="N8" s="89" t="s">
        <v>92</v>
      </c>
      <c r="O8" s="91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89" t="s">
        <v>35</v>
      </c>
      <c r="B12" s="90"/>
      <c r="C12" s="90"/>
      <c r="D12" s="90"/>
      <c r="E12" s="90"/>
      <c r="F12" s="90"/>
      <c r="G12" s="90"/>
      <c r="H12" s="91"/>
      <c r="I12" s="89" t="s">
        <v>91</v>
      </c>
      <c r="J12" s="90"/>
      <c r="K12" s="90"/>
      <c r="L12" s="90"/>
      <c r="M12" s="91"/>
      <c r="N12" s="89" t="s">
        <v>92</v>
      </c>
      <c r="O12" s="90"/>
      <c r="P12" s="91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9" t="s">
        <v>100</v>
      </c>
      <c r="B4" s="90"/>
      <c r="C4" s="90"/>
      <c r="D4" s="90"/>
      <c r="E4" s="90"/>
      <c r="F4" s="90"/>
      <c r="G4" s="90"/>
      <c r="H4" s="91"/>
      <c r="I4" s="90"/>
      <c r="J4" s="90"/>
      <c r="K4" s="90"/>
      <c r="L4" s="90"/>
      <c r="M4" s="90"/>
      <c r="N4" s="90"/>
      <c r="O4" s="91"/>
      <c r="P4" s="89" t="s">
        <v>91</v>
      </c>
      <c r="Q4" s="90"/>
      <c r="R4" s="90"/>
      <c r="S4" s="91"/>
    </row>
    <row r="5" spans="1:19" ht="15.75" x14ac:dyDescent="0.2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D8" sqref="D8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3" t="s">
        <v>73</v>
      </c>
      <c r="B1" s="93"/>
      <c r="C1" s="26">
        <f>COUNTIF(C6:C16,TRUE)</f>
        <v>1</v>
      </c>
      <c r="D1" s="21"/>
      <c r="E1" s="22"/>
      <c r="F1" s="35"/>
    </row>
    <row r="2" spans="1:7" ht="15" customHeight="1" x14ac:dyDescent="0.25">
      <c r="A2" s="93" t="s">
        <v>74</v>
      </c>
      <c r="B2" s="93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4" t="s">
        <v>72</v>
      </c>
      <c r="B3" s="94"/>
      <c r="C3" s="24" t="b">
        <f>IF(C1=2,TRUE,FALSE)</f>
        <v>0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2" t="s">
        <v>124</v>
      </c>
      <c r="B6" s="92"/>
      <c r="C6" s="32" t="b">
        <f>IF(COUNTIF(BARANG!$Y$3:$Y$1048576,"FALSE")=0,TRUE,FALSE)</f>
        <v>0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COUNTA(BARANG!$A$3:$A$1048576)</f>
        <v>8</v>
      </c>
      <c r="E7" s="17"/>
      <c r="F7" s="16"/>
    </row>
    <row r="8" spans="1:7" x14ac:dyDescent="0.25">
      <c r="A8" s="14">
        <v>2</v>
      </c>
      <c r="B8" s="5" t="s">
        <v>127</v>
      </c>
      <c r="D8" s="67">
        <f>SUM(BARANG!$J$3:$J$1048576)</f>
        <v>932.83</v>
      </c>
      <c r="E8" s="17"/>
      <c r="F8" s="16"/>
    </row>
    <row r="9" spans="1:7" x14ac:dyDescent="0.25">
      <c r="A9" s="14">
        <v>3</v>
      </c>
      <c r="B9" s="5" t="s">
        <v>128</v>
      </c>
      <c r="D9" s="67">
        <f>SUM(BARANG!$L$3:$L$1048576)</f>
        <v>0</v>
      </c>
      <c r="E9" s="17"/>
      <c r="F9" s="16"/>
    </row>
    <row r="10" spans="1:7" x14ac:dyDescent="0.25">
      <c r="A10" s="14">
        <v>4</v>
      </c>
      <c r="B10" s="5" t="s">
        <v>130</v>
      </c>
      <c r="D10" s="67">
        <f>SUM(BARANG!$M$3:$M$1048576)</f>
        <v>60447.383999999998</v>
      </c>
      <c r="E10" s="17"/>
      <c r="F10" s="16"/>
    </row>
    <row r="11" spans="1:7" x14ac:dyDescent="0.25">
      <c r="A11" s="14">
        <v>5</v>
      </c>
      <c r="B11" s="5" t="s">
        <v>129</v>
      </c>
      <c r="D11" s="67">
        <f>SUM(BARANG!$N$3:$N$1048576)</f>
        <v>765.14</v>
      </c>
      <c r="E11" s="17"/>
      <c r="F11" s="16"/>
    </row>
    <row r="12" spans="1:7" x14ac:dyDescent="0.25">
      <c r="A12" s="92" t="s">
        <v>125</v>
      </c>
      <c r="B12" s="92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COUNTA(BAHANBAKU!$B$3:$B$1048576)</f>
        <v>14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>
        <f>SUM(BAHANBAKU!$Q$3:$Q$1048576)</f>
        <v>6215.5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DFE96-F6B2-4996-8CE9-43441EAD896F}">
  <sheetPr codeName="Sheet5"/>
  <dimension ref="A1:Y10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13" sqref="H13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35.28515625" style="11" bestFit="1" customWidth="1"/>
    <col min="4" max="4" width="27.14062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8" bestFit="1" customWidth="1"/>
    <col min="14" max="14" width="7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6.140625" bestFit="1" customWidth="1"/>
  </cols>
  <sheetData>
    <row r="1" spans="1:25" x14ac:dyDescent="0.25">
      <c r="A1" s="89" t="s">
        <v>35</v>
      </c>
      <c r="B1" s="90"/>
      <c r="C1" s="90"/>
      <c r="D1" s="90"/>
      <c r="E1" s="90"/>
      <c r="F1" s="90"/>
      <c r="G1" s="90"/>
      <c r="H1" s="91"/>
      <c r="I1" s="89" t="s">
        <v>91</v>
      </c>
      <c r="J1" s="90"/>
      <c r="K1" s="90"/>
      <c r="L1" s="90"/>
      <c r="M1" s="91"/>
      <c r="N1" s="58" t="s">
        <v>92</v>
      </c>
      <c r="O1" s="95" t="s">
        <v>170</v>
      </c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5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  <c r="O2" s="85" t="s">
        <v>62</v>
      </c>
      <c r="P2" s="85" t="s">
        <v>63</v>
      </c>
      <c r="Q2" s="85" t="s">
        <v>58</v>
      </c>
      <c r="R2" s="85" t="s">
        <v>64</v>
      </c>
      <c r="S2" s="85" t="s">
        <v>65</v>
      </c>
      <c r="T2" s="85" t="s">
        <v>66</v>
      </c>
      <c r="U2" s="85" t="s">
        <v>67</v>
      </c>
      <c r="V2" s="85" t="s">
        <v>68</v>
      </c>
      <c r="W2" s="85" t="s">
        <v>69</v>
      </c>
      <c r="X2" s="85" t="s">
        <v>13</v>
      </c>
      <c r="Y2" s="85" t="s">
        <v>171</v>
      </c>
    </row>
    <row r="3" spans="1:25" x14ac:dyDescent="0.25">
      <c r="A3">
        <v>1</v>
      </c>
      <c r="B3" s="11" t="s">
        <v>187</v>
      </c>
      <c r="C3" s="11" t="s">
        <v>188</v>
      </c>
      <c r="D3" t="s">
        <v>177</v>
      </c>
      <c r="E3" t="s">
        <v>38</v>
      </c>
      <c r="F3" t="s">
        <v>38</v>
      </c>
      <c r="G3" t="s">
        <v>38</v>
      </c>
      <c r="H3" t="s">
        <v>38</v>
      </c>
      <c r="I3" t="s">
        <v>31</v>
      </c>
      <c r="J3">
        <v>0.4</v>
      </c>
      <c r="K3" t="s">
        <v>35</v>
      </c>
      <c r="L3" t="s">
        <v>208</v>
      </c>
      <c r="M3">
        <v>25.92</v>
      </c>
      <c r="N3">
        <v>0.33</v>
      </c>
      <c r="O3" t="str">
        <f t="shared" ref="O3:O10" si="0">IF(OR(A3="",A3&lt;1),FALSE,IF(ISNUMBER(A3), IF(INT(A3) = A3, "-", FALSE), FALSE))</f>
        <v>-</v>
      </c>
      <c r="P3" t="str">
        <f t="shared" ref="P3:P10" si="1">IF(B3="",FALSE,"-")</f>
        <v>-</v>
      </c>
      <c r="Q3" t="str">
        <f t="shared" ref="Q3:Q10" si="2">IF(C3="",FALSE,"-")</f>
        <v>-</v>
      </c>
      <c r="R3" t="str">
        <f t="shared" ref="R3:R10" si="3">IF(D3="",FALSE,"-")</f>
        <v>-</v>
      </c>
      <c r="S3" t="str">
        <f>IF(_xlfn.IFNA(VLOOKUP(I3,Set_Ref!$B$6:$B$1048576,1,FALSE),"")&lt;&gt;"","-",FALSE)</f>
        <v>-</v>
      </c>
      <c r="T3" t="str">
        <f>IF(OR(J3="",J3&lt;0),FALSE,IF(ISNUMBER(J3),"-",FALSE))</f>
        <v>-</v>
      </c>
      <c r="U3" t="str">
        <f t="shared" ref="U3:U10" si="4">IF(ISTEXT(K3),  "-",FALSE)</f>
        <v>-</v>
      </c>
      <c r="V3" t="b">
        <f t="shared" ref="V3:V10" si="5">IF(OR(L3="",L3&lt;0),FALSE,IF(ISNUMBER(L3),"-",FALSE))</f>
        <v>0</v>
      </c>
      <c r="W3" t="str">
        <f t="shared" ref="W3:W10" si="6">IF(OR(M3="",M3&lt;0),FALSE,IF(ISNUMBER(M3),"-",FALSE))</f>
        <v>-</v>
      </c>
      <c r="X3" t="str">
        <f t="shared" ref="X3:X10" si="7">IF(OR(N3="",N3&lt;0),FALSE,IF(ISNUMBER(N3),"-",FALSE))</f>
        <v>-</v>
      </c>
      <c r="Y3" t="b">
        <f t="shared" ref="Y3:Y10" si="8">IF(COUNTIF($O$3:$X$3, "FALSE") &gt; 0, FALSE, TRUE)</f>
        <v>0</v>
      </c>
    </row>
    <row r="4" spans="1:25" x14ac:dyDescent="0.25">
      <c r="A4">
        <v>2</v>
      </c>
      <c r="B4" s="11" t="s">
        <v>173</v>
      </c>
      <c r="C4" s="11" t="s">
        <v>182</v>
      </c>
      <c r="D4" t="s">
        <v>174</v>
      </c>
      <c r="E4" t="s">
        <v>38</v>
      </c>
      <c r="F4" t="s">
        <v>38</v>
      </c>
      <c r="G4" t="s">
        <v>38</v>
      </c>
      <c r="H4" t="s">
        <v>38</v>
      </c>
      <c r="I4" t="s">
        <v>7</v>
      </c>
      <c r="J4">
        <v>208</v>
      </c>
      <c r="K4">
        <v>0</v>
      </c>
      <c r="L4">
        <v>0</v>
      </c>
      <c r="M4">
        <v>13478.4</v>
      </c>
      <c r="N4">
        <v>170.61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ref="T3:T10" si="9">IF(OR(J4="",J4&lt;0),FALSE,IF(ISNUMBER(J4),"-",FALSE))</f>
        <v>-</v>
      </c>
      <c r="U4" t="b">
        <f t="shared" si="4"/>
        <v>0</v>
      </c>
      <c r="V4" t="str">
        <f t="shared" si="5"/>
        <v>-</v>
      </c>
      <c r="W4" t="str">
        <f t="shared" si="6"/>
        <v>-</v>
      </c>
      <c r="X4" t="str">
        <f t="shared" si="7"/>
        <v>-</v>
      </c>
      <c r="Y4" t="b">
        <f t="shared" si="8"/>
        <v>0</v>
      </c>
    </row>
    <row r="5" spans="1:25" x14ac:dyDescent="0.25">
      <c r="A5">
        <v>3</v>
      </c>
      <c r="B5" s="11" t="s">
        <v>190</v>
      </c>
      <c r="C5" s="11" t="s">
        <v>191</v>
      </c>
      <c r="D5" t="s">
        <v>180</v>
      </c>
      <c r="E5" t="s">
        <v>38</v>
      </c>
      <c r="F5" t="s">
        <v>38</v>
      </c>
      <c r="G5" t="s">
        <v>38</v>
      </c>
      <c r="H5" t="s">
        <v>38</v>
      </c>
      <c r="I5" t="s">
        <v>6</v>
      </c>
      <c r="J5">
        <v>0.43</v>
      </c>
      <c r="K5">
        <v>0</v>
      </c>
      <c r="L5">
        <v>0</v>
      </c>
      <c r="M5">
        <v>27.864000000000001</v>
      </c>
      <c r="N5">
        <v>0.35</v>
      </c>
      <c r="O5" t="str">
        <f t="shared" si="0"/>
        <v>-</v>
      </c>
      <c r="P5" t="str">
        <f t="shared" si="1"/>
        <v>-</v>
      </c>
      <c r="Q5" t="str">
        <f t="shared" si="2"/>
        <v>-</v>
      </c>
      <c r="R5" t="str">
        <f t="shared" si="3"/>
        <v>-</v>
      </c>
      <c r="S5" t="str">
        <f>IF(_xlfn.IFNA(VLOOKUP(I5,Set_Ref!$B$6:$B$1048576,1,FALSE),"")&lt;&gt;"","-",FALSE)</f>
        <v>-</v>
      </c>
      <c r="T5" t="str">
        <f t="shared" si="9"/>
        <v>-</v>
      </c>
      <c r="U5" t="b">
        <f t="shared" si="4"/>
        <v>0</v>
      </c>
      <c r="V5" t="str">
        <f t="shared" si="5"/>
        <v>-</v>
      </c>
      <c r="W5" t="str">
        <f t="shared" si="6"/>
        <v>-</v>
      </c>
      <c r="X5" t="str">
        <f t="shared" si="7"/>
        <v>-</v>
      </c>
      <c r="Y5" t="b">
        <f t="shared" si="8"/>
        <v>0</v>
      </c>
    </row>
    <row r="6" spans="1:25" x14ac:dyDescent="0.25">
      <c r="A6">
        <v>4</v>
      </c>
      <c r="B6" s="11" t="s">
        <v>183</v>
      </c>
      <c r="C6" s="11" t="s">
        <v>184</v>
      </c>
      <c r="D6" t="s">
        <v>175</v>
      </c>
      <c r="E6" t="s">
        <v>38</v>
      </c>
      <c r="F6" t="s">
        <v>38</v>
      </c>
      <c r="G6" t="s">
        <v>38</v>
      </c>
      <c r="H6" t="s">
        <v>38</v>
      </c>
      <c r="I6" t="s">
        <v>31</v>
      </c>
      <c r="J6">
        <v>1</v>
      </c>
      <c r="K6">
        <v>0</v>
      </c>
      <c r="L6">
        <v>0</v>
      </c>
      <c r="M6">
        <v>64.8</v>
      </c>
      <c r="N6">
        <v>0.82</v>
      </c>
      <c r="O6" t="str">
        <f t="shared" si="0"/>
        <v>-</v>
      </c>
      <c r="P6" t="str">
        <f t="shared" si="1"/>
        <v>-</v>
      </c>
      <c r="Q6" t="str">
        <f t="shared" si="2"/>
        <v>-</v>
      </c>
      <c r="R6" t="str">
        <f t="shared" si="3"/>
        <v>-</v>
      </c>
      <c r="S6" t="str">
        <f>IF(_xlfn.IFNA(VLOOKUP(I6,Set_Ref!$B$6:$B$1048576,1,FALSE),"")&lt;&gt;"","-",FALSE)</f>
        <v>-</v>
      </c>
      <c r="T6" t="str">
        <f t="shared" si="9"/>
        <v>-</v>
      </c>
      <c r="U6" t="b">
        <f t="shared" si="4"/>
        <v>0</v>
      </c>
      <c r="V6" t="str">
        <f t="shared" si="5"/>
        <v>-</v>
      </c>
      <c r="W6" t="str">
        <f t="shared" si="6"/>
        <v>-</v>
      </c>
      <c r="X6" t="str">
        <f t="shared" si="7"/>
        <v>-</v>
      </c>
      <c r="Y6" t="b">
        <f t="shared" si="8"/>
        <v>0</v>
      </c>
    </row>
    <row r="7" spans="1:25" x14ac:dyDescent="0.25">
      <c r="A7">
        <v>5</v>
      </c>
      <c r="B7" s="11" t="s">
        <v>186</v>
      </c>
      <c r="C7" s="11" t="s">
        <v>189</v>
      </c>
      <c r="D7" t="s">
        <v>178</v>
      </c>
      <c r="E7" t="s">
        <v>38</v>
      </c>
      <c r="F7" t="s">
        <v>38</v>
      </c>
      <c r="G7" t="s">
        <v>38</v>
      </c>
      <c r="H7" t="s">
        <v>38</v>
      </c>
      <c r="I7" t="s">
        <v>8</v>
      </c>
      <c r="J7">
        <v>693</v>
      </c>
      <c r="K7">
        <v>0</v>
      </c>
      <c r="L7">
        <v>0</v>
      </c>
      <c r="M7">
        <v>44906.400000000001</v>
      </c>
      <c r="N7">
        <v>568.42999999999995</v>
      </c>
      <c r="O7" t="str">
        <f t="shared" si="0"/>
        <v>-</v>
      </c>
      <c r="P7" t="str">
        <f t="shared" si="1"/>
        <v>-</v>
      </c>
      <c r="Q7" t="str">
        <f t="shared" si="2"/>
        <v>-</v>
      </c>
      <c r="R7" t="str">
        <f t="shared" si="3"/>
        <v>-</v>
      </c>
      <c r="S7" t="str">
        <f>IF(_xlfn.IFNA(VLOOKUP(I7,Set_Ref!$B$6:$B$1048576,1,FALSE),"")&lt;&gt;"","-",FALSE)</f>
        <v>-</v>
      </c>
      <c r="T7" t="str">
        <f t="shared" si="9"/>
        <v>-</v>
      </c>
      <c r="U7" t="b">
        <f t="shared" si="4"/>
        <v>0</v>
      </c>
      <c r="V7" t="str">
        <f t="shared" si="5"/>
        <v>-</v>
      </c>
      <c r="W7" t="str">
        <f t="shared" si="6"/>
        <v>-</v>
      </c>
      <c r="X7" t="str">
        <f t="shared" si="7"/>
        <v>-</v>
      </c>
      <c r="Y7" t="b">
        <f t="shared" si="8"/>
        <v>0</v>
      </c>
    </row>
    <row r="8" spans="1:25" x14ac:dyDescent="0.25">
      <c r="A8">
        <v>6</v>
      </c>
      <c r="B8" s="11" t="s">
        <v>185</v>
      </c>
      <c r="C8" s="11" t="s">
        <v>194</v>
      </c>
      <c r="D8" t="s">
        <v>179</v>
      </c>
      <c r="E8" t="s">
        <v>38</v>
      </c>
      <c r="F8" t="s">
        <v>38</v>
      </c>
      <c r="G8" t="s">
        <v>38</v>
      </c>
      <c r="H8" t="s">
        <v>38</v>
      </c>
      <c r="I8" t="s">
        <v>8</v>
      </c>
      <c r="J8">
        <v>3</v>
      </c>
      <c r="K8">
        <v>0</v>
      </c>
      <c r="L8">
        <v>0</v>
      </c>
      <c r="M8">
        <v>194.4</v>
      </c>
      <c r="N8">
        <v>2.46</v>
      </c>
      <c r="O8" t="str">
        <f t="shared" si="0"/>
        <v>-</v>
      </c>
      <c r="P8" t="str">
        <f t="shared" si="1"/>
        <v>-</v>
      </c>
      <c r="Q8" t="str">
        <f t="shared" si="2"/>
        <v>-</v>
      </c>
      <c r="R8" t="str">
        <f t="shared" si="3"/>
        <v>-</v>
      </c>
      <c r="S8" t="str">
        <f>IF(_xlfn.IFNA(VLOOKUP(I8,Set_Ref!$B$6:$B$1048576,1,FALSE),"")&lt;&gt;"","-",FALSE)</f>
        <v>-</v>
      </c>
      <c r="T8" t="str">
        <f t="shared" si="9"/>
        <v>-</v>
      </c>
      <c r="U8" t="b">
        <f t="shared" si="4"/>
        <v>0</v>
      </c>
      <c r="V8" t="str">
        <f t="shared" si="5"/>
        <v>-</v>
      </c>
      <c r="W8" t="str">
        <f t="shared" si="6"/>
        <v>-</v>
      </c>
      <c r="X8" t="str">
        <f t="shared" si="7"/>
        <v>-</v>
      </c>
      <c r="Y8" t="b">
        <f t="shared" si="8"/>
        <v>0</v>
      </c>
    </row>
    <row r="9" spans="1:25" x14ac:dyDescent="0.25">
      <c r="A9">
        <v>7</v>
      </c>
      <c r="B9" s="11" t="s">
        <v>186</v>
      </c>
      <c r="C9" s="11" t="s">
        <v>199</v>
      </c>
      <c r="D9" t="s">
        <v>176</v>
      </c>
      <c r="E9" t="s">
        <v>38</v>
      </c>
      <c r="F9" t="s">
        <v>38</v>
      </c>
      <c r="G9" t="s">
        <v>38</v>
      </c>
      <c r="H9" t="s">
        <v>38</v>
      </c>
      <c r="I9" t="s">
        <v>8</v>
      </c>
      <c r="J9">
        <v>7</v>
      </c>
      <c r="K9">
        <v>0</v>
      </c>
      <c r="L9">
        <v>0</v>
      </c>
      <c r="M9">
        <v>453.6</v>
      </c>
      <c r="N9">
        <v>5.74</v>
      </c>
      <c r="O9" t="str">
        <f t="shared" si="0"/>
        <v>-</v>
      </c>
      <c r="P9" t="str">
        <f t="shared" si="1"/>
        <v>-</v>
      </c>
      <c r="Q9" t="str">
        <f t="shared" si="2"/>
        <v>-</v>
      </c>
      <c r="R9" t="str">
        <f t="shared" si="3"/>
        <v>-</v>
      </c>
      <c r="S9" t="str">
        <f>IF(_xlfn.IFNA(VLOOKUP(I9,Set_Ref!$B$6:$B$1048576,1,FALSE),"")&lt;&gt;"","-",FALSE)</f>
        <v>-</v>
      </c>
      <c r="T9" t="str">
        <f t="shared" si="9"/>
        <v>-</v>
      </c>
      <c r="U9" t="b">
        <f t="shared" si="4"/>
        <v>0</v>
      </c>
      <c r="V9" t="str">
        <f t="shared" si="5"/>
        <v>-</v>
      </c>
      <c r="W9" t="str">
        <f t="shared" si="6"/>
        <v>-</v>
      </c>
      <c r="X9" t="str">
        <f t="shared" si="7"/>
        <v>-</v>
      </c>
      <c r="Y9" t="b">
        <f t="shared" si="8"/>
        <v>0</v>
      </c>
    </row>
    <row r="10" spans="1:25" x14ac:dyDescent="0.25">
      <c r="A10">
        <v>8</v>
      </c>
      <c r="B10" s="11" t="s">
        <v>197</v>
      </c>
      <c r="C10" s="11" t="s">
        <v>200</v>
      </c>
      <c r="D10" t="s">
        <v>196</v>
      </c>
      <c r="E10" t="s">
        <v>38</v>
      </c>
      <c r="F10" t="s">
        <v>38</v>
      </c>
      <c r="G10" t="s">
        <v>38</v>
      </c>
      <c r="H10" t="s">
        <v>38</v>
      </c>
      <c r="I10" t="s">
        <v>8</v>
      </c>
      <c r="J10">
        <v>20</v>
      </c>
      <c r="K10">
        <v>0</v>
      </c>
      <c r="L10">
        <v>0</v>
      </c>
      <c r="M10">
        <v>1296</v>
      </c>
      <c r="N10">
        <v>16.399999999999999</v>
      </c>
      <c r="O10" t="str">
        <f t="shared" si="0"/>
        <v>-</v>
      </c>
      <c r="P10" t="str">
        <f t="shared" si="1"/>
        <v>-</v>
      </c>
      <c r="Q10" t="str">
        <f t="shared" si="2"/>
        <v>-</v>
      </c>
      <c r="R10" t="str">
        <f t="shared" si="3"/>
        <v>-</v>
      </c>
      <c r="S10" t="str">
        <f>IF(_xlfn.IFNA(VLOOKUP(I10,Set_Ref!$B$6:$B$1048576,1,FALSE),"")&lt;&gt;"","-",FALSE)</f>
        <v>-</v>
      </c>
      <c r="T10" t="str">
        <f t="shared" si="9"/>
        <v>-</v>
      </c>
      <c r="U10" t="b">
        <f t="shared" si="4"/>
        <v>0</v>
      </c>
      <c r="V10" t="str">
        <f t="shared" si="5"/>
        <v>-</v>
      </c>
      <c r="W10" t="str">
        <f t="shared" si="6"/>
        <v>-</v>
      </c>
      <c r="X10" t="str">
        <f t="shared" si="7"/>
        <v>-</v>
      </c>
      <c r="Y10" t="b">
        <f t="shared" si="8"/>
        <v>0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A176F-4246-455A-8549-290C9D80D767}">
  <sheetPr codeName="Sheet9"/>
  <dimension ref="A1:AE16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P3" sqref="P3:S16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9" t="s">
        <v>100</v>
      </c>
      <c r="B1" s="90"/>
      <c r="C1" s="90"/>
      <c r="D1" s="90"/>
      <c r="E1" s="90"/>
      <c r="F1" s="90"/>
      <c r="G1" s="90"/>
      <c r="H1" s="91"/>
      <c r="I1" s="97"/>
      <c r="J1" s="97"/>
      <c r="K1" s="97"/>
      <c r="L1" s="97"/>
      <c r="M1" s="97"/>
      <c r="N1" s="97"/>
      <c r="O1" s="98"/>
      <c r="P1" s="89" t="s">
        <v>91</v>
      </c>
      <c r="Q1" s="90"/>
      <c r="R1" s="90"/>
      <c r="S1" s="91"/>
      <c r="T1" s="95" t="s">
        <v>170</v>
      </c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</row>
    <row r="2" spans="1:31" ht="15.75" x14ac:dyDescent="0.2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85" t="s">
        <v>62</v>
      </c>
      <c r="U2" s="85" t="s">
        <v>90</v>
      </c>
      <c r="V2" s="85" t="s">
        <v>47</v>
      </c>
      <c r="W2" s="85" t="s">
        <v>99</v>
      </c>
      <c r="X2" s="85" t="s">
        <v>85</v>
      </c>
      <c r="Y2" s="85" t="s">
        <v>86</v>
      </c>
      <c r="Z2" s="85" t="s">
        <v>63</v>
      </c>
      <c r="AA2" s="85" t="s">
        <v>58</v>
      </c>
      <c r="AB2" s="85" t="s">
        <v>65</v>
      </c>
      <c r="AC2" s="85" t="s">
        <v>66</v>
      </c>
      <c r="AD2" s="85" t="s">
        <v>172</v>
      </c>
      <c r="AE2" s="85" t="s">
        <v>171</v>
      </c>
    </row>
    <row r="3" spans="1:31" x14ac:dyDescent="0.25">
      <c r="A3">
        <v>1</v>
      </c>
      <c r="B3">
        <v>1</v>
      </c>
      <c r="C3">
        <v>261</v>
      </c>
      <c r="D3" s="11" t="s">
        <v>145</v>
      </c>
      <c r="E3" s="11" t="s">
        <v>202</v>
      </c>
      <c r="F3" s="11" t="s">
        <v>203</v>
      </c>
      <c r="G3" s="11" t="s">
        <v>205</v>
      </c>
      <c r="H3">
        <v>1</v>
      </c>
      <c r="I3" s="11" t="s">
        <v>187</v>
      </c>
      <c r="J3" s="11" t="s">
        <v>188</v>
      </c>
      <c r="K3" s="11" t="s">
        <v>177</v>
      </c>
      <c r="L3" s="11" t="s">
        <v>38</v>
      </c>
      <c r="M3" s="11" t="s">
        <v>38</v>
      </c>
      <c r="N3" s="11" t="s">
        <v>38</v>
      </c>
      <c r="O3" s="11" t="s">
        <v>38</v>
      </c>
      <c r="P3" t="s">
        <v>31</v>
      </c>
      <c r="Q3">
        <v>10</v>
      </c>
      <c r="R3">
        <v>0</v>
      </c>
      <c r="S3">
        <v>0</v>
      </c>
      <c r="T3" t="str">
        <f t="shared" ref="T3:T16" si="0">IF(OR(A3="",A3&lt;1),FALSE,IF(ISNUMBER(A3), IF(INT(A3) = A3, "-", FALSE), FALSE))</f>
        <v>-</v>
      </c>
      <c r="U3" t="str">
        <f t="shared" ref="U3:U16" si="1">IF(OR(B3="",A3&lt;1),FALSE,IF(ISNUMBER(A3), IF(INT(A3) = A3, "-", FALSE), FALSE))</f>
        <v>-</v>
      </c>
      <c r="V3" t="str">
        <f t="shared" ref="V3:V16" si="2">IF(OR(C3="",C3="PilihSalasatu"),FALSE,"-")</f>
        <v>-</v>
      </c>
      <c r="W3" t="str">
        <f t="shared" ref="W3:W16" si="3">IF(D3="",FALSE,"-")</f>
        <v>-</v>
      </c>
      <c r="X3" t="str">
        <f t="shared" ref="X3:X16" si="4">IF(E3="",FALSE,"-")</f>
        <v>-</v>
      </c>
      <c r="Y3" t="str">
        <f t="shared" ref="Y3:Y16" si="5">IF(F3="",FALSE,"-")</f>
        <v>-</v>
      </c>
      <c r="Z3" t="str">
        <f t="shared" ref="Z3:Z16" si="6">IF(I3="",FALSE,"-")</f>
        <v>-</v>
      </c>
      <c r="AA3" t="str">
        <f t="shared" ref="AA3:AA16" si="7">IF(J3="",FALSE,"-")</f>
        <v>-</v>
      </c>
      <c r="AB3" t="str">
        <f>IF(_xlfn.IFNA(VLOOKUP(P3,Set_Ref!$B$6:$B$1048576,1,FALSE),"")&lt;&gt;"","-",FALSE)</f>
        <v>-</v>
      </c>
      <c r="AC3" t="str">
        <f t="shared" ref="AC3:AC16" si="8">IF(OR(Q3="",Q3&lt;1),FALSE,IF(ISNUMBER(Q3),"-",FALSE))</f>
        <v>-</v>
      </c>
      <c r="AD3" t="str">
        <f t="shared" ref="AD3:AD16" si="9">IF(OR(G3="",H3="",I3="",K3=""),FALSE,"-")</f>
        <v>-</v>
      </c>
      <c r="AE3" t="b">
        <f t="shared" ref="AE3:AE16" si="10">IF(COUNTIF(T3:AD3, "FALSE") &gt; 0, FALSE, TRUE)</f>
        <v>1</v>
      </c>
    </row>
    <row r="4" spans="1:31" x14ac:dyDescent="0.25">
      <c r="A4">
        <v>2</v>
      </c>
      <c r="B4">
        <v>1</v>
      </c>
      <c r="C4">
        <v>261</v>
      </c>
      <c r="D4" s="11" t="s">
        <v>145</v>
      </c>
      <c r="E4" s="11" t="s">
        <v>202</v>
      </c>
      <c r="F4" s="11" t="s">
        <v>203</v>
      </c>
      <c r="G4" s="11" t="s">
        <v>205</v>
      </c>
      <c r="H4">
        <v>4</v>
      </c>
      <c r="I4" s="11" t="s">
        <v>173</v>
      </c>
      <c r="J4" s="11" t="s">
        <v>182</v>
      </c>
      <c r="K4" s="11" t="s">
        <v>174</v>
      </c>
      <c r="L4" s="11" t="s">
        <v>38</v>
      </c>
      <c r="M4" s="11" t="s">
        <v>38</v>
      </c>
      <c r="N4" s="11" t="s">
        <v>38</v>
      </c>
      <c r="O4" s="11" t="s">
        <v>38</v>
      </c>
      <c r="P4" t="s">
        <v>7</v>
      </c>
      <c r="Q4">
        <v>2423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3</v>
      </c>
      <c r="B5">
        <v>1</v>
      </c>
      <c r="C5">
        <v>261</v>
      </c>
      <c r="D5" s="11" t="s">
        <v>145</v>
      </c>
      <c r="E5" s="11" t="s">
        <v>202</v>
      </c>
      <c r="F5" s="11" t="s">
        <v>203</v>
      </c>
      <c r="G5" s="11" t="s">
        <v>205</v>
      </c>
      <c r="H5">
        <v>5</v>
      </c>
      <c r="I5" s="11" t="s">
        <v>190</v>
      </c>
      <c r="J5" s="11" t="s">
        <v>191</v>
      </c>
      <c r="K5" s="11" t="s">
        <v>180</v>
      </c>
      <c r="L5" s="11" t="s">
        <v>38</v>
      </c>
      <c r="M5" s="11" t="s">
        <v>38</v>
      </c>
      <c r="N5" s="11" t="s">
        <v>38</v>
      </c>
      <c r="O5" s="11" t="s">
        <v>38</v>
      </c>
      <c r="P5" t="s">
        <v>6</v>
      </c>
      <c r="Q5">
        <v>205.5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4</v>
      </c>
      <c r="B6">
        <v>1</v>
      </c>
      <c r="C6">
        <v>261</v>
      </c>
      <c r="D6" s="11" t="s">
        <v>145</v>
      </c>
      <c r="E6" s="11" t="s">
        <v>202</v>
      </c>
      <c r="F6" s="11" t="s">
        <v>203</v>
      </c>
      <c r="G6" s="11" t="s">
        <v>205</v>
      </c>
      <c r="H6">
        <v>16</v>
      </c>
      <c r="I6" s="11" t="s">
        <v>192</v>
      </c>
      <c r="J6" s="11" t="s">
        <v>184</v>
      </c>
      <c r="K6" s="11" t="s">
        <v>175</v>
      </c>
      <c r="L6" s="11" t="s">
        <v>38</v>
      </c>
      <c r="M6" s="11" t="s">
        <v>38</v>
      </c>
      <c r="N6" s="11" t="s">
        <v>38</v>
      </c>
      <c r="O6" s="11" t="s">
        <v>38</v>
      </c>
      <c r="P6" t="s">
        <v>31</v>
      </c>
      <c r="Q6">
        <v>4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5</v>
      </c>
      <c r="B7">
        <v>1</v>
      </c>
      <c r="C7">
        <v>261</v>
      </c>
      <c r="D7" s="55" t="s">
        <v>145</v>
      </c>
      <c r="E7" s="11" t="s">
        <v>201</v>
      </c>
      <c r="F7" s="11" t="s">
        <v>181</v>
      </c>
      <c r="G7" s="11" t="s">
        <v>206</v>
      </c>
      <c r="H7">
        <v>3</v>
      </c>
      <c r="I7" s="11" t="s">
        <v>186</v>
      </c>
      <c r="J7" s="11" t="s">
        <v>189</v>
      </c>
      <c r="K7" s="11" t="s">
        <v>178</v>
      </c>
      <c r="L7" s="11" t="s">
        <v>38</v>
      </c>
      <c r="M7" s="11" t="s">
        <v>38</v>
      </c>
      <c r="N7" s="11" t="s">
        <v>38</v>
      </c>
      <c r="O7" s="11" t="s">
        <v>38</v>
      </c>
      <c r="P7" t="s">
        <v>8</v>
      </c>
      <c r="Q7">
        <v>1719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5</v>
      </c>
      <c r="B8">
        <v>2</v>
      </c>
      <c r="C8">
        <v>261</v>
      </c>
      <c r="D8" s="11" t="s">
        <v>145</v>
      </c>
      <c r="E8" s="11" t="s">
        <v>202</v>
      </c>
      <c r="F8" s="11" t="s">
        <v>203</v>
      </c>
      <c r="G8" s="11" t="s">
        <v>205</v>
      </c>
      <c r="H8">
        <v>17</v>
      </c>
      <c r="I8" s="11" t="s">
        <v>186</v>
      </c>
      <c r="J8" s="11" t="s">
        <v>189</v>
      </c>
      <c r="K8" s="11" t="s">
        <v>178</v>
      </c>
      <c r="L8" s="11" t="s">
        <v>38</v>
      </c>
      <c r="M8" s="11" t="s">
        <v>38</v>
      </c>
      <c r="N8" s="11" t="s">
        <v>38</v>
      </c>
      <c r="O8" s="11" t="s">
        <v>38</v>
      </c>
      <c r="P8" t="s">
        <v>8</v>
      </c>
      <c r="Q8">
        <v>1444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6</v>
      </c>
      <c r="B9">
        <v>1</v>
      </c>
      <c r="C9">
        <v>261</v>
      </c>
      <c r="D9" s="11" t="s">
        <v>145</v>
      </c>
      <c r="E9" s="11" t="s">
        <v>202</v>
      </c>
      <c r="F9" s="11" t="s">
        <v>203</v>
      </c>
      <c r="G9" s="11" t="s">
        <v>205</v>
      </c>
      <c r="H9">
        <v>13</v>
      </c>
      <c r="I9" s="11" t="s">
        <v>185</v>
      </c>
      <c r="J9" s="11" t="s">
        <v>194</v>
      </c>
      <c r="K9" s="11" t="s">
        <v>179</v>
      </c>
      <c r="L9" s="11" t="s">
        <v>38</v>
      </c>
      <c r="M9" s="11" t="s">
        <v>38</v>
      </c>
      <c r="N9" s="11" t="s">
        <v>38</v>
      </c>
      <c r="O9" s="11" t="s">
        <v>38</v>
      </c>
      <c r="P9" t="s">
        <v>8</v>
      </c>
      <c r="Q9">
        <v>77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6</v>
      </c>
      <c r="B10">
        <v>2</v>
      </c>
      <c r="C10">
        <v>261</v>
      </c>
      <c r="D10" s="11" t="s">
        <v>145</v>
      </c>
      <c r="E10" s="11" t="s">
        <v>202</v>
      </c>
      <c r="F10" s="11" t="s">
        <v>203</v>
      </c>
      <c r="G10" s="11" t="s">
        <v>205</v>
      </c>
      <c r="H10">
        <v>13</v>
      </c>
      <c r="I10" s="11" t="s">
        <v>185</v>
      </c>
      <c r="J10" s="11" t="s">
        <v>194</v>
      </c>
      <c r="K10" s="11" t="s">
        <v>179</v>
      </c>
      <c r="L10" s="11" t="s">
        <v>38</v>
      </c>
      <c r="M10" s="11" t="s">
        <v>38</v>
      </c>
      <c r="N10" s="11" t="s">
        <v>38</v>
      </c>
      <c r="O10" s="11" t="s">
        <v>38</v>
      </c>
      <c r="P10" t="s">
        <v>8</v>
      </c>
      <c r="Q10">
        <v>7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7</v>
      </c>
      <c r="B11">
        <v>1</v>
      </c>
      <c r="C11">
        <v>261</v>
      </c>
      <c r="D11" s="11" t="s">
        <v>145</v>
      </c>
      <c r="E11" s="11" t="s">
        <v>202</v>
      </c>
      <c r="F11" s="11" t="s">
        <v>203</v>
      </c>
      <c r="G11" s="11" t="s">
        <v>205</v>
      </c>
      <c r="H11">
        <v>14</v>
      </c>
      <c r="I11" s="11" t="s">
        <v>186</v>
      </c>
      <c r="J11" s="11" t="s">
        <v>193</v>
      </c>
      <c r="K11" s="11" t="s">
        <v>176</v>
      </c>
      <c r="L11" s="11" t="s">
        <v>38</v>
      </c>
      <c r="M11" s="11" t="s">
        <v>38</v>
      </c>
      <c r="N11" s="11" t="s">
        <v>38</v>
      </c>
      <c r="O11" s="11" t="s">
        <v>38</v>
      </c>
      <c r="P11" t="s">
        <v>8</v>
      </c>
      <c r="Q11">
        <v>42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7</v>
      </c>
      <c r="B12">
        <v>2</v>
      </c>
      <c r="C12">
        <v>261</v>
      </c>
      <c r="D12" s="11" t="s">
        <v>145</v>
      </c>
      <c r="E12" s="11" t="s">
        <v>202</v>
      </c>
      <c r="F12" s="11" t="s">
        <v>203</v>
      </c>
      <c r="G12" s="11" t="s">
        <v>205</v>
      </c>
      <c r="H12">
        <v>14</v>
      </c>
      <c r="I12" s="11" t="s">
        <v>186</v>
      </c>
      <c r="J12" s="11" t="s">
        <v>193</v>
      </c>
      <c r="K12" s="11" t="s">
        <v>176</v>
      </c>
      <c r="L12" s="11" t="s">
        <v>38</v>
      </c>
      <c r="M12" s="11" t="s">
        <v>38</v>
      </c>
      <c r="N12" s="11" t="s">
        <v>38</v>
      </c>
      <c r="O12" s="11" t="s">
        <v>38</v>
      </c>
      <c r="P12" t="s">
        <v>8</v>
      </c>
      <c r="Q12">
        <v>45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7</v>
      </c>
      <c r="B13">
        <v>3</v>
      </c>
      <c r="C13">
        <v>261</v>
      </c>
      <c r="D13" s="11" t="s">
        <v>145</v>
      </c>
      <c r="E13" s="11" t="s">
        <v>202</v>
      </c>
      <c r="F13" s="11" t="s">
        <v>203</v>
      </c>
      <c r="G13" s="11" t="s">
        <v>205</v>
      </c>
      <c r="H13">
        <v>14</v>
      </c>
      <c r="I13" s="11" t="s">
        <v>186</v>
      </c>
      <c r="J13" s="11" t="s">
        <v>193</v>
      </c>
      <c r="K13" s="11" t="s">
        <v>176</v>
      </c>
      <c r="L13" s="11" t="s">
        <v>38</v>
      </c>
      <c r="M13" s="11" t="s">
        <v>38</v>
      </c>
      <c r="N13" s="11" t="s">
        <v>38</v>
      </c>
      <c r="O13" s="11" t="s">
        <v>38</v>
      </c>
      <c r="P13" t="s">
        <v>8</v>
      </c>
      <c r="Q13">
        <v>17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7</v>
      </c>
      <c r="B14">
        <v>4</v>
      </c>
      <c r="C14">
        <v>261</v>
      </c>
      <c r="D14" s="11" t="s">
        <v>145</v>
      </c>
      <c r="E14" s="11" t="s">
        <v>202</v>
      </c>
      <c r="F14" s="11" t="s">
        <v>203</v>
      </c>
      <c r="G14" s="11" t="s">
        <v>205</v>
      </c>
      <c r="H14">
        <v>14</v>
      </c>
      <c r="I14" s="11" t="s">
        <v>186</v>
      </c>
      <c r="J14" s="11" t="s">
        <v>193</v>
      </c>
      <c r="K14" s="11" t="s">
        <v>176</v>
      </c>
      <c r="L14" s="11" t="s">
        <v>38</v>
      </c>
      <c r="M14" s="11" t="s">
        <v>38</v>
      </c>
      <c r="N14" s="11" t="s">
        <v>38</v>
      </c>
      <c r="O14" s="11" t="s">
        <v>38</v>
      </c>
      <c r="P14" t="s">
        <v>8</v>
      </c>
      <c r="Q14">
        <v>66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8</v>
      </c>
      <c r="B15">
        <v>1</v>
      </c>
      <c r="C15">
        <v>261</v>
      </c>
      <c r="D15" s="11" t="s">
        <v>145</v>
      </c>
      <c r="E15" s="11" t="s">
        <v>201</v>
      </c>
      <c r="F15" s="11" t="s">
        <v>181</v>
      </c>
      <c r="G15" s="11" t="s">
        <v>206</v>
      </c>
      <c r="H15">
        <v>2</v>
      </c>
      <c r="I15" s="11" t="s">
        <v>197</v>
      </c>
      <c r="J15" s="11" t="s">
        <v>204</v>
      </c>
      <c r="K15" s="11" t="s">
        <v>196</v>
      </c>
      <c r="L15" s="11" t="s">
        <v>38</v>
      </c>
      <c r="M15" s="11" t="s">
        <v>38</v>
      </c>
      <c r="N15" s="11" t="s">
        <v>38</v>
      </c>
      <c r="O15" s="11" t="s">
        <v>38</v>
      </c>
      <c r="P15" t="s">
        <v>8</v>
      </c>
      <c r="Q15">
        <v>152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8</v>
      </c>
      <c r="B16">
        <v>2</v>
      </c>
      <c r="C16">
        <v>261</v>
      </c>
      <c r="D16" s="11" t="s">
        <v>145</v>
      </c>
      <c r="E16" s="11" t="s">
        <v>202</v>
      </c>
      <c r="F16" s="11" t="s">
        <v>203</v>
      </c>
      <c r="G16" s="11" t="s">
        <v>205</v>
      </c>
      <c r="H16">
        <v>15</v>
      </c>
      <c r="I16" s="11" t="s">
        <v>197</v>
      </c>
      <c r="J16" s="11" t="s">
        <v>195</v>
      </c>
      <c r="K16" s="11" t="s">
        <v>196</v>
      </c>
      <c r="L16" s="11" t="s">
        <v>38</v>
      </c>
      <c r="M16" s="11" t="s">
        <v>38</v>
      </c>
      <c r="N16" s="11" t="s">
        <v>38</v>
      </c>
      <c r="O16" s="11" t="s">
        <v>38</v>
      </c>
      <c r="P16" t="s">
        <v>8</v>
      </c>
      <c r="Q16">
        <v>4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756360B4-8A9C-43FC-BD7C-8E2098D0EC8C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2024-05-07T09:59:59Z</dcterms:modified>
</cp:coreProperties>
</file>