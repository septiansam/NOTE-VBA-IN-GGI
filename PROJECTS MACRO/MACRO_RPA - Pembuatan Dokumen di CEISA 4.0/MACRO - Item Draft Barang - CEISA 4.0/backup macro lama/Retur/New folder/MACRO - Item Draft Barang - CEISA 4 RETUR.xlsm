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ACRO_RPA - Pembuatan Dokumen di CEISA 4.0\MACRO - Item Draft Barang - CEISA 4.0\"/>
    </mc:Choice>
  </mc:AlternateContent>
  <xr:revisionPtr revIDLastSave="0" documentId="13_ncr:1_{B3E82357-D357-4CEB-A6E1-434FE7DECBD9}" xr6:coauthVersionLast="47" xr6:coauthVersionMax="47" xr10:uidLastSave="{00000000-0000-0000-0000-000000000000}"/>
  <bookViews>
    <workbookView xWindow="-120" yWindow="-120" windowWidth="20640" windowHeight="11160" tabRatio="685" xr2:uid="{7E7A7F93-5039-4D12-8102-F8D7E7D5379D}"/>
  </bookViews>
  <sheets>
    <sheet name="(M)" sheetId="12" r:id="rId1"/>
    <sheet name="Set_Def" sheetId="128" state="hidden" r:id="rId2"/>
    <sheet name="Set_Cach" sheetId="129" state="hidden" r:id="rId3"/>
    <sheet name="Set_Ref" sheetId="130" state="hidden" r:id="rId4"/>
    <sheet name="Field_Barang" sheetId="145" state="hidden" r:id="rId5"/>
    <sheet name="Field_BahanBaku" sheetId="143" state="hidden" r:id="rId6"/>
    <sheet name="Summary" sheetId="135" state="hidden" r:id="rId7"/>
    <sheet name="BARANG" sheetId="231" r:id="rId8"/>
    <sheet name="BAHANBAKU" sheetId="232" r:id="rId9"/>
  </sheets>
  <functionGroups builtInGroupCount="19"/>
  <externalReferences>
    <externalReference r:id="rId10"/>
  </externalReferences>
  <definedNames>
    <definedName name="_xlnm._FilterDatabase" localSheetId="8" hidden="1">BAHANBAKU!$A$2:$S$33</definedName>
    <definedName name="_xlnm._FilterDatabase" localSheetId="4" hidden="1">Field_Barang!#REF!</definedName>
    <definedName name="Excel_BuiltIn__FilterDatabase" localSheetId="4">#REF!</definedName>
    <definedName name="Excel_BuiltIn__FilterDatabase">#REF!</definedName>
    <definedName name="Excel_BuiltIn__FilterDatabase_1" localSheetId="4">#REF!</definedName>
    <definedName name="Excel_BuiltIn__FilterDatabase_1">#REF!</definedName>
    <definedName name="Excel_BuiltIn_Print_Area_1" localSheetId="4">#REF!</definedName>
    <definedName name="Excel_BuiltIn_Print_Area_1">#REF!</definedName>
    <definedName name="Excel_BuiltIn_Print_Area_2" localSheetId="4">#REF!</definedName>
    <definedName name="Excel_BuiltIn_Print_Area_2">#REF!</definedName>
    <definedName name="Excel_BuiltIn_Print_Area_3" localSheetId="4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D12" i="128" l="1"/>
  <c r="C12" i="135" l="1"/>
  <c r="C2" i="135" s="1"/>
  <c r="C6" i="135"/>
  <c r="D8" i="128"/>
  <c r="C8" i="128"/>
  <c r="D6" i="128"/>
  <c r="C1" i="135" l="1"/>
  <c r="C3" i="135" s="1"/>
  <c r="C9" i="128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2D1BE554-82F6-4357-A46A-8774AC2192ED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A0F790BD-766E-4E07-A21E-32CDBDB8D02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4689F87D-E442-48ED-8451-45E74704B01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9F8B9D33-1EF4-4754-B81F-205D4D75223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446D5665-0D61-4322-B729-2E3F7299253A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4C457038-0CD3-4084-A66A-2810A9F993FB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B33703B2-C490-4F48-A53F-9ED26B0C5BCA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2" authorId="0" shapeId="0" xr:uid="{FC906CE5-ABF4-49A3-A61A-12C2F26ADFF9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2" authorId="0" shapeId="0" xr:uid="{FF4AFA3A-3571-46E4-A863-5D58C361CA0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63ECEED1-EFC6-4EC8-BF13-AB2F80649B8B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99FB4058-4D37-4C7A-90E3-6B95FD5FE5F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71D791F4-C50C-4BA0-B642-7CB9A51A8B3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22E9AFE2-9990-442F-BACF-D143C40F492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AAC82C84-5908-474D-B85A-F14187AFF9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94E640BE-B5D8-4658-B0E4-07CFA6E3155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3C90C53E-DB1A-4DA5-BA1C-04464C5A1A65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A0E09293-12D0-410B-A22D-6DB88001F42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C12C45A5-99AA-4D37-9586-1AD24FB9A6A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704A22A6-AE58-4E03-8F9D-4F6C41446B1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52935E05-D6FC-4950-9E6B-B8CEC5E9022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D8B9E85A-2A23-4A32-A49F-6DE8DFF30B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39409582-ADF1-4E57-8FC1-63D60DE1C74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CAD48EFA-408B-476F-9A68-CFF43776562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<sst xmlns="http://schemas.openxmlformats.org/spreadsheetml/2006/main" count="546" uniqueCount="194">
  <si>
    <t>░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</si>
  <si>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</si>
  <si>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</si>
  <si>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</si>
  <si>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</si>
  <si>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</si>
  <si>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</si>
  <si>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</si>
  <si>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</si>
  <si>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</si>
  <si>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</si>
  <si>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</si>
  <si>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</si>
  <si>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</si>
  <si>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</si>
  <si>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</si>
  <si>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</si>
  <si>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</si>
  <si>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</si>
  <si>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</si>
  <si>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</si>
  <si>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</si>
  <si>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</si>
  <si>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</si>
  <si>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</si>
  <si>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</si>
  <si>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</si>
  <si>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</si>
  <si>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</si>
  <si>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</si>
  <si>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</si>
  <si>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</si>
  <si>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</si>
  <si>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</si>
  <si>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</si>
  <si>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</si>
  <si>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</si>
  <si>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</si>
  <si>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</si>
  <si>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</si>
  <si>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</si>
  <si>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</si>
  <si>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</si>
  <si>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</si>
  <si>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</si>
  <si>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</si>
  <si>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</si>
  <si>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</si>
  <si>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</si>
  <si>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</si>
  <si>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</si>
  <si>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</si>
  <si>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</si>
  <si>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</si>
  <si>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</si>
  <si>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</si>
  <si>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</si>
  <si>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</si>
  <si>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</si>
  <si>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</si>
  <si>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</si>
  <si>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</si>
  <si>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</si>
  <si>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</si>
  <si>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</si>
  <si>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</si>
  <si>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</si>
  <si>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</si>
  <si>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</si>
  <si>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</si>
  <si>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</si>
  <si>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</si>
  <si>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</si>
  <si>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</si>
  <si>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</si>
  <si>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</si>
  <si>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</si>
  <si>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</si>
  <si>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</si>
  <si>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</si>
  <si>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</si>
  <si>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</si>
  <si>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</si>
  <si>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</si>
  <si>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</si>
  <si>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</si>
  <si>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</si>
  <si>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</si>
  <si>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</si>
  <si>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</si>
  <si>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</si>
  <si>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</si>
  <si>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</si>
  <si>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</si>
  <si>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</si>
  <si>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</si>
  <si>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</si>
  <si>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</si>
  <si>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</si>
  <si>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</si>
  <si>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</si>
  <si>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55159990</t>
  </si>
  <si>
    <t>100% COTTON INTERLOCK,180-190G</t>
  </si>
  <si>
    <t>291361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</si>
  <si>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</si>
  <si>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</si>
  <si>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</si>
  <si>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</si>
  <si>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</si>
  <si>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</si>
  <si>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</si>
  <si>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</si>
  <si>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</si>
  <si>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</si>
  <si>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</si>
  <si>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</si>
  <si>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</si>
  <si>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</si>
  <si>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</si>
  <si>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</si>
  <si>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</si>
  <si>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</si>
  <si>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</si>
  <si>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</si>
  <si>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</si>
  <si>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</si>
  <si>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</si>
  <si>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</si>
  <si>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</si>
  <si>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</si>
  <si>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</si>
  <si>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</si>
  <si>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</si>
  <si>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</si>
  <si>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</si>
  <si>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</si>
  <si>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</si>
  <si>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</si>
  <si>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</si>
  <si>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</si>
  <si>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</si>
  <si>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</si>
  <si>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</si>
  <si>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</si>
  <si>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</si>
  <si>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</si>
  <si>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</si>
  <si>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</si>
  <si>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</si>
  <si>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</si>
  <si>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</si>
  <si>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</si>
  <si>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</si>
  <si>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</si>
  <si>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</si>
  <si>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</si>
  <si>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</si>
  <si>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</si>
  <si>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</si>
  <si>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</si>
  <si>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</si>
  <si>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</si>
  <si>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</si>
  <si>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</si>
  <si>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</si>
  <si>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LABEL,NYLON PRINTED LABEL CUT</t>
  </si>
  <si>
    <t>THREAD,SAMJIN@5000MT</t>
  </si>
  <si>
    <t xml:space="preserve">                                                                             </t>
  </si>
  <si>
    <t>55081090</t>
  </si>
  <si>
    <t>292747</t>
  </si>
  <si>
    <t>05052600520520240124000194</t>
  </si>
  <si>
    <t>C:\Users\sdewi\Downloads\00026231560820240401000348.xlsx</t>
  </si>
  <si>
    <t>PIPING TAPE,65% POLY 35% CTN</t>
  </si>
  <si>
    <t>STAY TAPE,100% COTTON STRAIGHT</t>
  </si>
  <si>
    <t>THREAD,RAYON 100%,120D-1X2</t>
  </si>
  <si>
    <t>287914/288008/288369</t>
  </si>
  <si>
    <t>290988/290989/290990/290991/290992/290993/290994/290995/290996/290997/291702</t>
  </si>
  <si>
    <t>LABEL, POLYESTER WOVEN LABEL</t>
  </si>
  <si>
    <t>NAME LABEL,60MM x 45MM, LB-NL</t>
  </si>
  <si>
    <t>LABEL, LB-CSLS</t>
  </si>
  <si>
    <t>MAIN LABEL, POLY WOVEN LANEL</t>
  </si>
  <si>
    <t>NYLON FSTENER TAPE,A22381/1QNN</t>
  </si>
  <si>
    <t>NYLON FSTENER TAPE,N28481/2QN</t>
  </si>
  <si>
    <t>POLYACETAL MADE-SG-600</t>
  </si>
  <si>
    <t>POLYACETAL MADE-SG600B</t>
  </si>
  <si>
    <t>POLYACETAL MADE-SG600C</t>
  </si>
  <si>
    <t>REF-10X50 REFLECTIVE TAPE-CUT</t>
  </si>
  <si>
    <t>REFRECTIVE PIPING-TAPE</t>
  </si>
  <si>
    <t>LABEL, 30MM x 50MM, LB-TCSLS</t>
  </si>
  <si>
    <t>2024-03-14</t>
  </si>
  <si>
    <t>2024-03-15</t>
  </si>
  <si>
    <t>2024-03-22</t>
  </si>
  <si>
    <t>W:\MACRO_RPA - Pembuatan Dokumen di CEISA 4.0\MACRO - Item Draft Barang - CEISA 4.0\backup macro lama\Retur\New folder\BC 262 24001021-1201-.xlsx</t>
  </si>
  <si>
    <t>261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</si>
</sst>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/>
  </cellStyleXfs>
  <cellXfs count="9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rmal 4" xfId="49" xr:uid="{D880F1D9-8C22-45C4-B7FE-9C709942BBF3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87"/>
      <c r="B5" s="87"/>
      <c r="C5" s="87"/>
      <c r="D5" s="87"/>
      <c r="E5" s="87"/>
      <c r="F5" s="87"/>
      <c r="G5" s="87"/>
      <c r="H5" s="38" t="s">
        <v>0</v>
      </c>
      <c r="I5" s="86"/>
      <c r="J5" s="86"/>
      <c r="K5" s="86"/>
      <c r="L5" s="86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5" t="s">
        <v>167</v>
      </c>
      <c r="I8" s="85"/>
      <c r="J8" s="85"/>
      <c r="K8" s="85"/>
      <c r="L8" s="85"/>
      <c r="M8" s="85"/>
    </row>
    <row r="9" spans="1:14" s="41" customFormat="1" ht="76.5" customHeight="1" x14ac:dyDescent="0.25">
      <c r="H9" s="85"/>
      <c r="I9" s="85"/>
      <c r="J9" s="85"/>
      <c r="K9" s="85"/>
      <c r="L9" s="85"/>
      <c r="M9" s="85"/>
    </row>
    <row r="10" spans="1:14" s="41" customFormat="1" x14ac:dyDescent="0.25">
      <c r="H10" s="85"/>
      <c r="I10" s="85"/>
      <c r="J10" s="85"/>
      <c r="K10" s="85"/>
      <c r="L10" s="85"/>
      <c r="M10" s="85"/>
    </row>
    <row r="11" spans="1:14" s="41" customFormat="1" x14ac:dyDescent="0.25">
      <c r="H11" s="85"/>
      <c r="I11" s="85"/>
      <c r="J11" s="85"/>
      <c r="K11" s="85"/>
      <c r="L11" s="85"/>
      <c r="M11" s="85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6"/>
      <c r="I14" s="86"/>
      <c r="J14" s="86"/>
      <c r="K14" s="86"/>
      <c r="L14" s="86"/>
      <c r="M14" s="86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>
      <selection activeCell="C7" sqref="C7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121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143</v>
      </c>
      <c r="B4" s="73"/>
      <c r="C4" s="72"/>
      <c r="D4" s="73"/>
      <c r="E4" s="10"/>
      <c r="F4" s="74" t="s">
        <v>48</v>
      </c>
      <c r="G4" s="74"/>
      <c r="H4" s="74"/>
      <c r="I4" s="10"/>
      <c r="J4" s="74" t="s">
        <v>141</v>
      </c>
      <c r="K4" s="76"/>
      <c r="L4" s="76"/>
      <c r="M4" s="76"/>
      <c r="N4" s="10"/>
      <c r="O4" s="74" t="s">
        <v>125</v>
      </c>
      <c r="P4" s="74"/>
      <c r="Q4" s="74"/>
      <c r="R4" s="74"/>
      <c r="S4" s="74"/>
      <c r="T4" s="10"/>
      <c r="U4" s="78" t="s">
        <v>163</v>
      </c>
      <c r="V4" s="78"/>
      <c r="W4" s="3"/>
      <c r="X4" s="3"/>
    </row>
    <row r="5" spans="1:24" x14ac:dyDescent="0.25">
      <c r="A5" s="64" t="s">
        <v>93</v>
      </c>
      <c r="B5" s="53" t="s">
        <v>39</v>
      </c>
      <c r="C5" s="54" t="s">
        <v>40</v>
      </c>
      <c r="D5" s="54" t="s">
        <v>41</v>
      </c>
      <c r="E5" s="10"/>
      <c r="F5" s="64" t="s">
        <v>93</v>
      </c>
      <c r="G5" s="63" t="s">
        <v>55</v>
      </c>
      <c r="H5" s="62" t="s">
        <v>50</v>
      </c>
      <c r="I5" s="10"/>
      <c r="J5" s="71" t="s">
        <v>142</v>
      </c>
      <c r="K5" s="71" t="s">
        <v>137</v>
      </c>
      <c r="L5" s="71" t="s">
        <v>136</v>
      </c>
      <c r="M5" s="71" t="s">
        <v>140</v>
      </c>
      <c r="N5" s="10"/>
      <c r="O5" s="71" t="s">
        <v>38</v>
      </c>
      <c r="P5" s="63" t="s">
        <v>36</v>
      </c>
      <c r="Q5" s="62" t="s">
        <v>51</v>
      </c>
      <c r="R5" s="62" t="s">
        <v>54</v>
      </c>
      <c r="S5" s="62" t="s">
        <v>47</v>
      </c>
      <c r="T5" s="10"/>
      <c r="U5" s="79" t="s">
        <v>79</v>
      </c>
      <c r="V5" s="79" t="s">
        <v>1</v>
      </c>
      <c r="W5" s="79" t="s">
        <v>46</v>
      </c>
      <c r="X5" s="79" t="s">
        <v>80</v>
      </c>
    </row>
    <row r="6" spans="1:24" x14ac:dyDescent="0.25">
      <c r="A6" t="b">
        <v>1</v>
      </c>
      <c r="B6" t="s">
        <v>3</v>
      </c>
      <c r="C6" s="55" t="s">
        <v>145</v>
      </c>
      <c r="D6" s="69" t="str">
        <f>IF(C6="050500","1201",IF(C6="050700","1204",FALSE))</f>
        <v>1201</v>
      </c>
      <c r="F6" t="b">
        <v>1</v>
      </c>
      <c r="G6" s="9" t="s">
        <v>49</v>
      </c>
      <c r="H6" t="s">
        <v>107</v>
      </c>
      <c r="I6" t="s">
        <v>38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52</v>
      </c>
      <c r="R6">
        <v>2</v>
      </c>
      <c r="S6">
        <v>1</v>
      </c>
      <c r="U6" s="2" t="b">
        <v>1</v>
      </c>
      <c r="V6" s="2" t="s">
        <v>151</v>
      </c>
      <c r="W6" s="2" t="b">
        <v>1</v>
      </c>
      <c r="X6" s="2" t="s">
        <v>38</v>
      </c>
    </row>
    <row r="7" spans="1:24" x14ac:dyDescent="0.25">
      <c r="A7" t="b">
        <v>1</v>
      </c>
      <c r="B7" t="s">
        <v>4</v>
      </c>
      <c r="C7" s="5">
        <v>262</v>
      </c>
      <c r="D7" t="s">
        <v>38</v>
      </c>
      <c r="F7" t="b">
        <v>1</v>
      </c>
      <c r="G7" s="9" t="s">
        <v>96</v>
      </c>
      <c r="H7" t="s">
        <v>108</v>
      </c>
      <c r="I7" t="s">
        <v>38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53</v>
      </c>
      <c r="R7">
        <v>1</v>
      </c>
      <c r="S7">
        <v>0</v>
      </c>
      <c r="U7" s="2" t="b">
        <v>1</v>
      </c>
      <c r="V7" s="2" t="s">
        <v>152</v>
      </c>
      <c r="W7" s="2" t="b">
        <v>1</v>
      </c>
      <c r="X7" s="2" t="s">
        <v>38</v>
      </c>
    </row>
    <row r="8" spans="1:24" x14ac:dyDescent="0.25">
      <c r="A8" t="b">
        <v>1</v>
      </c>
      <c r="B8" t="s">
        <v>5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97</v>
      </c>
      <c r="H8" t="s">
        <v>109</v>
      </c>
      <c r="I8" t="s">
        <v>38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53</v>
      </c>
      <c r="R8">
        <v>1</v>
      </c>
      <c r="S8">
        <v>0</v>
      </c>
      <c r="U8" s="2" t="b">
        <v>1</v>
      </c>
      <c r="V8" s="2" t="s">
        <v>153</v>
      </c>
      <c r="W8" s="2" t="b">
        <v>1</v>
      </c>
      <c r="X8" s="8" t="s">
        <v>38</v>
      </c>
    </row>
    <row r="9" spans="1:24" x14ac:dyDescent="0.25">
      <c r="A9" t="b">
        <v>0</v>
      </c>
      <c r="B9" t="s">
        <v>146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38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154</v>
      </c>
      <c r="W9" s="2" t="b">
        <v>1</v>
      </c>
      <c r="X9" s="2" t="s">
        <v>38</v>
      </c>
    </row>
    <row r="10" spans="1:24" x14ac:dyDescent="0.25">
      <c r="A10" t="b">
        <v>1</v>
      </c>
      <c r="B10" t="s">
        <v>132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155</v>
      </c>
      <c r="W10" s="2" t="b">
        <v>1</v>
      </c>
      <c r="X10" s="2" t="s">
        <v>38</v>
      </c>
    </row>
    <row r="11" spans="1:24" x14ac:dyDescent="0.25">
      <c r="A11" t="b">
        <v>1</v>
      </c>
      <c r="B11" t="s">
        <v>148</v>
      </c>
      <c r="C11" s="5" t="s">
        <v>133</v>
      </c>
      <c r="D11" t="s">
        <v>147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156</v>
      </c>
      <c r="W11" s="2" t="b">
        <v>1</v>
      </c>
      <c r="X11" s="2" t="s">
        <v>38</v>
      </c>
    </row>
    <row r="12" spans="1:24" x14ac:dyDescent="0.25">
      <c r="A12" t="b">
        <v>1</v>
      </c>
      <c r="B12" t="s">
        <v>149</v>
      </c>
      <c r="C12" s="5" t="s">
        <v>150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157</v>
      </c>
      <c r="W12" s="2" t="b">
        <v>1</v>
      </c>
      <c r="X12" s="2" t="s">
        <v>38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162</v>
      </c>
      <c r="W13" s="2" t="b">
        <v>1</v>
      </c>
      <c r="X13" s="2" t="s">
        <v>38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158</v>
      </c>
      <c r="W14" s="2" t="b">
        <v>1</v>
      </c>
      <c r="X14" s="2" t="s">
        <v>38</v>
      </c>
    </row>
    <row r="15" spans="1:24" x14ac:dyDescent="0.25">
      <c r="U15" s="2" t="b">
        <v>1</v>
      </c>
      <c r="V15" s="2" t="s">
        <v>159</v>
      </c>
      <c r="W15" s="2" t="b">
        <v>1</v>
      </c>
      <c r="X15" s="2" t="s">
        <v>38</v>
      </c>
    </row>
    <row r="16" spans="1:24" x14ac:dyDescent="0.25">
      <c r="U16" s="2" t="b">
        <v>1</v>
      </c>
      <c r="V16" s="2" t="s">
        <v>160</v>
      </c>
      <c r="W16" s="2" t="b">
        <v>1</v>
      </c>
      <c r="X16" s="2" t="s">
        <v>38</v>
      </c>
    </row>
    <row r="17" spans="21:24" x14ac:dyDescent="0.25">
      <c r="U17" s="2" t="b">
        <v>1</v>
      </c>
      <c r="V17" s="2" t="s">
        <v>161</v>
      </c>
      <c r="W17" s="2" t="b">
        <v>1</v>
      </c>
      <c r="X17" s="2" t="s">
        <v>38</v>
      </c>
    </row>
    <row r="18" spans="21:24" x14ac:dyDescent="0.25">
      <c r="U18" s="2" t="b">
        <v>0</v>
      </c>
      <c r="V18" s="2"/>
      <c r="W18" s="2"/>
      <c r="X18" s="2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C7" sqref="C7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170</v>
      </c>
      <c r="DAU2">
        <v>13</v>
      </c>
      <c r="DAV2" t="s">
        <v>168</v>
      </c>
      <c r="DAW2" t="s">
        <v>169</v>
      </c>
      <c r="DAX2" t="s">
        <v>166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101</v>
      </c>
      <c r="J3" t="s">
        <v>103</v>
      </c>
      <c r="K3" t="s">
        <v>102</v>
      </c>
    </row>
    <row r="4" spans="1:14 2750:2782" x14ac:dyDescent="0.25">
      <c r="A4" s="44" t="s">
        <v>77</v>
      </c>
      <c r="B4" s="44"/>
      <c r="C4" s="45"/>
      <c r="D4" s="45"/>
      <c r="F4" s="44" t="s">
        <v>78</v>
      </c>
      <c r="G4" s="45"/>
      <c r="H4" s="45"/>
      <c r="I4" s="45"/>
      <c r="K4" s="44" t="s">
        <v>94</v>
      </c>
      <c r="L4" s="44"/>
      <c r="M4" s="45"/>
      <c r="N4" s="45"/>
    </row>
    <row r="5" spans="1:14 2750:2782" x14ac:dyDescent="0.25">
      <c r="A5" s="1" t="s">
        <v>79</v>
      </c>
      <c r="B5" s="1" t="s">
        <v>1</v>
      </c>
      <c r="C5" s="1" t="s">
        <v>46</v>
      </c>
      <c r="D5" s="1" t="s">
        <v>80</v>
      </c>
      <c r="F5" s="1" t="s">
        <v>79</v>
      </c>
      <c r="G5" s="1" t="s">
        <v>1</v>
      </c>
      <c r="H5" s="1" t="s">
        <v>46</v>
      </c>
      <c r="I5" s="1" t="s">
        <v>80</v>
      </c>
      <c r="K5" s="1" t="s">
        <v>79</v>
      </c>
      <c r="L5" s="1" t="s">
        <v>1</v>
      </c>
      <c r="M5" s="1" t="s">
        <v>46</v>
      </c>
      <c r="N5" s="1" t="s">
        <v>80</v>
      </c>
    </row>
    <row r="6" spans="1:14 2750:2782" x14ac:dyDescent="0.25">
      <c r="A6" s="2" t="b">
        <v>1</v>
      </c>
      <c r="B6" s="2" t="s">
        <v>104</v>
      </c>
      <c r="C6" s="2" t="s">
        <v>171</v>
      </c>
      <c r="D6" s="2" t="s">
        <v>38</v>
      </c>
      <c r="F6" s="2" t="b">
        <v>0</v>
      </c>
      <c r="G6" s="2" t="s">
        <v>105</v>
      </c>
      <c r="H6" s="2">
        <v>1</v>
      </c>
      <c r="I6" s="2" t="s">
        <v>38</v>
      </c>
      <c r="K6" s="2" t="b">
        <v>1</v>
      </c>
      <c r="L6" s="2" t="s">
        <v>95</v>
      </c>
      <c r="M6" s="2" t="b">
        <v>1</v>
      </c>
      <c r="N6" s="2" t="s">
        <v>38</v>
      </c>
    </row>
    <row r="7" spans="1:14 2750:2782" x14ac:dyDescent="0.25">
      <c r="A7" s="2" t="b">
        <v>1</v>
      </c>
      <c r="B7" s="2" t="s">
        <v>164</v>
      </c>
      <c r="C7" s="2" t="s">
        <v>192</v>
      </c>
      <c r="D7" s="2" t="s">
        <v>38</v>
      </c>
      <c r="F7" s="2" t="b">
        <v>0</v>
      </c>
      <c r="G7" s="2" t="s">
        <v>106</v>
      </c>
      <c r="H7" s="2">
        <v>1</v>
      </c>
      <c r="I7" s="2" t="s">
        <v>38</v>
      </c>
      <c r="K7" s="2" t="b">
        <v>1</v>
      </c>
      <c r="L7" s="2" t="s">
        <v>122</v>
      </c>
      <c r="M7" s="2" t="b">
        <v>1</v>
      </c>
      <c r="N7" s="2" t="s">
        <v>38</v>
      </c>
    </row>
    <row r="8" spans="1:14 2750:2782" x14ac:dyDescent="0.25">
      <c r="A8" s="2" t="b">
        <v>0</v>
      </c>
      <c r="B8" s="2"/>
      <c r="C8" s="8"/>
      <c r="D8" s="8" t="s">
        <v>38</v>
      </c>
      <c r="F8" s="2" t="b">
        <v>0</v>
      </c>
      <c r="G8" s="2" t="s">
        <v>98</v>
      </c>
      <c r="H8" s="2">
        <v>1</v>
      </c>
      <c r="I8" s="8" t="s">
        <v>38</v>
      </c>
      <c r="K8" s="2" t="b">
        <v>0</v>
      </c>
      <c r="L8" s="2"/>
      <c r="M8" s="8"/>
      <c r="N8" s="8" t="s">
        <v>38</v>
      </c>
    </row>
    <row r="9" spans="1:14 2750:2782" x14ac:dyDescent="0.25">
      <c r="A9" s="2" t="b">
        <v>0</v>
      </c>
      <c r="B9" s="2"/>
      <c r="C9" s="2"/>
      <c r="D9" s="2" t="s">
        <v>38</v>
      </c>
      <c r="F9" s="2" t="b">
        <v>0</v>
      </c>
      <c r="G9" s="2" t="s">
        <v>76</v>
      </c>
      <c r="H9" s="2"/>
      <c r="I9" s="2" t="s">
        <v>38</v>
      </c>
      <c r="K9" s="2" t="b">
        <v>0</v>
      </c>
      <c r="L9" s="2"/>
      <c r="M9" s="2"/>
      <c r="N9" s="2" t="s">
        <v>38</v>
      </c>
    </row>
    <row r="10" spans="1:14 2750:2782" x14ac:dyDescent="0.25">
      <c r="A10" s="2" t="b">
        <v>0</v>
      </c>
      <c r="B10" s="2"/>
      <c r="C10" s="2"/>
      <c r="D10" s="2" t="s">
        <v>38</v>
      </c>
      <c r="F10" s="2" t="b">
        <v>0</v>
      </c>
      <c r="G10" s="2"/>
      <c r="H10" s="2"/>
      <c r="I10" s="2" t="s">
        <v>38</v>
      </c>
      <c r="K10" s="2" t="b">
        <v>0</v>
      </c>
      <c r="L10" s="2"/>
      <c r="M10" s="2"/>
      <c r="N10" s="2" t="s">
        <v>38</v>
      </c>
    </row>
    <row r="11" spans="1:14 2750:2782" x14ac:dyDescent="0.25">
      <c r="A11" s="2" t="s">
        <v>38</v>
      </c>
      <c r="B11" s="2"/>
      <c r="C11" s="2"/>
      <c r="D11" s="2" t="s">
        <v>38</v>
      </c>
      <c r="F11" s="2" t="b">
        <v>0</v>
      </c>
      <c r="G11" s="2"/>
      <c r="H11" s="2"/>
      <c r="I11" s="2" t="s">
        <v>38</v>
      </c>
      <c r="K11" s="2" t="b">
        <v>0</v>
      </c>
      <c r="L11" s="2"/>
      <c r="M11" s="2"/>
      <c r="N11" s="2" t="s">
        <v>38</v>
      </c>
    </row>
    <row r="12" spans="1:14 2750:2782" x14ac:dyDescent="0.25">
      <c r="A12" s="2" t="s">
        <v>38</v>
      </c>
      <c r="B12" s="2"/>
      <c r="C12" s="2"/>
      <c r="D12" s="2" t="s">
        <v>38</v>
      </c>
      <c r="K12" s="2" t="b">
        <v>0</v>
      </c>
      <c r="L12" s="2"/>
      <c r="M12" s="2"/>
      <c r="N12" s="2" t="s">
        <v>38</v>
      </c>
    </row>
    <row r="13" spans="1:14 2750:2782" x14ac:dyDescent="0.25">
      <c r="A13" s="2" t="s">
        <v>38</v>
      </c>
      <c r="B13" s="12"/>
      <c r="C13" s="2"/>
      <c r="D13" s="2" t="s">
        <v>38</v>
      </c>
      <c r="K13" s="2" t="b">
        <v>0</v>
      </c>
      <c r="L13" s="2"/>
      <c r="M13" s="2"/>
      <c r="N13" s="2" t="s">
        <v>38</v>
      </c>
    </row>
    <row r="14" spans="1:14 2750:2782" x14ac:dyDescent="0.25">
      <c r="A14" s="2" t="s">
        <v>38</v>
      </c>
      <c r="B14" s="2"/>
      <c r="C14" s="2"/>
      <c r="D14" s="2" t="s">
        <v>38</v>
      </c>
      <c r="K14" s="2" t="b">
        <v>0</v>
      </c>
      <c r="L14" s="2"/>
      <c r="M14" s="2"/>
      <c r="N14" s="2" t="s">
        <v>38</v>
      </c>
    </row>
    <row r="15" spans="1:14 2750:2782" x14ac:dyDescent="0.2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120</v>
      </c>
      <c r="D4" s="66" t="s">
        <v>134</v>
      </c>
    </row>
    <row r="5" spans="1:5" x14ac:dyDescent="0.25">
      <c r="A5" s="65" t="s">
        <v>32</v>
      </c>
      <c r="B5" s="65" t="s">
        <v>33</v>
      </c>
      <c r="D5" s="65" t="s">
        <v>135</v>
      </c>
      <c r="E5" s="65" t="s">
        <v>64</v>
      </c>
    </row>
    <row r="6" spans="1:5" x14ac:dyDescent="0.25">
      <c r="A6" t="s">
        <v>14</v>
      </c>
      <c r="B6" t="s">
        <v>9</v>
      </c>
      <c r="D6">
        <v>3</v>
      </c>
      <c r="E6" t="s">
        <v>137</v>
      </c>
    </row>
    <row r="7" spans="1:5" x14ac:dyDescent="0.25">
      <c r="A7" t="s">
        <v>42</v>
      </c>
      <c r="B7" t="s">
        <v>37</v>
      </c>
      <c r="D7">
        <v>7</v>
      </c>
      <c r="E7" t="s">
        <v>136</v>
      </c>
    </row>
    <row r="8" spans="1:5" x14ac:dyDescent="0.25">
      <c r="A8" t="s">
        <v>2</v>
      </c>
      <c r="B8" t="s">
        <v>8</v>
      </c>
      <c r="D8">
        <v>8</v>
      </c>
      <c r="E8" t="s">
        <v>138</v>
      </c>
    </row>
    <row r="9" spans="1:5" x14ac:dyDescent="0.25">
      <c r="A9" t="s">
        <v>16</v>
      </c>
      <c r="B9" t="s">
        <v>12</v>
      </c>
      <c r="D9">
        <v>9</v>
      </c>
      <c r="E9" t="s">
        <v>139</v>
      </c>
    </row>
    <row r="10" spans="1:5" x14ac:dyDescent="0.25">
      <c r="A10" t="s">
        <v>17</v>
      </c>
      <c r="B10" t="s">
        <v>6</v>
      </c>
    </row>
    <row r="11" spans="1:5" x14ac:dyDescent="0.25">
      <c r="A11" t="s">
        <v>18</v>
      </c>
      <c r="B11" t="s">
        <v>19</v>
      </c>
    </row>
    <row r="12" spans="1:5" x14ac:dyDescent="0.25">
      <c r="A12" t="s">
        <v>20</v>
      </c>
      <c r="B12" t="s">
        <v>21</v>
      </c>
    </row>
    <row r="13" spans="1:5" x14ac:dyDescent="0.25">
      <c r="A13" t="s">
        <v>22</v>
      </c>
      <c r="B13" t="s">
        <v>22</v>
      </c>
    </row>
    <row r="14" spans="1:5" x14ac:dyDescent="0.25">
      <c r="A14" t="s">
        <v>23</v>
      </c>
      <c r="B14" t="s">
        <v>11</v>
      </c>
    </row>
    <row r="15" spans="1:5" x14ac:dyDescent="0.25">
      <c r="A15" t="s">
        <v>24</v>
      </c>
      <c r="B15" t="s">
        <v>25</v>
      </c>
    </row>
    <row r="16" spans="1:5" x14ac:dyDescent="0.25">
      <c r="A16" t="s">
        <v>26</v>
      </c>
      <c r="B16" t="s">
        <v>27</v>
      </c>
    </row>
    <row r="17" spans="1:2" x14ac:dyDescent="0.25">
      <c r="A17" t="s">
        <v>28</v>
      </c>
      <c r="B17" t="s">
        <v>29</v>
      </c>
    </row>
    <row r="18" spans="1:2" x14ac:dyDescent="0.25">
      <c r="A18" t="s">
        <v>30</v>
      </c>
      <c r="B18" t="s">
        <v>31</v>
      </c>
    </row>
    <row r="19" spans="1:2" x14ac:dyDescent="0.25">
      <c r="A19" t="s">
        <v>34</v>
      </c>
      <c r="B19" t="s">
        <v>10</v>
      </c>
    </row>
    <row r="20" spans="1:2" x14ac:dyDescent="0.25">
      <c r="A20" t="s">
        <v>15</v>
      </c>
      <c r="B20" t="s">
        <v>7</v>
      </c>
    </row>
    <row r="21" spans="1:2" x14ac:dyDescent="0.25">
      <c r="A21" t="s">
        <v>43</v>
      </c>
      <c r="B21" t="s">
        <v>31</v>
      </c>
    </row>
    <row r="22" spans="1:2" x14ac:dyDescent="0.25">
      <c r="A22" t="s">
        <v>44</v>
      </c>
      <c r="B22" t="s">
        <v>16</v>
      </c>
    </row>
    <row r="23" spans="1:2" x14ac:dyDescent="0.25">
      <c r="A23" t="s">
        <v>45</v>
      </c>
      <c r="B23" t="s">
        <v>37</v>
      </c>
    </row>
    <row r="24" spans="1:2" x14ac:dyDescent="0.25">
      <c r="A24" t="s">
        <v>56</v>
      </c>
      <c r="B24" t="s">
        <v>57</v>
      </c>
    </row>
    <row r="25" spans="1:2" x14ac:dyDescent="0.25">
      <c r="A25" t="s">
        <v>110</v>
      </c>
      <c r="B25" t="s">
        <v>111</v>
      </c>
    </row>
    <row r="26" spans="1:2" x14ac:dyDescent="0.25">
      <c r="A26" t="s">
        <v>112</v>
      </c>
      <c r="B26" t="s">
        <v>113</v>
      </c>
    </row>
    <row r="27" spans="1:2" x14ac:dyDescent="0.25">
      <c r="A27" t="s">
        <v>114</v>
      </c>
      <c r="B27" t="s">
        <v>115</v>
      </c>
    </row>
    <row r="28" spans="1:2" x14ac:dyDescent="0.25">
      <c r="A28" t="s">
        <v>116</v>
      </c>
      <c r="B28" t="s">
        <v>30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31</v>
      </c>
      <c r="B30" t="s">
        <v>31</v>
      </c>
    </row>
    <row r="31" spans="1:2" x14ac:dyDescent="0.25">
      <c r="A31" t="s">
        <v>119</v>
      </c>
      <c r="B31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O4" sqref="O4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88" t="s">
        <v>35</v>
      </c>
      <c r="B4" s="89"/>
      <c r="C4" s="89"/>
      <c r="D4" s="89"/>
      <c r="E4" s="89"/>
      <c r="F4" s="89"/>
      <c r="G4" s="89"/>
      <c r="H4" s="90"/>
      <c r="I4" s="88" t="s">
        <v>91</v>
      </c>
      <c r="J4" s="89"/>
      <c r="K4" s="89"/>
      <c r="L4" s="89"/>
      <c r="M4" s="90"/>
      <c r="N4" s="58" t="s">
        <v>92</v>
      </c>
    </row>
    <row r="5" spans="1:16" x14ac:dyDescent="0.25">
      <c r="A5" s="56" t="s">
        <v>62</v>
      </c>
      <c r="B5" s="56" t="s">
        <v>63</v>
      </c>
      <c r="C5" s="56" t="s">
        <v>58</v>
      </c>
      <c r="D5" s="56" t="s">
        <v>64</v>
      </c>
      <c r="E5" t="s">
        <v>81</v>
      </c>
      <c r="F5" t="s">
        <v>82</v>
      </c>
      <c r="G5" t="s">
        <v>83</v>
      </c>
      <c r="H5" t="s">
        <v>84</v>
      </c>
      <c r="I5" s="56" t="s">
        <v>65</v>
      </c>
      <c r="J5" s="56" t="s">
        <v>66</v>
      </c>
      <c r="K5" s="56" t="s">
        <v>67</v>
      </c>
      <c r="L5" s="56" t="s">
        <v>68</v>
      </c>
      <c r="M5" s="56" t="s">
        <v>69</v>
      </c>
      <c r="N5" s="56" t="s">
        <v>13</v>
      </c>
    </row>
    <row r="7" spans="1:16" x14ac:dyDescent="0.25">
      <c r="A7" s="51">
        <v>27</v>
      </c>
    </row>
    <row r="8" spans="1:16" x14ac:dyDescent="0.25">
      <c r="A8" s="88" t="s">
        <v>35</v>
      </c>
      <c r="B8" s="89"/>
      <c r="C8" s="89"/>
      <c r="D8" s="89"/>
      <c r="E8" s="89"/>
      <c r="F8" s="89"/>
      <c r="G8" s="89"/>
      <c r="H8" s="90"/>
      <c r="I8" s="88" t="s">
        <v>91</v>
      </c>
      <c r="J8" s="89"/>
      <c r="K8" s="89"/>
      <c r="L8" s="89"/>
      <c r="M8" s="90"/>
      <c r="N8" s="88" t="s">
        <v>92</v>
      </c>
      <c r="O8" s="90"/>
    </row>
    <row r="9" spans="1:16" x14ac:dyDescent="0.25">
      <c r="A9" s="56" t="s">
        <v>62</v>
      </c>
      <c r="B9" s="56" t="s">
        <v>63</v>
      </c>
      <c r="C9" s="56" t="s">
        <v>58</v>
      </c>
      <c r="D9" s="56" t="s">
        <v>64</v>
      </c>
      <c r="E9" t="s">
        <v>81</v>
      </c>
      <c r="F9" t="s">
        <v>82</v>
      </c>
      <c r="G9" t="s">
        <v>83</v>
      </c>
      <c r="H9" t="s">
        <v>84</v>
      </c>
      <c r="I9" s="56" t="s">
        <v>65</v>
      </c>
      <c r="J9" s="56" t="s">
        <v>66</v>
      </c>
      <c r="K9" s="56" t="s">
        <v>67</v>
      </c>
      <c r="L9" s="56" t="s">
        <v>68</v>
      </c>
      <c r="M9" s="56" t="s">
        <v>69</v>
      </c>
      <c r="N9" s="56" t="s">
        <v>13</v>
      </c>
      <c r="O9" t="s">
        <v>70</v>
      </c>
    </row>
    <row r="11" spans="1:16" x14ac:dyDescent="0.25">
      <c r="A11" s="51">
        <v>41</v>
      </c>
    </row>
    <row r="12" spans="1:16" x14ac:dyDescent="0.25">
      <c r="A12" s="88" t="s">
        <v>35</v>
      </c>
      <c r="B12" s="89"/>
      <c r="C12" s="89"/>
      <c r="D12" s="89"/>
      <c r="E12" s="89"/>
      <c r="F12" s="89"/>
      <c r="G12" s="89"/>
      <c r="H12" s="90"/>
      <c r="I12" s="88" t="s">
        <v>91</v>
      </c>
      <c r="J12" s="89"/>
      <c r="K12" s="89"/>
      <c r="L12" s="89"/>
      <c r="M12" s="90"/>
      <c r="N12" s="88" t="s">
        <v>92</v>
      </c>
      <c r="O12" s="89"/>
      <c r="P12" s="90"/>
    </row>
    <row r="13" spans="1:16" x14ac:dyDescent="0.25">
      <c r="A13" s="56" t="s">
        <v>62</v>
      </c>
      <c r="B13" s="56" t="s">
        <v>63</v>
      </c>
      <c r="C13" s="56" t="s">
        <v>58</v>
      </c>
      <c r="D13" s="56" t="s">
        <v>64</v>
      </c>
      <c r="E13" t="s">
        <v>81</v>
      </c>
      <c r="F13" t="s">
        <v>82</v>
      </c>
      <c r="G13" t="s">
        <v>83</v>
      </c>
      <c r="H13" t="s">
        <v>84</v>
      </c>
      <c r="I13" s="56" t="s">
        <v>65</v>
      </c>
      <c r="J13" s="56" t="s">
        <v>66</v>
      </c>
      <c r="K13" s="56" t="s">
        <v>67</v>
      </c>
      <c r="L13" s="56" t="s">
        <v>68</v>
      </c>
      <c r="M13" s="56" t="s">
        <v>69</v>
      </c>
      <c r="N13" s="56" t="s">
        <v>13</v>
      </c>
      <c r="O13" t="s">
        <v>70</v>
      </c>
      <c r="P13" t="s">
        <v>89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88" t="s">
        <v>100</v>
      </c>
      <c r="B4" s="89"/>
      <c r="C4" s="89"/>
      <c r="D4" s="89"/>
      <c r="E4" s="89"/>
      <c r="F4" s="89"/>
      <c r="G4" s="89"/>
      <c r="H4" s="90"/>
      <c r="I4" s="89"/>
      <c r="J4" s="89"/>
      <c r="K4" s="89"/>
      <c r="L4" s="89"/>
      <c r="M4" s="89"/>
      <c r="N4" s="89"/>
      <c r="O4" s="90"/>
      <c r="P4" s="88" t="s">
        <v>91</v>
      </c>
      <c r="Q4" s="89"/>
      <c r="R4" s="89"/>
      <c r="S4" s="90"/>
    </row>
    <row r="5" spans="1:19" ht="15.75" x14ac:dyDescent="0.25">
      <c r="A5" s="56" t="s">
        <v>62</v>
      </c>
      <c r="B5" s="59" t="s">
        <v>90</v>
      </c>
      <c r="C5" s="60" t="s">
        <v>144</v>
      </c>
      <c r="D5" s="60" t="s">
        <v>99</v>
      </c>
      <c r="E5" s="60" t="s">
        <v>85</v>
      </c>
      <c r="F5" s="60" t="s">
        <v>86</v>
      </c>
      <c r="G5" s="57" t="s">
        <v>87</v>
      </c>
      <c r="H5" s="57" t="s">
        <v>88</v>
      </c>
      <c r="I5" s="61" t="s">
        <v>63</v>
      </c>
      <c r="J5" s="60" t="s">
        <v>58</v>
      </c>
      <c r="K5" s="57" t="s">
        <v>64</v>
      </c>
      <c r="L5" s="57" t="s">
        <v>81</v>
      </c>
      <c r="M5" s="57" t="s">
        <v>82</v>
      </c>
      <c r="N5" s="57" t="s">
        <v>83</v>
      </c>
      <c r="O5" s="57" t="s">
        <v>84</v>
      </c>
      <c r="P5" s="60" t="s">
        <v>65</v>
      </c>
      <c r="Q5" s="60" t="s">
        <v>66</v>
      </c>
      <c r="R5" s="47" t="s">
        <v>69</v>
      </c>
      <c r="S5" s="47" t="s">
        <v>13</v>
      </c>
    </row>
    <row r="6" spans="1:19" x14ac:dyDescent="0.25">
      <c r="A6"/>
      <c r="B6"/>
      <c r="C6" t="s">
        <v>123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E7" sqref="E7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2" t="s">
        <v>73</v>
      </c>
      <c r="B1" s="92"/>
      <c r="C1" s="26">
        <f>COUNTIF(C6:C16,TRUE)</f>
        <v>0</v>
      </c>
      <c r="D1" s="21"/>
      <c r="E1" s="22"/>
      <c r="F1" s="35"/>
    </row>
    <row r="2" spans="1:7" ht="15" customHeight="1" x14ac:dyDescent="0.25">
      <c r="A2" s="92" t="s">
        <v>74</v>
      </c>
      <c r="B2" s="92"/>
      <c r="C2" s="26">
        <f>COUNTIF(C7:C16,FALSE)</f>
        <v>0</v>
      </c>
      <c r="D2" s="21"/>
      <c r="E2" s="23"/>
      <c r="F2" s="35"/>
      <c r="G2" s="13" t="s">
        <v>59</v>
      </c>
    </row>
    <row r="3" spans="1:7" ht="28.5" customHeight="1" x14ac:dyDescent="0.25">
      <c r="A3" s="93" t="s">
        <v>72</v>
      </c>
      <c r="B3" s="93"/>
      <c r="C3" s="24" t="b">
        <f>IF(C1=2,TRUE,FALSE)</f>
        <v>0</v>
      </c>
      <c r="D3" s="25"/>
      <c r="E3" s="23"/>
      <c r="F3" s="35"/>
      <c r="G3" s="13" t="s">
        <v>60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71</v>
      </c>
      <c r="B5" s="30" t="s">
        <v>75</v>
      </c>
      <c r="C5" s="30" t="s">
        <v>61</v>
      </c>
      <c r="D5" s="31" t="s">
        <v>40</v>
      </c>
      <c r="E5" s="31" t="s">
        <v>131</v>
      </c>
      <c r="F5" s="35"/>
    </row>
    <row r="6" spans="1:7" x14ac:dyDescent="0.25">
      <c r="A6" s="91" t="s">
        <v>124</v>
      </c>
      <c r="B6" s="91"/>
      <c r="C6" s="32" t="e">
        <f>IF(COUNTIF(#REF!,"FALSE")=0,TRUE,FALSE)</f>
        <v>#REF!</v>
      </c>
      <c r="D6" s="33"/>
      <c r="E6" s="32"/>
      <c r="F6" s="34"/>
    </row>
    <row r="7" spans="1:7" x14ac:dyDescent="0.25">
      <c r="A7" s="14">
        <v>1</v>
      </c>
      <c r="B7" s="5" t="s">
        <v>126</v>
      </c>
      <c r="C7" s="77"/>
      <c r="D7" s="67">
        <f>COUNTA(#REF!)</f>
        <v>1</v>
      </c>
      <c r="E7" s="17"/>
      <c r="F7" s="16"/>
    </row>
    <row r="8" spans="1:7" x14ac:dyDescent="0.25">
      <c r="A8" s="14">
        <v>2</v>
      </c>
      <c r="B8" s="5" t="s">
        <v>127</v>
      </c>
      <c r="D8" s="67" t="e">
        <f>SUM(#REF!)</f>
        <v>#REF!</v>
      </c>
      <c r="E8" s="17"/>
      <c r="F8" s="16"/>
    </row>
    <row r="9" spans="1:7" x14ac:dyDescent="0.25">
      <c r="A9" s="14">
        <v>3</v>
      </c>
      <c r="B9" s="5" t="s">
        <v>128</v>
      </c>
      <c r="D9" s="67" t="e">
        <f>SUM(#REF!)</f>
        <v>#REF!</v>
      </c>
      <c r="E9" s="17"/>
      <c r="F9" s="16"/>
    </row>
    <row r="10" spans="1:7" x14ac:dyDescent="0.25">
      <c r="A10" s="14">
        <v>4</v>
      </c>
      <c r="B10" s="5" t="s">
        <v>130</v>
      </c>
      <c r="D10" s="67" t="e">
        <f>SUM(#REF!)</f>
        <v>#REF!</v>
      </c>
      <c r="E10" s="17"/>
      <c r="F10" s="16"/>
    </row>
    <row r="11" spans="1:7" x14ac:dyDescent="0.25">
      <c r="A11" s="14">
        <v>5</v>
      </c>
      <c r="B11" s="5" t="s">
        <v>129</v>
      </c>
      <c r="D11" s="67" t="e">
        <f>SUM(#REF!)</f>
        <v>#REF!</v>
      </c>
      <c r="E11" s="17"/>
      <c r="F11" s="16"/>
    </row>
    <row r="12" spans="1:7" x14ac:dyDescent="0.25">
      <c r="A12" s="91" t="s">
        <v>125</v>
      </c>
      <c r="B12" s="91"/>
      <c r="C12" s="37" t="e">
        <f>IF(COUNTIF(#REF!,"FALSE")=0,TRUE,FALSE)</f>
        <v>#REF!</v>
      </c>
      <c r="D12" s="37"/>
      <c r="E12" s="36"/>
      <c r="F12" s="34"/>
    </row>
    <row r="13" spans="1:7" x14ac:dyDescent="0.25">
      <c r="A13" s="14">
        <v>1</v>
      </c>
      <c r="B13" s="5" t="s">
        <v>126</v>
      </c>
      <c r="C13" s="67"/>
      <c r="D13" s="19">
        <f>COUNTA(#REF!)</f>
        <v>1</v>
      </c>
      <c r="E13" s="17"/>
      <c r="F13" s="16"/>
    </row>
    <row r="14" spans="1:7" x14ac:dyDescent="0.25">
      <c r="A14" s="14">
        <v>2</v>
      </c>
      <c r="B14" s="5" t="s">
        <v>127</v>
      </c>
      <c r="C14" s="67"/>
      <c r="D14" s="19" t="e">
        <f>SUM(#REF!)</f>
        <v>#REF!</v>
      </c>
      <c r="E14" s="17"/>
      <c r="F14" s="16"/>
    </row>
    <row r="15" spans="1:7" x14ac:dyDescent="0.25">
      <c r="A15" s="14">
        <v>3</v>
      </c>
      <c r="B15" s="5" t="s">
        <v>130</v>
      </c>
      <c r="C15" s="67"/>
      <c r="D15" s="19" t="e">
        <f>SUM(#REF!)</f>
        <v>#REF!</v>
      </c>
      <c r="E15" s="17"/>
      <c r="F15" s="16"/>
    </row>
    <row r="16" spans="1:7" x14ac:dyDescent="0.25">
      <c r="A16" s="14">
        <v>4</v>
      </c>
      <c r="B16" s="5" t="s">
        <v>129</v>
      </c>
      <c r="C16" s="67"/>
      <c r="D16" s="19" t="e">
        <f>SUM(#REF!)</f>
        <v>#REF!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5F59D-2537-40FE-BE89-342D13281DD5}">
  <sheetPr codeName="Sheet11"/>
  <dimension ref="A1:N19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4" sqref="J4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14" style="11" bestFit="1" customWidth="1"/>
    <col min="4" max="4" width="8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6.85546875" bestFit="1" customWidth="1"/>
    <col min="14" max="14" width="6" bestFit="1" customWidth="1"/>
  </cols>
  <sheetData>
    <row r="1" spans="1:14" x14ac:dyDescent="0.25">
      <c r="A1" s="88" t="s">
        <v>35</v>
      </c>
      <c r="B1" s="89"/>
      <c r="C1" s="89"/>
      <c r="D1" s="89"/>
      <c r="E1" s="89"/>
      <c r="F1" s="89"/>
      <c r="G1" s="89"/>
      <c r="H1" s="90"/>
      <c r="I1" s="88" t="s">
        <v>91</v>
      </c>
      <c r="J1" s="89"/>
      <c r="K1" s="89"/>
      <c r="L1" s="89"/>
      <c r="M1" s="90"/>
      <c r="N1" s="58" t="s">
        <v>92</v>
      </c>
    </row>
    <row r="2" spans="1:14" x14ac:dyDescent="0.25">
      <c r="A2" s="56" t="s">
        <v>62</v>
      </c>
      <c r="B2" s="81" t="s">
        <v>63</v>
      </c>
      <c r="C2" s="81" t="s">
        <v>58</v>
      </c>
      <c r="D2" s="81" t="s">
        <v>64</v>
      </c>
      <c r="E2" s="11" t="s">
        <v>81</v>
      </c>
      <c r="F2" s="11" t="s">
        <v>82</v>
      </c>
      <c r="G2" s="11" t="s">
        <v>83</v>
      </c>
      <c r="H2" s="11" t="s">
        <v>84</v>
      </c>
      <c r="I2" s="81" t="s">
        <v>65</v>
      </c>
      <c r="J2" s="56" t="s">
        <v>66</v>
      </c>
      <c r="K2" s="81" t="s">
        <v>67</v>
      </c>
      <c r="L2" s="56" t="s">
        <v>68</v>
      </c>
      <c r="M2" s="56" t="s">
        <v>69</v>
      </c>
      <c r="N2" s="56" t="s">
        <v>13</v>
      </c>
    </row>
    <row r="3" spans="1:14" x14ac:dyDescent="0.25">
      <c r="A3">
        <v>1</v>
      </c>
      <c r="B3" s="11">
        <v>63079069</v>
      </c>
      <c r="C3" s="11">
        <v>287759</v>
      </c>
      <c r="D3" s="11" t="s">
        <v>172</v>
      </c>
      <c r="I3" s="11" t="s">
        <v>14</v>
      </c>
      <c r="J3">
        <v>1658</v>
      </c>
      <c r="K3" s="11" t="s">
        <v>31</v>
      </c>
      <c r="L3">
        <v>4</v>
      </c>
      <c r="M3">
        <v>348329.22</v>
      </c>
      <c r="N3">
        <v>16130.13</v>
      </c>
    </row>
    <row r="4" spans="1:14" x14ac:dyDescent="0.25">
      <c r="A4">
        <v>2</v>
      </c>
      <c r="B4" s="11">
        <v>59039090</v>
      </c>
      <c r="C4" s="11">
        <v>287761</v>
      </c>
      <c r="D4" s="11" t="s">
        <v>173</v>
      </c>
      <c r="I4" s="11" t="s">
        <v>14</v>
      </c>
      <c r="J4">
        <v>1900</v>
      </c>
      <c r="K4" s="11" t="s">
        <v>31</v>
      </c>
      <c r="L4">
        <v>0</v>
      </c>
      <c r="M4">
        <v>399171</v>
      </c>
      <c r="N4">
        <v>18484.47</v>
      </c>
    </row>
    <row r="5" spans="1:14" x14ac:dyDescent="0.25">
      <c r="A5">
        <v>3</v>
      </c>
      <c r="B5" s="11">
        <v>58071000</v>
      </c>
      <c r="C5" s="11">
        <v>287792</v>
      </c>
      <c r="D5" s="11" t="s">
        <v>165</v>
      </c>
      <c r="I5" s="11" t="s">
        <v>2</v>
      </c>
      <c r="J5">
        <v>1454</v>
      </c>
      <c r="K5" s="11" t="s">
        <v>31</v>
      </c>
      <c r="L5">
        <v>0</v>
      </c>
      <c r="M5">
        <v>305470.86</v>
      </c>
      <c r="N5">
        <v>14145.48</v>
      </c>
    </row>
    <row r="6" spans="1:14" x14ac:dyDescent="0.25">
      <c r="A6">
        <v>4</v>
      </c>
      <c r="B6" s="11">
        <v>54034190</v>
      </c>
      <c r="C6" s="11">
        <v>287800</v>
      </c>
      <c r="D6" s="11" t="s">
        <v>174</v>
      </c>
      <c r="I6" s="11" t="s">
        <v>34</v>
      </c>
      <c r="J6">
        <v>1</v>
      </c>
      <c r="K6" s="11" t="s">
        <v>31</v>
      </c>
      <c r="L6">
        <v>0</v>
      </c>
      <c r="M6">
        <v>210.09</v>
      </c>
      <c r="N6">
        <v>9.73</v>
      </c>
    </row>
    <row r="7" spans="1:14" x14ac:dyDescent="0.25">
      <c r="A7">
        <v>5</v>
      </c>
      <c r="B7" s="11">
        <v>55081090</v>
      </c>
      <c r="C7" s="11" t="s">
        <v>175</v>
      </c>
      <c r="D7" s="11" t="s">
        <v>166</v>
      </c>
      <c r="I7" s="11" t="s">
        <v>34</v>
      </c>
      <c r="J7">
        <v>137</v>
      </c>
      <c r="K7" s="11" t="s">
        <v>31</v>
      </c>
      <c r="L7">
        <v>0</v>
      </c>
      <c r="M7">
        <v>28782.33</v>
      </c>
      <c r="N7">
        <v>1332.83</v>
      </c>
    </row>
    <row r="8" spans="1:14" x14ac:dyDescent="0.25">
      <c r="A8">
        <v>6</v>
      </c>
      <c r="B8" s="11">
        <v>58071000</v>
      </c>
      <c r="C8" s="11" t="s">
        <v>176</v>
      </c>
      <c r="D8" s="11" t="s">
        <v>177</v>
      </c>
      <c r="I8" s="11" t="s">
        <v>2</v>
      </c>
      <c r="J8">
        <v>1454</v>
      </c>
      <c r="K8" s="11" t="s">
        <v>31</v>
      </c>
      <c r="L8">
        <v>0</v>
      </c>
      <c r="M8">
        <v>305470.86</v>
      </c>
      <c r="N8">
        <v>14145.49</v>
      </c>
    </row>
    <row r="9" spans="1:14" x14ac:dyDescent="0.25">
      <c r="A9">
        <v>7</v>
      </c>
      <c r="B9" s="11">
        <v>58071000</v>
      </c>
      <c r="C9" s="11">
        <v>291513</v>
      </c>
      <c r="D9" s="11" t="s">
        <v>178</v>
      </c>
      <c r="I9" s="11" t="s">
        <v>2</v>
      </c>
      <c r="J9">
        <v>1454</v>
      </c>
      <c r="K9" s="11" t="s">
        <v>31</v>
      </c>
      <c r="L9">
        <v>0</v>
      </c>
      <c r="M9">
        <v>305470.86</v>
      </c>
      <c r="N9">
        <v>14145.48</v>
      </c>
    </row>
    <row r="10" spans="1:14" x14ac:dyDescent="0.25">
      <c r="A10">
        <v>8</v>
      </c>
      <c r="B10" s="11">
        <v>58071000</v>
      </c>
      <c r="C10" s="11">
        <v>291822</v>
      </c>
      <c r="D10" s="11" t="s">
        <v>179</v>
      </c>
      <c r="I10" s="11" t="s">
        <v>2</v>
      </c>
      <c r="J10">
        <v>917</v>
      </c>
      <c r="K10" s="11" t="s">
        <v>31</v>
      </c>
      <c r="L10">
        <v>0</v>
      </c>
      <c r="M10">
        <v>192652.53</v>
      </c>
      <c r="N10">
        <v>8921.19</v>
      </c>
    </row>
    <row r="11" spans="1:14" x14ac:dyDescent="0.25">
      <c r="A11">
        <v>9</v>
      </c>
      <c r="B11" s="11">
        <v>58071000</v>
      </c>
      <c r="C11" s="11">
        <v>296889</v>
      </c>
      <c r="D11" s="11" t="s">
        <v>180</v>
      </c>
      <c r="I11" s="11" t="s">
        <v>2</v>
      </c>
      <c r="J11">
        <v>1454</v>
      </c>
      <c r="K11" s="11" t="s">
        <v>31</v>
      </c>
      <c r="L11">
        <v>0</v>
      </c>
      <c r="M11">
        <v>305470.86</v>
      </c>
      <c r="N11">
        <v>14145.48</v>
      </c>
    </row>
    <row r="12" spans="1:14" x14ac:dyDescent="0.25">
      <c r="A12">
        <v>10</v>
      </c>
      <c r="B12" s="11">
        <v>39269099</v>
      </c>
      <c r="C12" s="11">
        <v>287752</v>
      </c>
      <c r="D12" s="11" t="s">
        <v>181</v>
      </c>
      <c r="I12" s="11" t="s">
        <v>2</v>
      </c>
      <c r="J12">
        <v>2908</v>
      </c>
      <c r="K12" s="11" t="s">
        <v>31</v>
      </c>
      <c r="L12">
        <v>0</v>
      </c>
      <c r="M12">
        <v>610941.72</v>
      </c>
      <c r="N12">
        <v>28290.959999999999</v>
      </c>
    </row>
    <row r="13" spans="1:14" x14ac:dyDescent="0.25">
      <c r="A13">
        <v>11</v>
      </c>
      <c r="B13" s="11">
        <v>39269099</v>
      </c>
      <c r="C13" s="11">
        <v>287753</v>
      </c>
      <c r="D13" s="11" t="s">
        <v>182</v>
      </c>
      <c r="I13" s="11" t="s">
        <v>2</v>
      </c>
      <c r="J13">
        <v>2908</v>
      </c>
      <c r="K13" s="11" t="s">
        <v>31</v>
      </c>
      <c r="L13">
        <v>0</v>
      </c>
      <c r="M13">
        <v>610941.72</v>
      </c>
      <c r="N13">
        <v>28290.959999999999</v>
      </c>
    </row>
    <row r="14" spans="1:14" x14ac:dyDescent="0.25">
      <c r="A14">
        <v>12</v>
      </c>
      <c r="B14" s="11">
        <v>96061010</v>
      </c>
      <c r="C14" s="11">
        <v>287754</v>
      </c>
      <c r="D14" s="11" t="s">
        <v>183</v>
      </c>
      <c r="I14" s="11" t="s">
        <v>2</v>
      </c>
      <c r="J14">
        <v>8724</v>
      </c>
      <c r="K14" s="11" t="s">
        <v>31</v>
      </c>
      <c r="L14">
        <v>0</v>
      </c>
      <c r="M14">
        <v>1832825.16</v>
      </c>
      <c r="N14">
        <v>84872.88</v>
      </c>
    </row>
    <row r="15" spans="1:14" x14ac:dyDescent="0.25">
      <c r="A15">
        <v>13</v>
      </c>
      <c r="B15" s="11">
        <v>96061010</v>
      </c>
      <c r="C15" s="11">
        <v>287755</v>
      </c>
      <c r="D15" s="11" t="s">
        <v>184</v>
      </c>
      <c r="I15" s="11" t="s">
        <v>2</v>
      </c>
      <c r="J15">
        <v>4362</v>
      </c>
      <c r="K15" s="11" t="s">
        <v>31</v>
      </c>
      <c r="L15">
        <v>0</v>
      </c>
      <c r="M15">
        <v>916412.58</v>
      </c>
      <c r="N15">
        <v>42436.44</v>
      </c>
    </row>
    <row r="16" spans="1:14" x14ac:dyDescent="0.25">
      <c r="A16">
        <v>14</v>
      </c>
      <c r="B16" s="11">
        <v>96061010</v>
      </c>
      <c r="C16" s="11">
        <v>287756</v>
      </c>
      <c r="D16" s="11" t="s">
        <v>185</v>
      </c>
      <c r="I16" s="11" t="s">
        <v>2</v>
      </c>
      <c r="J16">
        <v>4362</v>
      </c>
      <c r="K16" s="11" t="s">
        <v>31</v>
      </c>
      <c r="L16">
        <v>0</v>
      </c>
      <c r="M16">
        <v>916412.58</v>
      </c>
      <c r="N16">
        <v>42436.44</v>
      </c>
    </row>
    <row r="17" spans="1:14" x14ac:dyDescent="0.25">
      <c r="A17">
        <v>15</v>
      </c>
      <c r="B17" s="11">
        <v>59070010</v>
      </c>
      <c r="C17" s="11">
        <v>287757</v>
      </c>
      <c r="D17" s="11" t="s">
        <v>186</v>
      </c>
      <c r="I17" s="11" t="s">
        <v>2</v>
      </c>
      <c r="J17">
        <v>1454</v>
      </c>
      <c r="K17" s="11" t="s">
        <v>31</v>
      </c>
      <c r="L17">
        <v>0</v>
      </c>
      <c r="M17">
        <v>305470.86</v>
      </c>
      <c r="N17">
        <v>14145.48</v>
      </c>
    </row>
    <row r="18" spans="1:14" x14ac:dyDescent="0.25">
      <c r="A18">
        <v>16</v>
      </c>
      <c r="B18" s="11">
        <v>59070090</v>
      </c>
      <c r="C18" s="11">
        <v>287758</v>
      </c>
      <c r="D18" s="11" t="s">
        <v>187</v>
      </c>
      <c r="I18" s="11" t="s">
        <v>14</v>
      </c>
      <c r="J18">
        <v>1755</v>
      </c>
      <c r="K18" s="11" t="s">
        <v>31</v>
      </c>
      <c r="L18">
        <v>0</v>
      </c>
      <c r="M18">
        <v>368707.95</v>
      </c>
      <c r="N18">
        <v>17073.810000000001</v>
      </c>
    </row>
    <row r="19" spans="1:14" x14ac:dyDescent="0.25">
      <c r="A19">
        <v>17</v>
      </c>
      <c r="B19" s="11">
        <v>58071000</v>
      </c>
      <c r="C19" s="11">
        <v>291514</v>
      </c>
      <c r="D19" s="11" t="s">
        <v>188</v>
      </c>
      <c r="I19" s="11" t="s">
        <v>2</v>
      </c>
      <c r="J19">
        <v>537</v>
      </c>
      <c r="K19" s="11" t="s">
        <v>31</v>
      </c>
      <c r="L19">
        <v>0</v>
      </c>
      <c r="M19">
        <v>112818.33</v>
      </c>
      <c r="N19">
        <v>5224.29</v>
      </c>
    </row>
  </sheetData>
  <mergeCells count="2">
    <mergeCell ref="A1:H1"/>
    <mergeCell ref="I1:M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81E38-6648-4C79-A8CA-4D61CA5669DC}">
  <sheetPr codeName="Sheet12"/>
  <dimension ref="A1:Z33"/>
  <sheetViews>
    <sheetView workbookViewId="0">
      <pane xSplit="2" ySplit="2" topLeftCell="H18" activePane="bottomRight" state="frozen"/>
      <selection pane="topRight" activeCell="C1" sqref="C1"/>
      <selection pane="bottomLeft" activeCell="A3" sqref="A3"/>
      <selection pane="bottomRight" activeCell="Q22" sqref="Q22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39.28515625" style="1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</cols>
  <sheetData>
    <row r="1" spans="1:26" x14ac:dyDescent="0.25">
      <c r="A1" s="88" t="s">
        <v>100</v>
      </c>
      <c r="B1" s="89"/>
      <c r="C1" s="89"/>
      <c r="D1" s="89"/>
      <c r="E1" s="89"/>
      <c r="F1" s="89"/>
      <c r="G1" s="89"/>
      <c r="H1" s="90"/>
      <c r="I1" s="94"/>
      <c r="J1" s="94"/>
      <c r="K1" s="94"/>
      <c r="L1" s="94"/>
      <c r="M1" s="94"/>
      <c r="N1" s="94"/>
      <c r="O1" s="95"/>
      <c r="P1" s="88" t="s">
        <v>91</v>
      </c>
      <c r="Q1" s="89"/>
      <c r="R1" s="89"/>
      <c r="S1" s="90"/>
      <c r="T1" s="46"/>
      <c r="U1" s="46"/>
      <c r="V1" s="46"/>
      <c r="W1" s="46"/>
      <c r="X1" s="46"/>
      <c r="Y1" s="46"/>
      <c r="Z1" s="46"/>
    </row>
    <row r="2" spans="1:26" ht="15.75" x14ac:dyDescent="0.25">
      <c r="A2" s="56" t="s">
        <v>62</v>
      </c>
      <c r="B2" s="59" t="s">
        <v>90</v>
      </c>
      <c r="C2" s="82" t="s">
        <v>144</v>
      </c>
      <c r="D2" s="82" t="s">
        <v>99</v>
      </c>
      <c r="E2" s="82" t="s">
        <v>85</v>
      </c>
      <c r="F2" s="82" t="s">
        <v>86</v>
      </c>
      <c r="G2" s="83" t="s">
        <v>87</v>
      </c>
      <c r="H2" s="83" t="s">
        <v>88</v>
      </c>
      <c r="I2" s="84" t="s">
        <v>63</v>
      </c>
      <c r="J2" s="82" t="s">
        <v>58</v>
      </c>
      <c r="K2" s="83" t="s">
        <v>64</v>
      </c>
      <c r="L2" s="83" t="s">
        <v>81</v>
      </c>
      <c r="M2" s="83" t="s">
        <v>82</v>
      </c>
      <c r="N2" s="83" t="s">
        <v>83</v>
      </c>
      <c r="O2" s="83" t="s">
        <v>84</v>
      </c>
      <c r="P2" s="82" t="s">
        <v>65</v>
      </c>
      <c r="Q2" s="60" t="s">
        <v>66</v>
      </c>
      <c r="R2" s="47" t="s">
        <v>69</v>
      </c>
      <c r="S2" s="47" t="s">
        <v>13</v>
      </c>
      <c r="T2" s="6"/>
      <c r="U2" s="6"/>
      <c r="V2" s="6"/>
      <c r="W2" s="6"/>
      <c r="X2" s="6"/>
      <c r="Y2" s="6"/>
      <c r="Z2" s="6"/>
    </row>
    <row r="3" spans="1:26" x14ac:dyDescent="0.25">
      <c r="A3">
        <v>1</v>
      </c>
      <c r="B3">
        <v>1</v>
      </c>
      <c r="C3" s="11" t="s">
        <v>193</v>
      </c>
      <c r="D3" s="11" t="s">
        <v>145</v>
      </c>
      <c r="E3" s="11">
        <v>602744</v>
      </c>
      <c r="F3" s="11" t="s">
        <v>189</v>
      </c>
      <c r="J3" s="11">
        <v>287759</v>
      </c>
      <c r="K3" s="11" t="s">
        <v>172</v>
      </c>
      <c r="P3" s="11" t="s">
        <v>14</v>
      </c>
      <c r="Q3">
        <v>3403</v>
      </c>
      <c r="T3" s="6"/>
      <c r="U3" s="6"/>
      <c r="V3" s="6"/>
      <c r="W3" s="6"/>
      <c r="X3" s="6"/>
      <c r="Y3" s="6"/>
      <c r="Z3" s="6"/>
    </row>
    <row r="4" spans="1:26" x14ac:dyDescent="0.25">
      <c r="A4">
        <v>2</v>
      </c>
      <c r="B4">
        <v>1</v>
      </c>
      <c r="C4" s="11" t="s">
        <v>193</v>
      </c>
      <c r="D4" s="11" t="s">
        <v>145</v>
      </c>
      <c r="E4" s="11">
        <v>602744</v>
      </c>
      <c r="F4" s="11" t="s">
        <v>189</v>
      </c>
      <c r="J4" s="11">
        <v>287761</v>
      </c>
      <c r="K4" s="11" t="s">
        <v>173</v>
      </c>
      <c r="P4" s="11" t="s">
        <v>14</v>
      </c>
      <c r="Q4">
        <v>3850</v>
      </c>
    </row>
    <row r="5" spans="1:26" x14ac:dyDescent="0.25">
      <c r="A5">
        <v>3</v>
      </c>
      <c r="B5">
        <v>1</v>
      </c>
      <c r="C5" s="11" t="s">
        <v>193</v>
      </c>
      <c r="D5" s="11" t="s">
        <v>145</v>
      </c>
      <c r="E5" s="11">
        <v>602744</v>
      </c>
      <c r="F5" s="11" t="s">
        <v>189</v>
      </c>
      <c r="J5" s="11">
        <v>287792</v>
      </c>
      <c r="K5" s="11" t="s">
        <v>165</v>
      </c>
      <c r="P5" s="11" t="s">
        <v>2</v>
      </c>
      <c r="Q5">
        <v>2980</v>
      </c>
    </row>
    <row r="6" spans="1:26" x14ac:dyDescent="0.25">
      <c r="A6">
        <v>4</v>
      </c>
      <c r="B6">
        <v>1</v>
      </c>
      <c r="C6" s="11" t="s">
        <v>193</v>
      </c>
      <c r="D6" s="11" t="s">
        <v>145</v>
      </c>
      <c r="E6" s="11">
        <v>602744</v>
      </c>
      <c r="F6" s="11" t="s">
        <v>189</v>
      </c>
      <c r="J6" s="11">
        <v>287800</v>
      </c>
      <c r="K6" s="11" t="s">
        <v>174</v>
      </c>
      <c r="P6" s="11" t="s">
        <v>34</v>
      </c>
      <c r="Q6">
        <v>2</v>
      </c>
    </row>
    <row r="7" spans="1:26" x14ac:dyDescent="0.25">
      <c r="A7">
        <v>5</v>
      </c>
      <c r="B7">
        <v>1</v>
      </c>
      <c r="C7" s="11" t="s">
        <v>193</v>
      </c>
      <c r="D7" s="11" t="s">
        <v>145</v>
      </c>
      <c r="E7" s="11">
        <v>602744</v>
      </c>
      <c r="F7" s="11" t="s">
        <v>189</v>
      </c>
      <c r="J7" s="11">
        <v>287914</v>
      </c>
      <c r="K7" s="11" t="s">
        <v>166</v>
      </c>
      <c r="P7" s="11" t="s">
        <v>34</v>
      </c>
      <c r="Q7">
        <v>156</v>
      </c>
    </row>
    <row r="8" spans="1:26" x14ac:dyDescent="0.25">
      <c r="A8">
        <v>5</v>
      </c>
      <c r="B8">
        <v>2</v>
      </c>
      <c r="C8" s="11" t="s">
        <v>193</v>
      </c>
      <c r="D8" s="11" t="s">
        <v>145</v>
      </c>
      <c r="E8" s="11">
        <v>602744</v>
      </c>
      <c r="F8" s="11" t="s">
        <v>189</v>
      </c>
      <c r="J8" s="11">
        <v>288008</v>
      </c>
      <c r="K8" s="11" t="s">
        <v>166</v>
      </c>
      <c r="P8" s="11" t="s">
        <v>34</v>
      </c>
      <c r="Q8">
        <v>8</v>
      </c>
    </row>
    <row r="9" spans="1:26" x14ac:dyDescent="0.25">
      <c r="A9">
        <v>5</v>
      </c>
      <c r="B9">
        <v>3</v>
      </c>
      <c r="C9" s="11" t="s">
        <v>193</v>
      </c>
      <c r="D9" s="11" t="s">
        <v>145</v>
      </c>
      <c r="E9" s="11">
        <v>602793</v>
      </c>
      <c r="F9" s="11" t="s">
        <v>190</v>
      </c>
      <c r="J9" s="11">
        <v>287914</v>
      </c>
      <c r="K9" s="11" t="s">
        <v>166</v>
      </c>
      <c r="P9" s="11" t="s">
        <v>34</v>
      </c>
      <c r="Q9">
        <v>15</v>
      </c>
    </row>
    <row r="10" spans="1:26" x14ac:dyDescent="0.25">
      <c r="A10">
        <v>6</v>
      </c>
      <c r="B10">
        <v>1</v>
      </c>
      <c r="C10" s="11" t="s">
        <v>193</v>
      </c>
      <c r="D10" s="11" t="s">
        <v>145</v>
      </c>
      <c r="E10" s="11">
        <v>602744</v>
      </c>
      <c r="F10" s="11" t="s">
        <v>189</v>
      </c>
      <c r="J10" s="11">
        <v>290992</v>
      </c>
      <c r="K10" s="11" t="s">
        <v>177</v>
      </c>
      <c r="P10" s="11" t="s">
        <v>2</v>
      </c>
      <c r="Q10">
        <v>704</v>
      </c>
    </row>
    <row r="11" spans="1:26" x14ac:dyDescent="0.25">
      <c r="A11">
        <v>6</v>
      </c>
      <c r="B11">
        <v>2</v>
      </c>
      <c r="C11" s="11" t="s">
        <v>193</v>
      </c>
      <c r="D11" s="11" t="s">
        <v>145</v>
      </c>
      <c r="E11" s="11">
        <v>602744</v>
      </c>
      <c r="F11" s="11" t="s">
        <v>189</v>
      </c>
      <c r="J11" s="11">
        <v>290994</v>
      </c>
      <c r="K11" s="11" t="s">
        <v>177</v>
      </c>
      <c r="P11" s="11" t="s">
        <v>2</v>
      </c>
      <c r="Q11">
        <v>546</v>
      </c>
    </row>
    <row r="12" spans="1:26" x14ac:dyDescent="0.25">
      <c r="A12">
        <v>6</v>
      </c>
      <c r="B12">
        <v>3</v>
      </c>
      <c r="C12" s="11" t="s">
        <v>193</v>
      </c>
      <c r="D12" s="11" t="s">
        <v>145</v>
      </c>
      <c r="E12" s="11">
        <v>602744</v>
      </c>
      <c r="F12" s="11" t="s">
        <v>189</v>
      </c>
      <c r="J12" s="11">
        <v>290995</v>
      </c>
      <c r="K12" s="11" t="s">
        <v>177</v>
      </c>
      <c r="P12" s="11" t="s">
        <v>2</v>
      </c>
      <c r="Q12">
        <v>264</v>
      </c>
    </row>
    <row r="13" spans="1:26" x14ac:dyDescent="0.25">
      <c r="A13">
        <v>6</v>
      </c>
      <c r="B13">
        <v>4</v>
      </c>
      <c r="C13" s="11" t="s">
        <v>193</v>
      </c>
      <c r="D13" s="11" t="s">
        <v>145</v>
      </c>
      <c r="E13" s="11">
        <v>602744</v>
      </c>
      <c r="F13" s="11" t="s">
        <v>189</v>
      </c>
      <c r="J13" s="11">
        <v>290993</v>
      </c>
      <c r="K13" s="11" t="s">
        <v>177</v>
      </c>
      <c r="P13" s="11" t="s">
        <v>2</v>
      </c>
      <c r="Q13">
        <v>536</v>
      </c>
    </row>
    <row r="14" spans="1:26" x14ac:dyDescent="0.25">
      <c r="A14">
        <v>6</v>
      </c>
      <c r="B14">
        <v>5</v>
      </c>
      <c r="C14" s="11" t="s">
        <v>193</v>
      </c>
      <c r="D14" s="11" t="s">
        <v>145</v>
      </c>
      <c r="E14" s="11">
        <v>602744</v>
      </c>
      <c r="F14" s="11" t="s">
        <v>189</v>
      </c>
      <c r="J14" s="11">
        <v>290997</v>
      </c>
      <c r="K14" s="11" t="s">
        <v>177</v>
      </c>
      <c r="P14" s="11" t="s">
        <v>2</v>
      </c>
      <c r="Q14">
        <v>127</v>
      </c>
    </row>
    <row r="15" spans="1:26" x14ac:dyDescent="0.25">
      <c r="A15">
        <v>6</v>
      </c>
      <c r="B15">
        <v>6</v>
      </c>
      <c r="C15" s="11" t="s">
        <v>193</v>
      </c>
      <c r="D15" s="11" t="s">
        <v>145</v>
      </c>
      <c r="E15" s="11">
        <v>602744</v>
      </c>
      <c r="F15" s="11" t="s">
        <v>189</v>
      </c>
      <c r="J15" s="11">
        <v>291702</v>
      </c>
      <c r="K15" s="11" t="s">
        <v>177</v>
      </c>
      <c r="P15" s="11" t="s">
        <v>2</v>
      </c>
      <c r="Q15">
        <v>53</v>
      </c>
    </row>
    <row r="16" spans="1:26" x14ac:dyDescent="0.25">
      <c r="A16">
        <v>6</v>
      </c>
      <c r="B16">
        <v>7</v>
      </c>
      <c r="C16" s="11" t="s">
        <v>193</v>
      </c>
      <c r="D16" s="11" t="s">
        <v>145</v>
      </c>
      <c r="E16" s="11">
        <v>602744</v>
      </c>
      <c r="F16" s="11" t="s">
        <v>189</v>
      </c>
      <c r="J16" s="11">
        <v>290996</v>
      </c>
      <c r="K16" s="11" t="s">
        <v>177</v>
      </c>
      <c r="P16" s="11" t="s">
        <v>2</v>
      </c>
      <c r="Q16">
        <v>117</v>
      </c>
    </row>
    <row r="17" spans="1:17" x14ac:dyDescent="0.25">
      <c r="A17">
        <v>6</v>
      </c>
      <c r="B17">
        <v>8</v>
      </c>
      <c r="C17" s="11" t="s">
        <v>193</v>
      </c>
      <c r="D17" s="11" t="s">
        <v>145</v>
      </c>
      <c r="E17" s="11">
        <v>602744</v>
      </c>
      <c r="F17" s="11" t="s">
        <v>189</v>
      </c>
      <c r="J17" s="11">
        <v>290988</v>
      </c>
      <c r="K17" s="11" t="s">
        <v>177</v>
      </c>
      <c r="P17" s="11" t="s">
        <v>2</v>
      </c>
      <c r="Q17">
        <v>64</v>
      </c>
    </row>
    <row r="18" spans="1:17" x14ac:dyDescent="0.25">
      <c r="A18">
        <v>6</v>
      </c>
      <c r="B18">
        <v>9</v>
      </c>
      <c r="C18" s="11" t="s">
        <v>193</v>
      </c>
      <c r="D18" s="11" t="s">
        <v>145</v>
      </c>
      <c r="E18" s="11">
        <v>602744</v>
      </c>
      <c r="F18" s="11" t="s">
        <v>189</v>
      </c>
      <c r="J18" s="11">
        <v>290989</v>
      </c>
      <c r="K18" s="11" t="s">
        <v>177</v>
      </c>
      <c r="P18" s="11" t="s">
        <v>2</v>
      </c>
      <c r="Q18">
        <v>347</v>
      </c>
    </row>
    <row r="19" spans="1:17" x14ac:dyDescent="0.25">
      <c r="A19">
        <v>6</v>
      </c>
      <c r="B19">
        <v>10</v>
      </c>
      <c r="C19" s="11" t="s">
        <v>193</v>
      </c>
      <c r="D19" s="11" t="s">
        <v>145</v>
      </c>
      <c r="E19" s="11">
        <v>602744</v>
      </c>
      <c r="F19" s="11" t="s">
        <v>189</v>
      </c>
      <c r="J19" s="11">
        <v>290990</v>
      </c>
      <c r="K19" s="11" t="s">
        <v>177</v>
      </c>
      <c r="P19" s="11" t="s">
        <v>2</v>
      </c>
      <c r="Q19">
        <v>95</v>
      </c>
    </row>
    <row r="20" spans="1:17" x14ac:dyDescent="0.25">
      <c r="A20">
        <v>6</v>
      </c>
      <c r="B20">
        <v>11</v>
      </c>
      <c r="C20" s="11" t="s">
        <v>193</v>
      </c>
      <c r="D20" s="11" t="s">
        <v>145</v>
      </c>
      <c r="E20" s="11">
        <v>602744</v>
      </c>
      <c r="F20" s="11" t="s">
        <v>189</v>
      </c>
      <c r="J20" s="11">
        <v>290991</v>
      </c>
      <c r="K20" s="11" t="s">
        <v>177</v>
      </c>
      <c r="P20" s="11" t="s">
        <v>2</v>
      </c>
      <c r="Q20">
        <v>127</v>
      </c>
    </row>
    <row r="21" spans="1:17" x14ac:dyDescent="0.25">
      <c r="A21">
        <v>7</v>
      </c>
      <c r="B21">
        <v>1</v>
      </c>
      <c r="C21" s="11" t="s">
        <v>193</v>
      </c>
      <c r="D21" s="11" t="s">
        <v>145</v>
      </c>
      <c r="E21" s="11">
        <v>602744</v>
      </c>
      <c r="F21" s="11" t="s">
        <v>189</v>
      </c>
      <c r="J21" s="11">
        <v>291513</v>
      </c>
      <c r="K21" s="11" t="s">
        <v>178</v>
      </c>
      <c r="P21" s="11" t="s">
        <v>2</v>
      </c>
      <c r="Q21">
        <v>2980</v>
      </c>
    </row>
    <row r="22" spans="1:17" x14ac:dyDescent="0.25">
      <c r="A22">
        <v>8</v>
      </c>
      <c r="B22">
        <v>1</v>
      </c>
      <c r="C22" s="11" t="s">
        <v>193</v>
      </c>
      <c r="D22" s="11" t="s">
        <v>145</v>
      </c>
      <c r="E22" s="11">
        <v>602744</v>
      </c>
      <c r="F22" s="11" t="s">
        <v>189</v>
      </c>
      <c r="J22" s="11">
        <v>291822</v>
      </c>
      <c r="K22" s="11" t="s">
        <v>179</v>
      </c>
      <c r="P22" s="11" t="s">
        <v>2</v>
      </c>
      <c r="Q22">
        <v>917</v>
      </c>
    </row>
    <row r="23" spans="1:17" x14ac:dyDescent="0.25">
      <c r="A23">
        <v>9</v>
      </c>
      <c r="B23">
        <v>1</v>
      </c>
      <c r="C23" s="11" t="s">
        <v>193</v>
      </c>
      <c r="D23" s="11" t="s">
        <v>145</v>
      </c>
      <c r="E23" s="11">
        <v>602744</v>
      </c>
      <c r="F23" s="11" t="s">
        <v>189</v>
      </c>
      <c r="J23" s="11">
        <v>296889</v>
      </c>
      <c r="K23" s="11" t="s">
        <v>180</v>
      </c>
      <c r="P23" s="11" t="s">
        <v>2</v>
      </c>
      <c r="Q23">
        <v>2980</v>
      </c>
    </row>
    <row r="24" spans="1:17" x14ac:dyDescent="0.25">
      <c r="A24">
        <v>10</v>
      </c>
      <c r="B24">
        <v>1</v>
      </c>
      <c r="C24" s="11" t="s">
        <v>193</v>
      </c>
      <c r="D24" s="55" t="s">
        <v>145</v>
      </c>
      <c r="E24" s="11">
        <v>602744</v>
      </c>
      <c r="F24" s="11" t="s">
        <v>189</v>
      </c>
      <c r="J24" s="11">
        <v>287752</v>
      </c>
      <c r="K24" s="11" t="s">
        <v>181</v>
      </c>
      <c r="P24" s="11" t="s">
        <v>2</v>
      </c>
      <c r="Q24">
        <v>5960</v>
      </c>
    </row>
    <row r="25" spans="1:17" x14ac:dyDescent="0.25">
      <c r="A25">
        <v>10</v>
      </c>
      <c r="B25">
        <v>2</v>
      </c>
      <c r="C25" s="11" t="s">
        <v>193</v>
      </c>
      <c r="D25" s="11" t="s">
        <v>145</v>
      </c>
      <c r="E25" s="11">
        <v>603410</v>
      </c>
      <c r="F25" s="11" t="s">
        <v>191</v>
      </c>
      <c r="J25" s="11">
        <v>287752</v>
      </c>
      <c r="K25" s="11" t="s">
        <v>181</v>
      </c>
      <c r="P25" s="11" t="s">
        <v>2</v>
      </c>
      <c r="Q25">
        <v>48</v>
      </c>
    </row>
    <row r="26" spans="1:17" x14ac:dyDescent="0.25">
      <c r="A26">
        <v>11</v>
      </c>
      <c r="B26">
        <v>1</v>
      </c>
      <c r="C26" s="11" t="s">
        <v>193</v>
      </c>
      <c r="D26" s="11" t="s">
        <v>145</v>
      </c>
      <c r="E26" s="11">
        <v>602744</v>
      </c>
      <c r="F26" s="11" t="s">
        <v>189</v>
      </c>
      <c r="J26" s="11">
        <v>287753</v>
      </c>
      <c r="K26" s="11" t="s">
        <v>182</v>
      </c>
      <c r="P26" s="11" t="s">
        <v>2</v>
      </c>
      <c r="Q26">
        <v>5960</v>
      </c>
    </row>
    <row r="27" spans="1:17" x14ac:dyDescent="0.25">
      <c r="A27">
        <v>11</v>
      </c>
      <c r="B27">
        <v>2</v>
      </c>
      <c r="C27" s="11" t="s">
        <v>193</v>
      </c>
      <c r="D27" s="11" t="s">
        <v>145</v>
      </c>
      <c r="E27" s="11">
        <v>603410</v>
      </c>
      <c r="F27" s="11" t="s">
        <v>191</v>
      </c>
      <c r="J27" s="11">
        <v>287753</v>
      </c>
      <c r="K27" s="11" t="s">
        <v>182</v>
      </c>
      <c r="P27" s="11" t="s">
        <v>2</v>
      </c>
      <c r="Q27">
        <v>48</v>
      </c>
    </row>
    <row r="28" spans="1:17" x14ac:dyDescent="0.25">
      <c r="A28">
        <v>12</v>
      </c>
      <c r="B28">
        <v>1</v>
      </c>
      <c r="C28" s="11" t="s">
        <v>193</v>
      </c>
      <c r="D28" s="11" t="s">
        <v>145</v>
      </c>
      <c r="E28" s="11">
        <v>602744</v>
      </c>
      <c r="F28" s="11" t="s">
        <v>189</v>
      </c>
      <c r="J28" s="11">
        <v>287754</v>
      </c>
      <c r="K28" s="11" t="s">
        <v>183</v>
      </c>
      <c r="P28" s="11" t="s">
        <v>2</v>
      </c>
      <c r="Q28">
        <v>17880</v>
      </c>
    </row>
    <row r="29" spans="1:17" x14ac:dyDescent="0.25">
      <c r="A29">
        <v>13</v>
      </c>
      <c r="B29">
        <v>1</v>
      </c>
      <c r="C29" s="11" t="s">
        <v>193</v>
      </c>
      <c r="D29" s="11" t="s">
        <v>145</v>
      </c>
      <c r="E29" s="11">
        <v>602744</v>
      </c>
      <c r="F29" s="11" t="s">
        <v>189</v>
      </c>
      <c r="J29" s="11">
        <v>287755</v>
      </c>
      <c r="K29" s="11" t="s">
        <v>184</v>
      </c>
      <c r="P29" s="11" t="s">
        <v>2</v>
      </c>
      <c r="Q29">
        <v>8940</v>
      </c>
    </row>
    <row r="30" spans="1:17" x14ac:dyDescent="0.25">
      <c r="A30">
        <v>14</v>
      </c>
      <c r="B30">
        <v>1</v>
      </c>
      <c r="C30" s="11" t="s">
        <v>193</v>
      </c>
      <c r="D30" s="11" t="s">
        <v>145</v>
      </c>
      <c r="E30" s="11">
        <v>602744</v>
      </c>
      <c r="F30" s="11" t="s">
        <v>189</v>
      </c>
      <c r="J30" s="11">
        <v>287756</v>
      </c>
      <c r="K30" s="11" t="s">
        <v>185</v>
      </c>
      <c r="P30" s="11" t="s">
        <v>2</v>
      </c>
      <c r="Q30">
        <v>8940</v>
      </c>
    </row>
    <row r="31" spans="1:17" x14ac:dyDescent="0.25">
      <c r="A31">
        <v>15</v>
      </c>
      <c r="B31">
        <v>1</v>
      </c>
      <c r="C31" s="11" t="s">
        <v>193</v>
      </c>
      <c r="D31" s="11" t="s">
        <v>145</v>
      </c>
      <c r="E31" s="11">
        <v>602744</v>
      </c>
      <c r="F31" s="11" t="s">
        <v>189</v>
      </c>
      <c r="J31" s="11">
        <v>287757</v>
      </c>
      <c r="K31" s="11" t="s">
        <v>186</v>
      </c>
      <c r="P31" s="11" t="s">
        <v>2</v>
      </c>
      <c r="Q31">
        <v>2980</v>
      </c>
    </row>
    <row r="32" spans="1:17" x14ac:dyDescent="0.25">
      <c r="A32">
        <v>16</v>
      </c>
      <c r="B32">
        <v>1</v>
      </c>
      <c r="C32" s="11" t="s">
        <v>193</v>
      </c>
      <c r="D32" s="11" t="s">
        <v>145</v>
      </c>
      <c r="E32" s="11">
        <v>602744</v>
      </c>
      <c r="F32" s="11" t="s">
        <v>189</v>
      </c>
      <c r="J32" s="11">
        <v>287758</v>
      </c>
      <c r="K32" s="11" t="s">
        <v>187</v>
      </c>
      <c r="P32" s="11" t="s">
        <v>14</v>
      </c>
      <c r="Q32">
        <v>3600</v>
      </c>
    </row>
    <row r="33" spans="1:17" x14ac:dyDescent="0.25">
      <c r="A33">
        <v>17</v>
      </c>
      <c r="B33">
        <v>1</v>
      </c>
      <c r="C33" s="11" t="s">
        <v>193</v>
      </c>
      <c r="D33" s="11" t="s">
        <v>145</v>
      </c>
      <c r="E33" s="11">
        <v>602744</v>
      </c>
      <c r="F33" s="11" t="s">
        <v>189</v>
      </c>
      <c r="J33" s="11">
        <v>291514</v>
      </c>
      <c r="K33" s="11" t="s">
        <v>188</v>
      </c>
      <c r="P33" s="11" t="s">
        <v>2</v>
      </c>
      <c r="Q33">
        <v>537</v>
      </c>
    </row>
  </sheetData>
  <mergeCells count="3">
    <mergeCell ref="A1:H1"/>
    <mergeCell ref="I1:O1"/>
    <mergeCell ref="P1:S1"/>
  </mergeCells>
  <dataValidations count="2">
    <dataValidation type="list" allowBlank="1" showInputMessage="1" showErrorMessage="1" sqref="D3" xr:uid="{719AA568-ADF0-44DD-A699-2BDCF0C1C07B}">
      <formula1>"050500,050700"</formula1>
    </dataValidation>
    <dataValidation type="list" allowBlank="1" showInputMessage="1" showErrorMessage="1" sqref="C3" xr:uid="{B46A2D86-F815-4E95-8E51-D9E3AF6AFFB8}">
      <formula1>"Pilih Salasatu,261,262,40,41,27,25"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Set_Def</vt:lpstr>
      <vt:lpstr>Set_Cach</vt:lpstr>
      <vt:lpstr>Set_Ref</vt:lpstr>
      <vt:lpstr>Field_Barang</vt:lpstr>
      <vt:lpstr>Field_BahanBaku</vt:lpstr>
      <vt:lpstr>Summary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2024-04-02T07:46:08Z</dcterms:modified>
</cp:coreProperties>
</file>