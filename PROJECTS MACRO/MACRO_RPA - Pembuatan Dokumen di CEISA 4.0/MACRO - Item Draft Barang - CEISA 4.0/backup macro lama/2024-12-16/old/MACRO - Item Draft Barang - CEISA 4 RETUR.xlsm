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_RPA - Pembuatan Dokumen di CEISA 4.0\MACRO - Item Draft Barang - CEISA 4.0\"/>
    </mc:Choice>
  </mc:AlternateContent>
  <xr:revisionPtr revIDLastSave="0" documentId="13_ncr:1_{401763DB-9C24-4DEB-BCCE-72971C5B36F1}" xr6:coauthVersionLast="47" xr6:coauthVersionMax="47" xr10:uidLastSave="{00000000-0000-0000-0000-000000000000}"/>
  <bookViews>
    <workbookView xWindow="-110" yWindow="-110" windowWidth="19420" windowHeight="10420" tabRatio="685" activeTab="2" xr2:uid="{7E7A7F93-5039-4D12-8102-F8D7E7D5379D}"/>
  </bookViews>
  <sheets>
    <sheet name="(M)" sheetId="12" r:id="rId1"/>
    <sheet name="Set_Def" sheetId="128" state="hidden" r:id="rId2"/>
    <sheet name="Set_Cach" sheetId="129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66" r:id="rId8"/>
    <sheet name="BAHANBAKU" sheetId="367" r:id="rId9"/>
    <sheet name="Sheet1" sheetId="368" r:id="rId10"/>
  </sheets>
  <functionGroups builtInGroupCount="19"/>
  <externalReferences>
    <externalReference r:id="rId11"/>
  </externalReferences>
  <definedNames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367"/>
  <c r="AD4" i="367"/>
  <c r="AD5" i="367"/>
  <c r="AD6" i="367"/>
  <c r="AD7" i="367"/>
  <c r="AD8" i="367"/>
  <c r="AD9" i="367"/>
  <c r="AC3" i="367"/>
  <c r="AC4" i="367"/>
  <c r="AC5" i="367"/>
  <c r="AC6" i="367"/>
  <c r="AC7" i="367"/>
  <c r="AC8" i="367"/>
  <c r="AC9" i="367"/>
  <c r="AB3" i="367"/>
  <c r="AB4" i="367"/>
  <c r="AB5" i="367"/>
  <c r="AB6" i="367"/>
  <c r="AB7" i="367"/>
  <c r="AB8" i="367"/>
  <c r="AB9" i="367"/>
  <c r="AA3" i="367"/>
  <c r="AA4" i="367"/>
  <c r="AA5" i="367"/>
  <c r="AA6" i="367"/>
  <c r="AA7" i="367"/>
  <c r="AA8" i="367"/>
  <c r="AA9" i="367"/>
  <c r="Z3" i="367"/>
  <c r="Z4" i="367"/>
  <c r="Z5" i="367"/>
  <c r="Z6" i="367"/>
  <c r="Z7" i="367"/>
  <c r="Z8" i="367"/>
  <c r="Z9" i="367"/>
  <c r="Y3" i="367"/>
  <c r="Y4" i="367"/>
  <c r="Y5" i="367"/>
  <c r="Y6" i="367"/>
  <c r="Y7" i="367"/>
  <c r="Y8" i="367"/>
  <c r="Y9" i="367"/>
  <c r="X3" i="367"/>
  <c r="X4" i="367"/>
  <c r="X5" i="367"/>
  <c r="X6" i="367"/>
  <c r="X7" i="367"/>
  <c r="X8" i="367"/>
  <c r="X9" i="367"/>
  <c r="W3" i="367"/>
  <c r="W4" i="367"/>
  <c r="W5" i="367"/>
  <c r="W6" i="367"/>
  <c r="W7" i="367"/>
  <c r="W8" i="367"/>
  <c r="W9" i="367"/>
  <c r="V3" i="367"/>
  <c r="V4" i="367"/>
  <c r="V5" i="367"/>
  <c r="V6" i="367"/>
  <c r="V7" i="367"/>
  <c r="V8" i="367"/>
  <c r="V9" i="367"/>
  <c r="U3" i="367"/>
  <c r="U4" i="367"/>
  <c r="U5" i="367"/>
  <c r="U6" i="367"/>
  <c r="U7" i="367"/>
  <c r="U8" i="367"/>
  <c r="U9" i="367"/>
  <c r="T3" i="367"/>
  <c r="T4" i="367"/>
  <c r="T5" i="367"/>
  <c r="T6" i="367"/>
  <c r="T7" i="367"/>
  <c r="T8" i="367"/>
  <c r="T9" i="367"/>
  <c r="X3" i="366"/>
  <c r="W3" i="366"/>
  <c r="V3" i="366"/>
  <c r="U3" i="366"/>
  <c r="T3" i="366"/>
  <c r="S3" i="366"/>
  <c r="R3" i="366"/>
  <c r="Q3" i="366"/>
  <c r="P3" i="366"/>
  <c r="O3" i="366"/>
  <c r="AE7" i="367" l="1"/>
  <c r="AE3" i="367"/>
  <c r="AE9" i="367"/>
  <c r="AE5" i="367"/>
  <c r="AE6" i="367"/>
  <c r="AE8" i="367"/>
  <c r="AE4" i="367"/>
  <c r="Y3" i="366"/>
  <c r="C6" i="135" s="1"/>
  <c r="C12" i="135" l="1"/>
  <c r="C1" i="135" l="1"/>
  <c r="C3" i="135" s="1"/>
  <c r="C2" i="135"/>
  <c r="D12" i="128" l="1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308A3404-8628-41F1-B97D-C557CDD0551B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17F3C805-A807-471F-8CDA-7CD7EBAD749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BFBCD872-3696-41C7-A91A-16311EF5994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6BA2EBA5-37CA-4F67-AE37-BF8F75D8755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8C9E3132-945E-48AF-9C38-361B6479274F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8C57CD63-1A8C-4F08-961C-A543DE7C813A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E09151B3-5ACF-456F-B2E7-917E6AD4024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A781476E-A40C-4A1B-B27C-133FBEAD2B22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CA03A4A6-BBCF-4B58-94D2-65A0787D4E4C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232ECECA-C49E-4331-AA1E-815E4EB0C88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CCF8967B-655F-44D1-AB30-E066C4DEA31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9B12209D-B99E-4823-8932-BAA77133A10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316778F5-AE2F-4AC5-8D7A-533D901A882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D12BA8EA-C741-4F13-B0C7-1289A79986E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ACA6A10A-5805-442C-A549-7A272FA54F9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47D2FB48-2E8C-4403-921A-E2F5E9322A15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439D2F23-9CD8-4D21-A422-C4A20D20036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B9885097-7711-43DA-AAED-6F01F37EE9F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C51DF8AE-98C2-4E15-8A9A-2FF155363D0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A1A9D0BA-1826-461C-9AB3-8E428D9D631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C735467D-93F5-42B3-B727-0312E8705D0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7ADB5FA3-12D3-49FA-A9E2-8D2BF1C3A7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CABFD5B8-03AB-4047-BF05-1AE4119C3953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<sst xmlns="http://schemas.openxmlformats.org/spreadsheetml/2006/main" count="457" uniqueCount="198">
  <si>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</si>
  <si>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</si>
  <si>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</si>
  <si>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</si>
  <si>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</si>
  <si>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</si>
  <si>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</si>
  <si>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</si>
  <si>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</si>
  <si>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</si>
  <si>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</si>
  <si>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</si>
  <si>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</si>
  <si>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</si>
  <si>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</si>
  <si>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</si>
  <si>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</si>
  <si>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</si>
  <si>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</si>
  <si>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</si>
  <si>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</si>
  <si>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</si>
  <si>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</si>
  <si>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</si>
  <si>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</si>
  <si>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</si>
  <si>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</si>
  <si>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</si>
  <si>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</si>
  <si>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</si>
  <si>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</si>
  <si>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</si>
  <si>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</si>
  <si>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</si>
  <si>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</si>
  <si>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</si>
  <si>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</si>
  <si>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</si>
  <si>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</si>
  <si>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</si>
  <si>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</si>
  <si>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</si>
  <si>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</si>
  <si>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</si>
  <si>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</si>
  <si>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</si>
  <si>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</si>
  <si>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</si>
  <si>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</si>
  <si>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</si>
  <si>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</si>
  <si>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</si>
  <si>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</si>
  <si>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</si>
  <si>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</si>
  <si>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</si>
  <si>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</si>
  <si>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</si>
  <si>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</si>
  <si>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</si>
  <si>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</si>
  <si>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</si>
  <si>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</si>
  <si>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</si>
  <si>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</si>
  <si>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</si>
  <si>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</si>
  <si>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</si>
  <si>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</si>
  <si>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</si>
  <si>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</si>
  <si>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</si>
  <si>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</si>
  <si>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</si>
  <si>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</si>
  <si>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</si>
  <si>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</si>
  <si>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</si>
  <si>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</si>
  <si>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</si>
  <si>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</si>
  <si>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</si>
  <si>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</si>
  <si>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</si>
  <si>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</si>
  <si>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</si>
  <si>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</si>
  <si>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</si>
  <si>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</si>
  <si>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</si>
  <si>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</si>
  <si>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</si>
  <si>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</si>
  <si>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</si>
  <si>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</si>
  <si>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</si>
  <si>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</si>
  <si>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</si>
  <si>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</si>
  <si>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</si>
  <si>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</si>
  <si>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</si>
  <si>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</si>
  <si>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</si>
  <si>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</si>
  <si>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</si>
  <si>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</si>
  <si>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</si>
  <si>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</si>
  <si>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</si>
  <si>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</si>
  <si>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</si>
  <si>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</si>
  <si>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</si>
  <si>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</si>
  <si>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</si>
  <si>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</si>
  <si>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</si>
  <si>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</si>
  <si>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</si>
  <si>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</si>
  <si>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</si>
  <si>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</si>
  <si>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</si>
  <si>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</si>
  <si>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</si>
  <si>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</si>
  <si>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</si>
  <si>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</si>
  <si>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</si>
  <si>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</si>
  <si>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</si>
  <si>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</si>
  <si>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</si>
  <si>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</si>
  <si>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</si>
  <si>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</si>
  <si>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</si>
  <si>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</si>
  <si>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</si>
  <si>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</si>
  <si>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</si>
  <si>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</si>
  <si>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</si>
  <si>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</si>
  <si>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</si>
  <si>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</si>
  <si>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</si>
  <si>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</si>
  <si>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</si>
  <si>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</si>
  <si>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</si>
  <si>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</si>
  <si>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</si>
  <si>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</si>
  <si>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</si>
  <si>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</si>
  <si>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</si>
  <si>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</si>
  <si>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</si>
  <si>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</si>
  <si>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</si>
  <si>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</si>
  <si>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</si>
  <si>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</si>
  <si>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</si>
  <si>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</si>
  <si>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</si>
  <si>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</si>
  <si>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</si>
  <si>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VALIDASI 1</t>
  </si>
  <si>
    <t>T/F</t>
  </si>
  <si>
    <t>DATA YG WAJIB DICARI 2</t>
  </si>
  <si>
    <t>58063290</t>
  </si>
  <si>
    <t>63109090</t>
  </si>
  <si>
    <t>MAJUN IMPOR</t>
  </si>
  <si>
    <t>80A600012,97%CTN 3% SPAN,145CM</t>
  </si>
  <si>
    <t>TK-20S POLY COTTON DOBBY SLEEK</t>
  </si>
  <si>
    <t>18150,NON WOVEN FABRIC FUSED</t>
  </si>
  <si>
    <t>JB75, POLY STRAIGHT TAPE FUSED</t>
  </si>
  <si>
    <t>18150-T,NON WOVEN TAPE FUSED</t>
  </si>
  <si>
    <t>270181</t>
  </si>
  <si>
    <t>292295</t>
  </si>
  <si>
    <t>270182</t>
  </si>
  <si>
    <t>292296</t>
  </si>
  <si>
    <t>52093900</t>
  </si>
  <si>
    <t>268104/270180</t>
  </si>
  <si>
    <t>54078200</t>
  </si>
  <si>
    <t>C:\Users\sdewi\Downloads\00026231560820240917001345.xlsx</t>
  </si>
  <si>
    <t>C:\Users\sdewi\Downloads\BC 262 24001081-1201-.xlsx</t>
  </si>
  <si>
    <t>229075/229677</t>
  </si>
  <si>
    <t>2024-09-06</t>
  </si>
  <si>
    <t>MP2000, 100% POLY DYED FABRIC</t>
  </si>
  <si>
    <t>616785</t>
  </si>
  <si>
    <t>301505</t>
  </si>
  <si>
    <t>00026131560820240906002207</t>
  </si>
  <si>
    <t>54076190</t>
  </si>
  <si>
    <t>PJ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</si>
</sst>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9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0" fillId="51" borderId="0" xfId="0" applyFill="1" applyAlignment="1">
      <alignment horizontal="center"/>
    </xf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0" fontId="4" fillId="50" borderId="15" xfId="0" applyFont="1" applyFill="1" applyBorder="1" applyAlignment="1">
      <alignment horizontal="center"/>
    </xf>
    <xf numFmtId="0" fontId="4" fillId="50" borderId="0" xfId="0" applyFont="1" applyFill="1" applyAlignment="1">
      <alignment horizont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O8" sqref="O8"/>
    </sheetView>
  </sheetViews>
  <sheetFormatPr defaultRowHeight="14.5" x14ac:dyDescent="0.35"/>
  <sheetData>
    <row r="1" spans="1:14" s="4" customFormat="1" x14ac:dyDescent="0.35">
      <c r="H1" s="43"/>
    </row>
    <row r="2" spans="1:14" s="4" customFormat="1" x14ac:dyDescent="0.35"/>
    <row r="3" spans="1:14" s="4" customFormat="1" x14ac:dyDescent="0.35"/>
    <row r="4" spans="1:14" s="4" customFormat="1" x14ac:dyDescent="0.35"/>
    <row r="5" spans="1:14" s="42" customFormat="1" ht="7.5" customHeight="1" x14ac:dyDescent="0.35">
      <c r="A5" s="88"/>
      <c r="B5" s="88"/>
      <c r="C5" s="88"/>
      <c r="D5" s="88"/>
      <c r="E5" s="88"/>
      <c r="F5" s="88"/>
      <c r="G5" s="88"/>
      <c r="H5" s="38" t="s">
        <v>0</v>
      </c>
      <c r="I5" s="87"/>
      <c r="J5" s="87"/>
      <c r="K5" s="87"/>
      <c r="L5" s="87"/>
      <c r="M5" s="39" t="s">
        <v>0</v>
      </c>
    </row>
    <row r="6" spans="1:14" s="41" customFormat="1" x14ac:dyDescent="0.35">
      <c r="A6" s="40"/>
    </row>
    <row r="7" spans="1:14" s="41" customFormat="1" x14ac:dyDescent="0.35"/>
    <row r="8" spans="1:14" s="41" customFormat="1" x14ac:dyDescent="0.35">
      <c r="H8" s="86" t="s">
        <v>166</v>
      </c>
      <c r="I8" s="86"/>
      <c r="J8" s="86"/>
      <c r="K8" s="86"/>
      <c r="L8" s="86"/>
      <c r="M8" s="86"/>
    </row>
    <row r="9" spans="1:14" s="41" customFormat="1" ht="76.5" customHeight="1" x14ac:dyDescent="0.35">
      <c r="H9" s="86"/>
      <c r="I9" s="86"/>
      <c r="J9" s="86"/>
      <c r="K9" s="86"/>
      <c r="L9" s="86"/>
      <c r="M9" s="86"/>
    </row>
    <row r="10" spans="1:14" s="41" customFormat="1" x14ac:dyDescent="0.35">
      <c r="H10" s="86"/>
      <c r="I10" s="86"/>
      <c r="J10" s="86"/>
      <c r="K10" s="86"/>
      <c r="L10" s="86"/>
      <c r="M10" s="86"/>
    </row>
    <row r="11" spans="1:14" s="41" customFormat="1" x14ac:dyDescent="0.35">
      <c r="H11" s="86"/>
      <c r="I11" s="86"/>
      <c r="J11" s="86"/>
      <c r="K11" s="86"/>
      <c r="L11" s="86"/>
      <c r="M11" s="86"/>
    </row>
    <row r="12" spans="1:14" s="41" customFormat="1" x14ac:dyDescent="0.35"/>
    <row r="13" spans="1:14" s="41" customFormat="1" x14ac:dyDescent="0.35">
      <c r="A13" s="40"/>
    </row>
    <row r="14" spans="1:14" s="3" customFormat="1" ht="6" customHeight="1" x14ac:dyDescent="0.35">
      <c r="G14" s="38" t="s">
        <v>0</v>
      </c>
      <c r="H14" s="87"/>
      <c r="I14" s="87"/>
      <c r="J14" s="87"/>
      <c r="K14" s="87"/>
      <c r="L14" s="87"/>
      <c r="M14" s="87"/>
      <c r="N14" s="39" t="s">
        <v>0</v>
      </c>
    </row>
    <row r="15" spans="1:14" s="4" customFormat="1" x14ac:dyDescent="0.35"/>
    <row r="16" spans="1:14" s="4" customFormat="1" x14ac:dyDescent="0.35"/>
    <row r="17" s="4" customFormat="1" x14ac:dyDescent="0.35"/>
    <row r="18" s="4" customFormat="1" x14ac:dyDescent="0.35"/>
    <row r="19" s="4" customFormat="1" x14ac:dyDescent="0.35"/>
    <row r="20" s="4" customFormat="1" x14ac:dyDescent="0.35"/>
    <row r="21" s="4" customFormat="1" x14ac:dyDescent="0.35"/>
    <row r="22" s="4" customFormat="1" x14ac:dyDescent="0.35"/>
    <row r="23" s="4" customFormat="1" x14ac:dyDescent="0.35"/>
    <row r="24" s="4" customFormat="1" x14ac:dyDescent="0.35"/>
    <row r="25" s="4" customFormat="1" x14ac:dyDescent="0.35"/>
    <row r="26" s="4" customFormat="1" x14ac:dyDescent="0.35"/>
    <row r="27" s="4" customFormat="1" x14ac:dyDescent="0.35"/>
    <row r="28" s="4" customFormat="1" x14ac:dyDescent="0.35"/>
    <row r="29" s="4" customFormat="1" x14ac:dyDescent="0.35"/>
    <row r="30" s="4" customFormat="1" x14ac:dyDescent="0.35"/>
    <row r="31" s="4" customFormat="1" x14ac:dyDescent="0.35"/>
    <row r="32" s="4" customFormat="1" x14ac:dyDescent="0.35"/>
    <row r="33" s="4" customFormat="1" x14ac:dyDescent="0.35"/>
    <row r="34" s="4" customFormat="1" x14ac:dyDescent="0.35"/>
    <row r="35" s="4" customFormat="1" x14ac:dyDescent="0.35"/>
    <row r="36" s="4" customFormat="1" x14ac:dyDescent="0.35"/>
    <row r="37" s="4" customFormat="1" x14ac:dyDescent="0.35"/>
    <row r="38" s="4" customFormat="1" x14ac:dyDescent="0.35"/>
    <row r="39" s="4" customFormat="1" x14ac:dyDescent="0.35"/>
    <row r="40" s="4" customFormat="1" x14ac:dyDescent="0.35"/>
    <row r="41" s="4" customFormat="1" x14ac:dyDescent="0.35"/>
    <row r="42" s="4" customFormat="1" x14ac:dyDescent="0.35"/>
    <row r="43" s="4" customFormat="1" x14ac:dyDescent="0.35"/>
    <row r="44" s="4" customFormat="1" x14ac:dyDescent="0.35"/>
    <row r="45" s="4" customFormat="1" x14ac:dyDescent="0.35"/>
    <row r="46" s="4" customFormat="1" x14ac:dyDescent="0.35"/>
    <row r="47" s="4" customFormat="1" x14ac:dyDescent="0.35"/>
    <row r="48" s="4" customFormat="1" x14ac:dyDescent="0.35"/>
    <row r="49" s="4" customFormat="1" x14ac:dyDescent="0.35"/>
    <row r="50" s="4" customFormat="1" x14ac:dyDescent="0.35"/>
    <row r="51" s="4" customFormat="1" x14ac:dyDescent="0.35"/>
    <row r="52" s="4" customFormat="1" x14ac:dyDescent="0.35"/>
    <row r="53" s="4" customFormat="1" x14ac:dyDescent="0.35"/>
    <row r="54" s="4" customFormat="1" x14ac:dyDescent="0.35"/>
    <row r="55" s="4" customFormat="1" x14ac:dyDescent="0.35"/>
    <row r="56" s="4" customFormat="1" x14ac:dyDescent="0.35"/>
    <row r="57" s="4" customFormat="1" x14ac:dyDescent="0.35"/>
    <row r="58" s="4" customFormat="1" x14ac:dyDescent="0.35"/>
    <row r="59" s="4" customFormat="1" x14ac:dyDescent="0.35"/>
    <row r="60" s="4" customFormat="1" x14ac:dyDescent="0.35"/>
    <row r="61" s="4" customFormat="1" x14ac:dyDescent="0.35"/>
    <row r="62" s="4" customFormat="1" x14ac:dyDescent="0.35"/>
    <row r="63" s="4" customFormat="1" x14ac:dyDescent="0.35"/>
    <row r="64" s="4" customFormat="1" x14ac:dyDescent="0.35"/>
    <row r="65" s="4" customFormat="1" x14ac:dyDescent="0.35"/>
    <row r="66" s="4" customFormat="1" x14ac:dyDescent="0.35"/>
    <row r="67" s="4" customFormat="1" x14ac:dyDescent="0.35"/>
    <row r="68" s="4" customFormat="1" x14ac:dyDescent="0.35"/>
    <row r="69" s="4" customFormat="1" x14ac:dyDescent="0.35"/>
    <row r="70" s="4" customFormat="1" x14ac:dyDescent="0.35"/>
    <row r="71" s="4" customFormat="1" x14ac:dyDescent="0.35"/>
    <row r="72" s="4" customFormat="1" x14ac:dyDescent="0.35"/>
    <row r="73" s="4" customFormat="1" x14ac:dyDescent="0.35"/>
    <row r="74" s="4" customFormat="1" x14ac:dyDescent="0.35"/>
    <row r="75" s="4" customFormat="1" x14ac:dyDescent="0.35"/>
    <row r="76" s="4" customFormat="1" x14ac:dyDescent="0.35"/>
    <row r="77" s="4" customFormat="1" x14ac:dyDescent="0.35"/>
    <row r="78" s="4" customFormat="1" x14ac:dyDescent="0.35"/>
    <row r="79" s="4" customFormat="1" x14ac:dyDescent="0.35"/>
    <row r="80" s="4" customFormat="1" x14ac:dyDescent="0.35"/>
    <row r="81" s="4" customFormat="1" x14ac:dyDescent="0.35"/>
    <row r="82" s="4" customFormat="1" x14ac:dyDescent="0.35"/>
    <row r="83" s="4" customFormat="1" x14ac:dyDescent="0.35"/>
    <row r="84" s="4" customFormat="1" x14ac:dyDescent="0.35"/>
    <row r="85" s="4" customFormat="1" x14ac:dyDescent="0.35"/>
    <row r="86" s="4" customFormat="1" x14ac:dyDescent="0.35"/>
    <row r="87" s="4" customFormat="1" x14ac:dyDescent="0.35"/>
    <row r="88" s="4" customFormat="1" x14ac:dyDescent="0.35"/>
    <row r="89" s="4" customFormat="1" x14ac:dyDescent="0.35"/>
    <row r="90" s="4" customFormat="1" x14ac:dyDescent="0.35"/>
    <row r="91" s="4" customFormat="1" x14ac:dyDescent="0.35"/>
    <row r="92" s="4" customFormat="1" x14ac:dyDescent="0.35"/>
    <row r="93" s="4" customFormat="1" x14ac:dyDescent="0.35"/>
    <row r="94" s="4" customFormat="1" x14ac:dyDescent="0.35"/>
    <row r="95" s="4" customFormat="1" x14ac:dyDescent="0.35"/>
    <row r="96" s="4" customFormat="1" x14ac:dyDescent="0.35"/>
    <row r="97" s="4" customFormat="1" x14ac:dyDescent="0.35"/>
    <row r="98" s="4" customFormat="1" x14ac:dyDescent="0.35"/>
    <row r="99" s="4" customFormat="1" x14ac:dyDescent="0.35"/>
    <row r="100" s="4" customFormat="1" x14ac:dyDescent="0.3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>
      <selection activeCell="C7" sqref="C7"/>
    </sheetView>
  </sheetViews>
  <sheetFormatPr defaultRowHeight="14.5" x14ac:dyDescent="0.35"/>
  <cols>
    <col min="1" max="1" width="9.54296875" bestFit="1" customWidth="1"/>
    <col min="2" max="2" width="29.26953125" bestFit="1" customWidth="1"/>
    <col min="3" max="3" width="33" style="5" customWidth="1"/>
    <col min="4" max="4" width="14.1796875" bestFit="1" customWidth="1"/>
    <col min="5" max="5" width="3.453125" customWidth="1"/>
    <col min="6" max="6" width="9.54296875" bestFit="1" customWidth="1"/>
    <col min="7" max="7" width="22" bestFit="1" customWidth="1"/>
    <col min="8" max="8" width="56.54296875" bestFit="1" customWidth="1"/>
    <col min="9" max="9" width="3.453125" customWidth="1"/>
    <col min="10" max="10" width="11" customWidth="1"/>
    <col min="11" max="11" width="26.453125" bestFit="1" customWidth="1"/>
    <col min="12" max="12" width="16.453125" bestFit="1" customWidth="1"/>
    <col min="13" max="13" width="39.1796875" bestFit="1" customWidth="1"/>
    <col min="14" max="14" width="3.453125" customWidth="1"/>
    <col min="15" max="15" width="4.453125" customWidth="1"/>
    <col min="16" max="16" width="9.7265625" bestFit="1" customWidth="1"/>
    <col min="17" max="17" width="13.453125" bestFit="1" customWidth="1"/>
    <col min="18" max="18" width="19" bestFit="1" customWidth="1"/>
    <col min="19" max="19" width="23.26953125" bestFit="1" customWidth="1"/>
    <col min="20" max="20" width="3.453125" customWidth="1"/>
    <col min="22" max="22" width="22" bestFit="1" customWidth="1"/>
  </cols>
  <sheetData>
    <row r="1" spans="1:24" x14ac:dyDescent="0.35">
      <c r="A1" t="s">
        <v>121</v>
      </c>
      <c r="B1">
        <v>1.9</v>
      </c>
      <c r="E1" s="10"/>
      <c r="I1" s="10"/>
      <c r="N1" s="10"/>
      <c r="T1" s="10"/>
    </row>
    <row r="2" spans="1:24" hidden="1" x14ac:dyDescent="0.35">
      <c r="E2" s="10"/>
      <c r="I2" s="10"/>
      <c r="N2" s="10"/>
      <c r="T2" s="10"/>
    </row>
    <row r="3" spans="1:24" hidden="1" x14ac:dyDescent="0.35">
      <c r="E3" s="10"/>
      <c r="I3" s="10"/>
      <c r="N3" s="10"/>
      <c r="T3" s="10"/>
    </row>
    <row r="4" spans="1:24" x14ac:dyDescent="0.3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3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3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3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3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3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3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3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3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3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3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3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3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3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3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tabSelected="1" workbookViewId="0">
      <selection activeCell="C13" sqref="C13"/>
    </sheetView>
  </sheetViews>
  <sheetFormatPr defaultRowHeight="14.5" x14ac:dyDescent="0.35"/>
  <cols>
    <col min="1" max="1" width="10.7265625" bestFit="1" customWidth="1"/>
    <col min="2" max="2" width="19.54296875" customWidth="1"/>
    <col min="3" max="3" width="54.7265625" customWidth="1"/>
    <col min="4" max="4" width="8.1796875" bestFit="1" customWidth="1"/>
    <col min="5" max="5" width="5.7265625" customWidth="1"/>
    <col min="6" max="6" width="8.453125" hidden="1" customWidth="1"/>
    <col min="7" max="7" width="24.453125" hidden="1" customWidth="1"/>
    <col min="8" max="8" width="12.54296875" hidden="1" customWidth="1"/>
    <col min="9" max="9" width="8.1796875" hidden="1" customWidth="1"/>
    <col min="10" max="10" width="4.1796875" customWidth="1"/>
    <col min="11" max="11" width="8.453125" bestFit="1" customWidth="1"/>
    <col min="12" max="12" width="19.453125" customWidth="1"/>
    <col min="13" max="13" width="16" customWidth="1"/>
    <col min="14" max="14" width="8.1796875" bestFit="1" customWidth="1"/>
    <col min="15" max="15" width="3.26953125" customWidth="1"/>
  </cols>
  <sheetData>
    <row r="1" spans="1:14 2750:2782" x14ac:dyDescent="0.3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3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3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3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3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35">
      <c r="A6" s="2" t="b">
        <v>1</v>
      </c>
      <c r="B6" s="2" t="s">
        <v>104</v>
      </c>
      <c r="C6" s="2" t="s">
        <v>188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35">
      <c r="A7" s="2" t="b">
        <v>1</v>
      </c>
      <c r="B7" s="2" t="s">
        <v>164</v>
      </c>
      <c r="C7" s="2" t="s">
        <v>189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35">
      <c r="A8" s="2" t="b">
        <v>1</v>
      </c>
      <c r="B8" s="2" t="s">
        <v>197</v>
      </c>
      <c r="C8" s="8"/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3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3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3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3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3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3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3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4.5" x14ac:dyDescent="0.35"/>
  <cols>
    <col min="1" max="1" width="15" customWidth="1"/>
    <col min="2" max="2" width="17.1796875" customWidth="1"/>
    <col min="3" max="3" width="6.54296875" customWidth="1"/>
    <col min="4" max="4" width="8.1796875" customWidth="1"/>
    <col min="5" max="5" width="34.81640625" customWidth="1"/>
    <col min="6" max="6" width="5.54296875" customWidth="1"/>
    <col min="8" max="8" width="13.453125" bestFit="1" customWidth="1"/>
    <col min="9" max="9" width="19" bestFit="1" customWidth="1"/>
    <col min="10" max="10" width="23.26953125" bestFit="1" customWidth="1"/>
  </cols>
  <sheetData>
    <row r="2" spans="1:5" hidden="1" x14ac:dyDescent="0.35"/>
    <row r="3" spans="1:5" hidden="1" x14ac:dyDescent="0.35"/>
    <row r="4" spans="1:5" x14ac:dyDescent="0.35">
      <c r="A4" s="66" t="s">
        <v>120</v>
      </c>
      <c r="D4" s="66" t="s">
        <v>134</v>
      </c>
    </row>
    <row r="5" spans="1:5" x14ac:dyDescent="0.3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35">
      <c r="A6" t="s">
        <v>14</v>
      </c>
      <c r="B6" t="s">
        <v>9</v>
      </c>
      <c r="D6">
        <v>3</v>
      </c>
      <c r="E6" t="s">
        <v>137</v>
      </c>
    </row>
    <row r="7" spans="1:5" x14ac:dyDescent="0.35">
      <c r="A7" t="s">
        <v>42</v>
      </c>
      <c r="B7" t="s">
        <v>37</v>
      </c>
      <c r="D7">
        <v>7</v>
      </c>
      <c r="E7" t="s">
        <v>136</v>
      </c>
    </row>
    <row r="8" spans="1:5" x14ac:dyDescent="0.35">
      <c r="A8" t="s">
        <v>2</v>
      </c>
      <c r="B8" t="s">
        <v>8</v>
      </c>
      <c r="D8">
        <v>8</v>
      </c>
      <c r="E8" t="s">
        <v>138</v>
      </c>
    </row>
    <row r="9" spans="1:5" x14ac:dyDescent="0.35">
      <c r="A9" t="s">
        <v>16</v>
      </c>
      <c r="B9" t="s">
        <v>12</v>
      </c>
      <c r="D9">
        <v>9</v>
      </c>
      <c r="E9" t="s">
        <v>139</v>
      </c>
    </row>
    <row r="10" spans="1:5" x14ac:dyDescent="0.35">
      <c r="A10" t="s">
        <v>17</v>
      </c>
      <c r="B10" t="s">
        <v>6</v>
      </c>
    </row>
    <row r="11" spans="1:5" x14ac:dyDescent="0.35">
      <c r="A11" t="s">
        <v>18</v>
      </c>
      <c r="B11" t="s">
        <v>19</v>
      </c>
    </row>
    <row r="12" spans="1:5" x14ac:dyDescent="0.35">
      <c r="A12" t="s">
        <v>20</v>
      </c>
      <c r="B12" t="s">
        <v>21</v>
      </c>
    </row>
    <row r="13" spans="1:5" x14ac:dyDescent="0.35">
      <c r="A13" t="s">
        <v>22</v>
      </c>
      <c r="B13" t="s">
        <v>22</v>
      </c>
    </row>
    <row r="14" spans="1:5" x14ac:dyDescent="0.35">
      <c r="A14" t="s">
        <v>23</v>
      </c>
      <c r="B14" t="s">
        <v>11</v>
      </c>
    </row>
    <row r="15" spans="1:5" x14ac:dyDescent="0.35">
      <c r="A15" t="s">
        <v>24</v>
      </c>
      <c r="B15" t="s">
        <v>25</v>
      </c>
    </row>
    <row r="16" spans="1:5" x14ac:dyDescent="0.35">
      <c r="A16" t="s">
        <v>26</v>
      </c>
      <c r="B16" t="s">
        <v>27</v>
      </c>
    </row>
    <row r="17" spans="1:2" x14ac:dyDescent="0.35">
      <c r="A17" t="s">
        <v>28</v>
      </c>
      <c r="B17" t="s">
        <v>29</v>
      </c>
    </row>
    <row r="18" spans="1:2" x14ac:dyDescent="0.35">
      <c r="A18" t="s">
        <v>30</v>
      </c>
      <c r="B18" t="s">
        <v>31</v>
      </c>
    </row>
    <row r="19" spans="1:2" x14ac:dyDescent="0.35">
      <c r="A19" t="s">
        <v>34</v>
      </c>
      <c r="B19" t="s">
        <v>10</v>
      </c>
    </row>
    <row r="20" spans="1:2" x14ac:dyDescent="0.35">
      <c r="A20" t="s">
        <v>15</v>
      </c>
      <c r="B20" t="s">
        <v>7</v>
      </c>
    </row>
    <row r="21" spans="1:2" x14ac:dyDescent="0.35">
      <c r="A21" t="s">
        <v>43</v>
      </c>
      <c r="B21" t="s">
        <v>31</v>
      </c>
    </row>
    <row r="22" spans="1:2" x14ac:dyDescent="0.35">
      <c r="A22" t="s">
        <v>44</v>
      </c>
      <c r="B22" t="s">
        <v>16</v>
      </c>
    </row>
    <row r="23" spans="1:2" x14ac:dyDescent="0.35">
      <c r="A23" t="s">
        <v>45</v>
      </c>
      <c r="B23" t="s">
        <v>37</v>
      </c>
    </row>
    <row r="24" spans="1:2" x14ac:dyDescent="0.35">
      <c r="A24" t="s">
        <v>56</v>
      </c>
      <c r="B24" t="s">
        <v>57</v>
      </c>
    </row>
    <row r="25" spans="1:2" x14ac:dyDescent="0.35">
      <c r="A25" t="s">
        <v>110</v>
      </c>
      <c r="B25" t="s">
        <v>111</v>
      </c>
    </row>
    <row r="26" spans="1:2" x14ac:dyDescent="0.35">
      <c r="A26" t="s">
        <v>112</v>
      </c>
      <c r="B26" t="s">
        <v>113</v>
      </c>
    </row>
    <row r="27" spans="1:2" x14ac:dyDescent="0.35">
      <c r="A27" t="s">
        <v>114</v>
      </c>
      <c r="B27" t="s">
        <v>115</v>
      </c>
    </row>
    <row r="28" spans="1:2" x14ac:dyDescent="0.35">
      <c r="A28" t="s">
        <v>116</v>
      </c>
      <c r="B28" t="s">
        <v>30</v>
      </c>
    </row>
    <row r="29" spans="1:2" x14ac:dyDescent="0.35">
      <c r="A29" t="s">
        <v>117</v>
      </c>
      <c r="B29" t="s">
        <v>118</v>
      </c>
    </row>
    <row r="30" spans="1:2" x14ac:dyDescent="0.35">
      <c r="A30" t="s">
        <v>31</v>
      </c>
      <c r="B30" t="s">
        <v>31</v>
      </c>
    </row>
    <row r="31" spans="1:2" x14ac:dyDescent="0.3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4.5" x14ac:dyDescent="0.35"/>
  <cols>
    <col min="1" max="1" width="12.7265625" bestFit="1" customWidth="1"/>
    <col min="2" max="2" width="6.81640625" customWidth="1"/>
    <col min="3" max="3" width="14" bestFit="1" customWidth="1"/>
    <col min="4" max="4" width="8" bestFit="1" customWidth="1"/>
    <col min="5" max="5" width="11.7265625" bestFit="1" customWidth="1"/>
    <col min="6" max="6" width="4.7265625" bestFit="1" customWidth="1"/>
    <col min="7" max="7" width="8.54296875" bestFit="1" customWidth="1"/>
    <col min="8" max="8" width="16" bestFit="1" customWidth="1"/>
    <col min="9" max="9" width="13.7265625" bestFit="1" customWidth="1"/>
    <col min="10" max="10" width="16" bestFit="1" customWidth="1"/>
    <col min="11" max="11" width="15.26953125" bestFit="1" customWidth="1"/>
    <col min="12" max="12" width="17.7265625" bestFit="1" customWidth="1"/>
    <col min="13" max="13" width="6.81640625" bestFit="1" customWidth="1"/>
    <col min="14" max="14" width="8.1796875" customWidth="1"/>
    <col min="15" max="15" width="20" bestFit="1" customWidth="1"/>
    <col min="16" max="16" width="10.453125" bestFit="1" customWidth="1"/>
    <col min="17" max="17" width="13.7265625" bestFit="1" customWidth="1"/>
  </cols>
  <sheetData>
    <row r="1" spans="1:16" x14ac:dyDescent="0.35">
      <c r="A1" s="48"/>
      <c r="B1" s="49"/>
      <c r="C1" s="50"/>
      <c r="E1" s="56"/>
    </row>
    <row r="2" spans="1:16" ht="6" customHeight="1" x14ac:dyDescent="0.35"/>
    <row r="3" spans="1:16" x14ac:dyDescent="0.35">
      <c r="A3" s="51">
        <v>262</v>
      </c>
    </row>
    <row r="4" spans="1:16" x14ac:dyDescent="0.35">
      <c r="A4" s="89" t="s">
        <v>35</v>
      </c>
      <c r="B4" s="90"/>
      <c r="C4" s="90"/>
      <c r="D4" s="90"/>
      <c r="E4" s="90"/>
      <c r="F4" s="90"/>
      <c r="G4" s="90"/>
      <c r="H4" s="91"/>
      <c r="I4" s="89" t="s">
        <v>91</v>
      </c>
      <c r="J4" s="90"/>
      <c r="K4" s="90"/>
      <c r="L4" s="90"/>
      <c r="M4" s="91"/>
      <c r="N4" s="58" t="s">
        <v>92</v>
      </c>
    </row>
    <row r="5" spans="1:16" x14ac:dyDescent="0.3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35">
      <c r="A7" s="51">
        <v>27</v>
      </c>
    </row>
    <row r="8" spans="1:16" x14ac:dyDescent="0.35">
      <c r="A8" s="89" t="s">
        <v>35</v>
      </c>
      <c r="B8" s="90"/>
      <c r="C8" s="90"/>
      <c r="D8" s="90"/>
      <c r="E8" s="90"/>
      <c r="F8" s="90"/>
      <c r="G8" s="90"/>
      <c r="H8" s="91"/>
      <c r="I8" s="89" t="s">
        <v>91</v>
      </c>
      <c r="J8" s="90"/>
      <c r="K8" s="90"/>
      <c r="L8" s="90"/>
      <c r="M8" s="91"/>
      <c r="N8" s="89" t="s">
        <v>92</v>
      </c>
      <c r="O8" s="91"/>
    </row>
    <row r="9" spans="1:16" x14ac:dyDescent="0.3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35">
      <c r="A11" s="51">
        <v>41</v>
      </c>
    </row>
    <row r="12" spans="1:16" x14ac:dyDescent="0.35">
      <c r="A12" s="89" t="s">
        <v>35</v>
      </c>
      <c r="B12" s="90"/>
      <c r="C12" s="90"/>
      <c r="D12" s="90"/>
      <c r="E12" s="90"/>
      <c r="F12" s="90"/>
      <c r="G12" s="90"/>
      <c r="H12" s="91"/>
      <c r="I12" s="89" t="s">
        <v>91</v>
      </c>
      <c r="J12" s="90"/>
      <c r="K12" s="90"/>
      <c r="L12" s="90"/>
      <c r="M12" s="91"/>
      <c r="N12" s="89" t="s">
        <v>92</v>
      </c>
      <c r="O12" s="90"/>
      <c r="P12" s="91"/>
    </row>
    <row r="13" spans="1:16" x14ac:dyDescent="0.3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ColWidth="9.1796875" defaultRowHeight="14.5" x14ac:dyDescent="0.35"/>
  <cols>
    <col min="1" max="1" width="14" style="6" customWidth="1"/>
    <col min="2" max="2" width="18.7265625" style="6" customWidth="1"/>
    <col min="3" max="3" width="26.1796875" style="6" customWidth="1"/>
    <col min="4" max="4" width="21.453125" style="6" customWidth="1"/>
    <col min="5" max="5" width="23.26953125" style="6" customWidth="1"/>
    <col min="6" max="6" width="25.7265625" style="6" customWidth="1"/>
    <col min="7" max="7" width="27.54296875" style="6" bestFit="1" customWidth="1"/>
    <col min="8" max="8" width="20.1796875" style="6" customWidth="1"/>
    <col min="9" max="9" width="11.453125" style="6" customWidth="1"/>
    <col min="10" max="10" width="18.1796875" style="6" customWidth="1"/>
    <col min="11" max="11" width="18" style="6" customWidth="1"/>
    <col min="12" max="12" width="19.1796875" style="6" customWidth="1"/>
    <col min="13" max="13" width="19.26953125" style="6" customWidth="1"/>
    <col min="14" max="14" width="21" style="6" customWidth="1"/>
    <col min="15" max="15" width="21.54296875" style="6" bestFit="1" customWidth="1"/>
    <col min="16" max="16" width="20.81640625" style="6" customWidth="1"/>
    <col min="17" max="17" width="26" style="6" customWidth="1"/>
    <col min="18" max="18" width="15.54296875" style="6" customWidth="1"/>
    <col min="19" max="19" width="11.26953125" style="6" customWidth="1"/>
    <col min="20" max="20" width="20" style="6" bestFit="1" customWidth="1"/>
    <col min="21" max="21" width="8" style="6" bestFit="1" customWidth="1"/>
    <col min="22" max="22" width="7.7265625" style="6" bestFit="1" customWidth="1"/>
    <col min="23" max="23" width="10.54296875" style="6" customWidth="1"/>
    <col min="24" max="24" width="10" style="6" customWidth="1"/>
    <col min="25" max="25" width="12.81640625" style="6" customWidth="1"/>
    <col min="26" max="26" width="11" style="6" customWidth="1"/>
    <col min="27" max="27" width="20.7265625" style="6" bestFit="1" customWidth="1"/>
    <col min="28" max="28" width="19.453125" style="6" bestFit="1" customWidth="1"/>
    <col min="29" max="29" width="11.453125" style="6" bestFit="1" customWidth="1"/>
    <col min="30" max="16384" width="9.1796875" style="6"/>
  </cols>
  <sheetData>
    <row r="1" spans="1:19" x14ac:dyDescent="0.35">
      <c r="A1" s="48"/>
      <c r="B1" s="49"/>
      <c r="D1" s="56"/>
    </row>
    <row r="2" spans="1:19" ht="6.75" customHeight="1" x14ac:dyDescent="0.35">
      <c r="A2" s="46"/>
      <c r="B2" s="46"/>
    </row>
    <row r="3" spans="1:19" x14ac:dyDescent="0.35">
      <c r="A3" s="52">
        <v>262</v>
      </c>
    </row>
    <row r="4" spans="1:19" s="46" customFormat="1" x14ac:dyDescent="0.35">
      <c r="A4" s="89" t="s">
        <v>100</v>
      </c>
      <c r="B4" s="90"/>
      <c r="C4" s="90"/>
      <c r="D4" s="90"/>
      <c r="E4" s="90"/>
      <c r="F4" s="90"/>
      <c r="G4" s="90"/>
      <c r="H4" s="91"/>
      <c r="I4" s="90"/>
      <c r="J4" s="90"/>
      <c r="K4" s="90"/>
      <c r="L4" s="90"/>
      <c r="M4" s="90"/>
      <c r="N4" s="90"/>
      <c r="O4" s="91"/>
      <c r="P4" s="89" t="s">
        <v>91</v>
      </c>
      <c r="Q4" s="90"/>
      <c r="R4" s="90"/>
      <c r="S4" s="91"/>
    </row>
    <row r="5" spans="1:19" ht="15.5" x14ac:dyDescent="0.3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3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C21" sqref="C21"/>
    </sheetView>
  </sheetViews>
  <sheetFormatPr defaultRowHeight="14.5" x14ac:dyDescent="0.35"/>
  <cols>
    <col min="1" max="1" width="4.1796875" style="14" customWidth="1"/>
    <col min="2" max="2" width="21.1796875" style="7" customWidth="1"/>
    <col min="3" max="3" width="13" customWidth="1"/>
    <col min="4" max="4" width="37.453125" bestFit="1" customWidth="1"/>
    <col min="5" max="5" width="56" customWidth="1"/>
    <col min="6" max="6" width="0.453125" style="13" customWidth="1"/>
    <col min="8" max="8" width="4.453125" customWidth="1"/>
    <col min="9" max="9" width="5.1796875" customWidth="1"/>
  </cols>
  <sheetData>
    <row r="1" spans="1:7" ht="15" customHeight="1" x14ac:dyDescent="0.35">
      <c r="A1" s="93" t="s">
        <v>73</v>
      </c>
      <c r="B1" s="93"/>
      <c r="C1" s="26">
        <f>COUNTIF(C6:C16,TRUE)</f>
        <v>2</v>
      </c>
      <c r="D1" s="21"/>
      <c r="E1" s="22"/>
      <c r="F1" s="35"/>
    </row>
    <row r="2" spans="1:7" ht="15" customHeight="1" x14ac:dyDescent="0.35">
      <c r="A2" s="93" t="s">
        <v>74</v>
      </c>
      <c r="B2" s="93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35">
      <c r="A3" s="94" t="s">
        <v>72</v>
      </c>
      <c r="B3" s="94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35">
      <c r="A4" s="27"/>
      <c r="B4" s="28"/>
      <c r="C4" s="28"/>
      <c r="D4" s="29"/>
      <c r="E4" s="28"/>
      <c r="F4" s="35"/>
      <c r="G4" s="13"/>
    </row>
    <row r="5" spans="1:7" x14ac:dyDescent="0.3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35">
      <c r="A6" s="92" t="s">
        <v>124</v>
      </c>
      <c r="B6" s="92"/>
      <c r="C6" s="32" t="b">
        <f>IF(COUNTIF(BARANG!$Y$3:$Y$1048576,"FALSE")=0,TRUE,FALSE)</f>
        <v>1</v>
      </c>
      <c r="D6" s="33"/>
      <c r="E6" s="32"/>
      <c r="F6" s="34"/>
    </row>
    <row r="7" spans="1:7" x14ac:dyDescent="0.35">
      <c r="A7" s="14">
        <v>1</v>
      </c>
      <c r="B7" s="5" t="s">
        <v>126</v>
      </c>
      <c r="C7" s="77"/>
      <c r="D7" s="67">
        <f>COUNTA(BARANG!$A$3:$A$1048576)</f>
        <v>1</v>
      </c>
      <c r="E7" s="17"/>
      <c r="F7" s="16"/>
    </row>
    <row r="8" spans="1:7" x14ac:dyDescent="0.35">
      <c r="A8" s="14">
        <v>2</v>
      </c>
      <c r="B8" s="5" t="s">
        <v>127</v>
      </c>
      <c r="D8" s="67">
        <f>SUM(BARANG!$J$3:$J$1048576)</f>
        <v>295.70999999999998</v>
      </c>
      <c r="E8" s="17"/>
      <c r="F8" s="16"/>
    </row>
    <row r="9" spans="1:7" x14ac:dyDescent="0.35">
      <c r="A9" s="14">
        <v>3</v>
      </c>
      <c r="B9" s="5" t="s">
        <v>128</v>
      </c>
      <c r="D9" s="67">
        <f>SUM(BARANG!$L$3:$L$1048576)</f>
        <v>17</v>
      </c>
      <c r="E9" s="17"/>
      <c r="F9" s="16"/>
    </row>
    <row r="10" spans="1:7" x14ac:dyDescent="0.35">
      <c r="A10" s="14">
        <v>4</v>
      </c>
      <c r="B10" s="5" t="s">
        <v>130</v>
      </c>
      <c r="D10" s="67">
        <f>SUM(BARANG!$M$3:$M$1048576)</f>
        <v>295.70999999999998</v>
      </c>
      <c r="E10" s="17"/>
      <c r="F10" s="16"/>
    </row>
    <row r="11" spans="1:7" x14ac:dyDescent="0.35">
      <c r="A11" s="14">
        <v>5</v>
      </c>
      <c r="B11" s="5" t="s">
        <v>129</v>
      </c>
      <c r="D11" s="67">
        <f>SUM(BARANG!$N$3:$N$1048576)</f>
        <v>1526.53</v>
      </c>
      <c r="E11" s="17"/>
      <c r="F11" s="16"/>
    </row>
    <row r="12" spans="1:7" x14ac:dyDescent="0.35">
      <c r="A12" s="92" t="s">
        <v>125</v>
      </c>
      <c r="B12" s="92"/>
      <c r="C12" s="37" t="b">
        <f>IF(COUNTIF(BAHANBAKU!$AE$3:$AE$1048576,"FALSE")=0,TRUE,FALSE)</f>
        <v>1</v>
      </c>
      <c r="D12" s="37"/>
      <c r="E12" s="36"/>
      <c r="F12" s="34"/>
    </row>
    <row r="13" spans="1:7" x14ac:dyDescent="0.35">
      <c r="A13" s="14">
        <v>1</v>
      </c>
      <c r="B13" s="5" t="s">
        <v>126</v>
      </c>
      <c r="C13" s="67"/>
      <c r="D13" s="19">
        <f>COUNTA(BAHANBAKU!$B$3:$B$1048576)</f>
        <v>7</v>
      </c>
      <c r="E13" s="17"/>
      <c r="F13" s="16"/>
    </row>
    <row r="14" spans="1:7" x14ac:dyDescent="0.35">
      <c r="A14" s="14">
        <v>2</v>
      </c>
      <c r="B14" s="5" t="s">
        <v>127</v>
      </c>
      <c r="C14" s="67"/>
      <c r="D14" s="19">
        <f>SUM(BAHANBAKU!$Q$3:$Q$1048576)</f>
        <v>9041.5</v>
      </c>
      <c r="E14" s="17"/>
      <c r="F14" s="16"/>
    </row>
    <row r="15" spans="1:7" x14ac:dyDescent="0.3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3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35">
      <c r="B17" s="5"/>
      <c r="C17" s="18"/>
      <c r="D17" s="20"/>
      <c r="E17" s="17"/>
      <c r="F17" s="16"/>
    </row>
    <row r="18" spans="2:6" x14ac:dyDescent="0.35">
      <c r="B18" s="5"/>
      <c r="C18" s="18"/>
      <c r="D18" s="20"/>
      <c r="E18" s="17"/>
      <c r="F18" s="16"/>
    </row>
    <row r="19" spans="2:6" x14ac:dyDescent="0.35">
      <c r="B19" s="5"/>
      <c r="C19" s="18"/>
      <c r="D19" s="20"/>
      <c r="E19" s="17"/>
      <c r="F19" s="16"/>
    </row>
    <row r="20" spans="2:6" x14ac:dyDescent="0.35">
      <c r="B20" s="5"/>
      <c r="C20" s="18"/>
      <c r="D20" s="20"/>
      <c r="E20" s="17"/>
      <c r="F20" s="16"/>
    </row>
    <row r="21" spans="2:6" x14ac:dyDescent="0.35">
      <c r="B21" s="5"/>
      <c r="C21" s="18"/>
      <c r="D21" s="20"/>
      <c r="E21" s="17"/>
      <c r="F21" s="16"/>
    </row>
    <row r="22" spans="2:6" x14ac:dyDescent="0.35">
      <c r="B22" s="5"/>
      <c r="C22" s="18"/>
      <c r="D22" s="20"/>
      <c r="E22" s="17"/>
      <c r="F22" s="16"/>
    </row>
    <row r="23" spans="2:6" x14ac:dyDescent="0.35">
      <c r="B23" s="5"/>
      <c r="C23" s="18"/>
      <c r="D23" s="20"/>
      <c r="E23" s="17"/>
      <c r="F23" s="16"/>
    </row>
    <row r="24" spans="2:6" x14ac:dyDescent="0.35">
      <c r="B24" s="5"/>
      <c r="C24" s="18"/>
      <c r="D24" s="20"/>
      <c r="E24" s="17"/>
      <c r="F24" s="16"/>
    </row>
    <row r="25" spans="2:6" x14ac:dyDescent="0.35">
      <c r="B25" s="5"/>
      <c r="C25" s="18"/>
      <c r="D25" s="20"/>
      <c r="E25" s="17"/>
      <c r="F25" s="16"/>
    </row>
    <row r="26" spans="2:6" x14ac:dyDescent="0.35">
      <c r="B26" s="5"/>
      <c r="C26" s="18"/>
      <c r="D26" s="20"/>
      <c r="E26" s="17"/>
      <c r="F26" s="16"/>
    </row>
    <row r="27" spans="2:6" x14ac:dyDescent="0.35">
      <c r="B27" s="5"/>
      <c r="C27" s="18"/>
      <c r="D27" s="20"/>
      <c r="E27" s="17"/>
      <c r="F27" s="16"/>
    </row>
    <row r="28" spans="2:6" x14ac:dyDescent="0.35">
      <c r="B28" s="5"/>
      <c r="C28" s="18"/>
      <c r="D28" s="20"/>
      <c r="E28" s="17"/>
      <c r="F28" s="16"/>
    </row>
    <row r="29" spans="2:6" x14ac:dyDescent="0.35">
      <c r="C29" s="17"/>
      <c r="D29" s="19"/>
      <c r="E29" s="15"/>
      <c r="F29" s="16"/>
    </row>
    <row r="30" spans="2:6" x14ac:dyDescent="0.35">
      <c r="C30" s="17"/>
      <c r="D30" s="19"/>
      <c r="E30" s="15"/>
      <c r="F30" s="16"/>
    </row>
    <row r="31" spans="2:6" x14ac:dyDescent="0.35">
      <c r="C31" s="17"/>
      <c r="D31" s="19"/>
      <c r="E31" s="15"/>
      <c r="F31" s="16"/>
    </row>
    <row r="32" spans="2:6" x14ac:dyDescent="0.35">
      <c r="C32" s="17"/>
      <c r="D32" s="19"/>
      <c r="E32" s="15"/>
      <c r="F32" s="16"/>
    </row>
    <row r="33" spans="3:6" x14ac:dyDescent="0.35">
      <c r="C33" s="17"/>
      <c r="D33" s="19"/>
      <c r="E33" s="15"/>
      <c r="F33" s="16"/>
    </row>
    <row r="34" spans="3:6" x14ac:dyDescent="0.35">
      <c r="C34" s="17"/>
      <c r="D34" s="19"/>
      <c r="E34" s="15"/>
    </row>
    <row r="35" spans="3:6" x14ac:dyDescent="0.35">
      <c r="C35" s="17"/>
      <c r="D35" s="19"/>
      <c r="E35" s="15"/>
    </row>
    <row r="36" spans="3:6" x14ac:dyDescent="0.35">
      <c r="C36" s="17"/>
      <c r="D36" s="19"/>
      <c r="E36" s="15"/>
    </row>
    <row r="37" spans="3:6" x14ac:dyDescent="0.35">
      <c r="C37" s="17"/>
      <c r="D37" s="19"/>
      <c r="E37" s="15"/>
    </row>
    <row r="38" spans="3:6" x14ac:dyDescent="0.35">
      <c r="C38" s="17"/>
      <c r="D38" s="19"/>
      <c r="E38" s="15"/>
    </row>
    <row r="39" spans="3:6" x14ac:dyDescent="0.35">
      <c r="C39" s="17"/>
      <c r="D39" s="19"/>
      <c r="E39" s="15"/>
    </row>
    <row r="40" spans="3:6" x14ac:dyDescent="0.35">
      <c r="C40" s="17"/>
      <c r="D40" s="19"/>
      <c r="E40" s="15"/>
    </row>
    <row r="41" spans="3:6" x14ac:dyDescent="0.35">
      <c r="C41" s="17"/>
      <c r="D41" s="19"/>
      <c r="E41" s="15"/>
    </row>
    <row r="42" spans="3:6" x14ac:dyDescent="0.35">
      <c r="C42" s="17"/>
      <c r="D42" s="19"/>
      <c r="E42" s="15"/>
    </row>
    <row r="43" spans="3:6" x14ac:dyDescent="0.35">
      <c r="C43" s="17"/>
      <c r="D43" s="19"/>
      <c r="E43" s="15"/>
    </row>
    <row r="44" spans="3:6" x14ac:dyDescent="0.35">
      <c r="C44" s="17"/>
      <c r="D44" s="19"/>
      <c r="E44" s="15"/>
    </row>
    <row r="45" spans="3:6" x14ac:dyDescent="0.35">
      <c r="C45" s="17"/>
      <c r="D45" s="19"/>
      <c r="E45" s="15"/>
    </row>
    <row r="46" spans="3:6" x14ac:dyDescent="0.35">
      <c r="C46" s="17"/>
      <c r="D46" s="19"/>
      <c r="E46" s="15"/>
    </row>
    <row r="47" spans="3:6" x14ac:dyDescent="0.35">
      <c r="C47" s="17"/>
      <c r="D47" s="19"/>
      <c r="E47" s="15"/>
    </row>
    <row r="48" spans="3:6" x14ac:dyDescent="0.35">
      <c r="C48" s="17"/>
      <c r="D48" s="19"/>
      <c r="E48" s="15"/>
    </row>
    <row r="49" spans="3:5" x14ac:dyDescent="0.35">
      <c r="C49" s="17"/>
      <c r="D49" s="19"/>
      <c r="E49" s="15"/>
    </row>
    <row r="50" spans="3:5" x14ac:dyDescent="0.35">
      <c r="C50" s="17"/>
      <c r="D50" s="19"/>
      <c r="E50" s="15"/>
    </row>
    <row r="51" spans="3:5" x14ac:dyDescent="0.35">
      <c r="C51" s="17"/>
      <c r="D51" s="19"/>
      <c r="E51" s="15"/>
    </row>
    <row r="52" spans="3:5" x14ac:dyDescent="0.35">
      <c r="C52" s="17"/>
      <c r="D52" s="19"/>
      <c r="E52" s="15"/>
    </row>
    <row r="53" spans="3:5" x14ac:dyDescent="0.35">
      <c r="C53" s="17"/>
      <c r="D53" s="19"/>
      <c r="E53" s="15"/>
    </row>
    <row r="54" spans="3:5" x14ac:dyDescent="0.35">
      <c r="C54" s="17"/>
      <c r="D54" s="19"/>
      <c r="E54" s="15"/>
    </row>
    <row r="55" spans="3:5" x14ac:dyDescent="0.35">
      <c r="C55" s="17"/>
      <c r="D55" s="19"/>
      <c r="E55" s="15"/>
    </row>
    <row r="56" spans="3:5" x14ac:dyDescent="0.35">
      <c r="C56" s="17"/>
      <c r="D56" s="19"/>
      <c r="E56" s="15"/>
    </row>
    <row r="57" spans="3:5" x14ac:dyDescent="0.35">
      <c r="C57" s="17"/>
      <c r="D57" s="19"/>
      <c r="E57" s="15"/>
    </row>
    <row r="58" spans="3:5" x14ac:dyDescent="0.35">
      <c r="C58" s="17"/>
      <c r="D58" s="19"/>
      <c r="E58" s="15"/>
    </row>
    <row r="59" spans="3:5" x14ac:dyDescent="0.35">
      <c r="C59" s="17"/>
      <c r="D59" s="19"/>
      <c r="E59" s="15"/>
    </row>
    <row r="60" spans="3:5" x14ac:dyDescent="0.35">
      <c r="C60" s="17"/>
      <c r="D60" s="19"/>
      <c r="E60" s="15"/>
    </row>
    <row r="61" spans="3:5" x14ac:dyDescent="0.35">
      <c r="C61" s="17"/>
      <c r="D61" s="19"/>
      <c r="E61" s="15"/>
    </row>
    <row r="62" spans="3:5" x14ac:dyDescent="0.35">
      <c r="C62" s="17"/>
      <c r="D62" s="19"/>
      <c r="E62" s="15"/>
    </row>
    <row r="63" spans="3:5" x14ac:dyDescent="0.35">
      <c r="C63" s="17"/>
      <c r="D63" s="19"/>
      <c r="E63" s="15"/>
    </row>
    <row r="64" spans="3:5" x14ac:dyDescent="0.35">
      <c r="C64" s="17"/>
      <c r="D64" s="19"/>
      <c r="E64" s="15"/>
    </row>
    <row r="65" spans="3:5" x14ac:dyDescent="0.35">
      <c r="C65" s="17"/>
      <c r="D65" s="19"/>
      <c r="E65" s="15"/>
    </row>
    <row r="66" spans="3:5" x14ac:dyDescent="0.35">
      <c r="C66" s="17"/>
      <c r="D66" s="19"/>
      <c r="E66" s="15"/>
    </row>
    <row r="67" spans="3:5" x14ac:dyDescent="0.35">
      <c r="C67" s="17"/>
      <c r="D67" s="19"/>
      <c r="E67" s="15"/>
    </row>
    <row r="68" spans="3:5" x14ac:dyDescent="0.35">
      <c r="C68" s="17"/>
      <c r="D68" s="19"/>
      <c r="E68" s="15"/>
    </row>
    <row r="69" spans="3:5" x14ac:dyDescent="0.35">
      <c r="C69" s="17"/>
      <c r="D69" s="19"/>
      <c r="E69" s="15"/>
    </row>
    <row r="70" spans="3:5" x14ac:dyDescent="0.35">
      <c r="C70" s="17"/>
      <c r="D70" s="19"/>
      <c r="E70" s="15"/>
    </row>
    <row r="71" spans="3:5" x14ac:dyDescent="0.35">
      <c r="C71" s="17"/>
      <c r="D71" s="19"/>
      <c r="E71" s="15"/>
    </row>
    <row r="72" spans="3:5" x14ac:dyDescent="0.35">
      <c r="C72" s="17"/>
      <c r="D72" s="19"/>
      <c r="E72" s="15"/>
    </row>
    <row r="73" spans="3:5" x14ac:dyDescent="0.35">
      <c r="C73" s="17"/>
      <c r="D73" s="19"/>
      <c r="E73" s="15"/>
    </row>
    <row r="74" spans="3:5" x14ac:dyDescent="0.35">
      <c r="C74" s="17"/>
      <c r="D74" s="19"/>
      <c r="E74" s="15"/>
    </row>
    <row r="75" spans="3:5" x14ac:dyDescent="0.35">
      <c r="C75" s="17"/>
      <c r="D75" s="19"/>
      <c r="E75" s="15"/>
    </row>
    <row r="76" spans="3:5" x14ac:dyDescent="0.35">
      <c r="C76" s="17"/>
      <c r="D76" s="19"/>
      <c r="E76" s="15"/>
    </row>
    <row r="77" spans="3:5" x14ac:dyDescent="0.35">
      <c r="C77" s="17"/>
      <c r="D77" s="19"/>
      <c r="E77" s="15"/>
    </row>
    <row r="78" spans="3:5" x14ac:dyDescent="0.35">
      <c r="C78" s="17"/>
      <c r="D78" s="19"/>
      <c r="E78" s="15"/>
    </row>
    <row r="79" spans="3:5" x14ac:dyDescent="0.35">
      <c r="C79" s="17"/>
      <c r="D79" s="19"/>
      <c r="E79" s="15"/>
    </row>
    <row r="80" spans="3:5" x14ac:dyDescent="0.35">
      <c r="C80" s="17"/>
      <c r="D80" s="19"/>
      <c r="E80" s="15"/>
    </row>
    <row r="81" spans="3:5" x14ac:dyDescent="0.35">
      <c r="C81" s="17"/>
      <c r="D81" s="19"/>
      <c r="E81" s="15"/>
    </row>
    <row r="82" spans="3:5" x14ac:dyDescent="0.35">
      <c r="C82" s="17"/>
      <c r="D82" s="19"/>
      <c r="E82" s="15"/>
    </row>
    <row r="83" spans="3:5" x14ac:dyDescent="0.35">
      <c r="C83" s="17"/>
      <c r="D83" s="19"/>
      <c r="E83" s="15"/>
    </row>
    <row r="84" spans="3:5" x14ac:dyDescent="0.35">
      <c r="C84" s="17"/>
      <c r="D84" s="19"/>
      <c r="E84" s="15"/>
    </row>
    <row r="85" spans="3:5" x14ac:dyDescent="0.35">
      <c r="C85" s="17"/>
      <c r="D85" s="19"/>
      <c r="E85" s="15"/>
    </row>
    <row r="86" spans="3:5" x14ac:dyDescent="0.35">
      <c r="C86" s="17"/>
      <c r="D86" s="19"/>
      <c r="E86" s="15"/>
    </row>
    <row r="87" spans="3:5" x14ac:dyDescent="0.35">
      <c r="C87" s="17"/>
      <c r="D87" s="19"/>
      <c r="E87" s="15"/>
    </row>
    <row r="88" spans="3:5" x14ac:dyDescent="0.35">
      <c r="C88" s="17"/>
      <c r="D88" s="19"/>
      <c r="E88" s="15"/>
    </row>
    <row r="89" spans="3:5" x14ac:dyDescent="0.35">
      <c r="C89" s="17"/>
      <c r="D89" s="19"/>
      <c r="E89" s="15"/>
    </row>
    <row r="90" spans="3:5" x14ac:dyDescent="0.35">
      <c r="C90" s="17"/>
      <c r="D90" s="19"/>
      <c r="E90" s="15"/>
    </row>
    <row r="91" spans="3:5" x14ac:dyDescent="0.35">
      <c r="C91" s="17"/>
      <c r="D91" s="19"/>
      <c r="E91" s="15"/>
    </row>
    <row r="92" spans="3:5" x14ac:dyDescent="0.35">
      <c r="C92" s="17"/>
      <c r="D92" s="19"/>
      <c r="E92" s="15"/>
    </row>
    <row r="93" spans="3:5" x14ac:dyDescent="0.35">
      <c r="C93" s="17"/>
      <c r="D93" s="19"/>
      <c r="E93" s="15"/>
    </row>
    <row r="94" spans="3:5" x14ac:dyDescent="0.35">
      <c r="C94" s="17"/>
      <c r="D94" s="19"/>
      <c r="E94" s="15"/>
    </row>
    <row r="95" spans="3:5" x14ac:dyDescent="0.35">
      <c r="C95" s="17"/>
      <c r="D95" s="19"/>
      <c r="E95" s="15"/>
    </row>
    <row r="96" spans="3:5" x14ac:dyDescent="0.35">
      <c r="C96" s="17"/>
      <c r="D96" s="19"/>
      <c r="E96" s="15"/>
    </row>
    <row r="97" spans="3:5" x14ac:dyDescent="0.35">
      <c r="C97" s="17"/>
      <c r="D97" s="19"/>
      <c r="E97" s="15"/>
    </row>
    <row r="98" spans="3:5" x14ac:dyDescent="0.35">
      <c r="C98" s="17"/>
      <c r="D98" s="19"/>
      <c r="E98" s="15"/>
    </row>
    <row r="99" spans="3:5" x14ac:dyDescent="0.35">
      <c r="C99" s="17"/>
      <c r="D99" s="19"/>
      <c r="E99" s="15"/>
    </row>
    <row r="100" spans="3:5" x14ac:dyDescent="0.35">
      <c r="C100" s="17"/>
      <c r="D100" s="19"/>
      <c r="E100" s="15"/>
    </row>
    <row r="101" spans="3:5" x14ac:dyDescent="0.35">
      <c r="C101" s="17"/>
      <c r="D101" s="19"/>
      <c r="E101" s="15"/>
    </row>
    <row r="102" spans="3:5" x14ac:dyDescent="0.35">
      <c r="C102" s="17"/>
      <c r="D102" s="19"/>
      <c r="E102" s="15"/>
    </row>
    <row r="103" spans="3:5" x14ac:dyDescent="0.35">
      <c r="C103" s="17"/>
      <c r="D103" s="19"/>
      <c r="E103" s="15"/>
    </row>
    <row r="104" spans="3:5" x14ac:dyDescent="0.35">
      <c r="C104" s="17"/>
      <c r="D104" s="19"/>
      <c r="E104" s="15"/>
    </row>
    <row r="105" spans="3:5" x14ac:dyDescent="0.35">
      <c r="C105" s="17"/>
      <c r="D105" s="19"/>
      <c r="E105" s="15"/>
    </row>
    <row r="106" spans="3:5" x14ac:dyDescent="0.35">
      <c r="C106" s="17"/>
      <c r="D106" s="19"/>
      <c r="E106" s="15"/>
    </row>
    <row r="107" spans="3:5" x14ac:dyDescent="0.35">
      <c r="C107" s="17"/>
      <c r="D107" s="19"/>
      <c r="E107" s="15"/>
    </row>
    <row r="108" spans="3:5" x14ac:dyDescent="0.35">
      <c r="C108" s="17"/>
      <c r="D108" s="19"/>
      <c r="E108" s="15"/>
    </row>
    <row r="109" spans="3:5" x14ac:dyDescent="0.35">
      <c r="C109" s="17"/>
      <c r="D109" s="19"/>
      <c r="E109" s="15"/>
    </row>
    <row r="110" spans="3:5" x14ac:dyDescent="0.35">
      <c r="C110" s="17"/>
      <c r="D110" s="19"/>
      <c r="E110" s="15"/>
    </row>
    <row r="111" spans="3:5" x14ac:dyDescent="0.35">
      <c r="C111" s="17"/>
      <c r="D111" s="19"/>
      <c r="E111" s="15"/>
    </row>
    <row r="112" spans="3:5" x14ac:dyDescent="0.35">
      <c r="C112" s="17"/>
      <c r="D112" s="19"/>
      <c r="E112" s="15"/>
    </row>
    <row r="113" spans="3:5" x14ac:dyDescent="0.35">
      <c r="C113" s="17"/>
      <c r="D113" s="19"/>
      <c r="E113" s="15"/>
    </row>
    <row r="114" spans="3:5" x14ac:dyDescent="0.35">
      <c r="C114" s="17"/>
      <c r="D114" s="19"/>
      <c r="E114" s="15"/>
    </row>
    <row r="115" spans="3:5" x14ac:dyDescent="0.35">
      <c r="C115" s="17"/>
      <c r="D115" s="19"/>
      <c r="E115" s="15"/>
    </row>
    <row r="116" spans="3:5" x14ac:dyDescent="0.35">
      <c r="C116" s="17"/>
      <c r="D116" s="19"/>
      <c r="E116" s="15"/>
    </row>
    <row r="117" spans="3:5" x14ac:dyDescent="0.35">
      <c r="C117" s="17"/>
      <c r="D117" s="19"/>
      <c r="E117" s="15"/>
    </row>
    <row r="118" spans="3:5" x14ac:dyDescent="0.35">
      <c r="C118" s="17"/>
      <c r="D118" s="19"/>
      <c r="E118" s="15"/>
    </row>
    <row r="119" spans="3:5" x14ac:dyDescent="0.35">
      <c r="C119" s="17"/>
      <c r="D119" s="19"/>
      <c r="E119" s="15"/>
    </row>
    <row r="120" spans="3:5" x14ac:dyDescent="0.35">
      <c r="C120" s="17"/>
      <c r="D120" s="19"/>
      <c r="E120" s="15"/>
    </row>
    <row r="121" spans="3:5" x14ac:dyDescent="0.35">
      <c r="C121" s="17"/>
      <c r="D121" s="19"/>
      <c r="E121" s="15"/>
    </row>
    <row r="122" spans="3:5" x14ac:dyDescent="0.35">
      <c r="C122" s="17"/>
      <c r="D122" s="19"/>
      <c r="E122" s="15"/>
    </row>
    <row r="123" spans="3:5" x14ac:dyDescent="0.35">
      <c r="C123" s="17"/>
      <c r="D123" s="19"/>
      <c r="E123" s="15"/>
    </row>
    <row r="124" spans="3:5" x14ac:dyDescent="0.35">
      <c r="C124" s="17"/>
      <c r="D124" s="19"/>
      <c r="E124" s="15"/>
    </row>
    <row r="125" spans="3:5" x14ac:dyDescent="0.35">
      <c r="C125" s="17"/>
      <c r="D125" s="19"/>
      <c r="E125" s="15"/>
    </row>
    <row r="126" spans="3:5" x14ac:dyDescent="0.35">
      <c r="C126" s="17"/>
      <c r="D126" s="19"/>
      <c r="E126" s="15"/>
    </row>
    <row r="127" spans="3:5" x14ac:dyDescent="0.35">
      <c r="C127" s="17"/>
      <c r="D127" s="19"/>
      <c r="E127" s="15"/>
    </row>
    <row r="128" spans="3:5" x14ac:dyDescent="0.35">
      <c r="C128" s="17"/>
      <c r="D128" s="19"/>
      <c r="E128" s="15"/>
    </row>
    <row r="129" spans="3:5" x14ac:dyDescent="0.35">
      <c r="C129" s="17"/>
      <c r="D129" s="19"/>
      <c r="E129" s="15"/>
    </row>
    <row r="130" spans="3:5" x14ac:dyDescent="0.35">
      <c r="C130" s="17"/>
      <c r="D130" s="19"/>
      <c r="E130" s="15"/>
    </row>
    <row r="131" spans="3:5" x14ac:dyDescent="0.35">
      <c r="C131" s="17"/>
      <c r="D131" s="19"/>
      <c r="E131" s="15"/>
    </row>
    <row r="132" spans="3:5" x14ac:dyDescent="0.35">
      <c r="C132" s="17"/>
      <c r="D132" s="19"/>
      <c r="E132" s="15"/>
    </row>
    <row r="133" spans="3:5" x14ac:dyDescent="0.35">
      <c r="C133" s="17"/>
      <c r="D133" s="19"/>
      <c r="E133" s="15"/>
    </row>
    <row r="134" spans="3:5" x14ac:dyDescent="0.35">
      <c r="C134" s="17"/>
      <c r="D134" s="19"/>
      <c r="E134" s="15"/>
    </row>
    <row r="135" spans="3:5" x14ac:dyDescent="0.35">
      <c r="C135" s="17"/>
      <c r="D135" s="19"/>
      <c r="E135" s="15"/>
    </row>
    <row r="136" spans="3:5" x14ac:dyDescent="0.35">
      <c r="C136" s="17"/>
      <c r="D136" s="19"/>
      <c r="E136" s="15"/>
    </row>
    <row r="137" spans="3:5" x14ac:dyDescent="0.35">
      <c r="C137" s="17"/>
      <c r="D137" s="19"/>
      <c r="E137" s="15"/>
    </row>
    <row r="138" spans="3:5" x14ac:dyDescent="0.35">
      <c r="C138" s="17"/>
      <c r="D138" s="19"/>
      <c r="E138" s="15"/>
    </row>
    <row r="139" spans="3:5" x14ac:dyDescent="0.35">
      <c r="C139" s="17"/>
      <c r="D139" s="19"/>
      <c r="E139" s="15"/>
    </row>
    <row r="140" spans="3:5" x14ac:dyDescent="0.35">
      <c r="C140" s="17"/>
      <c r="D140" s="19"/>
      <c r="E140" s="15"/>
    </row>
    <row r="141" spans="3:5" x14ac:dyDescent="0.35">
      <c r="C141" s="17"/>
      <c r="D141" s="19"/>
      <c r="E141" s="15"/>
    </row>
    <row r="142" spans="3:5" x14ac:dyDescent="0.35">
      <c r="C142" s="17"/>
      <c r="D142" s="19"/>
      <c r="E142" s="15"/>
    </row>
    <row r="143" spans="3:5" x14ac:dyDescent="0.35">
      <c r="C143" s="17"/>
      <c r="D143" s="19"/>
      <c r="E143" s="15"/>
    </row>
    <row r="144" spans="3:5" x14ac:dyDescent="0.35">
      <c r="C144" s="17"/>
      <c r="D144" s="19"/>
      <c r="E144" s="15"/>
    </row>
    <row r="145" spans="3:5" x14ac:dyDescent="0.35">
      <c r="C145" s="17"/>
      <c r="D145" s="19"/>
      <c r="E145" s="15"/>
    </row>
    <row r="146" spans="3:5" x14ac:dyDescent="0.35">
      <c r="C146" s="17"/>
      <c r="D146" s="19"/>
      <c r="E146" s="15"/>
    </row>
    <row r="147" spans="3:5" x14ac:dyDescent="0.35">
      <c r="C147" s="17"/>
      <c r="D147" s="19"/>
      <c r="E147" s="15"/>
    </row>
    <row r="148" spans="3:5" x14ac:dyDescent="0.35">
      <c r="C148" s="17"/>
      <c r="D148" s="19"/>
      <c r="E148" s="15"/>
    </row>
    <row r="149" spans="3:5" x14ac:dyDescent="0.35">
      <c r="C149" s="17"/>
      <c r="D149" s="19"/>
      <c r="E149" s="15"/>
    </row>
    <row r="150" spans="3:5" x14ac:dyDescent="0.35">
      <c r="C150" s="17"/>
      <c r="D150" s="19"/>
      <c r="E150" s="15"/>
    </row>
    <row r="151" spans="3:5" x14ac:dyDescent="0.35">
      <c r="C151" s="17"/>
      <c r="D151" s="19"/>
      <c r="E151" s="15"/>
    </row>
    <row r="152" spans="3:5" x14ac:dyDescent="0.35">
      <c r="C152" s="17"/>
      <c r="D152" s="19"/>
      <c r="E152" s="15"/>
    </row>
    <row r="153" spans="3:5" x14ac:dyDescent="0.35">
      <c r="C153" s="17"/>
      <c r="D153" s="19"/>
      <c r="E153" s="15"/>
    </row>
    <row r="154" spans="3:5" x14ac:dyDescent="0.35">
      <c r="C154" s="17"/>
      <c r="D154" s="19"/>
      <c r="E154" s="15"/>
    </row>
    <row r="155" spans="3:5" x14ac:dyDescent="0.35">
      <c r="C155" s="17"/>
      <c r="D155" s="19"/>
      <c r="E155" s="15"/>
    </row>
    <row r="156" spans="3:5" x14ac:dyDescent="0.35">
      <c r="C156" s="17"/>
      <c r="D156" s="19"/>
      <c r="E156" s="15"/>
    </row>
    <row r="157" spans="3:5" x14ac:dyDescent="0.35">
      <c r="C157" s="17"/>
      <c r="D157" s="19"/>
      <c r="E157" s="15"/>
    </row>
    <row r="158" spans="3:5" x14ac:dyDescent="0.35">
      <c r="C158" s="17"/>
      <c r="D158" s="19"/>
      <c r="E158" s="15"/>
    </row>
    <row r="159" spans="3:5" x14ac:dyDescent="0.35">
      <c r="C159" s="17"/>
      <c r="D159" s="19"/>
      <c r="E159" s="15"/>
    </row>
    <row r="160" spans="3:5" x14ac:dyDescent="0.35">
      <c r="C160" s="17"/>
      <c r="D160" s="19"/>
      <c r="E160" s="15"/>
    </row>
    <row r="161" spans="3:5" x14ac:dyDescent="0.35">
      <c r="C161" s="17"/>
      <c r="D161" s="19"/>
      <c r="E161" s="15"/>
    </row>
    <row r="162" spans="3:5" x14ac:dyDescent="0.35">
      <c r="C162" s="17"/>
      <c r="D162" s="19"/>
      <c r="E162" s="15"/>
    </row>
    <row r="163" spans="3:5" x14ac:dyDescent="0.35">
      <c r="C163" s="17"/>
      <c r="D163" s="19"/>
      <c r="E163" s="15"/>
    </row>
    <row r="164" spans="3:5" x14ac:dyDescent="0.35">
      <c r="C164" s="17"/>
      <c r="D164" s="19"/>
      <c r="E164" s="15"/>
    </row>
    <row r="165" spans="3:5" x14ac:dyDescent="0.35">
      <c r="C165" s="17"/>
      <c r="D165" s="19"/>
      <c r="E165" s="15"/>
    </row>
    <row r="166" spans="3:5" x14ac:dyDescent="0.35">
      <c r="C166" s="17"/>
      <c r="D166" s="19"/>
      <c r="E166" s="15"/>
    </row>
    <row r="167" spans="3:5" x14ac:dyDescent="0.35">
      <c r="C167" s="17"/>
      <c r="D167" s="19"/>
      <c r="E167" s="15"/>
    </row>
    <row r="168" spans="3:5" x14ac:dyDescent="0.35">
      <c r="C168" s="17"/>
      <c r="D168" s="19"/>
      <c r="E168" s="15"/>
    </row>
    <row r="169" spans="3:5" x14ac:dyDescent="0.35">
      <c r="C169" s="17"/>
      <c r="D169" s="19"/>
      <c r="E169" s="15"/>
    </row>
    <row r="170" spans="3:5" x14ac:dyDescent="0.35">
      <c r="C170" s="17"/>
      <c r="D170" s="19"/>
      <c r="E170" s="15"/>
    </row>
    <row r="171" spans="3:5" x14ac:dyDescent="0.35">
      <c r="C171" s="17"/>
      <c r="D171" s="19"/>
      <c r="E171" s="15"/>
    </row>
    <row r="172" spans="3:5" x14ac:dyDescent="0.35">
      <c r="C172" s="17"/>
      <c r="D172" s="19"/>
      <c r="E172" s="15"/>
    </row>
    <row r="173" spans="3:5" x14ac:dyDescent="0.35">
      <c r="C173" s="17"/>
      <c r="D173" s="19"/>
      <c r="E173" s="15"/>
    </row>
    <row r="174" spans="3:5" x14ac:dyDescent="0.35">
      <c r="C174" s="17"/>
      <c r="D174" s="19"/>
      <c r="E174" s="15"/>
    </row>
    <row r="175" spans="3:5" x14ac:dyDescent="0.35">
      <c r="C175" s="17"/>
      <c r="D175" s="19"/>
      <c r="E175" s="15"/>
    </row>
    <row r="176" spans="3:5" x14ac:dyDescent="0.35">
      <c r="C176" s="17"/>
      <c r="D176" s="19"/>
      <c r="E176" s="15"/>
    </row>
    <row r="177" spans="3:5" x14ac:dyDescent="0.35">
      <c r="C177" s="17"/>
      <c r="D177" s="19"/>
      <c r="E177" s="15"/>
    </row>
    <row r="178" spans="3:5" x14ac:dyDescent="0.35">
      <c r="C178" s="17"/>
      <c r="D178" s="19"/>
      <c r="E178" s="15"/>
    </row>
    <row r="179" spans="3:5" x14ac:dyDescent="0.35">
      <c r="C179" s="17"/>
      <c r="D179" s="19"/>
      <c r="E179" s="15"/>
    </row>
    <row r="180" spans="3:5" x14ac:dyDescent="0.35">
      <c r="C180" s="17"/>
      <c r="D180" s="19"/>
      <c r="E180" s="15"/>
    </row>
    <row r="181" spans="3:5" x14ac:dyDescent="0.35">
      <c r="C181" s="17"/>
      <c r="D181" s="19"/>
      <c r="E181" s="15"/>
    </row>
    <row r="182" spans="3:5" x14ac:dyDescent="0.35">
      <c r="C182" s="17"/>
      <c r="D182" s="19"/>
      <c r="E182" s="15"/>
    </row>
    <row r="183" spans="3:5" x14ac:dyDescent="0.35">
      <c r="C183" s="17"/>
      <c r="D183" s="19"/>
      <c r="E183" s="15"/>
    </row>
    <row r="184" spans="3:5" x14ac:dyDescent="0.35">
      <c r="C184" s="17"/>
      <c r="D184" s="19"/>
      <c r="E184" s="15"/>
    </row>
    <row r="185" spans="3:5" x14ac:dyDescent="0.35">
      <c r="C185" s="17"/>
      <c r="D185" s="19"/>
      <c r="E185" s="15"/>
    </row>
    <row r="186" spans="3:5" x14ac:dyDescent="0.35">
      <c r="C186" s="17"/>
      <c r="D186" s="19"/>
      <c r="E186" s="15"/>
    </row>
    <row r="187" spans="3:5" x14ac:dyDescent="0.35">
      <c r="C187" s="17"/>
      <c r="D187" s="19"/>
      <c r="E187" s="15"/>
    </row>
    <row r="188" spans="3:5" x14ac:dyDescent="0.35">
      <c r="C188" s="17"/>
      <c r="D188" s="19"/>
      <c r="E188" s="15"/>
    </row>
    <row r="189" spans="3:5" x14ac:dyDescent="0.35">
      <c r="C189" s="17"/>
      <c r="D189" s="19"/>
      <c r="E189" s="15"/>
    </row>
    <row r="190" spans="3:5" x14ac:dyDescent="0.35">
      <c r="C190" s="17"/>
      <c r="D190" s="19"/>
      <c r="E190" s="15"/>
    </row>
    <row r="191" spans="3:5" x14ac:dyDescent="0.35">
      <c r="C191" s="17"/>
      <c r="D191" s="19"/>
      <c r="E191" s="15"/>
    </row>
    <row r="192" spans="3:5" x14ac:dyDescent="0.35">
      <c r="C192" s="17"/>
      <c r="D192" s="19"/>
      <c r="E192" s="15"/>
    </row>
    <row r="193" spans="3:5" x14ac:dyDescent="0.35">
      <c r="C193" s="17"/>
      <c r="D193" s="19"/>
      <c r="E193" s="15"/>
    </row>
    <row r="194" spans="3:5" x14ac:dyDescent="0.35">
      <c r="C194" s="17"/>
      <c r="D194" s="19"/>
      <c r="E194" s="15"/>
    </row>
    <row r="195" spans="3:5" x14ac:dyDescent="0.35">
      <c r="C195" s="17"/>
      <c r="D195" s="19"/>
      <c r="E195" s="15"/>
    </row>
    <row r="196" spans="3:5" x14ac:dyDescent="0.35">
      <c r="C196" s="17"/>
      <c r="D196" s="19"/>
      <c r="E196" s="15"/>
    </row>
    <row r="197" spans="3:5" x14ac:dyDescent="0.35">
      <c r="C197" s="17"/>
      <c r="D197" s="19"/>
      <c r="E197" s="15"/>
    </row>
    <row r="198" spans="3:5" x14ac:dyDescent="0.35">
      <c r="C198" s="17"/>
      <c r="D198" s="19"/>
      <c r="E198" s="15"/>
    </row>
    <row r="199" spans="3:5" x14ac:dyDescent="0.35">
      <c r="C199" s="17"/>
      <c r="D199" s="19"/>
      <c r="E199" s="15"/>
    </row>
    <row r="200" spans="3:5" x14ac:dyDescent="0.35">
      <c r="C200" s="17"/>
      <c r="D200" s="19"/>
      <c r="E200" s="15"/>
    </row>
    <row r="201" spans="3:5" x14ac:dyDescent="0.35">
      <c r="C201" s="17"/>
      <c r="D201" s="19"/>
      <c r="E201" s="15"/>
    </row>
    <row r="202" spans="3:5" x14ac:dyDescent="0.35">
      <c r="C202" s="17"/>
      <c r="D202" s="19"/>
      <c r="E202" s="15"/>
    </row>
    <row r="203" spans="3:5" x14ac:dyDescent="0.35">
      <c r="C203" s="17"/>
      <c r="D203" s="19"/>
      <c r="E203" s="15"/>
    </row>
    <row r="204" spans="3:5" x14ac:dyDescent="0.35">
      <c r="C204" s="17"/>
      <c r="D204" s="19"/>
      <c r="E204" s="15"/>
    </row>
    <row r="205" spans="3:5" x14ac:dyDescent="0.35">
      <c r="C205" s="17"/>
      <c r="D205" s="19"/>
      <c r="E205" s="15"/>
    </row>
    <row r="206" spans="3:5" x14ac:dyDescent="0.35">
      <c r="C206" s="17"/>
      <c r="D206" s="19"/>
      <c r="E206" s="15"/>
    </row>
    <row r="207" spans="3:5" x14ac:dyDescent="0.35">
      <c r="C207" s="17"/>
      <c r="D207" s="19"/>
      <c r="E207" s="15"/>
    </row>
    <row r="208" spans="3:5" x14ac:dyDescent="0.35">
      <c r="C208" s="17"/>
      <c r="D208" s="19"/>
      <c r="E208" s="15"/>
    </row>
    <row r="209" spans="3:5" x14ac:dyDescent="0.35">
      <c r="C209" s="17"/>
      <c r="D209" s="19"/>
      <c r="E209" s="15"/>
    </row>
    <row r="210" spans="3:5" x14ac:dyDescent="0.35">
      <c r="C210" s="17"/>
      <c r="D210" s="19"/>
      <c r="E210" s="15"/>
    </row>
    <row r="211" spans="3:5" x14ac:dyDescent="0.35">
      <c r="C211" s="17"/>
      <c r="D211" s="19"/>
      <c r="E211" s="15"/>
    </row>
    <row r="212" spans="3:5" x14ac:dyDescent="0.35">
      <c r="C212" s="17"/>
      <c r="D212" s="19"/>
      <c r="E212" s="15"/>
    </row>
    <row r="213" spans="3:5" x14ac:dyDescent="0.35">
      <c r="C213" s="17"/>
      <c r="D213" s="19"/>
      <c r="E213" s="15"/>
    </row>
    <row r="214" spans="3:5" x14ac:dyDescent="0.35">
      <c r="C214" s="17"/>
      <c r="D214" s="19"/>
      <c r="E214" s="15"/>
    </row>
    <row r="215" spans="3:5" x14ac:dyDescent="0.35">
      <c r="C215" s="17"/>
      <c r="D215" s="19"/>
      <c r="E215" s="15"/>
    </row>
    <row r="216" spans="3:5" x14ac:dyDescent="0.35">
      <c r="C216" s="17"/>
      <c r="D216" s="19"/>
      <c r="E216" s="15"/>
    </row>
    <row r="217" spans="3:5" x14ac:dyDescent="0.35">
      <c r="C217" s="17"/>
      <c r="D217" s="19"/>
      <c r="E217" s="15"/>
    </row>
    <row r="218" spans="3:5" x14ac:dyDescent="0.35">
      <c r="C218" s="17"/>
      <c r="D218" s="19"/>
      <c r="E218" s="15"/>
    </row>
    <row r="219" spans="3:5" x14ac:dyDescent="0.35">
      <c r="C219" s="17"/>
      <c r="D219" s="19"/>
      <c r="E219" s="15"/>
    </row>
    <row r="220" spans="3:5" x14ac:dyDescent="0.35">
      <c r="C220" s="17"/>
      <c r="D220" s="19"/>
      <c r="E220" s="15"/>
    </row>
    <row r="221" spans="3:5" x14ac:dyDescent="0.35">
      <c r="C221" s="17"/>
      <c r="D221" s="19"/>
      <c r="E221" s="15"/>
    </row>
    <row r="222" spans="3:5" x14ac:dyDescent="0.35">
      <c r="C222" s="17"/>
      <c r="D222" s="19"/>
      <c r="E222" s="15"/>
    </row>
    <row r="223" spans="3:5" x14ac:dyDescent="0.35">
      <c r="C223" s="17"/>
      <c r="D223" s="19"/>
      <c r="E223" s="15"/>
    </row>
    <row r="224" spans="3:5" x14ac:dyDescent="0.35">
      <c r="C224" s="17"/>
      <c r="D224" s="19"/>
      <c r="E224" s="15"/>
    </row>
    <row r="225" spans="3:5" x14ac:dyDescent="0.35">
      <c r="C225" s="17"/>
      <c r="D225" s="19"/>
      <c r="E225" s="15"/>
    </row>
    <row r="226" spans="3:5" x14ac:dyDescent="0.35">
      <c r="C226" s="17"/>
      <c r="D226" s="19"/>
      <c r="E226" s="15"/>
    </row>
    <row r="227" spans="3:5" x14ac:dyDescent="0.35">
      <c r="C227" s="17"/>
      <c r="D227" s="19"/>
      <c r="E227" s="15"/>
    </row>
    <row r="228" spans="3:5" x14ac:dyDescent="0.35">
      <c r="C228" s="17"/>
      <c r="D228" s="19"/>
      <c r="E228" s="15"/>
    </row>
    <row r="229" spans="3:5" x14ac:dyDescent="0.35">
      <c r="C229" s="17"/>
      <c r="D229" s="19"/>
      <c r="E229" s="15"/>
    </row>
    <row r="230" spans="3:5" x14ac:dyDescent="0.35">
      <c r="C230" s="17"/>
      <c r="D230" s="19"/>
      <c r="E230" s="15"/>
    </row>
    <row r="231" spans="3:5" x14ac:dyDescent="0.35">
      <c r="C231" s="17"/>
      <c r="D231" s="19"/>
      <c r="E231" s="15"/>
    </row>
    <row r="232" spans="3:5" x14ac:dyDescent="0.35">
      <c r="C232" s="17"/>
      <c r="D232" s="19"/>
      <c r="E232" s="15"/>
    </row>
    <row r="233" spans="3:5" x14ac:dyDescent="0.35">
      <c r="C233" s="17"/>
      <c r="D233" s="19"/>
      <c r="E233" s="15"/>
    </row>
    <row r="234" spans="3:5" x14ac:dyDescent="0.35">
      <c r="C234" s="17"/>
      <c r="D234" s="19"/>
      <c r="E234" s="15"/>
    </row>
    <row r="235" spans="3:5" x14ac:dyDescent="0.35">
      <c r="C235" s="17"/>
      <c r="D235" s="19"/>
      <c r="E235" s="15"/>
    </row>
    <row r="236" spans="3:5" x14ac:dyDescent="0.35">
      <c r="C236" s="17"/>
      <c r="D236" s="19"/>
      <c r="E236" s="15"/>
    </row>
    <row r="237" spans="3:5" x14ac:dyDescent="0.35">
      <c r="C237" s="17"/>
      <c r="D237" s="19"/>
      <c r="E237" s="15"/>
    </row>
    <row r="238" spans="3:5" x14ac:dyDescent="0.35">
      <c r="C238" s="17"/>
      <c r="D238" s="19"/>
      <c r="E238" s="15"/>
    </row>
    <row r="239" spans="3:5" x14ac:dyDescent="0.35">
      <c r="C239" s="17"/>
      <c r="D239" s="19"/>
      <c r="E239" s="15"/>
    </row>
    <row r="240" spans="3:5" x14ac:dyDescent="0.35">
      <c r="C240" s="17"/>
      <c r="D240" s="19"/>
      <c r="E240" s="15"/>
    </row>
    <row r="241" spans="3:5" x14ac:dyDescent="0.35">
      <c r="C241" s="17"/>
      <c r="D241" s="19"/>
      <c r="E241" s="15"/>
    </row>
    <row r="242" spans="3:5" x14ac:dyDescent="0.35">
      <c r="C242" s="17"/>
      <c r="D242" s="19"/>
      <c r="E242" s="15"/>
    </row>
    <row r="243" spans="3:5" x14ac:dyDescent="0.35">
      <c r="C243" s="17"/>
      <c r="D243" s="19"/>
      <c r="E243" s="15"/>
    </row>
    <row r="244" spans="3:5" x14ac:dyDescent="0.35">
      <c r="C244" s="17"/>
      <c r="D244" s="19"/>
      <c r="E244" s="15"/>
    </row>
    <row r="245" spans="3:5" x14ac:dyDescent="0.35">
      <c r="C245" s="17"/>
      <c r="D245" s="19"/>
      <c r="E245" s="15"/>
    </row>
    <row r="246" spans="3:5" x14ac:dyDescent="0.35">
      <c r="C246" s="17"/>
      <c r="D246" s="19"/>
      <c r="E246" s="15"/>
    </row>
    <row r="247" spans="3:5" x14ac:dyDescent="0.35">
      <c r="C247" s="17"/>
      <c r="D247" s="19"/>
      <c r="E247" s="15"/>
    </row>
    <row r="248" spans="3:5" x14ac:dyDescent="0.35">
      <c r="C248" s="17"/>
      <c r="D248" s="19"/>
      <c r="E248" s="15"/>
    </row>
    <row r="249" spans="3:5" x14ac:dyDescent="0.35">
      <c r="C249" s="17"/>
      <c r="D249" s="19"/>
      <c r="E249" s="15"/>
    </row>
    <row r="250" spans="3:5" x14ac:dyDescent="0.35">
      <c r="C250" s="17"/>
      <c r="D250" s="19"/>
      <c r="E250" s="15"/>
    </row>
    <row r="251" spans="3:5" x14ac:dyDescent="0.35">
      <c r="C251" s="17"/>
      <c r="D251" s="19"/>
      <c r="E251" s="15"/>
    </row>
    <row r="252" spans="3:5" x14ac:dyDescent="0.35">
      <c r="C252" s="17"/>
      <c r="D252" s="19"/>
      <c r="E252" s="15"/>
    </row>
    <row r="253" spans="3:5" x14ac:dyDescent="0.35">
      <c r="C253" s="17"/>
      <c r="D253" s="19"/>
      <c r="E253" s="15"/>
    </row>
    <row r="254" spans="3:5" x14ac:dyDescent="0.35">
      <c r="C254" s="17"/>
      <c r="D254" s="19"/>
      <c r="E254" s="15"/>
    </row>
    <row r="255" spans="3:5" x14ac:dyDescent="0.35">
      <c r="C255" s="17"/>
      <c r="D255" s="19"/>
      <c r="E255" s="15"/>
    </row>
    <row r="256" spans="3:5" x14ac:dyDescent="0.35">
      <c r="C256" s="17"/>
      <c r="D256" s="19"/>
      <c r="E256" s="15"/>
    </row>
    <row r="257" spans="3:5" x14ac:dyDescent="0.35">
      <c r="C257" s="17"/>
      <c r="D257" s="19"/>
      <c r="E257" s="15"/>
    </row>
    <row r="258" spans="3:5" x14ac:dyDescent="0.35">
      <c r="C258" s="17"/>
      <c r="D258" s="19"/>
      <c r="E258" s="15"/>
    </row>
    <row r="259" spans="3:5" x14ac:dyDescent="0.35">
      <c r="C259" s="17"/>
      <c r="D259" s="19"/>
      <c r="E259" s="15"/>
    </row>
    <row r="260" spans="3:5" x14ac:dyDescent="0.35">
      <c r="C260" s="17"/>
      <c r="D260" s="19"/>
      <c r="E260" s="15"/>
    </row>
    <row r="261" spans="3:5" x14ac:dyDescent="0.35">
      <c r="C261" s="17"/>
      <c r="D261" s="19"/>
      <c r="E261" s="15"/>
    </row>
    <row r="262" spans="3:5" x14ac:dyDescent="0.35">
      <c r="C262" s="17"/>
      <c r="D262" s="19"/>
      <c r="E262" s="15"/>
    </row>
    <row r="263" spans="3:5" x14ac:dyDescent="0.35">
      <c r="C263" s="17"/>
      <c r="D263" s="19"/>
      <c r="E263" s="15"/>
    </row>
    <row r="264" spans="3:5" x14ac:dyDescent="0.35">
      <c r="C264" s="17"/>
      <c r="D264" s="19"/>
      <c r="E264" s="15"/>
    </row>
    <row r="265" spans="3:5" x14ac:dyDescent="0.35">
      <c r="C265" s="17"/>
      <c r="D265" s="19"/>
      <c r="E265" s="15"/>
    </row>
    <row r="266" spans="3:5" x14ac:dyDescent="0.35">
      <c r="C266" s="17"/>
      <c r="D266" s="19"/>
      <c r="E266" s="15"/>
    </row>
    <row r="267" spans="3:5" x14ac:dyDescent="0.35">
      <c r="C267" s="17"/>
      <c r="D267" s="19"/>
      <c r="E267" s="15"/>
    </row>
    <row r="268" spans="3:5" x14ac:dyDescent="0.35">
      <c r="C268" s="17"/>
      <c r="D268" s="19"/>
      <c r="E268" s="15"/>
    </row>
    <row r="269" spans="3:5" x14ac:dyDescent="0.35">
      <c r="C269" s="17"/>
      <c r="D269" s="19"/>
      <c r="E269" s="15"/>
    </row>
    <row r="270" spans="3:5" x14ac:dyDescent="0.35">
      <c r="C270" s="17"/>
      <c r="D270" s="19"/>
      <c r="E270" s="15"/>
    </row>
    <row r="271" spans="3:5" x14ac:dyDescent="0.35">
      <c r="C271" s="17"/>
      <c r="D271" s="19"/>
      <c r="E271" s="15"/>
    </row>
    <row r="272" spans="3:5" x14ac:dyDescent="0.35">
      <c r="C272" s="17"/>
      <c r="D272" s="19"/>
      <c r="E272" s="15"/>
    </row>
    <row r="273" spans="3:5" x14ac:dyDescent="0.35">
      <c r="C273" s="17"/>
      <c r="D273" s="19"/>
      <c r="E273" s="15"/>
    </row>
    <row r="274" spans="3:5" x14ac:dyDescent="0.35">
      <c r="C274" s="17"/>
      <c r="D274" s="19"/>
      <c r="E274" s="15"/>
    </row>
    <row r="275" spans="3:5" x14ac:dyDescent="0.35">
      <c r="C275" s="17"/>
      <c r="D275" s="19"/>
      <c r="E275" s="15"/>
    </row>
    <row r="276" spans="3:5" x14ac:dyDescent="0.35">
      <c r="C276" s="17"/>
      <c r="D276" s="19"/>
      <c r="E276" s="15"/>
    </row>
    <row r="277" spans="3:5" x14ac:dyDescent="0.35">
      <c r="C277" s="17"/>
      <c r="D277" s="19"/>
      <c r="E277" s="15"/>
    </row>
    <row r="278" spans="3:5" x14ac:dyDescent="0.35">
      <c r="C278" s="17"/>
      <c r="D278" s="19"/>
      <c r="E278" s="15"/>
    </row>
    <row r="279" spans="3:5" x14ac:dyDescent="0.35">
      <c r="C279" s="17"/>
      <c r="D279" s="19"/>
      <c r="E279" s="15"/>
    </row>
    <row r="280" spans="3:5" x14ac:dyDescent="0.35">
      <c r="C280" s="17"/>
      <c r="D280" s="19"/>
      <c r="E280" s="15"/>
    </row>
    <row r="281" spans="3:5" x14ac:dyDescent="0.35">
      <c r="C281" s="17"/>
      <c r="D281" s="19"/>
      <c r="E281" s="15"/>
    </row>
    <row r="282" spans="3:5" x14ac:dyDescent="0.35">
      <c r="C282" s="17"/>
      <c r="D282" s="19"/>
      <c r="E282" s="15"/>
    </row>
    <row r="283" spans="3:5" x14ac:dyDescent="0.35">
      <c r="C283" s="17"/>
      <c r="D283" s="19"/>
      <c r="E283" s="15"/>
    </row>
    <row r="284" spans="3:5" x14ac:dyDescent="0.35">
      <c r="C284" s="17"/>
      <c r="D284" s="19"/>
      <c r="E284" s="15"/>
    </row>
    <row r="285" spans="3:5" x14ac:dyDescent="0.35">
      <c r="C285" s="17"/>
      <c r="D285" s="19"/>
      <c r="E285" s="15"/>
    </row>
    <row r="286" spans="3:5" x14ac:dyDescent="0.35">
      <c r="C286" s="17"/>
      <c r="D286" s="19"/>
      <c r="E286" s="15"/>
    </row>
    <row r="287" spans="3:5" x14ac:dyDescent="0.35">
      <c r="C287" s="17"/>
      <c r="D287" s="19"/>
      <c r="E287" s="15"/>
    </row>
    <row r="288" spans="3:5" x14ac:dyDescent="0.35">
      <c r="C288" s="17"/>
      <c r="D288" s="19"/>
      <c r="E288" s="15"/>
    </row>
    <row r="289" spans="3:5" x14ac:dyDescent="0.35">
      <c r="C289" s="17"/>
      <c r="D289" s="19"/>
      <c r="E289" s="15"/>
    </row>
    <row r="290" spans="3:5" x14ac:dyDescent="0.35">
      <c r="C290" s="17"/>
      <c r="D290" s="19"/>
      <c r="E290" s="15"/>
    </row>
    <row r="291" spans="3:5" x14ac:dyDescent="0.35">
      <c r="C291" s="17"/>
      <c r="D291" s="19"/>
      <c r="E291" s="15"/>
    </row>
    <row r="292" spans="3:5" x14ac:dyDescent="0.35">
      <c r="C292" s="17"/>
      <c r="D292" s="19"/>
      <c r="E292" s="15"/>
    </row>
    <row r="293" spans="3:5" x14ac:dyDescent="0.35">
      <c r="C293" s="17"/>
      <c r="D293" s="19"/>
      <c r="E293" s="15"/>
    </row>
    <row r="294" spans="3:5" x14ac:dyDescent="0.35">
      <c r="C294" s="17"/>
      <c r="D294" s="19"/>
      <c r="E294" s="15"/>
    </row>
    <row r="295" spans="3:5" x14ac:dyDescent="0.35">
      <c r="C295" s="17"/>
      <c r="D295" s="19"/>
      <c r="E295" s="15"/>
    </row>
    <row r="296" spans="3:5" x14ac:dyDescent="0.35">
      <c r="C296" s="17"/>
      <c r="D296" s="19"/>
      <c r="E296" s="15"/>
    </row>
    <row r="297" spans="3:5" x14ac:dyDescent="0.35">
      <c r="C297" s="17"/>
      <c r="D297" s="19"/>
      <c r="E297" s="15"/>
    </row>
    <row r="298" spans="3:5" x14ac:dyDescent="0.35">
      <c r="C298" s="17"/>
      <c r="D298" s="19"/>
      <c r="E298" s="15"/>
    </row>
    <row r="299" spans="3:5" x14ac:dyDescent="0.35">
      <c r="C299" s="17"/>
      <c r="D299" s="19"/>
      <c r="E299" s="15"/>
    </row>
    <row r="300" spans="3:5" x14ac:dyDescent="0.35">
      <c r="C300" s="17"/>
      <c r="D300" s="19"/>
      <c r="E300" s="15"/>
    </row>
    <row r="301" spans="3:5" x14ac:dyDescent="0.35">
      <c r="C301" s="17"/>
      <c r="D301" s="19"/>
      <c r="E301" s="15"/>
    </row>
    <row r="302" spans="3:5" x14ac:dyDescent="0.35">
      <c r="C302" s="17"/>
      <c r="D302" s="19"/>
      <c r="E302" s="15"/>
    </row>
    <row r="303" spans="3:5" x14ac:dyDescent="0.35">
      <c r="C303" s="17"/>
      <c r="D303" s="19"/>
      <c r="E303" s="15"/>
    </row>
    <row r="304" spans="3:5" x14ac:dyDescent="0.35">
      <c r="C304" s="17"/>
      <c r="D304" s="19"/>
      <c r="E304" s="15"/>
    </row>
    <row r="305" spans="3:5" x14ac:dyDescent="0.35">
      <c r="C305" s="17"/>
      <c r="D305" s="19"/>
      <c r="E305" s="15"/>
    </row>
    <row r="306" spans="3:5" x14ac:dyDescent="0.35">
      <c r="C306" s="17"/>
      <c r="D306" s="19"/>
      <c r="E306" s="15"/>
    </row>
    <row r="307" spans="3:5" x14ac:dyDescent="0.35">
      <c r="C307" s="17"/>
      <c r="D307" s="19"/>
      <c r="E307" s="15"/>
    </row>
    <row r="308" spans="3:5" x14ac:dyDescent="0.35">
      <c r="C308" s="17"/>
      <c r="D308" s="19"/>
      <c r="E308" s="15"/>
    </row>
    <row r="309" spans="3:5" x14ac:dyDescent="0.35">
      <c r="C309" s="17"/>
      <c r="D309" s="19"/>
      <c r="E309" s="15"/>
    </row>
    <row r="310" spans="3:5" x14ac:dyDescent="0.35">
      <c r="C310" s="17"/>
      <c r="D310" s="19"/>
      <c r="E310" s="15"/>
    </row>
    <row r="311" spans="3:5" x14ac:dyDescent="0.35">
      <c r="C311" s="17"/>
      <c r="D311" s="19"/>
      <c r="E311" s="15"/>
    </row>
    <row r="312" spans="3:5" x14ac:dyDescent="0.35">
      <c r="C312" s="17"/>
      <c r="D312" s="19"/>
      <c r="E312" s="15"/>
    </row>
    <row r="313" spans="3:5" x14ac:dyDescent="0.35">
      <c r="C313" s="17"/>
      <c r="D313" s="19"/>
      <c r="E313" s="15"/>
    </row>
    <row r="314" spans="3:5" x14ac:dyDescent="0.35">
      <c r="C314" s="17"/>
      <c r="D314" s="19"/>
      <c r="E314" s="15"/>
    </row>
    <row r="315" spans="3:5" x14ac:dyDescent="0.35">
      <c r="C315" s="17"/>
      <c r="D315" s="19"/>
      <c r="E315" s="15"/>
    </row>
    <row r="316" spans="3:5" x14ac:dyDescent="0.35">
      <c r="C316" s="17"/>
      <c r="D316" s="19"/>
      <c r="E316" s="15"/>
    </row>
    <row r="317" spans="3:5" x14ac:dyDescent="0.35">
      <c r="C317" s="17"/>
      <c r="D317" s="19"/>
      <c r="E317" s="15"/>
    </row>
    <row r="318" spans="3:5" x14ac:dyDescent="0.35">
      <c r="C318" s="17"/>
      <c r="D318" s="19"/>
      <c r="E318" s="15"/>
    </row>
    <row r="319" spans="3:5" x14ac:dyDescent="0.35">
      <c r="C319" s="17"/>
      <c r="D319" s="19"/>
      <c r="E319" s="15"/>
    </row>
    <row r="320" spans="3:5" x14ac:dyDescent="0.35">
      <c r="C320" s="17"/>
      <c r="D320" s="19"/>
      <c r="E320" s="15"/>
    </row>
    <row r="321" spans="3:5" x14ac:dyDescent="0.35">
      <c r="C321" s="17"/>
      <c r="D321" s="19"/>
      <c r="E321" s="15"/>
    </row>
    <row r="322" spans="3:5" x14ac:dyDescent="0.35">
      <c r="C322" s="17"/>
      <c r="D322" s="19"/>
      <c r="E322" s="15"/>
    </row>
    <row r="323" spans="3:5" x14ac:dyDescent="0.35">
      <c r="C323" s="17"/>
      <c r="D323" s="19"/>
      <c r="E323" s="15"/>
    </row>
    <row r="324" spans="3:5" x14ac:dyDescent="0.35">
      <c r="C324" s="17"/>
      <c r="D324" s="19"/>
      <c r="E324" s="15"/>
    </row>
    <row r="325" spans="3:5" x14ac:dyDescent="0.35">
      <c r="C325" s="17"/>
      <c r="D325" s="19"/>
      <c r="E325" s="15"/>
    </row>
    <row r="326" spans="3:5" x14ac:dyDescent="0.35">
      <c r="C326" s="17"/>
      <c r="D326" s="19"/>
      <c r="E326" s="15"/>
    </row>
    <row r="327" spans="3:5" x14ac:dyDescent="0.35">
      <c r="C327" s="17"/>
      <c r="D327" s="19"/>
      <c r="E327" s="15"/>
    </row>
    <row r="328" spans="3:5" x14ac:dyDescent="0.35">
      <c r="C328" s="17"/>
      <c r="D328" s="19"/>
      <c r="E328" s="15"/>
    </row>
    <row r="329" spans="3:5" x14ac:dyDescent="0.35">
      <c r="C329" s="17"/>
      <c r="D329" s="19"/>
      <c r="E329" s="15"/>
    </row>
    <row r="330" spans="3:5" x14ac:dyDescent="0.35">
      <c r="C330" s="17"/>
      <c r="D330" s="19"/>
      <c r="E330" s="15"/>
    </row>
    <row r="331" spans="3:5" x14ac:dyDescent="0.35">
      <c r="C331" s="17"/>
      <c r="D331" s="19"/>
      <c r="E331" s="15"/>
    </row>
    <row r="332" spans="3:5" x14ac:dyDescent="0.35">
      <c r="C332" s="17"/>
      <c r="D332" s="19"/>
      <c r="E332" s="15"/>
    </row>
    <row r="333" spans="3:5" x14ac:dyDescent="0.35">
      <c r="C333" s="17"/>
      <c r="D333" s="19"/>
      <c r="E333" s="15"/>
    </row>
    <row r="334" spans="3:5" x14ac:dyDescent="0.35">
      <c r="C334" s="17"/>
      <c r="D334" s="19"/>
      <c r="E334" s="15"/>
    </row>
    <row r="335" spans="3:5" x14ac:dyDescent="0.35">
      <c r="C335" s="17"/>
      <c r="D335" s="19"/>
      <c r="E335" s="15"/>
    </row>
    <row r="336" spans="3:5" x14ac:dyDescent="0.35">
      <c r="C336" s="17"/>
      <c r="D336" s="19"/>
      <c r="E336" s="15"/>
    </row>
    <row r="337" spans="3:5" x14ac:dyDescent="0.35">
      <c r="C337" s="17"/>
      <c r="D337" s="19"/>
      <c r="E337" s="15"/>
    </row>
    <row r="338" spans="3:5" x14ac:dyDescent="0.35">
      <c r="C338" s="17"/>
      <c r="D338" s="19"/>
      <c r="E338" s="15"/>
    </row>
    <row r="339" spans="3:5" x14ac:dyDescent="0.35">
      <c r="C339" s="17"/>
      <c r="D339" s="19"/>
      <c r="E339" s="15"/>
    </row>
    <row r="340" spans="3:5" x14ac:dyDescent="0.35">
      <c r="C340" s="17"/>
      <c r="D340" s="19"/>
      <c r="E340" s="15"/>
    </row>
    <row r="341" spans="3:5" x14ac:dyDescent="0.35">
      <c r="C341" s="17"/>
      <c r="D341" s="19"/>
      <c r="E341" s="15"/>
    </row>
    <row r="342" spans="3:5" x14ac:dyDescent="0.35">
      <c r="C342" s="17"/>
      <c r="D342" s="19"/>
      <c r="E342" s="15"/>
    </row>
    <row r="343" spans="3:5" x14ac:dyDescent="0.35">
      <c r="C343" s="17"/>
      <c r="D343" s="19"/>
      <c r="E343" s="15"/>
    </row>
    <row r="344" spans="3:5" x14ac:dyDescent="0.35">
      <c r="C344" s="17"/>
      <c r="D344" s="19"/>
      <c r="E344" s="15"/>
    </row>
    <row r="345" spans="3:5" x14ac:dyDescent="0.35">
      <c r="C345" s="17"/>
      <c r="D345" s="19"/>
      <c r="E345" s="15"/>
    </row>
    <row r="346" spans="3:5" x14ac:dyDescent="0.35">
      <c r="C346" s="17"/>
      <c r="D346" s="19"/>
      <c r="E346" s="15"/>
    </row>
    <row r="347" spans="3:5" x14ac:dyDescent="0.35">
      <c r="C347" s="17"/>
      <c r="D347" s="19"/>
      <c r="E347" s="15"/>
    </row>
    <row r="348" spans="3:5" x14ac:dyDescent="0.35">
      <c r="C348" s="17"/>
      <c r="D348" s="19"/>
      <c r="E348" s="15"/>
    </row>
    <row r="349" spans="3:5" x14ac:dyDescent="0.35">
      <c r="C349" s="17"/>
      <c r="D349" s="19"/>
      <c r="E349" s="15"/>
    </row>
    <row r="350" spans="3:5" x14ac:dyDescent="0.35">
      <c r="C350" s="17"/>
      <c r="D350" s="19"/>
      <c r="E350" s="15"/>
    </row>
    <row r="351" spans="3:5" x14ac:dyDescent="0.35">
      <c r="C351" s="17"/>
      <c r="D351" s="19"/>
      <c r="E351" s="15"/>
    </row>
    <row r="352" spans="3:5" x14ac:dyDescent="0.35">
      <c r="C352" s="17"/>
      <c r="D352" s="19"/>
      <c r="E352" s="15"/>
    </row>
    <row r="353" spans="3:5" x14ac:dyDescent="0.35">
      <c r="C353" s="17"/>
      <c r="D353" s="19"/>
      <c r="E353" s="15"/>
    </row>
    <row r="354" spans="3:5" x14ac:dyDescent="0.35">
      <c r="C354" s="17"/>
      <c r="D354" s="19"/>
      <c r="E354" s="15"/>
    </row>
    <row r="355" spans="3:5" x14ac:dyDescent="0.35">
      <c r="C355" s="17"/>
      <c r="D355" s="19"/>
      <c r="E355" s="15"/>
    </row>
    <row r="356" spans="3:5" x14ac:dyDescent="0.35">
      <c r="C356" s="17"/>
      <c r="D356" s="19"/>
      <c r="E356" s="15"/>
    </row>
    <row r="357" spans="3:5" x14ac:dyDescent="0.35">
      <c r="C357" s="17"/>
      <c r="D357" s="19"/>
      <c r="E357" s="15"/>
    </row>
    <row r="358" spans="3:5" x14ac:dyDescent="0.35">
      <c r="C358" s="17"/>
      <c r="D358" s="19"/>
      <c r="E358" s="15"/>
    </row>
    <row r="359" spans="3:5" x14ac:dyDescent="0.35">
      <c r="C359" s="17"/>
      <c r="D359" s="19"/>
      <c r="E359" s="15"/>
    </row>
    <row r="360" spans="3:5" x14ac:dyDescent="0.35">
      <c r="C360" s="17"/>
      <c r="D360" s="19"/>
      <c r="E360" s="15"/>
    </row>
    <row r="361" spans="3:5" x14ac:dyDescent="0.35">
      <c r="C361" s="17"/>
      <c r="D361" s="19"/>
      <c r="E361" s="15"/>
    </row>
    <row r="362" spans="3:5" x14ac:dyDescent="0.35">
      <c r="C362" s="17"/>
      <c r="D362" s="19"/>
      <c r="E362" s="15"/>
    </row>
    <row r="363" spans="3:5" x14ac:dyDescent="0.35">
      <c r="C363" s="17"/>
      <c r="D363" s="19"/>
      <c r="E363" s="15"/>
    </row>
    <row r="364" spans="3:5" x14ac:dyDescent="0.35">
      <c r="C364" s="17"/>
      <c r="D364" s="19"/>
      <c r="E364" s="15"/>
    </row>
    <row r="365" spans="3:5" x14ac:dyDescent="0.35">
      <c r="C365" s="17"/>
      <c r="D365" s="19"/>
      <c r="E365" s="15"/>
    </row>
    <row r="366" spans="3:5" x14ac:dyDescent="0.35">
      <c r="C366" s="17"/>
      <c r="D366" s="19"/>
      <c r="E366" s="15"/>
    </row>
    <row r="367" spans="3:5" x14ac:dyDescent="0.35">
      <c r="C367" s="17"/>
      <c r="D367" s="19"/>
      <c r="E367" s="15"/>
    </row>
    <row r="368" spans="3:5" x14ac:dyDescent="0.35">
      <c r="C368" s="17"/>
      <c r="D368" s="19"/>
      <c r="E368" s="15"/>
    </row>
    <row r="369" spans="3:5" x14ac:dyDescent="0.35">
      <c r="C369" s="17"/>
      <c r="D369" s="19"/>
      <c r="E369" s="15"/>
    </row>
    <row r="370" spans="3:5" x14ac:dyDescent="0.35">
      <c r="C370" s="17"/>
      <c r="D370" s="19"/>
      <c r="E370" s="15"/>
    </row>
    <row r="371" spans="3:5" x14ac:dyDescent="0.35">
      <c r="C371" s="17"/>
      <c r="D371" s="19"/>
      <c r="E371" s="15"/>
    </row>
    <row r="372" spans="3:5" x14ac:dyDescent="0.35">
      <c r="C372" s="17"/>
      <c r="D372" s="19"/>
      <c r="E372" s="15"/>
    </row>
    <row r="373" spans="3:5" x14ac:dyDescent="0.35">
      <c r="C373" s="17"/>
      <c r="D373" s="19"/>
      <c r="E373" s="15"/>
    </row>
    <row r="374" spans="3:5" x14ac:dyDescent="0.35">
      <c r="C374" s="17"/>
      <c r="D374" s="19"/>
      <c r="E374" s="15"/>
    </row>
    <row r="375" spans="3:5" x14ac:dyDescent="0.35">
      <c r="C375" s="17"/>
      <c r="D375" s="19"/>
      <c r="E375" s="15"/>
    </row>
    <row r="376" spans="3:5" x14ac:dyDescent="0.35">
      <c r="C376" s="17"/>
      <c r="D376" s="19"/>
      <c r="E376" s="15"/>
    </row>
    <row r="377" spans="3:5" x14ac:dyDescent="0.35">
      <c r="C377" s="17"/>
      <c r="D377" s="19"/>
      <c r="E377" s="15"/>
    </row>
    <row r="378" spans="3:5" x14ac:dyDescent="0.35">
      <c r="C378" s="17"/>
      <c r="D378" s="19"/>
      <c r="E378" s="15"/>
    </row>
    <row r="379" spans="3:5" x14ac:dyDescent="0.35">
      <c r="C379" s="17"/>
      <c r="D379" s="19"/>
      <c r="E379" s="15"/>
    </row>
    <row r="380" spans="3:5" x14ac:dyDescent="0.35">
      <c r="C380" s="17"/>
      <c r="D380" s="19"/>
      <c r="E380" s="15"/>
    </row>
    <row r="381" spans="3:5" x14ac:dyDescent="0.35">
      <c r="C381" s="17"/>
      <c r="D381" s="19"/>
      <c r="E381" s="15"/>
    </row>
    <row r="382" spans="3:5" x14ac:dyDescent="0.35">
      <c r="C382" s="17"/>
      <c r="D382" s="19"/>
      <c r="E382" s="15"/>
    </row>
    <row r="383" spans="3:5" x14ac:dyDescent="0.35">
      <c r="C383" s="17"/>
      <c r="D383" s="19"/>
      <c r="E383" s="15"/>
    </row>
    <row r="384" spans="3:5" x14ac:dyDescent="0.35">
      <c r="C384" s="17"/>
      <c r="D384" s="19"/>
      <c r="E384" s="15"/>
    </row>
    <row r="385" spans="3:5" x14ac:dyDescent="0.35">
      <c r="C385" s="17"/>
      <c r="D385" s="19"/>
      <c r="E385" s="15"/>
    </row>
    <row r="386" spans="3:5" x14ac:dyDescent="0.35">
      <c r="C386" s="17"/>
      <c r="D386" s="19"/>
      <c r="E386" s="15"/>
    </row>
    <row r="387" spans="3:5" x14ac:dyDescent="0.35">
      <c r="C387" s="17"/>
      <c r="D387" s="19"/>
      <c r="E387" s="15"/>
    </row>
    <row r="388" spans="3:5" x14ac:dyDescent="0.35">
      <c r="C388" s="17"/>
      <c r="D388" s="19"/>
      <c r="E388" s="15"/>
    </row>
    <row r="389" spans="3:5" x14ac:dyDescent="0.35">
      <c r="C389" s="17"/>
      <c r="D389" s="19"/>
      <c r="E389" s="15"/>
    </row>
    <row r="390" spans="3:5" x14ac:dyDescent="0.35">
      <c r="C390" s="17"/>
      <c r="D390" s="19"/>
      <c r="E390" s="15"/>
    </row>
    <row r="391" spans="3:5" x14ac:dyDescent="0.35">
      <c r="C391" s="17"/>
      <c r="D391" s="19"/>
      <c r="E391" s="15"/>
    </row>
    <row r="392" spans="3:5" x14ac:dyDescent="0.35">
      <c r="C392" s="17"/>
      <c r="D392" s="19"/>
      <c r="E392" s="15"/>
    </row>
    <row r="393" spans="3:5" x14ac:dyDescent="0.35">
      <c r="C393" s="17"/>
      <c r="D393" s="19"/>
      <c r="E393" s="15"/>
    </row>
    <row r="394" spans="3:5" x14ac:dyDescent="0.35">
      <c r="C394" s="17"/>
      <c r="D394" s="19"/>
      <c r="E394" s="15"/>
    </row>
    <row r="395" spans="3:5" x14ac:dyDescent="0.35">
      <c r="C395" s="17"/>
      <c r="D395" s="19"/>
      <c r="E395" s="15"/>
    </row>
    <row r="396" spans="3:5" x14ac:dyDescent="0.35">
      <c r="C396" s="17"/>
      <c r="D396" s="19"/>
      <c r="E396" s="15"/>
    </row>
    <row r="397" spans="3:5" x14ac:dyDescent="0.35">
      <c r="C397" s="17"/>
      <c r="D397" s="19"/>
      <c r="E397" s="15"/>
    </row>
    <row r="398" spans="3:5" x14ac:dyDescent="0.35">
      <c r="C398" s="17"/>
      <c r="D398" s="19"/>
      <c r="E398" s="15"/>
    </row>
    <row r="399" spans="3:5" x14ac:dyDescent="0.35">
      <c r="C399" s="17"/>
      <c r="D399" s="19"/>
      <c r="E399" s="15"/>
    </row>
    <row r="400" spans="3:5" x14ac:dyDescent="0.35">
      <c r="C400" s="17"/>
      <c r="D400" s="19"/>
      <c r="E400" s="15"/>
    </row>
    <row r="401" spans="3:5" x14ac:dyDescent="0.35">
      <c r="C401" s="17"/>
      <c r="D401" s="19"/>
      <c r="E401" s="15"/>
    </row>
    <row r="402" spans="3:5" x14ac:dyDescent="0.35">
      <c r="C402" s="17"/>
      <c r="D402" s="19"/>
      <c r="E402" s="15"/>
    </row>
    <row r="403" spans="3:5" x14ac:dyDescent="0.35">
      <c r="C403" s="17"/>
      <c r="D403" s="19"/>
      <c r="E403" s="15"/>
    </row>
    <row r="404" spans="3:5" x14ac:dyDescent="0.35">
      <c r="C404" s="17"/>
      <c r="D404" s="19"/>
      <c r="E404" s="15"/>
    </row>
    <row r="405" spans="3:5" x14ac:dyDescent="0.35">
      <c r="C405" s="17"/>
      <c r="D405" s="19"/>
      <c r="E405" s="15"/>
    </row>
    <row r="406" spans="3:5" x14ac:dyDescent="0.35">
      <c r="C406" s="17"/>
      <c r="D406" s="19"/>
      <c r="E406" s="15"/>
    </row>
    <row r="407" spans="3:5" x14ac:dyDescent="0.35">
      <c r="C407" s="17"/>
      <c r="D407" s="19"/>
      <c r="E407" s="15"/>
    </row>
    <row r="408" spans="3:5" x14ac:dyDescent="0.35">
      <c r="C408" s="17"/>
      <c r="D408" s="19"/>
      <c r="E408" s="15"/>
    </row>
    <row r="409" spans="3:5" x14ac:dyDescent="0.35">
      <c r="C409" s="17"/>
      <c r="D409" s="19"/>
      <c r="E409" s="15"/>
    </row>
    <row r="410" spans="3:5" x14ac:dyDescent="0.35">
      <c r="C410" s="17"/>
      <c r="D410" s="19"/>
      <c r="E410" s="15"/>
    </row>
    <row r="411" spans="3:5" x14ac:dyDescent="0.35">
      <c r="C411" s="17"/>
      <c r="D411" s="19"/>
      <c r="E411" s="15"/>
    </row>
    <row r="412" spans="3:5" x14ac:dyDescent="0.35">
      <c r="C412" s="17"/>
      <c r="D412" s="19"/>
      <c r="E412" s="15"/>
    </row>
    <row r="413" spans="3:5" x14ac:dyDescent="0.35">
      <c r="C413" s="17"/>
      <c r="D413" s="19"/>
      <c r="E413" s="15"/>
    </row>
    <row r="414" spans="3:5" x14ac:dyDescent="0.35">
      <c r="C414" s="17"/>
      <c r="D414" s="19"/>
      <c r="E414" s="15"/>
    </row>
    <row r="415" spans="3:5" x14ac:dyDescent="0.35">
      <c r="C415" s="17"/>
      <c r="D415" s="19"/>
      <c r="E415" s="15"/>
    </row>
    <row r="416" spans="3:5" x14ac:dyDescent="0.35">
      <c r="C416" s="17"/>
      <c r="D416" s="19"/>
      <c r="E416" s="15"/>
    </row>
    <row r="417" spans="3:5" x14ac:dyDescent="0.35">
      <c r="C417" s="17"/>
      <c r="D417" s="19"/>
      <c r="E417" s="15"/>
    </row>
    <row r="418" spans="3:5" x14ac:dyDescent="0.35">
      <c r="C418" s="17"/>
      <c r="D418" s="19"/>
      <c r="E418" s="15"/>
    </row>
    <row r="419" spans="3:5" x14ac:dyDescent="0.35">
      <c r="C419" s="17"/>
      <c r="D419" s="19"/>
      <c r="E419" s="15"/>
    </row>
    <row r="420" spans="3:5" x14ac:dyDescent="0.35">
      <c r="C420" s="17"/>
      <c r="D420" s="19"/>
      <c r="E420" s="15"/>
    </row>
    <row r="421" spans="3:5" x14ac:dyDescent="0.35">
      <c r="C421" s="17"/>
      <c r="D421" s="19"/>
      <c r="E421" s="15"/>
    </row>
    <row r="422" spans="3:5" x14ac:dyDescent="0.35">
      <c r="C422" s="17"/>
      <c r="D422" s="19"/>
      <c r="E422" s="15"/>
    </row>
    <row r="423" spans="3:5" x14ac:dyDescent="0.35">
      <c r="C423" s="17"/>
      <c r="D423" s="19"/>
      <c r="E423" s="15"/>
    </row>
    <row r="424" spans="3:5" x14ac:dyDescent="0.35">
      <c r="C424" s="17"/>
      <c r="D424" s="19"/>
      <c r="E424" s="15"/>
    </row>
    <row r="425" spans="3:5" x14ac:dyDescent="0.35">
      <c r="C425" s="17"/>
      <c r="D425" s="19"/>
      <c r="E425" s="15"/>
    </row>
    <row r="426" spans="3:5" x14ac:dyDescent="0.35">
      <c r="C426" s="17"/>
      <c r="D426" s="19"/>
      <c r="E426" s="15"/>
    </row>
    <row r="427" spans="3:5" x14ac:dyDescent="0.35">
      <c r="C427" s="17"/>
      <c r="D427" s="19"/>
      <c r="E427" s="15"/>
    </row>
    <row r="428" spans="3:5" x14ac:dyDescent="0.35">
      <c r="C428" s="17"/>
      <c r="D428" s="19"/>
      <c r="E428" s="15"/>
    </row>
    <row r="429" spans="3:5" x14ac:dyDescent="0.35">
      <c r="C429" s="17"/>
      <c r="D429" s="19"/>
      <c r="E429" s="15"/>
    </row>
    <row r="430" spans="3:5" x14ac:dyDescent="0.35">
      <c r="C430" s="17"/>
      <c r="D430" s="19"/>
      <c r="E430" s="15"/>
    </row>
    <row r="431" spans="3:5" x14ac:dyDescent="0.35">
      <c r="C431" s="17"/>
      <c r="D431" s="19"/>
      <c r="E431" s="15"/>
    </row>
    <row r="432" spans="3:5" x14ac:dyDescent="0.35">
      <c r="C432" s="17"/>
      <c r="D432" s="19"/>
      <c r="E432" s="15"/>
    </row>
    <row r="433" spans="3:5" x14ac:dyDescent="0.35">
      <c r="C433" s="17"/>
      <c r="D433" s="19"/>
      <c r="E433" s="15"/>
    </row>
    <row r="434" spans="3:5" x14ac:dyDescent="0.35">
      <c r="C434" s="17"/>
      <c r="D434" s="19"/>
      <c r="E434" s="15"/>
    </row>
    <row r="435" spans="3:5" x14ac:dyDescent="0.35">
      <c r="C435" s="17"/>
      <c r="D435" s="19"/>
      <c r="E435" s="15"/>
    </row>
    <row r="436" spans="3:5" x14ac:dyDescent="0.35">
      <c r="C436" s="17"/>
      <c r="D436" s="19"/>
      <c r="E436" s="15"/>
    </row>
    <row r="437" spans="3:5" x14ac:dyDescent="0.35">
      <c r="C437" s="17"/>
      <c r="D437" s="19"/>
      <c r="E437" s="15"/>
    </row>
    <row r="438" spans="3:5" x14ac:dyDescent="0.35">
      <c r="C438" s="17"/>
      <c r="D438" s="19"/>
      <c r="E438" s="15"/>
    </row>
    <row r="439" spans="3:5" x14ac:dyDescent="0.35">
      <c r="C439" s="17"/>
      <c r="D439" s="19"/>
      <c r="E439" s="15"/>
    </row>
    <row r="440" spans="3:5" x14ac:dyDescent="0.35">
      <c r="C440" s="17"/>
      <c r="D440" s="19"/>
      <c r="E440" s="15"/>
    </row>
    <row r="441" spans="3:5" x14ac:dyDescent="0.35">
      <c r="C441" s="17"/>
      <c r="D441" s="19"/>
      <c r="E441" s="15"/>
    </row>
    <row r="442" spans="3:5" x14ac:dyDescent="0.35">
      <c r="C442" s="17"/>
      <c r="D442" s="19"/>
      <c r="E442" s="15"/>
    </row>
    <row r="443" spans="3:5" x14ac:dyDescent="0.35">
      <c r="C443" s="17"/>
      <c r="D443" s="19"/>
      <c r="E443" s="15"/>
    </row>
    <row r="444" spans="3:5" x14ac:dyDescent="0.35">
      <c r="C444" s="17"/>
      <c r="D444" s="19"/>
      <c r="E444" s="15"/>
    </row>
    <row r="445" spans="3:5" x14ac:dyDescent="0.35">
      <c r="C445" s="17"/>
      <c r="D445" s="19"/>
      <c r="E445" s="15"/>
    </row>
    <row r="446" spans="3:5" x14ac:dyDescent="0.35">
      <c r="C446" s="17"/>
      <c r="D446" s="19"/>
      <c r="E446" s="15"/>
    </row>
    <row r="447" spans="3:5" x14ac:dyDescent="0.35">
      <c r="C447" s="17"/>
      <c r="D447" s="19"/>
      <c r="E447" s="15"/>
    </row>
    <row r="448" spans="3:5" x14ac:dyDescent="0.35">
      <c r="C448" s="17"/>
      <c r="D448" s="19"/>
      <c r="E448" s="15"/>
    </row>
    <row r="449" spans="3:5" x14ac:dyDescent="0.35">
      <c r="C449" s="17"/>
      <c r="D449" s="19"/>
      <c r="E449" s="15"/>
    </row>
    <row r="450" spans="3:5" x14ac:dyDescent="0.35">
      <c r="C450" s="17"/>
      <c r="D450" s="19"/>
      <c r="E450" s="15"/>
    </row>
    <row r="451" spans="3:5" x14ac:dyDescent="0.35">
      <c r="C451" s="17"/>
      <c r="D451" s="19"/>
      <c r="E451" s="15"/>
    </row>
    <row r="452" spans="3:5" x14ac:dyDescent="0.35">
      <c r="C452" s="17"/>
      <c r="D452" s="19"/>
      <c r="E452" s="15"/>
    </row>
    <row r="453" spans="3:5" x14ac:dyDescent="0.35">
      <c r="C453" s="17"/>
      <c r="D453" s="19"/>
      <c r="E453" s="15"/>
    </row>
    <row r="454" spans="3:5" x14ac:dyDescent="0.35">
      <c r="C454" s="17"/>
      <c r="D454" s="19"/>
      <c r="E454" s="15"/>
    </row>
    <row r="455" spans="3:5" x14ac:dyDescent="0.35">
      <c r="C455" s="17"/>
      <c r="D455" s="19"/>
      <c r="E455" s="15"/>
    </row>
    <row r="456" spans="3:5" x14ac:dyDescent="0.35">
      <c r="C456" s="17"/>
      <c r="D456" s="19"/>
      <c r="E456" s="15"/>
    </row>
    <row r="457" spans="3:5" x14ac:dyDescent="0.35">
      <c r="C457" s="17"/>
      <c r="D457" s="19"/>
      <c r="E457" s="15"/>
    </row>
    <row r="458" spans="3:5" x14ac:dyDescent="0.35">
      <c r="C458" s="17"/>
      <c r="D458" s="19"/>
      <c r="E458" s="15"/>
    </row>
    <row r="459" spans="3:5" x14ac:dyDescent="0.35">
      <c r="C459" s="17"/>
      <c r="D459" s="19"/>
      <c r="E459" s="15"/>
    </row>
    <row r="460" spans="3:5" x14ac:dyDescent="0.35">
      <c r="C460" s="17"/>
      <c r="D460" s="19"/>
      <c r="E460" s="15"/>
    </row>
    <row r="461" spans="3:5" x14ac:dyDescent="0.35">
      <c r="C461" s="17"/>
      <c r="D461" s="19"/>
      <c r="E461" s="15"/>
    </row>
    <row r="462" spans="3:5" x14ac:dyDescent="0.35">
      <c r="C462" s="17"/>
      <c r="D462" s="19"/>
      <c r="E462" s="15"/>
    </row>
    <row r="463" spans="3:5" x14ac:dyDescent="0.35">
      <c r="C463" s="17"/>
      <c r="D463" s="19"/>
      <c r="E463" s="15"/>
    </row>
    <row r="464" spans="3:5" x14ac:dyDescent="0.35">
      <c r="C464" s="17"/>
      <c r="D464" s="19"/>
      <c r="E464" s="15"/>
    </row>
    <row r="465" spans="3:5" x14ac:dyDescent="0.35">
      <c r="C465" s="17"/>
      <c r="D465" s="19"/>
      <c r="E465" s="15"/>
    </row>
    <row r="466" spans="3:5" x14ac:dyDescent="0.35">
      <c r="C466" s="17"/>
      <c r="D466" s="19"/>
      <c r="E466" s="15"/>
    </row>
    <row r="467" spans="3:5" x14ac:dyDescent="0.35">
      <c r="C467" s="17"/>
      <c r="D467" s="19"/>
      <c r="E467" s="15"/>
    </row>
    <row r="468" spans="3:5" x14ac:dyDescent="0.35">
      <c r="C468" s="17"/>
      <c r="D468" s="19"/>
      <c r="E468" s="15"/>
    </row>
    <row r="469" spans="3:5" x14ac:dyDescent="0.35">
      <c r="C469" s="17"/>
      <c r="D469" s="19"/>
      <c r="E469" s="15"/>
    </row>
    <row r="470" spans="3:5" x14ac:dyDescent="0.35">
      <c r="C470" s="17"/>
      <c r="D470" s="19"/>
      <c r="E470" s="15"/>
    </row>
    <row r="471" spans="3:5" x14ac:dyDescent="0.35">
      <c r="C471" s="17"/>
      <c r="D471" s="19"/>
      <c r="E471" s="15"/>
    </row>
    <row r="472" spans="3:5" x14ac:dyDescent="0.35">
      <c r="C472" s="17"/>
      <c r="D472" s="19"/>
      <c r="E472" s="15"/>
    </row>
    <row r="473" spans="3:5" x14ac:dyDescent="0.35">
      <c r="C473" s="17"/>
      <c r="D473" s="19"/>
      <c r="E473" s="15"/>
    </row>
    <row r="474" spans="3:5" x14ac:dyDescent="0.35">
      <c r="C474" s="17"/>
      <c r="D474" s="19"/>
      <c r="E474" s="15"/>
    </row>
    <row r="475" spans="3:5" x14ac:dyDescent="0.35">
      <c r="C475" s="17"/>
      <c r="D475" s="19"/>
      <c r="E475" s="15"/>
    </row>
    <row r="476" spans="3:5" x14ac:dyDescent="0.35">
      <c r="C476" s="17"/>
      <c r="D476" s="19"/>
      <c r="E476" s="15"/>
    </row>
    <row r="477" spans="3:5" x14ac:dyDescent="0.35">
      <c r="C477" s="17"/>
      <c r="D477" s="19"/>
      <c r="E477" s="15"/>
    </row>
    <row r="478" spans="3:5" x14ac:dyDescent="0.35">
      <c r="C478" s="17"/>
      <c r="D478" s="19"/>
      <c r="E478" s="15"/>
    </row>
    <row r="479" spans="3:5" x14ac:dyDescent="0.35">
      <c r="C479" s="17"/>
      <c r="D479" s="19"/>
      <c r="E479" s="15"/>
    </row>
    <row r="480" spans="3:5" x14ac:dyDescent="0.35">
      <c r="C480" s="17"/>
      <c r="D480" s="19"/>
      <c r="E480" s="15"/>
    </row>
    <row r="481" spans="3:5" x14ac:dyDescent="0.35">
      <c r="C481" s="17"/>
      <c r="D481" s="19"/>
      <c r="E481" s="15"/>
    </row>
    <row r="482" spans="3:5" x14ac:dyDescent="0.35">
      <c r="C482" s="17"/>
      <c r="D482" s="19"/>
      <c r="E482" s="15"/>
    </row>
    <row r="483" spans="3:5" x14ac:dyDescent="0.35">
      <c r="C483" s="17"/>
      <c r="D483" s="19"/>
      <c r="E483" s="15"/>
    </row>
    <row r="484" spans="3:5" x14ac:dyDescent="0.35">
      <c r="C484" s="17"/>
      <c r="D484" s="19"/>
      <c r="E484" s="15"/>
    </row>
    <row r="485" spans="3:5" x14ac:dyDescent="0.35">
      <c r="C485" s="17"/>
      <c r="D485" s="19"/>
      <c r="E485" s="15"/>
    </row>
    <row r="486" spans="3:5" x14ac:dyDescent="0.35">
      <c r="C486" s="17"/>
      <c r="D486" s="19"/>
      <c r="E486" s="15"/>
    </row>
    <row r="487" spans="3:5" x14ac:dyDescent="0.35">
      <c r="C487" s="17"/>
      <c r="D487" s="19"/>
      <c r="E487" s="15"/>
    </row>
    <row r="488" spans="3:5" x14ac:dyDescent="0.35">
      <c r="C488" s="17"/>
      <c r="D488" s="19"/>
      <c r="E488" s="15"/>
    </row>
    <row r="489" spans="3:5" x14ac:dyDescent="0.35">
      <c r="C489" s="17"/>
      <c r="D489" s="19"/>
      <c r="E489" s="15"/>
    </row>
    <row r="490" spans="3:5" x14ac:dyDescent="0.35">
      <c r="C490" s="17"/>
      <c r="D490" s="19"/>
      <c r="E490" s="15"/>
    </row>
    <row r="491" spans="3:5" x14ac:dyDescent="0.35">
      <c r="C491" s="17"/>
      <c r="D491" s="19"/>
      <c r="E491" s="15"/>
    </row>
    <row r="492" spans="3:5" x14ac:dyDescent="0.35">
      <c r="C492" s="17"/>
      <c r="D492" s="19"/>
      <c r="E492" s="15"/>
    </row>
    <row r="493" spans="3:5" x14ac:dyDescent="0.35">
      <c r="C493" s="17"/>
      <c r="D493" s="19"/>
      <c r="E493" s="15"/>
    </row>
    <row r="494" spans="3:5" x14ac:dyDescent="0.35">
      <c r="C494" s="17"/>
      <c r="D494" s="19"/>
      <c r="E494" s="15"/>
    </row>
    <row r="495" spans="3:5" x14ac:dyDescent="0.35">
      <c r="C495" s="17"/>
      <c r="D495" s="19"/>
      <c r="E495" s="15"/>
    </row>
    <row r="496" spans="3:5" x14ac:dyDescent="0.35">
      <c r="C496" s="17"/>
      <c r="D496" s="19"/>
      <c r="E496" s="15"/>
    </row>
    <row r="497" spans="3:5" x14ac:dyDescent="0.35">
      <c r="C497" s="17"/>
      <c r="D497" s="19"/>
      <c r="E497" s="15"/>
    </row>
    <row r="498" spans="3:5" x14ac:dyDescent="0.35">
      <c r="C498" s="17"/>
      <c r="D498" s="19"/>
      <c r="E498" s="15"/>
    </row>
    <row r="499" spans="3:5" x14ac:dyDescent="0.35">
      <c r="C499" s="17"/>
      <c r="D499" s="19"/>
      <c r="E499" s="15"/>
    </row>
    <row r="500" spans="3:5" x14ac:dyDescent="0.35">
      <c r="C500" s="17"/>
      <c r="D500" s="19"/>
      <c r="E500" s="15"/>
    </row>
    <row r="501" spans="3:5" x14ac:dyDescent="0.35">
      <c r="C501" s="17"/>
      <c r="D501" s="19"/>
      <c r="E501" s="15"/>
    </row>
    <row r="502" spans="3:5" x14ac:dyDescent="0.35">
      <c r="C502" s="17"/>
      <c r="D502" s="19"/>
      <c r="E502" s="15"/>
    </row>
    <row r="503" spans="3:5" x14ac:dyDescent="0.35">
      <c r="C503" s="17"/>
      <c r="D503" s="19"/>
      <c r="E503" s="15"/>
    </row>
    <row r="504" spans="3:5" x14ac:dyDescent="0.35">
      <c r="C504" s="17"/>
      <c r="D504" s="19"/>
      <c r="E504" s="15"/>
    </row>
    <row r="505" spans="3:5" x14ac:dyDescent="0.35">
      <c r="C505" s="17"/>
      <c r="D505" s="19"/>
      <c r="E505" s="15"/>
    </row>
    <row r="506" spans="3:5" x14ac:dyDescent="0.35">
      <c r="C506" s="17"/>
      <c r="D506" s="19"/>
      <c r="E506" s="15"/>
    </row>
    <row r="507" spans="3:5" x14ac:dyDescent="0.35">
      <c r="C507" s="17"/>
      <c r="D507" s="19"/>
      <c r="E507" s="15"/>
    </row>
    <row r="508" spans="3:5" x14ac:dyDescent="0.35">
      <c r="C508" s="17"/>
      <c r="D508" s="19"/>
      <c r="E508" s="15"/>
    </row>
    <row r="509" spans="3:5" x14ac:dyDescent="0.35">
      <c r="C509" s="17"/>
      <c r="D509" s="19"/>
      <c r="E509" s="15"/>
    </row>
    <row r="510" spans="3:5" x14ac:dyDescent="0.35">
      <c r="C510" s="17"/>
      <c r="D510" s="19"/>
      <c r="E510" s="15"/>
    </row>
    <row r="511" spans="3:5" x14ac:dyDescent="0.35">
      <c r="C511" s="17"/>
      <c r="D511" s="19"/>
      <c r="E511" s="15"/>
    </row>
    <row r="512" spans="3:5" x14ac:dyDescent="0.35">
      <c r="C512" s="17"/>
      <c r="D512" s="19"/>
      <c r="E512" s="15"/>
    </row>
    <row r="513" spans="3:5" x14ac:dyDescent="0.35">
      <c r="C513" s="17"/>
      <c r="D513" s="19"/>
      <c r="E513" s="15"/>
    </row>
    <row r="514" spans="3:5" x14ac:dyDescent="0.35">
      <c r="C514" s="17"/>
      <c r="D514" s="19"/>
      <c r="E514" s="15"/>
    </row>
    <row r="515" spans="3:5" x14ac:dyDescent="0.35">
      <c r="C515" s="17"/>
      <c r="D515" s="19"/>
      <c r="E515" s="15"/>
    </row>
    <row r="516" spans="3:5" x14ac:dyDescent="0.35">
      <c r="C516" s="17"/>
      <c r="D516" s="19"/>
      <c r="E516" s="15"/>
    </row>
    <row r="517" spans="3:5" x14ac:dyDescent="0.35">
      <c r="C517" s="17"/>
      <c r="D517" s="19"/>
      <c r="E517" s="15"/>
    </row>
    <row r="518" spans="3:5" x14ac:dyDescent="0.35">
      <c r="C518" s="17"/>
      <c r="D518" s="19"/>
      <c r="E518" s="15"/>
    </row>
    <row r="519" spans="3:5" x14ac:dyDescent="0.35">
      <c r="C519" s="17"/>
      <c r="D519" s="19"/>
      <c r="E519" s="15"/>
    </row>
    <row r="520" spans="3:5" x14ac:dyDescent="0.35">
      <c r="C520" s="17"/>
      <c r="D520" s="19"/>
      <c r="E520" s="15"/>
    </row>
    <row r="521" spans="3:5" x14ac:dyDescent="0.35">
      <c r="C521" s="17"/>
      <c r="D521" s="19"/>
      <c r="E521" s="15"/>
    </row>
    <row r="522" spans="3:5" x14ac:dyDescent="0.35">
      <c r="C522" s="17"/>
      <c r="D522" s="19"/>
      <c r="E522" s="15"/>
    </row>
    <row r="523" spans="3:5" x14ac:dyDescent="0.35">
      <c r="C523" s="17"/>
      <c r="D523" s="19"/>
      <c r="E523" s="15"/>
    </row>
    <row r="524" spans="3:5" x14ac:dyDescent="0.35">
      <c r="C524" s="17"/>
      <c r="D524" s="19"/>
      <c r="E524" s="15"/>
    </row>
    <row r="525" spans="3:5" x14ac:dyDescent="0.35">
      <c r="C525" s="17"/>
      <c r="D525" s="19"/>
      <c r="E525" s="15"/>
    </row>
    <row r="526" spans="3:5" x14ac:dyDescent="0.35">
      <c r="C526" s="17"/>
      <c r="D526" s="19"/>
      <c r="E526" s="15"/>
    </row>
    <row r="527" spans="3:5" x14ac:dyDescent="0.35">
      <c r="C527" s="17"/>
      <c r="D527" s="19"/>
      <c r="E527" s="15"/>
    </row>
    <row r="528" spans="3:5" x14ac:dyDescent="0.35">
      <c r="C528" s="17"/>
      <c r="D528" s="19"/>
      <c r="E528" s="15"/>
    </row>
    <row r="529" spans="3:5" x14ac:dyDescent="0.35">
      <c r="C529" s="17"/>
      <c r="D529" s="19"/>
      <c r="E529" s="15"/>
    </row>
    <row r="530" spans="3:5" x14ac:dyDescent="0.35">
      <c r="C530" s="17"/>
      <c r="D530" s="19"/>
      <c r="E530" s="15"/>
    </row>
    <row r="531" spans="3:5" x14ac:dyDescent="0.35">
      <c r="C531" s="17"/>
      <c r="D531" s="19"/>
      <c r="E531" s="15"/>
    </row>
    <row r="532" spans="3:5" x14ac:dyDescent="0.35">
      <c r="C532" s="17"/>
      <c r="D532" s="19"/>
      <c r="E532" s="15"/>
    </row>
    <row r="533" spans="3:5" x14ac:dyDescent="0.35">
      <c r="C533" s="17"/>
      <c r="D533" s="19"/>
      <c r="E533" s="15"/>
    </row>
    <row r="534" spans="3:5" x14ac:dyDescent="0.35">
      <c r="C534" s="17"/>
      <c r="D534" s="19"/>
      <c r="E534" s="15"/>
    </row>
    <row r="535" spans="3:5" x14ac:dyDescent="0.35">
      <c r="C535" s="17"/>
      <c r="D535" s="19"/>
      <c r="E535" s="15"/>
    </row>
    <row r="536" spans="3:5" x14ac:dyDescent="0.35">
      <c r="C536" s="17"/>
      <c r="D536" s="19"/>
      <c r="E536" s="15"/>
    </row>
    <row r="537" spans="3:5" x14ac:dyDescent="0.35">
      <c r="C537" s="17"/>
      <c r="D537" s="19"/>
      <c r="E537" s="15"/>
    </row>
    <row r="538" spans="3:5" x14ac:dyDescent="0.35">
      <c r="C538" s="17"/>
      <c r="D538" s="19"/>
      <c r="E538" s="15"/>
    </row>
    <row r="539" spans="3:5" x14ac:dyDescent="0.35">
      <c r="C539" s="17"/>
      <c r="D539" s="19"/>
      <c r="E539" s="15"/>
    </row>
    <row r="540" spans="3:5" x14ac:dyDescent="0.35">
      <c r="C540" s="17"/>
      <c r="D540" s="19"/>
      <c r="E540" s="15"/>
    </row>
    <row r="541" spans="3:5" x14ac:dyDescent="0.35">
      <c r="C541" s="17"/>
      <c r="D541" s="19"/>
      <c r="E541" s="15"/>
    </row>
    <row r="542" spans="3:5" x14ac:dyDescent="0.35">
      <c r="C542" s="17"/>
      <c r="D542" s="19"/>
      <c r="E542" s="15"/>
    </row>
    <row r="543" spans="3:5" x14ac:dyDescent="0.35">
      <c r="C543" s="17"/>
      <c r="D543" s="19"/>
      <c r="E543" s="15"/>
    </row>
    <row r="544" spans="3:5" x14ac:dyDescent="0.35">
      <c r="C544" s="17"/>
      <c r="D544" s="19"/>
      <c r="E544" s="15"/>
    </row>
    <row r="545" spans="3:5" x14ac:dyDescent="0.35">
      <c r="C545" s="17"/>
      <c r="D545" s="19"/>
      <c r="E545" s="15"/>
    </row>
    <row r="546" spans="3:5" x14ac:dyDescent="0.35">
      <c r="C546" s="17"/>
      <c r="D546" s="19"/>
      <c r="E546" s="15"/>
    </row>
    <row r="547" spans="3:5" x14ac:dyDescent="0.35">
      <c r="C547" s="17"/>
      <c r="D547" s="19"/>
      <c r="E547" s="15"/>
    </row>
    <row r="548" spans="3:5" x14ac:dyDescent="0.35">
      <c r="C548" s="17"/>
      <c r="D548" s="19"/>
      <c r="E548" s="15"/>
    </row>
    <row r="549" spans="3:5" x14ac:dyDescent="0.35">
      <c r="C549" s="17"/>
      <c r="D549" s="19"/>
      <c r="E549" s="15"/>
    </row>
    <row r="550" spans="3:5" x14ac:dyDescent="0.35">
      <c r="C550" s="17"/>
      <c r="D550" s="19"/>
      <c r="E550" s="15"/>
    </row>
    <row r="551" spans="3:5" x14ac:dyDescent="0.35">
      <c r="C551" s="17"/>
      <c r="D551" s="19"/>
      <c r="E551" s="15"/>
    </row>
    <row r="552" spans="3:5" x14ac:dyDescent="0.35">
      <c r="C552" s="17"/>
      <c r="D552" s="19"/>
      <c r="E552" s="15"/>
    </row>
    <row r="553" spans="3:5" x14ac:dyDescent="0.35">
      <c r="C553" s="17"/>
      <c r="D553" s="19"/>
      <c r="E553" s="15"/>
    </row>
    <row r="554" spans="3:5" x14ac:dyDescent="0.35">
      <c r="C554" s="17"/>
      <c r="D554" s="19"/>
      <c r="E554" s="15"/>
    </row>
    <row r="555" spans="3:5" x14ac:dyDescent="0.35">
      <c r="C555" s="17"/>
      <c r="D555" s="19"/>
      <c r="E555" s="15"/>
    </row>
    <row r="556" spans="3:5" x14ac:dyDescent="0.35">
      <c r="C556" s="17"/>
      <c r="D556" s="19"/>
      <c r="E556" s="15"/>
    </row>
    <row r="557" spans="3:5" x14ac:dyDescent="0.35">
      <c r="C557" s="17"/>
      <c r="D557" s="19"/>
      <c r="E557" s="15"/>
    </row>
    <row r="558" spans="3:5" x14ac:dyDescent="0.35">
      <c r="C558" s="17"/>
      <c r="D558" s="19"/>
      <c r="E558" s="15"/>
    </row>
    <row r="559" spans="3:5" x14ac:dyDescent="0.35">
      <c r="C559" s="17"/>
      <c r="D559" s="19"/>
      <c r="E559" s="15"/>
    </row>
    <row r="560" spans="3:5" x14ac:dyDescent="0.35">
      <c r="C560" s="17"/>
      <c r="D560" s="19"/>
      <c r="E560" s="15"/>
    </row>
    <row r="561" spans="3:5" x14ac:dyDescent="0.35">
      <c r="C561" s="17"/>
      <c r="D561" s="19"/>
      <c r="E561" s="15"/>
    </row>
    <row r="562" spans="3:5" x14ac:dyDescent="0.35">
      <c r="C562" s="17"/>
      <c r="D562" s="19"/>
      <c r="E562" s="15"/>
    </row>
    <row r="563" spans="3:5" x14ac:dyDescent="0.35">
      <c r="C563" s="17"/>
      <c r="D563" s="19"/>
      <c r="E563" s="15"/>
    </row>
    <row r="564" spans="3:5" x14ac:dyDescent="0.35">
      <c r="C564" s="17"/>
      <c r="D564" s="19"/>
      <c r="E564" s="15"/>
    </row>
    <row r="565" spans="3:5" x14ac:dyDescent="0.35">
      <c r="C565" s="17"/>
      <c r="D565" s="19"/>
      <c r="E565" s="15"/>
    </row>
    <row r="566" spans="3:5" x14ac:dyDescent="0.35">
      <c r="C566" s="17"/>
      <c r="D566" s="19"/>
      <c r="E566" s="15"/>
    </row>
    <row r="567" spans="3:5" x14ac:dyDescent="0.35">
      <c r="C567" s="17"/>
      <c r="D567" s="19"/>
      <c r="E567" s="15"/>
    </row>
    <row r="568" spans="3:5" x14ac:dyDescent="0.35">
      <c r="C568" s="17"/>
      <c r="D568" s="19"/>
      <c r="E568" s="15"/>
    </row>
    <row r="569" spans="3:5" x14ac:dyDescent="0.35">
      <c r="C569" s="17"/>
      <c r="D569" s="19"/>
      <c r="E569" s="15"/>
    </row>
    <row r="570" spans="3:5" x14ac:dyDescent="0.35">
      <c r="C570" s="17"/>
      <c r="D570" s="19"/>
      <c r="E570" s="15"/>
    </row>
    <row r="571" spans="3:5" x14ac:dyDescent="0.35">
      <c r="C571" s="17"/>
      <c r="D571" s="19"/>
      <c r="E571" s="15"/>
    </row>
    <row r="572" spans="3:5" x14ac:dyDescent="0.35">
      <c r="C572" s="17"/>
      <c r="D572" s="19"/>
      <c r="E572" s="15"/>
    </row>
    <row r="573" spans="3:5" x14ac:dyDescent="0.35">
      <c r="C573" s="17"/>
      <c r="D573" s="19"/>
      <c r="E573" s="15"/>
    </row>
    <row r="574" spans="3:5" x14ac:dyDescent="0.35">
      <c r="C574" s="17"/>
      <c r="D574" s="19"/>
      <c r="E574" s="15"/>
    </row>
    <row r="575" spans="3:5" x14ac:dyDescent="0.35">
      <c r="C575" s="17"/>
      <c r="D575" s="19"/>
      <c r="E575" s="15"/>
    </row>
    <row r="576" spans="3:5" x14ac:dyDescent="0.35">
      <c r="C576" s="17"/>
      <c r="D576" s="19"/>
      <c r="E576" s="15"/>
    </row>
    <row r="577" spans="3:5" x14ac:dyDescent="0.35">
      <c r="C577" s="17"/>
      <c r="D577" s="19"/>
      <c r="E577" s="15"/>
    </row>
    <row r="578" spans="3:5" x14ac:dyDescent="0.35">
      <c r="C578" s="17"/>
      <c r="D578" s="19"/>
      <c r="E578" s="15"/>
    </row>
    <row r="579" spans="3:5" x14ac:dyDescent="0.35">
      <c r="C579" s="17"/>
      <c r="D579" s="19"/>
      <c r="E579" s="15"/>
    </row>
    <row r="580" spans="3:5" x14ac:dyDescent="0.35">
      <c r="C580" s="17"/>
      <c r="D580" s="19"/>
      <c r="E580" s="15"/>
    </row>
    <row r="581" spans="3:5" x14ac:dyDescent="0.35">
      <c r="C581" s="17"/>
      <c r="D581" s="19"/>
      <c r="E581" s="15"/>
    </row>
    <row r="582" spans="3:5" x14ac:dyDescent="0.35">
      <c r="C582" s="17"/>
      <c r="D582" s="19"/>
      <c r="E582" s="15"/>
    </row>
    <row r="583" spans="3:5" x14ac:dyDescent="0.35">
      <c r="C583" s="17"/>
      <c r="D583" s="19"/>
      <c r="E583" s="15"/>
    </row>
    <row r="584" spans="3:5" x14ac:dyDescent="0.35">
      <c r="C584" s="17"/>
      <c r="D584" s="19"/>
      <c r="E584" s="15"/>
    </row>
    <row r="585" spans="3:5" x14ac:dyDescent="0.35">
      <c r="C585" s="17"/>
      <c r="D585" s="19"/>
      <c r="E585" s="15"/>
    </row>
    <row r="586" spans="3:5" x14ac:dyDescent="0.35">
      <c r="C586" s="17"/>
      <c r="D586" s="19"/>
      <c r="E586" s="15"/>
    </row>
    <row r="587" spans="3:5" x14ac:dyDescent="0.35">
      <c r="C587" s="17"/>
      <c r="D587" s="19"/>
      <c r="E587" s="15"/>
    </row>
    <row r="588" spans="3:5" x14ac:dyDescent="0.35">
      <c r="C588" s="17"/>
      <c r="D588" s="19"/>
      <c r="E588" s="15"/>
    </row>
    <row r="589" spans="3:5" x14ac:dyDescent="0.35">
      <c r="C589" s="17"/>
      <c r="D589" s="19"/>
      <c r="E589" s="15"/>
    </row>
    <row r="590" spans="3:5" x14ac:dyDescent="0.35">
      <c r="C590" s="17"/>
      <c r="D590" s="19"/>
      <c r="E590" s="15"/>
    </row>
    <row r="591" spans="3:5" x14ac:dyDescent="0.35">
      <c r="C591" s="17"/>
      <c r="D591" s="19"/>
      <c r="E591" s="15"/>
    </row>
    <row r="592" spans="3:5" x14ac:dyDescent="0.35">
      <c r="C592" s="17"/>
      <c r="D592" s="19"/>
      <c r="E592" s="15"/>
    </row>
    <row r="593" spans="3:5" x14ac:dyDescent="0.35">
      <c r="C593" s="17"/>
      <c r="D593" s="19"/>
      <c r="E593" s="15"/>
    </row>
    <row r="594" spans="3:5" x14ac:dyDescent="0.35">
      <c r="C594" s="17"/>
      <c r="D594" s="19"/>
      <c r="E594" s="15"/>
    </row>
    <row r="595" spans="3:5" x14ac:dyDescent="0.35">
      <c r="C595" s="17"/>
      <c r="D595" s="19"/>
      <c r="E595" s="15"/>
    </row>
    <row r="596" spans="3:5" x14ac:dyDescent="0.35">
      <c r="C596" s="17"/>
      <c r="D596" s="19"/>
      <c r="E596" s="15"/>
    </row>
    <row r="597" spans="3:5" x14ac:dyDescent="0.35">
      <c r="C597" s="17"/>
      <c r="D597" s="19"/>
      <c r="E597" s="15"/>
    </row>
    <row r="598" spans="3:5" x14ac:dyDescent="0.35">
      <c r="C598" s="17"/>
      <c r="D598" s="19"/>
      <c r="E598" s="15"/>
    </row>
    <row r="599" spans="3:5" x14ac:dyDescent="0.35">
      <c r="C599" s="17"/>
      <c r="D599" s="19"/>
      <c r="E599" s="15"/>
    </row>
    <row r="600" spans="3:5" x14ac:dyDescent="0.35">
      <c r="C600" s="17"/>
      <c r="D600" s="19"/>
      <c r="E600" s="15"/>
    </row>
    <row r="601" spans="3:5" x14ac:dyDescent="0.35">
      <c r="C601" s="17"/>
      <c r="D601" s="19"/>
      <c r="E601" s="15"/>
    </row>
    <row r="602" spans="3:5" x14ac:dyDescent="0.35">
      <c r="C602" s="17"/>
      <c r="D602" s="19"/>
      <c r="E602" s="15"/>
    </row>
    <row r="603" spans="3:5" x14ac:dyDescent="0.35">
      <c r="C603" s="17"/>
      <c r="D603" s="19"/>
      <c r="E603" s="15"/>
    </row>
    <row r="604" spans="3:5" x14ac:dyDescent="0.35">
      <c r="C604" s="17"/>
      <c r="D604" s="19"/>
      <c r="E604" s="15"/>
    </row>
    <row r="605" spans="3:5" x14ac:dyDescent="0.35">
      <c r="C605" s="17"/>
      <c r="D605" s="19"/>
      <c r="E605" s="15"/>
    </row>
    <row r="606" spans="3:5" x14ac:dyDescent="0.35">
      <c r="C606" s="17"/>
      <c r="D606" s="19"/>
      <c r="E606" s="15"/>
    </row>
    <row r="607" spans="3:5" x14ac:dyDescent="0.35">
      <c r="C607" s="17"/>
      <c r="D607" s="19"/>
      <c r="E607" s="15"/>
    </row>
    <row r="608" spans="3:5" x14ac:dyDescent="0.35">
      <c r="C608" s="17"/>
      <c r="D608" s="19"/>
      <c r="E608" s="15"/>
    </row>
    <row r="609" spans="3:5" x14ac:dyDescent="0.35">
      <c r="C609" s="17"/>
      <c r="D609" s="19"/>
      <c r="E609" s="15"/>
    </row>
    <row r="610" spans="3:5" x14ac:dyDescent="0.35">
      <c r="C610" s="17"/>
      <c r="D610" s="19"/>
      <c r="E610" s="15"/>
    </row>
    <row r="611" spans="3:5" x14ac:dyDescent="0.35">
      <c r="C611" s="17"/>
      <c r="D611" s="19"/>
      <c r="E611" s="15"/>
    </row>
    <row r="612" spans="3:5" x14ac:dyDescent="0.35">
      <c r="C612" s="17"/>
      <c r="D612" s="19"/>
      <c r="E612" s="15"/>
    </row>
    <row r="613" spans="3:5" x14ac:dyDescent="0.35">
      <c r="C613" s="17"/>
      <c r="D613" s="19"/>
      <c r="E613" s="15"/>
    </row>
    <row r="614" spans="3:5" x14ac:dyDescent="0.35">
      <c r="C614" s="17"/>
      <c r="D614" s="19"/>
      <c r="E614" s="15"/>
    </row>
    <row r="615" spans="3:5" x14ac:dyDescent="0.35">
      <c r="C615" s="17"/>
      <c r="D615" s="19"/>
      <c r="E615" s="15"/>
    </row>
    <row r="616" spans="3:5" x14ac:dyDescent="0.35">
      <c r="C616" s="17"/>
      <c r="D616" s="19"/>
      <c r="E616" s="15"/>
    </row>
    <row r="617" spans="3:5" x14ac:dyDescent="0.35">
      <c r="C617" s="17"/>
      <c r="D617" s="19"/>
      <c r="E617" s="15"/>
    </row>
    <row r="618" spans="3:5" x14ac:dyDescent="0.35">
      <c r="C618" s="17"/>
      <c r="D618" s="19"/>
      <c r="E618" s="15"/>
    </row>
    <row r="619" spans="3:5" x14ac:dyDescent="0.35">
      <c r="C619" s="17"/>
      <c r="D619" s="19"/>
      <c r="E619" s="15"/>
    </row>
    <row r="620" spans="3:5" x14ac:dyDescent="0.35">
      <c r="C620" s="17"/>
      <c r="D620" s="19"/>
      <c r="E620" s="15"/>
    </row>
    <row r="621" spans="3:5" x14ac:dyDescent="0.35">
      <c r="C621" s="17"/>
      <c r="D621" s="19"/>
      <c r="E621" s="15"/>
    </row>
    <row r="622" spans="3:5" x14ac:dyDescent="0.35">
      <c r="C622" s="17"/>
      <c r="D622" s="19"/>
      <c r="E622" s="15"/>
    </row>
    <row r="623" spans="3:5" x14ac:dyDescent="0.35">
      <c r="C623" s="17"/>
      <c r="D623" s="19"/>
      <c r="E623" s="15"/>
    </row>
    <row r="624" spans="3:5" x14ac:dyDescent="0.35">
      <c r="C624" s="17"/>
      <c r="D624" s="19"/>
      <c r="E624" s="15"/>
    </row>
    <row r="625" spans="3:5" x14ac:dyDescent="0.35">
      <c r="C625" s="17"/>
      <c r="D625" s="19"/>
      <c r="E625" s="15"/>
    </row>
    <row r="626" spans="3:5" x14ac:dyDescent="0.35">
      <c r="C626" s="17"/>
      <c r="D626" s="19"/>
      <c r="E626" s="15"/>
    </row>
    <row r="627" spans="3:5" x14ac:dyDescent="0.35">
      <c r="C627" s="17"/>
      <c r="D627" s="19"/>
      <c r="E627" s="15"/>
    </row>
    <row r="628" spans="3:5" x14ac:dyDescent="0.35">
      <c r="C628" s="17"/>
      <c r="D628" s="19"/>
      <c r="E628" s="15"/>
    </row>
    <row r="629" spans="3:5" x14ac:dyDescent="0.35">
      <c r="C629" s="17"/>
      <c r="D629" s="19"/>
      <c r="E629" s="15"/>
    </row>
    <row r="630" spans="3:5" x14ac:dyDescent="0.35">
      <c r="C630" s="17"/>
      <c r="D630" s="19"/>
      <c r="E630" s="15"/>
    </row>
    <row r="631" spans="3:5" x14ac:dyDescent="0.35">
      <c r="C631" s="17"/>
      <c r="D631" s="19"/>
      <c r="E631" s="15"/>
    </row>
    <row r="632" spans="3:5" x14ac:dyDescent="0.35">
      <c r="C632" s="17"/>
      <c r="D632" s="19"/>
      <c r="E632" s="15"/>
    </row>
    <row r="633" spans="3:5" x14ac:dyDescent="0.35">
      <c r="C633" s="17"/>
      <c r="D633" s="19"/>
      <c r="E633" s="15"/>
    </row>
    <row r="634" spans="3:5" x14ac:dyDescent="0.35">
      <c r="C634" s="17"/>
      <c r="D634" s="19"/>
      <c r="E634" s="15"/>
    </row>
    <row r="635" spans="3:5" x14ac:dyDescent="0.35">
      <c r="C635" s="17"/>
      <c r="D635" s="19"/>
      <c r="E635" s="15"/>
    </row>
    <row r="636" spans="3:5" x14ac:dyDescent="0.35">
      <c r="C636" s="17"/>
      <c r="D636" s="19"/>
      <c r="E636" s="15"/>
    </row>
    <row r="637" spans="3:5" x14ac:dyDescent="0.35">
      <c r="C637" s="17"/>
      <c r="D637" s="19"/>
      <c r="E637" s="15"/>
    </row>
    <row r="638" spans="3:5" x14ac:dyDescent="0.35">
      <c r="C638" s="17"/>
      <c r="D638" s="19"/>
      <c r="E638" s="15"/>
    </row>
    <row r="639" spans="3:5" x14ac:dyDescent="0.35">
      <c r="C639" s="17"/>
      <c r="D639" s="19"/>
      <c r="E639" s="15"/>
    </row>
    <row r="640" spans="3:5" x14ac:dyDescent="0.35">
      <c r="C640" s="17"/>
      <c r="D640" s="19"/>
      <c r="E640" s="15"/>
    </row>
    <row r="641" spans="3:5" x14ac:dyDescent="0.35">
      <c r="C641" s="17"/>
      <c r="D641" s="19"/>
      <c r="E641" s="15"/>
    </row>
    <row r="642" spans="3:5" x14ac:dyDescent="0.35">
      <c r="C642" s="17"/>
      <c r="D642" s="19"/>
      <c r="E642" s="15"/>
    </row>
    <row r="643" spans="3:5" x14ac:dyDescent="0.35">
      <c r="C643" s="17"/>
      <c r="D643" s="19"/>
      <c r="E643" s="15"/>
    </row>
    <row r="644" spans="3:5" x14ac:dyDescent="0.35">
      <c r="C644" s="17"/>
      <c r="D644" s="19"/>
      <c r="E644" s="15"/>
    </row>
    <row r="645" spans="3:5" x14ac:dyDescent="0.35">
      <c r="C645" s="17"/>
      <c r="D645" s="19"/>
      <c r="E645" s="15"/>
    </row>
    <row r="646" spans="3:5" x14ac:dyDescent="0.35">
      <c r="C646" s="17"/>
      <c r="D646" s="19"/>
      <c r="E646" s="15"/>
    </row>
    <row r="647" spans="3:5" x14ac:dyDescent="0.35">
      <c r="C647" s="17"/>
      <c r="D647" s="19"/>
      <c r="E647" s="15"/>
    </row>
    <row r="648" spans="3:5" x14ac:dyDescent="0.35">
      <c r="C648" s="17"/>
      <c r="D648" s="19"/>
      <c r="E648" s="15"/>
    </row>
    <row r="649" spans="3:5" x14ac:dyDescent="0.35">
      <c r="C649" s="17"/>
      <c r="D649" s="19"/>
      <c r="E649" s="15"/>
    </row>
    <row r="650" spans="3:5" x14ac:dyDescent="0.35">
      <c r="C650" s="17"/>
      <c r="D650" s="19"/>
      <c r="E650" s="15"/>
    </row>
    <row r="651" spans="3:5" x14ac:dyDescent="0.35">
      <c r="C651" s="17"/>
      <c r="D651" s="19"/>
      <c r="E651" s="15"/>
    </row>
    <row r="652" spans="3:5" x14ac:dyDescent="0.35">
      <c r="C652" s="17"/>
      <c r="D652" s="19"/>
      <c r="E652" s="15"/>
    </row>
    <row r="653" spans="3:5" x14ac:dyDescent="0.35">
      <c r="C653" s="17"/>
      <c r="D653" s="19"/>
      <c r="E653" s="15"/>
    </row>
    <row r="654" spans="3:5" x14ac:dyDescent="0.35">
      <c r="C654" s="17"/>
      <c r="D654" s="19"/>
      <c r="E654" s="15"/>
    </row>
    <row r="655" spans="3:5" x14ac:dyDescent="0.35">
      <c r="C655" s="17"/>
      <c r="D655" s="19"/>
      <c r="E655" s="15"/>
    </row>
    <row r="656" spans="3:5" x14ac:dyDescent="0.35">
      <c r="C656" s="17"/>
      <c r="D656" s="19"/>
      <c r="E656" s="15"/>
    </row>
    <row r="657" spans="3:5" x14ac:dyDescent="0.35">
      <c r="C657" s="17"/>
      <c r="D657" s="19"/>
      <c r="E657" s="15"/>
    </row>
    <row r="658" spans="3:5" x14ac:dyDescent="0.35">
      <c r="C658" s="17"/>
      <c r="D658" s="19"/>
      <c r="E658" s="15"/>
    </row>
    <row r="659" spans="3:5" x14ac:dyDescent="0.35">
      <c r="C659" s="17"/>
      <c r="D659" s="19"/>
      <c r="E659" s="15"/>
    </row>
    <row r="660" spans="3:5" x14ac:dyDescent="0.35">
      <c r="C660" s="17"/>
      <c r="D660" s="19"/>
      <c r="E660" s="15"/>
    </row>
    <row r="661" spans="3:5" x14ac:dyDescent="0.35">
      <c r="C661" s="17"/>
      <c r="D661" s="19"/>
      <c r="E661" s="15"/>
    </row>
    <row r="662" spans="3:5" x14ac:dyDescent="0.35">
      <c r="C662" s="17"/>
      <c r="D662" s="19"/>
      <c r="E662" s="15"/>
    </row>
    <row r="663" spans="3:5" x14ac:dyDescent="0.35">
      <c r="C663" s="17"/>
      <c r="D663" s="19"/>
      <c r="E663" s="15"/>
    </row>
    <row r="664" spans="3:5" x14ac:dyDescent="0.35">
      <c r="C664" s="17"/>
      <c r="D664" s="19"/>
      <c r="E664" s="15"/>
    </row>
    <row r="665" spans="3:5" x14ac:dyDescent="0.35">
      <c r="C665" s="17"/>
      <c r="D665" s="19"/>
      <c r="E665" s="15"/>
    </row>
    <row r="666" spans="3:5" x14ac:dyDescent="0.35">
      <c r="C666" s="17"/>
      <c r="D666" s="19"/>
      <c r="E666" s="15"/>
    </row>
    <row r="667" spans="3:5" x14ac:dyDescent="0.35">
      <c r="C667" s="17"/>
      <c r="D667" s="19"/>
      <c r="E667" s="15"/>
    </row>
    <row r="668" spans="3:5" x14ac:dyDescent="0.35">
      <c r="C668" s="17"/>
      <c r="D668" s="19"/>
      <c r="E668" s="15"/>
    </row>
    <row r="669" spans="3:5" x14ac:dyDescent="0.35">
      <c r="C669" s="17"/>
      <c r="D669" s="19"/>
      <c r="E669" s="15"/>
    </row>
    <row r="670" spans="3:5" x14ac:dyDescent="0.35">
      <c r="C670" s="17"/>
      <c r="D670" s="19"/>
      <c r="E670" s="15"/>
    </row>
    <row r="671" spans="3:5" x14ac:dyDescent="0.35">
      <c r="C671" s="17"/>
      <c r="D671" s="19"/>
      <c r="E671" s="15"/>
    </row>
    <row r="672" spans="3:5" x14ac:dyDescent="0.35">
      <c r="C672" s="17"/>
      <c r="D672" s="19"/>
      <c r="E672" s="15"/>
    </row>
    <row r="673" spans="3:5" x14ac:dyDescent="0.35">
      <c r="C673" s="17"/>
      <c r="D673" s="19"/>
      <c r="E673" s="15"/>
    </row>
    <row r="674" spans="3:5" x14ac:dyDescent="0.35">
      <c r="C674" s="17"/>
      <c r="D674" s="19"/>
      <c r="E674" s="15"/>
    </row>
    <row r="675" spans="3:5" x14ac:dyDescent="0.35">
      <c r="C675" s="17"/>
      <c r="D675" s="19"/>
      <c r="E675" s="15"/>
    </row>
    <row r="676" spans="3:5" x14ac:dyDescent="0.35">
      <c r="C676" s="17"/>
      <c r="D676" s="19"/>
      <c r="E676" s="15"/>
    </row>
    <row r="677" spans="3:5" x14ac:dyDescent="0.35">
      <c r="C677" s="17"/>
      <c r="D677" s="19"/>
      <c r="E677" s="15"/>
    </row>
    <row r="678" spans="3:5" x14ac:dyDescent="0.35">
      <c r="C678" s="17"/>
      <c r="D678" s="19"/>
      <c r="E678" s="15"/>
    </row>
    <row r="679" spans="3:5" x14ac:dyDescent="0.35">
      <c r="C679" s="17"/>
      <c r="D679" s="19"/>
      <c r="E679" s="15"/>
    </row>
    <row r="680" spans="3:5" x14ac:dyDescent="0.35">
      <c r="C680" s="17"/>
      <c r="D680" s="19"/>
      <c r="E680" s="15"/>
    </row>
    <row r="681" spans="3:5" x14ac:dyDescent="0.35">
      <c r="C681" s="17"/>
      <c r="D681" s="19"/>
      <c r="E681" s="15"/>
    </row>
    <row r="682" spans="3:5" x14ac:dyDescent="0.35">
      <c r="C682" s="17"/>
      <c r="D682" s="19"/>
      <c r="E682" s="15"/>
    </row>
    <row r="683" spans="3:5" x14ac:dyDescent="0.35">
      <c r="C683" s="17"/>
      <c r="D683" s="19"/>
      <c r="E683" s="15"/>
    </row>
    <row r="684" spans="3:5" x14ac:dyDescent="0.35">
      <c r="C684" s="17"/>
      <c r="D684" s="19"/>
      <c r="E684" s="15"/>
    </row>
    <row r="685" spans="3:5" x14ac:dyDescent="0.35">
      <c r="C685" s="17"/>
      <c r="D685" s="19"/>
      <c r="E685" s="15"/>
    </row>
    <row r="686" spans="3:5" x14ac:dyDescent="0.35">
      <c r="C686" s="17"/>
      <c r="D686" s="19"/>
      <c r="E686" s="15"/>
    </row>
    <row r="687" spans="3:5" x14ac:dyDescent="0.35">
      <c r="C687" s="17"/>
      <c r="D687" s="19"/>
      <c r="E687" s="15"/>
    </row>
    <row r="688" spans="3:5" x14ac:dyDescent="0.35">
      <c r="C688" s="17"/>
      <c r="D688" s="19"/>
      <c r="E688" s="15"/>
    </row>
    <row r="689" spans="3:5" x14ac:dyDescent="0.35">
      <c r="C689" s="17"/>
      <c r="D689" s="19"/>
      <c r="E689" s="15"/>
    </row>
    <row r="690" spans="3:5" x14ac:dyDescent="0.35">
      <c r="C690" s="17"/>
      <c r="D690" s="19"/>
      <c r="E690" s="15"/>
    </row>
    <row r="691" spans="3:5" x14ac:dyDescent="0.35">
      <c r="C691" s="17"/>
      <c r="D691" s="19"/>
      <c r="E691" s="15"/>
    </row>
    <row r="692" spans="3:5" x14ac:dyDescent="0.35">
      <c r="C692" s="17"/>
      <c r="D692" s="19"/>
      <c r="E692" s="15"/>
    </row>
    <row r="693" spans="3:5" x14ac:dyDescent="0.35">
      <c r="C693" s="17"/>
      <c r="D693" s="19"/>
      <c r="E693" s="15"/>
    </row>
    <row r="694" spans="3:5" x14ac:dyDescent="0.35">
      <c r="C694" s="17"/>
      <c r="D694" s="19"/>
      <c r="E694" s="15"/>
    </row>
    <row r="695" spans="3:5" x14ac:dyDescent="0.35">
      <c r="C695" s="17"/>
      <c r="D695" s="19"/>
      <c r="E695" s="15"/>
    </row>
    <row r="696" spans="3:5" x14ac:dyDescent="0.35">
      <c r="C696" s="17"/>
      <c r="D696" s="19"/>
      <c r="E696" s="15"/>
    </row>
    <row r="697" spans="3:5" x14ac:dyDescent="0.35">
      <c r="C697" s="17"/>
      <c r="D697" s="19"/>
      <c r="E697" s="15"/>
    </row>
    <row r="698" spans="3:5" x14ac:dyDescent="0.35">
      <c r="C698" s="17"/>
      <c r="D698" s="19"/>
      <c r="E698" s="15"/>
    </row>
    <row r="699" spans="3:5" x14ac:dyDescent="0.35">
      <c r="C699" s="17"/>
      <c r="D699" s="19"/>
      <c r="E699" s="15"/>
    </row>
    <row r="700" spans="3:5" x14ac:dyDescent="0.35">
      <c r="C700" s="17"/>
      <c r="D700" s="19"/>
      <c r="E700" s="15"/>
    </row>
    <row r="701" spans="3:5" x14ac:dyDescent="0.35">
      <c r="C701" s="17"/>
      <c r="D701" s="19"/>
      <c r="E701" s="15"/>
    </row>
    <row r="702" spans="3:5" x14ac:dyDescent="0.35">
      <c r="C702" s="17"/>
      <c r="D702" s="19"/>
      <c r="E702" s="15"/>
    </row>
    <row r="703" spans="3:5" x14ac:dyDescent="0.35">
      <c r="C703" s="17"/>
      <c r="D703" s="19"/>
      <c r="E703" s="15"/>
    </row>
    <row r="704" spans="3:5" x14ac:dyDescent="0.35">
      <c r="C704" s="17"/>
      <c r="D704" s="19"/>
      <c r="E704" s="15"/>
    </row>
    <row r="705" spans="3:5" x14ac:dyDescent="0.35">
      <c r="C705" s="17"/>
      <c r="D705" s="19"/>
      <c r="E705" s="15"/>
    </row>
    <row r="706" spans="3:5" x14ac:dyDescent="0.35">
      <c r="C706" s="17"/>
      <c r="D706" s="19"/>
      <c r="E706" s="15"/>
    </row>
    <row r="707" spans="3:5" x14ac:dyDescent="0.35">
      <c r="C707" s="17"/>
      <c r="D707" s="19"/>
      <c r="E707" s="15"/>
    </row>
    <row r="708" spans="3:5" x14ac:dyDescent="0.35">
      <c r="C708" s="17"/>
      <c r="D708" s="19"/>
      <c r="E708" s="15"/>
    </row>
    <row r="709" spans="3:5" x14ac:dyDescent="0.35">
      <c r="C709" s="17"/>
      <c r="D709" s="19"/>
      <c r="E709" s="15"/>
    </row>
    <row r="710" spans="3:5" x14ac:dyDescent="0.35">
      <c r="C710" s="17"/>
      <c r="D710" s="19"/>
      <c r="E710" s="15"/>
    </row>
    <row r="711" spans="3:5" x14ac:dyDescent="0.35">
      <c r="C711" s="17"/>
      <c r="D711" s="19"/>
      <c r="E711" s="15"/>
    </row>
    <row r="712" spans="3:5" x14ac:dyDescent="0.35">
      <c r="C712" s="17"/>
      <c r="D712" s="19"/>
      <c r="E712" s="15"/>
    </row>
    <row r="713" spans="3:5" x14ac:dyDescent="0.35">
      <c r="C713" s="17"/>
      <c r="D713" s="19"/>
      <c r="E713" s="15"/>
    </row>
    <row r="714" spans="3:5" x14ac:dyDescent="0.35">
      <c r="C714" s="17"/>
      <c r="D714" s="19"/>
      <c r="E714" s="15"/>
    </row>
    <row r="715" spans="3:5" x14ac:dyDescent="0.35">
      <c r="C715" s="17"/>
      <c r="D715" s="19"/>
      <c r="E715" s="15"/>
    </row>
    <row r="716" spans="3:5" x14ac:dyDescent="0.35">
      <c r="C716" s="17"/>
      <c r="D716" s="19"/>
      <c r="E716" s="15"/>
    </row>
    <row r="717" spans="3:5" x14ac:dyDescent="0.35">
      <c r="C717" s="17"/>
      <c r="D717" s="19"/>
      <c r="E717" s="15"/>
    </row>
    <row r="718" spans="3:5" x14ac:dyDescent="0.35">
      <c r="C718" s="17"/>
      <c r="D718" s="19"/>
      <c r="E718" s="15"/>
    </row>
    <row r="719" spans="3:5" x14ac:dyDescent="0.35">
      <c r="C719" s="17"/>
      <c r="D719" s="19"/>
      <c r="E719" s="15"/>
    </row>
    <row r="720" spans="3:5" x14ac:dyDescent="0.35">
      <c r="C720" s="17"/>
      <c r="D720" s="19"/>
      <c r="E720" s="15"/>
    </row>
    <row r="721" spans="3:5" x14ac:dyDescent="0.35">
      <c r="C721" s="17"/>
      <c r="D721" s="19"/>
      <c r="E721" s="15"/>
    </row>
    <row r="722" spans="3:5" x14ac:dyDescent="0.35">
      <c r="C722" s="17"/>
      <c r="D722" s="19"/>
      <c r="E722" s="15"/>
    </row>
    <row r="723" spans="3:5" x14ac:dyDescent="0.35">
      <c r="C723" s="17"/>
      <c r="D723" s="19"/>
      <c r="E723" s="15"/>
    </row>
    <row r="724" spans="3:5" x14ac:dyDescent="0.35">
      <c r="C724" s="17"/>
      <c r="D724" s="19"/>
      <c r="E724" s="15"/>
    </row>
    <row r="725" spans="3:5" x14ac:dyDescent="0.35">
      <c r="C725" s="17"/>
      <c r="D725" s="19"/>
      <c r="E725" s="15"/>
    </row>
    <row r="726" spans="3:5" x14ac:dyDescent="0.35">
      <c r="C726" s="17"/>
      <c r="D726" s="19"/>
      <c r="E726" s="15"/>
    </row>
    <row r="727" spans="3:5" x14ac:dyDescent="0.35">
      <c r="C727" s="17"/>
      <c r="D727" s="19"/>
      <c r="E727" s="15"/>
    </row>
    <row r="728" spans="3:5" x14ac:dyDescent="0.35">
      <c r="C728" s="17"/>
      <c r="D728" s="19"/>
      <c r="E728" s="15"/>
    </row>
    <row r="729" spans="3:5" x14ac:dyDescent="0.35">
      <c r="C729" s="17"/>
      <c r="D729" s="19"/>
      <c r="E729" s="15"/>
    </row>
    <row r="730" spans="3:5" x14ac:dyDescent="0.35">
      <c r="C730" s="17"/>
      <c r="D730" s="19"/>
      <c r="E730" s="15"/>
    </row>
    <row r="731" spans="3:5" x14ac:dyDescent="0.35">
      <c r="C731" s="17"/>
      <c r="D731" s="19"/>
      <c r="E731" s="15"/>
    </row>
    <row r="732" spans="3:5" x14ac:dyDescent="0.35">
      <c r="C732" s="17"/>
      <c r="D732" s="19"/>
      <c r="E732" s="15"/>
    </row>
    <row r="733" spans="3:5" x14ac:dyDescent="0.35">
      <c r="C733" s="17"/>
      <c r="D733" s="19"/>
      <c r="E733" s="15"/>
    </row>
    <row r="734" spans="3:5" x14ac:dyDescent="0.35">
      <c r="C734" s="17"/>
      <c r="D734" s="19"/>
      <c r="E734" s="15"/>
    </row>
    <row r="735" spans="3:5" x14ac:dyDescent="0.35">
      <c r="C735" s="17"/>
      <c r="D735" s="19"/>
      <c r="E735" s="15"/>
    </row>
    <row r="736" spans="3:5" x14ac:dyDescent="0.35">
      <c r="C736" s="17"/>
      <c r="D736" s="19"/>
      <c r="E736" s="15"/>
    </row>
    <row r="737" spans="3:5" x14ac:dyDescent="0.35">
      <c r="C737" s="17"/>
      <c r="D737" s="19"/>
      <c r="E737" s="15"/>
    </row>
    <row r="738" spans="3:5" x14ac:dyDescent="0.35">
      <c r="C738" s="17"/>
      <c r="D738" s="19"/>
      <c r="E738" s="15"/>
    </row>
    <row r="739" spans="3:5" x14ac:dyDescent="0.35">
      <c r="C739" s="17"/>
      <c r="D739" s="19"/>
      <c r="E739" s="15"/>
    </row>
    <row r="740" spans="3:5" x14ac:dyDescent="0.35">
      <c r="C740" s="17"/>
      <c r="D740" s="19"/>
      <c r="E740" s="15"/>
    </row>
    <row r="741" spans="3:5" x14ac:dyDescent="0.35">
      <c r="C741" s="17"/>
      <c r="D741" s="19"/>
      <c r="E741" s="15"/>
    </row>
    <row r="742" spans="3:5" x14ac:dyDescent="0.35">
      <c r="C742" s="17"/>
      <c r="D742" s="19"/>
      <c r="E742" s="15"/>
    </row>
    <row r="743" spans="3:5" x14ac:dyDescent="0.35">
      <c r="C743" s="17"/>
      <c r="D743" s="19"/>
      <c r="E743" s="15"/>
    </row>
    <row r="744" spans="3:5" x14ac:dyDescent="0.35">
      <c r="C744" s="17"/>
      <c r="D744" s="19"/>
      <c r="E744" s="15"/>
    </row>
    <row r="745" spans="3:5" x14ac:dyDescent="0.35">
      <c r="C745" s="17"/>
      <c r="D745" s="19"/>
      <c r="E745" s="15"/>
    </row>
    <row r="746" spans="3:5" x14ac:dyDescent="0.35">
      <c r="C746" s="17"/>
      <c r="D746" s="19"/>
      <c r="E746" s="15"/>
    </row>
    <row r="747" spans="3:5" x14ac:dyDescent="0.35">
      <c r="C747" s="17"/>
      <c r="D747" s="19"/>
      <c r="E747" s="15"/>
    </row>
    <row r="748" spans="3:5" x14ac:dyDescent="0.35">
      <c r="C748" s="17"/>
      <c r="D748" s="19"/>
      <c r="E748" s="15"/>
    </row>
    <row r="749" spans="3:5" x14ac:dyDescent="0.35">
      <c r="C749" s="17"/>
      <c r="D749" s="19"/>
      <c r="E749" s="15"/>
    </row>
    <row r="750" spans="3:5" x14ac:dyDescent="0.35">
      <c r="C750" s="17"/>
      <c r="D750" s="19"/>
      <c r="E750" s="15"/>
    </row>
    <row r="751" spans="3:5" x14ac:dyDescent="0.35">
      <c r="C751" s="17"/>
      <c r="D751" s="19"/>
      <c r="E751" s="15"/>
    </row>
    <row r="752" spans="3:5" x14ac:dyDescent="0.35">
      <c r="C752" s="17"/>
      <c r="D752" s="19"/>
      <c r="E752" s="15"/>
    </row>
    <row r="753" spans="3:5" x14ac:dyDescent="0.35">
      <c r="C753" s="17"/>
      <c r="D753" s="19"/>
      <c r="E753" s="15"/>
    </row>
    <row r="754" spans="3:5" x14ac:dyDescent="0.35">
      <c r="C754" s="17"/>
      <c r="D754" s="19"/>
      <c r="E754" s="15"/>
    </row>
    <row r="755" spans="3:5" x14ac:dyDescent="0.35">
      <c r="C755" s="17"/>
      <c r="D755" s="19"/>
      <c r="E755" s="15"/>
    </row>
    <row r="756" spans="3:5" x14ac:dyDescent="0.35">
      <c r="C756" s="17"/>
      <c r="D756" s="19"/>
      <c r="E756" s="15"/>
    </row>
    <row r="757" spans="3:5" x14ac:dyDescent="0.35">
      <c r="C757" s="17"/>
      <c r="D757" s="19"/>
      <c r="E757" s="15"/>
    </row>
    <row r="758" spans="3:5" x14ac:dyDescent="0.35">
      <c r="C758" s="17"/>
      <c r="D758" s="19"/>
      <c r="E758" s="15"/>
    </row>
    <row r="759" spans="3:5" x14ac:dyDescent="0.35">
      <c r="C759" s="17"/>
      <c r="D759" s="19"/>
      <c r="E759" s="15"/>
    </row>
    <row r="760" spans="3:5" x14ac:dyDescent="0.35">
      <c r="C760" s="17"/>
      <c r="D760" s="19"/>
      <c r="E760" s="15"/>
    </row>
    <row r="761" spans="3:5" x14ac:dyDescent="0.35">
      <c r="C761" s="17"/>
      <c r="D761" s="19"/>
      <c r="E761" s="15"/>
    </row>
    <row r="762" spans="3:5" x14ac:dyDescent="0.35">
      <c r="C762" s="17"/>
      <c r="D762" s="19"/>
      <c r="E762" s="15"/>
    </row>
    <row r="763" spans="3:5" x14ac:dyDescent="0.35">
      <c r="C763" s="17"/>
      <c r="D763" s="19"/>
      <c r="E763" s="15"/>
    </row>
    <row r="764" spans="3:5" x14ac:dyDescent="0.35">
      <c r="C764" s="17"/>
      <c r="D764" s="19"/>
      <c r="E764" s="15"/>
    </row>
    <row r="765" spans="3:5" x14ac:dyDescent="0.35">
      <c r="C765" s="17"/>
      <c r="D765" s="19"/>
      <c r="E765" s="15"/>
    </row>
    <row r="766" spans="3:5" x14ac:dyDescent="0.35">
      <c r="C766" s="17"/>
      <c r="D766" s="19"/>
      <c r="E766" s="15"/>
    </row>
    <row r="767" spans="3:5" x14ac:dyDescent="0.35">
      <c r="C767" s="17"/>
      <c r="D767" s="19"/>
      <c r="E767" s="15"/>
    </row>
    <row r="768" spans="3:5" x14ac:dyDescent="0.35">
      <c r="C768" s="17"/>
      <c r="D768" s="19"/>
      <c r="E768" s="15"/>
    </row>
    <row r="769" spans="3:5" x14ac:dyDescent="0.35">
      <c r="C769" s="17"/>
      <c r="D769" s="19"/>
      <c r="E769" s="15"/>
    </row>
    <row r="770" spans="3:5" x14ac:dyDescent="0.35">
      <c r="C770" s="17"/>
      <c r="D770" s="19"/>
      <c r="E770" s="15"/>
    </row>
    <row r="771" spans="3:5" x14ac:dyDescent="0.35">
      <c r="C771" s="17"/>
      <c r="D771" s="19"/>
      <c r="E771" s="15"/>
    </row>
    <row r="772" spans="3:5" x14ac:dyDescent="0.35">
      <c r="C772" s="17"/>
      <c r="D772" s="19"/>
      <c r="E772" s="15"/>
    </row>
    <row r="773" spans="3:5" x14ac:dyDescent="0.35">
      <c r="C773" s="17"/>
      <c r="D773" s="19"/>
      <c r="E773" s="15"/>
    </row>
    <row r="774" spans="3:5" x14ac:dyDescent="0.35">
      <c r="C774" s="17"/>
      <c r="D774" s="19"/>
      <c r="E774" s="15"/>
    </row>
    <row r="775" spans="3:5" x14ac:dyDescent="0.35">
      <c r="C775" s="17"/>
      <c r="D775" s="19"/>
      <c r="E775" s="15"/>
    </row>
    <row r="776" spans="3:5" x14ac:dyDescent="0.35">
      <c r="C776" s="17"/>
      <c r="D776" s="19"/>
      <c r="E776" s="15"/>
    </row>
    <row r="777" spans="3:5" x14ac:dyDescent="0.35">
      <c r="C777" s="17"/>
      <c r="D777" s="19"/>
      <c r="E777" s="15"/>
    </row>
    <row r="778" spans="3:5" x14ac:dyDescent="0.35">
      <c r="C778" s="17"/>
      <c r="D778" s="19"/>
      <c r="E778" s="15"/>
    </row>
    <row r="779" spans="3:5" x14ac:dyDescent="0.35">
      <c r="C779" s="17"/>
      <c r="D779" s="19"/>
      <c r="E779" s="15"/>
    </row>
    <row r="780" spans="3:5" x14ac:dyDescent="0.35">
      <c r="C780" s="17"/>
      <c r="D780" s="19"/>
      <c r="E780" s="15"/>
    </row>
    <row r="781" spans="3:5" x14ac:dyDescent="0.35">
      <c r="C781" s="17"/>
      <c r="D781" s="19"/>
      <c r="E781" s="15"/>
    </row>
    <row r="782" spans="3:5" x14ac:dyDescent="0.35">
      <c r="C782" s="17"/>
      <c r="D782" s="19"/>
      <c r="E782" s="15"/>
    </row>
    <row r="783" spans="3:5" x14ac:dyDescent="0.35">
      <c r="C783" s="17"/>
      <c r="D783" s="19"/>
      <c r="E783" s="15"/>
    </row>
    <row r="784" spans="3:5" x14ac:dyDescent="0.35">
      <c r="C784" s="17"/>
      <c r="D784" s="19"/>
      <c r="E784" s="15"/>
    </row>
    <row r="785" spans="3:5" x14ac:dyDescent="0.35">
      <c r="C785" s="17"/>
      <c r="D785" s="19"/>
      <c r="E785" s="15"/>
    </row>
    <row r="786" spans="3:5" x14ac:dyDescent="0.35">
      <c r="C786" s="17"/>
      <c r="D786" s="19"/>
      <c r="E786" s="15"/>
    </row>
    <row r="787" spans="3:5" x14ac:dyDescent="0.35">
      <c r="C787" s="17"/>
      <c r="D787" s="19"/>
      <c r="E787" s="15"/>
    </row>
    <row r="788" spans="3:5" x14ac:dyDescent="0.35">
      <c r="C788" s="17"/>
      <c r="D788" s="19"/>
      <c r="E788" s="15"/>
    </row>
    <row r="789" spans="3:5" x14ac:dyDescent="0.35">
      <c r="C789" s="17"/>
      <c r="D789" s="19"/>
      <c r="E789" s="15"/>
    </row>
    <row r="790" spans="3:5" x14ac:dyDescent="0.35">
      <c r="C790" s="17"/>
      <c r="D790" s="19"/>
      <c r="E790" s="15"/>
    </row>
    <row r="791" spans="3:5" x14ac:dyDescent="0.35">
      <c r="C791" s="17"/>
      <c r="D791" s="19"/>
      <c r="E791" s="15"/>
    </row>
    <row r="792" spans="3:5" x14ac:dyDescent="0.35">
      <c r="C792" s="17"/>
      <c r="D792" s="19"/>
      <c r="E792" s="15"/>
    </row>
    <row r="793" spans="3:5" x14ac:dyDescent="0.35">
      <c r="C793" s="17"/>
      <c r="D793" s="19"/>
      <c r="E793" s="15"/>
    </row>
    <row r="794" spans="3:5" x14ac:dyDescent="0.35">
      <c r="C794" s="17"/>
      <c r="D794" s="19"/>
      <c r="E794" s="15"/>
    </row>
    <row r="795" spans="3:5" x14ac:dyDescent="0.35">
      <c r="C795" s="17"/>
      <c r="D795" s="19"/>
      <c r="E795" s="15"/>
    </row>
    <row r="796" spans="3:5" x14ac:dyDescent="0.35">
      <c r="C796" s="17"/>
      <c r="D796" s="19"/>
      <c r="E796" s="15"/>
    </row>
    <row r="797" spans="3:5" x14ac:dyDescent="0.35">
      <c r="C797" s="17"/>
      <c r="D797" s="19"/>
      <c r="E797" s="15"/>
    </row>
    <row r="798" spans="3:5" x14ac:dyDescent="0.35">
      <c r="C798" s="17"/>
      <c r="D798" s="19"/>
      <c r="E798" s="15"/>
    </row>
    <row r="799" spans="3:5" x14ac:dyDescent="0.35">
      <c r="C799" s="17"/>
      <c r="D799" s="19"/>
      <c r="E799" s="15"/>
    </row>
    <row r="800" spans="3:5" x14ac:dyDescent="0.35">
      <c r="C800" s="17"/>
      <c r="D800" s="19"/>
      <c r="E800" s="15"/>
    </row>
    <row r="801" spans="3:5" x14ac:dyDescent="0.35">
      <c r="C801" s="17"/>
      <c r="D801" s="19"/>
      <c r="E801" s="15"/>
    </row>
    <row r="802" spans="3:5" x14ac:dyDescent="0.35">
      <c r="C802" s="17"/>
      <c r="D802" s="19"/>
      <c r="E802" s="15"/>
    </row>
    <row r="803" spans="3:5" x14ac:dyDescent="0.35">
      <c r="C803" s="17"/>
      <c r="D803" s="19"/>
      <c r="E803" s="15"/>
    </row>
    <row r="804" spans="3:5" x14ac:dyDescent="0.35">
      <c r="C804" s="17"/>
      <c r="D804" s="19"/>
      <c r="E804" s="15"/>
    </row>
    <row r="805" spans="3:5" x14ac:dyDescent="0.35">
      <c r="C805" s="17"/>
      <c r="D805" s="19"/>
      <c r="E805" s="15"/>
    </row>
    <row r="806" spans="3:5" x14ac:dyDescent="0.35">
      <c r="C806" s="17"/>
      <c r="D806" s="19"/>
      <c r="E806" s="15"/>
    </row>
    <row r="807" spans="3:5" x14ac:dyDescent="0.35">
      <c r="C807" s="17"/>
      <c r="D807" s="19"/>
      <c r="E807" s="15"/>
    </row>
    <row r="808" spans="3:5" x14ac:dyDescent="0.35">
      <c r="C808" s="17"/>
      <c r="D808" s="19"/>
      <c r="E808" s="15"/>
    </row>
    <row r="809" spans="3:5" x14ac:dyDescent="0.35">
      <c r="C809" s="17"/>
      <c r="D809" s="19"/>
      <c r="E809" s="15"/>
    </row>
    <row r="810" spans="3:5" x14ac:dyDescent="0.35">
      <c r="C810" s="17"/>
      <c r="D810" s="19"/>
      <c r="E810" s="15"/>
    </row>
    <row r="811" spans="3:5" x14ac:dyDescent="0.35">
      <c r="C811" s="17"/>
      <c r="D811" s="19"/>
      <c r="E811" s="15"/>
    </row>
    <row r="812" spans="3:5" x14ac:dyDescent="0.35">
      <c r="C812" s="17"/>
      <c r="D812" s="19"/>
      <c r="E812" s="15"/>
    </row>
    <row r="813" spans="3:5" x14ac:dyDescent="0.35">
      <c r="C813" s="17"/>
      <c r="D813" s="19"/>
      <c r="E813" s="15"/>
    </row>
    <row r="814" spans="3:5" x14ac:dyDescent="0.35">
      <c r="C814" s="17"/>
      <c r="D814" s="19"/>
      <c r="E814" s="15"/>
    </row>
    <row r="815" spans="3:5" x14ac:dyDescent="0.35">
      <c r="C815" s="17"/>
      <c r="D815" s="19"/>
      <c r="E815" s="15"/>
    </row>
    <row r="816" spans="3:5" x14ac:dyDescent="0.35">
      <c r="C816" s="17"/>
      <c r="D816" s="19"/>
      <c r="E816" s="15"/>
    </row>
    <row r="817" spans="3:5" x14ac:dyDescent="0.35">
      <c r="C817" s="17"/>
      <c r="D817" s="19"/>
      <c r="E817" s="15"/>
    </row>
    <row r="818" spans="3:5" x14ac:dyDescent="0.35">
      <c r="C818" s="17"/>
      <c r="D818" s="19"/>
      <c r="E818" s="15"/>
    </row>
    <row r="819" spans="3:5" x14ac:dyDescent="0.35">
      <c r="C819" s="17"/>
      <c r="D819" s="19"/>
      <c r="E819" s="15"/>
    </row>
    <row r="820" spans="3:5" x14ac:dyDescent="0.35">
      <c r="C820" s="17"/>
      <c r="D820" s="19"/>
      <c r="E820" s="15"/>
    </row>
    <row r="821" spans="3:5" x14ac:dyDescent="0.35">
      <c r="C821" s="17"/>
      <c r="D821" s="19"/>
      <c r="E821" s="15"/>
    </row>
    <row r="822" spans="3:5" x14ac:dyDescent="0.35">
      <c r="C822" s="17"/>
      <c r="D822" s="19"/>
      <c r="E822" s="15"/>
    </row>
    <row r="823" spans="3:5" x14ac:dyDescent="0.35">
      <c r="C823" s="17"/>
      <c r="D823" s="19"/>
      <c r="E823" s="15"/>
    </row>
    <row r="824" spans="3:5" x14ac:dyDescent="0.3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29E7A-336F-4939-A394-B4BD7D117F15}">
  <dimension ref="A1:Y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16" sqref="J16"/>
    </sheetView>
  </sheetViews>
  <sheetFormatPr defaultRowHeight="14.5" x14ac:dyDescent="0.35"/>
  <cols>
    <col min="1" max="1" width="12.7265625" bestFit="1" customWidth="1"/>
    <col min="2" max="2" width="9" style="11" bestFit="1" customWidth="1"/>
    <col min="3" max="4" width="14" style="11" bestFit="1" customWidth="1"/>
    <col min="5" max="5" width="7" style="11" bestFit="1" customWidth="1"/>
    <col min="6" max="6" width="4.7265625" style="11" bestFit="1" customWidth="1"/>
    <col min="7" max="7" width="8.54296875" style="11" bestFit="1" customWidth="1"/>
    <col min="8" max="8" width="16" style="11" bestFit="1" customWidth="1"/>
    <col min="9" max="9" width="13.7265625" style="11" bestFit="1" customWidth="1"/>
    <col min="10" max="10" width="16" bestFit="1" customWidth="1"/>
    <col min="11" max="11" width="15.26953125" style="11" bestFit="1" customWidth="1"/>
    <col min="12" max="12" width="17.7265625" bestFit="1" customWidth="1"/>
    <col min="13" max="13" width="7" bestFit="1" customWidth="1"/>
    <col min="14" max="14" width="8" bestFit="1" customWidth="1"/>
    <col min="15" max="15" width="12.7265625" bestFit="1" customWidth="1"/>
    <col min="16" max="16" width="3.26953125" bestFit="1" customWidth="1"/>
    <col min="17" max="17" width="14" bestFit="1" customWidth="1"/>
    <col min="18" max="18" width="8" bestFit="1" customWidth="1"/>
    <col min="19" max="19" width="13.7265625" bestFit="1" customWidth="1"/>
    <col min="20" max="20" width="16" bestFit="1" customWidth="1"/>
    <col min="21" max="21" width="15.26953125" bestFit="1" customWidth="1"/>
    <col min="22" max="22" width="17.7265625" bestFit="1" customWidth="1"/>
    <col min="23" max="23" width="6.81640625" bestFit="1" customWidth="1"/>
    <col min="24" max="24" width="3.7265625" bestFit="1" customWidth="1"/>
    <col min="25" max="25" width="5.453125" bestFit="1" customWidth="1"/>
  </cols>
  <sheetData>
    <row r="1" spans="1:25" x14ac:dyDescent="0.35">
      <c r="A1" s="89" t="s">
        <v>35</v>
      </c>
      <c r="B1" s="90"/>
      <c r="C1" s="90"/>
      <c r="D1" s="90"/>
      <c r="E1" s="90"/>
      <c r="F1" s="90"/>
      <c r="G1" s="90"/>
      <c r="H1" s="91"/>
      <c r="I1" s="89" t="s">
        <v>91</v>
      </c>
      <c r="J1" s="90"/>
      <c r="K1" s="90"/>
      <c r="L1" s="90"/>
      <c r="M1" s="91"/>
      <c r="N1" s="58" t="s">
        <v>92</v>
      </c>
      <c r="O1" s="95" t="s">
        <v>170</v>
      </c>
      <c r="P1" s="96"/>
      <c r="Q1" s="96"/>
      <c r="R1" s="96"/>
      <c r="S1" s="96"/>
      <c r="T1" s="96"/>
      <c r="U1" s="96"/>
      <c r="V1" s="96"/>
      <c r="W1" s="96"/>
      <c r="X1" s="96"/>
      <c r="Y1" s="96"/>
    </row>
    <row r="2" spans="1:25" x14ac:dyDescent="0.3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85" t="s">
        <v>62</v>
      </c>
      <c r="P2" s="85" t="s">
        <v>63</v>
      </c>
      <c r="Q2" s="85" t="s">
        <v>58</v>
      </c>
      <c r="R2" s="85" t="s">
        <v>64</v>
      </c>
      <c r="S2" s="85" t="s">
        <v>65</v>
      </c>
      <c r="T2" s="85" t="s">
        <v>66</v>
      </c>
      <c r="U2" s="85" t="s">
        <v>67</v>
      </c>
      <c r="V2" s="85" t="s">
        <v>68</v>
      </c>
      <c r="W2" s="85" t="s">
        <v>69</v>
      </c>
      <c r="X2" s="85" t="s">
        <v>13</v>
      </c>
      <c r="Y2" s="85" t="s">
        <v>171</v>
      </c>
    </row>
    <row r="3" spans="1:25" x14ac:dyDescent="0.35">
      <c r="A3">
        <v>1</v>
      </c>
      <c r="B3" s="11" t="s">
        <v>174</v>
      </c>
      <c r="C3" s="11" t="s">
        <v>190</v>
      </c>
      <c r="D3" t="s">
        <v>175</v>
      </c>
      <c r="E3" t="s">
        <v>38</v>
      </c>
      <c r="F3" t="s">
        <v>38</v>
      </c>
      <c r="G3" t="s">
        <v>38</v>
      </c>
      <c r="H3" t="s">
        <v>38</v>
      </c>
      <c r="I3" t="s">
        <v>19</v>
      </c>
      <c r="J3">
        <v>295.70999999999998</v>
      </c>
      <c r="K3" t="s">
        <v>12</v>
      </c>
      <c r="L3">
        <v>17</v>
      </c>
      <c r="M3">
        <v>295.70999999999998</v>
      </c>
      <c r="N3">
        <v>1526.53</v>
      </c>
      <c r="O3" t="str">
        <f>IF(OR(A3="",A3&lt;1),FALSE,IF(ISNUMBER(A3), IF(INT(A3) = A3, "-", FALSE), FALSE))</f>
        <v>-</v>
      </c>
      <c r="P3" t="str">
        <f>IF(B3="",FALSE,"-")</f>
        <v>-</v>
      </c>
      <c r="Q3" t="str">
        <f>IF(C3="",FALSE,"-")</f>
        <v>-</v>
      </c>
      <c r="R3" t="str">
        <f>IF(D3="",FALSE,"-")</f>
        <v>-</v>
      </c>
      <c r="S3" t="str">
        <f>IF(_xlfn.IFNA(VLOOKUP(I3,Set_Ref!$B$6:$B$1048576,1,FALSE),"")&lt;&gt;"","-",FALSE)</f>
        <v>-</v>
      </c>
      <c r="T3" t="str">
        <f>IF(OR(J3="",J3&lt;=0),FALSE,IF(ISNUMBER(J3),"-",FALSE))</f>
        <v>-</v>
      </c>
      <c r="U3" t="str">
        <f>IF(ISTEXT(K3),  "-",FALSE)</f>
        <v>-</v>
      </c>
      <c r="V3" t="str">
        <f>IF(OR(L3="",L3&lt;0),FALSE,IF(ISNUMBER(L3),"-",FALSE))</f>
        <v>-</v>
      </c>
      <c r="W3" t="str">
        <f>IF(OR(M3="",M3&lt;0),FALSE,IF(ISNUMBER(M3),"-",FALSE))</f>
        <v>-</v>
      </c>
      <c r="X3" t="str">
        <f>IF(OR(N3="",N3&lt;0),FALSE,IF(ISNUMBER(N3),"-",FALSE))</f>
        <v>-</v>
      </c>
      <c r="Y3" t="b">
        <f>IF(COUNTIF($O$3:$X$3, "FALSE") &gt; 0, FALSE, TRUE)</f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DE50D-E17A-4BE5-B0A0-5FDA99B352EA}">
  <dimension ref="A1:AE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P16" sqref="P16"/>
    </sheetView>
  </sheetViews>
  <sheetFormatPr defaultRowHeight="14.5" x14ac:dyDescent="0.35"/>
  <cols>
    <col min="1" max="1" width="12.7265625" bestFit="1" customWidth="1"/>
    <col min="2" max="2" width="17" bestFit="1" customWidth="1"/>
    <col min="3" max="3" width="22.453125" style="11" bestFit="1" customWidth="1"/>
    <col min="4" max="4" width="20.1796875" style="11" bestFit="1" customWidth="1"/>
    <col min="5" max="5" width="22.26953125" style="11" bestFit="1" customWidth="1"/>
    <col min="6" max="6" width="23.54296875" style="11" bestFit="1" customWidth="1"/>
    <col min="7" max="7" width="18.1796875" style="11" bestFit="1" customWidth="1"/>
    <col min="8" max="8" width="19" style="11" bestFit="1" customWidth="1"/>
    <col min="9" max="9" width="3.453125" style="11" bestFit="1" customWidth="1"/>
    <col min="10" max="10" width="15" style="11" bestFit="1" customWidth="1"/>
    <col min="11" max="11" width="8.26953125" style="11" bestFit="1" customWidth="1"/>
    <col min="12" max="12" width="7.54296875" style="11" bestFit="1" customWidth="1"/>
    <col min="13" max="13" width="5" style="11" bestFit="1" customWidth="1"/>
    <col min="14" max="14" width="9" style="11" bestFit="1" customWidth="1"/>
    <col min="15" max="15" width="16.453125" style="11" bestFit="1" customWidth="1"/>
    <col min="16" max="16" width="14.54296875" style="11" bestFit="1" customWidth="1"/>
    <col min="17" max="17" width="17" bestFit="1" customWidth="1"/>
    <col min="18" max="18" width="7.453125" bestFit="1" customWidth="1"/>
    <col min="19" max="19" width="3.81640625" bestFit="1" customWidth="1"/>
    <col min="20" max="20" width="12.7265625" bestFit="1" customWidth="1"/>
    <col min="21" max="21" width="17" bestFit="1" customWidth="1"/>
    <col min="22" max="22" width="23.26953125" bestFit="1" customWidth="1"/>
    <col min="23" max="23" width="18.81640625" bestFit="1" customWidth="1"/>
    <col min="24" max="24" width="20.7265625" bestFit="1" customWidth="1"/>
    <col min="25" max="25" width="22.1796875" bestFit="1" customWidth="1"/>
    <col min="26" max="26" width="3.26953125" bestFit="1" customWidth="1"/>
    <col min="27" max="27" width="14" bestFit="1" customWidth="1"/>
    <col min="28" max="28" width="13.7265625" bestFit="1" customWidth="1"/>
    <col min="29" max="29" width="16" bestFit="1" customWidth="1"/>
    <col min="30" max="30" width="22.81640625" bestFit="1" customWidth="1"/>
    <col min="31" max="31" width="5.453125" bestFit="1" customWidth="1"/>
  </cols>
  <sheetData>
    <row r="1" spans="1:31" x14ac:dyDescent="0.35">
      <c r="A1" s="89" t="s">
        <v>100</v>
      </c>
      <c r="B1" s="90"/>
      <c r="C1" s="90"/>
      <c r="D1" s="90"/>
      <c r="E1" s="90"/>
      <c r="F1" s="90"/>
      <c r="G1" s="90"/>
      <c r="H1" s="91"/>
      <c r="I1" s="97"/>
      <c r="J1" s="97"/>
      <c r="K1" s="97"/>
      <c r="L1" s="97"/>
      <c r="M1" s="97"/>
      <c r="N1" s="97"/>
      <c r="O1" s="98"/>
      <c r="P1" s="89" t="s">
        <v>91</v>
      </c>
      <c r="Q1" s="90"/>
      <c r="R1" s="90"/>
      <c r="S1" s="91"/>
      <c r="T1" s="95" t="s">
        <v>170</v>
      </c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</row>
    <row r="2" spans="1:31" ht="15.5" x14ac:dyDescent="0.3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85" t="s">
        <v>62</v>
      </c>
      <c r="U2" s="85" t="s">
        <v>90</v>
      </c>
      <c r="V2" s="85" t="s">
        <v>47</v>
      </c>
      <c r="W2" s="85" t="s">
        <v>99</v>
      </c>
      <c r="X2" s="85" t="s">
        <v>85</v>
      </c>
      <c r="Y2" s="85" t="s">
        <v>86</v>
      </c>
      <c r="Z2" s="85" t="s">
        <v>63</v>
      </c>
      <c r="AA2" s="85" t="s">
        <v>58</v>
      </c>
      <c r="AB2" s="85" t="s">
        <v>65</v>
      </c>
      <c r="AC2" s="85" t="s">
        <v>66</v>
      </c>
      <c r="AD2" s="85" t="s">
        <v>172</v>
      </c>
      <c r="AE2" s="85" t="s">
        <v>171</v>
      </c>
    </row>
    <row r="3" spans="1:31" x14ac:dyDescent="0.35">
      <c r="A3">
        <v>1</v>
      </c>
      <c r="B3">
        <v>1</v>
      </c>
      <c r="C3">
        <v>261</v>
      </c>
      <c r="D3" s="55" t="s">
        <v>145</v>
      </c>
      <c r="E3" s="11" t="s">
        <v>193</v>
      </c>
      <c r="F3" s="11" t="s">
        <v>191</v>
      </c>
      <c r="G3" s="11" t="s">
        <v>195</v>
      </c>
      <c r="H3">
        <v>12</v>
      </c>
      <c r="I3" s="11" t="s">
        <v>185</v>
      </c>
      <c r="J3" s="11" t="s">
        <v>186</v>
      </c>
      <c r="K3" s="11" t="s">
        <v>176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9</v>
      </c>
      <c r="Q3">
        <v>3013</v>
      </c>
      <c r="R3">
        <v>0</v>
      </c>
      <c r="S3">
        <v>0</v>
      </c>
      <c r="T3" t="str">
        <f t="shared" ref="T3:T9" si="0">IF(OR(A3="",A3&lt;1),FALSE,IF(ISNUMBER(A3), IF(INT(A3) = A3, "-", FALSE), FALSE))</f>
        <v>-</v>
      </c>
      <c r="U3" t="str">
        <f t="shared" ref="U3:U9" si="1">IF(OR(B3="",A3&lt;1),FALSE,IF(ISNUMBER(A3), IF(INT(A3) = A3, "-", FALSE), FALSE))</f>
        <v>-</v>
      </c>
      <c r="V3" t="str">
        <f t="shared" ref="V3:V9" si="2">IF(OR(C3="",C3="PilihSalasatu"),FALSE,"-")</f>
        <v>-</v>
      </c>
      <c r="W3" t="str">
        <f t="shared" ref="W3:W9" si="3">IF(D3="",FALSE,"-")</f>
        <v>-</v>
      </c>
      <c r="X3" t="str">
        <f t="shared" ref="X3:X9" si="4">IF(E3="",FALSE,"-")</f>
        <v>-</v>
      </c>
      <c r="Y3" t="str">
        <f t="shared" ref="Y3:Y9" si="5">IF(F3="",FALSE,"-")</f>
        <v>-</v>
      </c>
      <c r="Z3" t="str">
        <f t="shared" ref="Z3:Z9" si="6">IF(I3="",FALSE,"-")</f>
        <v>-</v>
      </c>
      <c r="AA3" t="str">
        <f t="shared" ref="AA3:AA9" si="7">IF(J3="",FALSE,"-")</f>
        <v>-</v>
      </c>
      <c r="AB3" t="str">
        <f>IF(_xlfn.IFNA(VLOOKUP(P3,Set_Ref!$B$6:$B$1048576,1,FALSE),"")&lt;&gt;"","-",FALSE)</f>
        <v>-</v>
      </c>
      <c r="AC3" t="str">
        <f t="shared" ref="AC3:AC9" si="8">IF(OR(Q3="",Q3&lt;=0),FALSE,IF(ISNUMBER(Q3),"-",FALSE))</f>
        <v>-</v>
      </c>
      <c r="AD3" t="str">
        <f t="shared" ref="AD3:AD9" si="9">IF(OR(G3="",H3="",I3="",K3=""),FALSE,"-")</f>
        <v>-</v>
      </c>
      <c r="AE3" t="b">
        <f t="shared" ref="AE3:AE9" si="10">IF(COUNTIF(T3:AD3, "FALSE") &gt; 0, FALSE, TRUE)</f>
        <v>1</v>
      </c>
    </row>
    <row r="4" spans="1:31" x14ac:dyDescent="0.35">
      <c r="A4">
        <v>1</v>
      </c>
      <c r="B4">
        <v>2</v>
      </c>
      <c r="C4">
        <v>261</v>
      </c>
      <c r="D4" s="55" t="s">
        <v>145</v>
      </c>
      <c r="E4" s="11" t="s">
        <v>193</v>
      </c>
      <c r="F4" s="11" t="s">
        <v>191</v>
      </c>
      <c r="G4" s="11" t="s">
        <v>195</v>
      </c>
      <c r="H4">
        <v>12</v>
      </c>
      <c r="I4" s="11" t="s">
        <v>185</v>
      </c>
      <c r="J4" s="11" t="s">
        <v>186</v>
      </c>
      <c r="K4" s="11" t="s">
        <v>176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9</v>
      </c>
      <c r="Q4">
        <v>2133.5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35">
      <c r="A5">
        <v>1</v>
      </c>
      <c r="B5">
        <v>3</v>
      </c>
      <c r="C5">
        <v>261</v>
      </c>
      <c r="D5" s="55" t="s">
        <v>145</v>
      </c>
      <c r="E5" s="11" t="s">
        <v>193</v>
      </c>
      <c r="F5" s="11" t="s">
        <v>191</v>
      </c>
      <c r="G5" s="11" t="s">
        <v>195</v>
      </c>
      <c r="H5">
        <v>13</v>
      </c>
      <c r="I5" s="11" t="s">
        <v>187</v>
      </c>
      <c r="J5" s="11" t="s">
        <v>181</v>
      </c>
      <c r="K5" s="11" t="s">
        <v>177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9</v>
      </c>
      <c r="Q5">
        <v>386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35">
      <c r="A6">
        <v>1</v>
      </c>
      <c r="B6">
        <v>4</v>
      </c>
      <c r="C6">
        <v>261</v>
      </c>
      <c r="D6" s="55" t="s">
        <v>145</v>
      </c>
      <c r="E6" s="11" t="s">
        <v>193</v>
      </c>
      <c r="F6" s="11" t="s">
        <v>191</v>
      </c>
      <c r="G6" s="11" t="s">
        <v>195</v>
      </c>
      <c r="H6">
        <v>14</v>
      </c>
      <c r="I6" s="11" t="s">
        <v>173</v>
      </c>
      <c r="J6" s="11" t="s">
        <v>183</v>
      </c>
      <c r="K6" s="11" t="s">
        <v>179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9</v>
      </c>
      <c r="Q6">
        <v>1140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35">
      <c r="A7">
        <v>1</v>
      </c>
      <c r="B7">
        <v>5</v>
      </c>
      <c r="C7">
        <v>261</v>
      </c>
      <c r="D7" s="55" t="s">
        <v>145</v>
      </c>
      <c r="E7" s="11" t="s">
        <v>193</v>
      </c>
      <c r="F7" s="11" t="s">
        <v>191</v>
      </c>
      <c r="G7" s="11" t="s">
        <v>195</v>
      </c>
      <c r="H7">
        <v>15</v>
      </c>
      <c r="I7" s="11" t="s">
        <v>196</v>
      </c>
      <c r="J7" s="11" t="s">
        <v>182</v>
      </c>
      <c r="K7" s="11" t="s">
        <v>178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9</v>
      </c>
      <c r="Q7">
        <v>269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35">
      <c r="A8">
        <v>1</v>
      </c>
      <c r="B8">
        <v>6</v>
      </c>
      <c r="C8">
        <v>261</v>
      </c>
      <c r="D8" s="55" t="s">
        <v>145</v>
      </c>
      <c r="E8" s="11" t="s">
        <v>193</v>
      </c>
      <c r="F8" s="11" t="s">
        <v>191</v>
      </c>
      <c r="G8" s="11" t="s">
        <v>195</v>
      </c>
      <c r="H8">
        <v>16</v>
      </c>
      <c r="I8" s="11" t="s">
        <v>196</v>
      </c>
      <c r="J8" s="11" t="s">
        <v>184</v>
      </c>
      <c r="K8" s="11" t="s">
        <v>180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9</v>
      </c>
      <c r="Q8">
        <v>1300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35">
      <c r="A9">
        <v>1</v>
      </c>
      <c r="B9">
        <v>7</v>
      </c>
      <c r="C9">
        <v>261</v>
      </c>
      <c r="D9" s="55" t="s">
        <v>145</v>
      </c>
      <c r="E9" s="11" t="s">
        <v>193</v>
      </c>
      <c r="F9" s="11" t="s">
        <v>191</v>
      </c>
      <c r="G9" s="11" t="s">
        <v>195</v>
      </c>
      <c r="H9">
        <v>17</v>
      </c>
      <c r="I9" s="11" t="s">
        <v>196</v>
      </c>
      <c r="J9" s="11" t="s">
        <v>194</v>
      </c>
      <c r="K9" s="11" t="s">
        <v>192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9</v>
      </c>
      <c r="Q9">
        <v>800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:D9" xr:uid="{BC24767E-84E9-492A-816B-67A08EB809D5}">
      <formula1>"050500,050700"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144A-67EE-45EB-93F7-01D8BCECD263}">
  <dimension ref="A1"/>
  <sheetViews>
    <sheetView workbookViewId="0">
      <selection activeCell="B22" sqref="B22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cp:lastPrinted>2023-07-14T03:21:57Z</cp:lastPrinted>
  <dcterms:created xsi:type="dcterms:W3CDTF">2023-04-11T02:47:24Z</dcterms:created>
  <dcterms:modified xsi:type="dcterms:W3CDTF">2024-12-16T07:49:29Z</dcterms:modified>
</cp:coreProperties>
</file>