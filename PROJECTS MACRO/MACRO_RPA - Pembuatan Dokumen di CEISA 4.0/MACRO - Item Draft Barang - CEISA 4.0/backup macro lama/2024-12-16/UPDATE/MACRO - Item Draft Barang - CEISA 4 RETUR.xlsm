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Pembuatan Dokumen di CEISA 4.0\MACRO - Item Draft Barang - CEISA 4.0\backup macro lama\2024-12-16\UPDATE\"/>
    </mc:Choice>
  </mc:AlternateContent>
  <xr:revisionPtr revIDLastSave="0" documentId="13_ncr:1_{93A901DE-E777-47F1-ADB4-C88C47A141D2}" xr6:coauthVersionLast="47" xr6:coauthVersionMax="47" xr10:uidLastSave="{00000000-0000-0000-0000-000000000000}"/>
  <bookViews>
    <workbookView xWindow="-120" yWindow="-120" windowWidth="20730" windowHeight="11160" tabRatio="658" activeTab="6" xr2:uid="{7E7A7F93-5039-4D12-8102-F8D7E7D5379D}"/>
  </bookViews>
  <sheets>
    <sheet name="(M)" sheetId="12" r:id="rId1"/>
    <sheet name="Set_Def" sheetId="128" state="hidden" r:id="rId2"/>
    <sheet name="Set_Cach" sheetId="129" state="hidden" r:id="rId3"/>
    <sheet name="Set_Ref" sheetId="130" state="hidden" r:id="rId4"/>
    <sheet name="Field_Barang" sheetId="145" state="hidden" r:id="rId5"/>
    <sheet name="Field_BahanBaku" sheetId="143" state="hidden" r:id="rId6"/>
    <sheet name="Summary" sheetId="135" r:id="rId7"/>
    <sheet name="BARANG" sheetId="399" r:id="rId8"/>
    <sheet name="BAHANBAKU" sheetId="400" r:id="rId9"/>
    <sheet name="PUNGUTAN" sheetId="401" r:id="rId10"/>
  </sheets>
  <functionGroups builtInGroupCount="19"/>
  <externalReferences>
    <externalReference r:id="rId11"/>
  </externalReferences>
  <definedNames>
    <definedName name="_xlnm._FilterDatabase" localSheetId="8" hidden="1">BAHANBAKU!$A$2:$S$86</definedName>
    <definedName name="_xlnm._FilterDatabase" localSheetId="4" hidden="1">Field_Barang!#REF!</definedName>
    <definedName name="Excel_BuiltIn__FilterDatabase" localSheetId="4">#REF!</definedName>
    <definedName name="Excel_BuiltIn__FilterDatabase">#REF!</definedName>
    <definedName name="Excel_BuiltIn__FilterDatabase_1" localSheetId="4">#REF!</definedName>
    <definedName name="Excel_BuiltIn__FilterDatabase_1">#REF!</definedName>
    <definedName name="Excel_BuiltIn_Print_Area_1" localSheetId="4">#REF!</definedName>
    <definedName name="Excel_BuiltIn_Print_Area_1">#REF!</definedName>
    <definedName name="Excel_BuiltIn_Print_Area_2" localSheetId="4">#REF!</definedName>
    <definedName name="Excel_BuiltIn_Print_Area_2">#REF!</definedName>
    <definedName name="Excel_BuiltIn_Print_Area_3" localSheetId="4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6" i="135" l="1"/>
  <c r="D15" i="135"/>
  <c r="D14" i="135"/>
  <c r="D13" i="135"/>
  <c r="D11" i="135"/>
  <c r="D10" i="135"/>
  <c r="D9" i="135"/>
  <c r="D8" i="135"/>
  <c r="D7" i="135"/>
  <c r="AD3" i="400"/>
  <c r="AD4" i="400"/>
  <c r="AD5" i="400"/>
  <c r="AD6" i="400"/>
  <c r="AD7" i="400"/>
  <c r="AD8" i="400"/>
  <c r="AD9" i="400"/>
  <c r="AD10" i="400"/>
  <c r="AD11" i="400"/>
  <c r="AD12" i="400"/>
  <c r="AD13" i="400"/>
  <c r="AD14" i="400"/>
  <c r="AD15" i="400"/>
  <c r="AD16" i="400"/>
  <c r="AD17" i="400"/>
  <c r="AD18" i="400"/>
  <c r="AD19" i="400"/>
  <c r="AD20" i="400"/>
  <c r="AD21" i="400"/>
  <c r="AD22" i="400"/>
  <c r="AD23" i="400"/>
  <c r="AD24" i="400"/>
  <c r="AD25" i="400"/>
  <c r="AD26" i="400"/>
  <c r="AD27" i="400"/>
  <c r="AD28" i="400"/>
  <c r="AD29" i="400"/>
  <c r="AD30" i="400"/>
  <c r="AD31" i="400"/>
  <c r="AD32" i="400"/>
  <c r="AD33" i="400"/>
  <c r="AD34" i="400"/>
  <c r="AD35" i="400"/>
  <c r="AD36" i="400"/>
  <c r="AD37" i="400"/>
  <c r="AD38" i="400"/>
  <c r="AD39" i="400"/>
  <c r="AD40" i="400"/>
  <c r="AD41" i="400"/>
  <c r="AD42" i="400"/>
  <c r="AD43" i="400"/>
  <c r="AD44" i="400"/>
  <c r="AD45" i="400"/>
  <c r="AD46" i="400"/>
  <c r="AD47" i="400"/>
  <c r="AD48" i="400"/>
  <c r="AD49" i="400"/>
  <c r="AD50" i="400"/>
  <c r="AD51" i="400"/>
  <c r="AD52" i="400"/>
  <c r="AD53" i="400"/>
  <c r="AD54" i="400"/>
  <c r="AD55" i="400"/>
  <c r="AD56" i="400"/>
  <c r="AD57" i="400"/>
  <c r="AD58" i="400"/>
  <c r="AD59" i="400"/>
  <c r="AD60" i="400"/>
  <c r="AD61" i="400"/>
  <c r="AD62" i="400"/>
  <c r="AD63" i="400"/>
  <c r="AD64" i="400"/>
  <c r="AD65" i="400"/>
  <c r="AD66" i="400"/>
  <c r="AD67" i="400"/>
  <c r="AD68" i="400"/>
  <c r="AD69" i="400"/>
  <c r="AD70" i="400"/>
  <c r="AD71" i="400"/>
  <c r="AD72" i="400"/>
  <c r="AD73" i="400"/>
  <c r="AD74" i="400"/>
  <c r="AD75" i="400"/>
  <c r="AD76" i="400"/>
  <c r="AD77" i="400"/>
  <c r="AD78" i="400"/>
  <c r="AD79" i="400"/>
  <c r="AD80" i="400"/>
  <c r="AD81" i="400"/>
  <c r="AD82" i="400"/>
  <c r="AD83" i="400"/>
  <c r="AD84" i="400"/>
  <c r="AD85" i="400"/>
  <c r="AD86" i="400"/>
  <c r="AC3" i="400"/>
  <c r="AC4" i="400"/>
  <c r="AC5" i="400"/>
  <c r="AC6" i="400"/>
  <c r="AC7" i="400"/>
  <c r="AC8" i="400"/>
  <c r="AC9" i="400"/>
  <c r="AC10" i="400"/>
  <c r="AC11" i="400"/>
  <c r="AC12" i="400"/>
  <c r="AC13" i="400"/>
  <c r="AC14" i="400"/>
  <c r="AC15" i="400"/>
  <c r="AC16" i="400"/>
  <c r="AC17" i="400"/>
  <c r="AC18" i="400"/>
  <c r="AC19" i="400"/>
  <c r="AC20" i="400"/>
  <c r="AC21" i="400"/>
  <c r="AC22" i="400"/>
  <c r="AC23" i="400"/>
  <c r="AC24" i="400"/>
  <c r="AC25" i="400"/>
  <c r="AC26" i="400"/>
  <c r="AC27" i="400"/>
  <c r="AC28" i="400"/>
  <c r="AC29" i="400"/>
  <c r="AC30" i="400"/>
  <c r="AC31" i="400"/>
  <c r="AC32" i="400"/>
  <c r="AC33" i="400"/>
  <c r="AC34" i="400"/>
  <c r="AC35" i="400"/>
  <c r="AC36" i="400"/>
  <c r="AC37" i="400"/>
  <c r="AC38" i="400"/>
  <c r="AC39" i="400"/>
  <c r="AC40" i="400"/>
  <c r="AC41" i="400"/>
  <c r="AC42" i="400"/>
  <c r="AC43" i="400"/>
  <c r="AC44" i="400"/>
  <c r="AC45" i="400"/>
  <c r="AC46" i="400"/>
  <c r="AC47" i="400"/>
  <c r="AC48" i="400"/>
  <c r="AC49" i="400"/>
  <c r="AC50" i="400"/>
  <c r="AC51" i="400"/>
  <c r="AC52" i="400"/>
  <c r="AC53" i="400"/>
  <c r="AC54" i="400"/>
  <c r="AC55" i="400"/>
  <c r="AC56" i="400"/>
  <c r="AC57" i="400"/>
  <c r="AC58" i="400"/>
  <c r="AC59" i="400"/>
  <c r="AC60" i="400"/>
  <c r="AC61" i="400"/>
  <c r="AC62" i="400"/>
  <c r="AC63" i="400"/>
  <c r="AC64" i="400"/>
  <c r="AC65" i="400"/>
  <c r="AC66" i="400"/>
  <c r="AC67" i="400"/>
  <c r="AC68" i="400"/>
  <c r="AC69" i="400"/>
  <c r="AC70" i="400"/>
  <c r="AC71" i="400"/>
  <c r="AC72" i="400"/>
  <c r="AC73" i="400"/>
  <c r="AC74" i="400"/>
  <c r="AC75" i="400"/>
  <c r="AC76" i="400"/>
  <c r="AC77" i="400"/>
  <c r="AC78" i="400"/>
  <c r="AC79" i="400"/>
  <c r="AC80" i="400"/>
  <c r="AC81" i="400"/>
  <c r="AC82" i="400"/>
  <c r="AC83" i="400"/>
  <c r="AC84" i="400"/>
  <c r="AC85" i="400"/>
  <c r="AC86" i="400"/>
  <c r="AB3" i="400"/>
  <c r="AB4" i="400"/>
  <c r="AB5" i="400"/>
  <c r="AB6" i="400"/>
  <c r="AB7" i="400"/>
  <c r="AB8" i="400"/>
  <c r="AB9" i="400"/>
  <c r="AB10" i="400"/>
  <c r="AB11" i="400"/>
  <c r="AB12" i="400"/>
  <c r="AB13" i="400"/>
  <c r="AB14" i="400"/>
  <c r="AB15" i="400"/>
  <c r="AB16" i="400"/>
  <c r="AB17" i="400"/>
  <c r="AB18" i="400"/>
  <c r="AB19" i="400"/>
  <c r="AB20" i="400"/>
  <c r="AB21" i="400"/>
  <c r="AB22" i="400"/>
  <c r="AB23" i="400"/>
  <c r="AB24" i="400"/>
  <c r="AB25" i="400"/>
  <c r="AB26" i="400"/>
  <c r="AB27" i="400"/>
  <c r="AB28" i="400"/>
  <c r="AB29" i="400"/>
  <c r="AB30" i="400"/>
  <c r="AB31" i="400"/>
  <c r="AB32" i="400"/>
  <c r="AB33" i="400"/>
  <c r="AB34" i="400"/>
  <c r="AB35" i="400"/>
  <c r="AB36" i="400"/>
  <c r="AB37" i="400"/>
  <c r="AB38" i="400"/>
  <c r="AB39" i="400"/>
  <c r="AB40" i="400"/>
  <c r="AB41" i="400"/>
  <c r="AB42" i="400"/>
  <c r="AB43" i="400"/>
  <c r="AB44" i="400"/>
  <c r="AB45" i="400"/>
  <c r="AB46" i="400"/>
  <c r="AB47" i="400"/>
  <c r="AB48" i="400"/>
  <c r="AB49" i="400"/>
  <c r="AB50" i="400"/>
  <c r="AB51" i="400"/>
  <c r="AB52" i="400"/>
  <c r="AB53" i="400"/>
  <c r="AB54" i="400"/>
  <c r="AB55" i="400"/>
  <c r="AB56" i="400"/>
  <c r="AB57" i="400"/>
  <c r="AB58" i="400"/>
  <c r="AB59" i="400"/>
  <c r="AB60" i="400"/>
  <c r="AB61" i="400"/>
  <c r="AB62" i="400"/>
  <c r="AB63" i="400"/>
  <c r="AB64" i="400"/>
  <c r="AB65" i="400"/>
  <c r="AB66" i="400"/>
  <c r="AB67" i="400"/>
  <c r="AB68" i="400"/>
  <c r="AB69" i="400"/>
  <c r="AB70" i="400"/>
  <c r="AB71" i="400"/>
  <c r="AB72" i="400"/>
  <c r="AB73" i="400"/>
  <c r="AB74" i="400"/>
  <c r="AB75" i="400"/>
  <c r="AB76" i="400"/>
  <c r="AB77" i="400"/>
  <c r="AB78" i="400"/>
  <c r="AB79" i="400"/>
  <c r="AB80" i="400"/>
  <c r="AB81" i="400"/>
  <c r="AB82" i="400"/>
  <c r="AB83" i="400"/>
  <c r="AB84" i="400"/>
  <c r="AB85" i="400"/>
  <c r="AB86" i="400"/>
  <c r="AA3" i="400"/>
  <c r="AA4" i="400"/>
  <c r="AA5" i="400"/>
  <c r="AA6" i="400"/>
  <c r="AA7" i="400"/>
  <c r="AA8" i="400"/>
  <c r="AA9" i="400"/>
  <c r="AA10" i="400"/>
  <c r="AA11" i="400"/>
  <c r="AA12" i="400"/>
  <c r="AA13" i="400"/>
  <c r="AA14" i="400"/>
  <c r="AA15" i="400"/>
  <c r="AA16" i="400"/>
  <c r="AA17" i="400"/>
  <c r="AA18" i="400"/>
  <c r="AA19" i="400"/>
  <c r="AA20" i="400"/>
  <c r="AA21" i="400"/>
  <c r="AA22" i="400"/>
  <c r="AA23" i="400"/>
  <c r="AA24" i="400"/>
  <c r="AA25" i="400"/>
  <c r="AA26" i="400"/>
  <c r="AA27" i="400"/>
  <c r="AA28" i="400"/>
  <c r="AA29" i="400"/>
  <c r="AA30" i="400"/>
  <c r="AA31" i="400"/>
  <c r="AA32" i="400"/>
  <c r="AA33" i="400"/>
  <c r="AA34" i="400"/>
  <c r="AA35" i="400"/>
  <c r="AA36" i="400"/>
  <c r="AA37" i="400"/>
  <c r="AA38" i="400"/>
  <c r="AA39" i="400"/>
  <c r="AA40" i="400"/>
  <c r="AA41" i="400"/>
  <c r="AA42" i="400"/>
  <c r="AA43" i="400"/>
  <c r="AA44" i="400"/>
  <c r="AA45" i="400"/>
  <c r="AA46" i="400"/>
  <c r="AA47" i="400"/>
  <c r="AA48" i="400"/>
  <c r="AA49" i="400"/>
  <c r="AA50" i="400"/>
  <c r="AA51" i="400"/>
  <c r="AA52" i="400"/>
  <c r="AA53" i="400"/>
  <c r="AA54" i="400"/>
  <c r="AA55" i="400"/>
  <c r="AA56" i="400"/>
  <c r="AA57" i="400"/>
  <c r="AA58" i="400"/>
  <c r="AA59" i="400"/>
  <c r="AA60" i="400"/>
  <c r="AA61" i="400"/>
  <c r="AA62" i="400"/>
  <c r="AA63" i="400"/>
  <c r="AA64" i="400"/>
  <c r="AA65" i="400"/>
  <c r="AA66" i="400"/>
  <c r="AA67" i="400"/>
  <c r="AA68" i="400"/>
  <c r="AA69" i="400"/>
  <c r="AA70" i="400"/>
  <c r="AA71" i="400"/>
  <c r="AA72" i="400"/>
  <c r="AA73" i="400"/>
  <c r="AA74" i="400"/>
  <c r="AA75" i="400"/>
  <c r="AA76" i="400"/>
  <c r="AA77" i="400"/>
  <c r="AA78" i="400"/>
  <c r="AA79" i="400"/>
  <c r="AA80" i="400"/>
  <c r="AA81" i="400"/>
  <c r="AA82" i="400"/>
  <c r="AA83" i="400"/>
  <c r="AA84" i="400"/>
  <c r="AA85" i="400"/>
  <c r="AA86" i="400"/>
  <c r="Z3" i="400"/>
  <c r="Z4" i="400"/>
  <c r="Z5" i="400"/>
  <c r="Z6" i="400"/>
  <c r="Z7" i="400"/>
  <c r="Z8" i="400"/>
  <c r="Z9" i="400"/>
  <c r="Z10" i="400"/>
  <c r="Z11" i="400"/>
  <c r="Z12" i="400"/>
  <c r="Z13" i="400"/>
  <c r="Z14" i="400"/>
  <c r="Z15" i="400"/>
  <c r="Z16" i="400"/>
  <c r="Z17" i="400"/>
  <c r="Z18" i="400"/>
  <c r="Z19" i="400"/>
  <c r="Z20" i="400"/>
  <c r="Z21" i="400"/>
  <c r="Z22" i="400"/>
  <c r="Z23" i="400"/>
  <c r="Z24" i="400"/>
  <c r="Z25" i="400"/>
  <c r="Z26" i="400"/>
  <c r="Z27" i="400"/>
  <c r="Z28" i="400"/>
  <c r="Z29" i="400"/>
  <c r="Z30" i="400"/>
  <c r="Z31" i="400"/>
  <c r="Z32" i="400"/>
  <c r="Z33" i="400"/>
  <c r="Z34" i="400"/>
  <c r="Z35" i="400"/>
  <c r="Z36" i="400"/>
  <c r="Z37" i="400"/>
  <c r="Z38" i="400"/>
  <c r="Z39" i="400"/>
  <c r="Z40" i="400"/>
  <c r="Z41" i="400"/>
  <c r="Z42" i="400"/>
  <c r="Z43" i="400"/>
  <c r="Z44" i="400"/>
  <c r="Z45" i="400"/>
  <c r="Z46" i="400"/>
  <c r="Z47" i="400"/>
  <c r="Z48" i="400"/>
  <c r="Z49" i="400"/>
  <c r="Z50" i="400"/>
  <c r="Z51" i="400"/>
  <c r="Z52" i="400"/>
  <c r="Z53" i="400"/>
  <c r="Z54" i="400"/>
  <c r="Z55" i="400"/>
  <c r="Z56" i="400"/>
  <c r="Z57" i="400"/>
  <c r="Z58" i="400"/>
  <c r="Z59" i="400"/>
  <c r="Z60" i="400"/>
  <c r="Z61" i="400"/>
  <c r="Z62" i="400"/>
  <c r="Z63" i="400"/>
  <c r="Z64" i="400"/>
  <c r="Z65" i="400"/>
  <c r="Z66" i="400"/>
  <c r="Z67" i="400"/>
  <c r="Z68" i="400"/>
  <c r="Z69" i="400"/>
  <c r="Z70" i="400"/>
  <c r="Z71" i="400"/>
  <c r="Z72" i="400"/>
  <c r="Z73" i="400"/>
  <c r="Z74" i="400"/>
  <c r="Z75" i="400"/>
  <c r="Z76" i="400"/>
  <c r="Z77" i="400"/>
  <c r="Z78" i="400"/>
  <c r="Z79" i="400"/>
  <c r="Z80" i="400"/>
  <c r="Z81" i="400"/>
  <c r="Z82" i="400"/>
  <c r="Z83" i="400"/>
  <c r="Z84" i="400"/>
  <c r="Z85" i="400"/>
  <c r="Z86" i="400"/>
  <c r="Y3" i="400"/>
  <c r="Y4" i="400"/>
  <c r="Y5" i="400"/>
  <c r="Y6" i="400"/>
  <c r="Y7" i="400"/>
  <c r="Y8" i="400"/>
  <c r="Y9" i="400"/>
  <c r="Y10" i="400"/>
  <c r="Y11" i="400"/>
  <c r="Y12" i="400"/>
  <c r="Y13" i="400"/>
  <c r="Y14" i="400"/>
  <c r="Y15" i="400"/>
  <c r="Y16" i="400"/>
  <c r="Y17" i="400"/>
  <c r="Y18" i="400"/>
  <c r="Y19" i="400"/>
  <c r="Y20" i="400"/>
  <c r="Y21" i="400"/>
  <c r="Y22" i="400"/>
  <c r="Y23" i="400"/>
  <c r="Y24" i="400"/>
  <c r="Y25" i="400"/>
  <c r="Y26" i="400"/>
  <c r="Y27" i="400"/>
  <c r="Y28" i="400"/>
  <c r="Y29" i="400"/>
  <c r="Y30" i="400"/>
  <c r="Y31" i="400"/>
  <c r="Y32" i="400"/>
  <c r="Y33" i="400"/>
  <c r="Y34" i="400"/>
  <c r="Y35" i="400"/>
  <c r="Y36" i="400"/>
  <c r="Y37" i="400"/>
  <c r="Y38" i="400"/>
  <c r="Y39" i="400"/>
  <c r="Y40" i="400"/>
  <c r="Y41" i="400"/>
  <c r="Y42" i="400"/>
  <c r="Y43" i="400"/>
  <c r="Y44" i="400"/>
  <c r="Y45" i="400"/>
  <c r="Y46" i="400"/>
  <c r="Y47" i="400"/>
  <c r="Y48" i="400"/>
  <c r="Y49" i="400"/>
  <c r="Y50" i="400"/>
  <c r="Y51" i="400"/>
  <c r="Y52" i="400"/>
  <c r="Y53" i="400"/>
  <c r="Y54" i="400"/>
  <c r="Y55" i="400"/>
  <c r="Y56" i="400"/>
  <c r="Y57" i="400"/>
  <c r="Y58" i="400"/>
  <c r="Y59" i="400"/>
  <c r="Y60" i="400"/>
  <c r="Y61" i="400"/>
  <c r="Y62" i="400"/>
  <c r="Y63" i="400"/>
  <c r="Y64" i="400"/>
  <c r="Y65" i="400"/>
  <c r="Y66" i="400"/>
  <c r="Y67" i="400"/>
  <c r="Y68" i="400"/>
  <c r="Y69" i="400"/>
  <c r="Y70" i="400"/>
  <c r="Y71" i="400"/>
  <c r="Y72" i="400"/>
  <c r="Y73" i="400"/>
  <c r="Y74" i="400"/>
  <c r="Y75" i="400"/>
  <c r="Y76" i="400"/>
  <c r="Y77" i="400"/>
  <c r="Y78" i="400"/>
  <c r="Y79" i="400"/>
  <c r="Y80" i="400"/>
  <c r="Y81" i="400"/>
  <c r="Y82" i="400"/>
  <c r="Y83" i="400"/>
  <c r="Y84" i="400"/>
  <c r="Y85" i="400"/>
  <c r="Y86" i="400"/>
  <c r="X3" i="400"/>
  <c r="X4" i="400"/>
  <c r="X5" i="400"/>
  <c r="X6" i="400"/>
  <c r="X7" i="400"/>
  <c r="X8" i="400"/>
  <c r="X9" i="400"/>
  <c r="X10" i="400"/>
  <c r="X11" i="400"/>
  <c r="X12" i="400"/>
  <c r="X13" i="400"/>
  <c r="X14" i="400"/>
  <c r="X15" i="400"/>
  <c r="X16" i="400"/>
  <c r="X17" i="400"/>
  <c r="X18" i="400"/>
  <c r="X19" i="400"/>
  <c r="X20" i="400"/>
  <c r="X21" i="400"/>
  <c r="X22" i="400"/>
  <c r="X23" i="400"/>
  <c r="X24" i="400"/>
  <c r="X25" i="400"/>
  <c r="X26" i="400"/>
  <c r="X27" i="400"/>
  <c r="X28" i="400"/>
  <c r="X29" i="400"/>
  <c r="X30" i="400"/>
  <c r="X31" i="400"/>
  <c r="X32" i="400"/>
  <c r="X33" i="400"/>
  <c r="X34" i="400"/>
  <c r="X35" i="400"/>
  <c r="X36" i="400"/>
  <c r="X37" i="400"/>
  <c r="X38" i="400"/>
  <c r="X39" i="400"/>
  <c r="X40" i="400"/>
  <c r="X41" i="400"/>
  <c r="X42" i="400"/>
  <c r="X43" i="400"/>
  <c r="X44" i="400"/>
  <c r="X45" i="400"/>
  <c r="X46" i="400"/>
  <c r="X47" i="400"/>
  <c r="X48" i="400"/>
  <c r="X49" i="400"/>
  <c r="X50" i="400"/>
  <c r="X51" i="400"/>
  <c r="X52" i="400"/>
  <c r="X53" i="400"/>
  <c r="X54" i="400"/>
  <c r="X55" i="400"/>
  <c r="X56" i="400"/>
  <c r="X57" i="400"/>
  <c r="X58" i="400"/>
  <c r="X59" i="400"/>
  <c r="X60" i="400"/>
  <c r="X61" i="400"/>
  <c r="X62" i="400"/>
  <c r="X63" i="400"/>
  <c r="X64" i="400"/>
  <c r="X65" i="400"/>
  <c r="X66" i="400"/>
  <c r="X67" i="400"/>
  <c r="X68" i="400"/>
  <c r="X69" i="400"/>
  <c r="X70" i="400"/>
  <c r="X71" i="400"/>
  <c r="X72" i="400"/>
  <c r="X73" i="400"/>
  <c r="X74" i="400"/>
  <c r="X75" i="400"/>
  <c r="X76" i="400"/>
  <c r="X77" i="400"/>
  <c r="X78" i="400"/>
  <c r="X79" i="400"/>
  <c r="X80" i="400"/>
  <c r="X81" i="400"/>
  <c r="X82" i="400"/>
  <c r="X83" i="400"/>
  <c r="X84" i="400"/>
  <c r="X85" i="400"/>
  <c r="X86" i="400"/>
  <c r="W3" i="400"/>
  <c r="W4" i="400"/>
  <c r="W5" i="400"/>
  <c r="W6" i="400"/>
  <c r="W7" i="400"/>
  <c r="W8" i="400"/>
  <c r="W9" i="400"/>
  <c r="W10" i="400"/>
  <c r="W11" i="400"/>
  <c r="W12" i="400"/>
  <c r="W13" i="400"/>
  <c r="W14" i="400"/>
  <c r="W15" i="400"/>
  <c r="W16" i="400"/>
  <c r="W17" i="400"/>
  <c r="W18" i="400"/>
  <c r="W19" i="400"/>
  <c r="W20" i="400"/>
  <c r="W21" i="400"/>
  <c r="W22" i="400"/>
  <c r="W23" i="400"/>
  <c r="W24" i="400"/>
  <c r="W25" i="400"/>
  <c r="W26" i="400"/>
  <c r="W27" i="400"/>
  <c r="W28" i="400"/>
  <c r="W29" i="400"/>
  <c r="W30" i="400"/>
  <c r="W31" i="400"/>
  <c r="W32" i="400"/>
  <c r="W33" i="400"/>
  <c r="W34" i="400"/>
  <c r="W35" i="400"/>
  <c r="W36" i="400"/>
  <c r="W37" i="400"/>
  <c r="W38" i="400"/>
  <c r="W39" i="400"/>
  <c r="W40" i="400"/>
  <c r="W41" i="400"/>
  <c r="W42" i="400"/>
  <c r="W43" i="400"/>
  <c r="W44" i="400"/>
  <c r="W45" i="400"/>
  <c r="W46" i="400"/>
  <c r="W47" i="400"/>
  <c r="W48" i="400"/>
  <c r="W49" i="400"/>
  <c r="W50" i="400"/>
  <c r="W51" i="400"/>
  <c r="W52" i="400"/>
  <c r="W53" i="400"/>
  <c r="W54" i="400"/>
  <c r="W55" i="400"/>
  <c r="W56" i="400"/>
  <c r="W57" i="400"/>
  <c r="W58" i="400"/>
  <c r="W59" i="400"/>
  <c r="W60" i="400"/>
  <c r="W61" i="400"/>
  <c r="W62" i="400"/>
  <c r="W63" i="400"/>
  <c r="W64" i="400"/>
  <c r="W65" i="400"/>
  <c r="W66" i="400"/>
  <c r="W67" i="400"/>
  <c r="W68" i="400"/>
  <c r="W69" i="400"/>
  <c r="W70" i="400"/>
  <c r="W71" i="400"/>
  <c r="W72" i="400"/>
  <c r="W73" i="400"/>
  <c r="W74" i="400"/>
  <c r="W75" i="400"/>
  <c r="W76" i="400"/>
  <c r="W77" i="400"/>
  <c r="W78" i="400"/>
  <c r="W79" i="400"/>
  <c r="W80" i="400"/>
  <c r="W81" i="400"/>
  <c r="W82" i="400"/>
  <c r="W83" i="400"/>
  <c r="W84" i="400"/>
  <c r="W85" i="400"/>
  <c r="W86" i="400"/>
  <c r="V3" i="400"/>
  <c r="V4" i="400"/>
  <c r="V5" i="400"/>
  <c r="V6" i="400"/>
  <c r="V7" i="400"/>
  <c r="V8" i="400"/>
  <c r="V9" i="400"/>
  <c r="V10" i="400"/>
  <c r="V11" i="400"/>
  <c r="V12" i="400"/>
  <c r="V13" i="400"/>
  <c r="V14" i="400"/>
  <c r="V15" i="400"/>
  <c r="V16" i="400"/>
  <c r="V17" i="400"/>
  <c r="V18" i="400"/>
  <c r="V19" i="400"/>
  <c r="V20" i="400"/>
  <c r="V21" i="400"/>
  <c r="V22" i="400"/>
  <c r="V23" i="400"/>
  <c r="V24" i="400"/>
  <c r="V25" i="400"/>
  <c r="V26" i="400"/>
  <c r="V27" i="400"/>
  <c r="V28" i="400"/>
  <c r="V29" i="400"/>
  <c r="V30" i="400"/>
  <c r="V31" i="400"/>
  <c r="V32" i="400"/>
  <c r="V33" i="400"/>
  <c r="V34" i="400"/>
  <c r="V35" i="400"/>
  <c r="V36" i="400"/>
  <c r="V37" i="400"/>
  <c r="V38" i="400"/>
  <c r="V39" i="400"/>
  <c r="V40" i="400"/>
  <c r="V41" i="400"/>
  <c r="V42" i="400"/>
  <c r="V43" i="400"/>
  <c r="V44" i="400"/>
  <c r="V45" i="400"/>
  <c r="V46" i="400"/>
  <c r="V47" i="400"/>
  <c r="V48" i="400"/>
  <c r="V49" i="400"/>
  <c r="V50" i="400"/>
  <c r="V51" i="400"/>
  <c r="V52" i="400"/>
  <c r="V53" i="400"/>
  <c r="V54" i="400"/>
  <c r="V55" i="400"/>
  <c r="V56" i="400"/>
  <c r="V57" i="400"/>
  <c r="V58" i="400"/>
  <c r="V59" i="400"/>
  <c r="V60" i="400"/>
  <c r="V61" i="400"/>
  <c r="V62" i="400"/>
  <c r="V63" i="400"/>
  <c r="V64" i="400"/>
  <c r="V65" i="400"/>
  <c r="V66" i="400"/>
  <c r="V67" i="400"/>
  <c r="V68" i="400"/>
  <c r="V69" i="400"/>
  <c r="V70" i="400"/>
  <c r="V71" i="400"/>
  <c r="V72" i="400"/>
  <c r="V73" i="400"/>
  <c r="V74" i="400"/>
  <c r="V75" i="400"/>
  <c r="V76" i="400"/>
  <c r="V77" i="400"/>
  <c r="V78" i="400"/>
  <c r="V79" i="400"/>
  <c r="V80" i="400"/>
  <c r="V81" i="400"/>
  <c r="V82" i="400"/>
  <c r="V83" i="400"/>
  <c r="V84" i="400"/>
  <c r="V85" i="400"/>
  <c r="V86" i="400"/>
  <c r="U3" i="400"/>
  <c r="U4" i="400"/>
  <c r="U5" i="400"/>
  <c r="U6" i="400"/>
  <c r="U7" i="400"/>
  <c r="U8" i="400"/>
  <c r="U9" i="400"/>
  <c r="U10" i="400"/>
  <c r="U11" i="400"/>
  <c r="U12" i="400"/>
  <c r="U13" i="400"/>
  <c r="U14" i="400"/>
  <c r="U15" i="400"/>
  <c r="U16" i="400"/>
  <c r="U17" i="400"/>
  <c r="U18" i="400"/>
  <c r="U19" i="400"/>
  <c r="U20" i="400"/>
  <c r="U21" i="400"/>
  <c r="U22" i="400"/>
  <c r="U23" i="400"/>
  <c r="U24" i="400"/>
  <c r="U25" i="400"/>
  <c r="U26" i="400"/>
  <c r="U27" i="400"/>
  <c r="U28" i="400"/>
  <c r="U29" i="400"/>
  <c r="U30" i="400"/>
  <c r="U31" i="400"/>
  <c r="U32" i="400"/>
  <c r="U33" i="400"/>
  <c r="U34" i="400"/>
  <c r="U35" i="400"/>
  <c r="U36" i="400"/>
  <c r="U37" i="400"/>
  <c r="U38" i="400"/>
  <c r="U39" i="400"/>
  <c r="U40" i="400"/>
  <c r="U41" i="400"/>
  <c r="U42" i="400"/>
  <c r="U43" i="400"/>
  <c r="U44" i="400"/>
  <c r="U45" i="400"/>
  <c r="U46" i="400"/>
  <c r="U47" i="400"/>
  <c r="U48" i="400"/>
  <c r="U49" i="400"/>
  <c r="U50" i="400"/>
  <c r="U51" i="400"/>
  <c r="U52" i="400"/>
  <c r="U53" i="400"/>
  <c r="U54" i="400"/>
  <c r="U55" i="400"/>
  <c r="U56" i="400"/>
  <c r="U57" i="400"/>
  <c r="U58" i="400"/>
  <c r="U59" i="400"/>
  <c r="U60" i="400"/>
  <c r="U61" i="400"/>
  <c r="U62" i="400"/>
  <c r="U63" i="400"/>
  <c r="U64" i="400"/>
  <c r="U65" i="400"/>
  <c r="U66" i="400"/>
  <c r="U67" i="400"/>
  <c r="U68" i="400"/>
  <c r="U69" i="400"/>
  <c r="U70" i="400"/>
  <c r="U71" i="400"/>
  <c r="U72" i="400"/>
  <c r="U73" i="400"/>
  <c r="U74" i="400"/>
  <c r="U75" i="400"/>
  <c r="U76" i="400"/>
  <c r="U77" i="400"/>
  <c r="U78" i="400"/>
  <c r="U79" i="400"/>
  <c r="U80" i="400"/>
  <c r="U81" i="400"/>
  <c r="U82" i="400"/>
  <c r="U83" i="400"/>
  <c r="U84" i="400"/>
  <c r="U85" i="400"/>
  <c r="U86" i="400"/>
  <c r="T3" i="400"/>
  <c r="AE3" i="400" s="1"/>
  <c r="T4" i="400"/>
  <c r="T5" i="400"/>
  <c r="T6" i="400"/>
  <c r="AE6" i="400" s="1"/>
  <c r="T7" i="400"/>
  <c r="AE7" i="400" s="1"/>
  <c r="T8" i="400"/>
  <c r="T9" i="400"/>
  <c r="T10" i="400"/>
  <c r="AE10" i="400" s="1"/>
  <c r="T11" i="400"/>
  <c r="T12" i="400"/>
  <c r="T13" i="400"/>
  <c r="T14" i="400"/>
  <c r="AE14" i="400" s="1"/>
  <c r="T15" i="400"/>
  <c r="AE15" i="400" s="1"/>
  <c r="T16" i="400"/>
  <c r="T17" i="400"/>
  <c r="T18" i="400"/>
  <c r="AE18" i="400" s="1"/>
  <c r="T19" i="400"/>
  <c r="AE19" i="400" s="1"/>
  <c r="T20" i="400"/>
  <c r="AE20" i="400" s="1"/>
  <c r="T21" i="400"/>
  <c r="AE21" i="400" s="1"/>
  <c r="T22" i="400"/>
  <c r="AE22" i="400" s="1"/>
  <c r="T23" i="400"/>
  <c r="AE23" i="400" s="1"/>
  <c r="T24" i="400"/>
  <c r="AE24" i="400" s="1"/>
  <c r="T25" i="400"/>
  <c r="T26" i="400"/>
  <c r="T27" i="400"/>
  <c r="T28" i="400"/>
  <c r="T29" i="400"/>
  <c r="T30" i="400"/>
  <c r="AE30" i="400" s="1"/>
  <c r="T31" i="400"/>
  <c r="AE31" i="400" s="1"/>
  <c r="T32" i="400"/>
  <c r="T33" i="400"/>
  <c r="T34" i="400"/>
  <c r="AE34" i="400" s="1"/>
  <c r="T35" i="400"/>
  <c r="T36" i="400"/>
  <c r="AE36" i="400" s="1"/>
  <c r="T37" i="400"/>
  <c r="AE37" i="400" s="1"/>
  <c r="T38" i="400"/>
  <c r="T39" i="400"/>
  <c r="T40" i="400"/>
  <c r="T41" i="400"/>
  <c r="T42" i="400"/>
  <c r="AE42" i="400" s="1"/>
  <c r="T43" i="400"/>
  <c r="AE43" i="400" s="1"/>
  <c r="T44" i="400"/>
  <c r="AE44" i="400" s="1"/>
  <c r="T45" i="400"/>
  <c r="AE45" i="400" s="1"/>
  <c r="T46" i="400"/>
  <c r="AE46" i="400" s="1"/>
  <c r="T47" i="400"/>
  <c r="T48" i="400"/>
  <c r="AE48" i="400" s="1"/>
  <c r="T49" i="400"/>
  <c r="T50" i="400"/>
  <c r="T51" i="400"/>
  <c r="T52" i="400"/>
  <c r="T53" i="400"/>
  <c r="T54" i="400"/>
  <c r="T55" i="400"/>
  <c r="AE55" i="400" s="1"/>
  <c r="T56" i="400"/>
  <c r="AE56" i="400" s="1"/>
  <c r="T57" i="400"/>
  <c r="AE57" i="400" s="1"/>
  <c r="T58" i="400"/>
  <c r="AE58" i="400" s="1"/>
  <c r="T59" i="400"/>
  <c r="T60" i="400"/>
  <c r="T61" i="400"/>
  <c r="T62" i="400"/>
  <c r="AE62" i="400" s="1"/>
  <c r="T63" i="400"/>
  <c r="T64" i="400"/>
  <c r="T65" i="400"/>
  <c r="T66" i="400"/>
  <c r="AE66" i="400" s="1"/>
  <c r="T67" i="400"/>
  <c r="AE67" i="400" s="1"/>
  <c r="T68" i="400"/>
  <c r="AE68" i="400" s="1"/>
  <c r="T69" i="400"/>
  <c r="AE69" i="400" s="1"/>
  <c r="T70" i="400"/>
  <c r="AE70" i="400" s="1"/>
  <c r="T71" i="400"/>
  <c r="T72" i="400"/>
  <c r="T73" i="400"/>
  <c r="AE73" i="400" s="1"/>
  <c r="T74" i="400"/>
  <c r="T75" i="400"/>
  <c r="AE75" i="400" s="1"/>
  <c r="T76" i="400"/>
  <c r="T77" i="400"/>
  <c r="T78" i="400"/>
  <c r="AE78" i="400" s="1"/>
  <c r="T79" i="400"/>
  <c r="AE79" i="400" s="1"/>
  <c r="T80" i="400"/>
  <c r="AE80" i="400" s="1"/>
  <c r="T81" i="400"/>
  <c r="AE81" i="400" s="1"/>
  <c r="T82" i="400"/>
  <c r="AE82" i="400" s="1"/>
  <c r="T83" i="400"/>
  <c r="AE83" i="400" s="1"/>
  <c r="T84" i="400"/>
  <c r="AE84" i="400" s="1"/>
  <c r="T85" i="400"/>
  <c r="T86" i="400"/>
  <c r="X3" i="399"/>
  <c r="X4" i="399"/>
  <c r="X5" i="399"/>
  <c r="X6" i="399"/>
  <c r="X7" i="399"/>
  <c r="X8" i="399"/>
  <c r="X9" i="399"/>
  <c r="X10" i="399"/>
  <c r="X11" i="399"/>
  <c r="X12" i="399"/>
  <c r="X13" i="399"/>
  <c r="X14" i="399"/>
  <c r="X15" i="399"/>
  <c r="X16" i="399"/>
  <c r="X17" i="399"/>
  <c r="X18" i="399"/>
  <c r="X19" i="399"/>
  <c r="X20" i="399"/>
  <c r="W3" i="399"/>
  <c r="W4" i="399"/>
  <c r="W5" i="399"/>
  <c r="W6" i="399"/>
  <c r="W7" i="399"/>
  <c r="W8" i="399"/>
  <c r="W9" i="399"/>
  <c r="W10" i="399"/>
  <c r="W11" i="399"/>
  <c r="W12" i="399"/>
  <c r="W13" i="399"/>
  <c r="W14" i="399"/>
  <c r="W15" i="399"/>
  <c r="W16" i="399"/>
  <c r="W17" i="399"/>
  <c r="W18" i="399"/>
  <c r="W19" i="399"/>
  <c r="W20" i="399"/>
  <c r="V3" i="399"/>
  <c r="V4" i="399"/>
  <c r="V5" i="399"/>
  <c r="V6" i="399"/>
  <c r="V7" i="399"/>
  <c r="V8" i="399"/>
  <c r="V9" i="399"/>
  <c r="V10" i="399"/>
  <c r="V11" i="399"/>
  <c r="V12" i="399"/>
  <c r="V13" i="399"/>
  <c r="V14" i="399"/>
  <c r="V15" i="399"/>
  <c r="V16" i="399"/>
  <c r="V17" i="399"/>
  <c r="V18" i="399"/>
  <c r="V19" i="399"/>
  <c r="V20" i="399"/>
  <c r="U3" i="399"/>
  <c r="U4" i="399"/>
  <c r="U5" i="399"/>
  <c r="U6" i="399"/>
  <c r="U7" i="399"/>
  <c r="U8" i="399"/>
  <c r="U9" i="399"/>
  <c r="U10" i="399"/>
  <c r="U11" i="399"/>
  <c r="U12" i="399"/>
  <c r="U13" i="399"/>
  <c r="U14" i="399"/>
  <c r="U15" i="399"/>
  <c r="U16" i="399"/>
  <c r="U17" i="399"/>
  <c r="U18" i="399"/>
  <c r="U19" i="399"/>
  <c r="U20" i="399"/>
  <c r="T3" i="399"/>
  <c r="T4" i="399"/>
  <c r="T5" i="399"/>
  <c r="T6" i="399"/>
  <c r="T7" i="399"/>
  <c r="T8" i="399"/>
  <c r="T9" i="399"/>
  <c r="T10" i="399"/>
  <c r="T11" i="399"/>
  <c r="T12" i="399"/>
  <c r="T13" i="399"/>
  <c r="T14" i="399"/>
  <c r="T15" i="399"/>
  <c r="T16" i="399"/>
  <c r="T17" i="399"/>
  <c r="T18" i="399"/>
  <c r="T19" i="399"/>
  <c r="T20" i="399"/>
  <c r="S3" i="399"/>
  <c r="S4" i="399"/>
  <c r="S5" i="399"/>
  <c r="S6" i="399"/>
  <c r="S7" i="399"/>
  <c r="S8" i="399"/>
  <c r="S9" i="399"/>
  <c r="S10" i="399"/>
  <c r="S11" i="399"/>
  <c r="S12" i="399"/>
  <c r="S13" i="399"/>
  <c r="S14" i="399"/>
  <c r="S15" i="399"/>
  <c r="S16" i="399"/>
  <c r="S17" i="399"/>
  <c r="S18" i="399"/>
  <c r="S19" i="399"/>
  <c r="S20" i="399"/>
  <c r="R3" i="399"/>
  <c r="R4" i="399"/>
  <c r="R5" i="399"/>
  <c r="R6" i="399"/>
  <c r="R7" i="399"/>
  <c r="R8" i="399"/>
  <c r="R9" i="399"/>
  <c r="R10" i="399"/>
  <c r="R11" i="399"/>
  <c r="R12" i="399"/>
  <c r="R13" i="399"/>
  <c r="R14" i="399"/>
  <c r="R15" i="399"/>
  <c r="R16" i="399"/>
  <c r="R17" i="399"/>
  <c r="R18" i="399"/>
  <c r="R19" i="399"/>
  <c r="R20" i="399"/>
  <c r="Q3" i="399"/>
  <c r="Q4" i="399"/>
  <c r="Q5" i="399"/>
  <c r="Q6" i="399"/>
  <c r="Q7" i="399"/>
  <c r="Q8" i="399"/>
  <c r="Q9" i="399"/>
  <c r="Q10" i="399"/>
  <c r="Q11" i="399"/>
  <c r="Q12" i="399"/>
  <c r="Q13" i="399"/>
  <c r="Q14" i="399"/>
  <c r="Q15" i="399"/>
  <c r="Q16" i="399"/>
  <c r="Q17" i="399"/>
  <c r="Q18" i="399"/>
  <c r="Q19" i="399"/>
  <c r="Q20" i="399"/>
  <c r="P3" i="399"/>
  <c r="P4" i="399"/>
  <c r="P5" i="399"/>
  <c r="P6" i="399"/>
  <c r="P7" i="399"/>
  <c r="P8" i="399"/>
  <c r="P9" i="399"/>
  <c r="P10" i="399"/>
  <c r="P11" i="399"/>
  <c r="P12" i="399"/>
  <c r="P13" i="399"/>
  <c r="P14" i="399"/>
  <c r="P15" i="399"/>
  <c r="P16" i="399"/>
  <c r="P17" i="399"/>
  <c r="P18" i="399"/>
  <c r="P19" i="399"/>
  <c r="P20" i="399"/>
  <c r="O3" i="399"/>
  <c r="O4" i="399"/>
  <c r="O5" i="399"/>
  <c r="O6" i="399"/>
  <c r="O7" i="399"/>
  <c r="O8" i="399"/>
  <c r="O9" i="399"/>
  <c r="O10" i="399"/>
  <c r="O11" i="399"/>
  <c r="O12" i="399"/>
  <c r="O13" i="399"/>
  <c r="O14" i="399"/>
  <c r="O15" i="399"/>
  <c r="O16" i="399"/>
  <c r="O17" i="399"/>
  <c r="O18" i="399"/>
  <c r="O19" i="399"/>
  <c r="O20" i="399"/>
  <c r="AE61" i="400" l="1"/>
  <c r="AE85" i="400"/>
  <c r="AE72" i="400"/>
  <c r="AE76" i="400"/>
  <c r="AE32" i="400"/>
  <c r="AE77" i="400"/>
  <c r="AE65" i="400"/>
  <c r="AE33" i="400"/>
  <c r="AE8" i="400"/>
  <c r="AE60" i="400"/>
  <c r="AE71" i="400"/>
  <c r="AE40" i="400"/>
  <c r="AE26" i="400"/>
  <c r="AE29" i="400"/>
  <c r="AE74" i="400"/>
  <c r="AE39" i="400"/>
  <c r="AE64" i="400"/>
  <c r="AE25" i="400"/>
  <c r="AE50" i="400"/>
  <c r="AE35" i="400"/>
  <c r="AE59" i="400"/>
  <c r="AE38" i="400"/>
  <c r="AE49" i="400"/>
  <c r="AE63" i="400"/>
  <c r="AE13" i="400"/>
  <c r="AE12" i="400"/>
  <c r="AE9" i="400"/>
  <c r="AE17" i="400"/>
  <c r="AE54" i="400"/>
  <c r="AE11" i="400"/>
  <c r="AE53" i="400"/>
  <c r="AE47" i="400"/>
  <c r="AE52" i="400"/>
  <c r="AE41" i="400"/>
  <c r="AE5" i="400"/>
  <c r="AE4" i="400"/>
  <c r="AE16" i="400"/>
  <c r="AE28" i="400"/>
  <c r="AE27" i="400"/>
  <c r="AE51" i="400"/>
  <c r="AE86" i="400"/>
  <c r="Y3" i="399"/>
  <c r="Y14" i="399"/>
  <c r="Y13" i="399"/>
  <c r="Y12" i="399"/>
  <c r="Y11" i="399"/>
  <c r="Y10" i="399"/>
  <c r="Y9" i="399"/>
  <c r="Y20" i="399"/>
  <c r="Y8" i="399"/>
  <c r="Y19" i="399"/>
  <c r="Y7" i="399"/>
  <c r="Y18" i="399"/>
  <c r="Y6" i="399"/>
  <c r="Y17" i="399"/>
  <c r="Y5" i="399"/>
  <c r="Y16" i="399"/>
  <c r="Y4" i="399"/>
  <c r="Y15" i="399"/>
  <c r="C12" i="135" l="1"/>
  <c r="C2" i="135" s="1"/>
  <c r="C6" i="135"/>
  <c r="C1" i="135" l="1"/>
  <c r="C3" i="135" s="1"/>
  <c r="D12" i="128"/>
  <c r="D8" i="128" l="1"/>
  <c r="C8" i="128"/>
  <c r="D6" i="128"/>
  <c r="C9" i="128" l="1"/>
  <c r="C10" i="1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441B312D-7B92-4A21-9ACB-D821FA6A55EF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5" authorId="0" shapeId="0" xr:uid="{0CECE221-145A-40CA-B243-D8E586588CC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91797E42-83DE-4053-A6F3-1745D0A3AC0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2E7E1D22-7FB4-4534-B057-CF59D9C607A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68BDC588-7A5E-4628-A387-59E9F9C78855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5" authorId="0" shapeId="0" xr:uid="{38A86AE9-F503-4127-993F-C38AFC59D185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5" authorId="0" shapeId="0" xr:uid="{254F3CBC-4853-43DE-ABC9-0B7A65DAF6E7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5" authorId="0" shapeId="0" xr:uid="{6C50DAA1-A5AB-4197-BD62-26E224EB29B4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5" authorId="0" shapeId="0" xr:uid="{52F76A4E-499E-4578-B10D-FA8778CCC63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5" authorId="0" shapeId="0" xr:uid="{DD054138-98AA-4926-A76F-1684D02008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A9" authorId="0" shapeId="0" xr:uid="{56B750AC-A798-4661-A2F7-78232D3335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9" authorId="0" shapeId="0" xr:uid="{1EEA75A3-F4EC-4583-86E1-F06E868272D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9" authorId="0" shapeId="0" xr:uid="{BD1DB251-1574-46CC-910D-7C033C4867D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9" authorId="0" shapeId="0" xr:uid="{F8D016AA-688E-4C9B-9C6B-A9AD1FB3E9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9" authorId="0" shapeId="0" xr:uid="{2DF32DA4-E0EF-406E-BD40-CE69E58D70DF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9" authorId="0" shapeId="0" xr:uid="{449709B8-6C87-4B58-B64B-651AF54743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9" authorId="0" shapeId="0" xr:uid="{518DD39C-9ABB-4000-8114-AD14AC22BF89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9" authorId="0" shapeId="0" xr:uid="{056B7910-D246-4A6E-884E-C5EB400C98B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9" authorId="0" shapeId="0" xr:uid="{33CDE04C-6266-4C8E-B5D5-D434A1C8091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9" authorId="0" shapeId="0" xr:uid="{57D979EB-82F8-4F2F-974C-5512A488897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A13" authorId="0" shapeId="0" xr:uid="{7311CBC3-7FA3-4D07-BC9C-F3CB1DB1C40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13" authorId="0" shapeId="0" xr:uid="{4317AA2B-C17D-4D0F-8284-E9B57FCC32D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13" authorId="0" shapeId="0" xr:uid="{8984DF57-9D25-4C57-802A-0D8B73DD515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13" authorId="0" shapeId="0" xr:uid="{ED0559CE-E6BA-4EA4-9DD8-AFA9B62C9A4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13" authorId="0" shapeId="0" xr:uid="{5D3DD582-4BAE-444C-8EC0-F60329E034FA}">
      <text>
        <r>
          <rPr>
            <b/>
            <sz val="9"/>
            <color indexed="81"/>
            <rFont val="Tahoma"/>
            <family val="2"/>
          </rPr>
          <t>WAJIB diisi
Diisi dengan KodeSatuan sesuai dengan CEISA</t>
        </r>
      </text>
    </comment>
    <comment ref="J13" authorId="0" shapeId="0" xr:uid="{1857461B-EACD-4DA3-A766-1C910FD95B9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13" authorId="0" shapeId="0" xr:uid="{8AF5D71C-2D9F-4C55-A81B-3516DD9D1A70}">
      <text>
        <r>
          <rPr>
            <b/>
            <sz val="9"/>
            <color indexed="81"/>
            <rFont val="Tahoma"/>
            <family val="2"/>
          </rPr>
          <t>WAJIB diisi
Diisi dengan KodeKemasan sesuai dengan CEISA</t>
        </r>
      </text>
    </comment>
    <comment ref="L13" authorId="0" shapeId="0" xr:uid="{18C1CAD7-822D-46AB-B42D-76DC13B9D381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M13" authorId="0" shapeId="0" xr:uid="{C02E1196-34CE-4CEE-A935-CB7FE3294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N13" authorId="0" shapeId="0" xr:uid="{67BF6461-90BF-4600-9099-5BA7784117D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5" authorId="0" shapeId="0" xr:uid="{A6F33F42-5302-4DDF-BBBF-0BB20877CF5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5" authorId="0" shapeId="0" xr:uid="{66CC0AF0-4A26-4D94-8906-0D35531915B8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5" authorId="0" shapeId="0" xr:uid="{69E8DBA3-2C06-4C51-A22E-1D41FDD4317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5" authorId="0" shapeId="0" xr:uid="{416C2B0B-7792-435A-825F-26594418FD0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5" authorId="0" shapeId="0" xr:uid="{9679162D-EE24-4531-8A89-FBECF85AC7D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5" authorId="0" shapeId="0" xr:uid="{C02F6FC3-579E-4DBE-8F5B-93F04AE08ECA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5" authorId="0" shapeId="0" xr:uid="{020BA21E-DD78-428F-88BA-6E5003E0583A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5" authorId="0" shapeId="0" xr:uid="{FA9C9EEB-952E-46A2-BA00-64C955A337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5" authorId="0" shapeId="0" xr:uid="{2612C4CD-CA39-4454-A31B-4639E81751F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5" authorId="0" shapeId="0" xr:uid="{9D6696E3-6C8F-4BF5-A583-8DDA82FF7D77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5" authorId="0" shapeId="0" xr:uid="{0C5CE1A4-7489-42AA-8E6E-EB717585522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5" authorId="0" shapeId="0" xr:uid="{FFCC8320-AF55-46C9-AEE7-B28A6D5FD3B9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5" authorId="0" shapeId="0" xr:uid="{4AA76380-D0A9-47A1-8C2A-2CD4D702F601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83CEA769-72D4-4FB9-AB90-E72598E984B3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B2" authorId="0" shapeId="0" xr:uid="{02672D9E-8B99-4C77-ABC3-A7761A34730C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459146EE-4ABE-4179-871A-770FFE4B3715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C1510183-6232-4BFF-9CBE-537C4D67A88F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D2E57467-90FD-44DD-B9A8-2CAB5803369F}">
      <text>
        <r>
          <rPr>
            <b/>
            <sz val="9"/>
            <color indexed="81"/>
            <rFont val="Tahoma"/>
            <family val="2"/>
          </rPr>
          <t>WAJIB diisi (ALFABET)
Diisi dengan KodeSatuan sesuai dengan CEISA</t>
        </r>
      </text>
    </comment>
    <comment ref="J2" authorId="0" shapeId="0" xr:uid="{B024AE16-C3F0-48E2-8383-D7847B423FF0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K2" authorId="0" shapeId="0" xr:uid="{1609B314-2A59-42DF-BFCA-E7C2F2270032}">
      <text>
        <r>
          <rPr>
            <b/>
            <sz val="9"/>
            <color indexed="81"/>
            <rFont val="Tahoma"/>
            <family val="2"/>
          </rPr>
          <t>WAJIB diisi (ALFABET)
Diisi dengan KodeKemasan sesuai dengan CEISA</t>
        </r>
      </text>
    </comment>
    <comment ref="L2" authorId="0" shapeId="0" xr:uid="{CBE207DC-7118-4C26-9BE5-57762383B0A7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M2" authorId="0" shapeId="0" xr:uid="{8764F03E-2F62-408D-9540-E6B795FC4708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  <comment ref="N2" authorId="0" shapeId="0" xr:uid="{48EDD8D7-B232-4778-B075-50F685B1129D}">
      <text>
        <r>
          <rPr>
            <b/>
            <sz val="9"/>
            <color indexed="81"/>
            <rFont val="Tahoma"/>
            <family val="2"/>
          </rPr>
          <t>WAJIB diisi (NUMBER)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A2" authorId="0" shapeId="0" xr:uid="{6248D311-746D-4D41-8164-5A780C74D96E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B2" authorId="0" shapeId="0" xr:uid="{C9D7B1CE-F3DB-450F-94D6-DCC1221A38E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C2" authorId="0" shapeId="0" xr:uid="{0EC3BE62-6083-42F0-863A-8227A98EF37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D2" authorId="0" shapeId="0" xr:uid="{E842D7F0-1055-495C-B813-7E3B3797A816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E2" authorId="0" shapeId="0" xr:uid="{25B15BD7-FA7D-429E-BF83-781A91B7150B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F2" authorId="0" shapeId="0" xr:uid="{41E3DBEA-C420-499C-8468-5A7DEDFF4D92}">
      <text>
        <r>
          <rPr>
            <b/>
            <sz val="9"/>
            <color indexed="81"/>
            <rFont val="Tahoma"/>
            <family val="2"/>
          </rPr>
          <t>GUNAKAN FORMAT:
YYYY-MM-DD
cth: 2023-01-30</t>
        </r>
      </text>
    </comment>
    <comment ref="G2" authorId="0" shapeId="0" xr:uid="{628AF884-D2E1-4ADD-BFE6-5A4B91DE3662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H2" authorId="0" shapeId="0" xr:uid="{33E0FFD4-4C8A-40AB-8659-7E43BE7ED540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I2" authorId="0" shapeId="0" xr:uid="{E062E985-58E1-4C6B-B05F-3418552B39B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J2" authorId="0" shapeId="0" xr:uid="{9E895BF2-0AF2-41F6-AFEC-7E1FD09C6B9D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K2" authorId="0" shapeId="0" xr:uid="{2C6B2990-8617-4FE9-8012-1C02B03C46D4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P2" authorId="0" shapeId="0" xr:uid="{58F40256-CDC8-4DF8-8173-D0717B24FA33}">
      <text>
        <r>
          <rPr>
            <b/>
            <sz val="9"/>
            <color indexed="81"/>
            <rFont val="Tahoma"/>
            <family val="2"/>
          </rPr>
          <t>WAJIB diisi</t>
        </r>
      </text>
    </comment>
    <comment ref="Q2" authorId="0" shapeId="0" xr:uid="{138625F7-7D8F-4028-B3F5-BB6E8982A500}">
      <text>
        <r>
          <rPr>
            <b/>
            <sz val="9"/>
            <color indexed="81"/>
            <rFont val="Tahoma"/>
            <family val="2"/>
          </rPr>
          <t>WAJIB diisi</t>
        </r>
      </text>
    </comment>
  </commentList>
</comments>
</file>

<file path=xl/sharedStrings.xml><?xml version="1.0" encoding="utf-8"?>
<sst xmlns="http://schemas.openxmlformats.org/spreadsheetml/2006/main" count="1538" uniqueCount="271">
  <si>
    <t>░</t>
  </si>
  <si>
    <t>Nama</t>
  </si>
  <si>
    <t>PC</t>
  </si>
  <si>
    <t>KODE KANTOR</t>
  </si>
  <si>
    <t>JENIS DOKUMEN</t>
  </si>
  <si>
    <t>NO IZIN TPB</t>
  </si>
  <si>
    <t>GRO</t>
  </si>
  <si>
    <t>YRD</t>
  </si>
  <si>
    <t>PCE</t>
  </si>
  <si>
    <t>MTR</t>
  </si>
  <si>
    <t>CJ</t>
  </si>
  <si>
    <t>LTR</t>
  </si>
  <si>
    <t>PK</t>
  </si>
  <si>
    <t>CIF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</si>
  <si>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</si>
  <si>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</si>
  <si>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</si>
  <si>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</si>
  <si>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</si>
  <si>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</si>
  <si>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</si>
  <si>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</si>
  <si>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</si>
  <si>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</si>
  <si>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</si>
  <si>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</si>
  <si>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</si>
  <si>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</si>
  <si>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</si>
  <si>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</si>
  <si>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</si>
  <si>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</si>
  <si>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</si>
  <si>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</si>
  <si>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</si>
  <si>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Jenis</t>
  </si>
  <si>
    <t>DOK ASAL</t>
  </si>
  <si>
    <t>RO</t>
  </si>
  <si>
    <t>-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</si>
  <si>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</si>
  <si>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</si>
  <si>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</si>
  <si>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</si>
  <si>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</si>
  <si>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</si>
  <si>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</si>
  <si>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</si>
  <si>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</si>
  <si>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DATA CONNECTION</t>
  </si>
  <si>
    <t>tpbdb</t>
  </si>
  <si>
    <t>Note</t>
  </si>
  <si>
    <t>NEGARA ASAL</t>
  </si>
  <si>
    <t>ID</t>
  </si>
  <si>
    <t>CN</t>
  </si>
  <si>
    <t>KODE ASAL BARANG</t>
  </si>
  <si>
    <t>dsn</t>
  </si>
  <si>
    <t>RE</t>
  </si>
  <si>
    <t>REEL</t>
  </si>
  <si>
    <t>KODE BARANG</t>
  </si>
  <si>
    <t>IDENTICAL</t>
  </si>
  <si>
    <t>UPDATED</t>
  </si>
  <si>
    <t>REMARK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</si>
  <si>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</si>
  <si>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</si>
  <si>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</si>
  <si>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</si>
  <si>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</si>
  <si>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</si>
  <si>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</si>
  <si>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</si>
  <si>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HARGA PENYERAHAN</t>
  </si>
  <si>
    <t>NO</t>
  </si>
  <si>
    <t>REMARK RATE:</t>
  </si>
  <si>
    <t>Pengujian True:</t>
  </si>
  <si>
    <t>Pengujian False:</t>
  </si>
  <si>
    <t>VALIDASI</t>
  </si>
  <si>
    <t>Hasil Uji Dokumen (GCC)</t>
  </si>
  <si>
    <t>Source File</t>
  </si>
  <si>
    <t>Validasi &amp; Pengujian</t>
  </si>
  <si>
    <t>Aktivate</t>
  </si>
  <si>
    <t>VALUE 2</t>
  </si>
  <si>
    <t>MEREK</t>
  </si>
  <si>
    <t>TIPE</t>
  </si>
  <si>
    <t>UKURAN</t>
  </si>
  <si>
    <t>SPESIFIKASI LAIN</t>
  </si>
  <si>
    <t>NOMOR DAFTAR ASAL</t>
  </si>
  <si>
    <t>TANGGAL DAFTAR ASAL</t>
  </si>
  <si>
    <t>NOMOR AJU ASAL</t>
  </si>
  <si>
    <t>SERI BARANG ASAL</t>
  </si>
  <si>
    <t>NILAI JASA</t>
  </si>
  <si>
    <t>SERI BAHAN BAKU</t>
  </si>
  <si>
    <t>Jumlah &amp; Berat</t>
  </si>
  <si>
    <t>Harga</t>
  </si>
  <si>
    <t>ACTIVATE</t>
  </si>
  <si>
    <t>Tools Properties</t>
  </si>
  <si>
    <t>BTN_GetData_DB</t>
  </si>
  <si>
    <t>tpbdbold</t>
  </si>
  <si>
    <t>db_ceisatpb</t>
  </si>
  <si>
    <t>Validasi3</t>
  </si>
  <si>
    <t>KODE KANTOR ASAL</t>
  </si>
  <si>
    <t>Entitas Bahan Baku</t>
  </si>
  <si>
    <t>55159990</t>
  </si>
  <si>
    <t>100% COTTON INTERLOCK,180-190G</t>
  </si>
  <si>
    <t>291361</t>
  </si>
  <si>
    <t>CEISA 4.0 FILE</t>
  </si>
  <si>
    <t>Validasi1 BARANG</t>
  </si>
  <si>
    <t>Validasi2 BAHANBAKU</t>
  </si>
  <si>
    <t>tpb_header,tpb_barang,referensi_kemasan,referensi_satuan</t>
  </si>
  <si>
    <t>tpb_header,tpb_barang</t>
  </si>
  <si>
    <t>tpb_header,tpb_barang,</t>
  </si>
  <si>
    <t>LB</t>
  </si>
  <si>
    <t>LBR</t>
  </si>
  <si>
    <t>CR</t>
  </si>
  <si>
    <t>CT</t>
  </si>
  <si>
    <t>BC</t>
  </si>
  <si>
    <t>BG</t>
  </si>
  <si>
    <t>BT</t>
  </si>
  <si>
    <t>CM</t>
  </si>
  <si>
    <t>CMT</t>
  </si>
  <si>
    <t>UN</t>
  </si>
  <si>
    <t>TRANSFORM SATUAN TRANSAKSI</t>
  </si>
  <si>
    <t>Versi:</t>
  </si>
  <si>
    <t>BTN_CREATE_Draft</t>
  </si>
  <si>
    <t>Pilih Salasatu</t>
  </si>
  <si>
    <t>BARANG</t>
  </si>
  <si>
    <t>BAHAN BAKU</t>
  </si>
  <si>
    <t>TOTAL  ITEM</t>
  </si>
  <si>
    <t>TOTAL SATUAN</t>
  </si>
  <si>
    <t>TOTAL KEMASAN</t>
  </si>
  <si>
    <t>TOTAL CIF</t>
  </si>
  <si>
    <t>TOTAL NETTO</t>
  </si>
  <si>
    <t>NOTE</t>
  </si>
  <si>
    <t>KOTA PERNYATAAN</t>
  </si>
  <si>
    <t>NUNUNG HALIMAH</t>
  </si>
  <si>
    <t>KODE ENTITAS</t>
  </si>
  <si>
    <t>KODE</t>
  </si>
  <si>
    <t>PEMILIK BARANG</t>
  </si>
  <si>
    <t>ASAL BARANG, PENGUSAHA</t>
  </si>
  <si>
    <t>PENERIMA BARANG, TUJUAN BARANG</t>
  </si>
  <si>
    <t>PENGIRIM BARANG</t>
  </si>
  <si>
    <t>PENERIMA BARANG/PENGIRIM PENGIRIM</t>
  </si>
  <si>
    <t>ALOKASI KODE ENTITAS</t>
  </si>
  <si>
    <t>DOK</t>
  </si>
  <si>
    <t>GENERAL</t>
  </si>
  <si>
    <t>KODE DOKUMEN ASAL</t>
  </si>
  <si>
    <t>050500</t>
  </si>
  <si>
    <t>ALAMAT</t>
  </si>
  <si>
    <t>KUASA DITEKSI</t>
  </si>
  <si>
    <t>NAMA&amp;JABATAN PERNYATAAN</t>
  </si>
  <si>
    <t>CARA ANGKUT</t>
  </si>
  <si>
    <t>DARAT</t>
  </si>
  <si>
    <t>cbx_DokLampiran</t>
  </si>
  <si>
    <t>cbx_Kontainer</t>
  </si>
  <si>
    <t>cbx_BarangTarif</t>
  </si>
  <si>
    <t>cbx_BarangDokumen</t>
  </si>
  <si>
    <t>cbx_BarangEntitas</t>
  </si>
  <si>
    <t>cbx_BarangSpekKhusus</t>
  </si>
  <si>
    <t>cbx_BarangVD</t>
  </si>
  <si>
    <t>cbx_BBDokumen</t>
  </si>
  <si>
    <t>cbx_Pungutan</t>
  </si>
  <si>
    <t>cbx_Jaminan</t>
  </si>
  <si>
    <t>cbx_BankDevisa</t>
  </si>
  <si>
    <t>cbx_BBTarif</t>
  </si>
  <si>
    <t>Tools Properties Default</t>
  </si>
  <si>
    <t>GCC FILE</t>
  </si>
  <si>
    <t>THREAD,SAMJIN@5000MT</t>
  </si>
  <si>
    <t xml:space="preserve">                                                                             </t>
  </si>
  <si>
    <t>55081090</t>
  </si>
  <si>
    <t>292747</t>
  </si>
  <si>
    <t>05052600520520240124000194</t>
  </si>
  <si>
    <t>PJ FILE</t>
  </si>
  <si>
    <t>\\10.8.0.35\Bersama\HC\!Kotak Masuk\New folder (6)\Copy of FIX_PJ_24001105_REDWING_COVERALL_61805-54_61805-57_77140-55_61105-54_61105-55_61105-57_61105-58_-_MJK1(1).xlsm</t>
  </si>
  <si>
    <t>\\10.8.0.35\Bersama\HC\!Kotak Masuk\New folder (6)\00026231560820241216001946.xlsx</t>
  </si>
  <si>
    <t>\\10.8.0.35\Bersama\HC\!Kotak Masuk\New folder (6)\BC 262 24001108-1201- (2).xlsx</t>
  </si>
  <si>
    <t>POLYBAG SEALTAPE, FLAP 7CM</t>
  </si>
  <si>
    <t>LIGHT SPARK 99/1% Co/AS WEFT</t>
  </si>
  <si>
    <t>59%MCRYLIC 39%CTN 2%ANTSTIC FR</t>
  </si>
  <si>
    <t>297888/297887</t>
  </si>
  <si>
    <t>65%LZG F BRELITE 33%ARM 2%ANTC</t>
  </si>
  <si>
    <t>100%CTN POPLN CD40XCD40/120X60</t>
  </si>
  <si>
    <t>BLEACH DTCTION DYED FBRC 100%C</t>
  </si>
  <si>
    <t>ELASTIC, #6800/15-64</t>
  </si>
  <si>
    <t>290818/290954</t>
  </si>
  <si>
    <t>ZIPPER,CORSCSZ006,6MM,1WAY</t>
  </si>
  <si>
    <t>290820/290821/290822/290823</t>
  </si>
  <si>
    <t>BUTTON, PRESS BUTTON</t>
  </si>
  <si>
    <t>LOOP, TLRHLZZ020</t>
  </si>
  <si>
    <t>HOOK, TLRHLZZ021</t>
  </si>
  <si>
    <t>WOVEN LABEL, 5 CM X 4 CM</t>
  </si>
  <si>
    <t>LABEL, 3 CM X 2,5 CM</t>
  </si>
  <si>
    <t>LABEL,HEAT INDICATOR DISK</t>
  </si>
  <si>
    <t>HEAT SEAL LABEL,FG TM-4 SYMBOL</t>
  </si>
  <si>
    <t>290952/290817</t>
  </si>
  <si>
    <t>ZIPPER,CORCBLS006,6MM,2WAY</t>
  </si>
  <si>
    <t>CARE LABEL, 24 CM X 6 CM 61805</t>
  </si>
  <si>
    <t>CARE LABEL, 24 CM X 6 CM,66005</t>
  </si>
  <si>
    <t>2024-11-15</t>
  </si>
  <si>
    <t>2024-11-18</t>
  </si>
  <si>
    <t>2024-11-19</t>
  </si>
  <si>
    <t>2024-11-20</t>
  </si>
  <si>
    <t>2024-11-21</t>
  </si>
  <si>
    <t>2024-11-22</t>
  </si>
  <si>
    <t>2024-11-28</t>
  </si>
  <si>
    <t>2024-11-29</t>
  </si>
  <si>
    <t>2024-12-02</t>
  </si>
  <si>
    <t>2024-12-03</t>
  </si>
  <si>
    <t>2024-12-04</t>
  </si>
  <si>
    <t>2024-12-13</t>
  </si>
  <si>
    <t>BM</t>
  </si>
  <si>
    <t>PPN</t>
  </si>
  <si>
    <t>PPH</t>
  </si>
  <si>
    <t>290838</t>
  </si>
  <si>
    <t>293943</t>
  </si>
  <si>
    <t>296204</t>
  </si>
  <si>
    <t>297888</t>
  </si>
  <si>
    <t>298827</t>
  </si>
  <si>
    <t>300343</t>
  </si>
  <si>
    <t>257439</t>
  </si>
  <si>
    <t>290818</t>
  </si>
  <si>
    <t>290824</t>
  </si>
  <si>
    <t>290825</t>
  </si>
  <si>
    <t>290829</t>
  </si>
  <si>
    <t>290833</t>
  </si>
  <si>
    <t>290836</t>
  </si>
  <si>
    <t>290837</t>
  </si>
  <si>
    <t>294019</t>
  </si>
  <si>
    <t>303567</t>
  </si>
  <si>
    <t>48211090</t>
  </si>
  <si>
    <t>52095990</t>
  </si>
  <si>
    <t>60063290</t>
  </si>
  <si>
    <t>55169200</t>
  </si>
  <si>
    <t>52084190</t>
  </si>
  <si>
    <t>52093200</t>
  </si>
  <si>
    <t>58062090</t>
  </si>
  <si>
    <t>96071900</t>
  </si>
  <si>
    <t>96061090</t>
  </si>
  <si>
    <t>58063210</t>
  </si>
  <si>
    <t>90258000</t>
  </si>
  <si>
    <t>49089000</t>
  </si>
  <si>
    <t>623264</t>
  </si>
  <si>
    <t>625351</t>
  </si>
  <si>
    <t>623132</t>
  </si>
  <si>
    <t>624436</t>
  </si>
  <si>
    <t>623411</t>
  </si>
  <si>
    <t>624197</t>
  </si>
  <si>
    <t>623013</t>
  </si>
  <si>
    <t>623951</t>
  </si>
  <si>
    <t>290954</t>
  </si>
  <si>
    <t>624063</t>
  </si>
  <si>
    <t>624300</t>
  </si>
  <si>
    <t>623542</t>
  </si>
  <si>
    <t>622862</t>
  </si>
  <si>
    <t>00026131560820241120002925</t>
  </si>
  <si>
    <t>00026131560820241213003100</t>
  </si>
  <si>
    <t>00026131560820241119002906</t>
  </si>
  <si>
    <t>00026131560820241204003054</t>
  </si>
  <si>
    <t>297887/297888</t>
  </si>
  <si>
    <t>00026131560820241121002940</t>
  </si>
  <si>
    <t>00026131560820241202003024</t>
  </si>
  <si>
    <t>00026131560820241118002895</t>
  </si>
  <si>
    <t>00026131560820241128002996</t>
  </si>
  <si>
    <t>00026131560820241129003012</t>
  </si>
  <si>
    <t>00026131560820241203003038</t>
  </si>
  <si>
    <t>00026131560820241122002952</t>
  </si>
  <si>
    <t>290817/290952</t>
  </si>
  <si>
    <t>290953/290817</t>
  </si>
  <si>
    <t>290817/290952/290953</t>
  </si>
  <si>
    <t>00026131560820241115002882</t>
  </si>
  <si>
    <t>VALIDASI 1</t>
  </si>
  <si>
    <t>T/F</t>
  </si>
  <si>
    <t>DATA YG WAJIB DICARI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</si>
</sst>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mm/dd/yy;@"/>
    <numFmt numFmtId="166" formatCode="dd\-mm\-yyyy"/>
  </numFmts>
  <fonts count="44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sz val="11"/>
      <color theme="0"/>
      <name val="Calibri"/>
      <family val="2"/>
      <charset val="1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2"/>
      <color rgb="FFFF0000"/>
      <name val="Calibri"/>
      <family val="2"/>
    </font>
    <font>
      <b/>
      <sz val="9"/>
      <color indexed="81"/>
      <name val="Tahoma"/>
      <family val="2"/>
    </font>
    <font>
      <i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5FAF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0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2" fillId="0" borderId="0"/>
    <xf numFmtId="0" fontId="42" fillId="0" borderId="0"/>
    <xf numFmtId="0" fontId="43" fillId="0" borderId="0"/>
  </cellStyleXfs>
  <cellXfs count="100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0" fillId="36" borderId="0" xfId="0" applyFill="1"/>
    <xf numFmtId="49" fontId="0" fillId="0" borderId="0" xfId="0" applyNumberFormat="1"/>
    <xf numFmtId="0" fontId="0" fillId="0" borderId="11" xfId="0" applyBorder="1"/>
    <xf numFmtId="0" fontId="23" fillId="0" borderId="0" xfId="0" applyFont="1"/>
    <xf numFmtId="0" fontId="26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38" borderId="0" xfId="0" applyFill="1" applyAlignment="1">
      <alignment horizontal="center" vertical="center"/>
    </xf>
    <xf numFmtId="9" fontId="29" fillId="38" borderId="0" xfId="0" applyNumberFormat="1" applyFont="1" applyFill="1" applyAlignment="1">
      <alignment vertical="center"/>
    </xf>
    <xf numFmtId="0" fontId="29" fillId="38" borderId="0" xfId="0" applyFont="1" applyFill="1" applyAlignment="1">
      <alignment vertical="center"/>
    </xf>
    <xf numFmtId="0" fontId="28" fillId="38" borderId="0" xfId="0" applyFont="1" applyFill="1" applyAlignment="1">
      <alignment horizontal="center" vertical="center"/>
    </xf>
    <xf numFmtId="0" fontId="30" fillId="38" borderId="0" xfId="0" applyFont="1" applyFill="1" applyAlignment="1">
      <alignment horizontal="center" vertical="center"/>
    </xf>
    <xf numFmtId="0" fontId="4" fillId="38" borderId="0" xfId="0" applyFont="1" applyFill="1" applyAlignment="1">
      <alignment horizontal="center" vertical="center"/>
    </xf>
    <xf numFmtId="0" fontId="29" fillId="39" borderId="0" xfId="0" applyFont="1" applyFill="1" applyAlignment="1">
      <alignment vertical="center"/>
    </xf>
    <xf numFmtId="0" fontId="22" fillId="39" borderId="0" xfId="0" applyFont="1" applyFill="1"/>
    <xf numFmtId="0" fontId="31" fillId="39" borderId="0" xfId="0" applyFont="1" applyFill="1"/>
    <xf numFmtId="0" fontId="22" fillId="39" borderId="0" xfId="0" applyFont="1" applyFill="1" applyAlignment="1">
      <alignment horizontal="center" vertical="top" wrapText="1"/>
    </xf>
    <xf numFmtId="0" fontId="25" fillId="39" borderId="0" xfId="0" applyFont="1" applyFill="1" applyAlignment="1">
      <alignment horizontal="center" vertical="top" wrapText="1"/>
    </xf>
    <xf numFmtId="0" fontId="27" fillId="40" borderId="0" xfId="0" applyFont="1" applyFill="1" applyAlignment="1">
      <alignment vertical="center"/>
    </xf>
    <xf numFmtId="0" fontId="20" fillId="40" borderId="0" xfId="0" applyFont="1" applyFill="1" applyAlignment="1">
      <alignment vertical="center"/>
    </xf>
    <xf numFmtId="0" fontId="22" fillId="40" borderId="0" xfId="1" applyFont="1" applyFill="1"/>
    <xf numFmtId="0" fontId="24" fillId="40" borderId="0" xfId="0" applyFont="1" applyFill="1"/>
    <xf numFmtId="0" fontId="27" fillId="40" borderId="0" xfId="0" applyFont="1" applyFill="1" applyAlignment="1">
      <alignment horizontal="center" vertical="center"/>
    </xf>
    <xf numFmtId="0" fontId="20" fillId="40" borderId="0" xfId="0" applyFont="1" applyFill="1" applyAlignment="1">
      <alignment horizontal="center" vertical="center"/>
    </xf>
    <xf numFmtId="0" fontId="2" fillId="37" borderId="0" xfId="0" applyFont="1" applyFill="1"/>
    <xf numFmtId="0" fontId="2" fillId="37" borderId="0" xfId="0" applyFont="1" applyFill="1" applyAlignment="1">
      <alignment horizontal="right"/>
    </xf>
    <xf numFmtId="0" fontId="1" fillId="39" borderId="0" xfId="0" applyFont="1" applyFill="1"/>
    <xf numFmtId="0" fontId="0" fillId="39" borderId="0" xfId="0" applyFill="1"/>
    <xf numFmtId="0" fontId="0" fillId="41" borderId="0" xfId="0" applyFill="1"/>
    <xf numFmtId="0" fontId="20" fillId="4" borderId="0" xfId="0" applyFont="1" applyFill="1"/>
    <xf numFmtId="0" fontId="20" fillId="42" borderId="0" xfId="0" applyFont="1" applyFill="1"/>
    <xf numFmtId="0" fontId="0" fillId="42" borderId="0" xfId="0" applyFill="1"/>
    <xf numFmtId="0" fontId="34" fillId="0" borderId="0" xfId="1" applyFont="1"/>
    <xf numFmtId="166" fontId="33" fillId="0" borderId="0" xfId="1" applyNumberFormat="1" applyFont="1"/>
    <xf numFmtId="0" fontId="34" fillId="43" borderId="12" xfId="1" applyFont="1" applyFill="1" applyBorder="1"/>
    <xf numFmtId="0" fontId="34" fillId="43" borderId="13" xfId="1" applyFont="1" applyFill="1" applyBorder="1"/>
    <xf numFmtId="0" fontId="34" fillId="43" borderId="14" xfId="1" applyFont="1" applyFill="1" applyBorder="1"/>
    <xf numFmtId="0" fontId="35" fillId="44" borderId="0" xfId="0" applyFont="1" applyFill="1" applyAlignment="1">
      <alignment horizontal="center"/>
    </xf>
    <xf numFmtId="0" fontId="36" fillId="44" borderId="0" xfId="1" applyFont="1" applyFill="1" applyAlignment="1">
      <alignment horizontal="center"/>
    </xf>
    <xf numFmtId="0" fontId="0" fillId="45" borderId="1" xfId="0" applyFill="1" applyBorder="1" applyAlignment="1">
      <alignment horizontal="center" vertical="center"/>
    </xf>
    <xf numFmtId="0" fontId="0" fillId="45" borderId="1" xfId="0" applyFill="1" applyBorder="1" applyAlignment="1">
      <alignment horizontal="left" vertical="center"/>
    </xf>
    <xf numFmtId="49" fontId="3" fillId="0" borderId="0" xfId="1" applyNumberFormat="1"/>
    <xf numFmtId="0" fontId="18" fillId="0" borderId="0" xfId="0" applyFont="1"/>
    <xf numFmtId="166" fontId="33" fillId="4" borderId="0" xfId="1" applyNumberFormat="1" applyFont="1" applyFill="1"/>
    <xf numFmtId="0" fontId="34" fillId="46" borderId="14" xfId="1" applyFont="1" applyFill="1" applyBorder="1"/>
    <xf numFmtId="0" fontId="18" fillId="0" borderId="0" xfId="1" applyFont="1"/>
    <xf numFmtId="166" fontId="37" fillId="0" borderId="0" xfId="1" applyNumberFormat="1" applyFont="1"/>
    <xf numFmtId="166" fontId="37" fillId="4" borderId="0" xfId="1" applyNumberFormat="1" applyFont="1" applyFill="1"/>
    <xf numFmtId="0" fontId="0" fillId="47" borderId="1" xfId="0" applyFill="1" applyBorder="1"/>
    <xf numFmtId="0" fontId="0" fillId="47" borderId="1" xfId="0" applyFill="1" applyBorder="1" applyAlignment="1">
      <alignment horizontal="left"/>
    </xf>
    <xf numFmtId="0" fontId="0" fillId="45" borderId="1" xfId="0" applyFill="1" applyBorder="1"/>
    <xf numFmtId="0" fontId="20" fillId="2" borderId="1" xfId="0" applyFont="1" applyFill="1" applyBorder="1" applyAlignment="1">
      <alignment horizontal="center" vertical="center"/>
    </xf>
    <xf numFmtId="0" fontId="39" fillId="0" borderId="0" xfId="0" applyFont="1"/>
    <xf numFmtId="0" fontId="5" fillId="0" borderId="0" xfId="1" applyFont="1" applyAlignment="1">
      <alignment horizontal="center"/>
    </xf>
    <xf numFmtId="0" fontId="0" fillId="48" borderId="0" xfId="0" applyFill="1" applyAlignment="1">
      <alignment horizontal="left"/>
    </xf>
    <xf numFmtId="0" fontId="0" fillId="48" borderId="0" xfId="0" applyFill="1"/>
    <xf numFmtId="0" fontId="0" fillId="0" borderId="1" xfId="0" applyBorder="1" applyAlignment="1">
      <alignment horizontal="center"/>
    </xf>
    <xf numFmtId="0" fontId="20" fillId="47" borderId="1" xfId="0" applyFont="1" applyFill="1" applyBorder="1" applyAlignment="1">
      <alignment horizontal="center"/>
    </xf>
    <xf numFmtId="0" fontId="0" fillId="49" borderId="0" xfId="0" applyFill="1" applyAlignment="1">
      <alignment horizontal="left"/>
    </xf>
    <xf numFmtId="0" fontId="0" fillId="49" borderId="0" xfId="0" applyFill="1"/>
    <xf numFmtId="0" fontId="40" fillId="49" borderId="0" xfId="0" applyFont="1" applyFill="1"/>
    <xf numFmtId="0" fontId="40" fillId="49" borderId="0" xfId="0" applyFont="1" applyFill="1" applyAlignment="1">
      <alignment horizontal="left"/>
    </xf>
    <xf numFmtId="0" fontId="41" fillId="49" borderId="0" xfId="0" applyFont="1" applyFill="1"/>
    <xf numFmtId="0" fontId="0" fillId="0" borderId="0" xfId="0" quotePrefix="1"/>
    <xf numFmtId="0" fontId="20" fillId="3" borderId="0" xfId="0" applyFont="1" applyFill="1"/>
    <xf numFmtId="0" fontId="0" fillId="47" borderId="1" xfId="0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49" fontId="18" fillId="0" borderId="0" xfId="0" applyNumberFormat="1" applyFont="1"/>
    <xf numFmtId="49" fontId="37" fillId="0" borderId="0" xfId="1" applyNumberFormat="1" applyFont="1"/>
    <xf numFmtId="49" fontId="33" fillId="4" borderId="0" xfId="1" applyNumberFormat="1" applyFont="1" applyFill="1"/>
    <xf numFmtId="49" fontId="37" fillId="4" borderId="0" xfId="1" applyNumberFormat="1" applyFont="1" applyFill="1"/>
    <xf numFmtId="0" fontId="32" fillId="39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/>
    </xf>
    <xf numFmtId="0" fontId="0" fillId="41" borderId="0" xfId="0" applyFill="1" applyAlignment="1">
      <alignment horizontal="center"/>
    </xf>
    <xf numFmtId="0" fontId="34" fillId="46" borderId="12" xfId="1" applyFont="1" applyFill="1" applyBorder="1" applyAlignment="1">
      <alignment horizontal="center"/>
    </xf>
    <xf numFmtId="0" fontId="34" fillId="46" borderId="13" xfId="1" applyFont="1" applyFill="1" applyBorder="1" applyAlignment="1">
      <alignment horizontal="center"/>
    </xf>
    <xf numFmtId="0" fontId="34" fillId="46" borderId="14" xfId="1" applyFont="1" applyFill="1" applyBorder="1" applyAlignment="1">
      <alignment horizontal="center"/>
    </xf>
    <xf numFmtId="0" fontId="27" fillId="40" borderId="0" xfId="0" applyFont="1" applyFill="1" applyAlignment="1">
      <alignment horizontal="left" vertical="center"/>
    </xf>
    <xf numFmtId="0" fontId="4" fillId="38" borderId="0" xfId="0" applyFont="1" applyFill="1" applyAlignment="1">
      <alignment horizontal="left" vertical="center"/>
    </xf>
    <xf numFmtId="0" fontId="28" fillId="38" borderId="0" xfId="0" applyFont="1" applyFill="1" applyAlignment="1">
      <alignment horizontal="left" vertical="center"/>
    </xf>
    <xf numFmtId="49" fontId="34" fillId="46" borderId="13" xfId="1" applyNumberFormat="1" applyFont="1" applyFill="1" applyBorder="1" applyAlignment="1">
      <alignment horizontal="center"/>
    </xf>
    <xf numFmtId="49" fontId="34" fillId="46" borderId="14" xfId="1" applyNumberFormat="1" applyFont="1" applyFill="1" applyBorder="1" applyAlignment="1">
      <alignment horizontal="center"/>
    </xf>
    <xf numFmtId="0" fontId="0" fillId="0" borderId="0" xfId="0" applyFill="1"/>
    <xf numFmtId="0" fontId="4" fillId="50" borderId="0" xfId="0" applyFont="1" applyFill="1" applyAlignment="1">
      <alignment horizontal="center"/>
    </xf>
    <xf numFmtId="0" fontId="4" fillId="50" borderId="15" xfId="0" applyFont="1" applyFill="1" applyBorder="1" applyAlignment="1">
      <alignment horizontal="center"/>
    </xf>
    <xf numFmtId="0" fontId="0" fillId="51" borderId="0" xfId="0" applyFill="1" applyAlignment="1">
      <alignment horizontal="center"/>
    </xf>
  </cellXfs>
  <cellStyles count="50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cel Built-in Normal" xfId="48" xr:uid="{70E63090-9952-495F-AFD5-E3CCF7C9727F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10" xfId="47" xr:uid="{2A8E628B-214D-45B8-A1A4-738960288DD1}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rmal 4" xfId="49" xr:uid="{D880F1D9-8C22-45C4-B7FE-9C709942BBF3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color rgb="FFFFFF00"/>
      </font>
      <fill>
        <patternFill>
          <bgColor rgb="FFFF0000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5FAFA"/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enuUtam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/>
  </sheetViews>
  <sheetFormatPr defaultRowHeight="15" x14ac:dyDescent="0.25"/>
  <sheetData>
    <row r="1" spans="1:14" s="4" customFormat="1" x14ac:dyDescent="0.25">
      <c r="H1" s="43"/>
    </row>
    <row r="2" spans="1:14" s="4" customFormat="1" x14ac:dyDescent="0.25"/>
    <row r="3" spans="1:14" s="4" customFormat="1" x14ac:dyDescent="0.25"/>
    <row r="4" spans="1:14" s="4" customFormat="1" x14ac:dyDescent="0.25"/>
    <row r="5" spans="1:14" s="42" customFormat="1" ht="7.5" customHeight="1" x14ac:dyDescent="0.25">
      <c r="A5" s="87"/>
      <c r="B5" s="87"/>
      <c r="C5" s="87"/>
      <c r="D5" s="87"/>
      <c r="E5" s="87"/>
      <c r="F5" s="87"/>
      <c r="G5" s="87"/>
      <c r="H5" s="38" t="s">
        <v>0</v>
      </c>
      <c r="I5" s="86"/>
      <c r="J5" s="86"/>
      <c r="K5" s="86"/>
      <c r="L5" s="86"/>
      <c r="M5" s="39" t="s">
        <v>0</v>
      </c>
    </row>
    <row r="6" spans="1:14" s="41" customFormat="1" x14ac:dyDescent="0.25">
      <c r="A6" s="40"/>
    </row>
    <row r="7" spans="1:14" s="41" customFormat="1" x14ac:dyDescent="0.25"/>
    <row r="8" spans="1:14" s="41" customFormat="1" x14ac:dyDescent="0.25">
      <c r="H8" s="85" t="s">
        <v>166</v>
      </c>
      <c r="I8" s="85"/>
      <c r="J8" s="85"/>
      <c r="K8" s="85"/>
      <c r="L8" s="85"/>
      <c r="M8" s="85"/>
    </row>
    <row r="9" spans="1:14" s="41" customFormat="1" ht="76.5" customHeight="1" x14ac:dyDescent="0.25">
      <c r="H9" s="85"/>
      <c r="I9" s="85"/>
      <c r="J9" s="85"/>
      <c r="K9" s="85"/>
      <c r="L9" s="85"/>
      <c r="M9" s="85"/>
    </row>
    <row r="10" spans="1:14" s="41" customFormat="1" x14ac:dyDescent="0.25">
      <c r="H10" s="85"/>
      <c r="I10" s="85"/>
      <c r="J10" s="85"/>
      <c r="K10" s="85"/>
      <c r="L10" s="85"/>
      <c r="M10" s="85"/>
    </row>
    <row r="11" spans="1:14" s="41" customFormat="1" x14ac:dyDescent="0.25">
      <c r="H11" s="85"/>
      <c r="I11" s="85"/>
      <c r="J11" s="85"/>
      <c r="K11" s="85"/>
      <c r="L11" s="85"/>
      <c r="M11" s="85"/>
    </row>
    <row r="12" spans="1:14" s="41" customFormat="1" x14ac:dyDescent="0.25"/>
    <row r="13" spans="1:14" s="41" customFormat="1" x14ac:dyDescent="0.25">
      <c r="A13" s="40"/>
    </row>
    <row r="14" spans="1:14" s="3" customFormat="1" ht="6" customHeight="1" x14ac:dyDescent="0.25">
      <c r="G14" s="38" t="s">
        <v>0</v>
      </c>
      <c r="H14" s="86"/>
      <c r="I14" s="86"/>
      <c r="J14" s="86"/>
      <c r="K14" s="86"/>
      <c r="L14" s="86"/>
      <c r="M14" s="86"/>
      <c r="N14" s="39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X18"/>
  <sheetViews>
    <sheetView workbookViewId="0"/>
  </sheetViews>
  <sheetFormatPr defaultRowHeight="15" x14ac:dyDescent="0.25"/>
  <cols>
    <col min="1" max="1" width="9.5703125" bestFit="1" customWidth="1"/>
    <col min="2" max="2" width="29.28515625" bestFit="1" customWidth="1"/>
    <col min="3" max="3" width="33" style="5" customWidth="1"/>
    <col min="4" max="4" width="14.140625" bestFit="1" customWidth="1"/>
    <col min="5" max="5" width="3.42578125" customWidth="1"/>
    <col min="6" max="6" width="9.5703125" bestFit="1" customWidth="1"/>
    <col min="7" max="7" width="22" bestFit="1" customWidth="1"/>
    <col min="8" max="8" width="56.5703125" bestFit="1" customWidth="1"/>
    <col min="9" max="9" width="3.42578125" customWidth="1"/>
    <col min="10" max="10" width="11" customWidth="1"/>
    <col min="11" max="11" width="26.42578125" bestFit="1" customWidth="1"/>
    <col min="12" max="12" width="16.42578125" bestFit="1" customWidth="1"/>
    <col min="13" max="13" width="39.140625" bestFit="1" customWidth="1"/>
    <col min="14" max="14" width="3.42578125" customWidth="1"/>
    <col min="15" max="15" width="4.42578125" customWidth="1"/>
    <col min="16" max="16" width="9.7109375" bestFit="1" customWidth="1"/>
    <col min="17" max="17" width="13.42578125" bestFit="1" customWidth="1"/>
    <col min="18" max="18" width="19" bestFit="1" customWidth="1"/>
    <col min="19" max="19" width="23.28515625" bestFit="1" customWidth="1"/>
    <col min="20" max="20" width="3.42578125" customWidth="1"/>
    <col min="22" max="22" width="22" bestFit="1" customWidth="1"/>
  </cols>
  <sheetData>
    <row r="1" spans="1:24" x14ac:dyDescent="0.25">
      <c r="A1" t="s">
        <v>121</v>
      </c>
      <c r="B1">
        <v>1.9</v>
      </c>
      <c r="E1" s="10"/>
      <c r="I1" s="10"/>
      <c r="N1" s="10"/>
      <c r="T1" s="10"/>
    </row>
    <row r="2" spans="1:24" hidden="1" x14ac:dyDescent="0.25">
      <c r="E2" s="10"/>
      <c r="I2" s="10"/>
      <c r="N2" s="10"/>
      <c r="T2" s="10"/>
    </row>
    <row r="3" spans="1:24" hidden="1" x14ac:dyDescent="0.25">
      <c r="E3" s="10"/>
      <c r="I3" s="10"/>
      <c r="N3" s="10"/>
      <c r="T3" s="10"/>
    </row>
    <row r="4" spans="1:24" x14ac:dyDescent="0.25">
      <c r="A4" s="75" t="s">
        <v>143</v>
      </c>
      <c r="B4" s="73"/>
      <c r="C4" s="72"/>
      <c r="D4" s="73"/>
      <c r="E4" s="10"/>
      <c r="F4" s="74" t="s">
        <v>48</v>
      </c>
      <c r="G4" s="74"/>
      <c r="H4" s="74"/>
      <c r="I4" s="10"/>
      <c r="J4" s="74" t="s">
        <v>141</v>
      </c>
      <c r="K4" s="76"/>
      <c r="L4" s="76"/>
      <c r="M4" s="76"/>
      <c r="N4" s="10"/>
      <c r="O4" s="74" t="s">
        <v>125</v>
      </c>
      <c r="P4" s="74"/>
      <c r="Q4" s="74"/>
      <c r="R4" s="74"/>
      <c r="S4" s="74"/>
      <c r="T4" s="10"/>
      <c r="U4" s="78" t="s">
        <v>163</v>
      </c>
      <c r="V4" s="78"/>
      <c r="W4" s="3"/>
      <c r="X4" s="3"/>
    </row>
    <row r="5" spans="1:24" x14ac:dyDescent="0.25">
      <c r="A5" s="64" t="s">
        <v>93</v>
      </c>
      <c r="B5" s="53" t="s">
        <v>39</v>
      </c>
      <c r="C5" s="54" t="s">
        <v>40</v>
      </c>
      <c r="D5" s="54" t="s">
        <v>41</v>
      </c>
      <c r="E5" s="10"/>
      <c r="F5" s="64" t="s">
        <v>93</v>
      </c>
      <c r="G5" s="63" t="s">
        <v>55</v>
      </c>
      <c r="H5" s="62" t="s">
        <v>50</v>
      </c>
      <c r="I5" s="10"/>
      <c r="J5" s="71" t="s">
        <v>142</v>
      </c>
      <c r="K5" s="71" t="s">
        <v>137</v>
      </c>
      <c r="L5" s="71" t="s">
        <v>136</v>
      </c>
      <c r="M5" s="71" t="s">
        <v>140</v>
      </c>
      <c r="N5" s="10"/>
      <c r="O5" s="71" t="s">
        <v>38</v>
      </c>
      <c r="P5" s="63" t="s">
        <v>36</v>
      </c>
      <c r="Q5" s="62" t="s">
        <v>51</v>
      </c>
      <c r="R5" s="62" t="s">
        <v>54</v>
      </c>
      <c r="S5" s="62" t="s">
        <v>47</v>
      </c>
      <c r="T5" s="10"/>
      <c r="U5" s="79" t="s">
        <v>79</v>
      </c>
      <c r="V5" s="79" t="s">
        <v>1</v>
      </c>
      <c r="W5" s="79" t="s">
        <v>46</v>
      </c>
      <c r="X5" s="79" t="s">
        <v>80</v>
      </c>
    </row>
    <row r="6" spans="1:24" x14ac:dyDescent="0.25">
      <c r="A6" t="b">
        <v>1</v>
      </c>
      <c r="B6" t="s">
        <v>3</v>
      </c>
      <c r="C6" s="55" t="s">
        <v>145</v>
      </c>
      <c r="D6" s="69" t="str">
        <f>IF(C6="050500","1201",IF(C6="050700","1204",FALSE))</f>
        <v>1201</v>
      </c>
      <c r="F6" t="b">
        <v>1</v>
      </c>
      <c r="G6" s="9" t="s">
        <v>49</v>
      </c>
      <c r="H6" t="s">
        <v>107</v>
      </c>
      <c r="I6" t="s">
        <v>38</v>
      </c>
      <c r="J6" s="70">
        <v>261</v>
      </c>
      <c r="K6" s="70">
        <v>3</v>
      </c>
      <c r="L6" s="70">
        <v>7</v>
      </c>
      <c r="M6" s="70">
        <v>8</v>
      </c>
      <c r="P6" s="9">
        <v>40</v>
      </c>
      <c r="Q6" t="s">
        <v>52</v>
      </c>
      <c r="R6">
        <v>2</v>
      </c>
      <c r="S6">
        <v>1</v>
      </c>
      <c r="U6" s="2" t="b">
        <v>1</v>
      </c>
      <c r="V6" s="2" t="s">
        <v>151</v>
      </c>
      <c r="W6" s="2" t="b">
        <v>1</v>
      </c>
      <c r="X6" s="2" t="s">
        <v>38</v>
      </c>
    </row>
    <row r="7" spans="1:24" x14ac:dyDescent="0.25">
      <c r="A7" t="b">
        <v>1</v>
      </c>
      <c r="B7" t="s">
        <v>4</v>
      </c>
      <c r="C7" s="5">
        <v>262</v>
      </c>
      <c r="D7" t="s">
        <v>38</v>
      </c>
      <c r="F7" t="b">
        <v>1</v>
      </c>
      <c r="G7" s="9" t="s">
        <v>96</v>
      </c>
      <c r="H7" t="s">
        <v>108</v>
      </c>
      <c r="I7" t="s">
        <v>38</v>
      </c>
      <c r="J7" s="70">
        <v>41</v>
      </c>
      <c r="K7" s="70">
        <v>3</v>
      </c>
      <c r="L7" s="70">
        <v>7</v>
      </c>
      <c r="M7" s="70">
        <v>8</v>
      </c>
      <c r="P7" s="9">
        <v>27</v>
      </c>
      <c r="Q7" t="s">
        <v>53</v>
      </c>
      <c r="R7">
        <v>1</v>
      </c>
      <c r="S7">
        <v>0</v>
      </c>
      <c r="U7" s="2" t="b">
        <v>1</v>
      </c>
      <c r="V7" s="2" t="s">
        <v>152</v>
      </c>
      <c r="W7" s="2" t="b">
        <v>1</v>
      </c>
      <c r="X7" s="2" t="s">
        <v>38</v>
      </c>
    </row>
    <row r="8" spans="1:24" x14ac:dyDescent="0.25">
      <c r="A8" t="b">
        <v>1</v>
      </c>
      <c r="B8" t="s">
        <v>5</v>
      </c>
      <c r="C8" s="68" t="str">
        <f>IF(C6="050500","KEP-523/WBC.09/2022",IF(C6="050700","KEP-520/WBC.09/2022",FALSE))</f>
        <v>KEP-523/WBC.09/2022</v>
      </c>
      <c r="D8" s="68" t="str">
        <f>IF(C6="050500","2022-07-29",IF(C6="050700","2022-07-28",FALSE))</f>
        <v>2022-07-29</v>
      </c>
      <c r="F8" t="b">
        <v>1</v>
      </c>
      <c r="G8" s="5" t="s">
        <v>97</v>
      </c>
      <c r="H8" t="s">
        <v>109</v>
      </c>
      <c r="I8" t="s">
        <v>38</v>
      </c>
      <c r="J8" s="70">
        <v>27</v>
      </c>
      <c r="K8" s="70">
        <v>3</v>
      </c>
      <c r="L8" s="70">
        <v>7</v>
      </c>
      <c r="M8" s="70">
        <v>8</v>
      </c>
      <c r="P8" s="5">
        <v>23</v>
      </c>
      <c r="Q8" t="s">
        <v>53</v>
      </c>
      <c r="R8">
        <v>1</v>
      </c>
      <c r="S8">
        <v>0</v>
      </c>
      <c r="U8" s="2" t="b">
        <v>1</v>
      </c>
      <c r="V8" s="2" t="s">
        <v>153</v>
      </c>
      <c r="W8" s="2" t="b">
        <v>1</v>
      </c>
      <c r="X8" s="8" t="s">
        <v>38</v>
      </c>
    </row>
    <row r="9" spans="1:24" x14ac:dyDescent="0.25">
      <c r="A9" t="b">
        <v>0</v>
      </c>
      <c r="B9" t="s">
        <v>146</v>
      </c>
      <c r="C9" s="69" t="str">
        <f>IF(D6="1201","JL. PANYAWUNGAN KM 19, CILEUNYI WETAN, CILEUNYI, KABUPATEN BANDUNG, JAWA BARAT",IF(D6="1204","BLOK PAJAGAN RT 01 / RW 01 DESA SINARJATI KECAMATAN DAWUAN KABUPATEN MAJALENGKA JAWA BARAT",FALSE))</f>
        <v>JL. PANYAWUNGAN KM 19, CILEUNYI WETAN, CILEUNYI, KABUPATEN BANDUNG, JAWA BARAT</v>
      </c>
      <c r="D9" t="s">
        <v>38</v>
      </c>
      <c r="J9" s="70">
        <v>25</v>
      </c>
      <c r="K9" s="70"/>
      <c r="L9" s="70"/>
      <c r="M9" s="70"/>
      <c r="P9" s="5">
        <v>261</v>
      </c>
      <c r="S9">
        <v>1</v>
      </c>
      <c r="U9" s="2" t="b">
        <v>1</v>
      </c>
      <c r="V9" s="2" t="s">
        <v>154</v>
      </c>
      <c r="W9" s="2" t="b">
        <v>1</v>
      </c>
      <c r="X9" s="2" t="s">
        <v>38</v>
      </c>
    </row>
    <row r="10" spans="1:24" x14ac:dyDescent="0.25">
      <c r="A10" t="b">
        <v>1</v>
      </c>
      <c r="B10" t="s">
        <v>132</v>
      </c>
      <c r="C10" s="68" t="str">
        <f>IF(D6="1201","BANDUNG",IF(D6="1204","MAJALENGKA",FALSE))</f>
        <v>BANDUNG</v>
      </c>
      <c r="J10" s="70">
        <v>262</v>
      </c>
      <c r="K10" s="70">
        <v>3</v>
      </c>
      <c r="L10" s="70">
        <v>7</v>
      </c>
      <c r="M10" s="70">
        <v>9</v>
      </c>
      <c r="U10" s="2" t="b">
        <v>1</v>
      </c>
      <c r="V10" s="2" t="s">
        <v>155</v>
      </c>
      <c r="W10" s="2" t="b">
        <v>1</v>
      </c>
      <c r="X10" s="2" t="s">
        <v>38</v>
      </c>
    </row>
    <row r="11" spans="1:24" x14ac:dyDescent="0.25">
      <c r="A11" t="b">
        <v>1</v>
      </c>
      <c r="B11" t="s">
        <v>148</v>
      </c>
      <c r="C11" s="5" t="s">
        <v>133</v>
      </c>
      <c r="D11" t="s">
        <v>147</v>
      </c>
      <c r="J11" s="70">
        <v>40</v>
      </c>
      <c r="K11" s="70">
        <v>9</v>
      </c>
      <c r="L11" s="70">
        <v>7</v>
      </c>
      <c r="M11" s="70">
        <v>9</v>
      </c>
      <c r="U11" s="2" t="b">
        <v>1</v>
      </c>
      <c r="V11" s="2" t="s">
        <v>156</v>
      </c>
      <c r="W11" s="2" t="b">
        <v>1</v>
      </c>
      <c r="X11" s="2" t="s">
        <v>38</v>
      </c>
    </row>
    <row r="12" spans="1:24" x14ac:dyDescent="0.25">
      <c r="A12" t="b">
        <v>1</v>
      </c>
      <c r="B12" t="s">
        <v>149</v>
      </c>
      <c r="C12" s="5" t="s">
        <v>150</v>
      </c>
      <c r="D12" s="69">
        <f>IF(C12="LAUT", 1, IF(C12="KERETA API", 2, IF(C12="DARAT", 3,IF(C12="UDARA", 4, IF(C12="POS", 5, IF(C12="MULTIMODA", 6,IF(C12="INSTALASI/PIPA", 7, IF(C12="PERAIRAN",8,IF(C12= "LAINNYA",9,"-")))))))))</f>
        <v>3</v>
      </c>
      <c r="J12" s="70">
        <v>23</v>
      </c>
      <c r="K12" s="70">
        <v>3</v>
      </c>
      <c r="L12" s="70">
        <v>5</v>
      </c>
      <c r="M12" s="70">
        <v>7</v>
      </c>
      <c r="U12" s="2" t="b">
        <v>1</v>
      </c>
      <c r="V12" s="2" t="s">
        <v>157</v>
      </c>
      <c r="W12" s="2" t="b">
        <v>1</v>
      </c>
      <c r="X12" s="2" t="s">
        <v>38</v>
      </c>
    </row>
    <row r="13" spans="1:24" x14ac:dyDescent="0.25">
      <c r="J13" s="70">
        <v>30</v>
      </c>
      <c r="K13" s="70"/>
      <c r="L13" s="70"/>
      <c r="M13" s="70"/>
      <c r="U13" s="2" t="b">
        <v>1</v>
      </c>
      <c r="V13" s="2" t="s">
        <v>162</v>
      </c>
      <c r="W13" s="2" t="b">
        <v>1</v>
      </c>
      <c r="X13" s="2" t="s">
        <v>38</v>
      </c>
    </row>
    <row r="14" spans="1:24" x14ac:dyDescent="0.25">
      <c r="J14" s="70">
        <v>33</v>
      </c>
      <c r="K14" s="70"/>
      <c r="L14" s="70"/>
      <c r="M14" s="70"/>
      <c r="U14" s="2" t="b">
        <v>1</v>
      </c>
      <c r="V14" s="2" t="s">
        <v>158</v>
      </c>
      <c r="W14" s="2" t="b">
        <v>1</v>
      </c>
      <c r="X14" s="2" t="s">
        <v>38</v>
      </c>
    </row>
    <row r="15" spans="1:24" x14ac:dyDescent="0.25">
      <c r="U15" s="2" t="b">
        <v>1</v>
      </c>
      <c r="V15" s="2" t="s">
        <v>159</v>
      </c>
      <c r="W15" s="2" t="b">
        <v>1</v>
      </c>
      <c r="X15" s="2" t="s">
        <v>38</v>
      </c>
    </row>
    <row r="16" spans="1:24" x14ac:dyDescent="0.25">
      <c r="U16" s="2" t="b">
        <v>1</v>
      </c>
      <c r="V16" s="2" t="s">
        <v>160</v>
      </c>
      <c r="W16" s="2" t="b">
        <v>1</v>
      </c>
      <c r="X16" s="2" t="s">
        <v>38</v>
      </c>
    </row>
    <row r="17" spans="21:24" x14ac:dyDescent="0.25">
      <c r="U17" s="2" t="b">
        <v>1</v>
      </c>
      <c r="V17" s="2" t="s">
        <v>161</v>
      </c>
      <c r="W17" s="2" t="b">
        <v>1</v>
      </c>
      <c r="X17" s="2" t="s">
        <v>38</v>
      </c>
    </row>
    <row r="18" spans="21:24" x14ac:dyDescent="0.25">
      <c r="U18" s="2" t="b">
        <v>0</v>
      </c>
      <c r="V18" s="2"/>
      <c r="W18" s="2"/>
      <c r="X18" s="2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DBZ15"/>
  <sheetViews>
    <sheetView workbookViewId="0">
      <selection activeCell="C17" sqref="C17"/>
    </sheetView>
  </sheetViews>
  <sheetFormatPr defaultRowHeight="15" x14ac:dyDescent="0.25"/>
  <cols>
    <col min="1" max="1" width="10.7109375" bestFit="1" customWidth="1"/>
    <col min="2" max="2" width="19.5703125" customWidth="1"/>
    <col min="3" max="3" width="54.7109375" customWidth="1"/>
    <col min="4" max="4" width="8.140625" bestFit="1" customWidth="1"/>
    <col min="5" max="5" width="5.7109375" customWidth="1"/>
    <col min="6" max="6" width="8.42578125" hidden="1" customWidth="1"/>
    <col min="7" max="7" width="24.42578125" hidden="1" customWidth="1"/>
    <col min="8" max="8" width="12.5703125" hidden="1" customWidth="1"/>
    <col min="9" max="9" width="8.140625" hidden="1" customWidth="1"/>
    <col min="10" max="10" width="4.140625" customWidth="1"/>
    <col min="11" max="11" width="8.42578125" bestFit="1" customWidth="1"/>
    <col min="12" max="12" width="19.42578125" customWidth="1"/>
    <col min="13" max="13" width="16" customWidth="1"/>
    <col min="14" max="14" width="8.140625" bestFit="1" customWidth="1"/>
    <col min="15" max="15" width="3.28515625" customWidth="1"/>
  </cols>
  <sheetData>
    <row r="1" spans="1:14 2750:2782" x14ac:dyDescent="0.25">
      <c r="DAT1" s="11"/>
      <c r="DAU1" s="11"/>
      <c r="DAV1" s="11"/>
      <c r="DAW1" s="11"/>
      <c r="DAX1" s="80"/>
      <c r="DAY1" s="11"/>
      <c r="DAZ1" s="11"/>
      <c r="DBA1" s="11"/>
      <c r="DBB1" s="11"/>
      <c r="DBC1" s="11"/>
      <c r="DBD1" s="11"/>
      <c r="DBE1" s="11"/>
      <c r="DBF1" s="11"/>
      <c r="DBG1" s="11"/>
      <c r="DBH1" s="11"/>
      <c r="DBI1" s="11"/>
      <c r="DBJ1" s="11"/>
      <c r="DBK1" s="11"/>
      <c r="DBL1" s="11"/>
      <c r="DBM1" s="11"/>
      <c r="DBN1" s="11"/>
      <c r="DBO1" s="11"/>
      <c r="DBP1" s="11"/>
      <c r="DBQ1" s="11"/>
      <c r="DBR1" s="11"/>
      <c r="DBS1" s="11"/>
      <c r="DBT1" s="11"/>
      <c r="DBU1" s="11"/>
      <c r="DBV1" s="11"/>
      <c r="DBW1" s="11"/>
      <c r="DBX1" s="11"/>
      <c r="DBY1" s="11"/>
      <c r="DBZ1" s="11"/>
    </row>
    <row r="2" spans="1:14 2750:2782" hidden="1" x14ac:dyDescent="0.25">
      <c r="DAT2" t="s">
        <v>169</v>
      </c>
      <c r="DAU2">
        <v>13</v>
      </c>
      <c r="DAV2" t="s">
        <v>167</v>
      </c>
      <c r="DAW2" t="s">
        <v>168</v>
      </c>
      <c r="DAX2" t="s">
        <v>165</v>
      </c>
    </row>
    <row r="3" spans="1:14 2750:2782" hidden="1" x14ac:dyDescent="0.25">
      <c r="C3" t="b">
        <v>1</v>
      </c>
      <c r="G3">
        <v>5.0526005205202295E+24</v>
      </c>
      <c r="H3">
        <v>1</v>
      </c>
      <c r="I3" t="s">
        <v>101</v>
      </c>
      <c r="J3" t="s">
        <v>103</v>
      </c>
      <c r="K3" t="s">
        <v>102</v>
      </c>
    </row>
    <row r="4" spans="1:14 2750:2782" x14ac:dyDescent="0.25">
      <c r="A4" s="44" t="s">
        <v>77</v>
      </c>
      <c r="B4" s="44"/>
      <c r="C4" s="45"/>
      <c r="D4" s="45"/>
      <c r="F4" s="44" t="s">
        <v>78</v>
      </c>
      <c r="G4" s="45"/>
      <c r="H4" s="45"/>
      <c r="I4" s="45"/>
      <c r="K4" s="44" t="s">
        <v>94</v>
      </c>
      <c r="L4" s="44"/>
      <c r="M4" s="45"/>
      <c r="N4" s="45"/>
    </row>
    <row r="5" spans="1:14 2750:2782" x14ac:dyDescent="0.25">
      <c r="A5" s="1" t="s">
        <v>79</v>
      </c>
      <c r="B5" s="1" t="s">
        <v>1</v>
      </c>
      <c r="C5" s="1" t="s">
        <v>46</v>
      </c>
      <c r="D5" s="1" t="s">
        <v>80</v>
      </c>
      <c r="F5" s="1" t="s">
        <v>79</v>
      </c>
      <c r="G5" s="1" t="s">
        <v>1</v>
      </c>
      <c r="H5" s="1" t="s">
        <v>46</v>
      </c>
      <c r="I5" s="1" t="s">
        <v>80</v>
      </c>
      <c r="K5" s="1" t="s">
        <v>79</v>
      </c>
      <c r="L5" s="1" t="s">
        <v>1</v>
      </c>
      <c r="M5" s="1" t="s">
        <v>46</v>
      </c>
      <c r="N5" s="1" t="s">
        <v>80</v>
      </c>
    </row>
    <row r="6" spans="1:14 2750:2782" x14ac:dyDescent="0.25">
      <c r="A6" s="2" t="b">
        <v>1</v>
      </c>
      <c r="B6" s="2" t="s">
        <v>104</v>
      </c>
      <c r="C6" s="2" t="s">
        <v>172</v>
      </c>
      <c r="D6" s="2" t="s">
        <v>38</v>
      </c>
      <c r="F6" s="2" t="b">
        <v>0</v>
      </c>
      <c r="G6" s="2" t="s">
        <v>105</v>
      </c>
      <c r="H6" s="2">
        <v>1</v>
      </c>
      <c r="I6" s="2" t="s">
        <v>38</v>
      </c>
      <c r="K6" s="2" t="b">
        <v>1</v>
      </c>
      <c r="L6" s="2" t="s">
        <v>95</v>
      </c>
      <c r="M6" s="2" t="b">
        <v>1</v>
      </c>
      <c r="N6" s="2" t="s">
        <v>38</v>
      </c>
    </row>
    <row r="7" spans="1:14 2750:2782" x14ac:dyDescent="0.25">
      <c r="A7" s="2" t="b">
        <v>1</v>
      </c>
      <c r="B7" s="2" t="s">
        <v>164</v>
      </c>
      <c r="C7" s="96" t="s">
        <v>173</v>
      </c>
      <c r="D7" s="2" t="s">
        <v>38</v>
      </c>
      <c r="F7" s="2" t="b">
        <v>0</v>
      </c>
      <c r="G7" s="2" t="s">
        <v>106</v>
      </c>
      <c r="H7" s="2">
        <v>1</v>
      </c>
      <c r="I7" s="2" t="s">
        <v>38</v>
      </c>
      <c r="K7" s="2" t="b">
        <v>1</v>
      </c>
      <c r="L7" s="2" t="s">
        <v>122</v>
      </c>
      <c r="M7" s="2" t="b">
        <v>1</v>
      </c>
      <c r="N7" s="2" t="s">
        <v>38</v>
      </c>
    </row>
    <row r="8" spans="1:14 2750:2782" x14ac:dyDescent="0.25">
      <c r="A8" s="2" t="b">
        <v>1</v>
      </c>
      <c r="B8" s="2" t="s">
        <v>170</v>
      </c>
      <c r="C8" s="96" t="s">
        <v>171</v>
      </c>
      <c r="D8" s="8" t="s">
        <v>38</v>
      </c>
      <c r="F8" s="2" t="b">
        <v>0</v>
      </c>
      <c r="G8" s="2" t="s">
        <v>98</v>
      </c>
      <c r="H8" s="2">
        <v>1</v>
      </c>
      <c r="I8" s="8" t="s">
        <v>38</v>
      </c>
      <c r="K8" s="2" t="b">
        <v>0</v>
      </c>
      <c r="L8" s="2"/>
      <c r="M8" s="8"/>
      <c r="N8" s="8" t="s">
        <v>38</v>
      </c>
    </row>
    <row r="9" spans="1:14 2750:2782" x14ac:dyDescent="0.25">
      <c r="A9" s="2" t="b">
        <v>0</v>
      </c>
      <c r="B9" s="2"/>
      <c r="C9" s="2"/>
      <c r="D9" s="2" t="s">
        <v>38</v>
      </c>
      <c r="F9" s="2" t="b">
        <v>0</v>
      </c>
      <c r="G9" s="2" t="s">
        <v>76</v>
      </c>
      <c r="H9" s="2"/>
      <c r="I9" s="2" t="s">
        <v>38</v>
      </c>
      <c r="K9" s="2" t="b">
        <v>0</v>
      </c>
      <c r="L9" s="2"/>
      <c r="M9" s="2"/>
      <c r="N9" s="2" t="s">
        <v>38</v>
      </c>
    </row>
    <row r="10" spans="1:14 2750:2782" x14ac:dyDescent="0.25">
      <c r="A10" s="2" t="b">
        <v>0</v>
      </c>
      <c r="B10" s="2"/>
      <c r="C10" s="2"/>
      <c r="D10" s="2" t="s">
        <v>38</v>
      </c>
      <c r="F10" s="2" t="b">
        <v>0</v>
      </c>
      <c r="G10" s="2"/>
      <c r="H10" s="2"/>
      <c r="I10" s="2" t="s">
        <v>38</v>
      </c>
      <c r="K10" s="2" t="b">
        <v>0</v>
      </c>
      <c r="L10" s="2"/>
      <c r="M10" s="2"/>
      <c r="N10" s="2" t="s">
        <v>38</v>
      </c>
    </row>
    <row r="11" spans="1:14 2750:2782" x14ac:dyDescent="0.25">
      <c r="A11" s="2" t="s">
        <v>38</v>
      </c>
      <c r="B11" s="2"/>
      <c r="C11" s="2"/>
      <c r="D11" s="2" t="s">
        <v>38</v>
      </c>
      <c r="F11" s="2" t="b">
        <v>0</v>
      </c>
      <c r="G11" s="2"/>
      <c r="H11" s="2"/>
      <c r="I11" s="2" t="s">
        <v>38</v>
      </c>
      <c r="K11" s="2" t="b">
        <v>0</v>
      </c>
      <c r="L11" s="2"/>
      <c r="M11" s="2"/>
      <c r="N11" s="2" t="s">
        <v>38</v>
      </c>
    </row>
    <row r="12" spans="1:14 2750:2782" x14ac:dyDescent="0.25">
      <c r="A12" s="2" t="s">
        <v>38</v>
      </c>
      <c r="B12" s="2"/>
      <c r="C12" s="2"/>
      <c r="D12" s="2" t="s">
        <v>38</v>
      </c>
      <c r="K12" s="2" t="b">
        <v>0</v>
      </c>
      <c r="L12" s="2"/>
      <c r="M12" s="2"/>
      <c r="N12" s="2" t="s">
        <v>38</v>
      </c>
    </row>
    <row r="13" spans="1:14 2750:2782" x14ac:dyDescent="0.25">
      <c r="A13" s="2" t="s">
        <v>38</v>
      </c>
      <c r="B13" s="12"/>
      <c r="C13" s="2"/>
      <c r="D13" s="2" t="s">
        <v>38</v>
      </c>
      <c r="K13" s="2" t="b">
        <v>0</v>
      </c>
      <c r="L13" s="2"/>
      <c r="M13" s="2"/>
      <c r="N13" s="2" t="s">
        <v>38</v>
      </c>
    </row>
    <row r="14" spans="1:14 2750:2782" x14ac:dyDescent="0.25">
      <c r="A14" s="2" t="s">
        <v>38</v>
      </c>
      <c r="B14" s="2"/>
      <c r="C14" s="2"/>
      <c r="D14" s="2" t="s">
        <v>38</v>
      </c>
      <c r="K14" s="2" t="b">
        <v>0</v>
      </c>
      <c r="L14" s="2"/>
      <c r="M14" s="2"/>
      <c r="N14" s="2" t="s">
        <v>38</v>
      </c>
    </row>
    <row r="15" spans="1:14 2750:2782" x14ac:dyDescent="0.25">
      <c r="C15" s="11"/>
      <c r="D15" s="1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E31"/>
  <sheetViews>
    <sheetView topLeftCell="A4" zoomScale="85" zoomScaleNormal="85" workbookViewId="0">
      <selection activeCell="E27" sqref="E27"/>
    </sheetView>
  </sheetViews>
  <sheetFormatPr defaultRowHeight="15" x14ac:dyDescent="0.25"/>
  <cols>
    <col min="1" max="1" width="15" customWidth="1"/>
    <col min="2" max="2" width="17.140625" customWidth="1"/>
    <col min="3" max="3" width="6.5703125" customWidth="1"/>
    <col min="4" max="4" width="8.140625" customWidth="1"/>
    <col min="5" max="5" width="34.85546875" customWidth="1"/>
    <col min="6" max="6" width="5.5703125" customWidth="1"/>
    <col min="8" max="8" width="13.42578125" bestFit="1" customWidth="1"/>
    <col min="9" max="9" width="19" bestFit="1" customWidth="1"/>
    <col min="10" max="10" width="23.28515625" bestFit="1" customWidth="1"/>
  </cols>
  <sheetData>
    <row r="2" spans="1:5" hidden="1" x14ac:dyDescent="0.25"/>
    <row r="3" spans="1:5" hidden="1" x14ac:dyDescent="0.25"/>
    <row r="4" spans="1:5" x14ac:dyDescent="0.25">
      <c r="A4" s="66" t="s">
        <v>120</v>
      </c>
      <c r="D4" s="66" t="s">
        <v>134</v>
      </c>
    </row>
    <row r="5" spans="1:5" x14ac:dyDescent="0.25">
      <c r="A5" s="65" t="s">
        <v>32</v>
      </c>
      <c r="B5" s="65" t="s">
        <v>33</v>
      </c>
      <c r="D5" s="65" t="s">
        <v>135</v>
      </c>
      <c r="E5" s="65" t="s">
        <v>64</v>
      </c>
    </row>
    <row r="6" spans="1:5" x14ac:dyDescent="0.25">
      <c r="A6" t="s">
        <v>14</v>
      </c>
      <c r="B6" t="s">
        <v>9</v>
      </c>
      <c r="D6">
        <v>3</v>
      </c>
      <c r="E6" t="s">
        <v>137</v>
      </c>
    </row>
    <row r="7" spans="1:5" x14ac:dyDescent="0.25">
      <c r="A7" t="s">
        <v>42</v>
      </c>
      <c r="B7" t="s">
        <v>37</v>
      </c>
      <c r="D7">
        <v>7</v>
      </c>
      <c r="E7" t="s">
        <v>136</v>
      </c>
    </row>
    <row r="8" spans="1:5" x14ac:dyDescent="0.25">
      <c r="A8" t="s">
        <v>2</v>
      </c>
      <c r="B8" t="s">
        <v>8</v>
      </c>
      <c r="D8">
        <v>8</v>
      </c>
      <c r="E8" t="s">
        <v>138</v>
      </c>
    </row>
    <row r="9" spans="1:5" x14ac:dyDescent="0.25">
      <c r="A9" t="s">
        <v>16</v>
      </c>
      <c r="B9" t="s">
        <v>12</v>
      </c>
      <c r="D9">
        <v>9</v>
      </c>
      <c r="E9" t="s">
        <v>139</v>
      </c>
    </row>
    <row r="10" spans="1:5" x14ac:dyDescent="0.25">
      <c r="A10" t="s">
        <v>17</v>
      </c>
      <c r="B10" t="s">
        <v>6</v>
      </c>
    </row>
    <row r="11" spans="1:5" x14ac:dyDescent="0.25">
      <c r="A11" t="s">
        <v>18</v>
      </c>
      <c r="B11" t="s">
        <v>19</v>
      </c>
    </row>
    <row r="12" spans="1:5" x14ac:dyDescent="0.25">
      <c r="A12" t="s">
        <v>20</v>
      </c>
      <c r="B12" t="s">
        <v>21</v>
      </c>
    </row>
    <row r="13" spans="1:5" x14ac:dyDescent="0.25">
      <c r="A13" t="s">
        <v>22</v>
      </c>
      <c r="B13" t="s">
        <v>22</v>
      </c>
    </row>
    <row r="14" spans="1:5" x14ac:dyDescent="0.25">
      <c r="A14" t="s">
        <v>23</v>
      </c>
      <c r="B14" t="s">
        <v>11</v>
      </c>
    </row>
    <row r="15" spans="1:5" x14ac:dyDescent="0.25">
      <c r="A15" t="s">
        <v>24</v>
      </c>
      <c r="B15" t="s">
        <v>25</v>
      </c>
    </row>
    <row r="16" spans="1:5" x14ac:dyDescent="0.25">
      <c r="A16" t="s">
        <v>26</v>
      </c>
      <c r="B16" t="s">
        <v>27</v>
      </c>
    </row>
    <row r="17" spans="1:2" x14ac:dyDescent="0.25">
      <c r="A17" t="s">
        <v>28</v>
      </c>
      <c r="B17" t="s">
        <v>29</v>
      </c>
    </row>
    <row r="18" spans="1:2" x14ac:dyDescent="0.25">
      <c r="A18" t="s">
        <v>30</v>
      </c>
      <c r="B18" t="s">
        <v>31</v>
      </c>
    </row>
    <row r="19" spans="1:2" x14ac:dyDescent="0.25">
      <c r="A19" t="s">
        <v>34</v>
      </c>
      <c r="B19" t="s">
        <v>10</v>
      </c>
    </row>
    <row r="20" spans="1:2" x14ac:dyDescent="0.25">
      <c r="A20" t="s">
        <v>15</v>
      </c>
      <c r="B20" t="s">
        <v>7</v>
      </c>
    </row>
    <row r="21" spans="1:2" x14ac:dyDescent="0.25">
      <c r="A21" t="s">
        <v>43</v>
      </c>
      <c r="B21" t="s">
        <v>31</v>
      </c>
    </row>
    <row r="22" spans="1:2" x14ac:dyDescent="0.25">
      <c r="A22" t="s">
        <v>44</v>
      </c>
      <c r="B22" t="s">
        <v>16</v>
      </c>
    </row>
    <row r="23" spans="1:2" x14ac:dyDescent="0.25">
      <c r="A23" t="s">
        <v>45</v>
      </c>
      <c r="B23" t="s">
        <v>37</v>
      </c>
    </row>
    <row r="24" spans="1:2" x14ac:dyDescent="0.25">
      <c r="A24" t="s">
        <v>56</v>
      </c>
      <c r="B24" t="s">
        <v>57</v>
      </c>
    </row>
    <row r="25" spans="1:2" x14ac:dyDescent="0.25">
      <c r="A25" t="s">
        <v>110</v>
      </c>
      <c r="B25" t="s">
        <v>111</v>
      </c>
    </row>
    <row r="26" spans="1:2" x14ac:dyDescent="0.25">
      <c r="A26" t="s">
        <v>112</v>
      </c>
      <c r="B26" t="s">
        <v>113</v>
      </c>
    </row>
    <row r="27" spans="1:2" x14ac:dyDescent="0.25">
      <c r="A27" t="s">
        <v>114</v>
      </c>
      <c r="B27" t="s">
        <v>115</v>
      </c>
    </row>
    <row r="28" spans="1:2" x14ac:dyDescent="0.25">
      <c r="A28" t="s">
        <v>116</v>
      </c>
      <c r="B28" t="s">
        <v>30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31</v>
      </c>
      <c r="B30" t="s">
        <v>31</v>
      </c>
    </row>
    <row r="31" spans="1:2" x14ac:dyDescent="0.25">
      <c r="A31" t="s">
        <v>119</v>
      </c>
      <c r="B31" t="s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7588D-9AFE-4FAC-9A6C-497E9A8D0DFD}">
  <sheetPr codeName="Sheet13"/>
  <dimension ref="A1:P13"/>
  <sheetViews>
    <sheetView workbookViewId="0">
      <selection activeCell="O4" sqref="O4"/>
    </sheetView>
  </sheetViews>
  <sheetFormatPr defaultRowHeight="15" x14ac:dyDescent="0.25"/>
  <cols>
    <col min="1" max="1" width="12.7109375" bestFit="1" customWidth="1"/>
    <col min="2" max="2" width="6.85546875" customWidth="1"/>
    <col min="3" max="3" width="14" bestFit="1" customWidth="1"/>
    <col min="4" max="4" width="8" bestFit="1" customWidth="1"/>
    <col min="5" max="5" width="11.7109375" bestFit="1" customWidth="1"/>
    <col min="6" max="6" width="4.7109375" bestFit="1" customWidth="1"/>
    <col min="7" max="7" width="8.5703125" bestFit="1" customWidth="1"/>
    <col min="8" max="8" width="16" bestFit="1" customWidth="1"/>
    <col min="9" max="9" width="13.7109375" bestFit="1" customWidth="1"/>
    <col min="10" max="10" width="16" bestFit="1" customWidth="1"/>
    <col min="11" max="11" width="15.28515625" bestFit="1" customWidth="1"/>
    <col min="12" max="12" width="17.7109375" bestFit="1" customWidth="1"/>
    <col min="13" max="13" width="6.85546875" bestFit="1" customWidth="1"/>
    <col min="14" max="14" width="8.140625" customWidth="1"/>
    <col min="15" max="15" width="20" bestFit="1" customWidth="1"/>
    <col min="16" max="16" width="10.42578125" bestFit="1" customWidth="1"/>
    <col min="17" max="17" width="13.7109375" bestFit="1" customWidth="1"/>
  </cols>
  <sheetData>
    <row r="1" spans="1:16" x14ac:dyDescent="0.25">
      <c r="A1" s="48"/>
      <c r="B1" s="49"/>
      <c r="C1" s="50"/>
      <c r="E1" s="56"/>
    </row>
    <row r="2" spans="1:16" ht="6" customHeight="1" x14ac:dyDescent="0.25"/>
    <row r="3" spans="1:16" x14ac:dyDescent="0.25">
      <c r="A3" s="51">
        <v>262</v>
      </c>
    </row>
    <row r="4" spans="1:16" x14ac:dyDescent="0.25">
      <c r="A4" s="88" t="s">
        <v>35</v>
      </c>
      <c r="B4" s="89"/>
      <c r="C4" s="89"/>
      <c r="D4" s="89"/>
      <c r="E4" s="89"/>
      <c r="F4" s="89"/>
      <c r="G4" s="89"/>
      <c r="H4" s="90"/>
      <c r="I4" s="88" t="s">
        <v>91</v>
      </c>
      <c r="J4" s="89"/>
      <c r="K4" s="89"/>
      <c r="L4" s="89"/>
      <c r="M4" s="90"/>
      <c r="N4" s="58" t="s">
        <v>92</v>
      </c>
    </row>
    <row r="5" spans="1:16" x14ac:dyDescent="0.25">
      <c r="A5" s="56" t="s">
        <v>62</v>
      </c>
      <c r="B5" s="56" t="s">
        <v>63</v>
      </c>
      <c r="C5" s="56" t="s">
        <v>58</v>
      </c>
      <c r="D5" s="56" t="s">
        <v>64</v>
      </c>
      <c r="E5" t="s">
        <v>81</v>
      </c>
      <c r="F5" t="s">
        <v>82</v>
      </c>
      <c r="G5" t="s">
        <v>83</v>
      </c>
      <c r="H5" t="s">
        <v>84</v>
      </c>
      <c r="I5" s="56" t="s">
        <v>65</v>
      </c>
      <c r="J5" s="56" t="s">
        <v>66</v>
      </c>
      <c r="K5" s="56" t="s">
        <v>67</v>
      </c>
      <c r="L5" s="56" t="s">
        <v>68</v>
      </c>
      <c r="M5" s="56" t="s">
        <v>69</v>
      </c>
      <c r="N5" s="56" t="s">
        <v>13</v>
      </c>
    </row>
    <row r="7" spans="1:16" x14ac:dyDescent="0.25">
      <c r="A7" s="51">
        <v>27</v>
      </c>
    </row>
    <row r="8" spans="1:16" x14ac:dyDescent="0.25">
      <c r="A8" s="88" t="s">
        <v>35</v>
      </c>
      <c r="B8" s="89"/>
      <c r="C8" s="89"/>
      <c r="D8" s="89"/>
      <c r="E8" s="89"/>
      <c r="F8" s="89"/>
      <c r="G8" s="89"/>
      <c r="H8" s="90"/>
      <c r="I8" s="88" t="s">
        <v>91</v>
      </c>
      <c r="J8" s="89"/>
      <c r="K8" s="89"/>
      <c r="L8" s="89"/>
      <c r="M8" s="90"/>
      <c r="N8" s="88" t="s">
        <v>92</v>
      </c>
      <c r="O8" s="90"/>
    </row>
    <row r="9" spans="1:16" x14ac:dyDescent="0.25">
      <c r="A9" s="56" t="s">
        <v>62</v>
      </c>
      <c r="B9" s="56" t="s">
        <v>63</v>
      </c>
      <c r="C9" s="56" t="s">
        <v>58</v>
      </c>
      <c r="D9" s="56" t="s">
        <v>64</v>
      </c>
      <c r="E9" t="s">
        <v>81</v>
      </c>
      <c r="F9" t="s">
        <v>82</v>
      </c>
      <c r="G9" t="s">
        <v>83</v>
      </c>
      <c r="H9" t="s">
        <v>84</v>
      </c>
      <c r="I9" s="56" t="s">
        <v>65</v>
      </c>
      <c r="J9" s="56" t="s">
        <v>66</v>
      </c>
      <c r="K9" s="56" t="s">
        <v>67</v>
      </c>
      <c r="L9" s="56" t="s">
        <v>68</v>
      </c>
      <c r="M9" s="56" t="s">
        <v>69</v>
      </c>
      <c r="N9" s="56" t="s">
        <v>13</v>
      </c>
      <c r="O9" t="s">
        <v>70</v>
      </c>
    </row>
    <row r="11" spans="1:16" x14ac:dyDescent="0.25">
      <c r="A11" s="51">
        <v>41</v>
      </c>
    </row>
    <row r="12" spans="1:16" x14ac:dyDescent="0.25">
      <c r="A12" s="88" t="s">
        <v>35</v>
      </c>
      <c r="B12" s="89"/>
      <c r="C12" s="89"/>
      <c r="D12" s="89"/>
      <c r="E12" s="89"/>
      <c r="F12" s="89"/>
      <c r="G12" s="89"/>
      <c r="H12" s="90"/>
      <c r="I12" s="88" t="s">
        <v>91</v>
      </c>
      <c r="J12" s="89"/>
      <c r="K12" s="89"/>
      <c r="L12" s="89"/>
      <c r="M12" s="90"/>
      <c r="N12" s="88" t="s">
        <v>92</v>
      </c>
      <c r="O12" s="89"/>
      <c r="P12" s="90"/>
    </row>
    <row r="13" spans="1:16" x14ac:dyDescent="0.25">
      <c r="A13" s="56" t="s">
        <v>62</v>
      </c>
      <c r="B13" s="56" t="s">
        <v>63</v>
      </c>
      <c r="C13" s="56" t="s">
        <v>58</v>
      </c>
      <c r="D13" s="56" t="s">
        <v>64</v>
      </c>
      <c r="E13" t="s">
        <v>81</v>
      </c>
      <c r="F13" t="s">
        <v>82</v>
      </c>
      <c r="G13" t="s">
        <v>83</v>
      </c>
      <c r="H13" t="s">
        <v>84</v>
      </c>
      <c r="I13" s="56" t="s">
        <v>65</v>
      </c>
      <c r="J13" s="56" t="s">
        <v>66</v>
      </c>
      <c r="K13" s="56" t="s">
        <v>67</v>
      </c>
      <c r="L13" s="56" t="s">
        <v>68</v>
      </c>
      <c r="M13" s="56" t="s">
        <v>69</v>
      </c>
      <c r="N13" s="56" t="s">
        <v>13</v>
      </c>
      <c r="O13" t="s">
        <v>70</v>
      </c>
      <c r="P13" t="s">
        <v>89</v>
      </c>
    </row>
  </sheetData>
  <mergeCells count="8">
    <mergeCell ref="A12:H12"/>
    <mergeCell ref="I12:M12"/>
    <mergeCell ref="N12:P12"/>
    <mergeCell ref="I4:M4"/>
    <mergeCell ref="A4:H4"/>
    <mergeCell ref="A8:H8"/>
    <mergeCell ref="I8:M8"/>
    <mergeCell ref="N8:O8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1D1C3-6455-4BF0-8B37-4EAA54E10016}">
  <sheetPr codeName="Sheet10"/>
  <dimension ref="A1:S6"/>
  <sheetViews>
    <sheetView workbookViewId="0">
      <selection activeCell="E12" sqref="E12"/>
    </sheetView>
  </sheetViews>
  <sheetFormatPr defaultColWidth="9.140625" defaultRowHeight="15" x14ac:dyDescent="0.25"/>
  <cols>
    <col min="1" max="1" width="14" style="6" customWidth="1"/>
    <col min="2" max="2" width="18.7109375" style="6" customWidth="1"/>
    <col min="3" max="3" width="26.140625" style="6" customWidth="1"/>
    <col min="4" max="4" width="21.42578125" style="6" customWidth="1"/>
    <col min="5" max="5" width="23.28515625" style="6" customWidth="1"/>
    <col min="6" max="6" width="25.7109375" style="6" customWidth="1"/>
    <col min="7" max="7" width="27.5703125" style="6" bestFit="1" customWidth="1"/>
    <col min="8" max="8" width="20.140625" style="6" customWidth="1"/>
    <col min="9" max="9" width="11.42578125" style="6" customWidth="1"/>
    <col min="10" max="10" width="18.140625" style="6" customWidth="1"/>
    <col min="11" max="11" width="18" style="6" customWidth="1"/>
    <col min="12" max="12" width="19.140625" style="6" customWidth="1"/>
    <col min="13" max="13" width="19.28515625" style="6" customWidth="1"/>
    <col min="14" max="14" width="21" style="6" customWidth="1"/>
    <col min="15" max="15" width="21.5703125" style="6" bestFit="1" customWidth="1"/>
    <col min="16" max="16" width="20.85546875" style="6" customWidth="1"/>
    <col min="17" max="17" width="26" style="6" customWidth="1"/>
    <col min="18" max="18" width="15.5703125" style="6" customWidth="1"/>
    <col min="19" max="19" width="11.28515625" style="6" customWidth="1"/>
    <col min="20" max="20" width="20" style="6" bestFit="1" customWidth="1"/>
    <col min="21" max="21" width="8" style="6" bestFit="1" customWidth="1"/>
    <col min="22" max="22" width="7.7109375" style="6" bestFit="1" customWidth="1"/>
    <col min="23" max="23" width="10.5703125" style="6" customWidth="1"/>
    <col min="24" max="24" width="10" style="6" customWidth="1"/>
    <col min="25" max="25" width="12.85546875" style="6" customWidth="1"/>
    <col min="26" max="26" width="11" style="6" customWidth="1"/>
    <col min="27" max="27" width="20.7109375" style="6" bestFit="1" customWidth="1"/>
    <col min="28" max="28" width="19.42578125" style="6" bestFit="1" customWidth="1"/>
    <col min="29" max="29" width="11.42578125" style="6" bestFit="1" customWidth="1"/>
    <col min="30" max="16384" width="9.140625" style="6"/>
  </cols>
  <sheetData>
    <row r="1" spans="1:19" x14ac:dyDescent="0.25">
      <c r="A1" s="48"/>
      <c r="B1" s="49"/>
      <c r="D1" s="56"/>
    </row>
    <row r="2" spans="1:19" ht="6.75" customHeight="1" x14ac:dyDescent="0.25">
      <c r="A2" s="46"/>
      <c r="B2" s="46"/>
    </row>
    <row r="3" spans="1:19" x14ac:dyDescent="0.25">
      <c r="A3" s="52">
        <v>262</v>
      </c>
    </row>
    <row r="4" spans="1:19" s="46" customFormat="1" x14ac:dyDescent="0.25">
      <c r="A4" s="88" t="s">
        <v>100</v>
      </c>
      <c r="B4" s="89"/>
      <c r="C4" s="89"/>
      <c r="D4" s="89"/>
      <c r="E4" s="89"/>
      <c r="F4" s="89"/>
      <c r="G4" s="89"/>
      <c r="H4" s="90"/>
      <c r="I4" s="89"/>
      <c r="J4" s="89"/>
      <c r="K4" s="89"/>
      <c r="L4" s="89"/>
      <c r="M4" s="89"/>
      <c r="N4" s="89"/>
      <c r="O4" s="90"/>
      <c r="P4" s="88" t="s">
        <v>91</v>
      </c>
      <c r="Q4" s="89"/>
      <c r="R4" s="89"/>
      <c r="S4" s="90"/>
    </row>
    <row r="5" spans="1:19" ht="15.75" x14ac:dyDescent="0.25">
      <c r="A5" s="56" t="s">
        <v>62</v>
      </c>
      <c r="B5" s="59" t="s">
        <v>90</v>
      </c>
      <c r="C5" s="60" t="s">
        <v>144</v>
      </c>
      <c r="D5" s="60" t="s">
        <v>99</v>
      </c>
      <c r="E5" s="60" t="s">
        <v>85</v>
      </c>
      <c r="F5" s="60" t="s">
        <v>86</v>
      </c>
      <c r="G5" s="57" t="s">
        <v>87</v>
      </c>
      <c r="H5" s="57" t="s">
        <v>88</v>
      </c>
      <c r="I5" s="61" t="s">
        <v>63</v>
      </c>
      <c r="J5" s="60" t="s">
        <v>58</v>
      </c>
      <c r="K5" s="57" t="s">
        <v>64</v>
      </c>
      <c r="L5" s="57" t="s">
        <v>81</v>
      </c>
      <c r="M5" s="57" t="s">
        <v>82</v>
      </c>
      <c r="N5" s="57" t="s">
        <v>83</v>
      </c>
      <c r="O5" s="57" t="s">
        <v>84</v>
      </c>
      <c r="P5" s="60" t="s">
        <v>65</v>
      </c>
      <c r="Q5" s="60" t="s">
        <v>66</v>
      </c>
      <c r="R5" s="47" t="s">
        <v>69</v>
      </c>
      <c r="S5" s="47" t="s">
        <v>13</v>
      </c>
    </row>
    <row r="6" spans="1:19" x14ac:dyDescent="0.25">
      <c r="A6"/>
      <c r="B6"/>
      <c r="C6" t="s">
        <v>123</v>
      </c>
      <c r="D6" s="55"/>
      <c r="E6" s="11"/>
      <c r="F6"/>
      <c r="G6" s="11"/>
      <c r="H6"/>
      <c r="I6" s="11"/>
      <c r="J6" s="11"/>
      <c r="K6"/>
      <c r="L6"/>
      <c r="M6"/>
      <c r="N6"/>
      <c r="O6"/>
      <c r="P6"/>
      <c r="Q6"/>
      <c r="R6"/>
      <c r="S6"/>
    </row>
  </sheetData>
  <mergeCells count="3">
    <mergeCell ref="P4:S4"/>
    <mergeCell ref="A4:H4"/>
    <mergeCell ref="I4:O4"/>
  </mergeCells>
  <dataValidations count="2">
    <dataValidation type="list" allowBlank="1" showInputMessage="1" showErrorMessage="1" sqref="C6" xr:uid="{F327B2A2-3DF8-44D4-A407-19949975D951}">
      <formula1>"Pilih Salasatu,261,262,40,41,27,25"</formula1>
    </dataValidation>
    <dataValidation type="list" allowBlank="1" showInputMessage="1" showErrorMessage="1" sqref="D6" xr:uid="{25B9C59D-99D6-4D3A-8091-EB5501E01F69}">
      <formula1>"050500,050700"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24"/>
  <sheetViews>
    <sheetView tabSelected="1" workbookViewId="0">
      <pane xSplit="4" ySplit="5" topLeftCell="E6" activePane="bottomRight" state="frozen"/>
      <selection activeCell="B18" sqref="B18"/>
      <selection pane="topRight" activeCell="B18" sqref="B18"/>
      <selection pane="bottomLeft" activeCell="B18" sqref="B18"/>
      <selection pane="bottomRight" activeCell="D17" sqref="D17"/>
    </sheetView>
  </sheetViews>
  <sheetFormatPr defaultRowHeight="15" x14ac:dyDescent="0.25"/>
  <cols>
    <col min="1" max="1" width="4.140625" style="14" customWidth="1"/>
    <col min="2" max="2" width="21.140625" style="7" customWidth="1"/>
    <col min="3" max="3" width="13" customWidth="1"/>
    <col min="4" max="4" width="37.42578125" bestFit="1" customWidth="1"/>
    <col min="5" max="5" width="56" customWidth="1"/>
    <col min="6" max="6" width="0.42578125" style="13" customWidth="1"/>
    <col min="8" max="8" width="4.42578125" customWidth="1"/>
    <col min="9" max="9" width="5.140625" customWidth="1"/>
  </cols>
  <sheetData>
    <row r="1" spans="1:7" ht="15" customHeight="1" x14ac:dyDescent="0.25">
      <c r="A1" s="92" t="s">
        <v>73</v>
      </c>
      <c r="B1" s="92"/>
      <c r="C1" s="26">
        <f>COUNTIF(C6:C16,TRUE)</f>
        <v>2</v>
      </c>
      <c r="D1" s="21"/>
      <c r="E1" s="22"/>
      <c r="F1" s="35"/>
    </row>
    <row r="2" spans="1:7" ht="15" customHeight="1" x14ac:dyDescent="0.25">
      <c r="A2" s="92" t="s">
        <v>74</v>
      </c>
      <c r="B2" s="92"/>
      <c r="C2" s="26">
        <f>COUNTIF(C7:C16,FALSE)</f>
        <v>0</v>
      </c>
      <c r="D2" s="21"/>
      <c r="E2" s="23"/>
      <c r="F2" s="35"/>
      <c r="G2" s="13" t="s">
        <v>59</v>
      </c>
    </row>
    <row r="3" spans="1:7" ht="28.5" customHeight="1" x14ac:dyDescent="0.25">
      <c r="A3" s="93" t="s">
        <v>72</v>
      </c>
      <c r="B3" s="93"/>
      <c r="C3" s="24" t="b">
        <f>IF(C1=2,TRUE,FALSE)</f>
        <v>1</v>
      </c>
      <c r="D3" s="25"/>
      <c r="E3" s="23"/>
      <c r="F3" s="35"/>
      <c r="G3" s="13" t="s">
        <v>60</v>
      </c>
    </row>
    <row r="4" spans="1:7" ht="5.25" customHeight="1" x14ac:dyDescent="0.25">
      <c r="A4" s="27"/>
      <c r="B4" s="28"/>
      <c r="C4" s="28"/>
      <c r="D4" s="29"/>
      <c r="E4" s="28"/>
      <c r="F4" s="35"/>
      <c r="G4" s="13"/>
    </row>
    <row r="5" spans="1:7" x14ac:dyDescent="0.25">
      <c r="A5" s="30" t="s">
        <v>71</v>
      </c>
      <c r="B5" s="30" t="s">
        <v>75</v>
      </c>
      <c r="C5" s="30" t="s">
        <v>61</v>
      </c>
      <c r="D5" s="31" t="s">
        <v>40</v>
      </c>
      <c r="E5" s="31" t="s">
        <v>131</v>
      </c>
      <c r="F5" s="35"/>
    </row>
    <row r="6" spans="1:7" x14ac:dyDescent="0.25">
      <c r="A6" s="91" t="s">
        <v>124</v>
      </c>
      <c r="B6" s="91"/>
      <c r="C6" s="32" t="b">
        <f>IF(COUNTIF(BARANG!$Y$3:$Y$1048576,"FALSE")=0,TRUE,FALSE)</f>
        <v>1</v>
      </c>
      <c r="D6" s="33"/>
      <c r="E6" s="32"/>
      <c r="F6" s="34"/>
    </row>
    <row r="7" spans="1:7" x14ac:dyDescent="0.25">
      <c r="A7" s="14">
        <v>1</v>
      </c>
      <c r="B7" s="5" t="s">
        <v>126</v>
      </c>
      <c r="C7" s="77"/>
      <c r="D7" s="67">
        <f>COUNTA(BARANG!$A$3:$A$1048576)</f>
        <v>18</v>
      </c>
      <c r="E7" s="17"/>
      <c r="F7" s="16"/>
    </row>
    <row r="8" spans="1:7" x14ac:dyDescent="0.25">
      <c r="A8" s="14">
        <v>2</v>
      </c>
      <c r="B8" s="5" t="s">
        <v>127</v>
      </c>
      <c r="D8" s="67">
        <f>SUM(BARANG!$J$3:$J$1048576)</f>
        <v>111532.47</v>
      </c>
      <c r="E8" s="17"/>
      <c r="F8" s="16"/>
    </row>
    <row r="9" spans="1:7" x14ac:dyDescent="0.25">
      <c r="A9" s="14">
        <v>3</v>
      </c>
      <c r="B9" s="5" t="s">
        <v>128</v>
      </c>
      <c r="D9" s="67">
        <f>SUM(BARANG!$L$3:$L$1048576)</f>
        <v>3</v>
      </c>
      <c r="E9" s="17"/>
      <c r="F9" s="16"/>
    </row>
    <row r="10" spans="1:7" x14ac:dyDescent="0.25">
      <c r="A10" s="14">
        <v>4</v>
      </c>
      <c r="B10" s="5" t="s">
        <v>130</v>
      </c>
      <c r="D10" s="67">
        <f>SUM(BARANG!$M$3:$M$1048576)</f>
        <v>353676.23999999993</v>
      </c>
      <c r="E10" s="17"/>
      <c r="F10" s="16"/>
    </row>
    <row r="11" spans="1:7" x14ac:dyDescent="0.25">
      <c r="A11" s="14">
        <v>5</v>
      </c>
      <c r="B11" s="5" t="s">
        <v>129</v>
      </c>
      <c r="D11" s="67">
        <f>SUM(BARANG!$N$3:$N$1048576)</f>
        <v>4226361.99</v>
      </c>
      <c r="E11" s="17"/>
      <c r="F11" s="16"/>
    </row>
    <row r="12" spans="1:7" x14ac:dyDescent="0.25">
      <c r="A12" s="91" t="s">
        <v>125</v>
      </c>
      <c r="B12" s="91"/>
      <c r="C12" s="37" t="b">
        <f>IF(COUNTIF(BAHANBAKU!$AE$3:$AE$1048576,"FALSE")=0,TRUE,FALSE)</f>
        <v>1</v>
      </c>
      <c r="D12" s="37"/>
      <c r="E12" s="36"/>
      <c r="F12" s="34"/>
    </row>
    <row r="13" spans="1:7" x14ac:dyDescent="0.25">
      <c r="A13" s="14">
        <v>1</v>
      </c>
      <c r="B13" s="5" t="s">
        <v>126</v>
      </c>
      <c r="C13" s="67"/>
      <c r="D13" s="19">
        <f>COUNTA(BAHANBAKU!$B$3:$B$1048576)</f>
        <v>84</v>
      </c>
      <c r="E13" s="17"/>
      <c r="F13" s="16"/>
    </row>
    <row r="14" spans="1:7" x14ac:dyDescent="0.25">
      <c r="A14" s="14">
        <v>2</v>
      </c>
      <c r="B14" s="5" t="s">
        <v>127</v>
      </c>
      <c r="C14" s="67"/>
      <c r="D14" s="19">
        <f>SUM(BAHANBAKU!$Q$3:$Q$1048576)</f>
        <v>341226.07</v>
      </c>
      <c r="E14" s="17"/>
      <c r="F14" s="16"/>
    </row>
    <row r="15" spans="1:7" x14ac:dyDescent="0.25">
      <c r="A15" s="14">
        <v>3</v>
      </c>
      <c r="B15" s="5" t="s">
        <v>130</v>
      </c>
      <c r="C15" s="67"/>
      <c r="D15" s="19">
        <f>SUM(BAHANBAKU!$R$3:$R$1048576)</f>
        <v>0</v>
      </c>
      <c r="E15" s="17"/>
      <c r="F15" s="16"/>
    </row>
    <row r="16" spans="1:7" x14ac:dyDescent="0.25">
      <c r="A16" s="14">
        <v>4</v>
      </c>
      <c r="B16" s="5" t="s">
        <v>129</v>
      </c>
      <c r="C16" s="67"/>
      <c r="D16" s="19">
        <f>SUM(BAHANBAKU!$S$3:$S$1048576)</f>
        <v>0</v>
      </c>
      <c r="E16" s="17"/>
      <c r="F16" s="16"/>
    </row>
    <row r="17" spans="2:6" x14ac:dyDescent="0.25">
      <c r="B17" s="5"/>
      <c r="C17" s="18"/>
      <c r="D17" s="20"/>
      <c r="E17" s="17"/>
      <c r="F17" s="16"/>
    </row>
    <row r="18" spans="2:6" x14ac:dyDescent="0.25">
      <c r="B18" s="5"/>
      <c r="C18" s="18"/>
      <c r="D18" s="20"/>
      <c r="E18" s="17"/>
      <c r="F18" s="16"/>
    </row>
    <row r="19" spans="2:6" x14ac:dyDescent="0.25">
      <c r="B19" s="5"/>
      <c r="C19" s="18"/>
      <c r="D19" s="20"/>
      <c r="E19" s="17"/>
      <c r="F19" s="16"/>
    </row>
    <row r="20" spans="2:6" x14ac:dyDescent="0.25">
      <c r="B20" s="5"/>
      <c r="C20" s="18"/>
      <c r="D20" s="20"/>
      <c r="E20" s="17"/>
      <c r="F20" s="16"/>
    </row>
    <row r="21" spans="2:6" x14ac:dyDescent="0.25">
      <c r="B21" s="5"/>
      <c r="C21" s="18"/>
      <c r="D21" s="20"/>
      <c r="E21" s="17"/>
      <c r="F21" s="16"/>
    </row>
    <row r="22" spans="2:6" x14ac:dyDescent="0.25">
      <c r="B22" s="5"/>
      <c r="C22" s="18"/>
      <c r="D22" s="20"/>
      <c r="E22" s="17"/>
      <c r="F22" s="16"/>
    </row>
    <row r="23" spans="2:6" x14ac:dyDescent="0.25">
      <c r="B23" s="5"/>
      <c r="C23" s="18"/>
      <c r="D23" s="20"/>
      <c r="E23" s="17"/>
      <c r="F23" s="16"/>
    </row>
    <row r="24" spans="2:6" x14ac:dyDescent="0.25">
      <c r="B24" s="5"/>
      <c r="C24" s="18"/>
      <c r="D24" s="20"/>
      <c r="E24" s="17"/>
      <c r="F24" s="16"/>
    </row>
    <row r="25" spans="2:6" x14ac:dyDescent="0.25">
      <c r="B25" s="5"/>
      <c r="C25" s="18"/>
      <c r="D25" s="20"/>
      <c r="E25" s="17"/>
      <c r="F25" s="16"/>
    </row>
    <row r="26" spans="2:6" x14ac:dyDescent="0.25">
      <c r="B26" s="5"/>
      <c r="C26" s="18"/>
      <c r="D26" s="20"/>
      <c r="E26" s="17"/>
      <c r="F26" s="16"/>
    </row>
    <row r="27" spans="2:6" x14ac:dyDescent="0.25">
      <c r="B27" s="5"/>
      <c r="C27" s="18"/>
      <c r="D27" s="20"/>
      <c r="E27" s="17"/>
      <c r="F27" s="16"/>
    </row>
    <row r="28" spans="2:6" x14ac:dyDescent="0.25">
      <c r="B28" s="5"/>
      <c r="C28" s="18"/>
      <c r="D28" s="20"/>
      <c r="E28" s="17"/>
      <c r="F28" s="16"/>
    </row>
    <row r="29" spans="2:6" x14ac:dyDescent="0.25">
      <c r="C29" s="17"/>
      <c r="D29" s="19"/>
      <c r="E29" s="15"/>
      <c r="F29" s="16"/>
    </row>
    <row r="30" spans="2:6" x14ac:dyDescent="0.25">
      <c r="C30" s="17"/>
      <c r="D30" s="19"/>
      <c r="E30" s="15"/>
      <c r="F30" s="16"/>
    </row>
    <row r="31" spans="2:6" x14ac:dyDescent="0.25">
      <c r="C31" s="17"/>
      <c r="D31" s="19"/>
      <c r="E31" s="15"/>
      <c r="F31" s="16"/>
    </row>
    <row r="32" spans="2:6" x14ac:dyDescent="0.25">
      <c r="C32" s="17"/>
      <c r="D32" s="19"/>
      <c r="E32" s="15"/>
      <c r="F32" s="16"/>
    </row>
    <row r="33" spans="3:6" x14ac:dyDescent="0.25">
      <c r="C33" s="17"/>
      <c r="D33" s="19"/>
      <c r="E33" s="15"/>
      <c r="F33" s="16"/>
    </row>
    <row r="34" spans="3:6" x14ac:dyDescent="0.25">
      <c r="C34" s="17"/>
      <c r="D34" s="19"/>
      <c r="E34" s="15"/>
    </row>
    <row r="35" spans="3:6" x14ac:dyDescent="0.25">
      <c r="C35" s="17"/>
      <c r="D35" s="19"/>
      <c r="E35" s="15"/>
    </row>
    <row r="36" spans="3:6" x14ac:dyDescent="0.25">
      <c r="C36" s="17"/>
      <c r="D36" s="19"/>
      <c r="E36" s="15"/>
    </row>
    <row r="37" spans="3:6" x14ac:dyDescent="0.25">
      <c r="C37" s="17"/>
      <c r="D37" s="19"/>
      <c r="E37" s="15"/>
    </row>
    <row r="38" spans="3:6" x14ac:dyDescent="0.25">
      <c r="C38" s="17"/>
      <c r="D38" s="19"/>
      <c r="E38" s="15"/>
    </row>
    <row r="39" spans="3:6" x14ac:dyDescent="0.25">
      <c r="C39" s="17"/>
      <c r="D39" s="19"/>
      <c r="E39" s="15"/>
    </row>
    <row r="40" spans="3:6" x14ac:dyDescent="0.25">
      <c r="C40" s="17"/>
      <c r="D40" s="19"/>
      <c r="E40" s="15"/>
    </row>
    <row r="41" spans="3:6" x14ac:dyDescent="0.25">
      <c r="C41" s="17"/>
      <c r="D41" s="19"/>
      <c r="E41" s="15"/>
    </row>
    <row r="42" spans="3:6" x14ac:dyDescent="0.25">
      <c r="C42" s="17"/>
      <c r="D42" s="19"/>
      <c r="E42" s="15"/>
    </row>
    <row r="43" spans="3:6" x14ac:dyDescent="0.25">
      <c r="C43" s="17"/>
      <c r="D43" s="19"/>
      <c r="E43" s="15"/>
    </row>
    <row r="44" spans="3:6" x14ac:dyDescent="0.25">
      <c r="C44" s="17"/>
      <c r="D44" s="19"/>
      <c r="E44" s="15"/>
    </row>
    <row r="45" spans="3:6" x14ac:dyDescent="0.25">
      <c r="C45" s="17"/>
      <c r="D45" s="19"/>
      <c r="E45" s="15"/>
    </row>
    <row r="46" spans="3:6" x14ac:dyDescent="0.25">
      <c r="C46" s="17"/>
      <c r="D46" s="19"/>
      <c r="E46" s="15"/>
    </row>
    <row r="47" spans="3:6" x14ac:dyDescent="0.25">
      <c r="C47" s="17"/>
      <c r="D47" s="19"/>
      <c r="E47" s="15"/>
    </row>
    <row r="48" spans="3:6" x14ac:dyDescent="0.25">
      <c r="C48" s="17"/>
      <c r="D48" s="19"/>
      <c r="E48" s="15"/>
    </row>
    <row r="49" spans="3:5" x14ac:dyDescent="0.25">
      <c r="C49" s="17"/>
      <c r="D49" s="19"/>
      <c r="E49" s="15"/>
    </row>
    <row r="50" spans="3:5" x14ac:dyDescent="0.25">
      <c r="C50" s="17"/>
      <c r="D50" s="19"/>
      <c r="E50" s="15"/>
    </row>
    <row r="51" spans="3:5" x14ac:dyDescent="0.25">
      <c r="C51" s="17"/>
      <c r="D51" s="19"/>
      <c r="E51" s="15"/>
    </row>
    <row r="52" spans="3:5" x14ac:dyDescent="0.25">
      <c r="C52" s="17"/>
      <c r="D52" s="19"/>
      <c r="E52" s="15"/>
    </row>
    <row r="53" spans="3:5" x14ac:dyDescent="0.25">
      <c r="C53" s="17"/>
      <c r="D53" s="19"/>
      <c r="E53" s="15"/>
    </row>
    <row r="54" spans="3:5" x14ac:dyDescent="0.25">
      <c r="C54" s="17"/>
      <c r="D54" s="19"/>
      <c r="E54" s="15"/>
    </row>
    <row r="55" spans="3:5" x14ac:dyDescent="0.25">
      <c r="C55" s="17"/>
      <c r="D55" s="19"/>
      <c r="E55" s="15"/>
    </row>
    <row r="56" spans="3:5" x14ac:dyDescent="0.25">
      <c r="C56" s="17"/>
      <c r="D56" s="19"/>
      <c r="E56" s="15"/>
    </row>
    <row r="57" spans="3:5" x14ac:dyDescent="0.25">
      <c r="C57" s="17"/>
      <c r="D57" s="19"/>
      <c r="E57" s="15"/>
    </row>
    <row r="58" spans="3:5" x14ac:dyDescent="0.25">
      <c r="C58" s="17"/>
      <c r="D58" s="19"/>
      <c r="E58" s="15"/>
    </row>
    <row r="59" spans="3:5" x14ac:dyDescent="0.25">
      <c r="C59" s="17"/>
      <c r="D59" s="19"/>
      <c r="E59" s="15"/>
    </row>
    <row r="60" spans="3:5" x14ac:dyDescent="0.25">
      <c r="C60" s="17"/>
      <c r="D60" s="19"/>
      <c r="E60" s="15"/>
    </row>
    <row r="61" spans="3:5" x14ac:dyDescent="0.25">
      <c r="C61" s="17"/>
      <c r="D61" s="19"/>
      <c r="E61" s="15"/>
    </row>
    <row r="62" spans="3:5" x14ac:dyDescent="0.25">
      <c r="C62" s="17"/>
      <c r="D62" s="19"/>
      <c r="E62" s="15"/>
    </row>
    <row r="63" spans="3:5" x14ac:dyDescent="0.25">
      <c r="C63" s="17"/>
      <c r="D63" s="19"/>
      <c r="E63" s="15"/>
    </row>
    <row r="64" spans="3:5" x14ac:dyDescent="0.25">
      <c r="C64" s="17"/>
      <c r="D64" s="19"/>
      <c r="E64" s="15"/>
    </row>
    <row r="65" spans="3:5" x14ac:dyDescent="0.25">
      <c r="C65" s="17"/>
      <c r="D65" s="19"/>
      <c r="E65" s="15"/>
    </row>
    <row r="66" spans="3:5" x14ac:dyDescent="0.25">
      <c r="C66" s="17"/>
      <c r="D66" s="19"/>
      <c r="E66" s="15"/>
    </row>
    <row r="67" spans="3:5" x14ac:dyDescent="0.25">
      <c r="C67" s="17"/>
      <c r="D67" s="19"/>
      <c r="E67" s="15"/>
    </row>
    <row r="68" spans="3:5" x14ac:dyDescent="0.25">
      <c r="C68" s="17"/>
      <c r="D68" s="19"/>
      <c r="E68" s="15"/>
    </row>
    <row r="69" spans="3:5" x14ac:dyDescent="0.25">
      <c r="C69" s="17"/>
      <c r="D69" s="19"/>
      <c r="E69" s="15"/>
    </row>
    <row r="70" spans="3:5" x14ac:dyDescent="0.25">
      <c r="C70" s="17"/>
      <c r="D70" s="19"/>
      <c r="E70" s="15"/>
    </row>
    <row r="71" spans="3:5" x14ac:dyDescent="0.25">
      <c r="C71" s="17"/>
      <c r="D71" s="19"/>
      <c r="E71" s="15"/>
    </row>
    <row r="72" spans="3:5" x14ac:dyDescent="0.25">
      <c r="C72" s="17"/>
      <c r="D72" s="19"/>
      <c r="E72" s="15"/>
    </row>
    <row r="73" spans="3:5" x14ac:dyDescent="0.25">
      <c r="C73" s="17"/>
      <c r="D73" s="19"/>
      <c r="E73" s="15"/>
    </row>
    <row r="74" spans="3:5" x14ac:dyDescent="0.25">
      <c r="C74" s="17"/>
      <c r="D74" s="19"/>
      <c r="E74" s="15"/>
    </row>
    <row r="75" spans="3:5" x14ac:dyDescent="0.25">
      <c r="C75" s="17"/>
      <c r="D75" s="19"/>
      <c r="E75" s="15"/>
    </row>
    <row r="76" spans="3:5" x14ac:dyDescent="0.25">
      <c r="C76" s="17"/>
      <c r="D76" s="19"/>
      <c r="E76" s="15"/>
    </row>
    <row r="77" spans="3:5" x14ac:dyDescent="0.25">
      <c r="C77" s="17"/>
      <c r="D77" s="19"/>
      <c r="E77" s="15"/>
    </row>
    <row r="78" spans="3:5" x14ac:dyDescent="0.25">
      <c r="C78" s="17"/>
      <c r="D78" s="19"/>
      <c r="E78" s="15"/>
    </row>
    <row r="79" spans="3:5" x14ac:dyDescent="0.25">
      <c r="C79" s="17"/>
      <c r="D79" s="19"/>
      <c r="E79" s="15"/>
    </row>
    <row r="80" spans="3:5" x14ac:dyDescent="0.25">
      <c r="C80" s="17"/>
      <c r="D80" s="19"/>
      <c r="E80" s="15"/>
    </row>
    <row r="81" spans="3:5" x14ac:dyDescent="0.25">
      <c r="C81" s="17"/>
      <c r="D81" s="19"/>
      <c r="E81" s="15"/>
    </row>
    <row r="82" spans="3:5" x14ac:dyDescent="0.25">
      <c r="C82" s="17"/>
      <c r="D82" s="19"/>
      <c r="E82" s="15"/>
    </row>
    <row r="83" spans="3:5" x14ac:dyDescent="0.25">
      <c r="C83" s="17"/>
      <c r="D83" s="19"/>
      <c r="E83" s="15"/>
    </row>
    <row r="84" spans="3:5" x14ac:dyDescent="0.25">
      <c r="C84" s="17"/>
      <c r="D84" s="19"/>
      <c r="E84" s="15"/>
    </row>
    <row r="85" spans="3:5" x14ac:dyDescent="0.25">
      <c r="C85" s="17"/>
      <c r="D85" s="19"/>
      <c r="E85" s="15"/>
    </row>
    <row r="86" spans="3:5" x14ac:dyDescent="0.25">
      <c r="C86" s="17"/>
      <c r="D86" s="19"/>
      <c r="E86" s="15"/>
    </row>
    <row r="87" spans="3:5" x14ac:dyDescent="0.25">
      <c r="C87" s="17"/>
      <c r="D87" s="19"/>
      <c r="E87" s="15"/>
    </row>
    <row r="88" spans="3:5" x14ac:dyDescent="0.25">
      <c r="C88" s="17"/>
      <c r="D88" s="19"/>
      <c r="E88" s="15"/>
    </row>
    <row r="89" spans="3:5" x14ac:dyDescent="0.25">
      <c r="C89" s="17"/>
      <c r="D89" s="19"/>
      <c r="E89" s="15"/>
    </row>
    <row r="90" spans="3:5" x14ac:dyDescent="0.25">
      <c r="C90" s="17"/>
      <c r="D90" s="19"/>
      <c r="E90" s="15"/>
    </row>
    <row r="91" spans="3:5" x14ac:dyDescent="0.25">
      <c r="C91" s="17"/>
      <c r="D91" s="19"/>
      <c r="E91" s="15"/>
    </row>
    <row r="92" spans="3:5" x14ac:dyDescent="0.25">
      <c r="C92" s="17"/>
      <c r="D92" s="19"/>
      <c r="E92" s="15"/>
    </row>
    <row r="93" spans="3:5" x14ac:dyDescent="0.25">
      <c r="C93" s="17"/>
      <c r="D93" s="19"/>
      <c r="E93" s="15"/>
    </row>
    <row r="94" spans="3:5" x14ac:dyDescent="0.25">
      <c r="C94" s="17"/>
      <c r="D94" s="19"/>
      <c r="E94" s="15"/>
    </row>
    <row r="95" spans="3:5" x14ac:dyDescent="0.25">
      <c r="C95" s="17"/>
      <c r="D95" s="19"/>
      <c r="E95" s="15"/>
    </row>
    <row r="96" spans="3:5" x14ac:dyDescent="0.25">
      <c r="C96" s="17"/>
      <c r="D96" s="19"/>
      <c r="E96" s="15"/>
    </row>
    <row r="97" spans="3:5" x14ac:dyDescent="0.25">
      <c r="C97" s="17"/>
      <c r="D97" s="19"/>
      <c r="E97" s="15"/>
    </row>
    <row r="98" spans="3:5" x14ac:dyDescent="0.25">
      <c r="C98" s="17"/>
      <c r="D98" s="19"/>
      <c r="E98" s="15"/>
    </row>
    <row r="99" spans="3:5" x14ac:dyDescent="0.25">
      <c r="C99" s="17"/>
      <c r="D99" s="19"/>
      <c r="E99" s="15"/>
    </row>
    <row r="100" spans="3:5" x14ac:dyDescent="0.25">
      <c r="C100" s="17"/>
      <c r="D100" s="19"/>
      <c r="E100" s="15"/>
    </row>
    <row r="101" spans="3:5" x14ac:dyDescent="0.25">
      <c r="C101" s="17"/>
      <c r="D101" s="19"/>
      <c r="E101" s="15"/>
    </row>
    <row r="102" spans="3:5" x14ac:dyDescent="0.25">
      <c r="C102" s="17"/>
      <c r="D102" s="19"/>
      <c r="E102" s="15"/>
    </row>
    <row r="103" spans="3:5" x14ac:dyDescent="0.25">
      <c r="C103" s="17"/>
      <c r="D103" s="19"/>
      <c r="E103" s="15"/>
    </row>
    <row r="104" spans="3:5" x14ac:dyDescent="0.25">
      <c r="C104" s="17"/>
      <c r="D104" s="19"/>
      <c r="E104" s="15"/>
    </row>
    <row r="105" spans="3:5" x14ac:dyDescent="0.25">
      <c r="C105" s="17"/>
      <c r="D105" s="19"/>
      <c r="E105" s="15"/>
    </row>
    <row r="106" spans="3:5" x14ac:dyDescent="0.25">
      <c r="C106" s="17"/>
      <c r="D106" s="19"/>
      <c r="E106" s="15"/>
    </row>
    <row r="107" spans="3:5" x14ac:dyDescent="0.25">
      <c r="C107" s="17"/>
      <c r="D107" s="19"/>
      <c r="E107" s="15"/>
    </row>
    <row r="108" spans="3:5" x14ac:dyDescent="0.25">
      <c r="C108" s="17"/>
      <c r="D108" s="19"/>
      <c r="E108" s="15"/>
    </row>
    <row r="109" spans="3:5" x14ac:dyDescent="0.25">
      <c r="C109" s="17"/>
      <c r="D109" s="19"/>
      <c r="E109" s="15"/>
    </row>
    <row r="110" spans="3:5" x14ac:dyDescent="0.25">
      <c r="C110" s="17"/>
      <c r="D110" s="19"/>
      <c r="E110" s="15"/>
    </row>
    <row r="111" spans="3:5" x14ac:dyDescent="0.25">
      <c r="C111" s="17"/>
      <c r="D111" s="19"/>
      <c r="E111" s="15"/>
    </row>
    <row r="112" spans="3:5" x14ac:dyDescent="0.25">
      <c r="C112" s="17"/>
      <c r="D112" s="19"/>
      <c r="E112" s="15"/>
    </row>
    <row r="113" spans="3:5" x14ac:dyDescent="0.25">
      <c r="C113" s="17"/>
      <c r="D113" s="19"/>
      <c r="E113" s="15"/>
    </row>
    <row r="114" spans="3:5" x14ac:dyDescent="0.25">
      <c r="C114" s="17"/>
      <c r="D114" s="19"/>
      <c r="E114" s="15"/>
    </row>
    <row r="115" spans="3:5" x14ac:dyDescent="0.25">
      <c r="C115" s="17"/>
      <c r="D115" s="19"/>
      <c r="E115" s="15"/>
    </row>
    <row r="116" spans="3:5" x14ac:dyDescent="0.25">
      <c r="C116" s="17"/>
      <c r="D116" s="19"/>
      <c r="E116" s="15"/>
    </row>
    <row r="117" spans="3:5" x14ac:dyDescent="0.25">
      <c r="C117" s="17"/>
      <c r="D117" s="19"/>
      <c r="E117" s="15"/>
    </row>
    <row r="118" spans="3:5" x14ac:dyDescent="0.25">
      <c r="C118" s="17"/>
      <c r="D118" s="19"/>
      <c r="E118" s="15"/>
    </row>
    <row r="119" spans="3:5" x14ac:dyDescent="0.25">
      <c r="C119" s="17"/>
      <c r="D119" s="19"/>
      <c r="E119" s="15"/>
    </row>
    <row r="120" spans="3:5" x14ac:dyDescent="0.25">
      <c r="C120" s="17"/>
      <c r="D120" s="19"/>
      <c r="E120" s="15"/>
    </row>
    <row r="121" spans="3:5" x14ac:dyDescent="0.25">
      <c r="C121" s="17"/>
      <c r="D121" s="19"/>
      <c r="E121" s="15"/>
    </row>
    <row r="122" spans="3:5" x14ac:dyDescent="0.25">
      <c r="C122" s="17"/>
      <c r="D122" s="19"/>
      <c r="E122" s="15"/>
    </row>
    <row r="123" spans="3:5" x14ac:dyDescent="0.25">
      <c r="C123" s="17"/>
      <c r="D123" s="19"/>
      <c r="E123" s="15"/>
    </row>
    <row r="124" spans="3:5" x14ac:dyDescent="0.25">
      <c r="C124" s="17"/>
      <c r="D124" s="19"/>
      <c r="E124" s="15"/>
    </row>
    <row r="125" spans="3:5" x14ac:dyDescent="0.25">
      <c r="C125" s="17"/>
      <c r="D125" s="19"/>
      <c r="E125" s="15"/>
    </row>
    <row r="126" spans="3:5" x14ac:dyDescent="0.25">
      <c r="C126" s="17"/>
      <c r="D126" s="19"/>
      <c r="E126" s="15"/>
    </row>
    <row r="127" spans="3:5" x14ac:dyDescent="0.25">
      <c r="C127" s="17"/>
      <c r="D127" s="19"/>
      <c r="E127" s="15"/>
    </row>
    <row r="128" spans="3:5" x14ac:dyDescent="0.25">
      <c r="C128" s="17"/>
      <c r="D128" s="19"/>
      <c r="E128" s="15"/>
    </row>
    <row r="129" spans="3:5" x14ac:dyDescent="0.25">
      <c r="C129" s="17"/>
      <c r="D129" s="19"/>
      <c r="E129" s="15"/>
    </row>
    <row r="130" spans="3:5" x14ac:dyDescent="0.25">
      <c r="C130" s="17"/>
      <c r="D130" s="19"/>
      <c r="E130" s="15"/>
    </row>
    <row r="131" spans="3:5" x14ac:dyDescent="0.25">
      <c r="C131" s="17"/>
      <c r="D131" s="19"/>
      <c r="E131" s="15"/>
    </row>
    <row r="132" spans="3:5" x14ac:dyDescent="0.25">
      <c r="C132" s="17"/>
      <c r="D132" s="19"/>
      <c r="E132" s="15"/>
    </row>
    <row r="133" spans="3:5" x14ac:dyDescent="0.25">
      <c r="C133" s="17"/>
      <c r="D133" s="19"/>
      <c r="E133" s="15"/>
    </row>
    <row r="134" spans="3:5" x14ac:dyDescent="0.25">
      <c r="C134" s="17"/>
      <c r="D134" s="19"/>
      <c r="E134" s="15"/>
    </row>
    <row r="135" spans="3:5" x14ac:dyDescent="0.25">
      <c r="C135" s="17"/>
      <c r="D135" s="19"/>
      <c r="E135" s="15"/>
    </row>
    <row r="136" spans="3:5" x14ac:dyDescent="0.25">
      <c r="C136" s="17"/>
      <c r="D136" s="19"/>
      <c r="E136" s="15"/>
    </row>
    <row r="137" spans="3:5" x14ac:dyDescent="0.25">
      <c r="C137" s="17"/>
      <c r="D137" s="19"/>
      <c r="E137" s="15"/>
    </row>
    <row r="138" spans="3:5" x14ac:dyDescent="0.25">
      <c r="C138" s="17"/>
      <c r="D138" s="19"/>
      <c r="E138" s="15"/>
    </row>
    <row r="139" spans="3:5" x14ac:dyDescent="0.25">
      <c r="C139" s="17"/>
      <c r="D139" s="19"/>
      <c r="E139" s="15"/>
    </row>
    <row r="140" spans="3:5" x14ac:dyDescent="0.25">
      <c r="C140" s="17"/>
      <c r="D140" s="19"/>
      <c r="E140" s="15"/>
    </row>
    <row r="141" spans="3:5" x14ac:dyDescent="0.25">
      <c r="C141" s="17"/>
      <c r="D141" s="19"/>
      <c r="E141" s="15"/>
    </row>
    <row r="142" spans="3:5" x14ac:dyDescent="0.25">
      <c r="C142" s="17"/>
      <c r="D142" s="19"/>
      <c r="E142" s="15"/>
    </row>
    <row r="143" spans="3:5" x14ac:dyDescent="0.25">
      <c r="C143" s="17"/>
      <c r="D143" s="19"/>
      <c r="E143" s="15"/>
    </row>
    <row r="144" spans="3:5" x14ac:dyDescent="0.25">
      <c r="C144" s="17"/>
      <c r="D144" s="19"/>
      <c r="E144" s="15"/>
    </row>
    <row r="145" spans="3:5" x14ac:dyDescent="0.25">
      <c r="C145" s="17"/>
      <c r="D145" s="19"/>
      <c r="E145" s="15"/>
    </row>
    <row r="146" spans="3:5" x14ac:dyDescent="0.25">
      <c r="C146" s="17"/>
      <c r="D146" s="19"/>
      <c r="E146" s="15"/>
    </row>
    <row r="147" spans="3:5" x14ac:dyDescent="0.25">
      <c r="C147" s="17"/>
      <c r="D147" s="19"/>
      <c r="E147" s="15"/>
    </row>
    <row r="148" spans="3:5" x14ac:dyDescent="0.25">
      <c r="C148" s="17"/>
      <c r="D148" s="19"/>
      <c r="E148" s="15"/>
    </row>
    <row r="149" spans="3:5" x14ac:dyDescent="0.25">
      <c r="C149" s="17"/>
      <c r="D149" s="19"/>
      <c r="E149" s="15"/>
    </row>
    <row r="150" spans="3:5" x14ac:dyDescent="0.25">
      <c r="C150" s="17"/>
      <c r="D150" s="19"/>
      <c r="E150" s="15"/>
    </row>
    <row r="151" spans="3:5" x14ac:dyDescent="0.25">
      <c r="C151" s="17"/>
      <c r="D151" s="19"/>
      <c r="E151" s="15"/>
    </row>
    <row r="152" spans="3:5" x14ac:dyDescent="0.25">
      <c r="C152" s="17"/>
      <c r="D152" s="19"/>
      <c r="E152" s="15"/>
    </row>
    <row r="153" spans="3:5" x14ac:dyDescent="0.25">
      <c r="C153" s="17"/>
      <c r="D153" s="19"/>
      <c r="E153" s="15"/>
    </row>
    <row r="154" spans="3:5" x14ac:dyDescent="0.25">
      <c r="C154" s="17"/>
      <c r="D154" s="19"/>
      <c r="E154" s="15"/>
    </row>
    <row r="155" spans="3:5" x14ac:dyDescent="0.25">
      <c r="C155" s="17"/>
      <c r="D155" s="19"/>
      <c r="E155" s="15"/>
    </row>
    <row r="156" spans="3:5" x14ac:dyDescent="0.25">
      <c r="C156" s="17"/>
      <c r="D156" s="19"/>
      <c r="E156" s="15"/>
    </row>
    <row r="157" spans="3:5" x14ac:dyDescent="0.25">
      <c r="C157" s="17"/>
      <c r="D157" s="19"/>
      <c r="E157" s="15"/>
    </row>
    <row r="158" spans="3:5" x14ac:dyDescent="0.25">
      <c r="C158" s="17"/>
      <c r="D158" s="19"/>
      <c r="E158" s="15"/>
    </row>
    <row r="159" spans="3:5" x14ac:dyDescent="0.25">
      <c r="C159" s="17"/>
      <c r="D159" s="19"/>
      <c r="E159" s="15"/>
    </row>
    <row r="160" spans="3:5" x14ac:dyDescent="0.25">
      <c r="C160" s="17"/>
      <c r="D160" s="19"/>
      <c r="E160" s="15"/>
    </row>
    <row r="161" spans="3:5" x14ac:dyDescent="0.25">
      <c r="C161" s="17"/>
      <c r="D161" s="19"/>
      <c r="E161" s="15"/>
    </row>
    <row r="162" spans="3:5" x14ac:dyDescent="0.25">
      <c r="C162" s="17"/>
      <c r="D162" s="19"/>
      <c r="E162" s="15"/>
    </row>
    <row r="163" spans="3:5" x14ac:dyDescent="0.25">
      <c r="C163" s="17"/>
      <c r="D163" s="19"/>
      <c r="E163" s="15"/>
    </row>
    <row r="164" spans="3:5" x14ac:dyDescent="0.25">
      <c r="C164" s="17"/>
      <c r="D164" s="19"/>
      <c r="E164" s="15"/>
    </row>
    <row r="165" spans="3:5" x14ac:dyDescent="0.25">
      <c r="C165" s="17"/>
      <c r="D165" s="19"/>
      <c r="E165" s="15"/>
    </row>
    <row r="166" spans="3:5" x14ac:dyDescent="0.25">
      <c r="C166" s="17"/>
      <c r="D166" s="19"/>
      <c r="E166" s="15"/>
    </row>
    <row r="167" spans="3:5" x14ac:dyDescent="0.25">
      <c r="C167" s="17"/>
      <c r="D167" s="19"/>
      <c r="E167" s="15"/>
    </row>
    <row r="168" spans="3:5" x14ac:dyDescent="0.25">
      <c r="C168" s="17"/>
      <c r="D168" s="19"/>
      <c r="E168" s="15"/>
    </row>
    <row r="169" spans="3:5" x14ac:dyDescent="0.25">
      <c r="C169" s="17"/>
      <c r="D169" s="19"/>
      <c r="E169" s="15"/>
    </row>
    <row r="170" spans="3:5" x14ac:dyDescent="0.25">
      <c r="C170" s="17"/>
      <c r="D170" s="19"/>
      <c r="E170" s="15"/>
    </row>
    <row r="171" spans="3:5" x14ac:dyDescent="0.25">
      <c r="C171" s="17"/>
      <c r="D171" s="19"/>
      <c r="E171" s="15"/>
    </row>
    <row r="172" spans="3:5" x14ac:dyDescent="0.25">
      <c r="C172" s="17"/>
      <c r="D172" s="19"/>
      <c r="E172" s="15"/>
    </row>
    <row r="173" spans="3:5" x14ac:dyDescent="0.25">
      <c r="C173" s="17"/>
      <c r="D173" s="19"/>
      <c r="E173" s="15"/>
    </row>
    <row r="174" spans="3:5" x14ac:dyDescent="0.25">
      <c r="C174" s="17"/>
      <c r="D174" s="19"/>
      <c r="E174" s="15"/>
    </row>
    <row r="175" spans="3:5" x14ac:dyDescent="0.25">
      <c r="C175" s="17"/>
      <c r="D175" s="19"/>
      <c r="E175" s="15"/>
    </row>
    <row r="176" spans="3:5" x14ac:dyDescent="0.25">
      <c r="C176" s="17"/>
      <c r="D176" s="19"/>
      <c r="E176" s="15"/>
    </row>
    <row r="177" spans="3:5" x14ac:dyDescent="0.25">
      <c r="C177" s="17"/>
      <c r="D177" s="19"/>
      <c r="E177" s="15"/>
    </row>
    <row r="178" spans="3:5" x14ac:dyDescent="0.25">
      <c r="C178" s="17"/>
      <c r="D178" s="19"/>
      <c r="E178" s="15"/>
    </row>
    <row r="179" spans="3:5" x14ac:dyDescent="0.25">
      <c r="C179" s="17"/>
      <c r="D179" s="19"/>
      <c r="E179" s="15"/>
    </row>
    <row r="180" spans="3:5" x14ac:dyDescent="0.25">
      <c r="C180" s="17"/>
      <c r="D180" s="19"/>
      <c r="E180" s="15"/>
    </row>
    <row r="181" spans="3:5" x14ac:dyDescent="0.25">
      <c r="C181" s="17"/>
      <c r="D181" s="19"/>
      <c r="E181" s="15"/>
    </row>
    <row r="182" spans="3:5" x14ac:dyDescent="0.25">
      <c r="C182" s="17"/>
      <c r="D182" s="19"/>
      <c r="E182" s="15"/>
    </row>
    <row r="183" spans="3:5" x14ac:dyDescent="0.25">
      <c r="C183" s="17"/>
      <c r="D183" s="19"/>
      <c r="E183" s="15"/>
    </row>
    <row r="184" spans="3:5" x14ac:dyDescent="0.25">
      <c r="C184" s="17"/>
      <c r="D184" s="19"/>
      <c r="E184" s="15"/>
    </row>
    <row r="185" spans="3:5" x14ac:dyDescent="0.25">
      <c r="C185" s="17"/>
      <c r="D185" s="19"/>
      <c r="E185" s="15"/>
    </row>
    <row r="186" spans="3:5" x14ac:dyDescent="0.25">
      <c r="C186" s="17"/>
      <c r="D186" s="19"/>
      <c r="E186" s="15"/>
    </row>
    <row r="187" spans="3:5" x14ac:dyDescent="0.25">
      <c r="C187" s="17"/>
      <c r="D187" s="19"/>
      <c r="E187" s="15"/>
    </row>
    <row r="188" spans="3:5" x14ac:dyDescent="0.25">
      <c r="C188" s="17"/>
      <c r="D188" s="19"/>
      <c r="E188" s="15"/>
    </row>
    <row r="189" spans="3:5" x14ac:dyDescent="0.25">
      <c r="C189" s="17"/>
      <c r="D189" s="19"/>
      <c r="E189" s="15"/>
    </row>
    <row r="190" spans="3:5" x14ac:dyDescent="0.25">
      <c r="C190" s="17"/>
      <c r="D190" s="19"/>
      <c r="E190" s="15"/>
    </row>
    <row r="191" spans="3:5" x14ac:dyDescent="0.25">
      <c r="C191" s="17"/>
      <c r="D191" s="19"/>
      <c r="E191" s="15"/>
    </row>
    <row r="192" spans="3:5" x14ac:dyDescent="0.25">
      <c r="C192" s="17"/>
      <c r="D192" s="19"/>
      <c r="E192" s="15"/>
    </row>
    <row r="193" spans="3:5" x14ac:dyDescent="0.25">
      <c r="C193" s="17"/>
      <c r="D193" s="19"/>
      <c r="E193" s="15"/>
    </row>
    <row r="194" spans="3:5" x14ac:dyDescent="0.25">
      <c r="C194" s="17"/>
      <c r="D194" s="19"/>
      <c r="E194" s="15"/>
    </row>
    <row r="195" spans="3:5" x14ac:dyDescent="0.25">
      <c r="C195" s="17"/>
      <c r="D195" s="19"/>
      <c r="E195" s="15"/>
    </row>
    <row r="196" spans="3:5" x14ac:dyDescent="0.25">
      <c r="C196" s="17"/>
      <c r="D196" s="19"/>
      <c r="E196" s="15"/>
    </row>
    <row r="197" spans="3:5" x14ac:dyDescent="0.25">
      <c r="C197" s="17"/>
      <c r="D197" s="19"/>
      <c r="E197" s="15"/>
    </row>
    <row r="198" spans="3:5" x14ac:dyDescent="0.25">
      <c r="C198" s="17"/>
      <c r="D198" s="19"/>
      <c r="E198" s="15"/>
    </row>
    <row r="199" spans="3:5" x14ac:dyDescent="0.25">
      <c r="C199" s="17"/>
      <c r="D199" s="19"/>
      <c r="E199" s="15"/>
    </row>
    <row r="200" spans="3:5" x14ac:dyDescent="0.25">
      <c r="C200" s="17"/>
      <c r="D200" s="19"/>
      <c r="E200" s="15"/>
    </row>
    <row r="201" spans="3:5" x14ac:dyDescent="0.25">
      <c r="C201" s="17"/>
      <c r="D201" s="19"/>
      <c r="E201" s="15"/>
    </row>
    <row r="202" spans="3:5" x14ac:dyDescent="0.25">
      <c r="C202" s="17"/>
      <c r="D202" s="19"/>
      <c r="E202" s="15"/>
    </row>
    <row r="203" spans="3:5" x14ac:dyDescent="0.25">
      <c r="C203" s="17"/>
      <c r="D203" s="19"/>
      <c r="E203" s="15"/>
    </row>
    <row r="204" spans="3:5" x14ac:dyDescent="0.25">
      <c r="C204" s="17"/>
      <c r="D204" s="19"/>
      <c r="E204" s="15"/>
    </row>
    <row r="205" spans="3:5" x14ac:dyDescent="0.25">
      <c r="C205" s="17"/>
      <c r="D205" s="19"/>
      <c r="E205" s="15"/>
    </row>
    <row r="206" spans="3:5" x14ac:dyDescent="0.25">
      <c r="C206" s="17"/>
      <c r="D206" s="19"/>
      <c r="E206" s="15"/>
    </row>
    <row r="207" spans="3:5" x14ac:dyDescent="0.25">
      <c r="C207" s="17"/>
      <c r="D207" s="19"/>
      <c r="E207" s="15"/>
    </row>
    <row r="208" spans="3:5" x14ac:dyDescent="0.25">
      <c r="C208" s="17"/>
      <c r="D208" s="19"/>
      <c r="E208" s="15"/>
    </row>
    <row r="209" spans="3:5" x14ac:dyDescent="0.25">
      <c r="C209" s="17"/>
      <c r="D209" s="19"/>
      <c r="E209" s="15"/>
    </row>
    <row r="210" spans="3:5" x14ac:dyDescent="0.25">
      <c r="C210" s="17"/>
      <c r="D210" s="19"/>
      <c r="E210" s="15"/>
    </row>
    <row r="211" spans="3:5" x14ac:dyDescent="0.25">
      <c r="C211" s="17"/>
      <c r="D211" s="19"/>
      <c r="E211" s="15"/>
    </row>
    <row r="212" spans="3:5" x14ac:dyDescent="0.25">
      <c r="C212" s="17"/>
      <c r="D212" s="19"/>
      <c r="E212" s="15"/>
    </row>
    <row r="213" spans="3:5" x14ac:dyDescent="0.25">
      <c r="C213" s="17"/>
      <c r="D213" s="19"/>
      <c r="E213" s="15"/>
    </row>
    <row r="214" spans="3:5" x14ac:dyDescent="0.25">
      <c r="C214" s="17"/>
      <c r="D214" s="19"/>
      <c r="E214" s="15"/>
    </row>
    <row r="215" spans="3:5" x14ac:dyDescent="0.25">
      <c r="C215" s="17"/>
      <c r="D215" s="19"/>
      <c r="E215" s="15"/>
    </row>
    <row r="216" spans="3:5" x14ac:dyDescent="0.25">
      <c r="C216" s="17"/>
      <c r="D216" s="19"/>
      <c r="E216" s="15"/>
    </row>
    <row r="217" spans="3:5" x14ac:dyDescent="0.25">
      <c r="C217" s="17"/>
      <c r="D217" s="19"/>
      <c r="E217" s="15"/>
    </row>
    <row r="218" spans="3:5" x14ac:dyDescent="0.25">
      <c r="C218" s="17"/>
      <c r="D218" s="19"/>
      <c r="E218" s="15"/>
    </row>
    <row r="219" spans="3:5" x14ac:dyDescent="0.25">
      <c r="C219" s="17"/>
      <c r="D219" s="19"/>
      <c r="E219" s="15"/>
    </row>
    <row r="220" spans="3:5" x14ac:dyDescent="0.25">
      <c r="C220" s="17"/>
      <c r="D220" s="19"/>
      <c r="E220" s="15"/>
    </row>
    <row r="221" spans="3:5" x14ac:dyDescent="0.25">
      <c r="C221" s="17"/>
      <c r="D221" s="19"/>
      <c r="E221" s="15"/>
    </row>
    <row r="222" spans="3:5" x14ac:dyDescent="0.25">
      <c r="C222" s="17"/>
      <c r="D222" s="19"/>
      <c r="E222" s="15"/>
    </row>
    <row r="223" spans="3:5" x14ac:dyDescent="0.25">
      <c r="C223" s="17"/>
      <c r="D223" s="19"/>
      <c r="E223" s="15"/>
    </row>
    <row r="224" spans="3:5" x14ac:dyDescent="0.25">
      <c r="C224" s="17"/>
      <c r="D224" s="19"/>
      <c r="E224" s="15"/>
    </row>
    <row r="225" spans="3:5" x14ac:dyDescent="0.25">
      <c r="C225" s="17"/>
      <c r="D225" s="19"/>
      <c r="E225" s="15"/>
    </row>
    <row r="226" spans="3:5" x14ac:dyDescent="0.25">
      <c r="C226" s="17"/>
      <c r="D226" s="19"/>
      <c r="E226" s="15"/>
    </row>
    <row r="227" spans="3:5" x14ac:dyDescent="0.25">
      <c r="C227" s="17"/>
      <c r="D227" s="19"/>
      <c r="E227" s="15"/>
    </row>
    <row r="228" spans="3:5" x14ac:dyDescent="0.25">
      <c r="C228" s="17"/>
      <c r="D228" s="19"/>
      <c r="E228" s="15"/>
    </row>
    <row r="229" spans="3:5" x14ac:dyDescent="0.25">
      <c r="C229" s="17"/>
      <c r="D229" s="19"/>
      <c r="E229" s="15"/>
    </row>
    <row r="230" spans="3:5" x14ac:dyDescent="0.25">
      <c r="C230" s="17"/>
      <c r="D230" s="19"/>
      <c r="E230" s="15"/>
    </row>
    <row r="231" spans="3:5" x14ac:dyDescent="0.25">
      <c r="C231" s="17"/>
      <c r="D231" s="19"/>
      <c r="E231" s="15"/>
    </row>
    <row r="232" spans="3:5" x14ac:dyDescent="0.25">
      <c r="C232" s="17"/>
      <c r="D232" s="19"/>
      <c r="E232" s="15"/>
    </row>
    <row r="233" spans="3:5" x14ac:dyDescent="0.25">
      <c r="C233" s="17"/>
      <c r="D233" s="19"/>
      <c r="E233" s="15"/>
    </row>
    <row r="234" spans="3:5" x14ac:dyDescent="0.25">
      <c r="C234" s="17"/>
      <c r="D234" s="19"/>
      <c r="E234" s="15"/>
    </row>
    <row r="235" spans="3:5" x14ac:dyDescent="0.25">
      <c r="C235" s="17"/>
      <c r="D235" s="19"/>
      <c r="E235" s="15"/>
    </row>
    <row r="236" spans="3:5" x14ac:dyDescent="0.25">
      <c r="C236" s="17"/>
      <c r="D236" s="19"/>
      <c r="E236" s="15"/>
    </row>
    <row r="237" spans="3:5" x14ac:dyDescent="0.25">
      <c r="C237" s="17"/>
      <c r="D237" s="19"/>
      <c r="E237" s="15"/>
    </row>
    <row r="238" spans="3:5" x14ac:dyDescent="0.25">
      <c r="C238" s="17"/>
      <c r="D238" s="19"/>
      <c r="E238" s="15"/>
    </row>
    <row r="239" spans="3:5" x14ac:dyDescent="0.25">
      <c r="C239" s="17"/>
      <c r="D239" s="19"/>
      <c r="E239" s="15"/>
    </row>
    <row r="240" spans="3:5" x14ac:dyDescent="0.25">
      <c r="C240" s="17"/>
      <c r="D240" s="19"/>
      <c r="E240" s="15"/>
    </row>
    <row r="241" spans="3:5" x14ac:dyDescent="0.25">
      <c r="C241" s="17"/>
      <c r="D241" s="19"/>
      <c r="E241" s="15"/>
    </row>
    <row r="242" spans="3:5" x14ac:dyDescent="0.25">
      <c r="C242" s="17"/>
      <c r="D242" s="19"/>
      <c r="E242" s="15"/>
    </row>
    <row r="243" spans="3:5" x14ac:dyDescent="0.25">
      <c r="C243" s="17"/>
      <c r="D243" s="19"/>
      <c r="E243" s="15"/>
    </row>
    <row r="244" spans="3:5" x14ac:dyDescent="0.25">
      <c r="C244" s="17"/>
      <c r="D244" s="19"/>
      <c r="E244" s="15"/>
    </row>
    <row r="245" spans="3:5" x14ac:dyDescent="0.25">
      <c r="C245" s="17"/>
      <c r="D245" s="19"/>
      <c r="E245" s="15"/>
    </row>
    <row r="246" spans="3:5" x14ac:dyDescent="0.25">
      <c r="C246" s="17"/>
      <c r="D246" s="19"/>
      <c r="E246" s="15"/>
    </row>
    <row r="247" spans="3:5" x14ac:dyDescent="0.25">
      <c r="C247" s="17"/>
      <c r="D247" s="19"/>
      <c r="E247" s="15"/>
    </row>
    <row r="248" spans="3:5" x14ac:dyDescent="0.25">
      <c r="C248" s="17"/>
      <c r="D248" s="19"/>
      <c r="E248" s="15"/>
    </row>
    <row r="249" spans="3:5" x14ac:dyDescent="0.25">
      <c r="C249" s="17"/>
      <c r="D249" s="19"/>
      <c r="E249" s="15"/>
    </row>
    <row r="250" spans="3:5" x14ac:dyDescent="0.25">
      <c r="C250" s="17"/>
      <c r="D250" s="19"/>
      <c r="E250" s="15"/>
    </row>
    <row r="251" spans="3:5" x14ac:dyDescent="0.25">
      <c r="C251" s="17"/>
      <c r="D251" s="19"/>
      <c r="E251" s="15"/>
    </row>
    <row r="252" spans="3:5" x14ac:dyDescent="0.25">
      <c r="C252" s="17"/>
      <c r="D252" s="19"/>
      <c r="E252" s="15"/>
    </row>
    <row r="253" spans="3:5" x14ac:dyDescent="0.25">
      <c r="C253" s="17"/>
      <c r="D253" s="19"/>
      <c r="E253" s="15"/>
    </row>
    <row r="254" spans="3:5" x14ac:dyDescent="0.25">
      <c r="C254" s="17"/>
      <c r="D254" s="19"/>
      <c r="E254" s="15"/>
    </row>
    <row r="255" spans="3:5" x14ac:dyDescent="0.25">
      <c r="C255" s="17"/>
      <c r="D255" s="19"/>
      <c r="E255" s="15"/>
    </row>
    <row r="256" spans="3:5" x14ac:dyDescent="0.25">
      <c r="C256" s="17"/>
      <c r="D256" s="19"/>
      <c r="E256" s="15"/>
    </row>
    <row r="257" spans="3:5" x14ac:dyDescent="0.25">
      <c r="C257" s="17"/>
      <c r="D257" s="19"/>
      <c r="E257" s="15"/>
    </row>
    <row r="258" spans="3:5" x14ac:dyDescent="0.25">
      <c r="C258" s="17"/>
      <c r="D258" s="19"/>
      <c r="E258" s="15"/>
    </row>
    <row r="259" spans="3:5" x14ac:dyDescent="0.25">
      <c r="C259" s="17"/>
      <c r="D259" s="19"/>
      <c r="E259" s="15"/>
    </row>
    <row r="260" spans="3:5" x14ac:dyDescent="0.25">
      <c r="C260" s="17"/>
      <c r="D260" s="19"/>
      <c r="E260" s="15"/>
    </row>
    <row r="261" spans="3:5" x14ac:dyDescent="0.25">
      <c r="C261" s="17"/>
      <c r="D261" s="19"/>
      <c r="E261" s="15"/>
    </row>
    <row r="262" spans="3:5" x14ac:dyDescent="0.25">
      <c r="C262" s="17"/>
      <c r="D262" s="19"/>
      <c r="E262" s="15"/>
    </row>
    <row r="263" spans="3:5" x14ac:dyDescent="0.25">
      <c r="C263" s="17"/>
      <c r="D263" s="19"/>
      <c r="E263" s="15"/>
    </row>
    <row r="264" spans="3:5" x14ac:dyDescent="0.25">
      <c r="C264" s="17"/>
      <c r="D264" s="19"/>
      <c r="E264" s="15"/>
    </row>
    <row r="265" spans="3:5" x14ac:dyDescent="0.25">
      <c r="C265" s="17"/>
      <c r="D265" s="19"/>
      <c r="E265" s="15"/>
    </row>
    <row r="266" spans="3:5" x14ac:dyDescent="0.25">
      <c r="C266" s="17"/>
      <c r="D266" s="19"/>
      <c r="E266" s="15"/>
    </row>
    <row r="267" spans="3:5" x14ac:dyDescent="0.25">
      <c r="C267" s="17"/>
      <c r="D267" s="19"/>
      <c r="E267" s="15"/>
    </row>
    <row r="268" spans="3:5" x14ac:dyDescent="0.25">
      <c r="C268" s="17"/>
      <c r="D268" s="19"/>
      <c r="E268" s="15"/>
    </row>
    <row r="269" spans="3:5" x14ac:dyDescent="0.25">
      <c r="C269" s="17"/>
      <c r="D269" s="19"/>
      <c r="E269" s="15"/>
    </row>
    <row r="270" spans="3:5" x14ac:dyDescent="0.25">
      <c r="C270" s="17"/>
      <c r="D270" s="19"/>
      <c r="E270" s="15"/>
    </row>
    <row r="271" spans="3:5" x14ac:dyDescent="0.25">
      <c r="C271" s="17"/>
      <c r="D271" s="19"/>
      <c r="E271" s="15"/>
    </row>
    <row r="272" spans="3:5" x14ac:dyDescent="0.25">
      <c r="C272" s="17"/>
      <c r="D272" s="19"/>
      <c r="E272" s="15"/>
    </row>
    <row r="273" spans="3:5" x14ac:dyDescent="0.25">
      <c r="C273" s="17"/>
      <c r="D273" s="19"/>
      <c r="E273" s="15"/>
    </row>
    <row r="274" spans="3:5" x14ac:dyDescent="0.25">
      <c r="C274" s="17"/>
      <c r="D274" s="19"/>
      <c r="E274" s="15"/>
    </row>
    <row r="275" spans="3:5" x14ac:dyDescent="0.25">
      <c r="C275" s="17"/>
      <c r="D275" s="19"/>
      <c r="E275" s="15"/>
    </row>
    <row r="276" spans="3:5" x14ac:dyDescent="0.25">
      <c r="C276" s="17"/>
      <c r="D276" s="19"/>
      <c r="E276" s="15"/>
    </row>
    <row r="277" spans="3:5" x14ac:dyDescent="0.25">
      <c r="C277" s="17"/>
      <c r="D277" s="19"/>
      <c r="E277" s="15"/>
    </row>
    <row r="278" spans="3:5" x14ac:dyDescent="0.25">
      <c r="C278" s="17"/>
      <c r="D278" s="19"/>
      <c r="E278" s="15"/>
    </row>
    <row r="279" spans="3:5" x14ac:dyDescent="0.25">
      <c r="C279" s="17"/>
      <c r="D279" s="19"/>
      <c r="E279" s="15"/>
    </row>
    <row r="280" spans="3:5" x14ac:dyDescent="0.25">
      <c r="C280" s="17"/>
      <c r="D280" s="19"/>
      <c r="E280" s="15"/>
    </row>
    <row r="281" spans="3:5" x14ac:dyDescent="0.25">
      <c r="C281" s="17"/>
      <c r="D281" s="19"/>
      <c r="E281" s="15"/>
    </row>
    <row r="282" spans="3:5" x14ac:dyDescent="0.25">
      <c r="C282" s="17"/>
      <c r="D282" s="19"/>
      <c r="E282" s="15"/>
    </row>
    <row r="283" spans="3:5" x14ac:dyDescent="0.25">
      <c r="C283" s="17"/>
      <c r="D283" s="19"/>
      <c r="E283" s="15"/>
    </row>
    <row r="284" spans="3:5" x14ac:dyDescent="0.25">
      <c r="C284" s="17"/>
      <c r="D284" s="19"/>
      <c r="E284" s="15"/>
    </row>
    <row r="285" spans="3:5" x14ac:dyDescent="0.25">
      <c r="C285" s="17"/>
      <c r="D285" s="19"/>
      <c r="E285" s="15"/>
    </row>
    <row r="286" spans="3:5" x14ac:dyDescent="0.25">
      <c r="C286" s="17"/>
      <c r="D286" s="19"/>
      <c r="E286" s="15"/>
    </row>
    <row r="287" spans="3:5" x14ac:dyDescent="0.25">
      <c r="C287" s="17"/>
      <c r="D287" s="19"/>
      <c r="E287" s="15"/>
    </row>
    <row r="288" spans="3:5" x14ac:dyDescent="0.25">
      <c r="C288" s="17"/>
      <c r="D288" s="19"/>
      <c r="E288" s="15"/>
    </row>
    <row r="289" spans="3:5" x14ac:dyDescent="0.25">
      <c r="C289" s="17"/>
      <c r="D289" s="19"/>
      <c r="E289" s="15"/>
    </row>
    <row r="290" spans="3:5" x14ac:dyDescent="0.25">
      <c r="C290" s="17"/>
      <c r="D290" s="19"/>
      <c r="E290" s="15"/>
    </row>
    <row r="291" spans="3:5" x14ac:dyDescent="0.25">
      <c r="C291" s="17"/>
      <c r="D291" s="19"/>
      <c r="E291" s="15"/>
    </row>
    <row r="292" spans="3:5" x14ac:dyDescent="0.25">
      <c r="C292" s="17"/>
      <c r="D292" s="19"/>
      <c r="E292" s="15"/>
    </row>
    <row r="293" spans="3:5" x14ac:dyDescent="0.25">
      <c r="C293" s="17"/>
      <c r="D293" s="19"/>
      <c r="E293" s="15"/>
    </row>
    <row r="294" spans="3:5" x14ac:dyDescent="0.25">
      <c r="C294" s="17"/>
      <c r="D294" s="19"/>
      <c r="E294" s="15"/>
    </row>
    <row r="295" spans="3:5" x14ac:dyDescent="0.25">
      <c r="C295" s="17"/>
      <c r="D295" s="19"/>
      <c r="E295" s="15"/>
    </row>
    <row r="296" spans="3:5" x14ac:dyDescent="0.25">
      <c r="C296" s="17"/>
      <c r="D296" s="19"/>
      <c r="E296" s="15"/>
    </row>
    <row r="297" spans="3:5" x14ac:dyDescent="0.25">
      <c r="C297" s="17"/>
      <c r="D297" s="19"/>
      <c r="E297" s="15"/>
    </row>
    <row r="298" spans="3:5" x14ac:dyDescent="0.25">
      <c r="C298" s="17"/>
      <c r="D298" s="19"/>
      <c r="E298" s="15"/>
    </row>
    <row r="299" spans="3:5" x14ac:dyDescent="0.25">
      <c r="C299" s="17"/>
      <c r="D299" s="19"/>
      <c r="E299" s="15"/>
    </row>
    <row r="300" spans="3:5" x14ac:dyDescent="0.25">
      <c r="C300" s="17"/>
      <c r="D300" s="19"/>
      <c r="E300" s="15"/>
    </row>
    <row r="301" spans="3:5" x14ac:dyDescent="0.25">
      <c r="C301" s="17"/>
      <c r="D301" s="19"/>
      <c r="E301" s="15"/>
    </row>
    <row r="302" spans="3:5" x14ac:dyDescent="0.25">
      <c r="C302" s="17"/>
      <c r="D302" s="19"/>
      <c r="E302" s="15"/>
    </row>
    <row r="303" spans="3:5" x14ac:dyDescent="0.25">
      <c r="C303" s="17"/>
      <c r="D303" s="19"/>
      <c r="E303" s="15"/>
    </row>
    <row r="304" spans="3:5" x14ac:dyDescent="0.25">
      <c r="C304" s="17"/>
      <c r="D304" s="19"/>
      <c r="E304" s="15"/>
    </row>
    <row r="305" spans="3:5" x14ac:dyDescent="0.25">
      <c r="C305" s="17"/>
      <c r="D305" s="19"/>
      <c r="E305" s="15"/>
    </row>
    <row r="306" spans="3:5" x14ac:dyDescent="0.25">
      <c r="C306" s="17"/>
      <c r="D306" s="19"/>
      <c r="E306" s="15"/>
    </row>
    <row r="307" spans="3:5" x14ac:dyDescent="0.25">
      <c r="C307" s="17"/>
      <c r="D307" s="19"/>
      <c r="E307" s="15"/>
    </row>
    <row r="308" spans="3:5" x14ac:dyDescent="0.25">
      <c r="C308" s="17"/>
      <c r="D308" s="19"/>
      <c r="E308" s="15"/>
    </row>
    <row r="309" spans="3:5" x14ac:dyDescent="0.25">
      <c r="C309" s="17"/>
      <c r="D309" s="19"/>
      <c r="E309" s="15"/>
    </row>
    <row r="310" spans="3:5" x14ac:dyDescent="0.25">
      <c r="C310" s="17"/>
      <c r="D310" s="19"/>
      <c r="E310" s="15"/>
    </row>
    <row r="311" spans="3:5" x14ac:dyDescent="0.25">
      <c r="C311" s="17"/>
      <c r="D311" s="19"/>
      <c r="E311" s="15"/>
    </row>
    <row r="312" spans="3:5" x14ac:dyDescent="0.25">
      <c r="C312" s="17"/>
      <c r="D312" s="19"/>
      <c r="E312" s="15"/>
    </row>
    <row r="313" spans="3:5" x14ac:dyDescent="0.25">
      <c r="C313" s="17"/>
      <c r="D313" s="19"/>
      <c r="E313" s="15"/>
    </row>
    <row r="314" spans="3:5" x14ac:dyDescent="0.25">
      <c r="C314" s="17"/>
      <c r="D314" s="19"/>
      <c r="E314" s="15"/>
    </row>
    <row r="315" spans="3:5" x14ac:dyDescent="0.25">
      <c r="C315" s="17"/>
      <c r="D315" s="19"/>
      <c r="E315" s="15"/>
    </row>
    <row r="316" spans="3:5" x14ac:dyDescent="0.25">
      <c r="C316" s="17"/>
      <c r="D316" s="19"/>
      <c r="E316" s="15"/>
    </row>
    <row r="317" spans="3:5" x14ac:dyDescent="0.25">
      <c r="C317" s="17"/>
      <c r="D317" s="19"/>
      <c r="E317" s="15"/>
    </row>
    <row r="318" spans="3:5" x14ac:dyDescent="0.25">
      <c r="C318" s="17"/>
      <c r="D318" s="19"/>
      <c r="E318" s="15"/>
    </row>
    <row r="319" spans="3:5" x14ac:dyDescent="0.25">
      <c r="C319" s="17"/>
      <c r="D319" s="19"/>
      <c r="E319" s="15"/>
    </row>
    <row r="320" spans="3:5" x14ac:dyDescent="0.25">
      <c r="C320" s="17"/>
      <c r="D320" s="19"/>
      <c r="E320" s="15"/>
    </row>
    <row r="321" spans="3:5" x14ac:dyDescent="0.25">
      <c r="C321" s="17"/>
      <c r="D321" s="19"/>
      <c r="E321" s="15"/>
    </row>
    <row r="322" spans="3:5" x14ac:dyDescent="0.25">
      <c r="C322" s="17"/>
      <c r="D322" s="19"/>
      <c r="E322" s="15"/>
    </row>
    <row r="323" spans="3:5" x14ac:dyDescent="0.25">
      <c r="C323" s="17"/>
      <c r="D323" s="19"/>
      <c r="E323" s="15"/>
    </row>
    <row r="324" spans="3:5" x14ac:dyDescent="0.25">
      <c r="C324" s="17"/>
      <c r="D324" s="19"/>
      <c r="E324" s="15"/>
    </row>
    <row r="325" spans="3:5" x14ac:dyDescent="0.25">
      <c r="C325" s="17"/>
      <c r="D325" s="19"/>
      <c r="E325" s="15"/>
    </row>
    <row r="326" spans="3:5" x14ac:dyDescent="0.25">
      <c r="C326" s="17"/>
      <c r="D326" s="19"/>
      <c r="E326" s="15"/>
    </row>
    <row r="327" spans="3:5" x14ac:dyDescent="0.25">
      <c r="C327" s="17"/>
      <c r="D327" s="19"/>
      <c r="E327" s="15"/>
    </row>
    <row r="328" spans="3:5" x14ac:dyDescent="0.25">
      <c r="C328" s="17"/>
      <c r="D328" s="19"/>
      <c r="E328" s="15"/>
    </row>
    <row r="329" spans="3:5" x14ac:dyDescent="0.25">
      <c r="C329" s="17"/>
      <c r="D329" s="19"/>
      <c r="E329" s="15"/>
    </row>
    <row r="330" spans="3:5" x14ac:dyDescent="0.25">
      <c r="C330" s="17"/>
      <c r="D330" s="19"/>
      <c r="E330" s="15"/>
    </row>
    <row r="331" spans="3:5" x14ac:dyDescent="0.25">
      <c r="C331" s="17"/>
      <c r="D331" s="19"/>
      <c r="E331" s="15"/>
    </row>
    <row r="332" spans="3:5" x14ac:dyDescent="0.25">
      <c r="C332" s="17"/>
      <c r="D332" s="19"/>
      <c r="E332" s="15"/>
    </row>
    <row r="333" spans="3:5" x14ac:dyDescent="0.25">
      <c r="C333" s="17"/>
      <c r="D333" s="19"/>
      <c r="E333" s="15"/>
    </row>
    <row r="334" spans="3:5" x14ac:dyDescent="0.25">
      <c r="C334" s="17"/>
      <c r="D334" s="19"/>
      <c r="E334" s="15"/>
    </row>
    <row r="335" spans="3:5" x14ac:dyDescent="0.25">
      <c r="C335" s="17"/>
      <c r="D335" s="19"/>
      <c r="E335" s="15"/>
    </row>
    <row r="336" spans="3:5" x14ac:dyDescent="0.25">
      <c r="C336" s="17"/>
      <c r="D336" s="19"/>
      <c r="E336" s="15"/>
    </row>
    <row r="337" spans="3:5" x14ac:dyDescent="0.25">
      <c r="C337" s="17"/>
      <c r="D337" s="19"/>
      <c r="E337" s="15"/>
    </row>
    <row r="338" spans="3:5" x14ac:dyDescent="0.25">
      <c r="C338" s="17"/>
      <c r="D338" s="19"/>
      <c r="E338" s="15"/>
    </row>
    <row r="339" spans="3:5" x14ac:dyDescent="0.25">
      <c r="C339" s="17"/>
      <c r="D339" s="19"/>
      <c r="E339" s="15"/>
    </row>
    <row r="340" spans="3:5" x14ac:dyDescent="0.25">
      <c r="C340" s="17"/>
      <c r="D340" s="19"/>
      <c r="E340" s="15"/>
    </row>
    <row r="341" spans="3:5" x14ac:dyDescent="0.25">
      <c r="C341" s="17"/>
      <c r="D341" s="19"/>
      <c r="E341" s="15"/>
    </row>
    <row r="342" spans="3:5" x14ac:dyDescent="0.25">
      <c r="C342" s="17"/>
      <c r="D342" s="19"/>
      <c r="E342" s="15"/>
    </row>
    <row r="343" spans="3:5" x14ac:dyDescent="0.25">
      <c r="C343" s="17"/>
      <c r="D343" s="19"/>
      <c r="E343" s="15"/>
    </row>
    <row r="344" spans="3:5" x14ac:dyDescent="0.25">
      <c r="C344" s="17"/>
      <c r="D344" s="19"/>
      <c r="E344" s="15"/>
    </row>
    <row r="345" spans="3:5" x14ac:dyDescent="0.25">
      <c r="C345" s="17"/>
      <c r="D345" s="19"/>
      <c r="E345" s="15"/>
    </row>
    <row r="346" spans="3:5" x14ac:dyDescent="0.25">
      <c r="C346" s="17"/>
      <c r="D346" s="19"/>
      <c r="E346" s="15"/>
    </row>
    <row r="347" spans="3:5" x14ac:dyDescent="0.25">
      <c r="C347" s="17"/>
      <c r="D347" s="19"/>
      <c r="E347" s="15"/>
    </row>
    <row r="348" spans="3:5" x14ac:dyDescent="0.25">
      <c r="C348" s="17"/>
      <c r="D348" s="19"/>
      <c r="E348" s="15"/>
    </row>
    <row r="349" spans="3:5" x14ac:dyDescent="0.25">
      <c r="C349" s="17"/>
      <c r="D349" s="19"/>
      <c r="E349" s="15"/>
    </row>
    <row r="350" spans="3:5" x14ac:dyDescent="0.25">
      <c r="C350" s="17"/>
      <c r="D350" s="19"/>
      <c r="E350" s="15"/>
    </row>
    <row r="351" spans="3:5" x14ac:dyDescent="0.25">
      <c r="C351" s="17"/>
      <c r="D351" s="19"/>
      <c r="E351" s="15"/>
    </row>
    <row r="352" spans="3:5" x14ac:dyDescent="0.25">
      <c r="C352" s="17"/>
      <c r="D352" s="19"/>
      <c r="E352" s="15"/>
    </row>
    <row r="353" spans="3:5" x14ac:dyDescent="0.25">
      <c r="C353" s="17"/>
      <c r="D353" s="19"/>
      <c r="E353" s="15"/>
    </row>
    <row r="354" spans="3:5" x14ac:dyDescent="0.25">
      <c r="C354" s="17"/>
      <c r="D354" s="19"/>
      <c r="E354" s="15"/>
    </row>
    <row r="355" spans="3:5" x14ac:dyDescent="0.25">
      <c r="C355" s="17"/>
      <c r="D355" s="19"/>
      <c r="E355" s="15"/>
    </row>
    <row r="356" spans="3:5" x14ac:dyDescent="0.25">
      <c r="C356" s="17"/>
      <c r="D356" s="19"/>
      <c r="E356" s="15"/>
    </row>
    <row r="357" spans="3:5" x14ac:dyDescent="0.25">
      <c r="C357" s="17"/>
      <c r="D357" s="19"/>
      <c r="E357" s="15"/>
    </row>
    <row r="358" spans="3:5" x14ac:dyDescent="0.25">
      <c r="C358" s="17"/>
      <c r="D358" s="19"/>
      <c r="E358" s="15"/>
    </row>
    <row r="359" spans="3:5" x14ac:dyDescent="0.25">
      <c r="C359" s="17"/>
      <c r="D359" s="19"/>
      <c r="E359" s="15"/>
    </row>
    <row r="360" spans="3:5" x14ac:dyDescent="0.25">
      <c r="C360" s="17"/>
      <c r="D360" s="19"/>
      <c r="E360" s="15"/>
    </row>
    <row r="361" spans="3:5" x14ac:dyDescent="0.25">
      <c r="C361" s="17"/>
      <c r="D361" s="19"/>
      <c r="E361" s="15"/>
    </row>
    <row r="362" spans="3:5" x14ac:dyDescent="0.25">
      <c r="C362" s="17"/>
      <c r="D362" s="19"/>
      <c r="E362" s="15"/>
    </row>
    <row r="363" spans="3:5" x14ac:dyDescent="0.25">
      <c r="C363" s="17"/>
      <c r="D363" s="19"/>
      <c r="E363" s="15"/>
    </row>
    <row r="364" spans="3:5" x14ac:dyDescent="0.25">
      <c r="C364" s="17"/>
      <c r="D364" s="19"/>
      <c r="E364" s="15"/>
    </row>
    <row r="365" spans="3:5" x14ac:dyDescent="0.25">
      <c r="C365" s="17"/>
      <c r="D365" s="19"/>
      <c r="E365" s="15"/>
    </row>
    <row r="366" spans="3:5" x14ac:dyDescent="0.25">
      <c r="C366" s="17"/>
      <c r="D366" s="19"/>
      <c r="E366" s="15"/>
    </row>
    <row r="367" spans="3:5" x14ac:dyDescent="0.25">
      <c r="C367" s="17"/>
      <c r="D367" s="19"/>
      <c r="E367" s="15"/>
    </row>
    <row r="368" spans="3:5" x14ac:dyDescent="0.25">
      <c r="C368" s="17"/>
      <c r="D368" s="19"/>
      <c r="E368" s="15"/>
    </row>
    <row r="369" spans="3:5" x14ac:dyDescent="0.25">
      <c r="C369" s="17"/>
      <c r="D369" s="19"/>
      <c r="E369" s="15"/>
    </row>
    <row r="370" spans="3:5" x14ac:dyDescent="0.25">
      <c r="C370" s="17"/>
      <c r="D370" s="19"/>
      <c r="E370" s="15"/>
    </row>
    <row r="371" spans="3:5" x14ac:dyDescent="0.25">
      <c r="C371" s="17"/>
      <c r="D371" s="19"/>
      <c r="E371" s="15"/>
    </row>
    <row r="372" spans="3:5" x14ac:dyDescent="0.25">
      <c r="C372" s="17"/>
      <c r="D372" s="19"/>
      <c r="E372" s="15"/>
    </row>
    <row r="373" spans="3:5" x14ac:dyDescent="0.25">
      <c r="C373" s="17"/>
      <c r="D373" s="19"/>
      <c r="E373" s="15"/>
    </row>
    <row r="374" spans="3:5" x14ac:dyDescent="0.25">
      <c r="C374" s="17"/>
      <c r="D374" s="19"/>
      <c r="E374" s="15"/>
    </row>
    <row r="375" spans="3:5" x14ac:dyDescent="0.25">
      <c r="C375" s="17"/>
      <c r="D375" s="19"/>
      <c r="E375" s="15"/>
    </row>
    <row r="376" spans="3:5" x14ac:dyDescent="0.25">
      <c r="C376" s="17"/>
      <c r="D376" s="19"/>
      <c r="E376" s="15"/>
    </row>
    <row r="377" spans="3:5" x14ac:dyDescent="0.25">
      <c r="C377" s="17"/>
      <c r="D377" s="19"/>
      <c r="E377" s="15"/>
    </row>
    <row r="378" spans="3:5" x14ac:dyDescent="0.25">
      <c r="C378" s="17"/>
      <c r="D378" s="19"/>
      <c r="E378" s="15"/>
    </row>
    <row r="379" spans="3:5" x14ac:dyDescent="0.25">
      <c r="C379" s="17"/>
      <c r="D379" s="19"/>
      <c r="E379" s="15"/>
    </row>
    <row r="380" spans="3:5" x14ac:dyDescent="0.25">
      <c r="C380" s="17"/>
      <c r="D380" s="19"/>
      <c r="E380" s="15"/>
    </row>
    <row r="381" spans="3:5" x14ac:dyDescent="0.25">
      <c r="C381" s="17"/>
      <c r="D381" s="19"/>
      <c r="E381" s="15"/>
    </row>
    <row r="382" spans="3:5" x14ac:dyDescent="0.25">
      <c r="C382" s="17"/>
      <c r="D382" s="19"/>
      <c r="E382" s="15"/>
    </row>
    <row r="383" spans="3:5" x14ac:dyDescent="0.25">
      <c r="C383" s="17"/>
      <c r="D383" s="19"/>
      <c r="E383" s="15"/>
    </row>
    <row r="384" spans="3:5" x14ac:dyDescent="0.25">
      <c r="C384" s="17"/>
      <c r="D384" s="19"/>
      <c r="E384" s="15"/>
    </row>
    <row r="385" spans="3:5" x14ac:dyDescent="0.25">
      <c r="C385" s="17"/>
      <c r="D385" s="19"/>
      <c r="E385" s="15"/>
    </row>
    <row r="386" spans="3:5" x14ac:dyDescent="0.25">
      <c r="C386" s="17"/>
      <c r="D386" s="19"/>
      <c r="E386" s="15"/>
    </row>
    <row r="387" spans="3:5" x14ac:dyDescent="0.25">
      <c r="C387" s="17"/>
      <c r="D387" s="19"/>
      <c r="E387" s="15"/>
    </row>
    <row r="388" spans="3:5" x14ac:dyDescent="0.25">
      <c r="C388" s="17"/>
      <c r="D388" s="19"/>
      <c r="E388" s="15"/>
    </row>
    <row r="389" spans="3:5" x14ac:dyDescent="0.25">
      <c r="C389" s="17"/>
      <c r="D389" s="19"/>
      <c r="E389" s="15"/>
    </row>
    <row r="390" spans="3:5" x14ac:dyDescent="0.25">
      <c r="C390" s="17"/>
      <c r="D390" s="19"/>
      <c r="E390" s="15"/>
    </row>
    <row r="391" spans="3:5" x14ac:dyDescent="0.25">
      <c r="C391" s="17"/>
      <c r="D391" s="19"/>
      <c r="E391" s="15"/>
    </row>
    <row r="392" spans="3:5" x14ac:dyDescent="0.25">
      <c r="C392" s="17"/>
      <c r="D392" s="19"/>
      <c r="E392" s="15"/>
    </row>
    <row r="393" spans="3:5" x14ac:dyDescent="0.25">
      <c r="C393" s="17"/>
      <c r="D393" s="19"/>
      <c r="E393" s="15"/>
    </row>
    <row r="394" spans="3:5" x14ac:dyDescent="0.25">
      <c r="C394" s="17"/>
      <c r="D394" s="19"/>
      <c r="E394" s="15"/>
    </row>
    <row r="395" spans="3:5" x14ac:dyDescent="0.25">
      <c r="C395" s="17"/>
      <c r="D395" s="19"/>
      <c r="E395" s="15"/>
    </row>
    <row r="396" spans="3:5" x14ac:dyDescent="0.25">
      <c r="C396" s="17"/>
      <c r="D396" s="19"/>
      <c r="E396" s="15"/>
    </row>
    <row r="397" spans="3:5" x14ac:dyDescent="0.25">
      <c r="C397" s="17"/>
      <c r="D397" s="19"/>
      <c r="E397" s="15"/>
    </row>
    <row r="398" spans="3:5" x14ac:dyDescent="0.25">
      <c r="C398" s="17"/>
      <c r="D398" s="19"/>
      <c r="E398" s="15"/>
    </row>
    <row r="399" spans="3:5" x14ac:dyDescent="0.25">
      <c r="C399" s="17"/>
      <c r="D399" s="19"/>
      <c r="E399" s="15"/>
    </row>
    <row r="400" spans="3:5" x14ac:dyDescent="0.25">
      <c r="C400" s="17"/>
      <c r="D400" s="19"/>
      <c r="E400" s="15"/>
    </row>
    <row r="401" spans="3:5" x14ac:dyDescent="0.25">
      <c r="C401" s="17"/>
      <c r="D401" s="19"/>
      <c r="E401" s="15"/>
    </row>
    <row r="402" spans="3:5" x14ac:dyDescent="0.25">
      <c r="C402" s="17"/>
      <c r="D402" s="19"/>
      <c r="E402" s="15"/>
    </row>
    <row r="403" spans="3:5" x14ac:dyDescent="0.25">
      <c r="C403" s="17"/>
      <c r="D403" s="19"/>
      <c r="E403" s="15"/>
    </row>
    <row r="404" spans="3:5" x14ac:dyDescent="0.25">
      <c r="C404" s="17"/>
      <c r="D404" s="19"/>
      <c r="E404" s="15"/>
    </row>
    <row r="405" spans="3:5" x14ac:dyDescent="0.25">
      <c r="C405" s="17"/>
      <c r="D405" s="19"/>
      <c r="E405" s="15"/>
    </row>
    <row r="406" spans="3:5" x14ac:dyDescent="0.25">
      <c r="C406" s="17"/>
      <c r="D406" s="19"/>
      <c r="E406" s="15"/>
    </row>
    <row r="407" spans="3:5" x14ac:dyDescent="0.25">
      <c r="C407" s="17"/>
      <c r="D407" s="19"/>
      <c r="E407" s="15"/>
    </row>
    <row r="408" spans="3:5" x14ac:dyDescent="0.25">
      <c r="C408" s="17"/>
      <c r="D408" s="19"/>
      <c r="E408" s="15"/>
    </row>
    <row r="409" spans="3:5" x14ac:dyDescent="0.25">
      <c r="C409" s="17"/>
      <c r="D409" s="19"/>
      <c r="E409" s="15"/>
    </row>
    <row r="410" spans="3:5" x14ac:dyDescent="0.25">
      <c r="C410" s="17"/>
      <c r="D410" s="19"/>
      <c r="E410" s="15"/>
    </row>
    <row r="411" spans="3:5" x14ac:dyDescent="0.25">
      <c r="C411" s="17"/>
      <c r="D411" s="19"/>
      <c r="E411" s="15"/>
    </row>
    <row r="412" spans="3:5" x14ac:dyDescent="0.25">
      <c r="C412" s="17"/>
      <c r="D412" s="19"/>
      <c r="E412" s="15"/>
    </row>
    <row r="413" spans="3:5" x14ac:dyDescent="0.25">
      <c r="C413" s="17"/>
      <c r="D413" s="19"/>
      <c r="E413" s="15"/>
    </row>
    <row r="414" spans="3:5" x14ac:dyDescent="0.25">
      <c r="C414" s="17"/>
      <c r="D414" s="19"/>
      <c r="E414" s="15"/>
    </row>
    <row r="415" spans="3:5" x14ac:dyDescent="0.25">
      <c r="C415" s="17"/>
      <c r="D415" s="19"/>
      <c r="E415" s="15"/>
    </row>
    <row r="416" spans="3:5" x14ac:dyDescent="0.25">
      <c r="C416" s="17"/>
      <c r="D416" s="19"/>
      <c r="E416" s="15"/>
    </row>
    <row r="417" spans="3:5" x14ac:dyDescent="0.25">
      <c r="C417" s="17"/>
      <c r="D417" s="19"/>
      <c r="E417" s="15"/>
    </row>
    <row r="418" spans="3:5" x14ac:dyDescent="0.25">
      <c r="C418" s="17"/>
      <c r="D418" s="19"/>
      <c r="E418" s="15"/>
    </row>
    <row r="419" spans="3:5" x14ac:dyDescent="0.25">
      <c r="C419" s="17"/>
      <c r="D419" s="19"/>
      <c r="E419" s="15"/>
    </row>
    <row r="420" spans="3:5" x14ac:dyDescent="0.25">
      <c r="C420" s="17"/>
      <c r="D420" s="19"/>
      <c r="E420" s="15"/>
    </row>
    <row r="421" spans="3:5" x14ac:dyDescent="0.25">
      <c r="C421" s="17"/>
      <c r="D421" s="19"/>
      <c r="E421" s="15"/>
    </row>
    <row r="422" spans="3:5" x14ac:dyDescent="0.25">
      <c r="C422" s="17"/>
      <c r="D422" s="19"/>
      <c r="E422" s="15"/>
    </row>
    <row r="423" spans="3:5" x14ac:dyDescent="0.25">
      <c r="C423" s="17"/>
      <c r="D423" s="19"/>
      <c r="E423" s="15"/>
    </row>
    <row r="424" spans="3:5" x14ac:dyDescent="0.25">
      <c r="C424" s="17"/>
      <c r="D424" s="19"/>
      <c r="E424" s="15"/>
    </row>
    <row r="425" spans="3:5" x14ac:dyDescent="0.25">
      <c r="C425" s="17"/>
      <c r="D425" s="19"/>
      <c r="E425" s="15"/>
    </row>
    <row r="426" spans="3:5" x14ac:dyDescent="0.25">
      <c r="C426" s="17"/>
      <c r="D426" s="19"/>
      <c r="E426" s="15"/>
    </row>
    <row r="427" spans="3:5" x14ac:dyDescent="0.25">
      <c r="C427" s="17"/>
      <c r="D427" s="19"/>
      <c r="E427" s="15"/>
    </row>
    <row r="428" spans="3:5" x14ac:dyDescent="0.25">
      <c r="C428" s="17"/>
      <c r="D428" s="19"/>
      <c r="E428" s="15"/>
    </row>
    <row r="429" spans="3:5" x14ac:dyDescent="0.25">
      <c r="C429" s="17"/>
      <c r="D429" s="19"/>
      <c r="E429" s="15"/>
    </row>
    <row r="430" spans="3:5" x14ac:dyDescent="0.25">
      <c r="C430" s="17"/>
      <c r="D430" s="19"/>
      <c r="E430" s="15"/>
    </row>
    <row r="431" spans="3:5" x14ac:dyDescent="0.25">
      <c r="C431" s="17"/>
      <c r="D431" s="19"/>
      <c r="E431" s="15"/>
    </row>
    <row r="432" spans="3:5" x14ac:dyDescent="0.25">
      <c r="C432" s="17"/>
      <c r="D432" s="19"/>
      <c r="E432" s="15"/>
    </row>
    <row r="433" spans="3:5" x14ac:dyDescent="0.25">
      <c r="C433" s="17"/>
      <c r="D433" s="19"/>
      <c r="E433" s="15"/>
    </row>
    <row r="434" spans="3:5" x14ac:dyDescent="0.25">
      <c r="C434" s="17"/>
      <c r="D434" s="19"/>
      <c r="E434" s="15"/>
    </row>
    <row r="435" spans="3:5" x14ac:dyDescent="0.25">
      <c r="C435" s="17"/>
      <c r="D435" s="19"/>
      <c r="E435" s="15"/>
    </row>
    <row r="436" spans="3:5" x14ac:dyDescent="0.25">
      <c r="C436" s="17"/>
      <c r="D436" s="19"/>
      <c r="E436" s="15"/>
    </row>
    <row r="437" spans="3:5" x14ac:dyDescent="0.25">
      <c r="C437" s="17"/>
      <c r="D437" s="19"/>
      <c r="E437" s="15"/>
    </row>
    <row r="438" spans="3:5" x14ac:dyDescent="0.25">
      <c r="C438" s="17"/>
      <c r="D438" s="19"/>
      <c r="E438" s="15"/>
    </row>
    <row r="439" spans="3:5" x14ac:dyDescent="0.25">
      <c r="C439" s="17"/>
      <c r="D439" s="19"/>
      <c r="E439" s="15"/>
    </row>
    <row r="440" spans="3:5" x14ac:dyDescent="0.25">
      <c r="C440" s="17"/>
      <c r="D440" s="19"/>
      <c r="E440" s="15"/>
    </row>
    <row r="441" spans="3:5" x14ac:dyDescent="0.25">
      <c r="C441" s="17"/>
      <c r="D441" s="19"/>
      <c r="E441" s="15"/>
    </row>
    <row r="442" spans="3:5" x14ac:dyDescent="0.25">
      <c r="C442" s="17"/>
      <c r="D442" s="19"/>
      <c r="E442" s="15"/>
    </row>
    <row r="443" spans="3:5" x14ac:dyDescent="0.25">
      <c r="C443" s="17"/>
      <c r="D443" s="19"/>
      <c r="E443" s="15"/>
    </row>
    <row r="444" spans="3:5" x14ac:dyDescent="0.25">
      <c r="C444" s="17"/>
      <c r="D444" s="19"/>
      <c r="E444" s="15"/>
    </row>
    <row r="445" spans="3:5" x14ac:dyDescent="0.25">
      <c r="C445" s="17"/>
      <c r="D445" s="19"/>
      <c r="E445" s="15"/>
    </row>
    <row r="446" spans="3:5" x14ac:dyDescent="0.25">
      <c r="C446" s="17"/>
      <c r="D446" s="19"/>
      <c r="E446" s="15"/>
    </row>
    <row r="447" spans="3:5" x14ac:dyDescent="0.25">
      <c r="C447" s="17"/>
      <c r="D447" s="19"/>
      <c r="E447" s="15"/>
    </row>
    <row r="448" spans="3:5" x14ac:dyDescent="0.25">
      <c r="C448" s="17"/>
      <c r="D448" s="19"/>
      <c r="E448" s="15"/>
    </row>
    <row r="449" spans="3:5" x14ac:dyDescent="0.25">
      <c r="C449" s="17"/>
      <c r="D449" s="19"/>
      <c r="E449" s="15"/>
    </row>
    <row r="450" spans="3:5" x14ac:dyDescent="0.25">
      <c r="C450" s="17"/>
      <c r="D450" s="19"/>
      <c r="E450" s="15"/>
    </row>
    <row r="451" spans="3:5" x14ac:dyDescent="0.25">
      <c r="C451" s="17"/>
      <c r="D451" s="19"/>
      <c r="E451" s="15"/>
    </row>
    <row r="452" spans="3:5" x14ac:dyDescent="0.25">
      <c r="C452" s="17"/>
      <c r="D452" s="19"/>
      <c r="E452" s="15"/>
    </row>
    <row r="453" spans="3:5" x14ac:dyDescent="0.25">
      <c r="C453" s="17"/>
      <c r="D453" s="19"/>
      <c r="E453" s="15"/>
    </row>
    <row r="454" spans="3:5" x14ac:dyDescent="0.25">
      <c r="C454" s="17"/>
      <c r="D454" s="19"/>
      <c r="E454" s="15"/>
    </row>
    <row r="455" spans="3:5" x14ac:dyDescent="0.25">
      <c r="C455" s="17"/>
      <c r="D455" s="19"/>
      <c r="E455" s="15"/>
    </row>
    <row r="456" spans="3:5" x14ac:dyDescent="0.25">
      <c r="C456" s="17"/>
      <c r="D456" s="19"/>
      <c r="E456" s="15"/>
    </row>
    <row r="457" spans="3:5" x14ac:dyDescent="0.25">
      <c r="C457" s="17"/>
      <c r="D457" s="19"/>
      <c r="E457" s="15"/>
    </row>
    <row r="458" spans="3:5" x14ac:dyDescent="0.25">
      <c r="C458" s="17"/>
      <c r="D458" s="19"/>
      <c r="E458" s="15"/>
    </row>
    <row r="459" spans="3:5" x14ac:dyDescent="0.25">
      <c r="C459" s="17"/>
      <c r="D459" s="19"/>
      <c r="E459" s="15"/>
    </row>
    <row r="460" spans="3:5" x14ac:dyDescent="0.25">
      <c r="C460" s="17"/>
      <c r="D460" s="19"/>
      <c r="E460" s="15"/>
    </row>
    <row r="461" spans="3:5" x14ac:dyDescent="0.25">
      <c r="C461" s="17"/>
      <c r="D461" s="19"/>
      <c r="E461" s="15"/>
    </row>
    <row r="462" spans="3:5" x14ac:dyDescent="0.25">
      <c r="C462" s="17"/>
      <c r="D462" s="19"/>
      <c r="E462" s="15"/>
    </row>
    <row r="463" spans="3:5" x14ac:dyDescent="0.25">
      <c r="C463" s="17"/>
      <c r="D463" s="19"/>
      <c r="E463" s="15"/>
    </row>
    <row r="464" spans="3:5" x14ac:dyDescent="0.25">
      <c r="C464" s="17"/>
      <c r="D464" s="19"/>
      <c r="E464" s="15"/>
    </row>
    <row r="465" spans="3:5" x14ac:dyDescent="0.25">
      <c r="C465" s="17"/>
      <c r="D465" s="19"/>
      <c r="E465" s="15"/>
    </row>
    <row r="466" spans="3:5" x14ac:dyDescent="0.25">
      <c r="C466" s="17"/>
      <c r="D466" s="19"/>
      <c r="E466" s="15"/>
    </row>
    <row r="467" spans="3:5" x14ac:dyDescent="0.25">
      <c r="C467" s="17"/>
      <c r="D467" s="19"/>
      <c r="E467" s="15"/>
    </row>
    <row r="468" spans="3:5" x14ac:dyDescent="0.25">
      <c r="C468" s="17"/>
      <c r="D468" s="19"/>
      <c r="E468" s="15"/>
    </row>
    <row r="469" spans="3:5" x14ac:dyDescent="0.25">
      <c r="C469" s="17"/>
      <c r="D469" s="19"/>
      <c r="E469" s="15"/>
    </row>
    <row r="470" spans="3:5" x14ac:dyDescent="0.25">
      <c r="C470" s="17"/>
      <c r="D470" s="19"/>
      <c r="E470" s="15"/>
    </row>
    <row r="471" spans="3:5" x14ac:dyDescent="0.25">
      <c r="C471" s="17"/>
      <c r="D471" s="19"/>
      <c r="E471" s="15"/>
    </row>
    <row r="472" spans="3:5" x14ac:dyDescent="0.25">
      <c r="C472" s="17"/>
      <c r="D472" s="19"/>
      <c r="E472" s="15"/>
    </row>
    <row r="473" spans="3:5" x14ac:dyDescent="0.25">
      <c r="C473" s="17"/>
      <c r="D473" s="19"/>
      <c r="E473" s="15"/>
    </row>
    <row r="474" spans="3:5" x14ac:dyDescent="0.25">
      <c r="C474" s="17"/>
      <c r="D474" s="19"/>
      <c r="E474" s="15"/>
    </row>
    <row r="475" spans="3:5" x14ac:dyDescent="0.25">
      <c r="C475" s="17"/>
      <c r="D475" s="19"/>
      <c r="E475" s="15"/>
    </row>
    <row r="476" spans="3:5" x14ac:dyDescent="0.25">
      <c r="C476" s="17"/>
      <c r="D476" s="19"/>
      <c r="E476" s="15"/>
    </row>
    <row r="477" spans="3:5" x14ac:dyDescent="0.25">
      <c r="C477" s="17"/>
      <c r="D477" s="19"/>
      <c r="E477" s="15"/>
    </row>
    <row r="478" spans="3:5" x14ac:dyDescent="0.25">
      <c r="C478" s="17"/>
      <c r="D478" s="19"/>
      <c r="E478" s="15"/>
    </row>
    <row r="479" spans="3:5" x14ac:dyDescent="0.25">
      <c r="C479" s="17"/>
      <c r="D479" s="19"/>
      <c r="E479" s="15"/>
    </row>
    <row r="480" spans="3:5" x14ac:dyDescent="0.25">
      <c r="C480" s="17"/>
      <c r="D480" s="19"/>
      <c r="E480" s="15"/>
    </row>
    <row r="481" spans="3:5" x14ac:dyDescent="0.25">
      <c r="C481" s="17"/>
      <c r="D481" s="19"/>
      <c r="E481" s="15"/>
    </row>
    <row r="482" spans="3:5" x14ac:dyDescent="0.25">
      <c r="C482" s="17"/>
      <c r="D482" s="19"/>
      <c r="E482" s="15"/>
    </row>
    <row r="483" spans="3:5" x14ac:dyDescent="0.25">
      <c r="C483" s="17"/>
      <c r="D483" s="19"/>
      <c r="E483" s="15"/>
    </row>
    <row r="484" spans="3:5" x14ac:dyDescent="0.25">
      <c r="C484" s="17"/>
      <c r="D484" s="19"/>
      <c r="E484" s="15"/>
    </row>
    <row r="485" spans="3:5" x14ac:dyDescent="0.25">
      <c r="C485" s="17"/>
      <c r="D485" s="19"/>
      <c r="E485" s="15"/>
    </row>
    <row r="486" spans="3:5" x14ac:dyDescent="0.25">
      <c r="C486" s="17"/>
      <c r="D486" s="19"/>
      <c r="E486" s="15"/>
    </row>
    <row r="487" spans="3:5" x14ac:dyDescent="0.25">
      <c r="C487" s="17"/>
      <c r="D487" s="19"/>
      <c r="E487" s="15"/>
    </row>
    <row r="488" spans="3:5" x14ac:dyDescent="0.25">
      <c r="C488" s="17"/>
      <c r="D488" s="19"/>
      <c r="E488" s="15"/>
    </row>
    <row r="489" spans="3:5" x14ac:dyDescent="0.25">
      <c r="C489" s="17"/>
      <c r="D489" s="19"/>
      <c r="E489" s="15"/>
    </row>
    <row r="490" spans="3:5" x14ac:dyDescent="0.25">
      <c r="C490" s="17"/>
      <c r="D490" s="19"/>
      <c r="E490" s="15"/>
    </row>
    <row r="491" spans="3:5" x14ac:dyDescent="0.25">
      <c r="C491" s="17"/>
      <c r="D491" s="19"/>
      <c r="E491" s="15"/>
    </row>
    <row r="492" spans="3:5" x14ac:dyDescent="0.25">
      <c r="C492" s="17"/>
      <c r="D492" s="19"/>
      <c r="E492" s="15"/>
    </row>
    <row r="493" spans="3:5" x14ac:dyDescent="0.25">
      <c r="C493" s="17"/>
      <c r="D493" s="19"/>
      <c r="E493" s="15"/>
    </row>
    <row r="494" spans="3:5" x14ac:dyDescent="0.25">
      <c r="C494" s="17"/>
      <c r="D494" s="19"/>
      <c r="E494" s="15"/>
    </row>
    <row r="495" spans="3:5" x14ac:dyDescent="0.25">
      <c r="C495" s="17"/>
      <c r="D495" s="19"/>
      <c r="E495" s="15"/>
    </row>
    <row r="496" spans="3:5" x14ac:dyDescent="0.25">
      <c r="C496" s="17"/>
      <c r="D496" s="19"/>
      <c r="E496" s="15"/>
    </row>
    <row r="497" spans="3:5" x14ac:dyDescent="0.25">
      <c r="C497" s="17"/>
      <c r="D497" s="19"/>
      <c r="E497" s="15"/>
    </row>
    <row r="498" spans="3:5" x14ac:dyDescent="0.25">
      <c r="C498" s="17"/>
      <c r="D498" s="19"/>
      <c r="E498" s="15"/>
    </row>
    <row r="499" spans="3:5" x14ac:dyDescent="0.25">
      <c r="C499" s="17"/>
      <c r="D499" s="19"/>
      <c r="E499" s="15"/>
    </row>
    <row r="500" spans="3:5" x14ac:dyDescent="0.25">
      <c r="C500" s="17"/>
      <c r="D500" s="19"/>
      <c r="E500" s="15"/>
    </row>
    <row r="501" spans="3:5" x14ac:dyDescent="0.25">
      <c r="C501" s="17"/>
      <c r="D501" s="19"/>
      <c r="E501" s="15"/>
    </row>
    <row r="502" spans="3:5" x14ac:dyDescent="0.25">
      <c r="C502" s="17"/>
      <c r="D502" s="19"/>
      <c r="E502" s="15"/>
    </row>
    <row r="503" spans="3:5" x14ac:dyDescent="0.25">
      <c r="C503" s="17"/>
      <c r="D503" s="19"/>
      <c r="E503" s="15"/>
    </row>
    <row r="504" spans="3:5" x14ac:dyDescent="0.25">
      <c r="C504" s="17"/>
      <c r="D504" s="19"/>
      <c r="E504" s="15"/>
    </row>
    <row r="505" spans="3:5" x14ac:dyDescent="0.25">
      <c r="C505" s="17"/>
      <c r="D505" s="19"/>
      <c r="E505" s="15"/>
    </row>
    <row r="506" spans="3:5" x14ac:dyDescent="0.25">
      <c r="C506" s="17"/>
      <c r="D506" s="19"/>
      <c r="E506" s="15"/>
    </row>
    <row r="507" spans="3:5" x14ac:dyDescent="0.25">
      <c r="C507" s="17"/>
      <c r="D507" s="19"/>
      <c r="E507" s="15"/>
    </row>
    <row r="508" spans="3:5" x14ac:dyDescent="0.25">
      <c r="C508" s="17"/>
      <c r="D508" s="19"/>
      <c r="E508" s="15"/>
    </row>
    <row r="509" spans="3:5" x14ac:dyDescent="0.25">
      <c r="C509" s="17"/>
      <c r="D509" s="19"/>
      <c r="E509" s="15"/>
    </row>
    <row r="510" spans="3:5" x14ac:dyDescent="0.25">
      <c r="C510" s="17"/>
      <c r="D510" s="19"/>
      <c r="E510" s="15"/>
    </row>
    <row r="511" spans="3:5" x14ac:dyDescent="0.25">
      <c r="C511" s="17"/>
      <c r="D511" s="19"/>
      <c r="E511" s="15"/>
    </row>
    <row r="512" spans="3:5" x14ac:dyDescent="0.25">
      <c r="C512" s="17"/>
      <c r="D512" s="19"/>
      <c r="E512" s="15"/>
    </row>
    <row r="513" spans="3:5" x14ac:dyDescent="0.25">
      <c r="C513" s="17"/>
      <c r="D513" s="19"/>
      <c r="E513" s="15"/>
    </row>
    <row r="514" spans="3:5" x14ac:dyDescent="0.25">
      <c r="C514" s="17"/>
      <c r="D514" s="19"/>
      <c r="E514" s="15"/>
    </row>
    <row r="515" spans="3:5" x14ac:dyDescent="0.25">
      <c r="C515" s="17"/>
      <c r="D515" s="19"/>
      <c r="E515" s="15"/>
    </row>
    <row r="516" spans="3:5" x14ac:dyDescent="0.25">
      <c r="C516" s="17"/>
      <c r="D516" s="19"/>
      <c r="E516" s="15"/>
    </row>
    <row r="517" spans="3:5" x14ac:dyDescent="0.25">
      <c r="C517" s="17"/>
      <c r="D517" s="19"/>
      <c r="E517" s="15"/>
    </row>
    <row r="518" spans="3:5" x14ac:dyDescent="0.25">
      <c r="C518" s="17"/>
      <c r="D518" s="19"/>
      <c r="E518" s="15"/>
    </row>
    <row r="519" spans="3:5" x14ac:dyDescent="0.25">
      <c r="C519" s="17"/>
      <c r="D519" s="19"/>
      <c r="E519" s="15"/>
    </row>
    <row r="520" spans="3:5" x14ac:dyDescent="0.25">
      <c r="C520" s="17"/>
      <c r="D520" s="19"/>
      <c r="E520" s="15"/>
    </row>
    <row r="521" spans="3:5" x14ac:dyDescent="0.25">
      <c r="C521" s="17"/>
      <c r="D521" s="19"/>
      <c r="E521" s="15"/>
    </row>
    <row r="522" spans="3:5" x14ac:dyDescent="0.25">
      <c r="C522" s="17"/>
      <c r="D522" s="19"/>
      <c r="E522" s="15"/>
    </row>
    <row r="523" spans="3:5" x14ac:dyDescent="0.25">
      <c r="C523" s="17"/>
      <c r="D523" s="19"/>
      <c r="E523" s="15"/>
    </row>
    <row r="524" spans="3:5" x14ac:dyDescent="0.25">
      <c r="C524" s="17"/>
      <c r="D524" s="19"/>
      <c r="E524" s="15"/>
    </row>
    <row r="525" spans="3:5" x14ac:dyDescent="0.25">
      <c r="C525" s="17"/>
      <c r="D525" s="19"/>
      <c r="E525" s="15"/>
    </row>
    <row r="526" spans="3:5" x14ac:dyDescent="0.25">
      <c r="C526" s="17"/>
      <c r="D526" s="19"/>
      <c r="E526" s="15"/>
    </row>
    <row r="527" spans="3:5" x14ac:dyDescent="0.25">
      <c r="C527" s="17"/>
      <c r="D527" s="19"/>
      <c r="E527" s="15"/>
    </row>
    <row r="528" spans="3:5" x14ac:dyDescent="0.25">
      <c r="C528" s="17"/>
      <c r="D528" s="19"/>
      <c r="E528" s="15"/>
    </row>
    <row r="529" spans="3:5" x14ac:dyDescent="0.25">
      <c r="C529" s="17"/>
      <c r="D529" s="19"/>
      <c r="E529" s="15"/>
    </row>
    <row r="530" spans="3:5" x14ac:dyDescent="0.25">
      <c r="C530" s="17"/>
      <c r="D530" s="19"/>
      <c r="E530" s="15"/>
    </row>
    <row r="531" spans="3:5" x14ac:dyDescent="0.25">
      <c r="C531" s="17"/>
      <c r="D531" s="19"/>
      <c r="E531" s="15"/>
    </row>
    <row r="532" spans="3:5" x14ac:dyDescent="0.25">
      <c r="C532" s="17"/>
      <c r="D532" s="19"/>
      <c r="E532" s="15"/>
    </row>
    <row r="533" spans="3:5" x14ac:dyDescent="0.25">
      <c r="C533" s="17"/>
      <c r="D533" s="19"/>
      <c r="E533" s="15"/>
    </row>
    <row r="534" spans="3:5" x14ac:dyDescent="0.25">
      <c r="C534" s="17"/>
      <c r="D534" s="19"/>
      <c r="E534" s="15"/>
    </row>
    <row r="535" spans="3:5" x14ac:dyDescent="0.25">
      <c r="C535" s="17"/>
      <c r="D535" s="19"/>
      <c r="E535" s="15"/>
    </row>
    <row r="536" spans="3:5" x14ac:dyDescent="0.25">
      <c r="C536" s="17"/>
      <c r="D536" s="19"/>
      <c r="E536" s="15"/>
    </row>
    <row r="537" spans="3:5" x14ac:dyDescent="0.25">
      <c r="C537" s="17"/>
      <c r="D537" s="19"/>
      <c r="E537" s="15"/>
    </row>
    <row r="538" spans="3:5" x14ac:dyDescent="0.25">
      <c r="C538" s="17"/>
      <c r="D538" s="19"/>
      <c r="E538" s="15"/>
    </row>
    <row r="539" spans="3:5" x14ac:dyDescent="0.25">
      <c r="C539" s="17"/>
      <c r="D539" s="19"/>
      <c r="E539" s="15"/>
    </row>
    <row r="540" spans="3:5" x14ac:dyDescent="0.25">
      <c r="C540" s="17"/>
      <c r="D540" s="19"/>
      <c r="E540" s="15"/>
    </row>
    <row r="541" spans="3:5" x14ac:dyDescent="0.25">
      <c r="C541" s="17"/>
      <c r="D541" s="19"/>
      <c r="E541" s="15"/>
    </row>
    <row r="542" spans="3:5" x14ac:dyDescent="0.25">
      <c r="C542" s="17"/>
      <c r="D542" s="19"/>
      <c r="E542" s="15"/>
    </row>
    <row r="543" spans="3:5" x14ac:dyDescent="0.25">
      <c r="C543" s="17"/>
      <c r="D543" s="19"/>
      <c r="E543" s="15"/>
    </row>
    <row r="544" spans="3:5" x14ac:dyDescent="0.25">
      <c r="C544" s="17"/>
      <c r="D544" s="19"/>
      <c r="E544" s="15"/>
    </row>
    <row r="545" spans="3:5" x14ac:dyDescent="0.25">
      <c r="C545" s="17"/>
      <c r="D545" s="19"/>
      <c r="E545" s="15"/>
    </row>
    <row r="546" spans="3:5" x14ac:dyDescent="0.25">
      <c r="C546" s="17"/>
      <c r="D546" s="19"/>
      <c r="E546" s="15"/>
    </row>
    <row r="547" spans="3:5" x14ac:dyDescent="0.25">
      <c r="C547" s="17"/>
      <c r="D547" s="19"/>
      <c r="E547" s="15"/>
    </row>
    <row r="548" spans="3:5" x14ac:dyDescent="0.25">
      <c r="C548" s="17"/>
      <c r="D548" s="19"/>
      <c r="E548" s="15"/>
    </row>
    <row r="549" spans="3:5" x14ac:dyDescent="0.25">
      <c r="C549" s="17"/>
      <c r="D549" s="19"/>
      <c r="E549" s="15"/>
    </row>
    <row r="550" spans="3:5" x14ac:dyDescent="0.25">
      <c r="C550" s="17"/>
      <c r="D550" s="19"/>
      <c r="E550" s="15"/>
    </row>
    <row r="551" spans="3:5" x14ac:dyDescent="0.25">
      <c r="C551" s="17"/>
      <c r="D551" s="19"/>
      <c r="E551" s="15"/>
    </row>
    <row r="552" spans="3:5" x14ac:dyDescent="0.25">
      <c r="C552" s="17"/>
      <c r="D552" s="19"/>
      <c r="E552" s="15"/>
    </row>
    <row r="553" spans="3:5" x14ac:dyDescent="0.25">
      <c r="C553" s="17"/>
      <c r="D553" s="19"/>
      <c r="E553" s="15"/>
    </row>
    <row r="554" spans="3:5" x14ac:dyDescent="0.25">
      <c r="C554" s="17"/>
      <c r="D554" s="19"/>
      <c r="E554" s="15"/>
    </row>
    <row r="555" spans="3:5" x14ac:dyDescent="0.25">
      <c r="C555" s="17"/>
      <c r="D555" s="19"/>
      <c r="E555" s="15"/>
    </row>
    <row r="556" spans="3:5" x14ac:dyDescent="0.25">
      <c r="C556" s="17"/>
      <c r="D556" s="19"/>
      <c r="E556" s="15"/>
    </row>
    <row r="557" spans="3:5" x14ac:dyDescent="0.25">
      <c r="C557" s="17"/>
      <c r="D557" s="19"/>
      <c r="E557" s="15"/>
    </row>
    <row r="558" spans="3:5" x14ac:dyDescent="0.25">
      <c r="C558" s="17"/>
      <c r="D558" s="19"/>
      <c r="E558" s="15"/>
    </row>
    <row r="559" spans="3:5" x14ac:dyDescent="0.25">
      <c r="C559" s="17"/>
      <c r="D559" s="19"/>
      <c r="E559" s="15"/>
    </row>
    <row r="560" spans="3:5" x14ac:dyDescent="0.25">
      <c r="C560" s="17"/>
      <c r="D560" s="19"/>
      <c r="E560" s="15"/>
    </row>
    <row r="561" spans="3:5" x14ac:dyDescent="0.25">
      <c r="C561" s="17"/>
      <c r="D561" s="19"/>
      <c r="E561" s="15"/>
    </row>
    <row r="562" spans="3:5" x14ac:dyDescent="0.25">
      <c r="C562" s="17"/>
      <c r="D562" s="19"/>
      <c r="E562" s="15"/>
    </row>
    <row r="563" spans="3:5" x14ac:dyDescent="0.25">
      <c r="C563" s="17"/>
      <c r="D563" s="19"/>
      <c r="E563" s="15"/>
    </row>
    <row r="564" spans="3:5" x14ac:dyDescent="0.25">
      <c r="C564" s="17"/>
      <c r="D564" s="19"/>
      <c r="E564" s="15"/>
    </row>
    <row r="565" spans="3:5" x14ac:dyDescent="0.25">
      <c r="C565" s="17"/>
      <c r="D565" s="19"/>
      <c r="E565" s="15"/>
    </row>
    <row r="566" spans="3:5" x14ac:dyDescent="0.25">
      <c r="C566" s="17"/>
      <c r="D566" s="19"/>
      <c r="E566" s="15"/>
    </row>
    <row r="567" spans="3:5" x14ac:dyDescent="0.25">
      <c r="C567" s="17"/>
      <c r="D567" s="19"/>
      <c r="E567" s="15"/>
    </row>
    <row r="568" spans="3:5" x14ac:dyDescent="0.25">
      <c r="C568" s="17"/>
      <c r="D568" s="19"/>
      <c r="E568" s="15"/>
    </row>
    <row r="569" spans="3:5" x14ac:dyDescent="0.25">
      <c r="C569" s="17"/>
      <c r="D569" s="19"/>
      <c r="E569" s="15"/>
    </row>
    <row r="570" spans="3:5" x14ac:dyDescent="0.25">
      <c r="C570" s="17"/>
      <c r="D570" s="19"/>
      <c r="E570" s="15"/>
    </row>
    <row r="571" spans="3:5" x14ac:dyDescent="0.25">
      <c r="C571" s="17"/>
      <c r="D571" s="19"/>
      <c r="E571" s="15"/>
    </row>
    <row r="572" spans="3:5" x14ac:dyDescent="0.25">
      <c r="C572" s="17"/>
      <c r="D572" s="19"/>
      <c r="E572" s="15"/>
    </row>
    <row r="573" spans="3:5" x14ac:dyDescent="0.25">
      <c r="C573" s="17"/>
      <c r="D573" s="19"/>
      <c r="E573" s="15"/>
    </row>
    <row r="574" spans="3:5" x14ac:dyDescent="0.25">
      <c r="C574" s="17"/>
      <c r="D574" s="19"/>
      <c r="E574" s="15"/>
    </row>
    <row r="575" spans="3:5" x14ac:dyDescent="0.25">
      <c r="C575" s="17"/>
      <c r="D575" s="19"/>
      <c r="E575" s="15"/>
    </row>
    <row r="576" spans="3:5" x14ac:dyDescent="0.25">
      <c r="C576" s="17"/>
      <c r="D576" s="19"/>
      <c r="E576" s="15"/>
    </row>
    <row r="577" spans="3:5" x14ac:dyDescent="0.25">
      <c r="C577" s="17"/>
      <c r="D577" s="19"/>
      <c r="E577" s="15"/>
    </row>
    <row r="578" spans="3:5" x14ac:dyDescent="0.25">
      <c r="C578" s="17"/>
      <c r="D578" s="19"/>
      <c r="E578" s="15"/>
    </row>
    <row r="579" spans="3:5" x14ac:dyDescent="0.25">
      <c r="C579" s="17"/>
      <c r="D579" s="19"/>
      <c r="E579" s="15"/>
    </row>
    <row r="580" spans="3:5" x14ac:dyDescent="0.25">
      <c r="C580" s="17"/>
      <c r="D580" s="19"/>
      <c r="E580" s="15"/>
    </row>
    <row r="581" spans="3:5" x14ac:dyDescent="0.25">
      <c r="C581" s="17"/>
      <c r="D581" s="19"/>
      <c r="E581" s="15"/>
    </row>
    <row r="582" spans="3:5" x14ac:dyDescent="0.25">
      <c r="C582" s="17"/>
      <c r="D582" s="19"/>
      <c r="E582" s="15"/>
    </row>
    <row r="583" spans="3:5" x14ac:dyDescent="0.25">
      <c r="C583" s="17"/>
      <c r="D583" s="19"/>
      <c r="E583" s="15"/>
    </row>
    <row r="584" spans="3:5" x14ac:dyDescent="0.25">
      <c r="C584" s="17"/>
      <c r="D584" s="19"/>
      <c r="E584" s="15"/>
    </row>
    <row r="585" spans="3:5" x14ac:dyDescent="0.25">
      <c r="C585" s="17"/>
      <c r="D585" s="19"/>
      <c r="E585" s="15"/>
    </row>
    <row r="586" spans="3:5" x14ac:dyDescent="0.25">
      <c r="C586" s="17"/>
      <c r="D586" s="19"/>
      <c r="E586" s="15"/>
    </row>
    <row r="587" spans="3:5" x14ac:dyDescent="0.25">
      <c r="C587" s="17"/>
      <c r="D587" s="19"/>
      <c r="E587" s="15"/>
    </row>
    <row r="588" spans="3:5" x14ac:dyDescent="0.25">
      <c r="C588" s="17"/>
      <c r="D588" s="19"/>
      <c r="E588" s="15"/>
    </row>
    <row r="589" spans="3:5" x14ac:dyDescent="0.25">
      <c r="C589" s="17"/>
      <c r="D589" s="19"/>
      <c r="E589" s="15"/>
    </row>
    <row r="590" spans="3:5" x14ac:dyDescent="0.25">
      <c r="C590" s="17"/>
      <c r="D590" s="19"/>
      <c r="E590" s="15"/>
    </row>
    <row r="591" spans="3:5" x14ac:dyDescent="0.25">
      <c r="C591" s="17"/>
      <c r="D591" s="19"/>
      <c r="E591" s="15"/>
    </row>
    <row r="592" spans="3:5" x14ac:dyDescent="0.25">
      <c r="C592" s="17"/>
      <c r="D592" s="19"/>
      <c r="E592" s="15"/>
    </row>
    <row r="593" spans="3:5" x14ac:dyDescent="0.25">
      <c r="C593" s="17"/>
      <c r="D593" s="19"/>
      <c r="E593" s="15"/>
    </row>
    <row r="594" spans="3:5" x14ac:dyDescent="0.25">
      <c r="C594" s="17"/>
      <c r="D594" s="19"/>
      <c r="E594" s="15"/>
    </row>
    <row r="595" spans="3:5" x14ac:dyDescent="0.25">
      <c r="C595" s="17"/>
      <c r="D595" s="19"/>
      <c r="E595" s="15"/>
    </row>
    <row r="596" spans="3:5" x14ac:dyDescent="0.25">
      <c r="C596" s="17"/>
      <c r="D596" s="19"/>
      <c r="E596" s="15"/>
    </row>
    <row r="597" spans="3:5" x14ac:dyDescent="0.25">
      <c r="C597" s="17"/>
      <c r="D597" s="19"/>
      <c r="E597" s="15"/>
    </row>
    <row r="598" spans="3:5" x14ac:dyDescent="0.25">
      <c r="C598" s="17"/>
      <c r="D598" s="19"/>
      <c r="E598" s="15"/>
    </row>
    <row r="599" spans="3:5" x14ac:dyDescent="0.25">
      <c r="C599" s="17"/>
      <c r="D599" s="19"/>
      <c r="E599" s="15"/>
    </row>
    <row r="600" spans="3:5" x14ac:dyDescent="0.25">
      <c r="C600" s="17"/>
      <c r="D600" s="19"/>
      <c r="E600" s="15"/>
    </row>
    <row r="601" spans="3:5" x14ac:dyDescent="0.25">
      <c r="C601" s="17"/>
      <c r="D601" s="19"/>
      <c r="E601" s="15"/>
    </row>
    <row r="602" spans="3:5" x14ac:dyDescent="0.25">
      <c r="C602" s="17"/>
      <c r="D602" s="19"/>
      <c r="E602" s="15"/>
    </row>
    <row r="603" spans="3:5" x14ac:dyDescent="0.25">
      <c r="C603" s="17"/>
      <c r="D603" s="19"/>
      <c r="E603" s="15"/>
    </row>
    <row r="604" spans="3:5" x14ac:dyDescent="0.25">
      <c r="C604" s="17"/>
      <c r="D604" s="19"/>
      <c r="E604" s="15"/>
    </row>
    <row r="605" spans="3:5" x14ac:dyDescent="0.25">
      <c r="C605" s="17"/>
      <c r="D605" s="19"/>
      <c r="E605" s="15"/>
    </row>
    <row r="606" spans="3:5" x14ac:dyDescent="0.25">
      <c r="C606" s="17"/>
      <c r="D606" s="19"/>
      <c r="E606" s="15"/>
    </row>
    <row r="607" spans="3:5" x14ac:dyDescent="0.25">
      <c r="C607" s="17"/>
      <c r="D607" s="19"/>
      <c r="E607" s="15"/>
    </row>
    <row r="608" spans="3:5" x14ac:dyDescent="0.25">
      <c r="C608" s="17"/>
      <c r="D608" s="19"/>
      <c r="E608" s="15"/>
    </row>
    <row r="609" spans="3:5" x14ac:dyDescent="0.25">
      <c r="C609" s="17"/>
      <c r="D609" s="19"/>
      <c r="E609" s="15"/>
    </row>
    <row r="610" spans="3:5" x14ac:dyDescent="0.25">
      <c r="C610" s="17"/>
      <c r="D610" s="19"/>
      <c r="E610" s="15"/>
    </row>
    <row r="611" spans="3:5" x14ac:dyDescent="0.25">
      <c r="C611" s="17"/>
      <c r="D611" s="19"/>
      <c r="E611" s="15"/>
    </row>
    <row r="612" spans="3:5" x14ac:dyDescent="0.25">
      <c r="C612" s="17"/>
      <c r="D612" s="19"/>
      <c r="E612" s="15"/>
    </row>
    <row r="613" spans="3:5" x14ac:dyDescent="0.25">
      <c r="C613" s="17"/>
      <c r="D613" s="19"/>
      <c r="E613" s="15"/>
    </row>
    <row r="614" spans="3:5" x14ac:dyDescent="0.25">
      <c r="C614" s="17"/>
      <c r="D614" s="19"/>
      <c r="E614" s="15"/>
    </row>
    <row r="615" spans="3:5" x14ac:dyDescent="0.25">
      <c r="C615" s="17"/>
      <c r="D615" s="19"/>
      <c r="E615" s="15"/>
    </row>
    <row r="616" spans="3:5" x14ac:dyDescent="0.25">
      <c r="C616" s="17"/>
      <c r="D616" s="19"/>
      <c r="E616" s="15"/>
    </row>
    <row r="617" spans="3:5" x14ac:dyDescent="0.25">
      <c r="C617" s="17"/>
      <c r="D617" s="19"/>
      <c r="E617" s="15"/>
    </row>
    <row r="618" spans="3:5" x14ac:dyDescent="0.25">
      <c r="C618" s="17"/>
      <c r="D618" s="19"/>
      <c r="E618" s="15"/>
    </row>
    <row r="619" spans="3:5" x14ac:dyDescent="0.25">
      <c r="C619" s="17"/>
      <c r="D619" s="19"/>
      <c r="E619" s="15"/>
    </row>
    <row r="620" spans="3:5" x14ac:dyDescent="0.25">
      <c r="C620" s="17"/>
      <c r="D620" s="19"/>
      <c r="E620" s="15"/>
    </row>
    <row r="621" spans="3:5" x14ac:dyDescent="0.25">
      <c r="C621" s="17"/>
      <c r="D621" s="19"/>
      <c r="E621" s="15"/>
    </row>
    <row r="622" spans="3:5" x14ac:dyDescent="0.25">
      <c r="C622" s="17"/>
      <c r="D622" s="19"/>
      <c r="E622" s="15"/>
    </row>
    <row r="623" spans="3:5" x14ac:dyDescent="0.25">
      <c r="C623" s="17"/>
      <c r="D623" s="19"/>
      <c r="E623" s="15"/>
    </row>
    <row r="624" spans="3:5" x14ac:dyDescent="0.25">
      <c r="C624" s="17"/>
      <c r="D624" s="19"/>
      <c r="E624" s="15"/>
    </row>
    <row r="625" spans="3:5" x14ac:dyDescent="0.25">
      <c r="C625" s="17"/>
      <c r="D625" s="19"/>
      <c r="E625" s="15"/>
    </row>
    <row r="626" spans="3:5" x14ac:dyDescent="0.25">
      <c r="C626" s="17"/>
      <c r="D626" s="19"/>
      <c r="E626" s="15"/>
    </row>
    <row r="627" spans="3:5" x14ac:dyDescent="0.25">
      <c r="C627" s="17"/>
      <c r="D627" s="19"/>
      <c r="E627" s="15"/>
    </row>
    <row r="628" spans="3:5" x14ac:dyDescent="0.25">
      <c r="C628" s="17"/>
      <c r="D628" s="19"/>
      <c r="E628" s="15"/>
    </row>
    <row r="629" spans="3:5" x14ac:dyDescent="0.25">
      <c r="C629" s="17"/>
      <c r="D629" s="19"/>
      <c r="E629" s="15"/>
    </row>
    <row r="630" spans="3:5" x14ac:dyDescent="0.25">
      <c r="C630" s="17"/>
      <c r="D630" s="19"/>
      <c r="E630" s="15"/>
    </row>
    <row r="631" spans="3:5" x14ac:dyDescent="0.25">
      <c r="C631" s="17"/>
      <c r="D631" s="19"/>
      <c r="E631" s="15"/>
    </row>
    <row r="632" spans="3:5" x14ac:dyDescent="0.25">
      <c r="C632" s="17"/>
      <c r="D632" s="19"/>
      <c r="E632" s="15"/>
    </row>
    <row r="633" spans="3:5" x14ac:dyDescent="0.25">
      <c r="C633" s="17"/>
      <c r="D633" s="19"/>
      <c r="E633" s="15"/>
    </row>
    <row r="634" spans="3:5" x14ac:dyDescent="0.25">
      <c r="C634" s="17"/>
      <c r="D634" s="19"/>
      <c r="E634" s="15"/>
    </row>
    <row r="635" spans="3:5" x14ac:dyDescent="0.25">
      <c r="C635" s="17"/>
      <c r="D635" s="19"/>
      <c r="E635" s="15"/>
    </row>
    <row r="636" spans="3:5" x14ac:dyDescent="0.25">
      <c r="C636" s="17"/>
      <c r="D636" s="19"/>
      <c r="E636" s="15"/>
    </row>
    <row r="637" spans="3:5" x14ac:dyDescent="0.25">
      <c r="C637" s="17"/>
      <c r="D637" s="19"/>
      <c r="E637" s="15"/>
    </row>
    <row r="638" spans="3:5" x14ac:dyDescent="0.25">
      <c r="C638" s="17"/>
      <c r="D638" s="19"/>
      <c r="E638" s="15"/>
    </row>
    <row r="639" spans="3:5" x14ac:dyDescent="0.25">
      <c r="C639" s="17"/>
      <c r="D639" s="19"/>
      <c r="E639" s="15"/>
    </row>
    <row r="640" spans="3:5" x14ac:dyDescent="0.25">
      <c r="C640" s="17"/>
      <c r="D640" s="19"/>
      <c r="E640" s="15"/>
    </row>
    <row r="641" spans="3:5" x14ac:dyDescent="0.25">
      <c r="C641" s="17"/>
      <c r="D641" s="19"/>
      <c r="E641" s="15"/>
    </row>
    <row r="642" spans="3:5" x14ac:dyDescent="0.25">
      <c r="C642" s="17"/>
      <c r="D642" s="19"/>
      <c r="E642" s="15"/>
    </row>
    <row r="643" spans="3:5" x14ac:dyDescent="0.25">
      <c r="C643" s="17"/>
      <c r="D643" s="19"/>
      <c r="E643" s="15"/>
    </row>
    <row r="644" spans="3:5" x14ac:dyDescent="0.25">
      <c r="C644" s="17"/>
      <c r="D644" s="19"/>
      <c r="E644" s="15"/>
    </row>
    <row r="645" spans="3:5" x14ac:dyDescent="0.25">
      <c r="C645" s="17"/>
      <c r="D645" s="19"/>
      <c r="E645" s="15"/>
    </row>
    <row r="646" spans="3:5" x14ac:dyDescent="0.25">
      <c r="C646" s="17"/>
      <c r="D646" s="19"/>
      <c r="E646" s="15"/>
    </row>
    <row r="647" spans="3:5" x14ac:dyDescent="0.25">
      <c r="C647" s="17"/>
      <c r="D647" s="19"/>
      <c r="E647" s="15"/>
    </row>
    <row r="648" spans="3:5" x14ac:dyDescent="0.25">
      <c r="C648" s="17"/>
      <c r="D648" s="19"/>
      <c r="E648" s="15"/>
    </row>
    <row r="649" spans="3:5" x14ac:dyDescent="0.25">
      <c r="C649" s="17"/>
      <c r="D649" s="19"/>
      <c r="E649" s="15"/>
    </row>
    <row r="650" spans="3:5" x14ac:dyDescent="0.25">
      <c r="C650" s="17"/>
      <c r="D650" s="19"/>
      <c r="E650" s="15"/>
    </row>
    <row r="651" spans="3:5" x14ac:dyDescent="0.25">
      <c r="C651" s="17"/>
      <c r="D651" s="19"/>
      <c r="E651" s="15"/>
    </row>
    <row r="652" spans="3:5" x14ac:dyDescent="0.25">
      <c r="C652" s="17"/>
      <c r="D652" s="19"/>
      <c r="E652" s="15"/>
    </row>
    <row r="653" spans="3:5" x14ac:dyDescent="0.25">
      <c r="C653" s="17"/>
      <c r="D653" s="19"/>
      <c r="E653" s="15"/>
    </row>
    <row r="654" spans="3:5" x14ac:dyDescent="0.25">
      <c r="C654" s="17"/>
      <c r="D654" s="19"/>
      <c r="E654" s="15"/>
    </row>
    <row r="655" spans="3:5" x14ac:dyDescent="0.25">
      <c r="C655" s="17"/>
      <c r="D655" s="19"/>
      <c r="E655" s="15"/>
    </row>
    <row r="656" spans="3:5" x14ac:dyDescent="0.25">
      <c r="C656" s="17"/>
      <c r="D656" s="19"/>
      <c r="E656" s="15"/>
    </row>
    <row r="657" spans="3:5" x14ac:dyDescent="0.25">
      <c r="C657" s="17"/>
      <c r="D657" s="19"/>
      <c r="E657" s="15"/>
    </row>
    <row r="658" spans="3:5" x14ac:dyDescent="0.25">
      <c r="C658" s="17"/>
      <c r="D658" s="19"/>
      <c r="E658" s="15"/>
    </row>
    <row r="659" spans="3:5" x14ac:dyDescent="0.25">
      <c r="C659" s="17"/>
      <c r="D659" s="19"/>
      <c r="E659" s="15"/>
    </row>
    <row r="660" spans="3:5" x14ac:dyDescent="0.25">
      <c r="C660" s="17"/>
      <c r="D660" s="19"/>
      <c r="E660" s="15"/>
    </row>
    <row r="661" spans="3:5" x14ac:dyDescent="0.25">
      <c r="C661" s="17"/>
      <c r="D661" s="19"/>
      <c r="E661" s="15"/>
    </row>
    <row r="662" spans="3:5" x14ac:dyDescent="0.25">
      <c r="C662" s="17"/>
      <c r="D662" s="19"/>
      <c r="E662" s="15"/>
    </row>
    <row r="663" spans="3:5" x14ac:dyDescent="0.25">
      <c r="C663" s="17"/>
      <c r="D663" s="19"/>
      <c r="E663" s="15"/>
    </row>
    <row r="664" spans="3:5" x14ac:dyDescent="0.25">
      <c r="C664" s="17"/>
      <c r="D664" s="19"/>
      <c r="E664" s="15"/>
    </row>
    <row r="665" spans="3:5" x14ac:dyDescent="0.25">
      <c r="C665" s="17"/>
      <c r="D665" s="19"/>
      <c r="E665" s="15"/>
    </row>
    <row r="666" spans="3:5" x14ac:dyDescent="0.25">
      <c r="C666" s="17"/>
      <c r="D666" s="19"/>
      <c r="E666" s="15"/>
    </row>
    <row r="667" spans="3:5" x14ac:dyDescent="0.25">
      <c r="C667" s="17"/>
      <c r="D667" s="19"/>
      <c r="E667" s="15"/>
    </row>
    <row r="668" spans="3:5" x14ac:dyDescent="0.25">
      <c r="C668" s="17"/>
      <c r="D668" s="19"/>
      <c r="E668" s="15"/>
    </row>
    <row r="669" spans="3:5" x14ac:dyDescent="0.25">
      <c r="C669" s="17"/>
      <c r="D669" s="19"/>
      <c r="E669" s="15"/>
    </row>
    <row r="670" spans="3:5" x14ac:dyDescent="0.25">
      <c r="C670" s="17"/>
      <c r="D670" s="19"/>
      <c r="E670" s="15"/>
    </row>
    <row r="671" spans="3:5" x14ac:dyDescent="0.25">
      <c r="C671" s="17"/>
      <c r="D671" s="19"/>
      <c r="E671" s="15"/>
    </row>
    <row r="672" spans="3:5" x14ac:dyDescent="0.25">
      <c r="C672" s="17"/>
      <c r="D672" s="19"/>
      <c r="E672" s="15"/>
    </row>
    <row r="673" spans="3:5" x14ac:dyDescent="0.25">
      <c r="C673" s="17"/>
      <c r="D673" s="19"/>
      <c r="E673" s="15"/>
    </row>
    <row r="674" spans="3:5" x14ac:dyDescent="0.25">
      <c r="C674" s="17"/>
      <c r="D674" s="19"/>
      <c r="E674" s="15"/>
    </row>
    <row r="675" spans="3:5" x14ac:dyDescent="0.25">
      <c r="C675" s="17"/>
      <c r="D675" s="19"/>
      <c r="E675" s="15"/>
    </row>
    <row r="676" spans="3:5" x14ac:dyDescent="0.25">
      <c r="C676" s="17"/>
      <c r="D676" s="19"/>
      <c r="E676" s="15"/>
    </row>
    <row r="677" spans="3:5" x14ac:dyDescent="0.25">
      <c r="C677" s="17"/>
      <c r="D677" s="19"/>
      <c r="E677" s="15"/>
    </row>
    <row r="678" spans="3:5" x14ac:dyDescent="0.25">
      <c r="C678" s="17"/>
      <c r="D678" s="19"/>
      <c r="E678" s="15"/>
    </row>
    <row r="679" spans="3:5" x14ac:dyDescent="0.25">
      <c r="C679" s="17"/>
      <c r="D679" s="19"/>
      <c r="E679" s="15"/>
    </row>
    <row r="680" spans="3:5" x14ac:dyDescent="0.25">
      <c r="C680" s="17"/>
      <c r="D680" s="19"/>
      <c r="E680" s="15"/>
    </row>
    <row r="681" spans="3:5" x14ac:dyDescent="0.25">
      <c r="C681" s="17"/>
      <c r="D681" s="19"/>
      <c r="E681" s="15"/>
    </row>
    <row r="682" spans="3:5" x14ac:dyDescent="0.25">
      <c r="C682" s="17"/>
      <c r="D682" s="19"/>
      <c r="E682" s="15"/>
    </row>
    <row r="683" spans="3:5" x14ac:dyDescent="0.25">
      <c r="C683" s="17"/>
      <c r="D683" s="19"/>
      <c r="E683" s="15"/>
    </row>
    <row r="684" spans="3:5" x14ac:dyDescent="0.25">
      <c r="C684" s="17"/>
      <c r="D684" s="19"/>
      <c r="E684" s="15"/>
    </row>
    <row r="685" spans="3:5" x14ac:dyDescent="0.25">
      <c r="C685" s="17"/>
      <c r="D685" s="19"/>
      <c r="E685" s="15"/>
    </row>
    <row r="686" spans="3:5" x14ac:dyDescent="0.25">
      <c r="C686" s="17"/>
      <c r="D686" s="19"/>
      <c r="E686" s="15"/>
    </row>
    <row r="687" spans="3:5" x14ac:dyDescent="0.25">
      <c r="C687" s="17"/>
      <c r="D687" s="19"/>
      <c r="E687" s="15"/>
    </row>
    <row r="688" spans="3:5" x14ac:dyDescent="0.25">
      <c r="C688" s="17"/>
      <c r="D688" s="19"/>
      <c r="E688" s="15"/>
    </row>
    <row r="689" spans="3:5" x14ac:dyDescent="0.25">
      <c r="C689" s="17"/>
      <c r="D689" s="19"/>
      <c r="E689" s="15"/>
    </row>
    <row r="690" spans="3:5" x14ac:dyDescent="0.25">
      <c r="C690" s="17"/>
      <c r="D690" s="19"/>
      <c r="E690" s="15"/>
    </row>
    <row r="691" spans="3:5" x14ac:dyDescent="0.25">
      <c r="C691" s="17"/>
      <c r="D691" s="19"/>
      <c r="E691" s="15"/>
    </row>
    <row r="692" spans="3:5" x14ac:dyDescent="0.25">
      <c r="C692" s="17"/>
      <c r="D692" s="19"/>
      <c r="E692" s="15"/>
    </row>
    <row r="693" spans="3:5" x14ac:dyDescent="0.25">
      <c r="C693" s="17"/>
      <c r="D693" s="19"/>
      <c r="E693" s="15"/>
    </row>
    <row r="694" spans="3:5" x14ac:dyDescent="0.25">
      <c r="C694" s="17"/>
      <c r="D694" s="19"/>
      <c r="E694" s="15"/>
    </row>
    <row r="695" spans="3:5" x14ac:dyDescent="0.25">
      <c r="C695" s="17"/>
      <c r="D695" s="19"/>
      <c r="E695" s="15"/>
    </row>
    <row r="696" spans="3:5" x14ac:dyDescent="0.25">
      <c r="C696" s="17"/>
      <c r="D696" s="19"/>
      <c r="E696" s="15"/>
    </row>
    <row r="697" spans="3:5" x14ac:dyDescent="0.25">
      <c r="C697" s="17"/>
      <c r="D697" s="19"/>
      <c r="E697" s="15"/>
    </row>
    <row r="698" spans="3:5" x14ac:dyDescent="0.25">
      <c r="C698" s="17"/>
      <c r="D698" s="19"/>
      <c r="E698" s="15"/>
    </row>
    <row r="699" spans="3:5" x14ac:dyDescent="0.25">
      <c r="C699" s="17"/>
      <c r="D699" s="19"/>
      <c r="E699" s="15"/>
    </row>
    <row r="700" spans="3:5" x14ac:dyDescent="0.25">
      <c r="C700" s="17"/>
      <c r="D700" s="19"/>
      <c r="E700" s="15"/>
    </row>
    <row r="701" spans="3:5" x14ac:dyDescent="0.25">
      <c r="C701" s="17"/>
      <c r="D701" s="19"/>
      <c r="E701" s="15"/>
    </row>
    <row r="702" spans="3:5" x14ac:dyDescent="0.25">
      <c r="C702" s="17"/>
      <c r="D702" s="19"/>
      <c r="E702" s="15"/>
    </row>
    <row r="703" spans="3:5" x14ac:dyDescent="0.25">
      <c r="C703" s="17"/>
      <c r="D703" s="19"/>
      <c r="E703" s="15"/>
    </row>
    <row r="704" spans="3:5" x14ac:dyDescent="0.25">
      <c r="C704" s="17"/>
      <c r="D704" s="19"/>
      <c r="E704" s="15"/>
    </row>
    <row r="705" spans="3:5" x14ac:dyDescent="0.25">
      <c r="C705" s="17"/>
      <c r="D705" s="19"/>
      <c r="E705" s="15"/>
    </row>
    <row r="706" spans="3:5" x14ac:dyDescent="0.25">
      <c r="C706" s="17"/>
      <c r="D706" s="19"/>
      <c r="E706" s="15"/>
    </row>
    <row r="707" spans="3:5" x14ac:dyDescent="0.25">
      <c r="C707" s="17"/>
      <c r="D707" s="19"/>
      <c r="E707" s="15"/>
    </row>
    <row r="708" spans="3:5" x14ac:dyDescent="0.25">
      <c r="C708" s="17"/>
      <c r="D708" s="19"/>
      <c r="E708" s="15"/>
    </row>
    <row r="709" spans="3:5" x14ac:dyDescent="0.25">
      <c r="C709" s="17"/>
      <c r="D709" s="19"/>
      <c r="E709" s="15"/>
    </row>
    <row r="710" spans="3:5" x14ac:dyDescent="0.25">
      <c r="C710" s="17"/>
      <c r="D710" s="19"/>
      <c r="E710" s="15"/>
    </row>
    <row r="711" spans="3:5" x14ac:dyDescent="0.25">
      <c r="C711" s="17"/>
      <c r="D711" s="19"/>
      <c r="E711" s="15"/>
    </row>
    <row r="712" spans="3:5" x14ac:dyDescent="0.25">
      <c r="C712" s="17"/>
      <c r="D712" s="19"/>
      <c r="E712" s="15"/>
    </row>
    <row r="713" spans="3:5" x14ac:dyDescent="0.25">
      <c r="C713" s="17"/>
      <c r="D713" s="19"/>
      <c r="E713" s="15"/>
    </row>
    <row r="714" spans="3:5" x14ac:dyDescent="0.25">
      <c r="C714" s="17"/>
      <c r="D714" s="19"/>
      <c r="E714" s="15"/>
    </row>
    <row r="715" spans="3:5" x14ac:dyDescent="0.25">
      <c r="C715" s="17"/>
      <c r="D715" s="19"/>
      <c r="E715" s="15"/>
    </row>
    <row r="716" spans="3:5" x14ac:dyDescent="0.25">
      <c r="C716" s="17"/>
      <c r="D716" s="19"/>
      <c r="E716" s="15"/>
    </row>
    <row r="717" spans="3:5" x14ac:dyDescent="0.25">
      <c r="C717" s="17"/>
      <c r="D717" s="19"/>
      <c r="E717" s="15"/>
    </row>
    <row r="718" spans="3:5" x14ac:dyDescent="0.25">
      <c r="C718" s="17"/>
      <c r="D718" s="19"/>
      <c r="E718" s="15"/>
    </row>
    <row r="719" spans="3:5" x14ac:dyDescent="0.25">
      <c r="C719" s="17"/>
      <c r="D719" s="19"/>
      <c r="E719" s="15"/>
    </row>
    <row r="720" spans="3:5" x14ac:dyDescent="0.25">
      <c r="C720" s="17"/>
      <c r="D720" s="19"/>
      <c r="E720" s="15"/>
    </row>
    <row r="721" spans="3:5" x14ac:dyDescent="0.25">
      <c r="C721" s="17"/>
      <c r="D721" s="19"/>
      <c r="E721" s="15"/>
    </row>
    <row r="722" spans="3:5" x14ac:dyDescent="0.25">
      <c r="C722" s="17"/>
      <c r="D722" s="19"/>
      <c r="E722" s="15"/>
    </row>
    <row r="723" spans="3:5" x14ac:dyDescent="0.25">
      <c r="C723" s="17"/>
      <c r="D723" s="19"/>
      <c r="E723" s="15"/>
    </row>
    <row r="724" spans="3:5" x14ac:dyDescent="0.25">
      <c r="C724" s="17"/>
      <c r="D724" s="19"/>
      <c r="E724" s="15"/>
    </row>
    <row r="725" spans="3:5" x14ac:dyDescent="0.25">
      <c r="C725" s="17"/>
      <c r="D725" s="19"/>
      <c r="E725" s="15"/>
    </row>
    <row r="726" spans="3:5" x14ac:dyDescent="0.25">
      <c r="C726" s="17"/>
      <c r="D726" s="19"/>
      <c r="E726" s="15"/>
    </row>
    <row r="727" spans="3:5" x14ac:dyDescent="0.25">
      <c r="C727" s="17"/>
      <c r="D727" s="19"/>
      <c r="E727" s="15"/>
    </row>
    <row r="728" spans="3:5" x14ac:dyDescent="0.25">
      <c r="C728" s="17"/>
      <c r="D728" s="19"/>
      <c r="E728" s="15"/>
    </row>
    <row r="729" spans="3:5" x14ac:dyDescent="0.25">
      <c r="C729" s="17"/>
      <c r="D729" s="19"/>
      <c r="E729" s="15"/>
    </row>
    <row r="730" spans="3:5" x14ac:dyDescent="0.25">
      <c r="C730" s="17"/>
      <c r="D730" s="19"/>
      <c r="E730" s="15"/>
    </row>
    <row r="731" spans="3:5" x14ac:dyDescent="0.25">
      <c r="C731" s="17"/>
      <c r="D731" s="19"/>
      <c r="E731" s="15"/>
    </row>
    <row r="732" spans="3:5" x14ac:dyDescent="0.25">
      <c r="C732" s="17"/>
      <c r="D732" s="19"/>
      <c r="E732" s="15"/>
    </row>
    <row r="733" spans="3:5" x14ac:dyDescent="0.25">
      <c r="C733" s="17"/>
      <c r="D733" s="19"/>
      <c r="E733" s="15"/>
    </row>
    <row r="734" spans="3:5" x14ac:dyDescent="0.25">
      <c r="C734" s="17"/>
      <c r="D734" s="19"/>
      <c r="E734" s="15"/>
    </row>
    <row r="735" spans="3:5" x14ac:dyDescent="0.25">
      <c r="C735" s="17"/>
      <c r="D735" s="19"/>
      <c r="E735" s="15"/>
    </row>
    <row r="736" spans="3:5" x14ac:dyDescent="0.25">
      <c r="C736" s="17"/>
      <c r="D736" s="19"/>
      <c r="E736" s="15"/>
    </row>
    <row r="737" spans="3:5" x14ac:dyDescent="0.25">
      <c r="C737" s="17"/>
      <c r="D737" s="19"/>
      <c r="E737" s="15"/>
    </row>
    <row r="738" spans="3:5" x14ac:dyDescent="0.25">
      <c r="C738" s="17"/>
      <c r="D738" s="19"/>
      <c r="E738" s="15"/>
    </row>
    <row r="739" spans="3:5" x14ac:dyDescent="0.25">
      <c r="C739" s="17"/>
      <c r="D739" s="19"/>
      <c r="E739" s="15"/>
    </row>
    <row r="740" spans="3:5" x14ac:dyDescent="0.25">
      <c r="C740" s="17"/>
      <c r="D740" s="19"/>
      <c r="E740" s="15"/>
    </row>
    <row r="741" spans="3:5" x14ac:dyDescent="0.25">
      <c r="C741" s="17"/>
      <c r="D741" s="19"/>
      <c r="E741" s="15"/>
    </row>
    <row r="742" spans="3:5" x14ac:dyDescent="0.25">
      <c r="C742" s="17"/>
      <c r="D742" s="19"/>
      <c r="E742" s="15"/>
    </row>
    <row r="743" spans="3:5" x14ac:dyDescent="0.25">
      <c r="C743" s="17"/>
      <c r="D743" s="19"/>
      <c r="E743" s="15"/>
    </row>
    <row r="744" spans="3:5" x14ac:dyDescent="0.25">
      <c r="C744" s="17"/>
      <c r="D744" s="19"/>
      <c r="E744" s="15"/>
    </row>
    <row r="745" spans="3:5" x14ac:dyDescent="0.25">
      <c r="C745" s="17"/>
      <c r="D745" s="19"/>
      <c r="E745" s="15"/>
    </row>
    <row r="746" spans="3:5" x14ac:dyDescent="0.25">
      <c r="C746" s="17"/>
      <c r="D746" s="19"/>
      <c r="E746" s="15"/>
    </row>
    <row r="747" spans="3:5" x14ac:dyDescent="0.25">
      <c r="C747" s="17"/>
      <c r="D747" s="19"/>
      <c r="E747" s="15"/>
    </row>
    <row r="748" spans="3:5" x14ac:dyDescent="0.25">
      <c r="C748" s="17"/>
      <c r="D748" s="19"/>
      <c r="E748" s="15"/>
    </row>
    <row r="749" spans="3:5" x14ac:dyDescent="0.25">
      <c r="C749" s="17"/>
      <c r="D749" s="19"/>
      <c r="E749" s="15"/>
    </row>
    <row r="750" spans="3:5" x14ac:dyDescent="0.25">
      <c r="C750" s="17"/>
      <c r="D750" s="19"/>
      <c r="E750" s="15"/>
    </row>
    <row r="751" spans="3:5" x14ac:dyDescent="0.25">
      <c r="C751" s="17"/>
      <c r="D751" s="19"/>
      <c r="E751" s="15"/>
    </row>
    <row r="752" spans="3:5" x14ac:dyDescent="0.25">
      <c r="C752" s="17"/>
      <c r="D752" s="19"/>
      <c r="E752" s="15"/>
    </row>
    <row r="753" spans="3:5" x14ac:dyDescent="0.25">
      <c r="C753" s="17"/>
      <c r="D753" s="19"/>
      <c r="E753" s="15"/>
    </row>
    <row r="754" spans="3:5" x14ac:dyDescent="0.25">
      <c r="C754" s="17"/>
      <c r="D754" s="19"/>
      <c r="E754" s="15"/>
    </row>
    <row r="755" spans="3:5" x14ac:dyDescent="0.25">
      <c r="C755" s="17"/>
      <c r="D755" s="19"/>
      <c r="E755" s="15"/>
    </row>
    <row r="756" spans="3:5" x14ac:dyDescent="0.25">
      <c r="C756" s="17"/>
      <c r="D756" s="19"/>
      <c r="E756" s="15"/>
    </row>
    <row r="757" spans="3:5" x14ac:dyDescent="0.25">
      <c r="C757" s="17"/>
      <c r="D757" s="19"/>
      <c r="E757" s="15"/>
    </row>
    <row r="758" spans="3:5" x14ac:dyDescent="0.25">
      <c r="C758" s="17"/>
      <c r="D758" s="19"/>
      <c r="E758" s="15"/>
    </row>
    <row r="759" spans="3:5" x14ac:dyDescent="0.25">
      <c r="C759" s="17"/>
      <c r="D759" s="19"/>
      <c r="E759" s="15"/>
    </row>
    <row r="760" spans="3:5" x14ac:dyDescent="0.25">
      <c r="C760" s="17"/>
      <c r="D760" s="19"/>
      <c r="E760" s="15"/>
    </row>
    <row r="761" spans="3:5" x14ac:dyDescent="0.25">
      <c r="C761" s="17"/>
      <c r="D761" s="19"/>
      <c r="E761" s="15"/>
    </row>
    <row r="762" spans="3:5" x14ac:dyDescent="0.25">
      <c r="C762" s="17"/>
      <c r="D762" s="19"/>
      <c r="E762" s="15"/>
    </row>
    <row r="763" spans="3:5" x14ac:dyDescent="0.25">
      <c r="C763" s="17"/>
      <c r="D763" s="19"/>
      <c r="E763" s="15"/>
    </row>
    <row r="764" spans="3:5" x14ac:dyDescent="0.25">
      <c r="C764" s="17"/>
      <c r="D764" s="19"/>
      <c r="E764" s="15"/>
    </row>
    <row r="765" spans="3:5" x14ac:dyDescent="0.25">
      <c r="C765" s="17"/>
      <c r="D765" s="19"/>
      <c r="E765" s="15"/>
    </row>
    <row r="766" spans="3:5" x14ac:dyDescent="0.25">
      <c r="C766" s="17"/>
      <c r="D766" s="19"/>
      <c r="E766" s="15"/>
    </row>
    <row r="767" spans="3:5" x14ac:dyDescent="0.25">
      <c r="C767" s="17"/>
      <c r="D767" s="19"/>
      <c r="E767" s="15"/>
    </row>
    <row r="768" spans="3:5" x14ac:dyDescent="0.25">
      <c r="C768" s="17"/>
      <c r="D768" s="19"/>
      <c r="E768" s="15"/>
    </row>
    <row r="769" spans="3:5" x14ac:dyDescent="0.25">
      <c r="C769" s="17"/>
      <c r="D769" s="19"/>
      <c r="E769" s="15"/>
    </row>
    <row r="770" spans="3:5" x14ac:dyDescent="0.25">
      <c r="C770" s="17"/>
      <c r="D770" s="19"/>
      <c r="E770" s="15"/>
    </row>
    <row r="771" spans="3:5" x14ac:dyDescent="0.25">
      <c r="C771" s="17"/>
      <c r="D771" s="19"/>
      <c r="E771" s="15"/>
    </row>
    <row r="772" spans="3:5" x14ac:dyDescent="0.25">
      <c r="C772" s="17"/>
      <c r="D772" s="19"/>
      <c r="E772" s="15"/>
    </row>
    <row r="773" spans="3:5" x14ac:dyDescent="0.25">
      <c r="C773" s="17"/>
      <c r="D773" s="19"/>
      <c r="E773" s="15"/>
    </row>
    <row r="774" spans="3:5" x14ac:dyDescent="0.25">
      <c r="C774" s="17"/>
      <c r="D774" s="19"/>
      <c r="E774" s="15"/>
    </row>
    <row r="775" spans="3:5" x14ac:dyDescent="0.25">
      <c r="C775" s="17"/>
      <c r="D775" s="19"/>
      <c r="E775" s="15"/>
    </row>
    <row r="776" spans="3:5" x14ac:dyDescent="0.25">
      <c r="C776" s="17"/>
      <c r="D776" s="19"/>
      <c r="E776" s="15"/>
    </row>
    <row r="777" spans="3:5" x14ac:dyDescent="0.25">
      <c r="C777" s="17"/>
      <c r="D777" s="19"/>
      <c r="E777" s="15"/>
    </row>
    <row r="778" spans="3:5" x14ac:dyDescent="0.25">
      <c r="C778" s="17"/>
      <c r="D778" s="19"/>
      <c r="E778" s="15"/>
    </row>
    <row r="779" spans="3:5" x14ac:dyDescent="0.25">
      <c r="C779" s="17"/>
      <c r="D779" s="19"/>
      <c r="E779" s="15"/>
    </row>
    <row r="780" spans="3:5" x14ac:dyDescent="0.25">
      <c r="C780" s="17"/>
      <c r="D780" s="19"/>
      <c r="E780" s="15"/>
    </row>
    <row r="781" spans="3:5" x14ac:dyDescent="0.25">
      <c r="C781" s="17"/>
      <c r="D781" s="19"/>
      <c r="E781" s="15"/>
    </row>
    <row r="782" spans="3:5" x14ac:dyDescent="0.25">
      <c r="C782" s="17"/>
      <c r="D782" s="19"/>
      <c r="E782" s="15"/>
    </row>
    <row r="783" spans="3:5" x14ac:dyDescent="0.25">
      <c r="C783" s="17"/>
      <c r="D783" s="19"/>
      <c r="E783" s="15"/>
    </row>
    <row r="784" spans="3:5" x14ac:dyDescent="0.25">
      <c r="C784" s="17"/>
      <c r="D784" s="19"/>
      <c r="E784" s="15"/>
    </row>
    <row r="785" spans="3:5" x14ac:dyDescent="0.25">
      <c r="C785" s="17"/>
      <c r="D785" s="19"/>
      <c r="E785" s="15"/>
    </row>
    <row r="786" spans="3:5" x14ac:dyDescent="0.25">
      <c r="C786" s="17"/>
      <c r="D786" s="19"/>
      <c r="E786" s="15"/>
    </row>
    <row r="787" spans="3:5" x14ac:dyDescent="0.25">
      <c r="C787" s="17"/>
      <c r="D787" s="19"/>
      <c r="E787" s="15"/>
    </row>
    <row r="788" spans="3:5" x14ac:dyDescent="0.25">
      <c r="C788" s="17"/>
      <c r="D788" s="19"/>
      <c r="E788" s="15"/>
    </row>
    <row r="789" spans="3:5" x14ac:dyDescent="0.25">
      <c r="C789" s="17"/>
      <c r="D789" s="19"/>
      <c r="E789" s="15"/>
    </row>
    <row r="790" spans="3:5" x14ac:dyDescent="0.25">
      <c r="C790" s="17"/>
      <c r="D790" s="19"/>
      <c r="E790" s="15"/>
    </row>
    <row r="791" spans="3:5" x14ac:dyDescent="0.25">
      <c r="C791" s="17"/>
      <c r="D791" s="19"/>
      <c r="E791" s="15"/>
    </row>
    <row r="792" spans="3:5" x14ac:dyDescent="0.25">
      <c r="C792" s="17"/>
      <c r="D792" s="19"/>
      <c r="E792" s="15"/>
    </row>
    <row r="793" spans="3:5" x14ac:dyDescent="0.25">
      <c r="C793" s="17"/>
      <c r="D793" s="19"/>
      <c r="E793" s="15"/>
    </row>
    <row r="794" spans="3:5" x14ac:dyDescent="0.25">
      <c r="C794" s="17"/>
      <c r="D794" s="19"/>
      <c r="E794" s="15"/>
    </row>
    <row r="795" spans="3:5" x14ac:dyDescent="0.25">
      <c r="C795" s="17"/>
      <c r="D795" s="19"/>
      <c r="E795" s="15"/>
    </row>
    <row r="796" spans="3:5" x14ac:dyDescent="0.25">
      <c r="C796" s="17"/>
      <c r="D796" s="19"/>
      <c r="E796" s="15"/>
    </row>
    <row r="797" spans="3:5" x14ac:dyDescent="0.25">
      <c r="C797" s="17"/>
      <c r="D797" s="19"/>
      <c r="E797" s="15"/>
    </row>
    <row r="798" spans="3:5" x14ac:dyDescent="0.25">
      <c r="C798" s="17"/>
      <c r="D798" s="19"/>
      <c r="E798" s="15"/>
    </row>
    <row r="799" spans="3:5" x14ac:dyDescent="0.25">
      <c r="C799" s="17"/>
      <c r="D799" s="19"/>
      <c r="E799" s="15"/>
    </row>
    <row r="800" spans="3:5" x14ac:dyDescent="0.25">
      <c r="C800" s="17"/>
      <c r="D800" s="19"/>
      <c r="E800" s="15"/>
    </row>
    <row r="801" spans="3:5" x14ac:dyDescent="0.25">
      <c r="C801" s="17"/>
      <c r="D801" s="19"/>
      <c r="E801" s="15"/>
    </row>
    <row r="802" spans="3:5" x14ac:dyDescent="0.25">
      <c r="C802" s="17"/>
      <c r="D802" s="19"/>
      <c r="E802" s="15"/>
    </row>
    <row r="803" spans="3:5" x14ac:dyDescent="0.25">
      <c r="C803" s="17"/>
      <c r="D803" s="19"/>
      <c r="E803" s="15"/>
    </row>
    <row r="804" spans="3:5" x14ac:dyDescent="0.25">
      <c r="C804" s="17"/>
      <c r="D804" s="19"/>
      <c r="E804" s="15"/>
    </row>
    <row r="805" spans="3:5" x14ac:dyDescent="0.25">
      <c r="C805" s="17"/>
      <c r="D805" s="19"/>
      <c r="E805" s="15"/>
    </row>
    <row r="806" spans="3:5" x14ac:dyDescent="0.25">
      <c r="C806" s="17"/>
      <c r="D806" s="19"/>
      <c r="E806" s="15"/>
    </row>
    <row r="807" spans="3:5" x14ac:dyDescent="0.25">
      <c r="C807" s="17"/>
      <c r="D807" s="19"/>
      <c r="E807" s="15"/>
    </row>
    <row r="808" spans="3:5" x14ac:dyDescent="0.25">
      <c r="C808" s="17"/>
      <c r="D808" s="19"/>
      <c r="E808" s="15"/>
    </row>
    <row r="809" spans="3:5" x14ac:dyDescent="0.25">
      <c r="C809" s="17"/>
      <c r="D809" s="19"/>
      <c r="E809" s="15"/>
    </row>
    <row r="810" spans="3:5" x14ac:dyDescent="0.25">
      <c r="C810" s="17"/>
      <c r="D810" s="19"/>
      <c r="E810" s="15"/>
    </row>
    <row r="811" spans="3:5" x14ac:dyDescent="0.25">
      <c r="C811" s="17"/>
      <c r="D811" s="19"/>
      <c r="E811" s="15"/>
    </row>
    <row r="812" spans="3:5" x14ac:dyDescent="0.25">
      <c r="C812" s="17"/>
      <c r="D812" s="19"/>
      <c r="E812" s="15"/>
    </row>
    <row r="813" spans="3:5" x14ac:dyDescent="0.25">
      <c r="C813" s="17"/>
      <c r="D813" s="19"/>
      <c r="E813" s="15"/>
    </row>
    <row r="814" spans="3:5" x14ac:dyDescent="0.25">
      <c r="C814" s="17"/>
      <c r="D814" s="19"/>
      <c r="E814" s="15"/>
    </row>
    <row r="815" spans="3:5" x14ac:dyDescent="0.25">
      <c r="C815" s="17"/>
      <c r="D815" s="19"/>
      <c r="E815" s="15"/>
    </row>
    <row r="816" spans="3:5" x14ac:dyDescent="0.25">
      <c r="C816" s="17"/>
      <c r="D816" s="19"/>
      <c r="E816" s="15"/>
    </row>
    <row r="817" spans="3:5" x14ac:dyDescent="0.25">
      <c r="C817" s="17"/>
      <c r="D817" s="19"/>
      <c r="E817" s="15"/>
    </row>
    <row r="818" spans="3:5" x14ac:dyDescent="0.25">
      <c r="C818" s="17"/>
      <c r="D818" s="19"/>
      <c r="E818" s="15"/>
    </row>
    <row r="819" spans="3:5" x14ac:dyDescent="0.25">
      <c r="C819" s="17"/>
      <c r="D819" s="19"/>
      <c r="E819" s="15"/>
    </row>
    <row r="820" spans="3:5" x14ac:dyDescent="0.25">
      <c r="C820" s="17"/>
      <c r="D820" s="19"/>
      <c r="E820" s="15"/>
    </row>
    <row r="821" spans="3:5" x14ac:dyDescent="0.25">
      <c r="C821" s="17"/>
      <c r="D821" s="19"/>
      <c r="E821" s="15"/>
    </row>
    <row r="822" spans="3:5" x14ac:dyDescent="0.25">
      <c r="C822" s="17"/>
      <c r="D822" s="19"/>
      <c r="E822" s="15"/>
    </row>
    <row r="823" spans="3:5" x14ac:dyDescent="0.25">
      <c r="C823" s="17"/>
      <c r="D823" s="19"/>
      <c r="E823" s="15"/>
    </row>
    <row r="824" spans="3:5" x14ac:dyDescent="0.25">
      <c r="C824" s="17"/>
      <c r="D824" s="19"/>
      <c r="E824" s="15"/>
    </row>
  </sheetData>
  <mergeCells count="5">
    <mergeCell ref="A6:B6"/>
    <mergeCell ref="A12:B12"/>
    <mergeCell ref="A1:B1"/>
    <mergeCell ref="A2:B2"/>
    <mergeCell ref="A3:B3"/>
  </mergeCells>
  <conditionalFormatting sqref="C3">
    <cfRule type="containsText" dxfId="4" priority="6" operator="containsText" text="FALSE">
      <formula>NOT(ISERROR(SEARCH("FALSE",C3)))</formula>
    </cfRule>
    <cfRule type="containsText" dxfId="3" priority="7" operator="containsText" text="TRUE">
      <formula>NOT(ISERROR(SEARCH("TRUE",C3)))</formula>
    </cfRule>
  </conditionalFormatting>
  <conditionalFormatting sqref="D7:D11 C13:C16">
    <cfRule type="containsText" dxfId="2" priority="5" operator="containsText" text="TRUE">
      <formula>NOT(ISERROR(SEARCH("TRUE",C7)))</formula>
    </cfRule>
  </conditionalFormatting>
  <conditionalFormatting sqref="C17:C28">
    <cfRule type="containsText" dxfId="1" priority="2" operator="containsText" text="TRUE">
      <formula>NOT(ISERROR(SEARCH("TRUE",C17)))</formula>
    </cfRule>
  </conditionalFormatting>
  <conditionalFormatting sqref="C6 C12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549B1-21FD-482F-907E-E951AAEDB127}">
  <sheetPr codeName="Sheet37"/>
  <dimension ref="A1:Y2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" x14ac:dyDescent="0.25"/>
  <cols>
    <col min="1" max="1" width="12.7109375" bestFit="1" customWidth="1"/>
    <col min="2" max="2" width="9" style="11" bestFit="1" customWidth="1"/>
    <col min="3" max="3" width="28.140625" style="11" bestFit="1" customWidth="1"/>
    <col min="4" max="4" width="33.85546875" style="11" bestFit="1" customWidth="1"/>
    <col min="5" max="5" width="7" style="11" bestFit="1" customWidth="1"/>
    <col min="6" max="6" width="4.7109375" style="11" bestFit="1" customWidth="1"/>
    <col min="7" max="7" width="8.5703125" style="11" bestFit="1" customWidth="1"/>
    <col min="8" max="8" width="16" style="11" bestFit="1" customWidth="1"/>
    <col min="9" max="9" width="13.7109375" style="11" bestFit="1" customWidth="1"/>
    <col min="10" max="10" width="16" bestFit="1" customWidth="1"/>
    <col min="11" max="11" width="15.28515625" style="11" bestFit="1" customWidth="1"/>
    <col min="12" max="12" width="17.7109375" bestFit="1" customWidth="1"/>
    <col min="13" max="13" width="9" bestFit="1" customWidth="1"/>
    <col min="14" max="14" width="11" bestFit="1" customWidth="1"/>
    <col min="15" max="15" width="12.7109375" bestFit="1" customWidth="1"/>
    <col min="16" max="16" width="3.28515625" bestFit="1" customWidth="1"/>
    <col min="17" max="17" width="14" bestFit="1" customWidth="1"/>
    <col min="18" max="18" width="8" bestFit="1" customWidth="1"/>
    <col min="19" max="19" width="13.7109375" bestFit="1" customWidth="1"/>
    <col min="20" max="20" width="16" bestFit="1" customWidth="1"/>
    <col min="21" max="21" width="15.28515625" bestFit="1" customWidth="1"/>
    <col min="22" max="22" width="17.7109375" bestFit="1" customWidth="1"/>
    <col min="23" max="23" width="6.85546875" bestFit="1" customWidth="1"/>
    <col min="24" max="24" width="3.7109375" bestFit="1" customWidth="1"/>
    <col min="25" max="25" width="5.42578125" bestFit="1" customWidth="1"/>
  </cols>
  <sheetData>
    <row r="1" spans="1:25" x14ac:dyDescent="0.25">
      <c r="A1" s="88" t="s">
        <v>35</v>
      </c>
      <c r="B1" s="89"/>
      <c r="C1" s="89"/>
      <c r="D1" s="89"/>
      <c r="E1" s="89"/>
      <c r="F1" s="89"/>
      <c r="G1" s="89"/>
      <c r="H1" s="90"/>
      <c r="I1" s="88" t="s">
        <v>91</v>
      </c>
      <c r="J1" s="89"/>
      <c r="K1" s="89"/>
      <c r="L1" s="89"/>
      <c r="M1" s="90"/>
      <c r="N1" s="58" t="s">
        <v>92</v>
      </c>
      <c r="O1" s="98" t="s">
        <v>268</v>
      </c>
      <c r="P1" s="97"/>
      <c r="Q1" s="97"/>
      <c r="R1" s="97"/>
      <c r="S1" s="97"/>
      <c r="T1" s="97"/>
      <c r="U1" s="97"/>
      <c r="V1" s="97"/>
      <c r="W1" s="97"/>
      <c r="X1" s="97"/>
      <c r="Y1" s="97"/>
    </row>
    <row r="2" spans="1:25" x14ac:dyDescent="0.25">
      <c r="A2" s="56" t="s">
        <v>62</v>
      </c>
      <c r="B2" s="81" t="s">
        <v>63</v>
      </c>
      <c r="C2" s="81" t="s">
        <v>58</v>
      </c>
      <c r="D2" s="81" t="s">
        <v>64</v>
      </c>
      <c r="E2" s="11" t="s">
        <v>81</v>
      </c>
      <c r="F2" s="11" t="s">
        <v>82</v>
      </c>
      <c r="G2" s="11" t="s">
        <v>83</v>
      </c>
      <c r="H2" s="11" t="s">
        <v>84</v>
      </c>
      <c r="I2" s="81" t="s">
        <v>65</v>
      </c>
      <c r="J2" s="56" t="s">
        <v>66</v>
      </c>
      <c r="K2" s="81" t="s">
        <v>67</v>
      </c>
      <c r="L2" s="56" t="s">
        <v>68</v>
      </c>
      <c r="M2" s="56" t="s">
        <v>69</v>
      </c>
      <c r="N2" s="56" t="s">
        <v>13</v>
      </c>
      <c r="O2" s="99" t="s">
        <v>62</v>
      </c>
      <c r="P2" s="99" t="s">
        <v>63</v>
      </c>
      <c r="Q2" s="99" t="s">
        <v>58</v>
      </c>
      <c r="R2" s="99" t="s">
        <v>64</v>
      </c>
      <c r="S2" s="99" t="s">
        <v>65</v>
      </c>
      <c r="T2" s="99" t="s">
        <v>66</v>
      </c>
      <c r="U2" s="99" t="s">
        <v>67</v>
      </c>
      <c r="V2" s="99" t="s">
        <v>68</v>
      </c>
      <c r="W2" s="99" t="s">
        <v>69</v>
      </c>
      <c r="X2" s="99" t="s">
        <v>13</v>
      </c>
      <c r="Y2" s="99" t="s">
        <v>269</v>
      </c>
    </row>
    <row r="3" spans="1:25" x14ac:dyDescent="0.25">
      <c r="A3">
        <v>1</v>
      </c>
      <c r="B3" s="11" t="s">
        <v>227</v>
      </c>
      <c r="C3" s="11" t="s">
        <v>211</v>
      </c>
      <c r="D3" t="s">
        <v>174</v>
      </c>
      <c r="E3" t="s">
        <v>38</v>
      </c>
      <c r="F3" t="s">
        <v>38</v>
      </c>
      <c r="G3" t="s">
        <v>38</v>
      </c>
      <c r="H3" t="s">
        <v>38</v>
      </c>
      <c r="I3" t="s">
        <v>8</v>
      </c>
      <c r="J3">
        <v>2294</v>
      </c>
      <c r="K3" t="s">
        <v>115</v>
      </c>
      <c r="L3">
        <v>3</v>
      </c>
      <c r="M3">
        <v>19648.68</v>
      </c>
      <c r="N3">
        <v>86927.82</v>
      </c>
      <c r="O3" t="str">
        <f t="shared" ref="O3:O20" si="0">IF(OR(A3="",A3&lt;1),FALSE,IF(ISNUMBER(A3), IF(INT(A3) = A3, "-", FALSE), FALSE))</f>
        <v>-</v>
      </c>
      <c r="P3" t="str">
        <f t="shared" ref="P3:P20" si="1">IF(B3="",FALSE,"-")</f>
        <v>-</v>
      </c>
      <c r="Q3" t="str">
        <f t="shared" ref="Q3:Q20" si="2">IF(C3="",FALSE,"-")</f>
        <v>-</v>
      </c>
      <c r="R3" t="str">
        <f t="shared" ref="R3:R20" si="3">IF(D3="",FALSE,"-")</f>
        <v>-</v>
      </c>
      <c r="S3" t="str">
        <f>IF(_xlfn.IFNA(VLOOKUP(I3,Set_Ref!$B$6:$B$1048576,1,FALSE),"")&lt;&gt;"","-",FALSE)</f>
        <v>-</v>
      </c>
      <c r="T3" t="str">
        <f t="shared" ref="T3:T20" si="4">IF(OR(J3="",J3&lt;=0),FALSE,IF(ISNUMBER(J3),"-",FALSE))</f>
        <v>-</v>
      </c>
      <c r="U3" t="str">
        <f t="shared" ref="U3:U20" si="5">IF(ISTEXT(K3),  "-",FALSE)</f>
        <v>-</v>
      </c>
      <c r="V3" t="str">
        <f t="shared" ref="V3:V20" si="6">IF(OR(L3="",L3&lt;0),FALSE,IF(ISNUMBER(L3),"-",FALSE))</f>
        <v>-</v>
      </c>
      <c r="W3" t="str">
        <f t="shared" ref="W3:W20" si="7">IF(OR(M3="",M3&lt;0),FALSE,IF(ISNUMBER(M3),"-",FALSE))</f>
        <v>-</v>
      </c>
      <c r="X3" t="str">
        <f t="shared" ref="X3:X20" si="8">IF(OR(N3="",N3&lt;0),FALSE,IF(ISNUMBER(N3),"-",FALSE))</f>
        <v>-</v>
      </c>
      <c r="Y3" t="b">
        <f t="shared" ref="Y3:Y20" si="9">IF(COUNTIF($O$3:$X$3, "FALSE") &gt; 0, FALSE, TRUE)</f>
        <v>1</v>
      </c>
    </row>
    <row r="4" spans="1:25" x14ac:dyDescent="0.25">
      <c r="A4">
        <v>2</v>
      </c>
      <c r="B4" s="11" t="s">
        <v>228</v>
      </c>
      <c r="C4" s="11" t="s">
        <v>212</v>
      </c>
      <c r="D4" t="s">
        <v>175</v>
      </c>
      <c r="E4" t="s">
        <v>38</v>
      </c>
      <c r="F4" t="s">
        <v>38</v>
      </c>
      <c r="G4" t="s">
        <v>38</v>
      </c>
      <c r="H4" t="s">
        <v>38</v>
      </c>
      <c r="I4" t="s">
        <v>9</v>
      </c>
      <c r="J4">
        <v>61</v>
      </c>
      <c r="K4" t="s">
        <v>115</v>
      </c>
      <c r="L4">
        <v>0</v>
      </c>
      <c r="M4">
        <v>19648.68</v>
      </c>
      <c r="N4">
        <v>2311.5100000000002</v>
      </c>
      <c r="O4" t="str">
        <f t="shared" si="0"/>
        <v>-</v>
      </c>
      <c r="P4" t="str">
        <f t="shared" si="1"/>
        <v>-</v>
      </c>
      <c r="Q4" t="str">
        <f t="shared" si="2"/>
        <v>-</v>
      </c>
      <c r="R4" t="str">
        <f t="shared" si="3"/>
        <v>-</v>
      </c>
      <c r="S4" t="str">
        <f>IF(_xlfn.IFNA(VLOOKUP(I4,Set_Ref!$B$6:$B$1048576,1,FALSE),"")&lt;&gt;"","-",FALSE)</f>
        <v>-</v>
      </c>
      <c r="T4" t="str">
        <f t="shared" si="4"/>
        <v>-</v>
      </c>
      <c r="U4" t="str">
        <f t="shared" si="5"/>
        <v>-</v>
      </c>
      <c r="V4" t="str">
        <f t="shared" si="6"/>
        <v>-</v>
      </c>
      <c r="W4" t="str">
        <f t="shared" si="7"/>
        <v>-</v>
      </c>
      <c r="X4" t="str">
        <f t="shared" si="8"/>
        <v>-</v>
      </c>
      <c r="Y4" t="b">
        <f t="shared" si="9"/>
        <v>1</v>
      </c>
    </row>
    <row r="5" spans="1:25" x14ac:dyDescent="0.25">
      <c r="A5">
        <v>3</v>
      </c>
      <c r="B5" s="11" t="s">
        <v>229</v>
      </c>
      <c r="C5" s="11" t="s">
        <v>213</v>
      </c>
      <c r="D5" t="s">
        <v>176</v>
      </c>
      <c r="E5" t="s">
        <v>38</v>
      </c>
      <c r="F5" t="s">
        <v>38</v>
      </c>
      <c r="G5" t="s">
        <v>38</v>
      </c>
      <c r="H5" t="s">
        <v>38</v>
      </c>
      <c r="I5" t="s">
        <v>9</v>
      </c>
      <c r="J5">
        <v>123</v>
      </c>
      <c r="K5" t="s">
        <v>115</v>
      </c>
      <c r="L5">
        <v>0</v>
      </c>
      <c r="M5">
        <v>19648.68</v>
      </c>
      <c r="N5">
        <v>4660.8999999999996</v>
      </c>
      <c r="O5" t="str">
        <f t="shared" si="0"/>
        <v>-</v>
      </c>
      <c r="P5" t="str">
        <f t="shared" si="1"/>
        <v>-</v>
      </c>
      <c r="Q5" t="str">
        <f t="shared" si="2"/>
        <v>-</v>
      </c>
      <c r="R5" t="str">
        <f t="shared" si="3"/>
        <v>-</v>
      </c>
      <c r="S5" t="str">
        <f>IF(_xlfn.IFNA(VLOOKUP(I5,Set_Ref!$B$6:$B$1048576,1,FALSE),"")&lt;&gt;"","-",FALSE)</f>
        <v>-</v>
      </c>
      <c r="T5" t="str">
        <f t="shared" si="4"/>
        <v>-</v>
      </c>
      <c r="U5" t="str">
        <f t="shared" si="5"/>
        <v>-</v>
      </c>
      <c r="V5" t="str">
        <f t="shared" si="6"/>
        <v>-</v>
      </c>
      <c r="W5" t="str">
        <f t="shared" si="7"/>
        <v>-</v>
      </c>
      <c r="X5" t="str">
        <f t="shared" si="8"/>
        <v>-</v>
      </c>
      <c r="Y5" t="b">
        <f t="shared" si="9"/>
        <v>1</v>
      </c>
    </row>
    <row r="6" spans="1:25" x14ac:dyDescent="0.25">
      <c r="A6">
        <v>4</v>
      </c>
      <c r="B6" s="11" t="s">
        <v>230</v>
      </c>
      <c r="C6" s="11" t="s">
        <v>177</v>
      </c>
      <c r="D6" t="s">
        <v>178</v>
      </c>
      <c r="E6" t="s">
        <v>38</v>
      </c>
      <c r="F6" t="s">
        <v>38</v>
      </c>
      <c r="G6" t="s">
        <v>38</v>
      </c>
      <c r="H6" t="s">
        <v>38</v>
      </c>
      <c r="I6" t="s">
        <v>9</v>
      </c>
      <c r="J6">
        <v>5880.7</v>
      </c>
      <c r="K6" t="s">
        <v>115</v>
      </c>
      <c r="L6">
        <v>0</v>
      </c>
      <c r="M6">
        <v>19648.68</v>
      </c>
      <c r="N6">
        <v>222840.64</v>
      </c>
      <c r="O6" t="str">
        <f t="shared" si="0"/>
        <v>-</v>
      </c>
      <c r="P6" t="str">
        <f t="shared" si="1"/>
        <v>-</v>
      </c>
      <c r="Q6" t="str">
        <f t="shared" si="2"/>
        <v>-</v>
      </c>
      <c r="R6" t="str">
        <f t="shared" si="3"/>
        <v>-</v>
      </c>
      <c r="S6" t="str">
        <f>IF(_xlfn.IFNA(VLOOKUP(I6,Set_Ref!$B$6:$B$1048576,1,FALSE),"")&lt;&gt;"","-",FALSE)</f>
        <v>-</v>
      </c>
      <c r="T6" t="str">
        <f t="shared" si="4"/>
        <v>-</v>
      </c>
      <c r="U6" t="str">
        <f t="shared" si="5"/>
        <v>-</v>
      </c>
      <c r="V6" t="str">
        <f t="shared" si="6"/>
        <v>-</v>
      </c>
      <c r="W6" t="str">
        <f t="shared" si="7"/>
        <v>-</v>
      </c>
      <c r="X6" t="str">
        <f t="shared" si="8"/>
        <v>-</v>
      </c>
      <c r="Y6" t="b">
        <f t="shared" si="9"/>
        <v>1</v>
      </c>
    </row>
    <row r="7" spans="1:25" x14ac:dyDescent="0.25">
      <c r="A7">
        <v>5</v>
      </c>
      <c r="B7" s="11" t="s">
        <v>231</v>
      </c>
      <c r="C7" s="11" t="s">
        <v>215</v>
      </c>
      <c r="D7" t="s">
        <v>179</v>
      </c>
      <c r="E7" t="s">
        <v>38</v>
      </c>
      <c r="F7" t="s">
        <v>38</v>
      </c>
      <c r="G7" t="s">
        <v>38</v>
      </c>
      <c r="H7" t="s">
        <v>38</v>
      </c>
      <c r="I7" t="s">
        <v>7</v>
      </c>
      <c r="J7">
        <v>987</v>
      </c>
      <c r="K7" t="s">
        <v>115</v>
      </c>
      <c r="L7">
        <v>0</v>
      </c>
      <c r="M7">
        <v>19648.68</v>
      </c>
      <c r="N7">
        <v>37400.94</v>
      </c>
      <c r="O7" t="str">
        <f t="shared" si="0"/>
        <v>-</v>
      </c>
      <c r="P7" t="str">
        <f t="shared" si="1"/>
        <v>-</v>
      </c>
      <c r="Q7" t="str">
        <f t="shared" si="2"/>
        <v>-</v>
      </c>
      <c r="R7" t="str">
        <f t="shared" si="3"/>
        <v>-</v>
      </c>
      <c r="S7" t="str">
        <f>IF(_xlfn.IFNA(VLOOKUP(I7,Set_Ref!$B$6:$B$1048576,1,FALSE),"")&lt;&gt;"","-",FALSE)</f>
        <v>-</v>
      </c>
      <c r="T7" t="str">
        <f t="shared" si="4"/>
        <v>-</v>
      </c>
      <c r="U7" t="str">
        <f t="shared" si="5"/>
        <v>-</v>
      </c>
      <c r="V7" t="str">
        <f t="shared" si="6"/>
        <v>-</v>
      </c>
      <c r="W7" t="str">
        <f t="shared" si="7"/>
        <v>-</v>
      </c>
      <c r="X7" t="str">
        <f t="shared" si="8"/>
        <v>-</v>
      </c>
      <c r="Y7" t="b">
        <f t="shared" si="9"/>
        <v>1</v>
      </c>
    </row>
    <row r="8" spans="1:25" x14ac:dyDescent="0.25">
      <c r="A8">
        <v>6</v>
      </c>
      <c r="B8" s="11" t="s">
        <v>232</v>
      </c>
      <c r="C8" s="11" t="s">
        <v>216</v>
      </c>
      <c r="D8" t="s">
        <v>180</v>
      </c>
      <c r="E8" t="s">
        <v>38</v>
      </c>
      <c r="F8" t="s">
        <v>38</v>
      </c>
      <c r="G8" t="s">
        <v>38</v>
      </c>
      <c r="H8" t="s">
        <v>38</v>
      </c>
      <c r="I8" t="s">
        <v>9</v>
      </c>
      <c r="J8">
        <v>15.4</v>
      </c>
      <c r="K8" t="s">
        <v>115</v>
      </c>
      <c r="L8">
        <v>0</v>
      </c>
      <c r="M8">
        <v>19648.68</v>
      </c>
      <c r="N8">
        <v>583.54999999999995</v>
      </c>
      <c r="O8" t="str">
        <f t="shared" si="0"/>
        <v>-</v>
      </c>
      <c r="P8" t="str">
        <f t="shared" si="1"/>
        <v>-</v>
      </c>
      <c r="Q8" t="str">
        <f t="shared" si="2"/>
        <v>-</v>
      </c>
      <c r="R8" t="str">
        <f t="shared" si="3"/>
        <v>-</v>
      </c>
      <c r="S8" t="str">
        <f>IF(_xlfn.IFNA(VLOOKUP(I8,Set_Ref!$B$6:$B$1048576,1,FALSE),"")&lt;&gt;"","-",FALSE)</f>
        <v>-</v>
      </c>
      <c r="T8" t="str">
        <f t="shared" si="4"/>
        <v>-</v>
      </c>
      <c r="U8" t="str">
        <f t="shared" si="5"/>
        <v>-</v>
      </c>
      <c r="V8" t="str">
        <f t="shared" si="6"/>
        <v>-</v>
      </c>
      <c r="W8" t="str">
        <f t="shared" si="7"/>
        <v>-</v>
      </c>
      <c r="X8" t="str">
        <f t="shared" si="8"/>
        <v>-</v>
      </c>
      <c r="Y8" t="b">
        <f t="shared" si="9"/>
        <v>1</v>
      </c>
    </row>
    <row r="9" spans="1:25" x14ac:dyDescent="0.25">
      <c r="A9">
        <v>7</v>
      </c>
      <c r="B9" s="11" t="s">
        <v>233</v>
      </c>
      <c r="C9" s="11" t="s">
        <v>217</v>
      </c>
      <c r="D9" t="s">
        <v>181</v>
      </c>
      <c r="E9" t="s">
        <v>38</v>
      </c>
      <c r="F9" t="s">
        <v>38</v>
      </c>
      <c r="G9" t="s">
        <v>38</v>
      </c>
      <c r="H9" t="s">
        <v>38</v>
      </c>
      <c r="I9" t="s">
        <v>37</v>
      </c>
      <c r="J9">
        <v>29</v>
      </c>
      <c r="K9" t="s">
        <v>115</v>
      </c>
      <c r="L9">
        <v>0</v>
      </c>
      <c r="M9">
        <v>19648.68</v>
      </c>
      <c r="N9">
        <v>1098.92</v>
      </c>
      <c r="O9" t="str">
        <f t="shared" si="0"/>
        <v>-</v>
      </c>
      <c r="P9" t="str">
        <f t="shared" si="1"/>
        <v>-</v>
      </c>
      <c r="Q9" t="str">
        <f t="shared" si="2"/>
        <v>-</v>
      </c>
      <c r="R9" t="str">
        <f t="shared" si="3"/>
        <v>-</v>
      </c>
      <c r="S9" t="str">
        <f>IF(_xlfn.IFNA(VLOOKUP(I9,Set_Ref!$B$6:$B$1048576,1,FALSE),"")&lt;&gt;"","-",FALSE)</f>
        <v>-</v>
      </c>
      <c r="T9" t="str">
        <f t="shared" si="4"/>
        <v>-</v>
      </c>
      <c r="U9" t="str">
        <f t="shared" si="5"/>
        <v>-</v>
      </c>
      <c r="V9" t="str">
        <f t="shared" si="6"/>
        <v>-</v>
      </c>
      <c r="W9" t="str">
        <f t="shared" si="7"/>
        <v>-</v>
      </c>
      <c r="X9" t="str">
        <f t="shared" si="8"/>
        <v>-</v>
      </c>
      <c r="Y9" t="b">
        <f t="shared" si="9"/>
        <v>1</v>
      </c>
    </row>
    <row r="10" spans="1:25" x14ac:dyDescent="0.25">
      <c r="A10">
        <v>8</v>
      </c>
      <c r="B10" s="11" t="s">
        <v>234</v>
      </c>
      <c r="C10" s="11" t="s">
        <v>182</v>
      </c>
      <c r="D10" t="s">
        <v>183</v>
      </c>
      <c r="E10" t="s">
        <v>38</v>
      </c>
      <c r="F10" t="s">
        <v>38</v>
      </c>
      <c r="G10" t="s">
        <v>38</v>
      </c>
      <c r="H10" t="s">
        <v>38</v>
      </c>
      <c r="I10" t="s">
        <v>8</v>
      </c>
      <c r="J10">
        <v>3924</v>
      </c>
      <c r="K10" t="s">
        <v>115</v>
      </c>
      <c r="L10">
        <v>0</v>
      </c>
      <c r="M10">
        <v>19648.68</v>
      </c>
      <c r="N10">
        <v>148694.32</v>
      </c>
      <c r="O10" t="str">
        <f t="shared" si="0"/>
        <v>-</v>
      </c>
      <c r="P10" t="str">
        <f t="shared" si="1"/>
        <v>-</v>
      </c>
      <c r="Q10" t="str">
        <f t="shared" si="2"/>
        <v>-</v>
      </c>
      <c r="R10" t="str">
        <f t="shared" si="3"/>
        <v>-</v>
      </c>
      <c r="S10" t="str">
        <f>IF(_xlfn.IFNA(VLOOKUP(I10,Set_Ref!$B$6:$B$1048576,1,FALSE),"")&lt;&gt;"","-",FALSE)</f>
        <v>-</v>
      </c>
      <c r="T10" t="str">
        <f t="shared" si="4"/>
        <v>-</v>
      </c>
      <c r="U10" t="str">
        <f t="shared" si="5"/>
        <v>-</v>
      </c>
      <c r="V10" t="str">
        <f t="shared" si="6"/>
        <v>-</v>
      </c>
      <c r="W10" t="str">
        <f t="shared" si="7"/>
        <v>-</v>
      </c>
      <c r="X10" t="str">
        <f t="shared" si="8"/>
        <v>-</v>
      </c>
      <c r="Y10" t="b">
        <f t="shared" si="9"/>
        <v>1</v>
      </c>
    </row>
    <row r="11" spans="1:25" x14ac:dyDescent="0.25">
      <c r="A11">
        <v>9</v>
      </c>
      <c r="B11" s="11" t="s">
        <v>235</v>
      </c>
      <c r="C11" s="11" t="s">
        <v>184</v>
      </c>
      <c r="D11" t="s">
        <v>185</v>
      </c>
      <c r="E11" t="s">
        <v>38</v>
      </c>
      <c r="F11" t="s">
        <v>38</v>
      </c>
      <c r="G11" t="s">
        <v>38</v>
      </c>
      <c r="H11" t="s">
        <v>38</v>
      </c>
      <c r="I11" t="s">
        <v>8</v>
      </c>
      <c r="J11">
        <v>84480</v>
      </c>
      <c r="K11" t="s">
        <v>115</v>
      </c>
      <c r="L11">
        <v>0</v>
      </c>
      <c r="M11">
        <v>19648.68</v>
      </c>
      <c r="N11">
        <v>3201247.68</v>
      </c>
      <c r="O11" t="str">
        <f t="shared" si="0"/>
        <v>-</v>
      </c>
      <c r="P11" t="str">
        <f t="shared" si="1"/>
        <v>-</v>
      </c>
      <c r="Q11" t="str">
        <f t="shared" si="2"/>
        <v>-</v>
      </c>
      <c r="R11" t="str">
        <f t="shared" si="3"/>
        <v>-</v>
      </c>
      <c r="S11" t="str">
        <f>IF(_xlfn.IFNA(VLOOKUP(I11,Set_Ref!$B$6:$B$1048576,1,FALSE),"")&lt;&gt;"","-",FALSE)</f>
        <v>-</v>
      </c>
      <c r="T11" t="str">
        <f t="shared" si="4"/>
        <v>-</v>
      </c>
      <c r="U11" t="str">
        <f t="shared" si="5"/>
        <v>-</v>
      </c>
      <c r="V11" t="str">
        <f t="shared" si="6"/>
        <v>-</v>
      </c>
      <c r="W11" t="str">
        <f t="shared" si="7"/>
        <v>-</v>
      </c>
      <c r="X11" t="str">
        <f t="shared" si="8"/>
        <v>-</v>
      </c>
      <c r="Y11" t="b">
        <f t="shared" si="9"/>
        <v>1</v>
      </c>
    </row>
    <row r="12" spans="1:25" x14ac:dyDescent="0.25">
      <c r="A12">
        <v>10</v>
      </c>
      <c r="B12" s="11" t="s">
        <v>236</v>
      </c>
      <c r="C12" s="11" t="s">
        <v>219</v>
      </c>
      <c r="D12" t="s">
        <v>186</v>
      </c>
      <c r="E12" t="s">
        <v>38</v>
      </c>
      <c r="F12" t="s">
        <v>38</v>
      </c>
      <c r="G12" t="s">
        <v>38</v>
      </c>
      <c r="H12" t="s">
        <v>38</v>
      </c>
      <c r="I12" t="s">
        <v>9</v>
      </c>
      <c r="J12">
        <v>986</v>
      </c>
      <c r="K12" t="s">
        <v>115</v>
      </c>
      <c r="L12">
        <v>0</v>
      </c>
      <c r="M12">
        <v>19648.68</v>
      </c>
      <c r="N12">
        <v>37363.040000000001</v>
      </c>
      <c r="O12" t="str">
        <f t="shared" si="0"/>
        <v>-</v>
      </c>
      <c r="P12" t="str">
        <f t="shared" si="1"/>
        <v>-</v>
      </c>
      <c r="Q12" t="str">
        <f t="shared" si="2"/>
        <v>-</v>
      </c>
      <c r="R12" t="str">
        <f t="shared" si="3"/>
        <v>-</v>
      </c>
      <c r="S12" t="str">
        <f>IF(_xlfn.IFNA(VLOOKUP(I12,Set_Ref!$B$6:$B$1048576,1,FALSE),"")&lt;&gt;"","-",FALSE)</f>
        <v>-</v>
      </c>
      <c r="T12" t="str">
        <f t="shared" si="4"/>
        <v>-</v>
      </c>
      <c r="U12" t="str">
        <f t="shared" si="5"/>
        <v>-</v>
      </c>
      <c r="V12" t="str">
        <f t="shared" si="6"/>
        <v>-</v>
      </c>
      <c r="W12" t="str">
        <f t="shared" si="7"/>
        <v>-</v>
      </c>
      <c r="X12" t="str">
        <f t="shared" si="8"/>
        <v>-</v>
      </c>
      <c r="Y12" t="b">
        <f t="shared" si="9"/>
        <v>1</v>
      </c>
    </row>
    <row r="13" spans="1:25" x14ac:dyDescent="0.25">
      <c r="A13">
        <v>11</v>
      </c>
      <c r="B13" s="11" t="s">
        <v>236</v>
      </c>
      <c r="C13" s="11" t="s">
        <v>220</v>
      </c>
      <c r="D13" t="s">
        <v>187</v>
      </c>
      <c r="E13" t="s">
        <v>38</v>
      </c>
      <c r="F13" t="s">
        <v>38</v>
      </c>
      <c r="G13" t="s">
        <v>38</v>
      </c>
      <c r="H13" t="s">
        <v>38</v>
      </c>
      <c r="I13" t="s">
        <v>9</v>
      </c>
      <c r="J13">
        <v>141</v>
      </c>
      <c r="K13" t="s">
        <v>115</v>
      </c>
      <c r="L13">
        <v>0</v>
      </c>
      <c r="M13">
        <v>19648.68</v>
      </c>
      <c r="N13">
        <v>5343</v>
      </c>
      <c r="O13" t="str">
        <f t="shared" si="0"/>
        <v>-</v>
      </c>
      <c r="P13" t="str">
        <f t="shared" si="1"/>
        <v>-</v>
      </c>
      <c r="Q13" t="str">
        <f t="shared" si="2"/>
        <v>-</v>
      </c>
      <c r="R13" t="str">
        <f t="shared" si="3"/>
        <v>-</v>
      </c>
      <c r="S13" t="str">
        <f>IF(_xlfn.IFNA(VLOOKUP(I13,Set_Ref!$B$6:$B$1048576,1,FALSE),"")&lt;&gt;"","-",FALSE)</f>
        <v>-</v>
      </c>
      <c r="T13" t="str">
        <f t="shared" si="4"/>
        <v>-</v>
      </c>
      <c r="U13" t="str">
        <f t="shared" si="5"/>
        <v>-</v>
      </c>
      <c r="V13" t="str">
        <f t="shared" si="6"/>
        <v>-</v>
      </c>
      <c r="W13" t="str">
        <f t="shared" si="7"/>
        <v>-</v>
      </c>
      <c r="X13" t="str">
        <f t="shared" si="8"/>
        <v>-</v>
      </c>
      <c r="Y13" t="b">
        <f t="shared" si="9"/>
        <v>1</v>
      </c>
    </row>
    <row r="14" spans="1:25" x14ac:dyDescent="0.25">
      <c r="A14">
        <v>12</v>
      </c>
      <c r="B14" s="11" t="s">
        <v>227</v>
      </c>
      <c r="C14" s="11" t="s">
        <v>221</v>
      </c>
      <c r="D14" t="s">
        <v>188</v>
      </c>
      <c r="E14" t="s">
        <v>38</v>
      </c>
      <c r="F14" t="s">
        <v>38</v>
      </c>
      <c r="G14" t="s">
        <v>38</v>
      </c>
      <c r="H14" t="s">
        <v>38</v>
      </c>
      <c r="I14" t="s">
        <v>8</v>
      </c>
      <c r="J14">
        <v>5140</v>
      </c>
      <c r="K14" t="s">
        <v>115</v>
      </c>
      <c r="L14">
        <v>0</v>
      </c>
      <c r="M14">
        <v>19648.68</v>
      </c>
      <c r="N14">
        <v>194772.89</v>
      </c>
      <c r="O14" t="str">
        <f t="shared" si="0"/>
        <v>-</v>
      </c>
      <c r="P14" t="str">
        <f t="shared" si="1"/>
        <v>-</v>
      </c>
      <c r="Q14" t="str">
        <f t="shared" si="2"/>
        <v>-</v>
      </c>
      <c r="R14" t="str">
        <f t="shared" si="3"/>
        <v>-</v>
      </c>
      <c r="S14" t="str">
        <f>IF(_xlfn.IFNA(VLOOKUP(I14,Set_Ref!$B$6:$B$1048576,1,FALSE),"")&lt;&gt;"","-",FALSE)</f>
        <v>-</v>
      </c>
      <c r="T14" t="str">
        <f t="shared" si="4"/>
        <v>-</v>
      </c>
      <c r="U14" t="str">
        <f t="shared" si="5"/>
        <v>-</v>
      </c>
      <c r="V14" t="str">
        <f t="shared" si="6"/>
        <v>-</v>
      </c>
      <c r="W14" t="str">
        <f t="shared" si="7"/>
        <v>-</v>
      </c>
      <c r="X14" t="str">
        <f t="shared" si="8"/>
        <v>-</v>
      </c>
      <c r="Y14" t="b">
        <f t="shared" si="9"/>
        <v>1</v>
      </c>
    </row>
    <row r="15" spans="1:25" x14ac:dyDescent="0.25">
      <c r="A15">
        <v>13</v>
      </c>
      <c r="B15" s="11" t="s">
        <v>227</v>
      </c>
      <c r="C15" s="11" t="s">
        <v>222</v>
      </c>
      <c r="D15" t="s">
        <v>189</v>
      </c>
      <c r="E15" t="s">
        <v>38</v>
      </c>
      <c r="F15" t="s">
        <v>38</v>
      </c>
      <c r="G15" t="s">
        <v>38</v>
      </c>
      <c r="H15" t="s">
        <v>38</v>
      </c>
      <c r="I15" t="s">
        <v>8</v>
      </c>
      <c r="J15">
        <v>2570</v>
      </c>
      <c r="K15" t="s">
        <v>115</v>
      </c>
      <c r="L15">
        <v>0</v>
      </c>
      <c r="M15">
        <v>19648.68</v>
      </c>
      <c r="N15">
        <v>97386.44</v>
      </c>
      <c r="O15" t="str">
        <f t="shared" si="0"/>
        <v>-</v>
      </c>
      <c r="P15" t="str">
        <f t="shared" si="1"/>
        <v>-</v>
      </c>
      <c r="Q15" t="str">
        <f t="shared" si="2"/>
        <v>-</v>
      </c>
      <c r="R15" t="str">
        <f t="shared" si="3"/>
        <v>-</v>
      </c>
      <c r="S15" t="str">
        <f>IF(_xlfn.IFNA(VLOOKUP(I15,Set_Ref!$B$6:$B$1048576,1,FALSE),"")&lt;&gt;"","-",FALSE)</f>
        <v>-</v>
      </c>
      <c r="T15" t="str">
        <f t="shared" si="4"/>
        <v>-</v>
      </c>
      <c r="U15" t="str">
        <f t="shared" si="5"/>
        <v>-</v>
      </c>
      <c r="V15" t="str">
        <f t="shared" si="6"/>
        <v>-</v>
      </c>
      <c r="W15" t="str">
        <f t="shared" si="7"/>
        <v>-</v>
      </c>
      <c r="X15" t="str">
        <f t="shared" si="8"/>
        <v>-</v>
      </c>
      <c r="Y15" t="b">
        <f t="shared" si="9"/>
        <v>1</v>
      </c>
    </row>
    <row r="16" spans="1:25" x14ac:dyDescent="0.25">
      <c r="A16">
        <v>14</v>
      </c>
      <c r="B16" s="11" t="s">
        <v>237</v>
      </c>
      <c r="C16" s="11" t="s">
        <v>223</v>
      </c>
      <c r="D16" t="s">
        <v>190</v>
      </c>
      <c r="E16" t="s">
        <v>38</v>
      </c>
      <c r="F16" t="s">
        <v>38</v>
      </c>
      <c r="G16" t="s">
        <v>38</v>
      </c>
      <c r="H16" t="s">
        <v>38</v>
      </c>
      <c r="I16" t="s">
        <v>57</v>
      </c>
      <c r="J16">
        <v>1.37</v>
      </c>
      <c r="K16" t="s">
        <v>115</v>
      </c>
      <c r="L16">
        <v>0</v>
      </c>
      <c r="M16">
        <v>19648.68</v>
      </c>
      <c r="N16">
        <v>51.92</v>
      </c>
      <c r="O16" t="str">
        <f t="shared" si="0"/>
        <v>-</v>
      </c>
      <c r="P16" t="str">
        <f t="shared" si="1"/>
        <v>-</v>
      </c>
      <c r="Q16" t="str">
        <f t="shared" si="2"/>
        <v>-</v>
      </c>
      <c r="R16" t="str">
        <f t="shared" si="3"/>
        <v>-</v>
      </c>
      <c r="S16" t="str">
        <f>IF(_xlfn.IFNA(VLOOKUP(I16,Set_Ref!$B$6:$B$1048576,1,FALSE),"")&lt;&gt;"","-",FALSE)</f>
        <v>-</v>
      </c>
      <c r="T16" t="str">
        <f t="shared" si="4"/>
        <v>-</v>
      </c>
      <c r="U16" t="str">
        <f t="shared" si="5"/>
        <v>-</v>
      </c>
      <c r="V16" t="str">
        <f t="shared" si="6"/>
        <v>-</v>
      </c>
      <c r="W16" t="str">
        <f t="shared" si="7"/>
        <v>-</v>
      </c>
      <c r="X16" t="str">
        <f t="shared" si="8"/>
        <v>-</v>
      </c>
      <c r="Y16" t="b">
        <f t="shared" si="9"/>
        <v>1</v>
      </c>
    </row>
    <row r="17" spans="1:25" x14ac:dyDescent="0.25">
      <c r="A17">
        <v>15</v>
      </c>
      <c r="B17" s="11" t="s">
        <v>238</v>
      </c>
      <c r="C17" s="11" t="s">
        <v>224</v>
      </c>
      <c r="D17" t="s">
        <v>191</v>
      </c>
      <c r="E17" t="s">
        <v>38</v>
      </c>
      <c r="F17" t="s">
        <v>38</v>
      </c>
      <c r="G17" t="s">
        <v>38</v>
      </c>
      <c r="H17" t="s">
        <v>38</v>
      </c>
      <c r="I17" t="s">
        <v>8</v>
      </c>
      <c r="J17">
        <v>2570</v>
      </c>
      <c r="K17" t="s">
        <v>115</v>
      </c>
      <c r="L17">
        <v>0</v>
      </c>
      <c r="M17">
        <v>19648.68</v>
      </c>
      <c r="N17">
        <v>97386.44</v>
      </c>
      <c r="O17" t="str">
        <f t="shared" si="0"/>
        <v>-</v>
      </c>
      <c r="P17" t="str">
        <f t="shared" si="1"/>
        <v>-</v>
      </c>
      <c r="Q17" t="str">
        <f t="shared" si="2"/>
        <v>-</v>
      </c>
      <c r="R17" t="str">
        <f t="shared" si="3"/>
        <v>-</v>
      </c>
      <c r="S17" t="str">
        <f>IF(_xlfn.IFNA(VLOOKUP(I17,Set_Ref!$B$6:$B$1048576,1,FALSE),"")&lt;&gt;"","-",FALSE)</f>
        <v>-</v>
      </c>
      <c r="T17" t="str">
        <f t="shared" si="4"/>
        <v>-</v>
      </c>
      <c r="U17" t="str">
        <f t="shared" si="5"/>
        <v>-</v>
      </c>
      <c r="V17" t="str">
        <f t="shared" si="6"/>
        <v>-</v>
      </c>
      <c r="W17" t="str">
        <f t="shared" si="7"/>
        <v>-</v>
      </c>
      <c r="X17" t="str">
        <f t="shared" si="8"/>
        <v>-</v>
      </c>
      <c r="Y17" t="b">
        <f t="shared" si="9"/>
        <v>1</v>
      </c>
    </row>
    <row r="18" spans="1:25" x14ac:dyDescent="0.25">
      <c r="A18">
        <v>16</v>
      </c>
      <c r="B18" s="11" t="s">
        <v>234</v>
      </c>
      <c r="C18" s="11" t="s">
        <v>192</v>
      </c>
      <c r="D18" t="s">
        <v>193</v>
      </c>
      <c r="E18" t="s">
        <v>38</v>
      </c>
      <c r="F18" t="s">
        <v>38</v>
      </c>
      <c r="G18" t="s">
        <v>38</v>
      </c>
      <c r="H18" t="s">
        <v>38</v>
      </c>
      <c r="I18" t="s">
        <v>8</v>
      </c>
      <c r="J18">
        <v>960</v>
      </c>
      <c r="K18" t="s">
        <v>115</v>
      </c>
      <c r="L18">
        <v>0</v>
      </c>
      <c r="M18">
        <v>19648.68</v>
      </c>
      <c r="N18">
        <v>36377.81</v>
      </c>
      <c r="O18" t="str">
        <f t="shared" si="0"/>
        <v>-</v>
      </c>
      <c r="P18" t="str">
        <f t="shared" si="1"/>
        <v>-</v>
      </c>
      <c r="Q18" t="str">
        <f t="shared" si="2"/>
        <v>-</v>
      </c>
      <c r="R18" t="str">
        <f t="shared" si="3"/>
        <v>-</v>
      </c>
      <c r="S18" t="str">
        <f>IF(_xlfn.IFNA(VLOOKUP(I18,Set_Ref!$B$6:$B$1048576,1,FALSE),"")&lt;&gt;"","-",FALSE)</f>
        <v>-</v>
      </c>
      <c r="T18" t="str">
        <f t="shared" si="4"/>
        <v>-</v>
      </c>
      <c r="U18" t="str">
        <f t="shared" si="5"/>
        <v>-</v>
      </c>
      <c r="V18" t="str">
        <f t="shared" si="6"/>
        <v>-</v>
      </c>
      <c r="W18" t="str">
        <f t="shared" si="7"/>
        <v>-</v>
      </c>
      <c r="X18" t="str">
        <f t="shared" si="8"/>
        <v>-</v>
      </c>
      <c r="Y18" t="b">
        <f t="shared" si="9"/>
        <v>1</v>
      </c>
    </row>
    <row r="19" spans="1:25" x14ac:dyDescent="0.25">
      <c r="A19">
        <v>17</v>
      </c>
      <c r="B19" s="11" t="s">
        <v>227</v>
      </c>
      <c r="C19" s="11" t="s">
        <v>225</v>
      </c>
      <c r="D19" t="s">
        <v>194</v>
      </c>
      <c r="E19" t="s">
        <v>38</v>
      </c>
      <c r="F19" t="s">
        <v>38</v>
      </c>
      <c r="G19" t="s">
        <v>38</v>
      </c>
      <c r="H19" t="s">
        <v>38</v>
      </c>
      <c r="I19" t="s">
        <v>8</v>
      </c>
      <c r="J19">
        <v>700</v>
      </c>
      <c r="K19" t="s">
        <v>115</v>
      </c>
      <c r="L19">
        <v>0</v>
      </c>
      <c r="M19">
        <v>19648.68</v>
      </c>
      <c r="N19">
        <v>26525.49</v>
      </c>
      <c r="O19" t="str">
        <f t="shared" si="0"/>
        <v>-</v>
      </c>
      <c r="P19" t="str">
        <f t="shared" si="1"/>
        <v>-</v>
      </c>
      <c r="Q19" t="str">
        <f t="shared" si="2"/>
        <v>-</v>
      </c>
      <c r="R19" t="str">
        <f t="shared" si="3"/>
        <v>-</v>
      </c>
      <c r="S19" t="str">
        <f>IF(_xlfn.IFNA(VLOOKUP(I19,Set_Ref!$B$6:$B$1048576,1,FALSE),"")&lt;&gt;"","-",FALSE)</f>
        <v>-</v>
      </c>
      <c r="T19" t="str">
        <f t="shared" si="4"/>
        <v>-</v>
      </c>
      <c r="U19" t="str">
        <f t="shared" si="5"/>
        <v>-</v>
      </c>
      <c r="V19" t="str">
        <f t="shared" si="6"/>
        <v>-</v>
      </c>
      <c r="W19" t="str">
        <f t="shared" si="7"/>
        <v>-</v>
      </c>
      <c r="X19" t="str">
        <f t="shared" si="8"/>
        <v>-</v>
      </c>
      <c r="Y19" t="b">
        <f t="shared" si="9"/>
        <v>1</v>
      </c>
    </row>
    <row r="20" spans="1:25" x14ac:dyDescent="0.25">
      <c r="A20">
        <v>18</v>
      </c>
      <c r="B20" s="11" t="s">
        <v>227</v>
      </c>
      <c r="C20" s="11" t="s">
        <v>226</v>
      </c>
      <c r="D20" t="s">
        <v>195</v>
      </c>
      <c r="E20" t="s">
        <v>38</v>
      </c>
      <c r="F20" t="s">
        <v>38</v>
      </c>
      <c r="G20" t="s">
        <v>38</v>
      </c>
      <c r="H20" t="s">
        <v>38</v>
      </c>
      <c r="I20" t="s">
        <v>8</v>
      </c>
      <c r="J20">
        <v>670</v>
      </c>
      <c r="K20" t="s">
        <v>115</v>
      </c>
      <c r="L20">
        <v>0</v>
      </c>
      <c r="M20">
        <v>19648.68</v>
      </c>
      <c r="N20">
        <v>25388.68</v>
      </c>
      <c r="O20" t="str">
        <f t="shared" si="0"/>
        <v>-</v>
      </c>
      <c r="P20" t="str">
        <f t="shared" si="1"/>
        <v>-</v>
      </c>
      <c r="Q20" t="str">
        <f t="shared" si="2"/>
        <v>-</v>
      </c>
      <c r="R20" t="str">
        <f t="shared" si="3"/>
        <v>-</v>
      </c>
      <c r="S20" t="str">
        <f>IF(_xlfn.IFNA(VLOOKUP(I20,Set_Ref!$B$6:$B$1048576,1,FALSE),"")&lt;&gt;"","-",FALSE)</f>
        <v>-</v>
      </c>
      <c r="T20" t="str">
        <f t="shared" si="4"/>
        <v>-</v>
      </c>
      <c r="U20" t="str">
        <f t="shared" si="5"/>
        <v>-</v>
      </c>
      <c r="V20" t="str">
        <f t="shared" si="6"/>
        <v>-</v>
      </c>
      <c r="W20" t="str">
        <f t="shared" si="7"/>
        <v>-</v>
      </c>
      <c r="X20" t="str">
        <f t="shared" si="8"/>
        <v>-</v>
      </c>
      <c r="Y20" t="b">
        <f t="shared" si="9"/>
        <v>1</v>
      </c>
    </row>
  </sheetData>
  <mergeCells count="3">
    <mergeCell ref="A1:H1"/>
    <mergeCell ref="I1:M1"/>
    <mergeCell ref="O1:Y1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2793E-E5F2-4D4C-B718-25AF9CD0B82D}">
  <sheetPr codeName="Sheet38"/>
  <dimension ref="A1:AE86"/>
  <sheetViews>
    <sheetView workbookViewId="0">
      <pane xSplit="2" ySplit="2" topLeftCell="I3" activePane="bottomRight" state="frozen"/>
      <selection pane="topRight" activeCell="C1" sqref="C1"/>
      <selection pane="bottomLeft" activeCell="A3" sqref="A3"/>
      <selection pane="bottomRight" activeCell="P3" sqref="P3:S86"/>
    </sheetView>
  </sheetViews>
  <sheetFormatPr defaultRowHeight="15" x14ac:dyDescent="0.25"/>
  <cols>
    <col min="1" max="1" width="12.7109375" bestFit="1" customWidth="1"/>
    <col min="2" max="2" width="17" bestFit="1" customWidth="1"/>
    <col min="3" max="3" width="22.42578125" style="11" bestFit="1" customWidth="1"/>
    <col min="4" max="4" width="20.140625" style="11" bestFit="1" customWidth="1"/>
    <col min="5" max="5" width="22.28515625" style="11" bestFit="1" customWidth="1"/>
    <col min="6" max="6" width="23.5703125" style="11" bestFit="1" customWidth="1"/>
    <col min="7" max="7" width="18.140625" style="11" bestFit="1" customWidth="1"/>
    <col min="8" max="8" width="19" style="11" bestFit="1" customWidth="1"/>
    <col min="9" max="9" width="3.42578125" style="11" bestFit="1" customWidth="1"/>
    <col min="10" max="10" width="15" style="11" bestFit="1" customWidth="1"/>
    <col min="11" max="11" width="8.28515625" style="11" bestFit="1" customWidth="1"/>
    <col min="12" max="12" width="7.5703125" style="11" bestFit="1" customWidth="1"/>
    <col min="13" max="13" width="5" style="11" bestFit="1" customWidth="1"/>
    <col min="14" max="14" width="9" style="11" bestFit="1" customWidth="1"/>
    <col min="15" max="15" width="16.42578125" style="11" bestFit="1" customWidth="1"/>
    <col min="16" max="16" width="14.5703125" style="11" bestFit="1" customWidth="1"/>
    <col min="17" max="17" width="17" bestFit="1" customWidth="1"/>
    <col min="18" max="18" width="7.42578125" bestFit="1" customWidth="1"/>
    <col min="19" max="19" width="3.85546875" bestFit="1" customWidth="1"/>
    <col min="20" max="20" width="12.7109375" bestFit="1" customWidth="1"/>
    <col min="21" max="21" width="17" bestFit="1" customWidth="1"/>
    <col min="22" max="22" width="23.28515625" bestFit="1" customWidth="1"/>
    <col min="23" max="23" width="18.85546875" bestFit="1" customWidth="1"/>
    <col min="24" max="24" width="20.7109375" bestFit="1" customWidth="1"/>
    <col min="25" max="25" width="22.140625" bestFit="1" customWidth="1"/>
    <col min="26" max="26" width="3.28515625" bestFit="1" customWidth="1"/>
    <col min="27" max="27" width="14" bestFit="1" customWidth="1"/>
    <col min="28" max="28" width="13.7109375" bestFit="1" customWidth="1"/>
    <col min="29" max="29" width="16" bestFit="1" customWidth="1"/>
    <col min="30" max="30" width="22.85546875" bestFit="1" customWidth="1"/>
    <col min="31" max="31" width="5.42578125" bestFit="1" customWidth="1"/>
  </cols>
  <sheetData>
    <row r="1" spans="1:31" x14ac:dyDescent="0.25">
      <c r="A1" s="88" t="s">
        <v>100</v>
      </c>
      <c r="B1" s="89"/>
      <c r="C1" s="89"/>
      <c r="D1" s="89"/>
      <c r="E1" s="89"/>
      <c r="F1" s="89"/>
      <c r="G1" s="89"/>
      <c r="H1" s="90"/>
      <c r="I1" s="94"/>
      <c r="J1" s="94"/>
      <c r="K1" s="94"/>
      <c r="L1" s="94"/>
      <c r="M1" s="94"/>
      <c r="N1" s="94"/>
      <c r="O1" s="95"/>
      <c r="P1" s="88" t="s">
        <v>91</v>
      </c>
      <c r="Q1" s="89"/>
      <c r="R1" s="89"/>
      <c r="S1" s="90"/>
      <c r="T1" s="98" t="s">
        <v>268</v>
      </c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</row>
    <row r="2" spans="1:31" ht="15.75" x14ac:dyDescent="0.25">
      <c r="A2" s="56" t="s">
        <v>62</v>
      </c>
      <c r="B2" s="59" t="s">
        <v>90</v>
      </c>
      <c r="C2" s="82" t="s">
        <v>144</v>
      </c>
      <c r="D2" s="82" t="s">
        <v>99</v>
      </c>
      <c r="E2" s="82" t="s">
        <v>85</v>
      </c>
      <c r="F2" s="82" t="s">
        <v>86</v>
      </c>
      <c r="G2" s="83" t="s">
        <v>87</v>
      </c>
      <c r="H2" s="83" t="s">
        <v>88</v>
      </c>
      <c r="I2" s="84" t="s">
        <v>63</v>
      </c>
      <c r="J2" s="82" t="s">
        <v>58</v>
      </c>
      <c r="K2" s="83" t="s">
        <v>64</v>
      </c>
      <c r="L2" s="83" t="s">
        <v>81</v>
      </c>
      <c r="M2" s="83" t="s">
        <v>82</v>
      </c>
      <c r="N2" s="83" t="s">
        <v>83</v>
      </c>
      <c r="O2" s="83" t="s">
        <v>84</v>
      </c>
      <c r="P2" s="82" t="s">
        <v>65</v>
      </c>
      <c r="Q2" s="60" t="s">
        <v>66</v>
      </c>
      <c r="R2" s="47" t="s">
        <v>69</v>
      </c>
      <c r="S2" s="47" t="s">
        <v>13</v>
      </c>
      <c r="T2" s="99" t="s">
        <v>62</v>
      </c>
      <c r="U2" s="99" t="s">
        <v>90</v>
      </c>
      <c r="V2" s="99" t="s">
        <v>47</v>
      </c>
      <c r="W2" s="99" t="s">
        <v>99</v>
      </c>
      <c r="X2" s="99" t="s">
        <v>85</v>
      </c>
      <c r="Y2" s="99" t="s">
        <v>86</v>
      </c>
      <c r="Z2" s="99" t="s">
        <v>63</v>
      </c>
      <c r="AA2" s="99" t="s">
        <v>58</v>
      </c>
      <c r="AB2" s="99" t="s">
        <v>65</v>
      </c>
      <c r="AC2" s="99" t="s">
        <v>66</v>
      </c>
      <c r="AD2" s="99" t="s">
        <v>270</v>
      </c>
      <c r="AE2" s="99" t="s">
        <v>269</v>
      </c>
    </row>
    <row r="3" spans="1:31" x14ac:dyDescent="0.25">
      <c r="A3">
        <v>1</v>
      </c>
      <c r="B3">
        <v>1</v>
      </c>
      <c r="C3">
        <v>261</v>
      </c>
      <c r="D3" s="11" t="s">
        <v>145</v>
      </c>
      <c r="E3" s="11" t="s">
        <v>239</v>
      </c>
      <c r="F3" s="11" t="s">
        <v>199</v>
      </c>
      <c r="G3" s="11" t="s">
        <v>252</v>
      </c>
      <c r="H3">
        <v>1</v>
      </c>
      <c r="I3" s="11" t="s">
        <v>227</v>
      </c>
      <c r="J3" s="11" t="s">
        <v>211</v>
      </c>
      <c r="K3" s="11" t="s">
        <v>174</v>
      </c>
      <c r="L3" s="11" t="s">
        <v>38</v>
      </c>
      <c r="M3" s="11" t="s">
        <v>38</v>
      </c>
      <c r="N3" s="11" t="s">
        <v>38</v>
      </c>
      <c r="O3" s="11" t="s">
        <v>38</v>
      </c>
      <c r="P3" t="s">
        <v>8</v>
      </c>
      <c r="Q3">
        <v>2294</v>
      </c>
      <c r="R3">
        <v>0</v>
      </c>
      <c r="S3">
        <v>0</v>
      </c>
      <c r="T3" t="str">
        <f t="shared" ref="T3:T34" si="0">IF(OR(A3="",A3&lt;1),FALSE,IF(ISNUMBER(A3), IF(INT(A3) = A3, "-", FALSE), FALSE))</f>
        <v>-</v>
      </c>
      <c r="U3" t="str">
        <f t="shared" ref="U3:U34" si="1">IF(OR(B3="",A3&lt;1),FALSE,IF(ISNUMBER(A3), IF(INT(A3) = A3, "-", FALSE), FALSE))</f>
        <v>-</v>
      </c>
      <c r="V3" t="str">
        <f t="shared" ref="V3:V34" si="2">IF(OR(C3="",C3="PilihSalasatu"),FALSE,"-")</f>
        <v>-</v>
      </c>
      <c r="W3" t="str">
        <f t="shared" ref="W3:W34" si="3">IF(D3="",FALSE,"-")</f>
        <v>-</v>
      </c>
      <c r="X3" t="str">
        <f t="shared" ref="X3:X34" si="4">IF(E3="",FALSE,"-")</f>
        <v>-</v>
      </c>
      <c r="Y3" t="str">
        <f t="shared" ref="Y3:Y34" si="5">IF(F3="",FALSE,"-")</f>
        <v>-</v>
      </c>
      <c r="Z3" t="str">
        <f t="shared" ref="Z3:Z34" si="6">IF(I3="",FALSE,"-")</f>
        <v>-</v>
      </c>
      <c r="AA3" t="str">
        <f t="shared" ref="AA3:AA34" si="7">IF(J3="",FALSE,"-")</f>
        <v>-</v>
      </c>
      <c r="AB3" t="str">
        <f>IF(_xlfn.IFNA(VLOOKUP(P3,Set_Ref!$B$6:$B$1048576,1,FALSE),"")&lt;&gt;"","-",FALSE)</f>
        <v>-</v>
      </c>
      <c r="AC3" t="str">
        <f t="shared" ref="AC3:AC34" si="8">IF(OR(Q3="",Q3&lt;=0),FALSE,IF(ISNUMBER(Q3),"-",FALSE))</f>
        <v>-</v>
      </c>
      <c r="AD3" t="str">
        <f t="shared" ref="AD3:AD34" si="9">IF(OR(G3="",H3="",I3="",K3=""),FALSE,"-")</f>
        <v>-</v>
      </c>
      <c r="AE3" t="b">
        <f t="shared" ref="AE3:AE34" si="10">IF(COUNTIF(T3:AD3, "FALSE") &gt; 0, FALSE, TRUE)</f>
        <v>1</v>
      </c>
    </row>
    <row r="4" spans="1:31" x14ac:dyDescent="0.25">
      <c r="A4">
        <v>1</v>
      </c>
      <c r="B4">
        <v>2</v>
      </c>
      <c r="C4">
        <v>261</v>
      </c>
      <c r="D4" s="11" t="s">
        <v>145</v>
      </c>
      <c r="E4" s="11" t="s">
        <v>240</v>
      </c>
      <c r="F4" s="11" t="s">
        <v>207</v>
      </c>
      <c r="G4" s="11" t="s">
        <v>253</v>
      </c>
      <c r="H4">
        <v>21</v>
      </c>
      <c r="I4" s="11" t="s">
        <v>227</v>
      </c>
      <c r="J4" s="11" t="s">
        <v>211</v>
      </c>
      <c r="K4" s="11" t="s">
        <v>174</v>
      </c>
      <c r="L4" s="11" t="s">
        <v>38</v>
      </c>
      <c r="M4" s="11" t="s">
        <v>38</v>
      </c>
      <c r="N4" s="11" t="s">
        <v>38</v>
      </c>
      <c r="O4" s="11" t="s">
        <v>38</v>
      </c>
      <c r="P4" t="s">
        <v>8</v>
      </c>
      <c r="Q4">
        <v>1900</v>
      </c>
      <c r="R4">
        <v>0</v>
      </c>
      <c r="S4">
        <v>0</v>
      </c>
      <c r="T4" t="str">
        <f t="shared" si="0"/>
        <v>-</v>
      </c>
      <c r="U4" t="str">
        <f t="shared" si="1"/>
        <v>-</v>
      </c>
      <c r="V4" t="str">
        <f t="shared" si="2"/>
        <v>-</v>
      </c>
      <c r="W4" t="str">
        <f t="shared" si="3"/>
        <v>-</v>
      </c>
      <c r="X4" t="str">
        <f t="shared" si="4"/>
        <v>-</v>
      </c>
      <c r="Y4" t="str">
        <f t="shared" si="5"/>
        <v>-</v>
      </c>
      <c r="Z4" t="str">
        <f t="shared" si="6"/>
        <v>-</v>
      </c>
      <c r="AA4" t="str">
        <f t="shared" si="7"/>
        <v>-</v>
      </c>
      <c r="AB4" t="str">
        <f>IF(_xlfn.IFNA(VLOOKUP(P4,Set_Ref!$B$6:$B$1048576,1,FALSE),"")&lt;&gt;"","-",FALSE)</f>
        <v>-</v>
      </c>
      <c r="AC4" t="str">
        <f t="shared" si="8"/>
        <v>-</v>
      </c>
      <c r="AD4" t="str">
        <f t="shared" si="9"/>
        <v>-</v>
      </c>
      <c r="AE4" t="b">
        <f t="shared" si="10"/>
        <v>1</v>
      </c>
    </row>
    <row r="5" spans="1:31" x14ac:dyDescent="0.25">
      <c r="A5">
        <v>2</v>
      </c>
      <c r="B5">
        <v>1</v>
      </c>
      <c r="C5">
        <v>261</v>
      </c>
      <c r="D5" s="11" t="s">
        <v>145</v>
      </c>
      <c r="E5" s="11" t="s">
        <v>241</v>
      </c>
      <c r="F5" s="11" t="s">
        <v>198</v>
      </c>
      <c r="G5" s="11" t="s">
        <v>254</v>
      </c>
      <c r="H5">
        <v>1</v>
      </c>
      <c r="I5" s="11" t="s">
        <v>228</v>
      </c>
      <c r="J5" s="11" t="s">
        <v>212</v>
      </c>
      <c r="K5" s="11" t="s">
        <v>175</v>
      </c>
      <c r="L5" s="11" t="s">
        <v>38</v>
      </c>
      <c r="M5" s="11" t="s">
        <v>38</v>
      </c>
      <c r="N5" s="11" t="s">
        <v>38</v>
      </c>
      <c r="O5" s="11" t="s">
        <v>38</v>
      </c>
      <c r="P5" t="s">
        <v>9</v>
      </c>
      <c r="Q5">
        <v>61</v>
      </c>
      <c r="R5">
        <v>0</v>
      </c>
      <c r="S5">
        <v>0</v>
      </c>
      <c r="T5" t="str">
        <f t="shared" si="0"/>
        <v>-</v>
      </c>
      <c r="U5" t="str">
        <f t="shared" si="1"/>
        <v>-</v>
      </c>
      <c r="V5" t="str">
        <f t="shared" si="2"/>
        <v>-</v>
      </c>
      <c r="W5" t="str">
        <f t="shared" si="3"/>
        <v>-</v>
      </c>
      <c r="X5" t="str">
        <f t="shared" si="4"/>
        <v>-</v>
      </c>
      <c r="Y5" t="str">
        <f t="shared" si="5"/>
        <v>-</v>
      </c>
      <c r="Z5" t="str">
        <f t="shared" si="6"/>
        <v>-</v>
      </c>
      <c r="AA5" t="str">
        <f t="shared" si="7"/>
        <v>-</v>
      </c>
      <c r="AB5" t="str">
        <f>IF(_xlfn.IFNA(VLOOKUP(P5,Set_Ref!$B$6:$B$1048576,1,FALSE),"")&lt;&gt;"","-",FALSE)</f>
        <v>-</v>
      </c>
      <c r="AC5" t="str">
        <f t="shared" si="8"/>
        <v>-</v>
      </c>
      <c r="AD5" t="str">
        <f t="shared" si="9"/>
        <v>-</v>
      </c>
      <c r="AE5" t="b">
        <f t="shared" si="10"/>
        <v>1</v>
      </c>
    </row>
    <row r="6" spans="1:31" x14ac:dyDescent="0.25">
      <c r="A6">
        <v>2</v>
      </c>
      <c r="B6">
        <v>2</v>
      </c>
      <c r="C6">
        <v>261</v>
      </c>
      <c r="D6" s="11" t="s">
        <v>145</v>
      </c>
      <c r="E6" s="11" t="s">
        <v>240</v>
      </c>
      <c r="F6" s="11" t="s">
        <v>207</v>
      </c>
      <c r="G6" s="11" t="s">
        <v>253</v>
      </c>
      <c r="H6">
        <v>15</v>
      </c>
      <c r="I6" s="11" t="s">
        <v>228</v>
      </c>
      <c r="J6" s="11" t="s">
        <v>212</v>
      </c>
      <c r="K6" s="11" t="s">
        <v>175</v>
      </c>
      <c r="L6" s="11" t="s">
        <v>38</v>
      </c>
      <c r="M6" s="11" t="s">
        <v>38</v>
      </c>
      <c r="N6" s="11" t="s">
        <v>38</v>
      </c>
      <c r="O6" s="11" t="s">
        <v>38</v>
      </c>
      <c r="P6" t="s">
        <v>9</v>
      </c>
      <c r="Q6">
        <v>61</v>
      </c>
      <c r="R6">
        <v>0</v>
      </c>
      <c r="S6">
        <v>0</v>
      </c>
      <c r="T6" t="str">
        <f t="shared" si="0"/>
        <v>-</v>
      </c>
      <c r="U6" t="str">
        <f t="shared" si="1"/>
        <v>-</v>
      </c>
      <c r="V6" t="str">
        <f t="shared" si="2"/>
        <v>-</v>
      </c>
      <c r="W6" t="str">
        <f t="shared" si="3"/>
        <v>-</v>
      </c>
      <c r="X6" t="str">
        <f t="shared" si="4"/>
        <v>-</v>
      </c>
      <c r="Y6" t="str">
        <f t="shared" si="5"/>
        <v>-</v>
      </c>
      <c r="Z6" t="str">
        <f t="shared" si="6"/>
        <v>-</v>
      </c>
      <c r="AA6" t="str">
        <f t="shared" si="7"/>
        <v>-</v>
      </c>
      <c r="AB6" t="str">
        <f>IF(_xlfn.IFNA(VLOOKUP(P6,Set_Ref!$B$6:$B$1048576,1,FALSE),"")&lt;&gt;"","-",FALSE)</f>
        <v>-</v>
      </c>
      <c r="AC6" t="str">
        <f t="shared" si="8"/>
        <v>-</v>
      </c>
      <c r="AD6" t="str">
        <f t="shared" si="9"/>
        <v>-</v>
      </c>
      <c r="AE6" t="b">
        <f t="shared" si="10"/>
        <v>1</v>
      </c>
    </row>
    <row r="7" spans="1:31" x14ac:dyDescent="0.25">
      <c r="A7">
        <v>3</v>
      </c>
      <c r="B7">
        <v>1</v>
      </c>
      <c r="C7">
        <v>261</v>
      </c>
      <c r="D7" s="11" t="s">
        <v>145</v>
      </c>
      <c r="E7" s="11" t="s">
        <v>239</v>
      </c>
      <c r="F7" s="11" t="s">
        <v>199</v>
      </c>
      <c r="G7" s="11" t="s">
        <v>252</v>
      </c>
      <c r="H7">
        <v>3</v>
      </c>
      <c r="I7" s="11" t="s">
        <v>229</v>
      </c>
      <c r="J7" s="11" t="s">
        <v>213</v>
      </c>
      <c r="K7" s="11" t="s">
        <v>176</v>
      </c>
      <c r="L7" s="11" t="s">
        <v>38</v>
      </c>
      <c r="M7" s="11" t="s">
        <v>38</v>
      </c>
      <c r="N7" s="11" t="s">
        <v>38</v>
      </c>
      <c r="O7" s="11" t="s">
        <v>38</v>
      </c>
      <c r="P7" t="s">
        <v>9</v>
      </c>
      <c r="Q7">
        <v>123</v>
      </c>
      <c r="R7">
        <v>0</v>
      </c>
      <c r="S7">
        <v>0</v>
      </c>
      <c r="T7" t="str">
        <f t="shared" si="0"/>
        <v>-</v>
      </c>
      <c r="U7" t="str">
        <f t="shared" si="1"/>
        <v>-</v>
      </c>
      <c r="V7" t="str">
        <f t="shared" si="2"/>
        <v>-</v>
      </c>
      <c r="W7" t="str">
        <f t="shared" si="3"/>
        <v>-</v>
      </c>
      <c r="X7" t="str">
        <f t="shared" si="4"/>
        <v>-</v>
      </c>
      <c r="Y7" t="str">
        <f t="shared" si="5"/>
        <v>-</v>
      </c>
      <c r="Z7" t="str">
        <f t="shared" si="6"/>
        <v>-</v>
      </c>
      <c r="AA7" t="str">
        <f t="shared" si="7"/>
        <v>-</v>
      </c>
      <c r="AB7" t="str">
        <f>IF(_xlfn.IFNA(VLOOKUP(P7,Set_Ref!$B$6:$B$1048576,1,FALSE),"")&lt;&gt;"","-",FALSE)</f>
        <v>-</v>
      </c>
      <c r="AC7" t="str">
        <f t="shared" si="8"/>
        <v>-</v>
      </c>
      <c r="AD7" t="str">
        <f t="shared" si="9"/>
        <v>-</v>
      </c>
      <c r="AE7" t="b">
        <f t="shared" si="10"/>
        <v>1</v>
      </c>
    </row>
    <row r="8" spans="1:31" x14ac:dyDescent="0.25">
      <c r="A8">
        <v>3</v>
      </c>
      <c r="B8">
        <v>2</v>
      </c>
      <c r="C8">
        <v>261</v>
      </c>
      <c r="D8" s="11" t="s">
        <v>145</v>
      </c>
      <c r="E8" s="11" t="s">
        <v>242</v>
      </c>
      <c r="F8" s="11" t="s">
        <v>206</v>
      </c>
      <c r="G8" s="11" t="s">
        <v>255</v>
      </c>
      <c r="H8">
        <v>5</v>
      </c>
      <c r="I8" s="11" t="s">
        <v>229</v>
      </c>
      <c r="J8" s="11" t="s">
        <v>213</v>
      </c>
      <c r="K8" s="11" t="s">
        <v>176</v>
      </c>
      <c r="L8" s="11" t="s">
        <v>38</v>
      </c>
      <c r="M8" s="11" t="s">
        <v>38</v>
      </c>
      <c r="N8" s="11" t="s">
        <v>38</v>
      </c>
      <c r="O8" s="11" t="s">
        <v>38</v>
      </c>
      <c r="P8" t="s">
        <v>9</v>
      </c>
      <c r="Q8">
        <v>4</v>
      </c>
      <c r="R8">
        <v>0</v>
      </c>
      <c r="S8">
        <v>0</v>
      </c>
      <c r="T8" t="str">
        <f t="shared" si="0"/>
        <v>-</v>
      </c>
      <c r="U8" t="str">
        <f t="shared" si="1"/>
        <v>-</v>
      </c>
      <c r="V8" t="str">
        <f t="shared" si="2"/>
        <v>-</v>
      </c>
      <c r="W8" t="str">
        <f t="shared" si="3"/>
        <v>-</v>
      </c>
      <c r="X8" t="str">
        <f t="shared" si="4"/>
        <v>-</v>
      </c>
      <c r="Y8" t="str">
        <f t="shared" si="5"/>
        <v>-</v>
      </c>
      <c r="Z8" t="str">
        <f t="shared" si="6"/>
        <v>-</v>
      </c>
      <c r="AA8" t="str">
        <f t="shared" si="7"/>
        <v>-</v>
      </c>
      <c r="AB8" t="str">
        <f>IF(_xlfn.IFNA(VLOOKUP(P8,Set_Ref!$B$6:$B$1048576,1,FALSE),"")&lt;&gt;"","-",FALSE)</f>
        <v>-</v>
      </c>
      <c r="AC8" t="str">
        <f t="shared" si="8"/>
        <v>-</v>
      </c>
      <c r="AD8" t="str">
        <f t="shared" si="9"/>
        <v>-</v>
      </c>
      <c r="AE8" t="b">
        <f t="shared" si="10"/>
        <v>1</v>
      </c>
    </row>
    <row r="9" spans="1:31" x14ac:dyDescent="0.25">
      <c r="A9">
        <v>3</v>
      </c>
      <c r="B9">
        <v>3</v>
      </c>
      <c r="C9">
        <v>261</v>
      </c>
      <c r="D9" s="11" t="s">
        <v>145</v>
      </c>
      <c r="E9" s="11" t="s">
        <v>240</v>
      </c>
      <c r="F9" s="11" t="s">
        <v>207</v>
      </c>
      <c r="G9" s="11" t="s">
        <v>253</v>
      </c>
      <c r="H9">
        <v>16</v>
      </c>
      <c r="I9" s="11" t="s">
        <v>229</v>
      </c>
      <c r="J9" s="11" t="s">
        <v>213</v>
      </c>
      <c r="K9" s="11" t="s">
        <v>176</v>
      </c>
      <c r="L9" s="11" t="s">
        <v>38</v>
      </c>
      <c r="M9" s="11" t="s">
        <v>38</v>
      </c>
      <c r="N9" s="11" t="s">
        <v>38</v>
      </c>
      <c r="O9" s="11" t="s">
        <v>38</v>
      </c>
      <c r="P9" t="s">
        <v>9</v>
      </c>
      <c r="Q9">
        <v>127</v>
      </c>
      <c r="R9">
        <v>0</v>
      </c>
      <c r="S9">
        <v>0</v>
      </c>
      <c r="T9" t="str">
        <f t="shared" si="0"/>
        <v>-</v>
      </c>
      <c r="U9" t="str">
        <f t="shared" si="1"/>
        <v>-</v>
      </c>
      <c r="V9" t="str">
        <f t="shared" si="2"/>
        <v>-</v>
      </c>
      <c r="W9" t="str">
        <f t="shared" si="3"/>
        <v>-</v>
      </c>
      <c r="X9" t="str">
        <f t="shared" si="4"/>
        <v>-</v>
      </c>
      <c r="Y9" t="str">
        <f t="shared" si="5"/>
        <v>-</v>
      </c>
      <c r="Z9" t="str">
        <f t="shared" si="6"/>
        <v>-</v>
      </c>
      <c r="AA9" t="str">
        <f t="shared" si="7"/>
        <v>-</v>
      </c>
      <c r="AB9" t="str">
        <f>IF(_xlfn.IFNA(VLOOKUP(P9,Set_Ref!$B$6:$B$1048576,1,FALSE),"")&lt;&gt;"","-",FALSE)</f>
        <v>-</v>
      </c>
      <c r="AC9" t="str">
        <f t="shared" si="8"/>
        <v>-</v>
      </c>
      <c r="AD9" t="str">
        <f t="shared" si="9"/>
        <v>-</v>
      </c>
      <c r="AE9" t="b">
        <f t="shared" si="10"/>
        <v>1</v>
      </c>
    </row>
    <row r="10" spans="1:31" x14ac:dyDescent="0.25">
      <c r="A10">
        <v>4</v>
      </c>
      <c r="B10">
        <v>1</v>
      </c>
      <c r="C10">
        <v>261</v>
      </c>
      <c r="D10" s="11" t="s">
        <v>145</v>
      </c>
      <c r="E10" s="11" t="s">
        <v>239</v>
      </c>
      <c r="F10" s="11" t="s">
        <v>199</v>
      </c>
      <c r="G10" s="11" t="s">
        <v>252</v>
      </c>
      <c r="H10">
        <v>2</v>
      </c>
      <c r="I10" s="11" t="s">
        <v>230</v>
      </c>
      <c r="J10" s="11" t="s">
        <v>256</v>
      </c>
      <c r="K10" s="11" t="s">
        <v>178</v>
      </c>
      <c r="L10" s="11" t="s">
        <v>38</v>
      </c>
      <c r="M10" s="11" t="s">
        <v>38</v>
      </c>
      <c r="N10" s="11" t="s">
        <v>38</v>
      </c>
      <c r="O10" s="11" t="s">
        <v>38</v>
      </c>
      <c r="P10" t="s">
        <v>9</v>
      </c>
      <c r="Q10">
        <v>566.29999999999995</v>
      </c>
      <c r="R10">
        <v>0</v>
      </c>
      <c r="S10">
        <v>0</v>
      </c>
      <c r="T10" t="str">
        <f t="shared" si="0"/>
        <v>-</v>
      </c>
      <c r="U10" t="str">
        <f t="shared" si="1"/>
        <v>-</v>
      </c>
      <c r="V10" t="str">
        <f t="shared" si="2"/>
        <v>-</v>
      </c>
      <c r="W10" t="str">
        <f t="shared" si="3"/>
        <v>-</v>
      </c>
      <c r="X10" t="str">
        <f t="shared" si="4"/>
        <v>-</v>
      </c>
      <c r="Y10" t="str">
        <f t="shared" si="5"/>
        <v>-</v>
      </c>
      <c r="Z10" t="str">
        <f t="shared" si="6"/>
        <v>-</v>
      </c>
      <c r="AA10" t="str">
        <f t="shared" si="7"/>
        <v>-</v>
      </c>
      <c r="AB10" t="str">
        <f>IF(_xlfn.IFNA(VLOOKUP(P10,Set_Ref!$B$6:$B$1048576,1,FALSE),"")&lt;&gt;"","-",FALSE)</f>
        <v>-</v>
      </c>
      <c r="AC10" t="str">
        <f t="shared" si="8"/>
        <v>-</v>
      </c>
      <c r="AD10" t="str">
        <f t="shared" si="9"/>
        <v>-</v>
      </c>
      <c r="AE10" t="b">
        <f t="shared" si="10"/>
        <v>1</v>
      </c>
    </row>
    <row r="11" spans="1:31" x14ac:dyDescent="0.25">
      <c r="A11">
        <v>4</v>
      </c>
      <c r="B11">
        <v>2</v>
      </c>
      <c r="C11">
        <v>261</v>
      </c>
      <c r="D11" s="11" t="s">
        <v>145</v>
      </c>
      <c r="E11" s="11" t="s">
        <v>239</v>
      </c>
      <c r="F11" s="11" t="s">
        <v>199</v>
      </c>
      <c r="G11" s="11" t="s">
        <v>252</v>
      </c>
      <c r="H11">
        <v>2</v>
      </c>
      <c r="I11" s="11" t="s">
        <v>230</v>
      </c>
      <c r="J11" s="11" t="s">
        <v>256</v>
      </c>
      <c r="K11" s="11" t="s">
        <v>178</v>
      </c>
      <c r="L11" s="11" t="s">
        <v>38</v>
      </c>
      <c r="M11" s="11" t="s">
        <v>38</v>
      </c>
      <c r="N11" s="11" t="s">
        <v>38</v>
      </c>
      <c r="O11" s="11" t="s">
        <v>38</v>
      </c>
      <c r="P11" t="s">
        <v>9</v>
      </c>
      <c r="Q11">
        <v>4841.8</v>
      </c>
      <c r="R11">
        <v>0</v>
      </c>
      <c r="S11">
        <v>0</v>
      </c>
      <c r="T11" t="str">
        <f t="shared" si="0"/>
        <v>-</v>
      </c>
      <c r="U11" t="str">
        <f t="shared" si="1"/>
        <v>-</v>
      </c>
      <c r="V11" t="str">
        <f t="shared" si="2"/>
        <v>-</v>
      </c>
      <c r="W11" t="str">
        <f t="shared" si="3"/>
        <v>-</v>
      </c>
      <c r="X11" t="str">
        <f t="shared" si="4"/>
        <v>-</v>
      </c>
      <c r="Y11" t="str">
        <f t="shared" si="5"/>
        <v>-</v>
      </c>
      <c r="Z11" t="str">
        <f t="shared" si="6"/>
        <v>-</v>
      </c>
      <c r="AA11" t="str">
        <f t="shared" si="7"/>
        <v>-</v>
      </c>
      <c r="AB11" t="str">
        <f>IF(_xlfn.IFNA(VLOOKUP(P11,Set_Ref!$B$6:$B$1048576,1,FALSE),"")&lt;&gt;"","-",FALSE)</f>
        <v>-</v>
      </c>
      <c r="AC11" t="str">
        <f t="shared" si="8"/>
        <v>-</v>
      </c>
      <c r="AD11" t="str">
        <f t="shared" si="9"/>
        <v>-</v>
      </c>
      <c r="AE11" t="b">
        <f t="shared" si="10"/>
        <v>1</v>
      </c>
    </row>
    <row r="12" spans="1:31" x14ac:dyDescent="0.25">
      <c r="A12">
        <v>4</v>
      </c>
      <c r="B12">
        <v>3</v>
      </c>
      <c r="C12">
        <v>261</v>
      </c>
      <c r="D12" s="11" t="s">
        <v>145</v>
      </c>
      <c r="E12" s="11" t="s">
        <v>243</v>
      </c>
      <c r="F12" s="11" t="s">
        <v>200</v>
      </c>
      <c r="G12" s="11" t="s">
        <v>257</v>
      </c>
      <c r="H12">
        <v>1</v>
      </c>
      <c r="I12" s="11" t="s">
        <v>230</v>
      </c>
      <c r="J12" s="11" t="s">
        <v>214</v>
      </c>
      <c r="K12" s="11" t="s">
        <v>178</v>
      </c>
      <c r="L12" s="11" t="s">
        <v>38</v>
      </c>
      <c r="M12" s="11" t="s">
        <v>38</v>
      </c>
      <c r="N12" s="11" t="s">
        <v>38</v>
      </c>
      <c r="O12" s="11" t="s">
        <v>38</v>
      </c>
      <c r="P12" t="s">
        <v>9</v>
      </c>
      <c r="Q12">
        <v>472.6</v>
      </c>
      <c r="R12">
        <v>0</v>
      </c>
      <c r="S12">
        <v>0</v>
      </c>
      <c r="T12" t="str">
        <f t="shared" si="0"/>
        <v>-</v>
      </c>
      <c r="U12" t="str">
        <f t="shared" si="1"/>
        <v>-</v>
      </c>
      <c r="V12" t="str">
        <f t="shared" si="2"/>
        <v>-</v>
      </c>
      <c r="W12" t="str">
        <f t="shared" si="3"/>
        <v>-</v>
      </c>
      <c r="X12" t="str">
        <f t="shared" si="4"/>
        <v>-</v>
      </c>
      <c r="Y12" t="str">
        <f t="shared" si="5"/>
        <v>-</v>
      </c>
      <c r="Z12" t="str">
        <f t="shared" si="6"/>
        <v>-</v>
      </c>
      <c r="AA12" t="str">
        <f t="shared" si="7"/>
        <v>-</v>
      </c>
      <c r="AB12" t="str">
        <f>IF(_xlfn.IFNA(VLOOKUP(P12,Set_Ref!$B$6:$B$1048576,1,FALSE),"")&lt;&gt;"","-",FALSE)</f>
        <v>-</v>
      </c>
      <c r="AC12" t="str">
        <f t="shared" si="8"/>
        <v>-</v>
      </c>
      <c r="AD12" t="str">
        <f t="shared" si="9"/>
        <v>-</v>
      </c>
      <c r="AE12" t="b">
        <f t="shared" si="10"/>
        <v>1</v>
      </c>
    </row>
    <row r="13" spans="1:31" x14ac:dyDescent="0.25">
      <c r="A13">
        <v>4</v>
      </c>
      <c r="B13">
        <v>4</v>
      </c>
      <c r="C13">
        <v>261</v>
      </c>
      <c r="D13" s="11" t="s">
        <v>145</v>
      </c>
      <c r="E13" s="11" t="s">
        <v>240</v>
      </c>
      <c r="F13" s="11" t="s">
        <v>207</v>
      </c>
      <c r="G13" s="11" t="s">
        <v>253</v>
      </c>
      <c r="H13">
        <v>17</v>
      </c>
      <c r="I13" s="11" t="s">
        <v>230</v>
      </c>
      <c r="J13" s="11" t="s">
        <v>177</v>
      </c>
      <c r="K13" s="11" t="s">
        <v>178</v>
      </c>
      <c r="L13" s="11" t="s">
        <v>38</v>
      </c>
      <c r="M13" s="11" t="s">
        <v>38</v>
      </c>
      <c r="N13" s="11" t="s">
        <v>38</v>
      </c>
      <c r="O13" s="11" t="s">
        <v>38</v>
      </c>
      <c r="P13" t="s">
        <v>9</v>
      </c>
      <c r="Q13">
        <v>4589.3999999999996</v>
      </c>
      <c r="R13">
        <v>0</v>
      </c>
      <c r="S13">
        <v>0</v>
      </c>
      <c r="T13" t="str">
        <f t="shared" si="0"/>
        <v>-</v>
      </c>
      <c r="U13" t="str">
        <f t="shared" si="1"/>
        <v>-</v>
      </c>
      <c r="V13" t="str">
        <f t="shared" si="2"/>
        <v>-</v>
      </c>
      <c r="W13" t="str">
        <f t="shared" si="3"/>
        <v>-</v>
      </c>
      <c r="X13" t="str">
        <f t="shared" si="4"/>
        <v>-</v>
      </c>
      <c r="Y13" t="str">
        <f t="shared" si="5"/>
        <v>-</v>
      </c>
      <c r="Z13" t="str">
        <f t="shared" si="6"/>
        <v>-</v>
      </c>
      <c r="AA13" t="str">
        <f t="shared" si="7"/>
        <v>-</v>
      </c>
      <c r="AB13" t="str">
        <f>IF(_xlfn.IFNA(VLOOKUP(P13,Set_Ref!$B$6:$B$1048576,1,FALSE),"")&lt;&gt;"","-",FALSE)</f>
        <v>-</v>
      </c>
      <c r="AC13" t="str">
        <f t="shared" si="8"/>
        <v>-</v>
      </c>
      <c r="AD13" t="str">
        <f t="shared" si="9"/>
        <v>-</v>
      </c>
      <c r="AE13" t="b">
        <f t="shared" si="10"/>
        <v>1</v>
      </c>
    </row>
    <row r="14" spans="1:31" x14ac:dyDescent="0.25">
      <c r="A14">
        <v>4</v>
      </c>
      <c r="B14">
        <v>5</v>
      </c>
      <c r="C14">
        <v>261</v>
      </c>
      <c r="D14" s="11" t="s">
        <v>145</v>
      </c>
      <c r="E14" s="11" t="s">
        <v>240</v>
      </c>
      <c r="F14" s="11" t="s">
        <v>207</v>
      </c>
      <c r="G14" s="11" t="s">
        <v>253</v>
      </c>
      <c r="H14">
        <v>17</v>
      </c>
      <c r="I14" s="11" t="s">
        <v>230</v>
      </c>
      <c r="J14" s="11" t="s">
        <v>177</v>
      </c>
      <c r="K14" s="11" t="s">
        <v>178</v>
      </c>
      <c r="L14" s="11" t="s">
        <v>38</v>
      </c>
      <c r="M14" s="11" t="s">
        <v>38</v>
      </c>
      <c r="N14" s="11" t="s">
        <v>38</v>
      </c>
      <c r="O14" s="11" t="s">
        <v>38</v>
      </c>
      <c r="P14" t="s">
        <v>9</v>
      </c>
      <c r="Q14">
        <v>566.29999999999995</v>
      </c>
      <c r="R14">
        <v>0</v>
      </c>
      <c r="S14">
        <v>0</v>
      </c>
      <c r="T14" t="str">
        <f t="shared" si="0"/>
        <v>-</v>
      </c>
      <c r="U14" t="str">
        <f t="shared" si="1"/>
        <v>-</v>
      </c>
      <c r="V14" t="str">
        <f t="shared" si="2"/>
        <v>-</v>
      </c>
      <c r="W14" t="str">
        <f t="shared" si="3"/>
        <v>-</v>
      </c>
      <c r="X14" t="str">
        <f t="shared" si="4"/>
        <v>-</v>
      </c>
      <c r="Y14" t="str">
        <f t="shared" si="5"/>
        <v>-</v>
      </c>
      <c r="Z14" t="str">
        <f t="shared" si="6"/>
        <v>-</v>
      </c>
      <c r="AA14" t="str">
        <f t="shared" si="7"/>
        <v>-</v>
      </c>
      <c r="AB14" t="str">
        <f>IF(_xlfn.IFNA(VLOOKUP(P14,Set_Ref!$B$6:$B$1048576,1,FALSE),"")&lt;&gt;"","-",FALSE)</f>
        <v>-</v>
      </c>
      <c r="AC14" t="str">
        <f t="shared" si="8"/>
        <v>-</v>
      </c>
      <c r="AD14" t="str">
        <f t="shared" si="9"/>
        <v>-</v>
      </c>
      <c r="AE14" t="b">
        <f t="shared" si="10"/>
        <v>1</v>
      </c>
    </row>
    <row r="15" spans="1:31" x14ac:dyDescent="0.25">
      <c r="A15">
        <v>4</v>
      </c>
      <c r="B15">
        <v>6</v>
      </c>
      <c r="C15">
        <v>261</v>
      </c>
      <c r="D15" s="11" t="s">
        <v>145</v>
      </c>
      <c r="E15" s="11" t="s">
        <v>239</v>
      </c>
      <c r="F15" s="11" t="s">
        <v>199</v>
      </c>
      <c r="G15" s="11" t="s">
        <v>252</v>
      </c>
      <c r="H15">
        <v>2</v>
      </c>
      <c r="I15" s="11" t="s">
        <v>230</v>
      </c>
      <c r="J15" s="11" t="s">
        <v>256</v>
      </c>
      <c r="K15" s="11" t="s">
        <v>178</v>
      </c>
      <c r="L15" s="11" t="s">
        <v>38</v>
      </c>
      <c r="M15" s="11" t="s">
        <v>38</v>
      </c>
      <c r="N15" s="11" t="s">
        <v>38</v>
      </c>
      <c r="O15" s="11" t="s">
        <v>38</v>
      </c>
      <c r="P15" t="s">
        <v>9</v>
      </c>
      <c r="Q15">
        <v>4841.8</v>
      </c>
      <c r="R15">
        <v>0</v>
      </c>
      <c r="S15">
        <v>0</v>
      </c>
      <c r="T15" t="str">
        <f t="shared" si="0"/>
        <v>-</v>
      </c>
      <c r="U15" t="str">
        <f t="shared" si="1"/>
        <v>-</v>
      </c>
      <c r="V15" t="str">
        <f t="shared" si="2"/>
        <v>-</v>
      </c>
      <c r="W15" t="str">
        <f t="shared" si="3"/>
        <v>-</v>
      </c>
      <c r="X15" t="str">
        <f t="shared" si="4"/>
        <v>-</v>
      </c>
      <c r="Y15" t="str">
        <f t="shared" si="5"/>
        <v>-</v>
      </c>
      <c r="Z15" t="str">
        <f t="shared" si="6"/>
        <v>-</v>
      </c>
      <c r="AA15" t="str">
        <f t="shared" si="7"/>
        <v>-</v>
      </c>
      <c r="AB15" t="str">
        <f>IF(_xlfn.IFNA(VLOOKUP(P15,Set_Ref!$B$6:$B$1048576,1,FALSE),"")&lt;&gt;"","-",FALSE)</f>
        <v>-</v>
      </c>
      <c r="AC15" t="str">
        <f t="shared" si="8"/>
        <v>-</v>
      </c>
      <c r="AD15" t="str">
        <f t="shared" si="9"/>
        <v>-</v>
      </c>
      <c r="AE15" t="b">
        <f t="shared" si="10"/>
        <v>1</v>
      </c>
    </row>
    <row r="16" spans="1:31" x14ac:dyDescent="0.25">
      <c r="A16">
        <v>4</v>
      </c>
      <c r="B16">
        <v>7</v>
      </c>
      <c r="C16">
        <v>261</v>
      </c>
      <c r="D16" s="11" t="s">
        <v>145</v>
      </c>
      <c r="E16" s="11" t="s">
        <v>243</v>
      </c>
      <c r="F16" s="11" t="s">
        <v>200</v>
      </c>
      <c r="G16" s="11" t="s">
        <v>257</v>
      </c>
      <c r="H16">
        <v>1</v>
      </c>
      <c r="I16" s="11" t="s">
        <v>230</v>
      </c>
      <c r="J16" s="11" t="s">
        <v>214</v>
      </c>
      <c r="K16" s="11" t="s">
        <v>178</v>
      </c>
      <c r="L16" s="11" t="s">
        <v>38</v>
      </c>
      <c r="M16" s="11" t="s">
        <v>38</v>
      </c>
      <c r="N16" s="11" t="s">
        <v>38</v>
      </c>
      <c r="O16" s="11" t="s">
        <v>38</v>
      </c>
      <c r="P16" t="s">
        <v>9</v>
      </c>
      <c r="Q16">
        <v>472.6</v>
      </c>
      <c r="R16">
        <v>0</v>
      </c>
      <c r="S16">
        <v>0</v>
      </c>
      <c r="T16" t="str">
        <f t="shared" si="0"/>
        <v>-</v>
      </c>
      <c r="U16" t="str">
        <f t="shared" si="1"/>
        <v>-</v>
      </c>
      <c r="V16" t="str">
        <f t="shared" si="2"/>
        <v>-</v>
      </c>
      <c r="W16" t="str">
        <f t="shared" si="3"/>
        <v>-</v>
      </c>
      <c r="X16" t="str">
        <f t="shared" si="4"/>
        <v>-</v>
      </c>
      <c r="Y16" t="str">
        <f t="shared" si="5"/>
        <v>-</v>
      </c>
      <c r="Z16" t="str">
        <f t="shared" si="6"/>
        <v>-</v>
      </c>
      <c r="AA16" t="str">
        <f t="shared" si="7"/>
        <v>-</v>
      </c>
      <c r="AB16" t="str">
        <f>IF(_xlfn.IFNA(VLOOKUP(P16,Set_Ref!$B$6:$B$1048576,1,FALSE),"")&lt;&gt;"","-",FALSE)</f>
        <v>-</v>
      </c>
      <c r="AC16" t="str">
        <f t="shared" si="8"/>
        <v>-</v>
      </c>
      <c r="AD16" t="str">
        <f t="shared" si="9"/>
        <v>-</v>
      </c>
      <c r="AE16" t="b">
        <f t="shared" si="10"/>
        <v>1</v>
      </c>
    </row>
    <row r="17" spans="1:31" x14ac:dyDescent="0.25">
      <c r="A17">
        <v>4</v>
      </c>
      <c r="B17">
        <v>8</v>
      </c>
      <c r="C17">
        <v>261</v>
      </c>
      <c r="D17" s="11" t="s">
        <v>145</v>
      </c>
      <c r="E17" s="11" t="s">
        <v>240</v>
      </c>
      <c r="F17" s="11" t="s">
        <v>207</v>
      </c>
      <c r="G17" s="11" t="s">
        <v>253</v>
      </c>
      <c r="H17">
        <v>17</v>
      </c>
      <c r="I17" s="11" t="s">
        <v>230</v>
      </c>
      <c r="J17" s="11" t="s">
        <v>177</v>
      </c>
      <c r="K17" s="11" t="s">
        <v>178</v>
      </c>
      <c r="L17" s="11" t="s">
        <v>38</v>
      </c>
      <c r="M17" s="11" t="s">
        <v>38</v>
      </c>
      <c r="N17" s="11" t="s">
        <v>38</v>
      </c>
      <c r="O17" s="11" t="s">
        <v>38</v>
      </c>
      <c r="P17" t="s">
        <v>9</v>
      </c>
      <c r="Q17">
        <v>4589.3999999999996</v>
      </c>
      <c r="R17">
        <v>0</v>
      </c>
      <c r="S17">
        <v>0</v>
      </c>
      <c r="T17" t="str">
        <f t="shared" si="0"/>
        <v>-</v>
      </c>
      <c r="U17" t="str">
        <f t="shared" si="1"/>
        <v>-</v>
      </c>
      <c r="V17" t="str">
        <f t="shared" si="2"/>
        <v>-</v>
      </c>
      <c r="W17" t="str">
        <f t="shared" si="3"/>
        <v>-</v>
      </c>
      <c r="X17" t="str">
        <f t="shared" si="4"/>
        <v>-</v>
      </c>
      <c r="Y17" t="str">
        <f t="shared" si="5"/>
        <v>-</v>
      </c>
      <c r="Z17" t="str">
        <f t="shared" si="6"/>
        <v>-</v>
      </c>
      <c r="AA17" t="str">
        <f t="shared" si="7"/>
        <v>-</v>
      </c>
      <c r="AB17" t="str">
        <f>IF(_xlfn.IFNA(VLOOKUP(P17,Set_Ref!$B$6:$B$1048576,1,FALSE),"")&lt;&gt;"","-",FALSE)</f>
        <v>-</v>
      </c>
      <c r="AC17" t="str">
        <f t="shared" si="8"/>
        <v>-</v>
      </c>
      <c r="AD17" t="str">
        <f t="shared" si="9"/>
        <v>-</v>
      </c>
      <c r="AE17" t="b">
        <f t="shared" si="10"/>
        <v>1</v>
      </c>
    </row>
    <row r="18" spans="1:31" x14ac:dyDescent="0.25">
      <c r="A18">
        <v>5</v>
      </c>
      <c r="B18">
        <v>1</v>
      </c>
      <c r="C18">
        <v>261</v>
      </c>
      <c r="D18" s="11" t="s">
        <v>145</v>
      </c>
      <c r="E18" s="11" t="s">
        <v>241</v>
      </c>
      <c r="F18" s="11" t="s">
        <v>198</v>
      </c>
      <c r="G18" s="11" t="s">
        <v>254</v>
      </c>
      <c r="H18">
        <v>2</v>
      </c>
      <c r="I18" s="11" t="s">
        <v>231</v>
      </c>
      <c r="J18" s="11" t="s">
        <v>215</v>
      </c>
      <c r="K18" s="11" t="s">
        <v>179</v>
      </c>
      <c r="L18" s="11" t="s">
        <v>38</v>
      </c>
      <c r="M18" s="11" t="s">
        <v>38</v>
      </c>
      <c r="N18" s="11" t="s">
        <v>38</v>
      </c>
      <c r="O18" s="11" t="s">
        <v>38</v>
      </c>
      <c r="P18" t="s">
        <v>7</v>
      </c>
      <c r="Q18">
        <v>987</v>
      </c>
      <c r="R18">
        <v>0</v>
      </c>
      <c r="S18">
        <v>0</v>
      </c>
      <c r="T18" t="str">
        <f t="shared" si="0"/>
        <v>-</v>
      </c>
      <c r="U18" t="str">
        <f t="shared" si="1"/>
        <v>-</v>
      </c>
      <c r="V18" t="str">
        <f t="shared" si="2"/>
        <v>-</v>
      </c>
      <c r="W18" t="str">
        <f t="shared" si="3"/>
        <v>-</v>
      </c>
      <c r="X18" t="str">
        <f t="shared" si="4"/>
        <v>-</v>
      </c>
      <c r="Y18" t="str">
        <f t="shared" si="5"/>
        <v>-</v>
      </c>
      <c r="Z18" t="str">
        <f t="shared" si="6"/>
        <v>-</v>
      </c>
      <c r="AA18" t="str">
        <f t="shared" si="7"/>
        <v>-</v>
      </c>
      <c r="AB18" t="str">
        <f>IF(_xlfn.IFNA(VLOOKUP(P18,Set_Ref!$B$6:$B$1048576,1,FALSE),"")&lt;&gt;"","-",FALSE)</f>
        <v>-</v>
      </c>
      <c r="AC18" t="str">
        <f t="shared" si="8"/>
        <v>-</v>
      </c>
      <c r="AD18" t="str">
        <f t="shared" si="9"/>
        <v>-</v>
      </c>
      <c r="AE18" t="b">
        <f t="shared" si="10"/>
        <v>1</v>
      </c>
    </row>
    <row r="19" spans="1:31" x14ac:dyDescent="0.25">
      <c r="A19">
        <v>5</v>
      </c>
      <c r="B19">
        <v>2</v>
      </c>
      <c r="C19">
        <v>261</v>
      </c>
      <c r="D19" s="11" t="s">
        <v>145</v>
      </c>
      <c r="E19" s="11" t="s">
        <v>244</v>
      </c>
      <c r="F19" s="11" t="s">
        <v>204</v>
      </c>
      <c r="G19" s="11" t="s">
        <v>258</v>
      </c>
      <c r="H19">
        <v>3</v>
      </c>
      <c r="I19" s="11" t="s">
        <v>231</v>
      </c>
      <c r="J19" s="11" t="s">
        <v>215</v>
      </c>
      <c r="K19" s="11" t="s">
        <v>179</v>
      </c>
      <c r="L19" s="11" t="s">
        <v>38</v>
      </c>
      <c r="M19" s="11" t="s">
        <v>38</v>
      </c>
      <c r="N19" s="11" t="s">
        <v>38</v>
      </c>
      <c r="O19" s="11" t="s">
        <v>38</v>
      </c>
      <c r="P19" t="s">
        <v>7</v>
      </c>
      <c r="Q19">
        <v>30</v>
      </c>
      <c r="R19">
        <v>0</v>
      </c>
      <c r="S19">
        <v>0</v>
      </c>
      <c r="T19" t="str">
        <f t="shared" si="0"/>
        <v>-</v>
      </c>
      <c r="U19" t="str">
        <f t="shared" si="1"/>
        <v>-</v>
      </c>
      <c r="V19" t="str">
        <f t="shared" si="2"/>
        <v>-</v>
      </c>
      <c r="W19" t="str">
        <f t="shared" si="3"/>
        <v>-</v>
      </c>
      <c r="X19" t="str">
        <f t="shared" si="4"/>
        <v>-</v>
      </c>
      <c r="Y19" t="str">
        <f t="shared" si="5"/>
        <v>-</v>
      </c>
      <c r="Z19" t="str">
        <f t="shared" si="6"/>
        <v>-</v>
      </c>
      <c r="AA19" t="str">
        <f t="shared" si="7"/>
        <v>-</v>
      </c>
      <c r="AB19" t="str">
        <f>IF(_xlfn.IFNA(VLOOKUP(P19,Set_Ref!$B$6:$B$1048576,1,FALSE),"")&lt;&gt;"","-",FALSE)</f>
        <v>-</v>
      </c>
      <c r="AC19" t="str">
        <f t="shared" si="8"/>
        <v>-</v>
      </c>
      <c r="AD19" t="str">
        <f t="shared" si="9"/>
        <v>-</v>
      </c>
      <c r="AE19" t="b">
        <f t="shared" si="10"/>
        <v>1</v>
      </c>
    </row>
    <row r="20" spans="1:31" x14ac:dyDescent="0.25">
      <c r="A20">
        <v>5</v>
      </c>
      <c r="B20">
        <v>3</v>
      </c>
      <c r="C20">
        <v>261</v>
      </c>
      <c r="D20" s="11" t="s">
        <v>145</v>
      </c>
      <c r="E20" s="11" t="s">
        <v>240</v>
      </c>
      <c r="F20" s="11" t="s">
        <v>207</v>
      </c>
      <c r="G20" s="11" t="s">
        <v>253</v>
      </c>
      <c r="H20">
        <v>19</v>
      </c>
      <c r="I20" s="11" t="s">
        <v>231</v>
      </c>
      <c r="J20" s="11" t="s">
        <v>215</v>
      </c>
      <c r="K20" s="11" t="s">
        <v>179</v>
      </c>
      <c r="L20" s="11" t="s">
        <v>38</v>
      </c>
      <c r="M20" s="11" t="s">
        <v>38</v>
      </c>
      <c r="N20" s="11" t="s">
        <v>38</v>
      </c>
      <c r="O20" s="11" t="s">
        <v>38</v>
      </c>
      <c r="P20" t="s">
        <v>7</v>
      </c>
      <c r="Q20">
        <v>738</v>
      </c>
      <c r="R20">
        <v>0</v>
      </c>
      <c r="S20">
        <v>0</v>
      </c>
      <c r="T20" t="str">
        <f t="shared" si="0"/>
        <v>-</v>
      </c>
      <c r="U20" t="str">
        <f t="shared" si="1"/>
        <v>-</v>
      </c>
      <c r="V20" t="str">
        <f t="shared" si="2"/>
        <v>-</v>
      </c>
      <c r="W20" t="str">
        <f t="shared" si="3"/>
        <v>-</v>
      </c>
      <c r="X20" t="str">
        <f t="shared" si="4"/>
        <v>-</v>
      </c>
      <c r="Y20" t="str">
        <f t="shared" si="5"/>
        <v>-</v>
      </c>
      <c r="Z20" t="str">
        <f t="shared" si="6"/>
        <v>-</v>
      </c>
      <c r="AA20" t="str">
        <f t="shared" si="7"/>
        <v>-</v>
      </c>
      <c r="AB20" t="str">
        <f>IF(_xlfn.IFNA(VLOOKUP(P20,Set_Ref!$B$6:$B$1048576,1,FALSE),"")&lt;&gt;"","-",FALSE)</f>
        <v>-</v>
      </c>
      <c r="AC20" t="str">
        <f t="shared" si="8"/>
        <v>-</v>
      </c>
      <c r="AD20" t="str">
        <f t="shared" si="9"/>
        <v>-</v>
      </c>
      <c r="AE20" t="b">
        <f t="shared" si="10"/>
        <v>1</v>
      </c>
    </row>
    <row r="21" spans="1:31" x14ac:dyDescent="0.25">
      <c r="A21">
        <v>6</v>
      </c>
      <c r="B21">
        <v>1</v>
      </c>
      <c r="C21">
        <v>261</v>
      </c>
      <c r="D21" s="11" t="s">
        <v>145</v>
      </c>
      <c r="E21" s="11" t="s">
        <v>241</v>
      </c>
      <c r="F21" s="11" t="s">
        <v>198</v>
      </c>
      <c r="G21" s="11" t="s">
        <v>254</v>
      </c>
      <c r="H21">
        <v>3</v>
      </c>
      <c r="I21" s="11" t="s">
        <v>232</v>
      </c>
      <c r="J21" s="11" t="s">
        <v>216</v>
      </c>
      <c r="K21" s="11" t="s">
        <v>180</v>
      </c>
      <c r="L21" s="11" t="s">
        <v>38</v>
      </c>
      <c r="M21" s="11" t="s">
        <v>38</v>
      </c>
      <c r="N21" s="11" t="s">
        <v>38</v>
      </c>
      <c r="O21" s="11" t="s">
        <v>38</v>
      </c>
      <c r="P21" t="s">
        <v>9</v>
      </c>
      <c r="Q21">
        <v>15.4</v>
      </c>
      <c r="R21">
        <v>0</v>
      </c>
      <c r="S21">
        <v>0</v>
      </c>
      <c r="T21" t="str">
        <f t="shared" si="0"/>
        <v>-</v>
      </c>
      <c r="U21" t="str">
        <f t="shared" si="1"/>
        <v>-</v>
      </c>
      <c r="V21" t="str">
        <f t="shared" si="2"/>
        <v>-</v>
      </c>
      <c r="W21" t="str">
        <f t="shared" si="3"/>
        <v>-</v>
      </c>
      <c r="X21" t="str">
        <f t="shared" si="4"/>
        <v>-</v>
      </c>
      <c r="Y21" t="str">
        <f t="shared" si="5"/>
        <v>-</v>
      </c>
      <c r="Z21" t="str">
        <f t="shared" si="6"/>
        <v>-</v>
      </c>
      <c r="AA21" t="str">
        <f t="shared" si="7"/>
        <v>-</v>
      </c>
      <c r="AB21" t="str">
        <f>IF(_xlfn.IFNA(VLOOKUP(P21,Set_Ref!$B$6:$B$1048576,1,FALSE),"")&lt;&gt;"","-",FALSE)</f>
        <v>-</v>
      </c>
      <c r="AC21" t="str">
        <f t="shared" si="8"/>
        <v>-</v>
      </c>
      <c r="AD21" t="str">
        <f t="shared" si="9"/>
        <v>-</v>
      </c>
      <c r="AE21" t="b">
        <f t="shared" si="10"/>
        <v>1</v>
      </c>
    </row>
    <row r="22" spans="1:31" x14ac:dyDescent="0.25">
      <c r="A22">
        <v>6</v>
      </c>
      <c r="B22">
        <v>2</v>
      </c>
      <c r="C22">
        <v>261</v>
      </c>
      <c r="D22" s="11" t="s">
        <v>145</v>
      </c>
      <c r="E22" s="11" t="s">
        <v>240</v>
      </c>
      <c r="F22" s="11" t="s">
        <v>207</v>
      </c>
      <c r="G22" s="11" t="s">
        <v>253</v>
      </c>
      <c r="H22">
        <v>18</v>
      </c>
      <c r="I22" s="11" t="s">
        <v>232</v>
      </c>
      <c r="J22" s="11" t="s">
        <v>216</v>
      </c>
      <c r="K22" s="11" t="s">
        <v>180</v>
      </c>
      <c r="L22" s="11" t="s">
        <v>38</v>
      </c>
      <c r="M22" s="11" t="s">
        <v>38</v>
      </c>
      <c r="N22" s="11" t="s">
        <v>38</v>
      </c>
      <c r="O22" s="11" t="s">
        <v>38</v>
      </c>
      <c r="P22" t="s">
        <v>9</v>
      </c>
      <c r="Q22">
        <v>11.4</v>
      </c>
      <c r="R22">
        <v>0</v>
      </c>
      <c r="S22">
        <v>0</v>
      </c>
      <c r="T22" t="str">
        <f t="shared" si="0"/>
        <v>-</v>
      </c>
      <c r="U22" t="str">
        <f t="shared" si="1"/>
        <v>-</v>
      </c>
      <c r="V22" t="str">
        <f t="shared" si="2"/>
        <v>-</v>
      </c>
      <c r="W22" t="str">
        <f t="shared" si="3"/>
        <v>-</v>
      </c>
      <c r="X22" t="str">
        <f t="shared" si="4"/>
        <v>-</v>
      </c>
      <c r="Y22" t="str">
        <f t="shared" si="5"/>
        <v>-</v>
      </c>
      <c r="Z22" t="str">
        <f t="shared" si="6"/>
        <v>-</v>
      </c>
      <c r="AA22" t="str">
        <f t="shared" si="7"/>
        <v>-</v>
      </c>
      <c r="AB22" t="str">
        <f>IF(_xlfn.IFNA(VLOOKUP(P22,Set_Ref!$B$6:$B$1048576,1,FALSE),"")&lt;&gt;"","-",FALSE)</f>
        <v>-</v>
      </c>
      <c r="AC22" t="str">
        <f t="shared" si="8"/>
        <v>-</v>
      </c>
      <c r="AD22" t="str">
        <f t="shared" si="9"/>
        <v>-</v>
      </c>
      <c r="AE22" t="b">
        <f t="shared" si="10"/>
        <v>1</v>
      </c>
    </row>
    <row r="23" spans="1:31" x14ac:dyDescent="0.25">
      <c r="A23">
        <v>7</v>
      </c>
      <c r="B23">
        <v>1</v>
      </c>
      <c r="C23">
        <v>261</v>
      </c>
      <c r="D23" s="11" t="s">
        <v>145</v>
      </c>
      <c r="E23" s="11" t="s">
        <v>245</v>
      </c>
      <c r="F23" s="11" t="s">
        <v>197</v>
      </c>
      <c r="G23" s="11" t="s">
        <v>259</v>
      </c>
      <c r="H23">
        <v>1</v>
      </c>
      <c r="I23" s="11" t="s">
        <v>233</v>
      </c>
      <c r="J23" s="11" t="s">
        <v>217</v>
      </c>
      <c r="K23" s="11" t="s">
        <v>181</v>
      </c>
      <c r="L23" s="11" t="s">
        <v>38</v>
      </c>
      <c r="M23" s="11" t="s">
        <v>38</v>
      </c>
      <c r="N23" s="11" t="s">
        <v>38</v>
      </c>
      <c r="O23" s="11" t="s">
        <v>38</v>
      </c>
      <c r="P23" t="s">
        <v>37</v>
      </c>
      <c r="Q23">
        <v>29</v>
      </c>
      <c r="R23">
        <v>0</v>
      </c>
      <c r="S23">
        <v>0</v>
      </c>
      <c r="T23" t="str">
        <f t="shared" si="0"/>
        <v>-</v>
      </c>
      <c r="U23" t="str">
        <f t="shared" si="1"/>
        <v>-</v>
      </c>
      <c r="V23" t="str">
        <f t="shared" si="2"/>
        <v>-</v>
      </c>
      <c r="W23" t="str">
        <f t="shared" si="3"/>
        <v>-</v>
      </c>
      <c r="X23" t="str">
        <f t="shared" si="4"/>
        <v>-</v>
      </c>
      <c r="Y23" t="str">
        <f t="shared" si="5"/>
        <v>-</v>
      </c>
      <c r="Z23" t="str">
        <f t="shared" si="6"/>
        <v>-</v>
      </c>
      <c r="AA23" t="str">
        <f t="shared" si="7"/>
        <v>-</v>
      </c>
      <c r="AB23" t="str">
        <f>IF(_xlfn.IFNA(VLOOKUP(P23,Set_Ref!$B$6:$B$1048576,1,FALSE),"")&lt;&gt;"","-",FALSE)</f>
        <v>-</v>
      </c>
      <c r="AC23" t="str">
        <f t="shared" si="8"/>
        <v>-</v>
      </c>
      <c r="AD23" t="str">
        <f t="shared" si="9"/>
        <v>-</v>
      </c>
      <c r="AE23" t="b">
        <f t="shared" si="10"/>
        <v>1</v>
      </c>
    </row>
    <row r="24" spans="1:31" x14ac:dyDescent="0.25">
      <c r="A24">
        <v>7</v>
      </c>
      <c r="B24">
        <v>2</v>
      </c>
      <c r="C24">
        <v>261</v>
      </c>
      <c r="D24" s="11" t="s">
        <v>145</v>
      </c>
      <c r="E24" s="11" t="s">
        <v>240</v>
      </c>
      <c r="F24" s="11" t="s">
        <v>207</v>
      </c>
      <c r="G24" s="11" t="s">
        <v>253</v>
      </c>
      <c r="H24">
        <v>29</v>
      </c>
      <c r="I24" s="11" t="s">
        <v>233</v>
      </c>
      <c r="J24" s="11" t="s">
        <v>217</v>
      </c>
      <c r="K24" s="11" t="s">
        <v>181</v>
      </c>
      <c r="L24" s="11" t="s">
        <v>38</v>
      </c>
      <c r="M24" s="11" t="s">
        <v>38</v>
      </c>
      <c r="N24" s="11" t="s">
        <v>38</v>
      </c>
      <c r="O24" s="11" t="s">
        <v>38</v>
      </c>
      <c r="P24" t="s">
        <v>37</v>
      </c>
      <c r="Q24">
        <v>20</v>
      </c>
      <c r="R24">
        <v>0</v>
      </c>
      <c r="S24">
        <v>0</v>
      </c>
      <c r="T24" t="str">
        <f t="shared" si="0"/>
        <v>-</v>
      </c>
      <c r="U24" t="str">
        <f t="shared" si="1"/>
        <v>-</v>
      </c>
      <c r="V24" t="str">
        <f t="shared" si="2"/>
        <v>-</v>
      </c>
      <c r="W24" t="str">
        <f t="shared" si="3"/>
        <v>-</v>
      </c>
      <c r="X24" t="str">
        <f t="shared" si="4"/>
        <v>-</v>
      </c>
      <c r="Y24" t="str">
        <f t="shared" si="5"/>
        <v>-</v>
      </c>
      <c r="Z24" t="str">
        <f t="shared" si="6"/>
        <v>-</v>
      </c>
      <c r="AA24" t="str">
        <f t="shared" si="7"/>
        <v>-</v>
      </c>
      <c r="AB24" t="str">
        <f>IF(_xlfn.IFNA(VLOOKUP(P24,Set_Ref!$B$6:$B$1048576,1,FALSE),"")&lt;&gt;"","-",FALSE)</f>
        <v>-</v>
      </c>
      <c r="AC24" t="str">
        <f t="shared" si="8"/>
        <v>-</v>
      </c>
      <c r="AD24" t="str">
        <f t="shared" si="9"/>
        <v>-</v>
      </c>
      <c r="AE24" t="b">
        <f t="shared" si="10"/>
        <v>1</v>
      </c>
    </row>
    <row r="25" spans="1:31" x14ac:dyDescent="0.25">
      <c r="A25">
        <v>8</v>
      </c>
      <c r="B25">
        <v>1</v>
      </c>
      <c r="C25">
        <v>261</v>
      </c>
      <c r="D25" s="11" t="s">
        <v>145</v>
      </c>
      <c r="E25" s="11" t="s">
        <v>245</v>
      </c>
      <c r="F25" s="11" t="s">
        <v>197</v>
      </c>
      <c r="G25" s="11" t="s">
        <v>259</v>
      </c>
      <c r="H25">
        <v>6</v>
      </c>
      <c r="I25" s="11" t="s">
        <v>234</v>
      </c>
      <c r="J25" s="11" t="s">
        <v>218</v>
      </c>
      <c r="K25" s="11" t="s">
        <v>183</v>
      </c>
      <c r="L25" s="11" t="s">
        <v>38</v>
      </c>
      <c r="M25" s="11" t="s">
        <v>38</v>
      </c>
      <c r="N25" s="11" t="s">
        <v>38</v>
      </c>
      <c r="O25" s="11" t="s">
        <v>38</v>
      </c>
      <c r="P25" t="s">
        <v>8</v>
      </c>
      <c r="Q25">
        <v>2240</v>
      </c>
      <c r="R25">
        <v>0</v>
      </c>
      <c r="S25">
        <v>0</v>
      </c>
      <c r="T25" t="str">
        <f t="shared" si="0"/>
        <v>-</v>
      </c>
      <c r="U25" t="str">
        <f t="shared" si="1"/>
        <v>-</v>
      </c>
      <c r="V25" t="str">
        <f t="shared" si="2"/>
        <v>-</v>
      </c>
      <c r="W25" t="str">
        <f t="shared" si="3"/>
        <v>-</v>
      </c>
      <c r="X25" t="str">
        <f t="shared" si="4"/>
        <v>-</v>
      </c>
      <c r="Y25" t="str">
        <f t="shared" si="5"/>
        <v>-</v>
      </c>
      <c r="Z25" t="str">
        <f t="shared" si="6"/>
        <v>-</v>
      </c>
      <c r="AA25" t="str">
        <f t="shared" si="7"/>
        <v>-</v>
      </c>
      <c r="AB25" t="str">
        <f>IF(_xlfn.IFNA(VLOOKUP(P25,Set_Ref!$B$6:$B$1048576,1,FALSE),"")&lt;&gt;"","-",FALSE)</f>
        <v>-</v>
      </c>
      <c r="AC25" t="str">
        <f t="shared" si="8"/>
        <v>-</v>
      </c>
      <c r="AD25" t="str">
        <f t="shared" si="9"/>
        <v>-</v>
      </c>
      <c r="AE25" t="b">
        <f t="shared" si="10"/>
        <v>1</v>
      </c>
    </row>
    <row r="26" spans="1:31" x14ac:dyDescent="0.25">
      <c r="A26">
        <v>8</v>
      </c>
      <c r="B26">
        <v>2</v>
      </c>
      <c r="C26">
        <v>261</v>
      </c>
      <c r="D26" s="11" t="s">
        <v>145</v>
      </c>
      <c r="E26" s="11" t="s">
        <v>243</v>
      </c>
      <c r="F26" s="11" t="s">
        <v>200</v>
      </c>
      <c r="G26" s="11" t="s">
        <v>257</v>
      </c>
      <c r="H26">
        <v>3</v>
      </c>
      <c r="I26" s="11" t="s">
        <v>234</v>
      </c>
      <c r="J26" s="11" t="s">
        <v>218</v>
      </c>
      <c r="K26" s="11" t="s">
        <v>183</v>
      </c>
      <c r="L26" s="11" t="s">
        <v>38</v>
      </c>
      <c r="M26" s="11" t="s">
        <v>38</v>
      </c>
      <c r="N26" s="11" t="s">
        <v>38</v>
      </c>
      <c r="O26" s="11" t="s">
        <v>38</v>
      </c>
      <c r="P26" t="s">
        <v>8</v>
      </c>
      <c r="Q26">
        <v>904</v>
      </c>
      <c r="R26">
        <v>0</v>
      </c>
      <c r="S26">
        <v>0</v>
      </c>
      <c r="T26" t="str">
        <f t="shared" si="0"/>
        <v>-</v>
      </c>
      <c r="U26" t="str">
        <f t="shared" si="1"/>
        <v>-</v>
      </c>
      <c r="V26" t="str">
        <f t="shared" si="2"/>
        <v>-</v>
      </c>
      <c r="W26" t="str">
        <f t="shared" si="3"/>
        <v>-</v>
      </c>
      <c r="X26" t="str">
        <f t="shared" si="4"/>
        <v>-</v>
      </c>
      <c r="Y26" t="str">
        <f t="shared" si="5"/>
        <v>-</v>
      </c>
      <c r="Z26" t="str">
        <f t="shared" si="6"/>
        <v>-</v>
      </c>
      <c r="AA26" t="str">
        <f t="shared" si="7"/>
        <v>-</v>
      </c>
      <c r="AB26" t="str">
        <f>IF(_xlfn.IFNA(VLOOKUP(P26,Set_Ref!$B$6:$B$1048576,1,FALSE),"")&lt;&gt;"","-",FALSE)</f>
        <v>-</v>
      </c>
      <c r="AC26" t="str">
        <f t="shared" si="8"/>
        <v>-</v>
      </c>
      <c r="AD26" t="str">
        <f t="shared" si="9"/>
        <v>-</v>
      </c>
      <c r="AE26" t="b">
        <f t="shared" si="10"/>
        <v>1</v>
      </c>
    </row>
    <row r="27" spans="1:31" x14ac:dyDescent="0.25">
      <c r="A27">
        <v>8</v>
      </c>
      <c r="B27">
        <v>3</v>
      </c>
      <c r="C27">
        <v>261</v>
      </c>
      <c r="D27" s="11" t="s">
        <v>145</v>
      </c>
      <c r="E27" s="11" t="s">
        <v>246</v>
      </c>
      <c r="F27" s="11" t="s">
        <v>202</v>
      </c>
      <c r="G27" s="11" t="s">
        <v>260</v>
      </c>
      <c r="H27">
        <v>1</v>
      </c>
      <c r="I27" s="11" t="s">
        <v>234</v>
      </c>
      <c r="J27" s="11" t="s">
        <v>247</v>
      </c>
      <c r="K27" s="11" t="s">
        <v>183</v>
      </c>
      <c r="L27" s="11" t="s">
        <v>38</v>
      </c>
      <c r="M27" s="11" t="s">
        <v>38</v>
      </c>
      <c r="N27" s="11" t="s">
        <v>38</v>
      </c>
      <c r="O27" s="11" t="s">
        <v>38</v>
      </c>
      <c r="P27" t="s">
        <v>8</v>
      </c>
      <c r="Q27">
        <v>780</v>
      </c>
      <c r="R27">
        <v>0</v>
      </c>
      <c r="S27">
        <v>0</v>
      </c>
      <c r="T27" t="str">
        <f t="shared" si="0"/>
        <v>-</v>
      </c>
      <c r="U27" t="str">
        <f t="shared" si="1"/>
        <v>-</v>
      </c>
      <c r="V27" t="str">
        <f t="shared" si="2"/>
        <v>-</v>
      </c>
      <c r="W27" t="str">
        <f t="shared" si="3"/>
        <v>-</v>
      </c>
      <c r="X27" t="str">
        <f t="shared" si="4"/>
        <v>-</v>
      </c>
      <c r="Y27" t="str">
        <f t="shared" si="5"/>
        <v>-</v>
      </c>
      <c r="Z27" t="str">
        <f t="shared" si="6"/>
        <v>-</v>
      </c>
      <c r="AA27" t="str">
        <f t="shared" si="7"/>
        <v>-</v>
      </c>
      <c r="AB27" t="str">
        <f>IF(_xlfn.IFNA(VLOOKUP(P27,Set_Ref!$B$6:$B$1048576,1,FALSE),"")&lt;&gt;"","-",FALSE)</f>
        <v>-</v>
      </c>
      <c r="AC27" t="str">
        <f t="shared" si="8"/>
        <v>-</v>
      </c>
      <c r="AD27" t="str">
        <f t="shared" si="9"/>
        <v>-</v>
      </c>
      <c r="AE27" t="b">
        <f t="shared" si="10"/>
        <v>1</v>
      </c>
    </row>
    <row r="28" spans="1:31" x14ac:dyDescent="0.25">
      <c r="A28">
        <v>8</v>
      </c>
      <c r="B28">
        <v>4</v>
      </c>
      <c r="C28">
        <v>261</v>
      </c>
      <c r="D28" s="11" t="s">
        <v>145</v>
      </c>
      <c r="E28" s="11" t="s">
        <v>248</v>
      </c>
      <c r="F28" s="11" t="s">
        <v>203</v>
      </c>
      <c r="G28" s="11" t="s">
        <v>261</v>
      </c>
      <c r="H28">
        <v>3</v>
      </c>
      <c r="I28" s="11" t="s">
        <v>234</v>
      </c>
      <c r="J28" s="11" t="s">
        <v>247</v>
      </c>
      <c r="K28" s="11" t="s">
        <v>183</v>
      </c>
      <c r="L28" s="11" t="s">
        <v>38</v>
      </c>
      <c r="M28" s="11" t="s">
        <v>38</v>
      </c>
      <c r="N28" s="11" t="s">
        <v>38</v>
      </c>
      <c r="O28" s="11" t="s">
        <v>38</v>
      </c>
      <c r="P28" t="s">
        <v>8</v>
      </c>
      <c r="Q28">
        <v>420</v>
      </c>
      <c r="R28">
        <v>0</v>
      </c>
      <c r="S28">
        <v>0</v>
      </c>
      <c r="T28" t="str">
        <f t="shared" si="0"/>
        <v>-</v>
      </c>
      <c r="U28" t="str">
        <f t="shared" si="1"/>
        <v>-</v>
      </c>
      <c r="V28" t="str">
        <f t="shared" si="2"/>
        <v>-</v>
      </c>
      <c r="W28" t="str">
        <f t="shared" si="3"/>
        <v>-</v>
      </c>
      <c r="X28" t="str">
        <f t="shared" si="4"/>
        <v>-</v>
      </c>
      <c r="Y28" t="str">
        <f t="shared" si="5"/>
        <v>-</v>
      </c>
      <c r="Z28" t="str">
        <f t="shared" si="6"/>
        <v>-</v>
      </c>
      <c r="AA28" t="str">
        <f t="shared" si="7"/>
        <v>-</v>
      </c>
      <c r="AB28" t="str">
        <f>IF(_xlfn.IFNA(VLOOKUP(P28,Set_Ref!$B$6:$B$1048576,1,FALSE),"")&lt;&gt;"","-",FALSE)</f>
        <v>-</v>
      </c>
      <c r="AC28" t="str">
        <f t="shared" si="8"/>
        <v>-</v>
      </c>
      <c r="AD28" t="str">
        <f t="shared" si="9"/>
        <v>-</v>
      </c>
      <c r="AE28" t="b">
        <f t="shared" si="10"/>
        <v>1</v>
      </c>
    </row>
    <row r="29" spans="1:31" x14ac:dyDescent="0.25">
      <c r="A29">
        <v>8</v>
      </c>
      <c r="B29">
        <v>5</v>
      </c>
      <c r="C29">
        <v>261</v>
      </c>
      <c r="D29" s="11" t="s">
        <v>145</v>
      </c>
      <c r="E29" s="11" t="s">
        <v>249</v>
      </c>
      <c r="F29" s="11" t="s">
        <v>205</v>
      </c>
      <c r="G29" s="11" t="s">
        <v>262</v>
      </c>
      <c r="H29">
        <v>1</v>
      </c>
      <c r="I29" s="11" t="s">
        <v>234</v>
      </c>
      <c r="J29" s="11" t="s">
        <v>218</v>
      </c>
      <c r="K29" s="11" t="s">
        <v>183</v>
      </c>
      <c r="L29" s="11" t="s">
        <v>38</v>
      </c>
      <c r="M29" s="11" t="s">
        <v>38</v>
      </c>
      <c r="N29" s="11" t="s">
        <v>38</v>
      </c>
      <c r="O29" s="11" t="s">
        <v>38</v>
      </c>
      <c r="P29" t="s">
        <v>8</v>
      </c>
      <c r="Q29">
        <v>716</v>
      </c>
      <c r="R29">
        <v>0</v>
      </c>
      <c r="S29">
        <v>0</v>
      </c>
      <c r="T29" t="str">
        <f t="shared" si="0"/>
        <v>-</v>
      </c>
      <c r="U29" t="str">
        <f t="shared" si="1"/>
        <v>-</v>
      </c>
      <c r="V29" t="str">
        <f t="shared" si="2"/>
        <v>-</v>
      </c>
      <c r="W29" t="str">
        <f t="shared" si="3"/>
        <v>-</v>
      </c>
      <c r="X29" t="str">
        <f t="shared" si="4"/>
        <v>-</v>
      </c>
      <c r="Y29" t="str">
        <f t="shared" si="5"/>
        <v>-</v>
      </c>
      <c r="Z29" t="str">
        <f t="shared" si="6"/>
        <v>-</v>
      </c>
      <c r="AA29" t="str">
        <f t="shared" si="7"/>
        <v>-</v>
      </c>
      <c r="AB29" t="str">
        <f>IF(_xlfn.IFNA(VLOOKUP(P29,Set_Ref!$B$6:$B$1048576,1,FALSE),"")&lt;&gt;"","-",FALSE)</f>
        <v>-</v>
      </c>
      <c r="AC29" t="str">
        <f t="shared" si="8"/>
        <v>-</v>
      </c>
      <c r="AD29" t="str">
        <f t="shared" si="9"/>
        <v>-</v>
      </c>
      <c r="AE29" t="b">
        <f t="shared" si="10"/>
        <v>1</v>
      </c>
    </row>
    <row r="30" spans="1:31" x14ac:dyDescent="0.25">
      <c r="A30">
        <v>8</v>
      </c>
      <c r="B30">
        <v>6</v>
      </c>
      <c r="C30">
        <v>261</v>
      </c>
      <c r="D30" s="11" t="s">
        <v>145</v>
      </c>
      <c r="E30" s="11" t="s">
        <v>240</v>
      </c>
      <c r="F30" s="11" t="s">
        <v>207</v>
      </c>
      <c r="G30" s="11" t="s">
        <v>253</v>
      </c>
      <c r="H30">
        <v>2</v>
      </c>
      <c r="I30" s="11" t="s">
        <v>234</v>
      </c>
      <c r="J30" s="11" t="s">
        <v>182</v>
      </c>
      <c r="K30" s="11" t="s">
        <v>183</v>
      </c>
      <c r="L30" s="11" t="s">
        <v>38</v>
      </c>
      <c r="M30" s="11" t="s">
        <v>38</v>
      </c>
      <c r="N30" s="11" t="s">
        <v>38</v>
      </c>
      <c r="O30" s="11" t="s">
        <v>38</v>
      </c>
      <c r="P30" t="s">
        <v>8</v>
      </c>
      <c r="Q30">
        <v>2660</v>
      </c>
      <c r="R30">
        <v>0</v>
      </c>
      <c r="S30">
        <v>0</v>
      </c>
      <c r="T30" t="str">
        <f t="shared" si="0"/>
        <v>-</v>
      </c>
      <c r="U30" t="str">
        <f t="shared" si="1"/>
        <v>-</v>
      </c>
      <c r="V30" t="str">
        <f t="shared" si="2"/>
        <v>-</v>
      </c>
      <c r="W30" t="str">
        <f t="shared" si="3"/>
        <v>-</v>
      </c>
      <c r="X30" t="str">
        <f t="shared" si="4"/>
        <v>-</v>
      </c>
      <c r="Y30" t="str">
        <f t="shared" si="5"/>
        <v>-</v>
      </c>
      <c r="Z30" t="str">
        <f t="shared" si="6"/>
        <v>-</v>
      </c>
      <c r="AA30" t="str">
        <f t="shared" si="7"/>
        <v>-</v>
      </c>
      <c r="AB30" t="str">
        <f>IF(_xlfn.IFNA(VLOOKUP(P30,Set_Ref!$B$6:$B$1048576,1,FALSE),"")&lt;&gt;"","-",FALSE)</f>
        <v>-</v>
      </c>
      <c r="AC30" t="str">
        <f t="shared" si="8"/>
        <v>-</v>
      </c>
      <c r="AD30" t="str">
        <f t="shared" si="9"/>
        <v>-</v>
      </c>
      <c r="AE30" t="b">
        <f t="shared" si="10"/>
        <v>1</v>
      </c>
    </row>
    <row r="31" spans="1:31" x14ac:dyDescent="0.25">
      <c r="A31">
        <v>8</v>
      </c>
      <c r="B31">
        <v>7</v>
      </c>
      <c r="C31">
        <v>261</v>
      </c>
      <c r="D31" s="11" t="s">
        <v>145</v>
      </c>
      <c r="E31" s="11" t="s">
        <v>240</v>
      </c>
      <c r="F31" s="11" t="s">
        <v>207</v>
      </c>
      <c r="G31" s="11" t="s">
        <v>253</v>
      </c>
      <c r="H31">
        <v>2</v>
      </c>
      <c r="I31" s="11" t="s">
        <v>234</v>
      </c>
      <c r="J31" s="11" t="s">
        <v>182</v>
      </c>
      <c r="K31" s="11" t="s">
        <v>183</v>
      </c>
      <c r="L31" s="11" t="s">
        <v>38</v>
      </c>
      <c r="M31" s="11" t="s">
        <v>38</v>
      </c>
      <c r="N31" s="11" t="s">
        <v>38</v>
      </c>
      <c r="O31" s="11" t="s">
        <v>38</v>
      </c>
      <c r="P31" t="s">
        <v>8</v>
      </c>
      <c r="Q31">
        <v>1140</v>
      </c>
      <c r="R31">
        <v>0</v>
      </c>
      <c r="S31">
        <v>0</v>
      </c>
      <c r="T31" t="str">
        <f t="shared" si="0"/>
        <v>-</v>
      </c>
      <c r="U31" t="str">
        <f t="shared" si="1"/>
        <v>-</v>
      </c>
      <c r="V31" t="str">
        <f t="shared" si="2"/>
        <v>-</v>
      </c>
      <c r="W31" t="str">
        <f t="shared" si="3"/>
        <v>-</v>
      </c>
      <c r="X31" t="str">
        <f t="shared" si="4"/>
        <v>-</v>
      </c>
      <c r="Y31" t="str">
        <f t="shared" si="5"/>
        <v>-</v>
      </c>
      <c r="Z31" t="str">
        <f t="shared" si="6"/>
        <v>-</v>
      </c>
      <c r="AA31" t="str">
        <f t="shared" si="7"/>
        <v>-</v>
      </c>
      <c r="AB31" t="str">
        <f>IF(_xlfn.IFNA(VLOOKUP(P31,Set_Ref!$B$6:$B$1048576,1,FALSE),"")&lt;&gt;"","-",FALSE)</f>
        <v>-</v>
      </c>
      <c r="AC31" t="str">
        <f t="shared" si="8"/>
        <v>-</v>
      </c>
      <c r="AD31" t="str">
        <f t="shared" si="9"/>
        <v>-</v>
      </c>
      <c r="AE31" t="b">
        <f t="shared" si="10"/>
        <v>1</v>
      </c>
    </row>
    <row r="32" spans="1:31" x14ac:dyDescent="0.25">
      <c r="A32">
        <v>8</v>
      </c>
      <c r="B32">
        <v>8</v>
      </c>
      <c r="C32">
        <v>261</v>
      </c>
      <c r="D32" s="11" t="s">
        <v>145</v>
      </c>
      <c r="E32" s="11" t="s">
        <v>245</v>
      </c>
      <c r="F32" s="11" t="s">
        <v>197</v>
      </c>
      <c r="G32" s="11" t="s">
        <v>259</v>
      </c>
      <c r="H32">
        <v>6</v>
      </c>
      <c r="I32" s="11" t="s">
        <v>234</v>
      </c>
      <c r="J32" s="11" t="s">
        <v>218</v>
      </c>
      <c r="K32" s="11" t="s">
        <v>183</v>
      </c>
      <c r="L32" s="11" t="s">
        <v>38</v>
      </c>
      <c r="M32" s="11" t="s">
        <v>38</v>
      </c>
      <c r="N32" s="11" t="s">
        <v>38</v>
      </c>
      <c r="O32" s="11" t="s">
        <v>38</v>
      </c>
      <c r="P32" t="s">
        <v>8</v>
      </c>
      <c r="Q32">
        <v>2240</v>
      </c>
      <c r="R32">
        <v>0</v>
      </c>
      <c r="S32">
        <v>0</v>
      </c>
      <c r="T32" t="str">
        <f t="shared" si="0"/>
        <v>-</v>
      </c>
      <c r="U32" t="str">
        <f t="shared" si="1"/>
        <v>-</v>
      </c>
      <c r="V32" t="str">
        <f t="shared" si="2"/>
        <v>-</v>
      </c>
      <c r="W32" t="str">
        <f t="shared" si="3"/>
        <v>-</v>
      </c>
      <c r="X32" t="str">
        <f t="shared" si="4"/>
        <v>-</v>
      </c>
      <c r="Y32" t="str">
        <f t="shared" si="5"/>
        <v>-</v>
      </c>
      <c r="Z32" t="str">
        <f t="shared" si="6"/>
        <v>-</v>
      </c>
      <c r="AA32" t="str">
        <f t="shared" si="7"/>
        <v>-</v>
      </c>
      <c r="AB32" t="str">
        <f>IF(_xlfn.IFNA(VLOOKUP(P32,Set_Ref!$B$6:$B$1048576,1,FALSE),"")&lt;&gt;"","-",FALSE)</f>
        <v>-</v>
      </c>
      <c r="AC32" t="str">
        <f t="shared" si="8"/>
        <v>-</v>
      </c>
      <c r="AD32" t="str">
        <f t="shared" si="9"/>
        <v>-</v>
      </c>
      <c r="AE32" t="b">
        <f t="shared" si="10"/>
        <v>1</v>
      </c>
    </row>
    <row r="33" spans="1:31" x14ac:dyDescent="0.25">
      <c r="A33">
        <v>8</v>
      </c>
      <c r="B33">
        <v>9</v>
      </c>
      <c r="C33">
        <v>261</v>
      </c>
      <c r="D33" s="11" t="s">
        <v>145</v>
      </c>
      <c r="E33" s="11" t="s">
        <v>243</v>
      </c>
      <c r="F33" s="11" t="s">
        <v>200</v>
      </c>
      <c r="G33" s="11" t="s">
        <v>257</v>
      </c>
      <c r="H33">
        <v>3</v>
      </c>
      <c r="I33" s="11" t="s">
        <v>234</v>
      </c>
      <c r="J33" s="11" t="s">
        <v>218</v>
      </c>
      <c r="K33" s="11" t="s">
        <v>183</v>
      </c>
      <c r="L33" s="11" t="s">
        <v>38</v>
      </c>
      <c r="M33" s="11" t="s">
        <v>38</v>
      </c>
      <c r="N33" s="11" t="s">
        <v>38</v>
      </c>
      <c r="O33" s="11" t="s">
        <v>38</v>
      </c>
      <c r="P33" t="s">
        <v>8</v>
      </c>
      <c r="Q33">
        <v>904</v>
      </c>
      <c r="R33">
        <v>0</v>
      </c>
      <c r="S33">
        <v>0</v>
      </c>
      <c r="T33" t="str">
        <f t="shared" si="0"/>
        <v>-</v>
      </c>
      <c r="U33" t="str">
        <f t="shared" si="1"/>
        <v>-</v>
      </c>
      <c r="V33" t="str">
        <f t="shared" si="2"/>
        <v>-</v>
      </c>
      <c r="W33" t="str">
        <f t="shared" si="3"/>
        <v>-</v>
      </c>
      <c r="X33" t="str">
        <f t="shared" si="4"/>
        <v>-</v>
      </c>
      <c r="Y33" t="str">
        <f t="shared" si="5"/>
        <v>-</v>
      </c>
      <c r="Z33" t="str">
        <f t="shared" si="6"/>
        <v>-</v>
      </c>
      <c r="AA33" t="str">
        <f t="shared" si="7"/>
        <v>-</v>
      </c>
      <c r="AB33" t="str">
        <f>IF(_xlfn.IFNA(VLOOKUP(P33,Set_Ref!$B$6:$B$1048576,1,FALSE),"")&lt;&gt;"","-",FALSE)</f>
        <v>-</v>
      </c>
      <c r="AC33" t="str">
        <f t="shared" si="8"/>
        <v>-</v>
      </c>
      <c r="AD33" t="str">
        <f t="shared" si="9"/>
        <v>-</v>
      </c>
      <c r="AE33" t="b">
        <f t="shared" si="10"/>
        <v>1</v>
      </c>
    </row>
    <row r="34" spans="1:31" x14ac:dyDescent="0.25">
      <c r="A34">
        <v>8</v>
      </c>
      <c r="B34">
        <v>10</v>
      </c>
      <c r="C34">
        <v>261</v>
      </c>
      <c r="D34" s="11" t="s">
        <v>145</v>
      </c>
      <c r="E34" s="11" t="s">
        <v>249</v>
      </c>
      <c r="F34" s="11" t="s">
        <v>205</v>
      </c>
      <c r="G34" s="11" t="s">
        <v>262</v>
      </c>
      <c r="H34">
        <v>1</v>
      </c>
      <c r="I34" s="11" t="s">
        <v>234</v>
      </c>
      <c r="J34" s="11" t="s">
        <v>218</v>
      </c>
      <c r="K34" s="11" t="s">
        <v>183</v>
      </c>
      <c r="L34" s="11" t="s">
        <v>38</v>
      </c>
      <c r="M34" s="11" t="s">
        <v>38</v>
      </c>
      <c r="N34" s="11" t="s">
        <v>38</v>
      </c>
      <c r="O34" s="11" t="s">
        <v>38</v>
      </c>
      <c r="P34" t="s">
        <v>8</v>
      </c>
      <c r="Q34">
        <v>716</v>
      </c>
      <c r="R34">
        <v>0</v>
      </c>
      <c r="S34">
        <v>0</v>
      </c>
      <c r="T34" t="str">
        <f t="shared" si="0"/>
        <v>-</v>
      </c>
      <c r="U34" t="str">
        <f t="shared" si="1"/>
        <v>-</v>
      </c>
      <c r="V34" t="str">
        <f t="shared" si="2"/>
        <v>-</v>
      </c>
      <c r="W34" t="str">
        <f t="shared" si="3"/>
        <v>-</v>
      </c>
      <c r="X34" t="str">
        <f t="shared" si="4"/>
        <v>-</v>
      </c>
      <c r="Y34" t="str">
        <f t="shared" si="5"/>
        <v>-</v>
      </c>
      <c r="Z34" t="str">
        <f t="shared" si="6"/>
        <v>-</v>
      </c>
      <c r="AA34" t="str">
        <f t="shared" si="7"/>
        <v>-</v>
      </c>
      <c r="AB34" t="str">
        <f>IF(_xlfn.IFNA(VLOOKUP(P34,Set_Ref!$B$6:$B$1048576,1,FALSE),"")&lt;&gt;"","-",FALSE)</f>
        <v>-</v>
      </c>
      <c r="AC34" t="str">
        <f t="shared" si="8"/>
        <v>-</v>
      </c>
      <c r="AD34" t="str">
        <f t="shared" si="9"/>
        <v>-</v>
      </c>
      <c r="AE34" t="b">
        <f t="shared" si="10"/>
        <v>1</v>
      </c>
    </row>
    <row r="35" spans="1:31" x14ac:dyDescent="0.25">
      <c r="A35">
        <v>8</v>
      </c>
      <c r="B35">
        <v>11</v>
      </c>
      <c r="C35">
        <v>261</v>
      </c>
      <c r="D35" s="11" t="s">
        <v>145</v>
      </c>
      <c r="E35" s="11" t="s">
        <v>240</v>
      </c>
      <c r="F35" s="11" t="s">
        <v>207</v>
      </c>
      <c r="G35" s="11" t="s">
        <v>253</v>
      </c>
      <c r="H35">
        <v>2</v>
      </c>
      <c r="I35" s="11" t="s">
        <v>234</v>
      </c>
      <c r="J35" s="11" t="s">
        <v>182</v>
      </c>
      <c r="K35" s="11" t="s">
        <v>183</v>
      </c>
      <c r="L35" s="11" t="s">
        <v>38</v>
      </c>
      <c r="M35" s="11" t="s">
        <v>38</v>
      </c>
      <c r="N35" s="11" t="s">
        <v>38</v>
      </c>
      <c r="O35" s="11" t="s">
        <v>38</v>
      </c>
      <c r="P35" t="s">
        <v>8</v>
      </c>
      <c r="Q35">
        <v>2660</v>
      </c>
      <c r="R35">
        <v>0</v>
      </c>
      <c r="S35">
        <v>0</v>
      </c>
      <c r="T35" t="str">
        <f t="shared" ref="T35:T66" si="11">IF(OR(A35="",A35&lt;1),FALSE,IF(ISNUMBER(A35), IF(INT(A35) = A35, "-", FALSE), FALSE))</f>
        <v>-</v>
      </c>
      <c r="U35" t="str">
        <f t="shared" ref="U35:U66" si="12">IF(OR(B35="",A35&lt;1),FALSE,IF(ISNUMBER(A35), IF(INT(A35) = A35, "-", FALSE), FALSE))</f>
        <v>-</v>
      </c>
      <c r="V35" t="str">
        <f t="shared" ref="V35:V66" si="13">IF(OR(C35="",C35="PilihSalasatu"),FALSE,"-")</f>
        <v>-</v>
      </c>
      <c r="W35" t="str">
        <f t="shared" ref="W35:W66" si="14">IF(D35="",FALSE,"-")</f>
        <v>-</v>
      </c>
      <c r="X35" t="str">
        <f t="shared" ref="X35:X66" si="15">IF(E35="",FALSE,"-")</f>
        <v>-</v>
      </c>
      <c r="Y35" t="str">
        <f t="shared" ref="Y35:Y66" si="16">IF(F35="",FALSE,"-")</f>
        <v>-</v>
      </c>
      <c r="Z35" t="str">
        <f t="shared" ref="Z35:Z66" si="17">IF(I35="",FALSE,"-")</f>
        <v>-</v>
      </c>
      <c r="AA35" t="str">
        <f t="shared" ref="AA35:AA66" si="18">IF(J35="",FALSE,"-")</f>
        <v>-</v>
      </c>
      <c r="AB35" t="str">
        <f>IF(_xlfn.IFNA(VLOOKUP(P35,Set_Ref!$B$6:$B$1048576,1,FALSE),"")&lt;&gt;"","-",FALSE)</f>
        <v>-</v>
      </c>
      <c r="AC35" t="str">
        <f t="shared" ref="AC35:AC66" si="19">IF(OR(Q35="",Q35&lt;=0),FALSE,IF(ISNUMBER(Q35),"-",FALSE))</f>
        <v>-</v>
      </c>
      <c r="AD35" t="str">
        <f t="shared" ref="AD35:AD66" si="20">IF(OR(G35="",H35="",I35="",K35=""),FALSE,"-")</f>
        <v>-</v>
      </c>
      <c r="AE35" t="b">
        <f t="shared" ref="AE35:AE66" si="21">IF(COUNTIF(T35:AD35, "FALSE") &gt; 0, FALSE, TRUE)</f>
        <v>1</v>
      </c>
    </row>
    <row r="36" spans="1:31" x14ac:dyDescent="0.25">
      <c r="A36">
        <v>9</v>
      </c>
      <c r="B36">
        <v>1</v>
      </c>
      <c r="C36">
        <v>261</v>
      </c>
      <c r="D36" s="11" t="s">
        <v>145</v>
      </c>
      <c r="E36" s="11" t="s">
        <v>241</v>
      </c>
      <c r="F36" s="11" t="s">
        <v>198</v>
      </c>
      <c r="G36" s="11" t="s">
        <v>254</v>
      </c>
      <c r="H36">
        <v>4</v>
      </c>
      <c r="I36" s="11" t="s">
        <v>235</v>
      </c>
      <c r="J36" s="11" t="s">
        <v>184</v>
      </c>
      <c r="K36" s="11" t="s">
        <v>185</v>
      </c>
      <c r="L36" s="11" t="s">
        <v>38</v>
      </c>
      <c r="M36" s="11" t="s">
        <v>38</v>
      </c>
      <c r="N36" s="11" t="s">
        <v>38</v>
      </c>
      <c r="O36" s="11" t="s">
        <v>38</v>
      </c>
      <c r="P36" t="s">
        <v>8</v>
      </c>
      <c r="Q36">
        <v>21120</v>
      </c>
      <c r="R36">
        <v>0</v>
      </c>
      <c r="S36">
        <v>0</v>
      </c>
      <c r="T36" t="str">
        <f t="shared" si="11"/>
        <v>-</v>
      </c>
      <c r="U36" t="str">
        <f t="shared" si="12"/>
        <v>-</v>
      </c>
      <c r="V36" t="str">
        <f t="shared" si="13"/>
        <v>-</v>
      </c>
      <c r="W36" t="str">
        <f t="shared" si="14"/>
        <v>-</v>
      </c>
      <c r="X36" t="str">
        <f t="shared" si="15"/>
        <v>-</v>
      </c>
      <c r="Y36" t="str">
        <f t="shared" si="16"/>
        <v>-</v>
      </c>
      <c r="Z36" t="str">
        <f t="shared" si="17"/>
        <v>-</v>
      </c>
      <c r="AA36" t="str">
        <f t="shared" si="18"/>
        <v>-</v>
      </c>
      <c r="AB36" t="str">
        <f>IF(_xlfn.IFNA(VLOOKUP(P36,Set_Ref!$B$6:$B$1048576,1,FALSE),"")&lt;&gt;"","-",FALSE)</f>
        <v>-</v>
      </c>
      <c r="AC36" t="str">
        <f t="shared" si="19"/>
        <v>-</v>
      </c>
      <c r="AD36" t="str">
        <f t="shared" si="20"/>
        <v>-</v>
      </c>
      <c r="AE36" t="b">
        <f t="shared" si="21"/>
        <v>1</v>
      </c>
    </row>
    <row r="37" spans="1:31" x14ac:dyDescent="0.25">
      <c r="A37">
        <v>9</v>
      </c>
      <c r="B37">
        <v>2</v>
      </c>
      <c r="C37">
        <v>261</v>
      </c>
      <c r="D37" s="11" t="s">
        <v>145</v>
      </c>
      <c r="E37" s="11" t="s">
        <v>241</v>
      </c>
      <c r="F37" s="11" t="s">
        <v>198</v>
      </c>
      <c r="G37" s="11" t="s">
        <v>254</v>
      </c>
      <c r="H37">
        <v>4</v>
      </c>
      <c r="I37" s="11" t="s">
        <v>235</v>
      </c>
      <c r="J37" s="11" t="s">
        <v>184</v>
      </c>
      <c r="K37" s="11" t="s">
        <v>185</v>
      </c>
      <c r="L37" s="11" t="s">
        <v>38</v>
      </c>
      <c r="M37" s="11" t="s">
        <v>38</v>
      </c>
      <c r="N37" s="11" t="s">
        <v>38</v>
      </c>
      <c r="O37" s="11" t="s">
        <v>38</v>
      </c>
      <c r="P37" t="s">
        <v>8</v>
      </c>
      <c r="Q37">
        <v>21120</v>
      </c>
      <c r="R37">
        <v>0</v>
      </c>
      <c r="S37">
        <v>0</v>
      </c>
      <c r="T37" t="str">
        <f t="shared" si="11"/>
        <v>-</v>
      </c>
      <c r="U37" t="str">
        <f t="shared" si="12"/>
        <v>-</v>
      </c>
      <c r="V37" t="str">
        <f t="shared" si="13"/>
        <v>-</v>
      </c>
      <c r="W37" t="str">
        <f t="shared" si="14"/>
        <v>-</v>
      </c>
      <c r="X37" t="str">
        <f t="shared" si="15"/>
        <v>-</v>
      </c>
      <c r="Y37" t="str">
        <f t="shared" si="16"/>
        <v>-</v>
      </c>
      <c r="Z37" t="str">
        <f t="shared" si="17"/>
        <v>-</v>
      </c>
      <c r="AA37" t="str">
        <f t="shared" si="18"/>
        <v>-</v>
      </c>
      <c r="AB37" t="str">
        <f>IF(_xlfn.IFNA(VLOOKUP(P37,Set_Ref!$B$6:$B$1048576,1,FALSE),"")&lt;&gt;"","-",FALSE)</f>
        <v>-</v>
      </c>
      <c r="AC37" t="str">
        <f t="shared" si="19"/>
        <v>-</v>
      </c>
      <c r="AD37" t="str">
        <f t="shared" si="20"/>
        <v>-</v>
      </c>
      <c r="AE37" t="b">
        <f t="shared" si="21"/>
        <v>1</v>
      </c>
    </row>
    <row r="38" spans="1:31" x14ac:dyDescent="0.25">
      <c r="A38">
        <v>9</v>
      </c>
      <c r="B38">
        <v>3</v>
      </c>
      <c r="C38">
        <v>261</v>
      </c>
      <c r="D38" s="11" t="s">
        <v>145</v>
      </c>
      <c r="E38" s="11" t="s">
        <v>241</v>
      </c>
      <c r="F38" s="11" t="s">
        <v>198</v>
      </c>
      <c r="G38" s="11" t="s">
        <v>254</v>
      </c>
      <c r="H38">
        <v>4</v>
      </c>
      <c r="I38" s="11" t="s">
        <v>235</v>
      </c>
      <c r="J38" s="11" t="s">
        <v>184</v>
      </c>
      <c r="K38" s="11" t="s">
        <v>185</v>
      </c>
      <c r="L38" s="11" t="s">
        <v>38</v>
      </c>
      <c r="M38" s="11" t="s">
        <v>38</v>
      </c>
      <c r="N38" s="11" t="s">
        <v>38</v>
      </c>
      <c r="O38" s="11" t="s">
        <v>38</v>
      </c>
      <c r="P38" t="s">
        <v>8</v>
      </c>
      <c r="Q38">
        <v>21120</v>
      </c>
      <c r="R38">
        <v>0</v>
      </c>
      <c r="S38">
        <v>0</v>
      </c>
      <c r="T38" t="str">
        <f t="shared" si="11"/>
        <v>-</v>
      </c>
      <c r="U38" t="str">
        <f t="shared" si="12"/>
        <v>-</v>
      </c>
      <c r="V38" t="str">
        <f t="shared" si="13"/>
        <v>-</v>
      </c>
      <c r="W38" t="str">
        <f t="shared" si="14"/>
        <v>-</v>
      </c>
      <c r="X38" t="str">
        <f t="shared" si="15"/>
        <v>-</v>
      </c>
      <c r="Y38" t="str">
        <f t="shared" si="16"/>
        <v>-</v>
      </c>
      <c r="Z38" t="str">
        <f t="shared" si="17"/>
        <v>-</v>
      </c>
      <c r="AA38" t="str">
        <f t="shared" si="18"/>
        <v>-</v>
      </c>
      <c r="AB38" t="str">
        <f>IF(_xlfn.IFNA(VLOOKUP(P38,Set_Ref!$B$6:$B$1048576,1,FALSE),"")&lt;&gt;"","-",FALSE)</f>
        <v>-</v>
      </c>
      <c r="AC38" t="str">
        <f t="shared" si="19"/>
        <v>-</v>
      </c>
      <c r="AD38" t="str">
        <f t="shared" si="20"/>
        <v>-</v>
      </c>
      <c r="AE38" t="b">
        <f t="shared" si="21"/>
        <v>1</v>
      </c>
    </row>
    <row r="39" spans="1:31" x14ac:dyDescent="0.25">
      <c r="A39">
        <v>9</v>
      </c>
      <c r="B39">
        <v>4</v>
      </c>
      <c r="C39">
        <v>261</v>
      </c>
      <c r="D39" s="11" t="s">
        <v>145</v>
      </c>
      <c r="E39" s="11" t="s">
        <v>241</v>
      </c>
      <c r="F39" s="11" t="s">
        <v>198</v>
      </c>
      <c r="G39" s="11" t="s">
        <v>254</v>
      </c>
      <c r="H39">
        <v>4</v>
      </c>
      <c r="I39" s="11" t="s">
        <v>235</v>
      </c>
      <c r="J39" s="11" t="s">
        <v>184</v>
      </c>
      <c r="K39" s="11" t="s">
        <v>185</v>
      </c>
      <c r="L39" s="11" t="s">
        <v>38</v>
      </c>
      <c r="M39" s="11" t="s">
        <v>38</v>
      </c>
      <c r="N39" s="11" t="s">
        <v>38</v>
      </c>
      <c r="O39" s="11" t="s">
        <v>38</v>
      </c>
      <c r="P39" t="s">
        <v>8</v>
      </c>
      <c r="Q39">
        <v>21120</v>
      </c>
      <c r="R39">
        <v>0</v>
      </c>
      <c r="S39">
        <v>0</v>
      </c>
      <c r="T39" t="str">
        <f t="shared" si="11"/>
        <v>-</v>
      </c>
      <c r="U39" t="str">
        <f t="shared" si="12"/>
        <v>-</v>
      </c>
      <c r="V39" t="str">
        <f t="shared" si="13"/>
        <v>-</v>
      </c>
      <c r="W39" t="str">
        <f t="shared" si="14"/>
        <v>-</v>
      </c>
      <c r="X39" t="str">
        <f t="shared" si="15"/>
        <v>-</v>
      </c>
      <c r="Y39" t="str">
        <f t="shared" si="16"/>
        <v>-</v>
      </c>
      <c r="Z39" t="str">
        <f t="shared" si="17"/>
        <v>-</v>
      </c>
      <c r="AA39" t="str">
        <f t="shared" si="18"/>
        <v>-</v>
      </c>
      <c r="AB39" t="str">
        <f>IF(_xlfn.IFNA(VLOOKUP(P39,Set_Ref!$B$6:$B$1048576,1,FALSE),"")&lt;&gt;"","-",FALSE)</f>
        <v>-</v>
      </c>
      <c r="AC39" t="str">
        <f t="shared" si="19"/>
        <v>-</v>
      </c>
      <c r="AD39" t="str">
        <f t="shared" si="20"/>
        <v>-</v>
      </c>
      <c r="AE39" t="b">
        <f t="shared" si="21"/>
        <v>1</v>
      </c>
    </row>
    <row r="40" spans="1:31" x14ac:dyDescent="0.25">
      <c r="A40">
        <v>9</v>
      </c>
      <c r="B40">
        <v>5</v>
      </c>
      <c r="C40">
        <v>261</v>
      </c>
      <c r="D40" s="11" t="s">
        <v>145</v>
      </c>
      <c r="E40" s="11" t="s">
        <v>240</v>
      </c>
      <c r="F40" s="11" t="s">
        <v>207</v>
      </c>
      <c r="G40" s="11" t="s">
        <v>253</v>
      </c>
      <c r="H40">
        <v>3</v>
      </c>
      <c r="I40" s="11" t="s">
        <v>235</v>
      </c>
      <c r="J40" s="11" t="s">
        <v>184</v>
      </c>
      <c r="K40" s="11" t="s">
        <v>185</v>
      </c>
      <c r="L40" s="11" t="s">
        <v>38</v>
      </c>
      <c r="M40" s="11" t="s">
        <v>38</v>
      </c>
      <c r="N40" s="11" t="s">
        <v>38</v>
      </c>
      <c r="O40" s="11" t="s">
        <v>38</v>
      </c>
      <c r="P40" t="s">
        <v>8</v>
      </c>
      <c r="Q40">
        <v>17100</v>
      </c>
      <c r="R40">
        <v>0</v>
      </c>
      <c r="S40">
        <v>0</v>
      </c>
      <c r="T40" t="str">
        <f t="shared" si="11"/>
        <v>-</v>
      </c>
      <c r="U40" t="str">
        <f t="shared" si="12"/>
        <v>-</v>
      </c>
      <c r="V40" t="str">
        <f t="shared" si="13"/>
        <v>-</v>
      </c>
      <c r="W40" t="str">
        <f t="shared" si="14"/>
        <v>-</v>
      </c>
      <c r="X40" t="str">
        <f t="shared" si="15"/>
        <v>-</v>
      </c>
      <c r="Y40" t="str">
        <f t="shared" si="16"/>
        <v>-</v>
      </c>
      <c r="Z40" t="str">
        <f t="shared" si="17"/>
        <v>-</v>
      </c>
      <c r="AA40" t="str">
        <f t="shared" si="18"/>
        <v>-</v>
      </c>
      <c r="AB40" t="str">
        <f>IF(_xlfn.IFNA(VLOOKUP(P40,Set_Ref!$B$6:$B$1048576,1,FALSE),"")&lt;&gt;"","-",FALSE)</f>
        <v>-</v>
      </c>
      <c r="AC40" t="str">
        <f t="shared" si="19"/>
        <v>-</v>
      </c>
      <c r="AD40" t="str">
        <f t="shared" si="20"/>
        <v>-</v>
      </c>
      <c r="AE40" t="b">
        <f t="shared" si="21"/>
        <v>1</v>
      </c>
    </row>
    <row r="41" spans="1:31" x14ac:dyDescent="0.25">
      <c r="A41">
        <v>9</v>
      </c>
      <c r="B41">
        <v>6</v>
      </c>
      <c r="C41">
        <v>261</v>
      </c>
      <c r="D41" s="11" t="s">
        <v>145</v>
      </c>
      <c r="E41" s="11" t="s">
        <v>240</v>
      </c>
      <c r="F41" s="11" t="s">
        <v>207</v>
      </c>
      <c r="G41" s="11" t="s">
        <v>253</v>
      </c>
      <c r="H41">
        <v>3</v>
      </c>
      <c r="I41" s="11" t="s">
        <v>235</v>
      </c>
      <c r="J41" s="11" t="s">
        <v>184</v>
      </c>
      <c r="K41" s="11" t="s">
        <v>185</v>
      </c>
      <c r="L41" s="11" t="s">
        <v>38</v>
      </c>
      <c r="M41" s="11" t="s">
        <v>38</v>
      </c>
      <c r="N41" s="11" t="s">
        <v>38</v>
      </c>
      <c r="O41" s="11" t="s">
        <v>38</v>
      </c>
      <c r="P41" t="s">
        <v>8</v>
      </c>
      <c r="Q41">
        <v>17100</v>
      </c>
      <c r="R41">
        <v>0</v>
      </c>
      <c r="S41">
        <v>0</v>
      </c>
      <c r="T41" t="str">
        <f t="shared" si="11"/>
        <v>-</v>
      </c>
      <c r="U41" t="str">
        <f t="shared" si="12"/>
        <v>-</v>
      </c>
      <c r="V41" t="str">
        <f t="shared" si="13"/>
        <v>-</v>
      </c>
      <c r="W41" t="str">
        <f t="shared" si="14"/>
        <v>-</v>
      </c>
      <c r="X41" t="str">
        <f t="shared" si="15"/>
        <v>-</v>
      </c>
      <c r="Y41" t="str">
        <f t="shared" si="16"/>
        <v>-</v>
      </c>
      <c r="Z41" t="str">
        <f t="shared" si="17"/>
        <v>-</v>
      </c>
      <c r="AA41" t="str">
        <f t="shared" si="18"/>
        <v>-</v>
      </c>
      <c r="AB41" t="str">
        <f>IF(_xlfn.IFNA(VLOOKUP(P41,Set_Ref!$B$6:$B$1048576,1,FALSE),"")&lt;&gt;"","-",FALSE)</f>
        <v>-</v>
      </c>
      <c r="AC41" t="str">
        <f t="shared" si="19"/>
        <v>-</v>
      </c>
      <c r="AD41" t="str">
        <f t="shared" si="20"/>
        <v>-</v>
      </c>
      <c r="AE41" t="b">
        <f t="shared" si="21"/>
        <v>1</v>
      </c>
    </row>
    <row r="42" spans="1:31" x14ac:dyDescent="0.25">
      <c r="A42">
        <v>9</v>
      </c>
      <c r="B42">
        <v>7</v>
      </c>
      <c r="C42">
        <v>261</v>
      </c>
      <c r="D42" s="11" t="s">
        <v>145</v>
      </c>
      <c r="E42" s="11" t="s">
        <v>240</v>
      </c>
      <c r="F42" s="11" t="s">
        <v>207</v>
      </c>
      <c r="G42" s="11" t="s">
        <v>253</v>
      </c>
      <c r="H42">
        <v>3</v>
      </c>
      <c r="I42" s="11" t="s">
        <v>235</v>
      </c>
      <c r="J42" s="11" t="s">
        <v>184</v>
      </c>
      <c r="K42" s="11" t="s">
        <v>185</v>
      </c>
      <c r="L42" s="11" t="s">
        <v>38</v>
      </c>
      <c r="M42" s="11" t="s">
        <v>38</v>
      </c>
      <c r="N42" s="11" t="s">
        <v>38</v>
      </c>
      <c r="O42" s="11" t="s">
        <v>38</v>
      </c>
      <c r="P42" t="s">
        <v>8</v>
      </c>
      <c r="Q42">
        <v>17100</v>
      </c>
      <c r="R42">
        <v>0</v>
      </c>
      <c r="S42">
        <v>0</v>
      </c>
      <c r="T42" t="str">
        <f t="shared" si="11"/>
        <v>-</v>
      </c>
      <c r="U42" t="str">
        <f t="shared" si="12"/>
        <v>-</v>
      </c>
      <c r="V42" t="str">
        <f t="shared" si="13"/>
        <v>-</v>
      </c>
      <c r="W42" t="str">
        <f t="shared" si="14"/>
        <v>-</v>
      </c>
      <c r="X42" t="str">
        <f t="shared" si="15"/>
        <v>-</v>
      </c>
      <c r="Y42" t="str">
        <f t="shared" si="16"/>
        <v>-</v>
      </c>
      <c r="Z42" t="str">
        <f t="shared" si="17"/>
        <v>-</v>
      </c>
      <c r="AA42" t="str">
        <f t="shared" si="18"/>
        <v>-</v>
      </c>
      <c r="AB42" t="str">
        <f>IF(_xlfn.IFNA(VLOOKUP(P42,Set_Ref!$B$6:$B$1048576,1,FALSE),"")&lt;&gt;"","-",FALSE)</f>
        <v>-</v>
      </c>
      <c r="AC42" t="str">
        <f t="shared" si="19"/>
        <v>-</v>
      </c>
      <c r="AD42" t="str">
        <f t="shared" si="20"/>
        <v>-</v>
      </c>
      <c r="AE42" t="b">
        <f t="shared" si="21"/>
        <v>1</v>
      </c>
    </row>
    <row r="43" spans="1:31" x14ac:dyDescent="0.25">
      <c r="A43">
        <v>9</v>
      </c>
      <c r="B43">
        <v>8</v>
      </c>
      <c r="C43">
        <v>261</v>
      </c>
      <c r="D43" s="11" t="s">
        <v>145</v>
      </c>
      <c r="E43" s="11" t="s">
        <v>240</v>
      </c>
      <c r="F43" s="11" t="s">
        <v>207</v>
      </c>
      <c r="G43" s="11" t="s">
        <v>253</v>
      </c>
      <c r="H43">
        <v>3</v>
      </c>
      <c r="I43" s="11" t="s">
        <v>235</v>
      </c>
      <c r="J43" s="11" t="s">
        <v>184</v>
      </c>
      <c r="K43" s="11" t="s">
        <v>185</v>
      </c>
      <c r="L43" s="11" t="s">
        <v>38</v>
      </c>
      <c r="M43" s="11" t="s">
        <v>38</v>
      </c>
      <c r="N43" s="11" t="s">
        <v>38</v>
      </c>
      <c r="O43" s="11" t="s">
        <v>38</v>
      </c>
      <c r="P43" t="s">
        <v>8</v>
      </c>
      <c r="Q43">
        <v>17100</v>
      </c>
      <c r="R43">
        <v>0</v>
      </c>
      <c r="S43">
        <v>0</v>
      </c>
      <c r="T43" t="str">
        <f t="shared" si="11"/>
        <v>-</v>
      </c>
      <c r="U43" t="str">
        <f t="shared" si="12"/>
        <v>-</v>
      </c>
      <c r="V43" t="str">
        <f t="shared" si="13"/>
        <v>-</v>
      </c>
      <c r="W43" t="str">
        <f t="shared" si="14"/>
        <v>-</v>
      </c>
      <c r="X43" t="str">
        <f t="shared" si="15"/>
        <v>-</v>
      </c>
      <c r="Y43" t="str">
        <f t="shared" si="16"/>
        <v>-</v>
      </c>
      <c r="Z43" t="str">
        <f t="shared" si="17"/>
        <v>-</v>
      </c>
      <c r="AA43" t="str">
        <f t="shared" si="18"/>
        <v>-</v>
      </c>
      <c r="AB43" t="str">
        <f>IF(_xlfn.IFNA(VLOOKUP(P43,Set_Ref!$B$6:$B$1048576,1,FALSE),"")&lt;&gt;"","-",FALSE)</f>
        <v>-</v>
      </c>
      <c r="AC43" t="str">
        <f t="shared" si="19"/>
        <v>-</v>
      </c>
      <c r="AD43" t="str">
        <f t="shared" si="20"/>
        <v>-</v>
      </c>
      <c r="AE43" t="b">
        <f t="shared" si="21"/>
        <v>1</v>
      </c>
    </row>
    <row r="44" spans="1:31" x14ac:dyDescent="0.25">
      <c r="A44">
        <v>9</v>
      </c>
      <c r="B44">
        <v>9</v>
      </c>
      <c r="C44">
        <v>261</v>
      </c>
      <c r="D44" s="11" t="s">
        <v>145</v>
      </c>
      <c r="E44" s="11" t="s">
        <v>241</v>
      </c>
      <c r="F44" s="11" t="s">
        <v>198</v>
      </c>
      <c r="G44" s="11" t="s">
        <v>254</v>
      </c>
      <c r="H44">
        <v>4</v>
      </c>
      <c r="I44" s="11" t="s">
        <v>235</v>
      </c>
      <c r="J44" s="11" t="s">
        <v>184</v>
      </c>
      <c r="K44" s="11" t="s">
        <v>185</v>
      </c>
      <c r="L44" s="11" t="s">
        <v>38</v>
      </c>
      <c r="M44" s="11" t="s">
        <v>38</v>
      </c>
      <c r="N44" s="11" t="s">
        <v>38</v>
      </c>
      <c r="O44" s="11" t="s">
        <v>38</v>
      </c>
      <c r="P44" t="s">
        <v>8</v>
      </c>
      <c r="Q44">
        <v>21120</v>
      </c>
      <c r="R44">
        <v>0</v>
      </c>
      <c r="S44">
        <v>0</v>
      </c>
      <c r="T44" t="str">
        <f t="shared" si="11"/>
        <v>-</v>
      </c>
      <c r="U44" t="str">
        <f t="shared" si="12"/>
        <v>-</v>
      </c>
      <c r="V44" t="str">
        <f t="shared" si="13"/>
        <v>-</v>
      </c>
      <c r="W44" t="str">
        <f t="shared" si="14"/>
        <v>-</v>
      </c>
      <c r="X44" t="str">
        <f t="shared" si="15"/>
        <v>-</v>
      </c>
      <c r="Y44" t="str">
        <f t="shared" si="16"/>
        <v>-</v>
      </c>
      <c r="Z44" t="str">
        <f t="shared" si="17"/>
        <v>-</v>
      </c>
      <c r="AA44" t="str">
        <f t="shared" si="18"/>
        <v>-</v>
      </c>
      <c r="AB44" t="str">
        <f>IF(_xlfn.IFNA(VLOOKUP(P44,Set_Ref!$B$6:$B$1048576,1,FALSE),"")&lt;&gt;"","-",FALSE)</f>
        <v>-</v>
      </c>
      <c r="AC44" t="str">
        <f t="shared" si="19"/>
        <v>-</v>
      </c>
      <c r="AD44" t="str">
        <f t="shared" si="20"/>
        <v>-</v>
      </c>
      <c r="AE44" t="b">
        <f t="shared" si="21"/>
        <v>1</v>
      </c>
    </row>
    <row r="45" spans="1:31" x14ac:dyDescent="0.25">
      <c r="A45">
        <v>9</v>
      </c>
      <c r="B45">
        <v>10</v>
      </c>
      <c r="C45">
        <v>261</v>
      </c>
      <c r="D45" s="11" t="s">
        <v>145</v>
      </c>
      <c r="E45" s="11" t="s">
        <v>241</v>
      </c>
      <c r="F45" s="11" t="s">
        <v>198</v>
      </c>
      <c r="G45" s="11" t="s">
        <v>254</v>
      </c>
      <c r="H45">
        <v>4</v>
      </c>
      <c r="I45" s="11" t="s">
        <v>235</v>
      </c>
      <c r="J45" s="11" t="s">
        <v>184</v>
      </c>
      <c r="K45" s="11" t="s">
        <v>185</v>
      </c>
      <c r="L45" s="11" t="s">
        <v>38</v>
      </c>
      <c r="M45" s="11" t="s">
        <v>38</v>
      </c>
      <c r="N45" s="11" t="s">
        <v>38</v>
      </c>
      <c r="O45" s="11" t="s">
        <v>38</v>
      </c>
      <c r="P45" t="s">
        <v>8</v>
      </c>
      <c r="Q45">
        <v>21120</v>
      </c>
      <c r="R45">
        <v>0</v>
      </c>
      <c r="S45">
        <v>0</v>
      </c>
      <c r="T45" t="str">
        <f t="shared" si="11"/>
        <v>-</v>
      </c>
      <c r="U45" t="str">
        <f t="shared" si="12"/>
        <v>-</v>
      </c>
      <c r="V45" t="str">
        <f t="shared" si="13"/>
        <v>-</v>
      </c>
      <c r="W45" t="str">
        <f t="shared" si="14"/>
        <v>-</v>
      </c>
      <c r="X45" t="str">
        <f t="shared" si="15"/>
        <v>-</v>
      </c>
      <c r="Y45" t="str">
        <f t="shared" si="16"/>
        <v>-</v>
      </c>
      <c r="Z45" t="str">
        <f t="shared" si="17"/>
        <v>-</v>
      </c>
      <c r="AA45" t="str">
        <f t="shared" si="18"/>
        <v>-</v>
      </c>
      <c r="AB45" t="str">
        <f>IF(_xlfn.IFNA(VLOOKUP(P45,Set_Ref!$B$6:$B$1048576,1,FALSE),"")&lt;&gt;"","-",FALSE)</f>
        <v>-</v>
      </c>
      <c r="AC45" t="str">
        <f t="shared" si="19"/>
        <v>-</v>
      </c>
      <c r="AD45" t="str">
        <f t="shared" si="20"/>
        <v>-</v>
      </c>
      <c r="AE45" t="b">
        <f t="shared" si="21"/>
        <v>1</v>
      </c>
    </row>
    <row r="46" spans="1:31" x14ac:dyDescent="0.25">
      <c r="A46">
        <v>9</v>
      </c>
      <c r="B46">
        <v>11</v>
      </c>
      <c r="C46">
        <v>261</v>
      </c>
      <c r="D46" s="11" t="s">
        <v>145</v>
      </c>
      <c r="E46" s="11" t="s">
        <v>241</v>
      </c>
      <c r="F46" s="11" t="s">
        <v>198</v>
      </c>
      <c r="G46" s="11" t="s">
        <v>254</v>
      </c>
      <c r="H46">
        <v>4</v>
      </c>
      <c r="I46" s="11" t="s">
        <v>235</v>
      </c>
      <c r="J46" s="11" t="s">
        <v>184</v>
      </c>
      <c r="K46" s="11" t="s">
        <v>185</v>
      </c>
      <c r="L46" s="11" t="s">
        <v>38</v>
      </c>
      <c r="M46" s="11" t="s">
        <v>38</v>
      </c>
      <c r="N46" s="11" t="s">
        <v>38</v>
      </c>
      <c r="O46" s="11" t="s">
        <v>38</v>
      </c>
      <c r="P46" t="s">
        <v>8</v>
      </c>
      <c r="Q46">
        <v>21120</v>
      </c>
      <c r="R46">
        <v>0</v>
      </c>
      <c r="S46">
        <v>0</v>
      </c>
      <c r="T46" t="str">
        <f t="shared" si="11"/>
        <v>-</v>
      </c>
      <c r="U46" t="str">
        <f t="shared" si="12"/>
        <v>-</v>
      </c>
      <c r="V46" t="str">
        <f t="shared" si="13"/>
        <v>-</v>
      </c>
      <c r="W46" t="str">
        <f t="shared" si="14"/>
        <v>-</v>
      </c>
      <c r="X46" t="str">
        <f t="shared" si="15"/>
        <v>-</v>
      </c>
      <c r="Y46" t="str">
        <f t="shared" si="16"/>
        <v>-</v>
      </c>
      <c r="Z46" t="str">
        <f t="shared" si="17"/>
        <v>-</v>
      </c>
      <c r="AA46" t="str">
        <f t="shared" si="18"/>
        <v>-</v>
      </c>
      <c r="AB46" t="str">
        <f>IF(_xlfn.IFNA(VLOOKUP(P46,Set_Ref!$B$6:$B$1048576,1,FALSE),"")&lt;&gt;"","-",FALSE)</f>
        <v>-</v>
      </c>
      <c r="AC46" t="str">
        <f t="shared" si="19"/>
        <v>-</v>
      </c>
      <c r="AD46" t="str">
        <f t="shared" si="20"/>
        <v>-</v>
      </c>
      <c r="AE46" t="b">
        <f t="shared" si="21"/>
        <v>1</v>
      </c>
    </row>
    <row r="47" spans="1:31" x14ac:dyDescent="0.25">
      <c r="A47">
        <v>9</v>
      </c>
      <c r="B47">
        <v>12</v>
      </c>
      <c r="C47">
        <v>261</v>
      </c>
      <c r="D47" s="11" t="s">
        <v>145</v>
      </c>
      <c r="E47" s="11" t="s">
        <v>240</v>
      </c>
      <c r="F47" s="11" t="s">
        <v>207</v>
      </c>
      <c r="G47" s="11" t="s">
        <v>253</v>
      </c>
      <c r="H47">
        <v>3</v>
      </c>
      <c r="I47" s="11" t="s">
        <v>235</v>
      </c>
      <c r="J47" s="11" t="s">
        <v>184</v>
      </c>
      <c r="K47" s="11" t="s">
        <v>185</v>
      </c>
      <c r="L47" s="11" t="s">
        <v>38</v>
      </c>
      <c r="M47" s="11" t="s">
        <v>38</v>
      </c>
      <c r="N47" s="11" t="s">
        <v>38</v>
      </c>
      <c r="O47" s="11" t="s">
        <v>38</v>
      </c>
      <c r="P47" t="s">
        <v>8</v>
      </c>
      <c r="Q47">
        <v>17100</v>
      </c>
      <c r="R47">
        <v>0</v>
      </c>
      <c r="S47">
        <v>0</v>
      </c>
      <c r="T47" t="str">
        <f t="shared" si="11"/>
        <v>-</v>
      </c>
      <c r="U47" t="str">
        <f t="shared" si="12"/>
        <v>-</v>
      </c>
      <c r="V47" t="str">
        <f t="shared" si="13"/>
        <v>-</v>
      </c>
      <c r="W47" t="str">
        <f t="shared" si="14"/>
        <v>-</v>
      </c>
      <c r="X47" t="str">
        <f t="shared" si="15"/>
        <v>-</v>
      </c>
      <c r="Y47" t="str">
        <f t="shared" si="16"/>
        <v>-</v>
      </c>
      <c r="Z47" t="str">
        <f t="shared" si="17"/>
        <v>-</v>
      </c>
      <c r="AA47" t="str">
        <f t="shared" si="18"/>
        <v>-</v>
      </c>
      <c r="AB47" t="str">
        <f>IF(_xlfn.IFNA(VLOOKUP(P47,Set_Ref!$B$6:$B$1048576,1,FALSE),"")&lt;&gt;"","-",FALSE)</f>
        <v>-</v>
      </c>
      <c r="AC47" t="str">
        <f t="shared" si="19"/>
        <v>-</v>
      </c>
      <c r="AD47" t="str">
        <f t="shared" si="20"/>
        <v>-</v>
      </c>
      <c r="AE47" t="b">
        <f t="shared" si="21"/>
        <v>1</v>
      </c>
    </row>
    <row r="48" spans="1:31" x14ac:dyDescent="0.25">
      <c r="A48">
        <v>9</v>
      </c>
      <c r="B48">
        <v>13</v>
      </c>
      <c r="C48">
        <v>261</v>
      </c>
      <c r="D48" s="11" t="s">
        <v>145</v>
      </c>
      <c r="E48" s="11" t="s">
        <v>240</v>
      </c>
      <c r="F48" s="11" t="s">
        <v>207</v>
      </c>
      <c r="G48" s="11" t="s">
        <v>253</v>
      </c>
      <c r="H48">
        <v>3</v>
      </c>
      <c r="I48" s="11" t="s">
        <v>235</v>
      </c>
      <c r="J48" s="11" t="s">
        <v>184</v>
      </c>
      <c r="K48" s="11" t="s">
        <v>185</v>
      </c>
      <c r="L48" s="11" t="s">
        <v>38</v>
      </c>
      <c r="M48" s="11" t="s">
        <v>38</v>
      </c>
      <c r="N48" s="11" t="s">
        <v>38</v>
      </c>
      <c r="O48" s="11" t="s">
        <v>38</v>
      </c>
      <c r="P48" t="s">
        <v>8</v>
      </c>
      <c r="Q48">
        <v>17100</v>
      </c>
      <c r="R48">
        <v>0</v>
      </c>
      <c r="S48">
        <v>0</v>
      </c>
      <c r="T48" t="str">
        <f t="shared" si="11"/>
        <v>-</v>
      </c>
      <c r="U48" t="str">
        <f t="shared" si="12"/>
        <v>-</v>
      </c>
      <c r="V48" t="str">
        <f t="shared" si="13"/>
        <v>-</v>
      </c>
      <c r="W48" t="str">
        <f t="shared" si="14"/>
        <v>-</v>
      </c>
      <c r="X48" t="str">
        <f t="shared" si="15"/>
        <v>-</v>
      </c>
      <c r="Y48" t="str">
        <f t="shared" si="16"/>
        <v>-</v>
      </c>
      <c r="Z48" t="str">
        <f t="shared" si="17"/>
        <v>-</v>
      </c>
      <c r="AA48" t="str">
        <f t="shared" si="18"/>
        <v>-</v>
      </c>
      <c r="AB48" t="str">
        <f>IF(_xlfn.IFNA(VLOOKUP(P48,Set_Ref!$B$6:$B$1048576,1,FALSE),"")&lt;&gt;"","-",FALSE)</f>
        <v>-</v>
      </c>
      <c r="AC48" t="str">
        <f t="shared" si="19"/>
        <v>-</v>
      </c>
      <c r="AD48" t="str">
        <f t="shared" si="20"/>
        <v>-</v>
      </c>
      <c r="AE48" t="b">
        <f t="shared" si="21"/>
        <v>1</v>
      </c>
    </row>
    <row r="49" spans="1:31" x14ac:dyDescent="0.25">
      <c r="A49">
        <v>9</v>
      </c>
      <c r="B49">
        <v>14</v>
      </c>
      <c r="C49">
        <v>261</v>
      </c>
      <c r="D49" s="11" t="s">
        <v>145</v>
      </c>
      <c r="E49" s="11" t="s">
        <v>240</v>
      </c>
      <c r="F49" s="11" t="s">
        <v>207</v>
      </c>
      <c r="G49" s="11" t="s">
        <v>253</v>
      </c>
      <c r="H49">
        <v>3</v>
      </c>
      <c r="I49" s="11" t="s">
        <v>235</v>
      </c>
      <c r="J49" s="11" t="s">
        <v>184</v>
      </c>
      <c r="K49" s="11" t="s">
        <v>185</v>
      </c>
      <c r="L49" s="11" t="s">
        <v>38</v>
      </c>
      <c r="M49" s="11" t="s">
        <v>38</v>
      </c>
      <c r="N49" s="11" t="s">
        <v>38</v>
      </c>
      <c r="O49" s="11" t="s">
        <v>38</v>
      </c>
      <c r="P49" t="s">
        <v>8</v>
      </c>
      <c r="Q49">
        <v>17100</v>
      </c>
      <c r="R49">
        <v>0</v>
      </c>
      <c r="S49">
        <v>0</v>
      </c>
      <c r="T49" t="str">
        <f t="shared" si="11"/>
        <v>-</v>
      </c>
      <c r="U49" t="str">
        <f t="shared" si="12"/>
        <v>-</v>
      </c>
      <c r="V49" t="str">
        <f t="shared" si="13"/>
        <v>-</v>
      </c>
      <c r="W49" t="str">
        <f t="shared" si="14"/>
        <v>-</v>
      </c>
      <c r="X49" t="str">
        <f t="shared" si="15"/>
        <v>-</v>
      </c>
      <c r="Y49" t="str">
        <f t="shared" si="16"/>
        <v>-</v>
      </c>
      <c r="Z49" t="str">
        <f t="shared" si="17"/>
        <v>-</v>
      </c>
      <c r="AA49" t="str">
        <f t="shared" si="18"/>
        <v>-</v>
      </c>
      <c r="AB49" t="str">
        <f>IF(_xlfn.IFNA(VLOOKUP(P49,Set_Ref!$B$6:$B$1048576,1,FALSE),"")&lt;&gt;"","-",FALSE)</f>
        <v>-</v>
      </c>
      <c r="AC49" t="str">
        <f t="shared" si="19"/>
        <v>-</v>
      </c>
      <c r="AD49" t="str">
        <f t="shared" si="20"/>
        <v>-</v>
      </c>
      <c r="AE49" t="b">
        <f t="shared" si="21"/>
        <v>1</v>
      </c>
    </row>
    <row r="50" spans="1:31" x14ac:dyDescent="0.25">
      <c r="A50">
        <v>10</v>
      </c>
      <c r="B50">
        <v>1</v>
      </c>
      <c r="C50">
        <v>261</v>
      </c>
      <c r="D50" s="11" t="s">
        <v>145</v>
      </c>
      <c r="E50" s="11" t="s">
        <v>245</v>
      </c>
      <c r="F50" s="11" t="s">
        <v>197</v>
      </c>
      <c r="G50" s="11" t="s">
        <v>259</v>
      </c>
      <c r="H50">
        <v>3</v>
      </c>
      <c r="I50" s="11" t="s">
        <v>236</v>
      </c>
      <c r="J50" s="11" t="s">
        <v>219</v>
      </c>
      <c r="K50" s="11" t="s">
        <v>186</v>
      </c>
      <c r="L50" s="11" t="s">
        <v>38</v>
      </c>
      <c r="M50" s="11" t="s">
        <v>38</v>
      </c>
      <c r="N50" s="11" t="s">
        <v>38</v>
      </c>
      <c r="O50" s="11" t="s">
        <v>38</v>
      </c>
      <c r="P50" t="s">
        <v>9</v>
      </c>
      <c r="Q50">
        <v>986</v>
      </c>
      <c r="R50">
        <v>0</v>
      </c>
      <c r="S50">
        <v>0</v>
      </c>
      <c r="T50" t="str">
        <f t="shared" si="11"/>
        <v>-</v>
      </c>
      <c r="U50" t="str">
        <f t="shared" si="12"/>
        <v>-</v>
      </c>
      <c r="V50" t="str">
        <f t="shared" si="13"/>
        <v>-</v>
      </c>
      <c r="W50" t="str">
        <f t="shared" si="14"/>
        <v>-</v>
      </c>
      <c r="X50" t="str">
        <f t="shared" si="15"/>
        <v>-</v>
      </c>
      <c r="Y50" t="str">
        <f t="shared" si="16"/>
        <v>-</v>
      </c>
      <c r="Z50" t="str">
        <f t="shared" si="17"/>
        <v>-</v>
      </c>
      <c r="AA50" t="str">
        <f t="shared" si="18"/>
        <v>-</v>
      </c>
      <c r="AB50" t="str">
        <f>IF(_xlfn.IFNA(VLOOKUP(P50,Set_Ref!$B$6:$B$1048576,1,FALSE),"")&lt;&gt;"","-",FALSE)</f>
        <v>-</v>
      </c>
      <c r="AC50" t="str">
        <f t="shared" si="19"/>
        <v>-</v>
      </c>
      <c r="AD50" t="str">
        <f t="shared" si="20"/>
        <v>-</v>
      </c>
      <c r="AE50" t="b">
        <f t="shared" si="21"/>
        <v>1</v>
      </c>
    </row>
    <row r="51" spans="1:31" x14ac:dyDescent="0.25">
      <c r="A51">
        <v>10</v>
      </c>
      <c r="B51">
        <v>2</v>
      </c>
      <c r="C51">
        <v>261</v>
      </c>
      <c r="D51" s="11" t="s">
        <v>145</v>
      </c>
      <c r="E51" s="11" t="s">
        <v>240</v>
      </c>
      <c r="F51" s="11" t="s">
        <v>207</v>
      </c>
      <c r="G51" s="11" t="s">
        <v>253</v>
      </c>
      <c r="H51">
        <v>4</v>
      </c>
      <c r="I51" s="11" t="s">
        <v>236</v>
      </c>
      <c r="J51" s="11" t="s">
        <v>219</v>
      </c>
      <c r="K51" s="11" t="s">
        <v>186</v>
      </c>
      <c r="L51" s="11" t="s">
        <v>38</v>
      </c>
      <c r="M51" s="11" t="s">
        <v>38</v>
      </c>
      <c r="N51" s="11" t="s">
        <v>38</v>
      </c>
      <c r="O51" s="11" t="s">
        <v>38</v>
      </c>
      <c r="P51" t="s">
        <v>9</v>
      </c>
      <c r="Q51">
        <v>825</v>
      </c>
      <c r="R51">
        <v>0</v>
      </c>
      <c r="S51">
        <v>0</v>
      </c>
      <c r="T51" t="str">
        <f t="shared" si="11"/>
        <v>-</v>
      </c>
      <c r="U51" t="str">
        <f t="shared" si="12"/>
        <v>-</v>
      </c>
      <c r="V51" t="str">
        <f t="shared" si="13"/>
        <v>-</v>
      </c>
      <c r="W51" t="str">
        <f t="shared" si="14"/>
        <v>-</v>
      </c>
      <c r="X51" t="str">
        <f t="shared" si="15"/>
        <v>-</v>
      </c>
      <c r="Y51" t="str">
        <f t="shared" si="16"/>
        <v>-</v>
      </c>
      <c r="Z51" t="str">
        <f t="shared" si="17"/>
        <v>-</v>
      </c>
      <c r="AA51" t="str">
        <f t="shared" si="18"/>
        <v>-</v>
      </c>
      <c r="AB51" t="str">
        <f>IF(_xlfn.IFNA(VLOOKUP(P51,Set_Ref!$B$6:$B$1048576,1,FALSE),"")&lt;&gt;"","-",FALSE)</f>
        <v>-</v>
      </c>
      <c r="AC51" t="str">
        <f t="shared" si="19"/>
        <v>-</v>
      </c>
      <c r="AD51" t="str">
        <f t="shared" si="20"/>
        <v>-</v>
      </c>
      <c r="AE51" t="b">
        <f t="shared" si="21"/>
        <v>1</v>
      </c>
    </row>
    <row r="52" spans="1:31" x14ac:dyDescent="0.25">
      <c r="A52">
        <v>11</v>
      </c>
      <c r="B52">
        <v>1</v>
      </c>
      <c r="C52">
        <v>261</v>
      </c>
      <c r="D52" s="11" t="s">
        <v>145</v>
      </c>
      <c r="E52" s="11" t="s">
        <v>245</v>
      </c>
      <c r="F52" s="11" t="s">
        <v>197</v>
      </c>
      <c r="G52" s="11" t="s">
        <v>259</v>
      </c>
      <c r="H52">
        <v>4</v>
      </c>
      <c r="I52" s="11" t="s">
        <v>236</v>
      </c>
      <c r="J52" s="11" t="s">
        <v>220</v>
      </c>
      <c r="K52" s="11" t="s">
        <v>187</v>
      </c>
      <c r="L52" s="11" t="s">
        <v>38</v>
      </c>
      <c r="M52" s="11" t="s">
        <v>38</v>
      </c>
      <c r="N52" s="11" t="s">
        <v>38</v>
      </c>
      <c r="O52" s="11" t="s">
        <v>38</v>
      </c>
      <c r="P52" t="s">
        <v>9</v>
      </c>
      <c r="Q52">
        <v>141</v>
      </c>
      <c r="R52">
        <v>0</v>
      </c>
      <c r="S52">
        <v>0</v>
      </c>
      <c r="T52" t="str">
        <f t="shared" si="11"/>
        <v>-</v>
      </c>
      <c r="U52" t="str">
        <f t="shared" si="12"/>
        <v>-</v>
      </c>
      <c r="V52" t="str">
        <f t="shared" si="13"/>
        <v>-</v>
      </c>
      <c r="W52" t="str">
        <f t="shared" si="14"/>
        <v>-</v>
      </c>
      <c r="X52" t="str">
        <f t="shared" si="15"/>
        <v>-</v>
      </c>
      <c r="Y52" t="str">
        <f t="shared" si="16"/>
        <v>-</v>
      </c>
      <c r="Z52" t="str">
        <f t="shared" si="17"/>
        <v>-</v>
      </c>
      <c r="AA52" t="str">
        <f t="shared" si="18"/>
        <v>-</v>
      </c>
      <c r="AB52" t="str">
        <f>IF(_xlfn.IFNA(VLOOKUP(P52,Set_Ref!$B$6:$B$1048576,1,FALSE),"")&lt;&gt;"","-",FALSE)</f>
        <v>-</v>
      </c>
      <c r="AC52" t="str">
        <f t="shared" si="19"/>
        <v>-</v>
      </c>
      <c r="AD52" t="str">
        <f t="shared" si="20"/>
        <v>-</v>
      </c>
      <c r="AE52" t="b">
        <f t="shared" si="21"/>
        <v>1</v>
      </c>
    </row>
    <row r="53" spans="1:31" x14ac:dyDescent="0.25">
      <c r="A53">
        <v>11</v>
      </c>
      <c r="B53">
        <v>2</v>
      </c>
      <c r="C53">
        <v>261</v>
      </c>
      <c r="D53" s="11" t="s">
        <v>145</v>
      </c>
      <c r="E53" s="11" t="s">
        <v>240</v>
      </c>
      <c r="F53" s="11" t="s">
        <v>207</v>
      </c>
      <c r="G53" s="11" t="s">
        <v>253</v>
      </c>
      <c r="H53">
        <v>5</v>
      </c>
      <c r="I53" s="11" t="s">
        <v>236</v>
      </c>
      <c r="J53" s="11" t="s">
        <v>220</v>
      </c>
      <c r="K53" s="11" t="s">
        <v>187</v>
      </c>
      <c r="L53" s="11" t="s">
        <v>38</v>
      </c>
      <c r="M53" s="11" t="s">
        <v>38</v>
      </c>
      <c r="N53" s="11" t="s">
        <v>38</v>
      </c>
      <c r="O53" s="11" t="s">
        <v>38</v>
      </c>
      <c r="P53" t="s">
        <v>9</v>
      </c>
      <c r="Q53">
        <v>141</v>
      </c>
      <c r="R53">
        <v>0</v>
      </c>
      <c r="S53">
        <v>0</v>
      </c>
      <c r="T53" t="str">
        <f t="shared" si="11"/>
        <v>-</v>
      </c>
      <c r="U53" t="str">
        <f t="shared" si="12"/>
        <v>-</v>
      </c>
      <c r="V53" t="str">
        <f t="shared" si="13"/>
        <v>-</v>
      </c>
      <c r="W53" t="str">
        <f t="shared" si="14"/>
        <v>-</v>
      </c>
      <c r="X53" t="str">
        <f t="shared" si="15"/>
        <v>-</v>
      </c>
      <c r="Y53" t="str">
        <f t="shared" si="16"/>
        <v>-</v>
      </c>
      <c r="Z53" t="str">
        <f t="shared" si="17"/>
        <v>-</v>
      </c>
      <c r="AA53" t="str">
        <f t="shared" si="18"/>
        <v>-</v>
      </c>
      <c r="AB53" t="str">
        <f>IF(_xlfn.IFNA(VLOOKUP(P53,Set_Ref!$B$6:$B$1048576,1,FALSE),"")&lt;&gt;"","-",FALSE)</f>
        <v>-</v>
      </c>
      <c r="AC53" t="str">
        <f t="shared" si="19"/>
        <v>-</v>
      </c>
      <c r="AD53" t="str">
        <f t="shared" si="20"/>
        <v>-</v>
      </c>
      <c r="AE53" t="b">
        <f t="shared" si="21"/>
        <v>1</v>
      </c>
    </row>
    <row r="54" spans="1:31" x14ac:dyDescent="0.25">
      <c r="A54">
        <v>12</v>
      </c>
      <c r="B54">
        <v>1</v>
      </c>
      <c r="C54">
        <v>261</v>
      </c>
      <c r="D54" s="11" t="s">
        <v>145</v>
      </c>
      <c r="E54" s="11" t="s">
        <v>245</v>
      </c>
      <c r="F54" s="11" t="s">
        <v>197</v>
      </c>
      <c r="G54" s="11" t="s">
        <v>259</v>
      </c>
      <c r="H54">
        <v>2</v>
      </c>
      <c r="I54" s="11" t="s">
        <v>227</v>
      </c>
      <c r="J54" s="11" t="s">
        <v>221</v>
      </c>
      <c r="K54" s="11" t="s">
        <v>188</v>
      </c>
      <c r="L54" s="11" t="s">
        <v>38</v>
      </c>
      <c r="M54" s="11" t="s">
        <v>38</v>
      </c>
      <c r="N54" s="11" t="s">
        <v>38</v>
      </c>
      <c r="O54" s="11" t="s">
        <v>38</v>
      </c>
      <c r="P54" t="s">
        <v>8</v>
      </c>
      <c r="Q54">
        <v>400</v>
      </c>
      <c r="R54">
        <v>0</v>
      </c>
      <c r="S54">
        <v>0</v>
      </c>
      <c r="T54" t="str">
        <f t="shared" si="11"/>
        <v>-</v>
      </c>
      <c r="U54" t="str">
        <f t="shared" si="12"/>
        <v>-</v>
      </c>
      <c r="V54" t="str">
        <f t="shared" si="13"/>
        <v>-</v>
      </c>
      <c r="W54" t="str">
        <f t="shared" si="14"/>
        <v>-</v>
      </c>
      <c r="X54" t="str">
        <f t="shared" si="15"/>
        <v>-</v>
      </c>
      <c r="Y54" t="str">
        <f t="shared" si="16"/>
        <v>-</v>
      </c>
      <c r="Z54" t="str">
        <f t="shared" si="17"/>
        <v>-</v>
      </c>
      <c r="AA54" t="str">
        <f t="shared" si="18"/>
        <v>-</v>
      </c>
      <c r="AB54" t="str">
        <f>IF(_xlfn.IFNA(VLOOKUP(P54,Set_Ref!$B$6:$B$1048576,1,FALSE),"")&lt;&gt;"","-",FALSE)</f>
        <v>-</v>
      </c>
      <c r="AC54" t="str">
        <f t="shared" si="19"/>
        <v>-</v>
      </c>
      <c r="AD54" t="str">
        <f t="shared" si="20"/>
        <v>-</v>
      </c>
      <c r="AE54" t="b">
        <f t="shared" si="21"/>
        <v>1</v>
      </c>
    </row>
    <row r="55" spans="1:31" x14ac:dyDescent="0.25">
      <c r="A55">
        <v>12</v>
      </c>
      <c r="B55">
        <v>2</v>
      </c>
      <c r="C55">
        <v>261</v>
      </c>
      <c r="D55" s="11" t="s">
        <v>145</v>
      </c>
      <c r="E55" s="11" t="s">
        <v>241</v>
      </c>
      <c r="F55" s="11" t="s">
        <v>198</v>
      </c>
      <c r="G55" s="11" t="s">
        <v>254</v>
      </c>
      <c r="H55">
        <v>5</v>
      </c>
      <c r="I55" s="11" t="s">
        <v>227</v>
      </c>
      <c r="J55" s="11" t="s">
        <v>221</v>
      </c>
      <c r="K55" s="11" t="s">
        <v>188</v>
      </c>
      <c r="L55" s="11" t="s">
        <v>38</v>
      </c>
      <c r="M55" s="11" t="s">
        <v>38</v>
      </c>
      <c r="N55" s="11" t="s">
        <v>38</v>
      </c>
      <c r="O55" s="11" t="s">
        <v>38</v>
      </c>
      <c r="P55" t="s">
        <v>8</v>
      </c>
      <c r="Q55">
        <v>4740</v>
      </c>
      <c r="R55">
        <v>0</v>
      </c>
      <c r="S55">
        <v>0</v>
      </c>
      <c r="T55" t="str">
        <f t="shared" si="11"/>
        <v>-</v>
      </c>
      <c r="U55" t="str">
        <f t="shared" si="12"/>
        <v>-</v>
      </c>
      <c r="V55" t="str">
        <f t="shared" si="13"/>
        <v>-</v>
      </c>
      <c r="W55" t="str">
        <f t="shared" si="14"/>
        <v>-</v>
      </c>
      <c r="X55" t="str">
        <f t="shared" si="15"/>
        <v>-</v>
      </c>
      <c r="Y55" t="str">
        <f t="shared" si="16"/>
        <v>-</v>
      </c>
      <c r="Z55" t="str">
        <f t="shared" si="17"/>
        <v>-</v>
      </c>
      <c r="AA55" t="str">
        <f t="shared" si="18"/>
        <v>-</v>
      </c>
      <c r="AB55" t="str">
        <f>IF(_xlfn.IFNA(VLOOKUP(P55,Set_Ref!$B$6:$B$1048576,1,FALSE),"")&lt;&gt;"","-",FALSE)</f>
        <v>-</v>
      </c>
      <c r="AC55" t="str">
        <f t="shared" si="19"/>
        <v>-</v>
      </c>
      <c r="AD55" t="str">
        <f t="shared" si="20"/>
        <v>-</v>
      </c>
      <c r="AE55" t="b">
        <f t="shared" si="21"/>
        <v>1</v>
      </c>
    </row>
    <row r="56" spans="1:31" x14ac:dyDescent="0.25">
      <c r="A56">
        <v>12</v>
      </c>
      <c r="B56">
        <v>3</v>
      </c>
      <c r="C56">
        <v>261</v>
      </c>
      <c r="D56" s="11" t="s">
        <v>145</v>
      </c>
      <c r="E56" s="11" t="s">
        <v>240</v>
      </c>
      <c r="F56" s="11" t="s">
        <v>207</v>
      </c>
      <c r="G56" s="11" t="s">
        <v>253</v>
      </c>
      <c r="H56">
        <v>6</v>
      </c>
      <c r="I56" s="11" t="s">
        <v>227</v>
      </c>
      <c r="J56" s="11" t="s">
        <v>221</v>
      </c>
      <c r="K56" s="11" t="s">
        <v>188</v>
      </c>
      <c r="L56" s="11" t="s">
        <v>38</v>
      </c>
      <c r="M56" s="11" t="s">
        <v>38</v>
      </c>
      <c r="N56" s="11" t="s">
        <v>38</v>
      </c>
      <c r="O56" s="11" t="s">
        <v>38</v>
      </c>
      <c r="P56" t="s">
        <v>8</v>
      </c>
      <c r="Q56">
        <v>3800</v>
      </c>
      <c r="R56">
        <v>0</v>
      </c>
      <c r="S56">
        <v>0</v>
      </c>
      <c r="T56" t="str">
        <f t="shared" si="11"/>
        <v>-</v>
      </c>
      <c r="U56" t="str">
        <f t="shared" si="12"/>
        <v>-</v>
      </c>
      <c r="V56" t="str">
        <f t="shared" si="13"/>
        <v>-</v>
      </c>
      <c r="W56" t="str">
        <f t="shared" si="14"/>
        <v>-</v>
      </c>
      <c r="X56" t="str">
        <f t="shared" si="15"/>
        <v>-</v>
      </c>
      <c r="Y56" t="str">
        <f t="shared" si="16"/>
        <v>-</v>
      </c>
      <c r="Z56" t="str">
        <f t="shared" si="17"/>
        <v>-</v>
      </c>
      <c r="AA56" t="str">
        <f t="shared" si="18"/>
        <v>-</v>
      </c>
      <c r="AB56" t="str">
        <f>IF(_xlfn.IFNA(VLOOKUP(P56,Set_Ref!$B$6:$B$1048576,1,FALSE),"")&lt;&gt;"","-",FALSE)</f>
        <v>-</v>
      </c>
      <c r="AC56" t="str">
        <f t="shared" si="19"/>
        <v>-</v>
      </c>
      <c r="AD56" t="str">
        <f t="shared" si="20"/>
        <v>-</v>
      </c>
      <c r="AE56" t="b">
        <f t="shared" si="21"/>
        <v>1</v>
      </c>
    </row>
    <row r="57" spans="1:31" x14ac:dyDescent="0.25">
      <c r="A57">
        <v>13</v>
      </c>
      <c r="B57">
        <v>1</v>
      </c>
      <c r="C57">
        <v>261</v>
      </c>
      <c r="D57" s="11" t="s">
        <v>145</v>
      </c>
      <c r="E57" s="11" t="s">
        <v>243</v>
      </c>
      <c r="F57" s="11" t="s">
        <v>200</v>
      </c>
      <c r="G57" s="11" t="s">
        <v>257</v>
      </c>
      <c r="H57">
        <v>4</v>
      </c>
      <c r="I57" s="11" t="s">
        <v>227</v>
      </c>
      <c r="J57" s="11" t="s">
        <v>222</v>
      </c>
      <c r="K57" s="11" t="s">
        <v>189</v>
      </c>
      <c r="L57" s="11" t="s">
        <v>38</v>
      </c>
      <c r="M57" s="11" t="s">
        <v>38</v>
      </c>
      <c r="N57" s="11" t="s">
        <v>38</v>
      </c>
      <c r="O57" s="11" t="s">
        <v>38</v>
      </c>
      <c r="P57" t="s">
        <v>8</v>
      </c>
      <c r="Q57">
        <v>270</v>
      </c>
      <c r="R57">
        <v>0</v>
      </c>
      <c r="S57">
        <v>0</v>
      </c>
      <c r="T57" t="str">
        <f t="shared" si="11"/>
        <v>-</v>
      </c>
      <c r="U57" t="str">
        <f t="shared" si="12"/>
        <v>-</v>
      </c>
      <c r="V57" t="str">
        <f t="shared" si="13"/>
        <v>-</v>
      </c>
      <c r="W57" t="str">
        <f t="shared" si="14"/>
        <v>-</v>
      </c>
      <c r="X57" t="str">
        <f t="shared" si="15"/>
        <v>-</v>
      </c>
      <c r="Y57" t="str">
        <f t="shared" si="16"/>
        <v>-</v>
      </c>
      <c r="Z57" t="str">
        <f t="shared" si="17"/>
        <v>-</v>
      </c>
      <c r="AA57" t="str">
        <f t="shared" si="18"/>
        <v>-</v>
      </c>
      <c r="AB57" t="str">
        <f>IF(_xlfn.IFNA(VLOOKUP(P57,Set_Ref!$B$6:$B$1048576,1,FALSE),"")&lt;&gt;"","-",FALSE)</f>
        <v>-</v>
      </c>
      <c r="AC57" t="str">
        <f t="shared" si="19"/>
        <v>-</v>
      </c>
      <c r="AD57" t="str">
        <f t="shared" si="20"/>
        <v>-</v>
      </c>
      <c r="AE57" t="b">
        <f t="shared" si="21"/>
        <v>1</v>
      </c>
    </row>
    <row r="58" spans="1:31" x14ac:dyDescent="0.25">
      <c r="A58">
        <v>13</v>
      </c>
      <c r="B58">
        <v>2</v>
      </c>
      <c r="C58">
        <v>261</v>
      </c>
      <c r="D58" s="11" t="s">
        <v>145</v>
      </c>
      <c r="E58" s="11" t="s">
        <v>250</v>
      </c>
      <c r="F58" s="11" t="s">
        <v>201</v>
      </c>
      <c r="G58" s="11" t="s">
        <v>263</v>
      </c>
      <c r="H58">
        <v>1</v>
      </c>
      <c r="I58" s="11" t="s">
        <v>227</v>
      </c>
      <c r="J58" s="11" t="s">
        <v>222</v>
      </c>
      <c r="K58" s="11" t="s">
        <v>189</v>
      </c>
      <c r="L58" s="11" t="s">
        <v>38</v>
      </c>
      <c r="M58" s="11" t="s">
        <v>38</v>
      </c>
      <c r="N58" s="11" t="s">
        <v>38</v>
      </c>
      <c r="O58" s="11" t="s">
        <v>38</v>
      </c>
      <c r="P58" t="s">
        <v>8</v>
      </c>
      <c r="Q58">
        <v>2300</v>
      </c>
      <c r="R58">
        <v>0</v>
      </c>
      <c r="S58">
        <v>0</v>
      </c>
      <c r="T58" t="str">
        <f t="shared" si="11"/>
        <v>-</v>
      </c>
      <c r="U58" t="str">
        <f t="shared" si="12"/>
        <v>-</v>
      </c>
      <c r="V58" t="str">
        <f t="shared" si="13"/>
        <v>-</v>
      </c>
      <c r="W58" t="str">
        <f t="shared" si="14"/>
        <v>-</v>
      </c>
      <c r="X58" t="str">
        <f t="shared" si="15"/>
        <v>-</v>
      </c>
      <c r="Y58" t="str">
        <f t="shared" si="16"/>
        <v>-</v>
      </c>
      <c r="Z58" t="str">
        <f t="shared" si="17"/>
        <v>-</v>
      </c>
      <c r="AA58" t="str">
        <f t="shared" si="18"/>
        <v>-</v>
      </c>
      <c r="AB58" t="str">
        <f>IF(_xlfn.IFNA(VLOOKUP(P58,Set_Ref!$B$6:$B$1048576,1,FALSE),"")&lt;&gt;"","-",FALSE)</f>
        <v>-</v>
      </c>
      <c r="AC58" t="str">
        <f t="shared" si="19"/>
        <v>-</v>
      </c>
      <c r="AD58" t="str">
        <f t="shared" si="20"/>
        <v>-</v>
      </c>
      <c r="AE58" t="b">
        <f t="shared" si="21"/>
        <v>1</v>
      </c>
    </row>
    <row r="59" spans="1:31" x14ac:dyDescent="0.25">
      <c r="A59">
        <v>13</v>
      </c>
      <c r="B59">
        <v>3</v>
      </c>
      <c r="C59">
        <v>261</v>
      </c>
      <c r="D59" s="11" t="s">
        <v>145</v>
      </c>
      <c r="E59" s="11" t="s">
        <v>240</v>
      </c>
      <c r="F59" s="11" t="s">
        <v>207</v>
      </c>
      <c r="G59" s="11" t="s">
        <v>253</v>
      </c>
      <c r="H59">
        <v>7</v>
      </c>
      <c r="I59" s="11" t="s">
        <v>227</v>
      </c>
      <c r="J59" s="11" t="s">
        <v>222</v>
      </c>
      <c r="K59" s="11" t="s">
        <v>189</v>
      </c>
      <c r="L59" s="11" t="s">
        <v>38</v>
      </c>
      <c r="M59" s="11" t="s">
        <v>38</v>
      </c>
      <c r="N59" s="11" t="s">
        <v>38</v>
      </c>
      <c r="O59" s="11" t="s">
        <v>38</v>
      </c>
      <c r="P59" t="s">
        <v>8</v>
      </c>
      <c r="Q59">
        <v>1900</v>
      </c>
      <c r="R59">
        <v>0</v>
      </c>
      <c r="S59">
        <v>0</v>
      </c>
      <c r="T59" t="str">
        <f t="shared" si="11"/>
        <v>-</v>
      </c>
      <c r="U59" t="str">
        <f t="shared" si="12"/>
        <v>-</v>
      </c>
      <c r="V59" t="str">
        <f t="shared" si="13"/>
        <v>-</v>
      </c>
      <c r="W59" t="str">
        <f t="shared" si="14"/>
        <v>-</v>
      </c>
      <c r="X59" t="str">
        <f t="shared" si="15"/>
        <v>-</v>
      </c>
      <c r="Y59" t="str">
        <f t="shared" si="16"/>
        <v>-</v>
      </c>
      <c r="Z59" t="str">
        <f t="shared" si="17"/>
        <v>-</v>
      </c>
      <c r="AA59" t="str">
        <f t="shared" si="18"/>
        <v>-</v>
      </c>
      <c r="AB59" t="str">
        <f>IF(_xlfn.IFNA(VLOOKUP(P59,Set_Ref!$B$6:$B$1048576,1,FALSE),"")&lt;&gt;"","-",FALSE)</f>
        <v>-</v>
      </c>
      <c r="AC59" t="str">
        <f t="shared" si="19"/>
        <v>-</v>
      </c>
      <c r="AD59" t="str">
        <f t="shared" si="20"/>
        <v>-</v>
      </c>
      <c r="AE59" t="b">
        <f t="shared" si="21"/>
        <v>1</v>
      </c>
    </row>
    <row r="60" spans="1:31" x14ac:dyDescent="0.25">
      <c r="A60">
        <v>14</v>
      </c>
      <c r="B60">
        <v>1</v>
      </c>
      <c r="C60">
        <v>261</v>
      </c>
      <c r="D60" s="11" t="s">
        <v>145</v>
      </c>
      <c r="E60" s="11" t="s">
        <v>245</v>
      </c>
      <c r="F60" s="11" t="s">
        <v>197</v>
      </c>
      <c r="G60" s="11" t="s">
        <v>259</v>
      </c>
      <c r="H60">
        <v>5</v>
      </c>
      <c r="I60" s="11" t="s">
        <v>237</v>
      </c>
      <c r="J60" s="11" t="s">
        <v>223</v>
      </c>
      <c r="K60" s="11" t="s">
        <v>190</v>
      </c>
      <c r="L60" s="11" t="s">
        <v>38</v>
      </c>
      <c r="M60" s="11" t="s">
        <v>38</v>
      </c>
      <c r="N60" s="11" t="s">
        <v>38</v>
      </c>
      <c r="O60" s="11" t="s">
        <v>38</v>
      </c>
      <c r="P60" t="s">
        <v>57</v>
      </c>
      <c r="Q60">
        <v>1.37</v>
      </c>
      <c r="R60">
        <v>0</v>
      </c>
      <c r="S60">
        <v>0</v>
      </c>
      <c r="T60" t="str">
        <f t="shared" si="11"/>
        <v>-</v>
      </c>
      <c r="U60" t="str">
        <f t="shared" si="12"/>
        <v>-</v>
      </c>
      <c r="V60" t="str">
        <f t="shared" si="13"/>
        <v>-</v>
      </c>
      <c r="W60" t="str">
        <f t="shared" si="14"/>
        <v>-</v>
      </c>
      <c r="X60" t="str">
        <f t="shared" si="15"/>
        <v>-</v>
      </c>
      <c r="Y60" t="str">
        <f t="shared" si="16"/>
        <v>-</v>
      </c>
      <c r="Z60" t="str">
        <f t="shared" si="17"/>
        <v>-</v>
      </c>
      <c r="AA60" t="str">
        <f t="shared" si="18"/>
        <v>-</v>
      </c>
      <c r="AB60" t="str">
        <f>IF(_xlfn.IFNA(VLOOKUP(P60,Set_Ref!$B$6:$B$1048576,1,FALSE),"")&lt;&gt;"","-",FALSE)</f>
        <v>-</v>
      </c>
      <c r="AC60" t="str">
        <f t="shared" si="19"/>
        <v>-</v>
      </c>
      <c r="AD60" t="str">
        <f t="shared" si="20"/>
        <v>-</v>
      </c>
      <c r="AE60" t="b">
        <f t="shared" si="21"/>
        <v>1</v>
      </c>
    </row>
    <row r="61" spans="1:31" x14ac:dyDescent="0.25">
      <c r="A61">
        <v>14</v>
      </c>
      <c r="B61">
        <v>2</v>
      </c>
      <c r="C61">
        <v>261</v>
      </c>
      <c r="D61" s="11" t="s">
        <v>145</v>
      </c>
      <c r="E61" s="11" t="s">
        <v>240</v>
      </c>
      <c r="F61" s="11" t="s">
        <v>207</v>
      </c>
      <c r="G61" s="11" t="s">
        <v>253</v>
      </c>
      <c r="H61">
        <v>8</v>
      </c>
      <c r="I61" s="11" t="s">
        <v>237</v>
      </c>
      <c r="J61" s="11" t="s">
        <v>223</v>
      </c>
      <c r="K61" s="11" t="s">
        <v>190</v>
      </c>
      <c r="L61" s="11" t="s">
        <v>38</v>
      </c>
      <c r="M61" s="11" t="s">
        <v>38</v>
      </c>
      <c r="N61" s="11" t="s">
        <v>38</v>
      </c>
      <c r="O61" s="11" t="s">
        <v>38</v>
      </c>
      <c r="P61" t="s">
        <v>57</v>
      </c>
      <c r="Q61">
        <v>0.7</v>
      </c>
      <c r="R61">
        <v>0</v>
      </c>
      <c r="S61">
        <v>0</v>
      </c>
      <c r="T61" t="str">
        <f t="shared" si="11"/>
        <v>-</v>
      </c>
      <c r="U61" t="str">
        <f t="shared" si="12"/>
        <v>-</v>
      </c>
      <c r="V61" t="str">
        <f t="shared" si="13"/>
        <v>-</v>
      </c>
      <c r="W61" t="str">
        <f t="shared" si="14"/>
        <v>-</v>
      </c>
      <c r="X61" t="str">
        <f t="shared" si="15"/>
        <v>-</v>
      </c>
      <c r="Y61" t="str">
        <f t="shared" si="16"/>
        <v>-</v>
      </c>
      <c r="Z61" t="str">
        <f t="shared" si="17"/>
        <v>-</v>
      </c>
      <c r="AA61" t="str">
        <f t="shared" si="18"/>
        <v>-</v>
      </c>
      <c r="AB61" t="str">
        <f>IF(_xlfn.IFNA(VLOOKUP(P61,Set_Ref!$B$6:$B$1048576,1,FALSE),"")&lt;&gt;"","-",FALSE)</f>
        <v>-</v>
      </c>
      <c r="AC61" t="str">
        <f t="shared" si="19"/>
        <v>-</v>
      </c>
      <c r="AD61" t="str">
        <f t="shared" si="20"/>
        <v>-</v>
      </c>
      <c r="AE61" t="b">
        <f t="shared" si="21"/>
        <v>1</v>
      </c>
    </row>
    <row r="62" spans="1:31" x14ac:dyDescent="0.25">
      <c r="A62">
        <v>15</v>
      </c>
      <c r="B62">
        <v>1</v>
      </c>
      <c r="C62">
        <v>261</v>
      </c>
      <c r="D62" s="11" t="s">
        <v>145</v>
      </c>
      <c r="E62" s="11" t="s">
        <v>241</v>
      </c>
      <c r="F62" s="11" t="s">
        <v>198</v>
      </c>
      <c r="G62" s="11" t="s">
        <v>254</v>
      </c>
      <c r="H62">
        <v>6</v>
      </c>
      <c r="I62" s="11" t="s">
        <v>238</v>
      </c>
      <c r="J62" s="11" t="s">
        <v>224</v>
      </c>
      <c r="K62" s="11" t="s">
        <v>191</v>
      </c>
      <c r="L62" s="11" t="s">
        <v>38</v>
      </c>
      <c r="M62" s="11" t="s">
        <v>38</v>
      </c>
      <c r="N62" s="11" t="s">
        <v>38</v>
      </c>
      <c r="O62" s="11" t="s">
        <v>38</v>
      </c>
      <c r="P62" t="s">
        <v>8</v>
      </c>
      <c r="Q62">
        <v>2570</v>
      </c>
      <c r="R62">
        <v>0</v>
      </c>
      <c r="S62">
        <v>0</v>
      </c>
      <c r="T62" t="str">
        <f t="shared" si="11"/>
        <v>-</v>
      </c>
      <c r="U62" t="str">
        <f t="shared" si="12"/>
        <v>-</v>
      </c>
      <c r="V62" t="str">
        <f t="shared" si="13"/>
        <v>-</v>
      </c>
      <c r="W62" t="str">
        <f t="shared" si="14"/>
        <v>-</v>
      </c>
      <c r="X62" t="str">
        <f t="shared" si="15"/>
        <v>-</v>
      </c>
      <c r="Y62" t="str">
        <f t="shared" si="16"/>
        <v>-</v>
      </c>
      <c r="Z62" t="str">
        <f t="shared" si="17"/>
        <v>-</v>
      </c>
      <c r="AA62" t="str">
        <f t="shared" si="18"/>
        <v>-</v>
      </c>
      <c r="AB62" t="str">
        <f>IF(_xlfn.IFNA(VLOOKUP(P62,Set_Ref!$B$6:$B$1048576,1,FALSE),"")&lt;&gt;"","-",FALSE)</f>
        <v>-</v>
      </c>
      <c r="AC62" t="str">
        <f t="shared" si="19"/>
        <v>-</v>
      </c>
      <c r="AD62" t="str">
        <f t="shared" si="20"/>
        <v>-</v>
      </c>
      <c r="AE62" t="b">
        <f t="shared" si="21"/>
        <v>1</v>
      </c>
    </row>
    <row r="63" spans="1:31" x14ac:dyDescent="0.25">
      <c r="A63">
        <v>15</v>
      </c>
      <c r="B63">
        <v>2</v>
      </c>
      <c r="C63">
        <v>261</v>
      </c>
      <c r="D63" s="11" t="s">
        <v>145</v>
      </c>
      <c r="E63" s="11" t="s">
        <v>240</v>
      </c>
      <c r="F63" s="11" t="s">
        <v>207</v>
      </c>
      <c r="G63" s="11" t="s">
        <v>253</v>
      </c>
      <c r="H63">
        <v>9</v>
      </c>
      <c r="I63" s="11" t="s">
        <v>238</v>
      </c>
      <c r="J63" s="11" t="s">
        <v>224</v>
      </c>
      <c r="K63" s="11" t="s">
        <v>191</v>
      </c>
      <c r="L63" s="11" t="s">
        <v>38</v>
      </c>
      <c r="M63" s="11" t="s">
        <v>38</v>
      </c>
      <c r="N63" s="11" t="s">
        <v>38</v>
      </c>
      <c r="O63" s="11" t="s">
        <v>38</v>
      </c>
      <c r="P63" t="s">
        <v>8</v>
      </c>
      <c r="Q63">
        <v>1900</v>
      </c>
      <c r="R63">
        <v>0</v>
      </c>
      <c r="S63">
        <v>0</v>
      </c>
      <c r="T63" t="str">
        <f t="shared" si="11"/>
        <v>-</v>
      </c>
      <c r="U63" t="str">
        <f t="shared" si="12"/>
        <v>-</v>
      </c>
      <c r="V63" t="str">
        <f t="shared" si="13"/>
        <v>-</v>
      </c>
      <c r="W63" t="str">
        <f t="shared" si="14"/>
        <v>-</v>
      </c>
      <c r="X63" t="str">
        <f t="shared" si="15"/>
        <v>-</v>
      </c>
      <c r="Y63" t="str">
        <f t="shared" si="16"/>
        <v>-</v>
      </c>
      <c r="Z63" t="str">
        <f t="shared" si="17"/>
        <v>-</v>
      </c>
      <c r="AA63" t="str">
        <f t="shared" si="18"/>
        <v>-</v>
      </c>
      <c r="AB63" t="str">
        <f>IF(_xlfn.IFNA(VLOOKUP(P63,Set_Ref!$B$6:$B$1048576,1,FALSE),"")&lt;&gt;"","-",FALSE)</f>
        <v>-</v>
      </c>
      <c r="AC63" t="str">
        <f t="shared" si="19"/>
        <v>-</v>
      </c>
      <c r="AD63" t="str">
        <f t="shared" si="20"/>
        <v>-</v>
      </c>
      <c r="AE63" t="b">
        <f t="shared" si="21"/>
        <v>1</v>
      </c>
    </row>
    <row r="64" spans="1:31" x14ac:dyDescent="0.25">
      <c r="A64">
        <v>16</v>
      </c>
      <c r="B64">
        <v>1</v>
      </c>
      <c r="C64">
        <v>261</v>
      </c>
      <c r="D64" s="11" t="s">
        <v>145</v>
      </c>
      <c r="E64" s="11" t="s">
        <v>245</v>
      </c>
      <c r="F64" s="11" t="s">
        <v>197</v>
      </c>
      <c r="G64" s="11" t="s">
        <v>259</v>
      </c>
      <c r="H64">
        <v>7</v>
      </c>
      <c r="I64" s="11" t="s">
        <v>234</v>
      </c>
      <c r="J64" s="11" t="s">
        <v>264</v>
      </c>
      <c r="K64" s="11" t="s">
        <v>193</v>
      </c>
      <c r="L64" s="11" t="s">
        <v>38</v>
      </c>
      <c r="M64" s="11" t="s">
        <v>38</v>
      </c>
      <c r="N64" s="11" t="s">
        <v>38</v>
      </c>
      <c r="O64" s="11" t="s">
        <v>38</v>
      </c>
      <c r="P64" t="s">
        <v>8</v>
      </c>
      <c r="Q64">
        <v>20</v>
      </c>
      <c r="R64">
        <v>0</v>
      </c>
      <c r="S64">
        <v>0</v>
      </c>
      <c r="T64" t="str">
        <f t="shared" si="11"/>
        <v>-</v>
      </c>
      <c r="U64" t="str">
        <f t="shared" si="12"/>
        <v>-</v>
      </c>
      <c r="V64" t="str">
        <f t="shared" si="13"/>
        <v>-</v>
      </c>
      <c r="W64" t="str">
        <f t="shared" si="14"/>
        <v>-</v>
      </c>
      <c r="X64" t="str">
        <f t="shared" si="15"/>
        <v>-</v>
      </c>
      <c r="Y64" t="str">
        <f t="shared" si="16"/>
        <v>-</v>
      </c>
      <c r="Z64" t="str">
        <f t="shared" si="17"/>
        <v>-</v>
      </c>
      <c r="AA64" t="str">
        <f t="shared" si="18"/>
        <v>-</v>
      </c>
      <c r="AB64" t="str">
        <f>IF(_xlfn.IFNA(VLOOKUP(P64,Set_Ref!$B$6:$B$1048576,1,FALSE),"")&lt;&gt;"","-",FALSE)</f>
        <v>-</v>
      </c>
      <c r="AC64" t="str">
        <f t="shared" si="19"/>
        <v>-</v>
      </c>
      <c r="AD64" t="str">
        <f t="shared" si="20"/>
        <v>-</v>
      </c>
      <c r="AE64" t="b">
        <f t="shared" si="21"/>
        <v>1</v>
      </c>
    </row>
    <row r="65" spans="1:31" x14ac:dyDescent="0.25">
      <c r="A65">
        <v>16</v>
      </c>
      <c r="B65">
        <v>2</v>
      </c>
      <c r="C65">
        <v>261</v>
      </c>
      <c r="D65" s="11" t="s">
        <v>145</v>
      </c>
      <c r="E65" s="11" t="s">
        <v>245</v>
      </c>
      <c r="F65" s="11" t="s">
        <v>197</v>
      </c>
      <c r="G65" s="11" t="s">
        <v>259</v>
      </c>
      <c r="H65">
        <v>7</v>
      </c>
      <c r="I65" s="11" t="s">
        <v>234</v>
      </c>
      <c r="J65" s="11" t="s">
        <v>264</v>
      </c>
      <c r="K65" s="11" t="s">
        <v>193</v>
      </c>
      <c r="L65" s="11" t="s">
        <v>38</v>
      </c>
      <c r="M65" s="11" t="s">
        <v>38</v>
      </c>
      <c r="N65" s="11" t="s">
        <v>38</v>
      </c>
      <c r="O65" s="11" t="s">
        <v>38</v>
      </c>
      <c r="P65" t="s">
        <v>8</v>
      </c>
      <c r="Q65">
        <v>260</v>
      </c>
      <c r="R65">
        <v>0</v>
      </c>
      <c r="S65">
        <v>0</v>
      </c>
      <c r="T65" t="str">
        <f t="shared" si="11"/>
        <v>-</v>
      </c>
      <c r="U65" t="str">
        <f t="shared" si="12"/>
        <v>-</v>
      </c>
      <c r="V65" t="str">
        <f t="shared" si="13"/>
        <v>-</v>
      </c>
      <c r="W65" t="str">
        <f t="shared" si="14"/>
        <v>-</v>
      </c>
      <c r="X65" t="str">
        <f t="shared" si="15"/>
        <v>-</v>
      </c>
      <c r="Y65" t="str">
        <f t="shared" si="16"/>
        <v>-</v>
      </c>
      <c r="Z65" t="str">
        <f t="shared" si="17"/>
        <v>-</v>
      </c>
      <c r="AA65" t="str">
        <f t="shared" si="18"/>
        <v>-</v>
      </c>
      <c r="AB65" t="str">
        <f>IF(_xlfn.IFNA(VLOOKUP(P65,Set_Ref!$B$6:$B$1048576,1,FALSE),"")&lt;&gt;"","-",FALSE)</f>
        <v>-</v>
      </c>
      <c r="AC65" t="str">
        <f t="shared" si="19"/>
        <v>-</v>
      </c>
      <c r="AD65" t="str">
        <f t="shared" si="20"/>
        <v>-</v>
      </c>
      <c r="AE65" t="b">
        <f t="shared" si="21"/>
        <v>1</v>
      </c>
    </row>
    <row r="66" spans="1:31" x14ac:dyDescent="0.25">
      <c r="A66">
        <v>16</v>
      </c>
      <c r="B66">
        <v>3</v>
      </c>
      <c r="C66">
        <v>261</v>
      </c>
      <c r="D66" s="11" t="s">
        <v>145</v>
      </c>
      <c r="E66" s="11" t="s">
        <v>243</v>
      </c>
      <c r="F66" s="11" t="s">
        <v>200</v>
      </c>
      <c r="G66" s="11" t="s">
        <v>257</v>
      </c>
      <c r="H66">
        <v>2</v>
      </c>
      <c r="I66" s="11" t="s">
        <v>234</v>
      </c>
      <c r="J66" s="11" t="s">
        <v>264</v>
      </c>
      <c r="K66" s="11" t="s">
        <v>193</v>
      </c>
      <c r="L66" s="11" t="s">
        <v>38</v>
      </c>
      <c r="M66" s="11" t="s">
        <v>38</v>
      </c>
      <c r="N66" s="11" t="s">
        <v>38</v>
      </c>
      <c r="O66" s="11" t="s">
        <v>38</v>
      </c>
      <c r="P66" t="s">
        <v>8</v>
      </c>
      <c r="Q66">
        <v>170</v>
      </c>
      <c r="R66">
        <v>0</v>
      </c>
      <c r="S66">
        <v>0</v>
      </c>
      <c r="T66" t="str">
        <f t="shared" si="11"/>
        <v>-</v>
      </c>
      <c r="U66" t="str">
        <f t="shared" si="12"/>
        <v>-</v>
      </c>
      <c r="V66" t="str">
        <f t="shared" si="13"/>
        <v>-</v>
      </c>
      <c r="W66" t="str">
        <f t="shared" si="14"/>
        <v>-</v>
      </c>
      <c r="X66" t="str">
        <f t="shared" si="15"/>
        <v>-</v>
      </c>
      <c r="Y66" t="str">
        <f t="shared" si="16"/>
        <v>-</v>
      </c>
      <c r="Z66" t="str">
        <f t="shared" si="17"/>
        <v>-</v>
      </c>
      <c r="AA66" t="str">
        <f t="shared" si="18"/>
        <v>-</v>
      </c>
      <c r="AB66" t="str">
        <f>IF(_xlfn.IFNA(VLOOKUP(P66,Set_Ref!$B$6:$B$1048576,1,FALSE),"")&lt;&gt;"","-",FALSE)</f>
        <v>-</v>
      </c>
      <c r="AC66" t="str">
        <f t="shared" si="19"/>
        <v>-</v>
      </c>
      <c r="AD66" t="str">
        <f t="shared" si="20"/>
        <v>-</v>
      </c>
      <c r="AE66" t="b">
        <f t="shared" si="21"/>
        <v>1</v>
      </c>
    </row>
    <row r="67" spans="1:31" x14ac:dyDescent="0.25">
      <c r="A67">
        <v>16</v>
      </c>
      <c r="B67">
        <v>4</v>
      </c>
      <c r="C67">
        <v>261</v>
      </c>
      <c r="D67" s="11" t="s">
        <v>145</v>
      </c>
      <c r="E67" s="11" t="s">
        <v>243</v>
      </c>
      <c r="F67" s="11" t="s">
        <v>200</v>
      </c>
      <c r="G67" s="11" t="s">
        <v>257</v>
      </c>
      <c r="H67">
        <v>2</v>
      </c>
      <c r="I67" s="11" t="s">
        <v>234</v>
      </c>
      <c r="J67" s="11" t="s">
        <v>264</v>
      </c>
      <c r="K67" s="11" t="s">
        <v>193</v>
      </c>
      <c r="L67" s="11" t="s">
        <v>38</v>
      </c>
      <c r="M67" s="11" t="s">
        <v>38</v>
      </c>
      <c r="N67" s="11" t="s">
        <v>38</v>
      </c>
      <c r="O67" s="11" t="s">
        <v>38</v>
      </c>
      <c r="P67" t="s">
        <v>8</v>
      </c>
      <c r="Q67">
        <v>510</v>
      </c>
      <c r="R67">
        <v>0</v>
      </c>
      <c r="S67">
        <v>0</v>
      </c>
      <c r="T67" t="str">
        <f t="shared" ref="T67:T86" si="22">IF(OR(A67="",A67&lt;1),FALSE,IF(ISNUMBER(A67), IF(INT(A67) = A67, "-", FALSE), FALSE))</f>
        <v>-</v>
      </c>
      <c r="U67" t="str">
        <f t="shared" ref="U67:U86" si="23">IF(OR(B67="",A67&lt;1),FALSE,IF(ISNUMBER(A67), IF(INT(A67) = A67, "-", FALSE), FALSE))</f>
        <v>-</v>
      </c>
      <c r="V67" t="str">
        <f t="shared" ref="V67:V86" si="24">IF(OR(C67="",C67="PilihSalasatu"),FALSE,"-")</f>
        <v>-</v>
      </c>
      <c r="W67" t="str">
        <f t="shared" ref="W67:W86" si="25">IF(D67="",FALSE,"-")</f>
        <v>-</v>
      </c>
      <c r="X67" t="str">
        <f t="shared" ref="X67:X86" si="26">IF(E67="",FALSE,"-")</f>
        <v>-</v>
      </c>
      <c r="Y67" t="str">
        <f t="shared" ref="Y67:Y86" si="27">IF(F67="",FALSE,"-")</f>
        <v>-</v>
      </c>
      <c r="Z67" t="str">
        <f t="shared" ref="Z67:Z86" si="28">IF(I67="",FALSE,"-")</f>
        <v>-</v>
      </c>
      <c r="AA67" t="str">
        <f t="shared" ref="AA67:AA86" si="29">IF(J67="",FALSE,"-")</f>
        <v>-</v>
      </c>
      <c r="AB67" t="str">
        <f>IF(_xlfn.IFNA(VLOOKUP(P67,Set_Ref!$B$6:$B$1048576,1,FALSE),"")&lt;&gt;"","-",FALSE)</f>
        <v>-</v>
      </c>
      <c r="AC67" t="str">
        <f t="shared" ref="AC67:AC86" si="30">IF(OR(Q67="",Q67&lt;=0),FALSE,IF(ISNUMBER(Q67),"-",FALSE))</f>
        <v>-</v>
      </c>
      <c r="AD67" t="str">
        <f t="shared" ref="AD67:AD86" si="31">IF(OR(G67="",H67="",I67="",K67=""),FALSE,"-")</f>
        <v>-</v>
      </c>
      <c r="AE67" t="b">
        <f t="shared" ref="AE67:AE98" si="32">IF(COUNTIF(T67:AD67, "FALSE") &gt; 0, FALSE, TRUE)</f>
        <v>1</v>
      </c>
    </row>
    <row r="68" spans="1:31" x14ac:dyDescent="0.25">
      <c r="A68">
        <v>16</v>
      </c>
      <c r="B68">
        <v>5</v>
      </c>
      <c r="C68">
        <v>261</v>
      </c>
      <c r="D68" s="11" t="s">
        <v>145</v>
      </c>
      <c r="E68" s="11" t="s">
        <v>248</v>
      </c>
      <c r="F68" s="11" t="s">
        <v>203</v>
      </c>
      <c r="G68" s="11" t="s">
        <v>261</v>
      </c>
      <c r="H68">
        <v>2</v>
      </c>
      <c r="I68" s="11" t="s">
        <v>234</v>
      </c>
      <c r="J68" s="11" t="s">
        <v>192</v>
      </c>
      <c r="K68" s="11" t="s">
        <v>193</v>
      </c>
      <c r="L68" s="11" t="s">
        <v>38</v>
      </c>
      <c r="M68" s="11" t="s">
        <v>38</v>
      </c>
      <c r="N68" s="11" t="s">
        <v>38</v>
      </c>
      <c r="O68" s="11" t="s">
        <v>38</v>
      </c>
      <c r="P68" t="s">
        <v>8</v>
      </c>
      <c r="Q68">
        <v>170</v>
      </c>
      <c r="R68">
        <v>0</v>
      </c>
      <c r="S68">
        <v>0</v>
      </c>
      <c r="T68" t="str">
        <f t="shared" si="22"/>
        <v>-</v>
      </c>
      <c r="U68" t="str">
        <f t="shared" si="23"/>
        <v>-</v>
      </c>
      <c r="V68" t="str">
        <f t="shared" si="24"/>
        <v>-</v>
      </c>
      <c r="W68" t="str">
        <f t="shared" si="25"/>
        <v>-</v>
      </c>
      <c r="X68" t="str">
        <f t="shared" si="26"/>
        <v>-</v>
      </c>
      <c r="Y68" t="str">
        <f t="shared" si="27"/>
        <v>-</v>
      </c>
      <c r="Z68" t="str">
        <f t="shared" si="28"/>
        <v>-</v>
      </c>
      <c r="AA68" t="str">
        <f t="shared" si="29"/>
        <v>-</v>
      </c>
      <c r="AB68" t="str">
        <f>IF(_xlfn.IFNA(VLOOKUP(P68,Set_Ref!$B$6:$B$1048576,1,FALSE),"")&lt;&gt;"","-",FALSE)</f>
        <v>-</v>
      </c>
      <c r="AC68" t="str">
        <f t="shared" si="30"/>
        <v>-</v>
      </c>
      <c r="AD68" t="str">
        <f t="shared" si="31"/>
        <v>-</v>
      </c>
      <c r="AE68" t="b">
        <f t="shared" si="32"/>
        <v>1</v>
      </c>
    </row>
    <row r="69" spans="1:31" x14ac:dyDescent="0.25">
      <c r="A69">
        <v>16</v>
      </c>
      <c r="B69">
        <v>6</v>
      </c>
      <c r="C69">
        <v>261</v>
      </c>
      <c r="D69" s="11" t="s">
        <v>145</v>
      </c>
      <c r="E69" s="11" t="s">
        <v>248</v>
      </c>
      <c r="F69" s="11" t="s">
        <v>203</v>
      </c>
      <c r="G69" s="11" t="s">
        <v>261</v>
      </c>
      <c r="H69">
        <v>2</v>
      </c>
      <c r="I69" s="11" t="s">
        <v>234</v>
      </c>
      <c r="J69" s="11" t="s">
        <v>192</v>
      </c>
      <c r="K69" s="11" t="s">
        <v>193</v>
      </c>
      <c r="L69" s="11" t="s">
        <v>38</v>
      </c>
      <c r="M69" s="11" t="s">
        <v>38</v>
      </c>
      <c r="N69" s="11" t="s">
        <v>38</v>
      </c>
      <c r="O69" s="11" t="s">
        <v>38</v>
      </c>
      <c r="P69" t="s">
        <v>8</v>
      </c>
      <c r="Q69">
        <v>300</v>
      </c>
      <c r="R69">
        <v>0</v>
      </c>
      <c r="S69">
        <v>0</v>
      </c>
      <c r="T69" t="str">
        <f t="shared" si="22"/>
        <v>-</v>
      </c>
      <c r="U69" t="str">
        <f t="shared" si="23"/>
        <v>-</v>
      </c>
      <c r="V69" t="str">
        <f t="shared" si="24"/>
        <v>-</v>
      </c>
      <c r="W69" t="str">
        <f t="shared" si="25"/>
        <v>-</v>
      </c>
      <c r="X69" t="str">
        <f t="shared" si="26"/>
        <v>-</v>
      </c>
      <c r="Y69" t="str">
        <f t="shared" si="27"/>
        <v>-</v>
      </c>
      <c r="Z69" t="str">
        <f t="shared" si="28"/>
        <v>-</v>
      </c>
      <c r="AA69" t="str">
        <f t="shared" si="29"/>
        <v>-</v>
      </c>
      <c r="AB69" t="str">
        <f>IF(_xlfn.IFNA(VLOOKUP(P69,Set_Ref!$B$6:$B$1048576,1,FALSE),"")&lt;&gt;"","-",FALSE)</f>
        <v>-</v>
      </c>
      <c r="AC69" t="str">
        <f t="shared" si="30"/>
        <v>-</v>
      </c>
      <c r="AD69" t="str">
        <f t="shared" si="31"/>
        <v>-</v>
      </c>
      <c r="AE69" t="b">
        <f t="shared" si="32"/>
        <v>1</v>
      </c>
    </row>
    <row r="70" spans="1:31" x14ac:dyDescent="0.25">
      <c r="A70">
        <v>16</v>
      </c>
      <c r="B70">
        <v>7</v>
      </c>
      <c r="C70">
        <v>261</v>
      </c>
      <c r="D70" s="11" t="s">
        <v>145</v>
      </c>
      <c r="E70" s="11" t="s">
        <v>244</v>
      </c>
      <c r="F70" s="11" t="s">
        <v>204</v>
      </c>
      <c r="G70" s="11" t="s">
        <v>258</v>
      </c>
      <c r="H70">
        <v>1</v>
      </c>
      <c r="I70" s="11" t="s">
        <v>234</v>
      </c>
      <c r="J70" s="11" t="s">
        <v>265</v>
      </c>
      <c r="K70" s="11" t="s">
        <v>193</v>
      </c>
      <c r="L70" s="11" t="s">
        <v>38</v>
      </c>
      <c r="M70" s="11" t="s">
        <v>38</v>
      </c>
      <c r="N70" s="11" t="s">
        <v>38</v>
      </c>
      <c r="O70" s="11" t="s">
        <v>38</v>
      </c>
      <c r="P70" t="s">
        <v>8</v>
      </c>
      <c r="Q70">
        <v>30</v>
      </c>
      <c r="R70">
        <v>0</v>
      </c>
      <c r="S70">
        <v>0</v>
      </c>
      <c r="T70" t="str">
        <f t="shared" si="22"/>
        <v>-</v>
      </c>
      <c r="U70" t="str">
        <f t="shared" si="23"/>
        <v>-</v>
      </c>
      <c r="V70" t="str">
        <f t="shared" si="24"/>
        <v>-</v>
      </c>
      <c r="W70" t="str">
        <f t="shared" si="25"/>
        <v>-</v>
      </c>
      <c r="X70" t="str">
        <f t="shared" si="26"/>
        <v>-</v>
      </c>
      <c r="Y70" t="str">
        <f t="shared" si="27"/>
        <v>-</v>
      </c>
      <c r="Z70" t="str">
        <f t="shared" si="28"/>
        <v>-</v>
      </c>
      <c r="AA70" t="str">
        <f t="shared" si="29"/>
        <v>-</v>
      </c>
      <c r="AB70" t="str">
        <f>IF(_xlfn.IFNA(VLOOKUP(P70,Set_Ref!$B$6:$B$1048576,1,FALSE),"")&lt;&gt;"","-",FALSE)</f>
        <v>-</v>
      </c>
      <c r="AC70" t="str">
        <f t="shared" si="30"/>
        <v>-</v>
      </c>
      <c r="AD70" t="str">
        <f t="shared" si="31"/>
        <v>-</v>
      </c>
      <c r="AE70" t="b">
        <f t="shared" si="32"/>
        <v>1</v>
      </c>
    </row>
    <row r="71" spans="1:31" x14ac:dyDescent="0.25">
      <c r="A71">
        <v>16</v>
      </c>
      <c r="B71">
        <v>8</v>
      </c>
      <c r="C71">
        <v>261</v>
      </c>
      <c r="D71" s="11" t="s">
        <v>145</v>
      </c>
      <c r="E71" s="11" t="s">
        <v>244</v>
      </c>
      <c r="F71" s="11" t="s">
        <v>204</v>
      </c>
      <c r="G71" s="11" t="s">
        <v>258</v>
      </c>
      <c r="H71">
        <v>1</v>
      </c>
      <c r="I71" s="11" t="s">
        <v>234</v>
      </c>
      <c r="J71" s="11" t="s">
        <v>265</v>
      </c>
      <c r="K71" s="11" t="s">
        <v>193</v>
      </c>
      <c r="L71" s="11" t="s">
        <v>38</v>
      </c>
      <c r="M71" s="11" t="s">
        <v>38</v>
      </c>
      <c r="N71" s="11" t="s">
        <v>38</v>
      </c>
      <c r="O71" s="11" t="s">
        <v>38</v>
      </c>
      <c r="P71" t="s">
        <v>8</v>
      </c>
      <c r="Q71">
        <v>1120</v>
      </c>
      <c r="R71">
        <v>0</v>
      </c>
      <c r="S71">
        <v>0</v>
      </c>
      <c r="T71" t="str">
        <f t="shared" si="22"/>
        <v>-</v>
      </c>
      <c r="U71" t="str">
        <f t="shared" si="23"/>
        <v>-</v>
      </c>
      <c r="V71" t="str">
        <f t="shared" si="24"/>
        <v>-</v>
      </c>
      <c r="W71" t="str">
        <f t="shared" si="25"/>
        <v>-</v>
      </c>
      <c r="X71" t="str">
        <f t="shared" si="26"/>
        <v>-</v>
      </c>
      <c r="Y71" t="str">
        <f t="shared" si="27"/>
        <v>-</v>
      </c>
      <c r="Z71" t="str">
        <f t="shared" si="28"/>
        <v>-</v>
      </c>
      <c r="AA71" t="str">
        <f t="shared" si="29"/>
        <v>-</v>
      </c>
      <c r="AB71" t="str">
        <f>IF(_xlfn.IFNA(VLOOKUP(P71,Set_Ref!$B$6:$B$1048576,1,FALSE),"")&lt;&gt;"","-",FALSE)</f>
        <v>-</v>
      </c>
      <c r="AC71" t="str">
        <f t="shared" si="30"/>
        <v>-</v>
      </c>
      <c r="AD71" t="str">
        <f t="shared" si="31"/>
        <v>-</v>
      </c>
      <c r="AE71" t="b">
        <f t="shared" si="32"/>
        <v>1</v>
      </c>
    </row>
    <row r="72" spans="1:31" x14ac:dyDescent="0.25">
      <c r="A72">
        <v>16</v>
      </c>
      <c r="B72">
        <v>9</v>
      </c>
      <c r="C72">
        <v>261</v>
      </c>
      <c r="D72" s="11" t="s">
        <v>145</v>
      </c>
      <c r="E72" s="11" t="s">
        <v>240</v>
      </c>
      <c r="F72" s="11" t="s">
        <v>207</v>
      </c>
      <c r="G72" s="11" t="s">
        <v>253</v>
      </c>
      <c r="H72">
        <v>1</v>
      </c>
      <c r="I72" s="11" t="s">
        <v>234</v>
      </c>
      <c r="J72" s="11" t="s">
        <v>266</v>
      </c>
      <c r="K72" s="11" t="s">
        <v>193</v>
      </c>
      <c r="L72" s="11" t="s">
        <v>38</v>
      </c>
      <c r="M72" s="11" t="s">
        <v>38</v>
      </c>
      <c r="N72" s="11" t="s">
        <v>38</v>
      </c>
      <c r="O72" s="11" t="s">
        <v>38</v>
      </c>
      <c r="P72" t="s">
        <v>8</v>
      </c>
      <c r="Q72">
        <v>1210</v>
      </c>
      <c r="R72">
        <v>0</v>
      </c>
      <c r="S72">
        <v>0</v>
      </c>
      <c r="T72" t="str">
        <f t="shared" si="22"/>
        <v>-</v>
      </c>
      <c r="U72" t="str">
        <f t="shared" si="23"/>
        <v>-</v>
      </c>
      <c r="V72" t="str">
        <f t="shared" si="24"/>
        <v>-</v>
      </c>
      <c r="W72" t="str">
        <f t="shared" si="25"/>
        <v>-</v>
      </c>
      <c r="X72" t="str">
        <f t="shared" si="26"/>
        <v>-</v>
      </c>
      <c r="Y72" t="str">
        <f t="shared" si="27"/>
        <v>-</v>
      </c>
      <c r="Z72" t="str">
        <f t="shared" si="28"/>
        <v>-</v>
      </c>
      <c r="AA72" t="str">
        <f t="shared" si="29"/>
        <v>-</v>
      </c>
      <c r="AB72" t="str">
        <f>IF(_xlfn.IFNA(VLOOKUP(P72,Set_Ref!$B$6:$B$1048576,1,FALSE),"")&lt;&gt;"","-",FALSE)</f>
        <v>-</v>
      </c>
      <c r="AC72" t="str">
        <f t="shared" si="30"/>
        <v>-</v>
      </c>
      <c r="AD72" t="str">
        <f t="shared" si="31"/>
        <v>-</v>
      </c>
      <c r="AE72" t="b">
        <f t="shared" si="32"/>
        <v>1</v>
      </c>
    </row>
    <row r="73" spans="1:31" x14ac:dyDescent="0.25">
      <c r="A73">
        <v>16</v>
      </c>
      <c r="B73">
        <v>10</v>
      </c>
      <c r="C73">
        <v>261</v>
      </c>
      <c r="D73" s="11" t="s">
        <v>145</v>
      </c>
      <c r="E73" s="11" t="s">
        <v>240</v>
      </c>
      <c r="F73" s="11" t="s">
        <v>207</v>
      </c>
      <c r="G73" s="11" t="s">
        <v>253</v>
      </c>
      <c r="H73">
        <v>1</v>
      </c>
      <c r="I73" s="11" t="s">
        <v>234</v>
      </c>
      <c r="J73" s="11" t="s">
        <v>266</v>
      </c>
      <c r="K73" s="11" t="s">
        <v>193</v>
      </c>
      <c r="L73" s="11" t="s">
        <v>38</v>
      </c>
      <c r="M73" s="11" t="s">
        <v>38</v>
      </c>
      <c r="N73" s="11" t="s">
        <v>38</v>
      </c>
      <c r="O73" s="11" t="s">
        <v>38</v>
      </c>
      <c r="P73" t="s">
        <v>8</v>
      </c>
      <c r="Q73">
        <v>680</v>
      </c>
      <c r="R73">
        <v>0</v>
      </c>
      <c r="S73">
        <v>0</v>
      </c>
      <c r="T73" t="str">
        <f t="shared" si="22"/>
        <v>-</v>
      </c>
      <c r="U73" t="str">
        <f t="shared" si="23"/>
        <v>-</v>
      </c>
      <c r="V73" t="str">
        <f t="shared" si="24"/>
        <v>-</v>
      </c>
      <c r="W73" t="str">
        <f t="shared" si="25"/>
        <v>-</v>
      </c>
      <c r="X73" t="str">
        <f t="shared" si="26"/>
        <v>-</v>
      </c>
      <c r="Y73" t="str">
        <f t="shared" si="27"/>
        <v>-</v>
      </c>
      <c r="Z73" t="str">
        <f t="shared" si="28"/>
        <v>-</v>
      </c>
      <c r="AA73" t="str">
        <f t="shared" si="29"/>
        <v>-</v>
      </c>
      <c r="AB73" t="str">
        <f>IF(_xlfn.IFNA(VLOOKUP(P73,Set_Ref!$B$6:$B$1048576,1,FALSE),"")&lt;&gt;"","-",FALSE)</f>
        <v>-</v>
      </c>
      <c r="AC73" t="str">
        <f t="shared" si="30"/>
        <v>-</v>
      </c>
      <c r="AD73" t="str">
        <f t="shared" si="31"/>
        <v>-</v>
      </c>
      <c r="AE73" t="b">
        <f t="shared" si="32"/>
        <v>1</v>
      </c>
    </row>
    <row r="74" spans="1:31" x14ac:dyDescent="0.25">
      <c r="A74">
        <v>16</v>
      </c>
      <c r="B74">
        <v>11</v>
      </c>
      <c r="C74">
        <v>261</v>
      </c>
      <c r="D74" s="11" t="s">
        <v>145</v>
      </c>
      <c r="E74" s="11" t="s">
        <v>240</v>
      </c>
      <c r="F74" s="11" t="s">
        <v>207</v>
      </c>
      <c r="G74" s="11" t="s">
        <v>253</v>
      </c>
      <c r="H74">
        <v>1</v>
      </c>
      <c r="I74" s="11" t="s">
        <v>234</v>
      </c>
      <c r="J74" s="11" t="s">
        <v>266</v>
      </c>
      <c r="K74" s="11" t="s">
        <v>193</v>
      </c>
      <c r="L74" s="11" t="s">
        <v>38</v>
      </c>
      <c r="M74" s="11" t="s">
        <v>38</v>
      </c>
      <c r="N74" s="11" t="s">
        <v>38</v>
      </c>
      <c r="O74" s="11" t="s">
        <v>38</v>
      </c>
      <c r="P74" t="s">
        <v>8</v>
      </c>
      <c r="Q74">
        <v>10</v>
      </c>
      <c r="R74">
        <v>0</v>
      </c>
      <c r="S74">
        <v>0</v>
      </c>
      <c r="T74" t="str">
        <f t="shared" si="22"/>
        <v>-</v>
      </c>
      <c r="U74" t="str">
        <f t="shared" si="23"/>
        <v>-</v>
      </c>
      <c r="V74" t="str">
        <f t="shared" si="24"/>
        <v>-</v>
      </c>
      <c r="W74" t="str">
        <f t="shared" si="25"/>
        <v>-</v>
      </c>
      <c r="X74" t="str">
        <f t="shared" si="26"/>
        <v>-</v>
      </c>
      <c r="Y74" t="str">
        <f t="shared" si="27"/>
        <v>-</v>
      </c>
      <c r="Z74" t="str">
        <f t="shared" si="28"/>
        <v>-</v>
      </c>
      <c r="AA74" t="str">
        <f t="shared" si="29"/>
        <v>-</v>
      </c>
      <c r="AB74" t="str">
        <f>IF(_xlfn.IFNA(VLOOKUP(P74,Set_Ref!$B$6:$B$1048576,1,FALSE),"")&lt;&gt;"","-",FALSE)</f>
        <v>-</v>
      </c>
      <c r="AC74" t="str">
        <f t="shared" si="30"/>
        <v>-</v>
      </c>
      <c r="AD74" t="str">
        <f t="shared" si="31"/>
        <v>-</v>
      </c>
      <c r="AE74" t="b">
        <f t="shared" si="32"/>
        <v>1</v>
      </c>
    </row>
    <row r="75" spans="1:31" x14ac:dyDescent="0.25">
      <c r="A75">
        <v>16</v>
      </c>
      <c r="B75">
        <v>12</v>
      </c>
      <c r="C75">
        <v>261</v>
      </c>
      <c r="D75" s="11" t="s">
        <v>145</v>
      </c>
      <c r="E75" s="11" t="s">
        <v>245</v>
      </c>
      <c r="F75" s="11" t="s">
        <v>197</v>
      </c>
      <c r="G75" s="11" t="s">
        <v>259</v>
      </c>
      <c r="H75">
        <v>7</v>
      </c>
      <c r="I75" s="11" t="s">
        <v>234</v>
      </c>
      <c r="J75" s="11" t="s">
        <v>264</v>
      </c>
      <c r="K75" s="11" t="s">
        <v>193</v>
      </c>
      <c r="L75" s="11" t="s">
        <v>38</v>
      </c>
      <c r="M75" s="11" t="s">
        <v>38</v>
      </c>
      <c r="N75" s="11" t="s">
        <v>38</v>
      </c>
      <c r="O75" s="11" t="s">
        <v>38</v>
      </c>
      <c r="P75" t="s">
        <v>8</v>
      </c>
      <c r="Q75">
        <v>20</v>
      </c>
      <c r="R75">
        <v>0</v>
      </c>
      <c r="S75">
        <v>0</v>
      </c>
      <c r="T75" t="str">
        <f t="shared" si="22"/>
        <v>-</v>
      </c>
      <c r="U75" t="str">
        <f t="shared" si="23"/>
        <v>-</v>
      </c>
      <c r="V75" t="str">
        <f t="shared" si="24"/>
        <v>-</v>
      </c>
      <c r="W75" t="str">
        <f t="shared" si="25"/>
        <v>-</v>
      </c>
      <c r="X75" t="str">
        <f t="shared" si="26"/>
        <v>-</v>
      </c>
      <c r="Y75" t="str">
        <f t="shared" si="27"/>
        <v>-</v>
      </c>
      <c r="Z75" t="str">
        <f t="shared" si="28"/>
        <v>-</v>
      </c>
      <c r="AA75" t="str">
        <f t="shared" si="29"/>
        <v>-</v>
      </c>
      <c r="AB75" t="str">
        <f>IF(_xlfn.IFNA(VLOOKUP(P75,Set_Ref!$B$6:$B$1048576,1,FALSE),"")&lt;&gt;"","-",FALSE)</f>
        <v>-</v>
      </c>
      <c r="AC75" t="str">
        <f t="shared" si="30"/>
        <v>-</v>
      </c>
      <c r="AD75" t="str">
        <f t="shared" si="31"/>
        <v>-</v>
      </c>
      <c r="AE75" t="b">
        <f t="shared" si="32"/>
        <v>1</v>
      </c>
    </row>
    <row r="76" spans="1:31" x14ac:dyDescent="0.25">
      <c r="A76">
        <v>16</v>
      </c>
      <c r="B76">
        <v>13</v>
      </c>
      <c r="C76">
        <v>261</v>
      </c>
      <c r="D76" s="11" t="s">
        <v>145</v>
      </c>
      <c r="E76" s="11" t="s">
        <v>245</v>
      </c>
      <c r="F76" s="11" t="s">
        <v>197</v>
      </c>
      <c r="G76" s="11" t="s">
        <v>259</v>
      </c>
      <c r="H76">
        <v>7</v>
      </c>
      <c r="I76" s="11" t="s">
        <v>234</v>
      </c>
      <c r="J76" s="11" t="s">
        <v>264</v>
      </c>
      <c r="K76" s="11" t="s">
        <v>193</v>
      </c>
      <c r="L76" s="11" t="s">
        <v>38</v>
      </c>
      <c r="M76" s="11" t="s">
        <v>38</v>
      </c>
      <c r="N76" s="11" t="s">
        <v>38</v>
      </c>
      <c r="O76" s="11" t="s">
        <v>38</v>
      </c>
      <c r="P76" t="s">
        <v>8</v>
      </c>
      <c r="Q76">
        <v>260</v>
      </c>
      <c r="R76">
        <v>0</v>
      </c>
      <c r="S76">
        <v>0</v>
      </c>
      <c r="T76" t="str">
        <f t="shared" si="22"/>
        <v>-</v>
      </c>
      <c r="U76" t="str">
        <f t="shared" si="23"/>
        <v>-</v>
      </c>
      <c r="V76" t="str">
        <f t="shared" si="24"/>
        <v>-</v>
      </c>
      <c r="W76" t="str">
        <f t="shared" si="25"/>
        <v>-</v>
      </c>
      <c r="X76" t="str">
        <f t="shared" si="26"/>
        <v>-</v>
      </c>
      <c r="Y76" t="str">
        <f t="shared" si="27"/>
        <v>-</v>
      </c>
      <c r="Z76" t="str">
        <f t="shared" si="28"/>
        <v>-</v>
      </c>
      <c r="AA76" t="str">
        <f t="shared" si="29"/>
        <v>-</v>
      </c>
      <c r="AB76" t="str">
        <f>IF(_xlfn.IFNA(VLOOKUP(P76,Set_Ref!$B$6:$B$1048576,1,FALSE),"")&lt;&gt;"","-",FALSE)</f>
        <v>-</v>
      </c>
      <c r="AC76" t="str">
        <f t="shared" si="30"/>
        <v>-</v>
      </c>
      <c r="AD76" t="str">
        <f t="shared" si="31"/>
        <v>-</v>
      </c>
      <c r="AE76" t="b">
        <f t="shared" si="32"/>
        <v>1</v>
      </c>
    </row>
    <row r="77" spans="1:31" x14ac:dyDescent="0.25">
      <c r="A77">
        <v>16</v>
      </c>
      <c r="B77">
        <v>14</v>
      </c>
      <c r="C77">
        <v>261</v>
      </c>
      <c r="D77" s="11" t="s">
        <v>145</v>
      </c>
      <c r="E77" s="11" t="s">
        <v>243</v>
      </c>
      <c r="F77" s="11" t="s">
        <v>200</v>
      </c>
      <c r="G77" s="11" t="s">
        <v>257</v>
      </c>
      <c r="H77">
        <v>2</v>
      </c>
      <c r="I77" s="11" t="s">
        <v>234</v>
      </c>
      <c r="J77" s="11" t="s">
        <v>264</v>
      </c>
      <c r="K77" s="11" t="s">
        <v>193</v>
      </c>
      <c r="L77" s="11" t="s">
        <v>38</v>
      </c>
      <c r="M77" s="11" t="s">
        <v>38</v>
      </c>
      <c r="N77" s="11" t="s">
        <v>38</v>
      </c>
      <c r="O77" s="11" t="s">
        <v>38</v>
      </c>
      <c r="P77" t="s">
        <v>8</v>
      </c>
      <c r="Q77">
        <v>170</v>
      </c>
      <c r="R77">
        <v>0</v>
      </c>
      <c r="S77">
        <v>0</v>
      </c>
      <c r="T77" t="str">
        <f t="shared" si="22"/>
        <v>-</v>
      </c>
      <c r="U77" t="str">
        <f t="shared" si="23"/>
        <v>-</v>
      </c>
      <c r="V77" t="str">
        <f t="shared" si="24"/>
        <v>-</v>
      </c>
      <c r="W77" t="str">
        <f t="shared" si="25"/>
        <v>-</v>
      </c>
      <c r="X77" t="str">
        <f t="shared" si="26"/>
        <v>-</v>
      </c>
      <c r="Y77" t="str">
        <f t="shared" si="27"/>
        <v>-</v>
      </c>
      <c r="Z77" t="str">
        <f t="shared" si="28"/>
        <v>-</v>
      </c>
      <c r="AA77" t="str">
        <f t="shared" si="29"/>
        <v>-</v>
      </c>
      <c r="AB77" t="str">
        <f>IF(_xlfn.IFNA(VLOOKUP(P77,Set_Ref!$B$6:$B$1048576,1,FALSE),"")&lt;&gt;"","-",FALSE)</f>
        <v>-</v>
      </c>
      <c r="AC77" t="str">
        <f t="shared" si="30"/>
        <v>-</v>
      </c>
      <c r="AD77" t="str">
        <f t="shared" si="31"/>
        <v>-</v>
      </c>
      <c r="AE77" t="b">
        <f t="shared" si="32"/>
        <v>1</v>
      </c>
    </row>
    <row r="78" spans="1:31" x14ac:dyDescent="0.25">
      <c r="A78">
        <v>16</v>
      </c>
      <c r="B78">
        <v>15</v>
      </c>
      <c r="C78">
        <v>261</v>
      </c>
      <c r="D78" s="11" t="s">
        <v>145</v>
      </c>
      <c r="E78" s="11" t="s">
        <v>243</v>
      </c>
      <c r="F78" s="11" t="s">
        <v>200</v>
      </c>
      <c r="G78" s="11" t="s">
        <v>257</v>
      </c>
      <c r="H78">
        <v>2</v>
      </c>
      <c r="I78" s="11" t="s">
        <v>234</v>
      </c>
      <c r="J78" s="11" t="s">
        <v>264</v>
      </c>
      <c r="K78" s="11" t="s">
        <v>193</v>
      </c>
      <c r="L78" s="11" t="s">
        <v>38</v>
      </c>
      <c r="M78" s="11" t="s">
        <v>38</v>
      </c>
      <c r="N78" s="11" t="s">
        <v>38</v>
      </c>
      <c r="O78" s="11" t="s">
        <v>38</v>
      </c>
      <c r="P78" t="s">
        <v>8</v>
      </c>
      <c r="Q78">
        <v>510</v>
      </c>
      <c r="R78">
        <v>0</v>
      </c>
      <c r="S78">
        <v>0</v>
      </c>
      <c r="T78" t="str">
        <f t="shared" si="22"/>
        <v>-</v>
      </c>
      <c r="U78" t="str">
        <f t="shared" si="23"/>
        <v>-</v>
      </c>
      <c r="V78" t="str">
        <f t="shared" si="24"/>
        <v>-</v>
      </c>
      <c r="W78" t="str">
        <f t="shared" si="25"/>
        <v>-</v>
      </c>
      <c r="X78" t="str">
        <f t="shared" si="26"/>
        <v>-</v>
      </c>
      <c r="Y78" t="str">
        <f t="shared" si="27"/>
        <v>-</v>
      </c>
      <c r="Z78" t="str">
        <f t="shared" si="28"/>
        <v>-</v>
      </c>
      <c r="AA78" t="str">
        <f t="shared" si="29"/>
        <v>-</v>
      </c>
      <c r="AB78" t="str">
        <f>IF(_xlfn.IFNA(VLOOKUP(P78,Set_Ref!$B$6:$B$1048576,1,FALSE),"")&lt;&gt;"","-",FALSE)</f>
        <v>-</v>
      </c>
      <c r="AC78" t="str">
        <f t="shared" si="30"/>
        <v>-</v>
      </c>
      <c r="AD78" t="str">
        <f t="shared" si="31"/>
        <v>-</v>
      </c>
      <c r="AE78" t="b">
        <f t="shared" si="32"/>
        <v>1</v>
      </c>
    </row>
    <row r="79" spans="1:31" x14ac:dyDescent="0.25">
      <c r="A79">
        <v>16</v>
      </c>
      <c r="B79">
        <v>16</v>
      </c>
      <c r="C79">
        <v>261</v>
      </c>
      <c r="D79" s="11" t="s">
        <v>145</v>
      </c>
      <c r="E79" s="11" t="s">
        <v>248</v>
      </c>
      <c r="F79" s="11" t="s">
        <v>203</v>
      </c>
      <c r="G79" s="11" t="s">
        <v>261</v>
      </c>
      <c r="H79">
        <v>2</v>
      </c>
      <c r="I79" s="11" t="s">
        <v>234</v>
      </c>
      <c r="J79" s="11" t="s">
        <v>192</v>
      </c>
      <c r="K79" s="11" t="s">
        <v>193</v>
      </c>
      <c r="L79" s="11" t="s">
        <v>38</v>
      </c>
      <c r="M79" s="11" t="s">
        <v>38</v>
      </c>
      <c r="N79" s="11" t="s">
        <v>38</v>
      </c>
      <c r="O79" s="11" t="s">
        <v>38</v>
      </c>
      <c r="P79" t="s">
        <v>8</v>
      </c>
      <c r="Q79">
        <v>170</v>
      </c>
      <c r="R79">
        <v>0</v>
      </c>
      <c r="S79">
        <v>0</v>
      </c>
      <c r="T79" t="str">
        <f t="shared" si="22"/>
        <v>-</v>
      </c>
      <c r="U79" t="str">
        <f t="shared" si="23"/>
        <v>-</v>
      </c>
      <c r="V79" t="str">
        <f t="shared" si="24"/>
        <v>-</v>
      </c>
      <c r="W79" t="str">
        <f t="shared" si="25"/>
        <v>-</v>
      </c>
      <c r="X79" t="str">
        <f t="shared" si="26"/>
        <v>-</v>
      </c>
      <c r="Y79" t="str">
        <f t="shared" si="27"/>
        <v>-</v>
      </c>
      <c r="Z79" t="str">
        <f t="shared" si="28"/>
        <v>-</v>
      </c>
      <c r="AA79" t="str">
        <f t="shared" si="29"/>
        <v>-</v>
      </c>
      <c r="AB79" t="str">
        <f>IF(_xlfn.IFNA(VLOOKUP(P79,Set_Ref!$B$6:$B$1048576,1,FALSE),"")&lt;&gt;"","-",FALSE)</f>
        <v>-</v>
      </c>
      <c r="AC79" t="str">
        <f t="shared" si="30"/>
        <v>-</v>
      </c>
      <c r="AD79" t="str">
        <f t="shared" si="31"/>
        <v>-</v>
      </c>
      <c r="AE79" t="b">
        <f t="shared" si="32"/>
        <v>1</v>
      </c>
    </row>
    <row r="80" spans="1:31" x14ac:dyDescent="0.25">
      <c r="A80">
        <v>16</v>
      </c>
      <c r="B80">
        <v>17</v>
      </c>
      <c r="C80">
        <v>261</v>
      </c>
      <c r="D80" s="11" t="s">
        <v>145</v>
      </c>
      <c r="E80" s="11" t="s">
        <v>248</v>
      </c>
      <c r="F80" s="11" t="s">
        <v>203</v>
      </c>
      <c r="G80" s="11" t="s">
        <v>261</v>
      </c>
      <c r="H80">
        <v>2</v>
      </c>
      <c r="I80" s="11" t="s">
        <v>234</v>
      </c>
      <c r="J80" s="11" t="s">
        <v>192</v>
      </c>
      <c r="K80" s="11" t="s">
        <v>193</v>
      </c>
      <c r="L80" s="11" t="s">
        <v>38</v>
      </c>
      <c r="M80" s="11" t="s">
        <v>38</v>
      </c>
      <c r="N80" s="11" t="s">
        <v>38</v>
      </c>
      <c r="O80" s="11" t="s">
        <v>38</v>
      </c>
      <c r="P80" t="s">
        <v>8</v>
      </c>
      <c r="Q80">
        <v>300</v>
      </c>
      <c r="R80">
        <v>0</v>
      </c>
      <c r="S80">
        <v>0</v>
      </c>
      <c r="T80" t="str">
        <f t="shared" si="22"/>
        <v>-</v>
      </c>
      <c r="U80" t="str">
        <f t="shared" si="23"/>
        <v>-</v>
      </c>
      <c r="V80" t="str">
        <f t="shared" si="24"/>
        <v>-</v>
      </c>
      <c r="W80" t="str">
        <f t="shared" si="25"/>
        <v>-</v>
      </c>
      <c r="X80" t="str">
        <f t="shared" si="26"/>
        <v>-</v>
      </c>
      <c r="Y80" t="str">
        <f t="shared" si="27"/>
        <v>-</v>
      </c>
      <c r="Z80" t="str">
        <f t="shared" si="28"/>
        <v>-</v>
      </c>
      <c r="AA80" t="str">
        <f t="shared" si="29"/>
        <v>-</v>
      </c>
      <c r="AB80" t="str">
        <f>IF(_xlfn.IFNA(VLOOKUP(P80,Set_Ref!$B$6:$B$1048576,1,FALSE),"")&lt;&gt;"","-",FALSE)</f>
        <v>-</v>
      </c>
      <c r="AC80" t="str">
        <f t="shared" si="30"/>
        <v>-</v>
      </c>
      <c r="AD80" t="str">
        <f t="shared" si="31"/>
        <v>-</v>
      </c>
      <c r="AE80" t="b">
        <f t="shared" si="32"/>
        <v>1</v>
      </c>
    </row>
    <row r="81" spans="1:31" x14ac:dyDescent="0.25">
      <c r="A81">
        <v>16</v>
      </c>
      <c r="B81">
        <v>18</v>
      </c>
      <c r="C81">
        <v>261</v>
      </c>
      <c r="D81" s="11" t="s">
        <v>145</v>
      </c>
      <c r="E81" s="11" t="s">
        <v>244</v>
      </c>
      <c r="F81" s="11" t="s">
        <v>204</v>
      </c>
      <c r="G81" s="11" t="s">
        <v>258</v>
      </c>
      <c r="H81">
        <v>1</v>
      </c>
      <c r="I81" s="11" t="s">
        <v>234</v>
      </c>
      <c r="J81" s="11" t="s">
        <v>265</v>
      </c>
      <c r="K81" s="11" t="s">
        <v>193</v>
      </c>
      <c r="L81" s="11" t="s">
        <v>38</v>
      </c>
      <c r="M81" s="11" t="s">
        <v>38</v>
      </c>
      <c r="N81" s="11" t="s">
        <v>38</v>
      </c>
      <c r="O81" s="11" t="s">
        <v>38</v>
      </c>
      <c r="P81" t="s">
        <v>8</v>
      </c>
      <c r="Q81">
        <v>1120</v>
      </c>
      <c r="R81">
        <v>0</v>
      </c>
      <c r="S81">
        <v>0</v>
      </c>
      <c r="T81" t="str">
        <f t="shared" si="22"/>
        <v>-</v>
      </c>
      <c r="U81" t="str">
        <f t="shared" si="23"/>
        <v>-</v>
      </c>
      <c r="V81" t="str">
        <f t="shared" si="24"/>
        <v>-</v>
      </c>
      <c r="W81" t="str">
        <f t="shared" si="25"/>
        <v>-</v>
      </c>
      <c r="X81" t="str">
        <f t="shared" si="26"/>
        <v>-</v>
      </c>
      <c r="Y81" t="str">
        <f t="shared" si="27"/>
        <v>-</v>
      </c>
      <c r="Z81" t="str">
        <f t="shared" si="28"/>
        <v>-</v>
      </c>
      <c r="AA81" t="str">
        <f t="shared" si="29"/>
        <v>-</v>
      </c>
      <c r="AB81" t="str">
        <f>IF(_xlfn.IFNA(VLOOKUP(P81,Set_Ref!$B$6:$B$1048576,1,FALSE),"")&lt;&gt;"","-",FALSE)</f>
        <v>-</v>
      </c>
      <c r="AC81" t="str">
        <f t="shared" si="30"/>
        <v>-</v>
      </c>
      <c r="AD81" t="str">
        <f t="shared" si="31"/>
        <v>-</v>
      </c>
      <c r="AE81" t="b">
        <f t="shared" si="32"/>
        <v>1</v>
      </c>
    </row>
    <row r="82" spans="1:31" x14ac:dyDescent="0.25">
      <c r="A82">
        <v>16</v>
      </c>
      <c r="B82">
        <v>19</v>
      </c>
      <c r="C82">
        <v>261</v>
      </c>
      <c r="D82" s="11" t="s">
        <v>145</v>
      </c>
      <c r="E82" s="11" t="s">
        <v>240</v>
      </c>
      <c r="F82" s="11" t="s">
        <v>207</v>
      </c>
      <c r="G82" s="11" t="s">
        <v>253</v>
      </c>
      <c r="H82">
        <v>1</v>
      </c>
      <c r="I82" s="11" t="s">
        <v>234</v>
      </c>
      <c r="J82" s="11" t="s">
        <v>266</v>
      </c>
      <c r="K82" s="11" t="s">
        <v>193</v>
      </c>
      <c r="L82" s="11" t="s">
        <v>38</v>
      </c>
      <c r="M82" s="11" t="s">
        <v>38</v>
      </c>
      <c r="N82" s="11" t="s">
        <v>38</v>
      </c>
      <c r="O82" s="11" t="s">
        <v>38</v>
      </c>
      <c r="P82" t="s">
        <v>8</v>
      </c>
      <c r="Q82">
        <v>1210</v>
      </c>
      <c r="R82">
        <v>0</v>
      </c>
      <c r="S82">
        <v>0</v>
      </c>
      <c r="T82" t="str">
        <f t="shared" si="22"/>
        <v>-</v>
      </c>
      <c r="U82" t="str">
        <f t="shared" si="23"/>
        <v>-</v>
      </c>
      <c r="V82" t="str">
        <f t="shared" si="24"/>
        <v>-</v>
      </c>
      <c r="W82" t="str">
        <f t="shared" si="25"/>
        <v>-</v>
      </c>
      <c r="X82" t="str">
        <f t="shared" si="26"/>
        <v>-</v>
      </c>
      <c r="Y82" t="str">
        <f t="shared" si="27"/>
        <v>-</v>
      </c>
      <c r="Z82" t="str">
        <f t="shared" si="28"/>
        <v>-</v>
      </c>
      <c r="AA82" t="str">
        <f t="shared" si="29"/>
        <v>-</v>
      </c>
      <c r="AB82" t="str">
        <f>IF(_xlfn.IFNA(VLOOKUP(P82,Set_Ref!$B$6:$B$1048576,1,FALSE),"")&lt;&gt;"","-",FALSE)</f>
        <v>-</v>
      </c>
      <c r="AC82" t="str">
        <f t="shared" si="30"/>
        <v>-</v>
      </c>
      <c r="AD82" t="str">
        <f t="shared" si="31"/>
        <v>-</v>
      </c>
      <c r="AE82" t="b">
        <f t="shared" si="32"/>
        <v>1</v>
      </c>
    </row>
    <row r="83" spans="1:31" x14ac:dyDescent="0.25">
      <c r="A83">
        <v>16</v>
      </c>
      <c r="B83">
        <v>20</v>
      </c>
      <c r="C83">
        <v>261</v>
      </c>
      <c r="D83" s="11" t="s">
        <v>145</v>
      </c>
      <c r="E83" s="11" t="s">
        <v>240</v>
      </c>
      <c r="F83" s="11" t="s">
        <v>207</v>
      </c>
      <c r="G83" s="11" t="s">
        <v>253</v>
      </c>
      <c r="H83">
        <v>1</v>
      </c>
      <c r="I83" s="11" t="s">
        <v>234</v>
      </c>
      <c r="J83" s="11" t="s">
        <v>266</v>
      </c>
      <c r="K83" s="11" t="s">
        <v>193</v>
      </c>
      <c r="L83" s="11" t="s">
        <v>38</v>
      </c>
      <c r="M83" s="11" t="s">
        <v>38</v>
      </c>
      <c r="N83" s="11" t="s">
        <v>38</v>
      </c>
      <c r="O83" s="11" t="s">
        <v>38</v>
      </c>
      <c r="P83" t="s">
        <v>8</v>
      </c>
      <c r="Q83">
        <v>680</v>
      </c>
      <c r="R83">
        <v>0</v>
      </c>
      <c r="S83">
        <v>0</v>
      </c>
      <c r="T83" t="str">
        <f t="shared" si="22"/>
        <v>-</v>
      </c>
      <c r="U83" t="str">
        <f t="shared" si="23"/>
        <v>-</v>
      </c>
      <c r="V83" t="str">
        <f t="shared" si="24"/>
        <v>-</v>
      </c>
      <c r="W83" t="str">
        <f t="shared" si="25"/>
        <v>-</v>
      </c>
      <c r="X83" t="str">
        <f t="shared" si="26"/>
        <v>-</v>
      </c>
      <c r="Y83" t="str">
        <f t="shared" si="27"/>
        <v>-</v>
      </c>
      <c r="Z83" t="str">
        <f t="shared" si="28"/>
        <v>-</v>
      </c>
      <c r="AA83" t="str">
        <f t="shared" si="29"/>
        <v>-</v>
      </c>
      <c r="AB83" t="str">
        <f>IF(_xlfn.IFNA(VLOOKUP(P83,Set_Ref!$B$6:$B$1048576,1,FALSE),"")&lt;&gt;"","-",FALSE)</f>
        <v>-</v>
      </c>
      <c r="AC83" t="str">
        <f t="shared" si="30"/>
        <v>-</v>
      </c>
      <c r="AD83" t="str">
        <f t="shared" si="31"/>
        <v>-</v>
      </c>
      <c r="AE83" t="b">
        <f t="shared" si="32"/>
        <v>1</v>
      </c>
    </row>
    <row r="84" spans="1:31" x14ac:dyDescent="0.25">
      <c r="A84">
        <v>17</v>
      </c>
      <c r="B84">
        <v>1</v>
      </c>
      <c r="C84">
        <v>261</v>
      </c>
      <c r="D84" s="55" t="s">
        <v>145</v>
      </c>
      <c r="E84" s="11" t="s">
        <v>251</v>
      </c>
      <c r="F84" s="11" t="s">
        <v>196</v>
      </c>
      <c r="G84" s="11" t="s">
        <v>267</v>
      </c>
      <c r="H84">
        <v>1</v>
      </c>
      <c r="I84" s="11" t="s">
        <v>227</v>
      </c>
      <c r="J84" s="11" t="s">
        <v>225</v>
      </c>
      <c r="K84" s="11" t="s">
        <v>194</v>
      </c>
      <c r="L84" s="11" t="s">
        <v>38</v>
      </c>
      <c r="M84" s="11" t="s">
        <v>38</v>
      </c>
      <c r="N84" s="11" t="s">
        <v>38</v>
      </c>
      <c r="O84" s="11" t="s">
        <v>38</v>
      </c>
      <c r="P84" t="s">
        <v>8</v>
      </c>
      <c r="Q84">
        <v>700</v>
      </c>
      <c r="R84">
        <v>0</v>
      </c>
      <c r="S84">
        <v>0</v>
      </c>
      <c r="T84" t="str">
        <f t="shared" si="22"/>
        <v>-</v>
      </c>
      <c r="U84" t="str">
        <f t="shared" si="23"/>
        <v>-</v>
      </c>
      <c r="V84" t="str">
        <f t="shared" si="24"/>
        <v>-</v>
      </c>
      <c r="W84" t="str">
        <f t="shared" si="25"/>
        <v>-</v>
      </c>
      <c r="X84" t="str">
        <f t="shared" si="26"/>
        <v>-</v>
      </c>
      <c r="Y84" t="str">
        <f t="shared" si="27"/>
        <v>-</v>
      </c>
      <c r="Z84" t="str">
        <f t="shared" si="28"/>
        <v>-</v>
      </c>
      <c r="AA84" t="str">
        <f t="shared" si="29"/>
        <v>-</v>
      </c>
      <c r="AB84" t="str">
        <f>IF(_xlfn.IFNA(VLOOKUP(P84,Set_Ref!$B$6:$B$1048576,1,FALSE),"")&lt;&gt;"","-",FALSE)</f>
        <v>-</v>
      </c>
      <c r="AC84" t="str">
        <f t="shared" si="30"/>
        <v>-</v>
      </c>
      <c r="AD84" t="str">
        <f t="shared" si="31"/>
        <v>-</v>
      </c>
      <c r="AE84" t="b">
        <f t="shared" si="32"/>
        <v>1</v>
      </c>
    </row>
    <row r="85" spans="1:31" x14ac:dyDescent="0.25">
      <c r="A85">
        <v>17</v>
      </c>
      <c r="B85">
        <v>2</v>
      </c>
      <c r="C85">
        <v>261</v>
      </c>
      <c r="D85" s="11" t="s">
        <v>145</v>
      </c>
      <c r="E85" s="11" t="s">
        <v>240</v>
      </c>
      <c r="F85" s="11" t="s">
        <v>207</v>
      </c>
      <c r="G85" s="11" t="s">
        <v>253</v>
      </c>
      <c r="H85">
        <v>14</v>
      </c>
      <c r="I85" s="11" t="s">
        <v>227</v>
      </c>
      <c r="J85" s="11" t="s">
        <v>225</v>
      </c>
      <c r="K85" s="11" t="s">
        <v>194</v>
      </c>
      <c r="L85" s="11" t="s">
        <v>38</v>
      </c>
      <c r="M85" s="11" t="s">
        <v>38</v>
      </c>
      <c r="N85" s="11" t="s">
        <v>38</v>
      </c>
      <c r="O85" s="11" t="s">
        <v>38</v>
      </c>
      <c r="P85" t="s">
        <v>8</v>
      </c>
      <c r="Q85">
        <v>700</v>
      </c>
      <c r="R85">
        <v>0</v>
      </c>
      <c r="S85">
        <v>0</v>
      </c>
      <c r="T85" t="str">
        <f t="shared" si="22"/>
        <v>-</v>
      </c>
      <c r="U85" t="str">
        <f t="shared" si="23"/>
        <v>-</v>
      </c>
      <c r="V85" t="str">
        <f t="shared" si="24"/>
        <v>-</v>
      </c>
      <c r="W85" t="str">
        <f t="shared" si="25"/>
        <v>-</v>
      </c>
      <c r="X85" t="str">
        <f t="shared" si="26"/>
        <v>-</v>
      </c>
      <c r="Y85" t="str">
        <f t="shared" si="27"/>
        <v>-</v>
      </c>
      <c r="Z85" t="str">
        <f t="shared" si="28"/>
        <v>-</v>
      </c>
      <c r="AA85" t="str">
        <f t="shared" si="29"/>
        <v>-</v>
      </c>
      <c r="AB85" t="str">
        <f>IF(_xlfn.IFNA(VLOOKUP(P85,Set_Ref!$B$6:$B$1048576,1,FALSE),"")&lt;&gt;"","-",FALSE)</f>
        <v>-</v>
      </c>
      <c r="AC85" t="str">
        <f t="shared" si="30"/>
        <v>-</v>
      </c>
      <c r="AD85" t="str">
        <f t="shared" si="31"/>
        <v>-</v>
      </c>
      <c r="AE85" t="b">
        <f t="shared" si="32"/>
        <v>1</v>
      </c>
    </row>
    <row r="86" spans="1:31" x14ac:dyDescent="0.25">
      <c r="A86">
        <v>18</v>
      </c>
      <c r="B86">
        <v>1</v>
      </c>
      <c r="C86">
        <v>261</v>
      </c>
      <c r="D86" s="11" t="s">
        <v>145</v>
      </c>
      <c r="E86" s="11" t="s">
        <v>251</v>
      </c>
      <c r="F86" s="11" t="s">
        <v>196</v>
      </c>
      <c r="G86" s="11" t="s">
        <v>267</v>
      </c>
      <c r="H86">
        <v>2</v>
      </c>
      <c r="I86" s="11" t="s">
        <v>227</v>
      </c>
      <c r="J86" s="11" t="s">
        <v>226</v>
      </c>
      <c r="K86" s="11" t="s">
        <v>195</v>
      </c>
      <c r="L86" s="11" t="s">
        <v>38</v>
      </c>
      <c r="M86" s="11" t="s">
        <v>38</v>
      </c>
      <c r="N86" s="11" t="s">
        <v>38</v>
      </c>
      <c r="O86" s="11" t="s">
        <v>38</v>
      </c>
      <c r="P86" t="s">
        <v>8</v>
      </c>
      <c r="Q86">
        <v>670</v>
      </c>
      <c r="R86">
        <v>0</v>
      </c>
      <c r="S86">
        <v>0</v>
      </c>
      <c r="T86" t="str">
        <f t="shared" si="22"/>
        <v>-</v>
      </c>
      <c r="U86" t="str">
        <f t="shared" si="23"/>
        <v>-</v>
      </c>
      <c r="V86" t="str">
        <f t="shared" si="24"/>
        <v>-</v>
      </c>
      <c r="W86" t="str">
        <f t="shared" si="25"/>
        <v>-</v>
      </c>
      <c r="X86" t="str">
        <f t="shared" si="26"/>
        <v>-</v>
      </c>
      <c r="Y86" t="str">
        <f t="shared" si="27"/>
        <v>-</v>
      </c>
      <c r="Z86" t="str">
        <f t="shared" si="28"/>
        <v>-</v>
      </c>
      <c r="AA86" t="str">
        <f t="shared" si="29"/>
        <v>-</v>
      </c>
      <c r="AB86" t="str">
        <f>IF(_xlfn.IFNA(VLOOKUP(P86,Set_Ref!$B$6:$B$1048576,1,FALSE),"")&lt;&gt;"","-",FALSE)</f>
        <v>-</v>
      </c>
      <c r="AC86" t="str">
        <f t="shared" si="30"/>
        <v>-</v>
      </c>
      <c r="AD86" t="str">
        <f t="shared" si="31"/>
        <v>-</v>
      </c>
      <c r="AE86" t="b">
        <f t="shared" si="32"/>
        <v>1</v>
      </c>
    </row>
  </sheetData>
  <mergeCells count="4">
    <mergeCell ref="A1:H1"/>
    <mergeCell ref="I1:O1"/>
    <mergeCell ref="P1:S1"/>
    <mergeCell ref="T1:AE1"/>
  </mergeCells>
  <dataValidations count="1">
    <dataValidation type="list" allowBlank="1" showInputMessage="1" showErrorMessage="1" sqref="D3" xr:uid="{5A40D7E8-4B1E-4915-914B-9374BB7533DE}">
      <formula1>"050500,050700"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CEE5D-77DE-44D7-BEF5-E5D0E4DCD34E}">
  <sheetPr codeName="Sheet39"/>
  <dimension ref="A1:B3"/>
  <sheetViews>
    <sheetView workbookViewId="0"/>
  </sheetViews>
  <sheetFormatPr defaultRowHeight="15" x14ac:dyDescent="0.25"/>
  <cols>
    <col min="1" max="1" width="4.7109375" bestFit="1" customWidth="1"/>
    <col min="2" max="2" width="11" bestFit="1" customWidth="1"/>
  </cols>
  <sheetData>
    <row r="1" spans="1:2" x14ac:dyDescent="0.25">
      <c r="A1" t="s">
        <v>208</v>
      </c>
      <c r="B1">
        <v>826974000</v>
      </c>
    </row>
    <row r="2" spans="1:2" x14ac:dyDescent="0.25">
      <c r="A2" t="s">
        <v>209</v>
      </c>
      <c r="B2">
        <v>1451077000</v>
      </c>
    </row>
    <row r="3" spans="1:2" x14ac:dyDescent="0.25">
      <c r="A3" t="s">
        <v>210</v>
      </c>
      <c r="B3">
        <v>329790000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(M)</vt:lpstr>
      <vt:lpstr>Set_Def</vt:lpstr>
      <vt:lpstr>Set_Cach</vt:lpstr>
      <vt:lpstr>Set_Ref</vt:lpstr>
      <vt:lpstr>Field_Barang</vt:lpstr>
      <vt:lpstr>Field_BahanBaku</vt:lpstr>
      <vt:lpstr>Summary</vt:lpstr>
      <vt:lpstr>BARANG</vt:lpstr>
      <vt:lpstr>BAHANBAKU</vt:lpstr>
      <vt:lpstr>PUNGUTAN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cp:lastPrinted>2023-07-14T03:21:57Z</cp:lastPrinted>
  <dcterms:created xsi:type="dcterms:W3CDTF">2023-04-11T02:47:24Z</dcterms:created>
  <dcterms:modified xsi:type="dcterms:W3CDTF">2024-12-17T07:09:32Z</dcterms:modified>
</cp:coreProperties>
</file>