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path file\MACRO_RPA - Pembuatan Dokumen di CEISA 4.0\MACRO - Item Draft Barang - CEISA 4.0\backup macro lama\2024-12-16\UPDATE\"/>
    </mc:Choice>
  </mc:AlternateContent>
  <xr:revisionPtr revIDLastSave="0" documentId="13_ncr:1_{0AD0A15D-336B-416E-91A9-7ACD0D452099}" xr6:coauthVersionLast="47" xr6:coauthVersionMax="47" xr10:uidLastSave="{00000000-0000-0000-0000-000000000000}"/>
  <bookViews>
    <workbookView xWindow="20370" yWindow="-120" windowWidth="20730" windowHeight="11160" tabRatio="658" activeTab="7" xr2:uid="{7E7A7F93-5039-4D12-8102-F8D7E7D5379D}"/>
  </bookViews>
  <sheets>
    <sheet name="(M)" sheetId="12" r:id="rId1"/>
    <sheet name="Set_Def" sheetId="128" r:id="rId2"/>
    <sheet name="Set_Cach" sheetId="129" state="hidden" r:id="rId3"/>
    <sheet name="Set_Ref" sheetId="130" state="hidden" r:id="rId4"/>
    <sheet name="Field_Barang" sheetId="145" state="hidden" r:id="rId5"/>
    <sheet name="Field_BahanBaku" sheetId="143" state="hidden" r:id="rId6"/>
    <sheet name="Summary" sheetId="135" state="hidden" r:id="rId7"/>
    <sheet name="BARANG" sheetId="370" r:id="rId8"/>
    <sheet name="BAHANBAKU" sheetId="371" r:id="rId9"/>
    <sheet name="Sheet6" sheetId="373" r:id="rId10"/>
    <sheet name="PUNGUTAN" sheetId="375" r:id="rId11"/>
    <sheet name="DM" sheetId="376" r:id="rId12"/>
  </sheets>
  <functionGroups builtInGroupCount="19"/>
  <externalReferences>
    <externalReference r:id="rId13"/>
  </externalReferences>
  <definedNames>
    <definedName name="_xlnm._FilterDatabase" localSheetId="8" hidden="1">BAHANBAKU!$A$2:$S$86</definedName>
    <definedName name="_xlnm._FilterDatabase" localSheetId="4" hidden="1">Field_Barang!#REF!</definedName>
    <definedName name="Excel_BuiltIn__FilterDatabase" localSheetId="4">#REF!</definedName>
    <definedName name="Excel_BuiltIn__FilterDatabase">#REF!</definedName>
    <definedName name="Excel_BuiltIn__FilterDatabase_1" localSheetId="4">#REF!</definedName>
    <definedName name="Excel_BuiltIn__FilterDatabase_1">#REF!</definedName>
    <definedName name="Excel_BuiltIn_Print_Area_1" localSheetId="4">#REF!</definedName>
    <definedName name="Excel_BuiltIn_Print_Area_1">#REF!</definedName>
    <definedName name="Excel_BuiltIn_Print_Area_2" localSheetId="4">#REF!</definedName>
    <definedName name="Excel_BuiltIn_Print_Area_2">#REF!</definedName>
    <definedName name="Excel_BuiltIn_Print_Area_3" localSheetId="4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C6" i="135" l="1"/>
  <c r="C12" i="135" l="1"/>
  <c r="C1" i="135" l="1"/>
  <c r="C3" i="135" s="1"/>
  <c r="C2" i="135"/>
  <c r="D12" i="128" l="1"/>
  <c r="D8" i="128" l="1"/>
  <c r="C8" i="128"/>
  <c r="D6" i="128"/>
  <c r="C9" i="128" l="1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F1E6FE10-D4D8-4E17-87F7-1659586332A6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CAED7E4B-EC3C-41F6-A942-CEB704A0E08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43DD3C2A-4286-4E87-ACC3-1FDD79A2591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671A648D-0CD5-47AB-865E-43BA928F831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D9240783-1857-4359-9BE7-BC11E1E8F26F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6536675D-FC87-4304-852C-9D03BCE0843B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EF6D62CC-7C44-486B-9409-00B0060871BA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2" authorId="0" shapeId="0" xr:uid="{23A58872-0A0D-46B3-A871-90E7C33DF6BE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2" authorId="0" shapeId="0" xr:uid="{7064B215-07C9-4D70-95BB-B6F42AAF508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88AB2F5C-808F-4554-8BF5-1FBFAD535EA9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85F64AFC-4C71-4F5D-A7D1-1FF802BD091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7A117492-6850-4B81-93B7-81799AEC504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2E79B57C-EADD-4495-BA0B-AC9F8073A33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2CFD76BF-6CDA-4D21-B887-C17931BC19A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65A1DC98-84D7-41F1-9453-2B46E192B22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9A6FA095-3ECB-4164-8FC1-C6FC16D0D233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677E0457-B80A-40BD-9B10-8C552098B5D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779E3184-EA95-4E9A-A403-9B177E292C0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0E6FE869-67BF-4393-BEEA-CC796C3A20F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33B8F0B9-6A39-4D73-AD5C-039374FB511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A4733F8C-0310-47EB-9BBA-A2B19CB589B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24B5759E-8A9A-4A8F-8757-57D803DA38E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4687AA6D-5B4C-4F07-9740-3ACAC5AA5A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<sst xmlns="http://schemas.openxmlformats.org/spreadsheetml/2006/main" count="822" uniqueCount="213">
  <si>
    <t>░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</si>
  <si>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</si>
  <si>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</si>
  <si>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</si>
  <si>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</si>
  <si>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</si>
  <si>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</si>
  <si>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</si>
  <si>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</si>
  <si>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</si>
  <si>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</si>
  <si>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</si>
  <si>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</si>
  <si>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</si>
  <si>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</si>
  <si>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</si>
  <si>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</si>
  <si>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</si>
  <si>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</si>
  <si>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</si>
  <si>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</si>
  <si>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</si>
  <si>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</si>
  <si>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</si>
  <si>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</si>
  <si>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</si>
  <si>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</si>
  <si>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</si>
  <si>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</si>
  <si>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</si>
  <si>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</si>
  <si>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</si>
  <si>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</si>
  <si>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</si>
  <si>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</si>
  <si>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</si>
  <si>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</si>
  <si>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</si>
  <si>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</si>
  <si>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</si>
  <si>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</si>
  <si>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</si>
  <si>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</si>
  <si>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</si>
  <si>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</si>
  <si>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</si>
  <si>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</si>
  <si>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</si>
  <si>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</si>
  <si>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</si>
  <si>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</si>
  <si>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</si>
  <si>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</si>
  <si>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</si>
  <si>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</si>
  <si>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</si>
  <si>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</si>
  <si>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</si>
  <si>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</si>
  <si>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</si>
  <si>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</si>
  <si>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</si>
  <si>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</si>
  <si>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</si>
  <si>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</si>
  <si>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</si>
  <si>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</si>
  <si>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</si>
  <si>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</si>
  <si>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</si>
  <si>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</si>
  <si>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</si>
  <si>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</si>
  <si>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</si>
  <si>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</si>
  <si>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</si>
  <si>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</si>
  <si>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</si>
  <si>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</si>
  <si>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</si>
  <si>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</si>
  <si>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</si>
  <si>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</si>
  <si>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</si>
  <si>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</si>
  <si>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</si>
  <si>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</si>
  <si>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</si>
  <si>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</si>
  <si>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</si>
  <si>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</si>
  <si>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</si>
  <si>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</si>
  <si>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</si>
  <si>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</si>
  <si>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</si>
  <si>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</si>
  <si>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</si>
  <si>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</si>
  <si>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</si>
  <si>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</si>
  <si>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55159990</t>
  </si>
  <si>
    <t>100% COTTON INTERLOCK,180-190G</t>
  </si>
  <si>
    <t>291361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</si>
  <si>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</si>
  <si>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</si>
  <si>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</si>
  <si>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</si>
  <si>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</si>
  <si>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</si>
  <si>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</si>
  <si>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</si>
  <si>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</si>
  <si>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</si>
  <si>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</si>
  <si>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</si>
  <si>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</si>
  <si>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</si>
  <si>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</si>
  <si>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</si>
  <si>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</si>
  <si>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</si>
  <si>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</si>
  <si>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</si>
  <si>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</si>
  <si>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</si>
  <si>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</si>
  <si>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</si>
  <si>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</si>
  <si>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</si>
  <si>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</si>
  <si>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</si>
  <si>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</si>
  <si>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</si>
  <si>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</si>
  <si>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</si>
  <si>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</si>
  <si>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</si>
  <si>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</si>
  <si>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</si>
  <si>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</si>
  <si>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</si>
  <si>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</si>
  <si>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</si>
  <si>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</si>
  <si>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</si>
  <si>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</si>
  <si>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KUASA DITEKSI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</si>
  <si>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</si>
  <si>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</si>
  <si>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</si>
  <si>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</si>
  <si>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</si>
  <si>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</si>
  <si>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</si>
  <si>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</si>
  <si>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</si>
  <si>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</si>
  <si>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</si>
  <si>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</si>
  <si>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</si>
  <si>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</si>
  <si>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</si>
  <si>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</si>
  <si>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</si>
  <si>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THREAD,SAMJIN@5000MT</t>
  </si>
  <si>
    <t xml:space="preserve">                                                                             </t>
  </si>
  <si>
    <t>55081090</t>
  </si>
  <si>
    <t>292747</t>
  </si>
  <si>
    <t>05052600520520240124000194</t>
  </si>
  <si>
    <t>PJ FILE</t>
  </si>
  <si>
    <t>\\10.8.0.35\Bersama\HC\!Kotak Masuk\New folder (6)\Copy of FIX_PJ_24001105_REDWING_COVERALL_61805-54_61805-57_77140-55_61105-54_61105-55_61105-57_61105-58_-_MJK1(1).xlsm</t>
  </si>
  <si>
    <t>\\10.8.0.35\Bersama\HC\!Kotak Masuk\New folder (6)\00026231560820241216001946.xlsx</t>
  </si>
  <si>
    <t>\\10.8.0.35\Bersama\HC\!Kotak Masuk\New folder (6)\BC 262 24001108-1201- (2).xlsx</t>
  </si>
  <si>
    <t>POLYBAG SEALTAPE, FLAP 7CM</t>
  </si>
  <si>
    <t>LIGHT SPARK 99/1% Co/AS WEFT</t>
  </si>
  <si>
    <t>59%MCRYLIC 39%CTN 2%ANTSTIC FR</t>
  </si>
  <si>
    <t>297888/297887</t>
  </si>
  <si>
    <t>65%LZG F BRELITE 33%ARM 2%ANTC</t>
  </si>
  <si>
    <t>100%CTN POPLN CD40XCD40/120X60</t>
  </si>
  <si>
    <t>BLEACH DTCTION DYED FBRC 100%C</t>
  </si>
  <si>
    <t>ELASTIC, #6800/15-64</t>
  </si>
  <si>
    <t>290818/290954</t>
  </si>
  <si>
    <t>ZIPPER,CORSCSZ006,6MM,1WAY</t>
  </si>
  <si>
    <t>290820/290821/290822/290823</t>
  </si>
  <si>
    <t>BUTTON, PRESS BUTTON</t>
  </si>
  <si>
    <t>LOOP, TLRHLZZ020</t>
  </si>
  <si>
    <t>HOOK, TLRHLZZ021</t>
  </si>
  <si>
    <t>WOVEN LABEL, 5 CM X 4 CM</t>
  </si>
  <si>
    <t>LABEL, 3 CM X 2,5 CM</t>
  </si>
  <si>
    <t>LABEL,HEAT INDICATOR DISK</t>
  </si>
  <si>
    <t>HEAT SEAL LABEL,FG TM-4 SYMBOL</t>
  </si>
  <si>
    <t>290952/290817</t>
  </si>
  <si>
    <t>ZIPPER,CORCBLS006,6MM,2WAY</t>
  </si>
  <si>
    <t>CARE LABEL, 24 CM X 6 CM 61805</t>
  </si>
  <si>
    <t>CARE LABEL, 24 CM X 6 CM,66005</t>
  </si>
  <si>
    <t>2024-11-15</t>
  </si>
  <si>
    <t>2024-11-18</t>
  </si>
  <si>
    <t>2024-11-19</t>
  </si>
  <si>
    <t>2024-11-20</t>
  </si>
  <si>
    <t>2024-11-21</t>
  </si>
  <si>
    <t>2024-11-22</t>
  </si>
  <si>
    <t>2024-11-28</t>
  </si>
  <si>
    <t>2024-11-29</t>
  </si>
  <si>
    <t>2024-12-02</t>
  </si>
  <si>
    <t>2024-12-03</t>
  </si>
  <si>
    <t>2024-12-04</t>
  </si>
  <si>
    <t>2024-12-13</t>
  </si>
  <si>
    <t>261</t>
  </si>
  <si>
    <t>=IFNA(VLOOKUP(C14,'[MACRO - Item Draft Barang - CEISA 4 RETUR.xlsm]Sheet6'!$A:$B,2,FALSE),0)</t>
  </si>
  <si>
    <t>BM</t>
  </si>
  <si>
    <t>PPN</t>
  </si>
  <si>
    <t>PPH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</si>
</sst>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mm/dd/yy;@"/>
    <numFmt numFmtId="166" formatCode="dd\-mm\-yyyy"/>
  </numFmts>
  <fonts count="44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0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  <xf numFmtId="0" fontId="43" fillId="0" borderId="0"/>
  </cellStyleXfs>
  <cellXfs count="97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  <xf numFmtId="0" fontId="0" fillId="0" borderId="0" xfId="0" applyFill="1"/>
  </cellXfs>
  <cellStyles count="50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rmal 4" xfId="49" xr:uid="{D880F1D9-8C22-45C4-B7FE-9C709942BBF3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di/Documents/!!!!!!!!!!!!!!!-LOCAL%20DISK-!!!!!!!!!!!!!!!/!MACRO%20PROJECTS/!!!!!ON%20PROGRESS/Back%20Data%20Dokumen%20PORTAL/Assets/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/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87"/>
      <c r="B5" s="87"/>
      <c r="C5" s="87"/>
      <c r="D5" s="87"/>
      <c r="E5" s="87"/>
      <c r="F5" s="87"/>
      <c r="G5" s="87"/>
      <c r="H5" s="38" t="s">
        <v>0</v>
      </c>
      <c r="I5" s="86"/>
      <c r="J5" s="86"/>
      <c r="K5" s="86"/>
      <c r="L5" s="86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5" t="s">
        <v>166</v>
      </c>
      <c r="I8" s="85"/>
      <c r="J8" s="85"/>
      <c r="K8" s="85"/>
      <c r="L8" s="85"/>
      <c r="M8" s="85"/>
    </row>
    <row r="9" spans="1:14" s="41" customFormat="1" ht="76.5" customHeight="1" x14ac:dyDescent="0.25">
      <c r="H9" s="85"/>
      <c r="I9" s="85"/>
      <c r="J9" s="85"/>
      <c r="K9" s="85"/>
      <c r="L9" s="85"/>
      <c r="M9" s="85"/>
    </row>
    <row r="10" spans="1:14" s="41" customFormat="1" x14ac:dyDescent="0.25">
      <c r="H10" s="85"/>
      <c r="I10" s="85"/>
      <c r="J10" s="85"/>
      <c r="K10" s="85"/>
      <c r="L10" s="85"/>
      <c r="M10" s="85"/>
    </row>
    <row r="11" spans="1:14" s="41" customFormat="1" x14ac:dyDescent="0.25">
      <c r="H11" s="85"/>
      <c r="I11" s="85"/>
      <c r="J11" s="85"/>
      <c r="K11" s="85"/>
      <c r="L11" s="85"/>
      <c r="M11" s="85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6"/>
      <c r="I14" s="86"/>
      <c r="J14" s="86"/>
      <c r="K14" s="86"/>
      <c r="L14" s="86"/>
      <c r="M14" s="86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workbookViewId="0">
      <selection activeCell="B23" sqref="B23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121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143</v>
      </c>
      <c r="B4" s="73"/>
      <c r="C4" s="72"/>
      <c r="D4" s="73"/>
      <c r="E4" s="10"/>
      <c r="F4" s="74" t="s">
        <v>48</v>
      </c>
      <c r="G4" s="74"/>
      <c r="H4" s="74"/>
      <c r="I4" s="10"/>
      <c r="J4" s="74" t="s">
        <v>141</v>
      </c>
      <c r="K4" s="76"/>
      <c r="L4" s="76"/>
      <c r="M4" s="76"/>
      <c r="N4" s="10"/>
      <c r="O4" s="74" t="s">
        <v>125</v>
      </c>
      <c r="P4" s="74"/>
      <c r="Q4" s="74"/>
      <c r="R4" s="74"/>
      <c r="S4" s="74"/>
      <c r="T4" s="10"/>
      <c r="U4" s="78" t="s">
        <v>163</v>
      </c>
      <c r="V4" s="78"/>
      <c r="W4" s="3"/>
      <c r="X4" s="3"/>
    </row>
    <row r="5" spans="1:24" x14ac:dyDescent="0.25">
      <c r="A5" s="64" t="s">
        <v>93</v>
      </c>
      <c r="B5" s="53" t="s">
        <v>39</v>
      </c>
      <c r="C5" s="54" t="s">
        <v>40</v>
      </c>
      <c r="D5" s="54" t="s">
        <v>41</v>
      </c>
      <c r="E5" s="10"/>
      <c r="F5" s="64" t="s">
        <v>93</v>
      </c>
      <c r="G5" s="63" t="s">
        <v>55</v>
      </c>
      <c r="H5" s="62" t="s">
        <v>50</v>
      </c>
      <c r="I5" s="10"/>
      <c r="J5" s="71" t="s">
        <v>142</v>
      </c>
      <c r="K5" s="71" t="s">
        <v>137</v>
      </c>
      <c r="L5" s="71" t="s">
        <v>136</v>
      </c>
      <c r="M5" s="71" t="s">
        <v>140</v>
      </c>
      <c r="N5" s="10"/>
      <c r="O5" s="71" t="s">
        <v>38</v>
      </c>
      <c r="P5" s="63" t="s">
        <v>36</v>
      </c>
      <c r="Q5" s="62" t="s">
        <v>51</v>
      </c>
      <c r="R5" s="62" t="s">
        <v>54</v>
      </c>
      <c r="S5" s="62" t="s">
        <v>47</v>
      </c>
      <c r="T5" s="10"/>
      <c r="U5" s="79" t="s">
        <v>79</v>
      </c>
      <c r="V5" s="79" t="s">
        <v>1</v>
      </c>
      <c r="W5" s="79" t="s">
        <v>46</v>
      </c>
      <c r="X5" s="79" t="s">
        <v>80</v>
      </c>
    </row>
    <row r="6" spans="1:24" x14ac:dyDescent="0.25">
      <c r="A6" t="b">
        <v>1</v>
      </c>
      <c r="B6" t="s">
        <v>3</v>
      </c>
      <c r="C6" s="55" t="s">
        <v>145</v>
      </c>
      <c r="D6" s="69" t="str">
        <f>IF(C6="050500","1201",IF(C6="050700","1204",FALSE))</f>
        <v>1201</v>
      </c>
      <c r="F6" t="b">
        <v>1</v>
      </c>
      <c r="G6" s="9" t="s">
        <v>49</v>
      </c>
      <c r="H6" t="s">
        <v>107</v>
      </c>
      <c r="I6" t="s">
        <v>38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52</v>
      </c>
      <c r="R6">
        <v>2</v>
      </c>
      <c r="S6">
        <v>1</v>
      </c>
      <c r="U6" s="2" t="b">
        <v>1</v>
      </c>
      <c r="V6" s="2" t="s">
        <v>151</v>
      </c>
      <c r="W6" s="2" t="b">
        <v>1</v>
      </c>
      <c r="X6" s="2" t="s">
        <v>38</v>
      </c>
    </row>
    <row r="7" spans="1:24" x14ac:dyDescent="0.25">
      <c r="A7" t="b">
        <v>1</v>
      </c>
      <c r="B7" t="s">
        <v>4</v>
      </c>
      <c r="C7" s="5">
        <v>262</v>
      </c>
      <c r="D7" t="s">
        <v>38</v>
      </c>
      <c r="F7" t="b">
        <v>1</v>
      </c>
      <c r="G7" s="9" t="s">
        <v>96</v>
      </c>
      <c r="H7" t="s">
        <v>108</v>
      </c>
      <c r="I7" t="s">
        <v>38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53</v>
      </c>
      <c r="R7">
        <v>1</v>
      </c>
      <c r="S7">
        <v>0</v>
      </c>
      <c r="U7" s="2" t="b">
        <v>1</v>
      </c>
      <c r="V7" s="2" t="s">
        <v>152</v>
      </c>
      <c r="W7" s="2" t="b">
        <v>1</v>
      </c>
      <c r="X7" s="2" t="s">
        <v>38</v>
      </c>
    </row>
    <row r="8" spans="1:24" x14ac:dyDescent="0.25">
      <c r="A8" t="b">
        <v>1</v>
      </c>
      <c r="B8" t="s">
        <v>5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97</v>
      </c>
      <c r="H8" t="s">
        <v>109</v>
      </c>
      <c r="I8" t="s">
        <v>38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53</v>
      </c>
      <c r="R8">
        <v>1</v>
      </c>
      <c r="S8">
        <v>0</v>
      </c>
      <c r="U8" s="2" t="b">
        <v>1</v>
      </c>
      <c r="V8" s="2" t="s">
        <v>153</v>
      </c>
      <c r="W8" s="2" t="b">
        <v>1</v>
      </c>
      <c r="X8" s="8" t="s">
        <v>38</v>
      </c>
    </row>
    <row r="9" spans="1:24" x14ac:dyDescent="0.25">
      <c r="A9" t="b">
        <v>0</v>
      </c>
      <c r="B9" t="s">
        <v>146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38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154</v>
      </c>
      <c r="W9" s="2" t="b">
        <v>1</v>
      </c>
      <c r="X9" s="2" t="s">
        <v>38</v>
      </c>
    </row>
    <row r="10" spans="1:24" x14ac:dyDescent="0.25">
      <c r="A10" t="b">
        <v>1</v>
      </c>
      <c r="B10" t="s">
        <v>132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155</v>
      </c>
      <c r="W10" s="2" t="b">
        <v>1</v>
      </c>
      <c r="X10" s="2" t="s">
        <v>38</v>
      </c>
    </row>
    <row r="11" spans="1:24" x14ac:dyDescent="0.25">
      <c r="A11" t="b">
        <v>1</v>
      </c>
      <c r="B11" t="s">
        <v>148</v>
      </c>
      <c r="C11" s="5" t="s">
        <v>133</v>
      </c>
      <c r="D11" t="s">
        <v>147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156</v>
      </c>
      <c r="W11" s="2" t="b">
        <v>1</v>
      </c>
      <c r="X11" s="2" t="s">
        <v>38</v>
      </c>
    </row>
    <row r="12" spans="1:24" x14ac:dyDescent="0.25">
      <c r="A12" t="b">
        <v>1</v>
      </c>
      <c r="B12" t="s">
        <v>149</v>
      </c>
      <c r="C12" s="5" t="s">
        <v>150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157</v>
      </c>
      <c r="W12" s="2" t="b">
        <v>1</v>
      </c>
      <c r="X12" s="2" t="s">
        <v>38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162</v>
      </c>
      <c r="W13" s="2" t="b">
        <v>1</v>
      </c>
      <c r="X13" s="2" t="s">
        <v>38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158</v>
      </c>
      <c r="W14" s="2" t="b">
        <v>1</v>
      </c>
      <c r="X14" s="2" t="s">
        <v>38</v>
      </c>
    </row>
    <row r="15" spans="1:24" x14ac:dyDescent="0.25">
      <c r="U15" s="2" t="b">
        <v>1</v>
      </c>
      <c r="V15" s="2" t="s">
        <v>159</v>
      </c>
      <c r="W15" s="2" t="b">
        <v>1</v>
      </c>
      <c r="X15" s="2" t="s">
        <v>38</v>
      </c>
    </row>
    <row r="16" spans="1:24" x14ac:dyDescent="0.25">
      <c r="U16" s="2" t="b">
        <v>1</v>
      </c>
      <c r="V16" s="2" t="s">
        <v>160</v>
      </c>
      <c r="W16" s="2" t="b">
        <v>1</v>
      </c>
      <c r="X16" s="2" t="s">
        <v>38</v>
      </c>
    </row>
    <row r="17" spans="21:24" x14ac:dyDescent="0.25">
      <c r="U17" s="2" t="b">
        <v>1</v>
      </c>
      <c r="V17" s="2" t="s">
        <v>161</v>
      </c>
      <c r="W17" s="2" t="b">
        <v>1</v>
      </c>
      <c r="X17" s="2" t="s">
        <v>38</v>
      </c>
    </row>
    <row r="18" spans="21:24" x14ac:dyDescent="0.25">
      <c r="U18" s="2" t="b">
        <v>0</v>
      </c>
      <c r="V18" s="2"/>
      <c r="W18" s="2"/>
      <c r="X18" s="2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C19" sqref="C19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169</v>
      </c>
      <c r="DAU2">
        <v>13</v>
      </c>
      <c r="DAV2" t="s">
        <v>167</v>
      </c>
      <c r="DAW2" t="s">
        <v>168</v>
      </c>
      <c r="DAX2" t="s">
        <v>165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101</v>
      </c>
      <c r="J3" t="s">
        <v>103</v>
      </c>
      <c r="K3" t="s">
        <v>102</v>
      </c>
    </row>
    <row r="4" spans="1:14 2750:2782" x14ac:dyDescent="0.25">
      <c r="A4" s="44" t="s">
        <v>77</v>
      </c>
      <c r="B4" s="44"/>
      <c r="C4" s="45"/>
      <c r="D4" s="45"/>
      <c r="F4" s="44" t="s">
        <v>78</v>
      </c>
      <c r="G4" s="45"/>
      <c r="H4" s="45"/>
      <c r="I4" s="45"/>
      <c r="K4" s="44" t="s">
        <v>94</v>
      </c>
      <c r="L4" s="44"/>
      <c r="M4" s="45"/>
      <c r="N4" s="45"/>
    </row>
    <row r="5" spans="1:14 2750:2782" x14ac:dyDescent="0.25">
      <c r="A5" s="1" t="s">
        <v>79</v>
      </c>
      <c r="B5" s="1" t="s">
        <v>1</v>
      </c>
      <c r="C5" s="1" t="s">
        <v>46</v>
      </c>
      <c r="D5" s="1" t="s">
        <v>80</v>
      </c>
      <c r="F5" s="1" t="s">
        <v>79</v>
      </c>
      <c r="G5" s="1" t="s">
        <v>1</v>
      </c>
      <c r="H5" s="1" t="s">
        <v>46</v>
      </c>
      <c r="I5" s="1" t="s">
        <v>80</v>
      </c>
      <c r="K5" s="1" t="s">
        <v>79</v>
      </c>
      <c r="L5" s="1" t="s">
        <v>1</v>
      </c>
      <c r="M5" s="1" t="s">
        <v>46</v>
      </c>
      <c r="N5" s="1" t="s">
        <v>80</v>
      </c>
    </row>
    <row r="6" spans="1:14 2750:2782" x14ac:dyDescent="0.25">
      <c r="A6" s="2" t="b">
        <v>1</v>
      </c>
      <c r="B6" s="2" t="s">
        <v>104</v>
      </c>
      <c r="C6" s="2" t="s">
        <v>172</v>
      </c>
      <c r="D6" s="2" t="s">
        <v>38</v>
      </c>
      <c r="F6" s="2" t="b">
        <v>0</v>
      </c>
      <c r="G6" s="2" t="s">
        <v>105</v>
      </c>
      <c r="H6" s="2">
        <v>1</v>
      </c>
      <c r="I6" s="2" t="s">
        <v>38</v>
      </c>
      <c r="K6" s="2" t="b">
        <v>1</v>
      </c>
      <c r="L6" s="2" t="s">
        <v>95</v>
      </c>
      <c r="M6" s="2" t="b">
        <v>1</v>
      </c>
      <c r="N6" s="2" t="s">
        <v>38</v>
      </c>
    </row>
    <row r="7" spans="1:14 2750:2782" x14ac:dyDescent="0.25">
      <c r="A7" s="2" t="b">
        <v>1</v>
      </c>
      <c r="B7" s="2" t="s">
        <v>164</v>
      </c>
      <c r="C7" s="2" t="s">
        <v>173</v>
      </c>
      <c r="D7" s="2" t="s">
        <v>38</v>
      </c>
      <c r="F7" s="2" t="b">
        <v>0</v>
      </c>
      <c r="G7" s="2" t="s">
        <v>106</v>
      </c>
      <c r="H7" s="2">
        <v>1</v>
      </c>
      <c r="I7" s="2" t="s">
        <v>38</v>
      </c>
      <c r="K7" s="2" t="b">
        <v>1</v>
      </c>
      <c r="L7" s="2" t="s">
        <v>122</v>
      </c>
      <c r="M7" s="2" t="b">
        <v>1</v>
      </c>
      <c r="N7" s="2" t="s">
        <v>38</v>
      </c>
    </row>
    <row r="8" spans="1:14 2750:2782" x14ac:dyDescent="0.25">
      <c r="A8" s="2" t="b">
        <v>1</v>
      </c>
      <c r="B8" s="2" t="s">
        <v>170</v>
      </c>
      <c r="C8" s="96" t="s">
        <v>171</v>
      </c>
      <c r="D8" s="8" t="s">
        <v>38</v>
      </c>
      <c r="F8" s="2" t="b">
        <v>0</v>
      </c>
      <c r="G8" s="2" t="s">
        <v>98</v>
      </c>
      <c r="H8" s="2">
        <v>1</v>
      </c>
      <c r="I8" s="8" t="s">
        <v>38</v>
      </c>
      <c r="K8" s="2" t="b">
        <v>0</v>
      </c>
      <c r="L8" s="2"/>
      <c r="M8" s="8"/>
      <c r="N8" s="8" t="s">
        <v>38</v>
      </c>
    </row>
    <row r="9" spans="1:14 2750:2782" x14ac:dyDescent="0.25">
      <c r="A9" s="2" t="b">
        <v>0</v>
      </c>
      <c r="B9" s="2"/>
      <c r="C9" s="2"/>
      <c r="D9" s="2" t="s">
        <v>38</v>
      </c>
      <c r="F9" s="2" t="b">
        <v>0</v>
      </c>
      <c r="G9" s="2" t="s">
        <v>76</v>
      </c>
      <c r="H9" s="2"/>
      <c r="I9" s="2" t="s">
        <v>38</v>
      </c>
      <c r="K9" s="2" t="b">
        <v>0</v>
      </c>
      <c r="L9" s="2"/>
      <c r="M9" s="2"/>
      <c r="N9" s="2" t="s">
        <v>38</v>
      </c>
    </row>
    <row r="10" spans="1:14 2750:2782" x14ac:dyDescent="0.25">
      <c r="A10" s="2" t="b">
        <v>0</v>
      </c>
      <c r="B10" s="2"/>
      <c r="C10" s="2"/>
      <c r="D10" s="2" t="s">
        <v>38</v>
      </c>
      <c r="F10" s="2" t="b">
        <v>0</v>
      </c>
      <c r="G10" s="2"/>
      <c r="H10" s="2"/>
      <c r="I10" s="2" t="s">
        <v>38</v>
      </c>
      <c r="K10" s="2" t="b">
        <v>0</v>
      </c>
      <c r="L10" s="2"/>
      <c r="M10" s="2"/>
      <c r="N10" s="2" t="s">
        <v>38</v>
      </c>
    </row>
    <row r="11" spans="1:14 2750:2782" x14ac:dyDescent="0.25">
      <c r="A11" s="2" t="s">
        <v>38</v>
      </c>
      <c r="B11" s="2"/>
      <c r="C11" s="2"/>
      <c r="D11" s="2" t="s">
        <v>38</v>
      </c>
      <c r="F11" s="2" t="b">
        <v>0</v>
      </c>
      <c r="G11" s="2"/>
      <c r="H11" s="2"/>
      <c r="I11" s="2" t="s">
        <v>38</v>
      </c>
      <c r="K11" s="2" t="b">
        <v>0</v>
      </c>
      <c r="L11" s="2"/>
      <c r="M11" s="2"/>
      <c r="N11" s="2" t="s">
        <v>38</v>
      </c>
    </row>
    <row r="12" spans="1:14 2750:2782" x14ac:dyDescent="0.25">
      <c r="A12" s="2" t="s">
        <v>38</v>
      </c>
      <c r="B12" s="2"/>
      <c r="C12" s="2"/>
      <c r="D12" s="2" t="s">
        <v>38</v>
      </c>
      <c r="K12" s="2" t="b">
        <v>0</v>
      </c>
      <c r="L12" s="2"/>
      <c r="M12" s="2"/>
      <c r="N12" s="2" t="s">
        <v>38</v>
      </c>
    </row>
    <row r="13" spans="1:14 2750:2782" x14ac:dyDescent="0.25">
      <c r="A13" s="2" t="s">
        <v>38</v>
      </c>
      <c r="B13" s="12"/>
      <c r="C13" s="2"/>
      <c r="D13" s="2" t="s">
        <v>38</v>
      </c>
      <c r="K13" s="2" t="b">
        <v>0</v>
      </c>
      <c r="L13" s="2"/>
      <c r="M13" s="2"/>
      <c r="N13" s="2" t="s">
        <v>38</v>
      </c>
    </row>
    <row r="14" spans="1:14 2750:2782" x14ac:dyDescent="0.25">
      <c r="A14" s="2" t="s">
        <v>38</v>
      </c>
      <c r="B14" s="2"/>
      <c r="C14" s="2"/>
      <c r="D14" s="2" t="s">
        <v>38</v>
      </c>
      <c r="K14" s="2" t="b">
        <v>0</v>
      </c>
      <c r="L14" s="2"/>
      <c r="M14" s="2"/>
      <c r="N14" s="2" t="s">
        <v>38</v>
      </c>
    </row>
    <row r="15" spans="1:14 2750:2782" x14ac:dyDescent="0.25">
      <c r="C15" s="11"/>
      <c r="D15" s="1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topLeftCell="A4" zoomScale="85" zoomScaleNormal="85" workbookViewId="0">
      <selection activeCell="E27" sqref="E27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120</v>
      </c>
      <c r="D4" s="66" t="s">
        <v>134</v>
      </c>
    </row>
    <row r="5" spans="1:5" x14ac:dyDescent="0.25">
      <c r="A5" s="65" t="s">
        <v>32</v>
      </c>
      <c r="B5" s="65" t="s">
        <v>33</v>
      </c>
      <c r="D5" s="65" t="s">
        <v>135</v>
      </c>
      <c r="E5" s="65" t="s">
        <v>64</v>
      </c>
    </row>
    <row r="6" spans="1:5" x14ac:dyDescent="0.25">
      <c r="A6" t="s">
        <v>14</v>
      </c>
      <c r="B6" t="s">
        <v>9</v>
      </c>
      <c r="D6">
        <v>3</v>
      </c>
      <c r="E6" t="s">
        <v>137</v>
      </c>
    </row>
    <row r="7" spans="1:5" x14ac:dyDescent="0.25">
      <c r="A7" t="s">
        <v>42</v>
      </c>
      <c r="B7" t="s">
        <v>37</v>
      </c>
      <c r="D7">
        <v>7</v>
      </c>
      <c r="E7" t="s">
        <v>136</v>
      </c>
    </row>
    <row r="8" spans="1:5" x14ac:dyDescent="0.25">
      <c r="A8" t="s">
        <v>2</v>
      </c>
      <c r="B8" t="s">
        <v>8</v>
      </c>
      <c r="D8">
        <v>8</v>
      </c>
      <c r="E8" t="s">
        <v>138</v>
      </c>
    </row>
    <row r="9" spans="1:5" x14ac:dyDescent="0.25">
      <c r="A9" t="s">
        <v>16</v>
      </c>
      <c r="B9" t="s">
        <v>12</v>
      </c>
      <c r="D9">
        <v>9</v>
      </c>
      <c r="E9" t="s">
        <v>139</v>
      </c>
    </row>
    <row r="10" spans="1:5" x14ac:dyDescent="0.25">
      <c r="A10" t="s">
        <v>17</v>
      </c>
      <c r="B10" t="s">
        <v>6</v>
      </c>
    </row>
    <row r="11" spans="1:5" x14ac:dyDescent="0.25">
      <c r="A11" t="s">
        <v>18</v>
      </c>
      <c r="B11" t="s">
        <v>19</v>
      </c>
    </row>
    <row r="12" spans="1:5" x14ac:dyDescent="0.25">
      <c r="A12" t="s">
        <v>20</v>
      </c>
      <c r="B12" t="s">
        <v>21</v>
      </c>
    </row>
    <row r="13" spans="1:5" x14ac:dyDescent="0.25">
      <c r="A13" t="s">
        <v>22</v>
      </c>
      <c r="B13" t="s">
        <v>22</v>
      </c>
    </row>
    <row r="14" spans="1:5" x14ac:dyDescent="0.25">
      <c r="A14" t="s">
        <v>23</v>
      </c>
      <c r="B14" t="s">
        <v>11</v>
      </c>
    </row>
    <row r="15" spans="1:5" x14ac:dyDescent="0.25">
      <c r="A15" t="s">
        <v>24</v>
      </c>
      <c r="B15" t="s">
        <v>25</v>
      </c>
    </row>
    <row r="16" spans="1:5" x14ac:dyDescent="0.25">
      <c r="A16" t="s">
        <v>26</v>
      </c>
      <c r="B16" t="s">
        <v>27</v>
      </c>
    </row>
    <row r="17" spans="1:2" x14ac:dyDescent="0.25">
      <c r="A17" t="s">
        <v>28</v>
      </c>
      <c r="B17" t="s">
        <v>29</v>
      </c>
    </row>
    <row r="18" spans="1:2" x14ac:dyDescent="0.25">
      <c r="A18" t="s">
        <v>30</v>
      </c>
      <c r="B18" t="s">
        <v>31</v>
      </c>
    </row>
    <row r="19" spans="1:2" x14ac:dyDescent="0.25">
      <c r="A19" t="s">
        <v>34</v>
      </c>
      <c r="B19" t="s">
        <v>10</v>
      </c>
    </row>
    <row r="20" spans="1:2" x14ac:dyDescent="0.25">
      <c r="A20" t="s">
        <v>15</v>
      </c>
      <c r="B20" t="s">
        <v>7</v>
      </c>
    </row>
    <row r="21" spans="1:2" x14ac:dyDescent="0.25">
      <c r="A21" t="s">
        <v>43</v>
      </c>
      <c r="B21" t="s">
        <v>31</v>
      </c>
    </row>
    <row r="22" spans="1:2" x14ac:dyDescent="0.25">
      <c r="A22" t="s">
        <v>44</v>
      </c>
      <c r="B22" t="s">
        <v>16</v>
      </c>
    </row>
    <row r="23" spans="1:2" x14ac:dyDescent="0.25">
      <c r="A23" t="s">
        <v>45</v>
      </c>
      <c r="B23" t="s">
        <v>37</v>
      </c>
    </row>
    <row r="24" spans="1:2" x14ac:dyDescent="0.25">
      <c r="A24" t="s">
        <v>56</v>
      </c>
      <c r="B24" t="s">
        <v>57</v>
      </c>
    </row>
    <row r="25" spans="1:2" x14ac:dyDescent="0.25">
      <c r="A25" t="s">
        <v>110</v>
      </c>
      <c r="B25" t="s">
        <v>111</v>
      </c>
    </row>
    <row r="26" spans="1:2" x14ac:dyDescent="0.25">
      <c r="A26" t="s">
        <v>112</v>
      </c>
      <c r="B26" t="s">
        <v>113</v>
      </c>
    </row>
    <row r="27" spans="1:2" x14ac:dyDescent="0.25">
      <c r="A27" t="s">
        <v>114</v>
      </c>
      <c r="B27" t="s">
        <v>115</v>
      </c>
    </row>
    <row r="28" spans="1:2" x14ac:dyDescent="0.25">
      <c r="A28" t="s">
        <v>116</v>
      </c>
      <c r="B28" t="s">
        <v>30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31</v>
      </c>
      <c r="B30" t="s">
        <v>31</v>
      </c>
    </row>
    <row r="31" spans="1:2" x14ac:dyDescent="0.25">
      <c r="A31" t="s">
        <v>119</v>
      </c>
      <c r="B31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O4" sqref="O4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88" t="s">
        <v>35</v>
      </c>
      <c r="B4" s="89"/>
      <c r="C4" s="89"/>
      <c r="D4" s="89"/>
      <c r="E4" s="89"/>
      <c r="F4" s="89"/>
      <c r="G4" s="89"/>
      <c r="H4" s="90"/>
      <c r="I4" s="88" t="s">
        <v>91</v>
      </c>
      <c r="J4" s="89"/>
      <c r="K4" s="89"/>
      <c r="L4" s="89"/>
      <c r="M4" s="90"/>
      <c r="N4" s="58" t="s">
        <v>92</v>
      </c>
    </row>
    <row r="5" spans="1:16" x14ac:dyDescent="0.25">
      <c r="A5" s="56" t="s">
        <v>62</v>
      </c>
      <c r="B5" s="56" t="s">
        <v>63</v>
      </c>
      <c r="C5" s="56" t="s">
        <v>58</v>
      </c>
      <c r="D5" s="56" t="s">
        <v>64</v>
      </c>
      <c r="E5" t="s">
        <v>81</v>
      </c>
      <c r="F5" t="s">
        <v>82</v>
      </c>
      <c r="G5" t="s">
        <v>83</v>
      </c>
      <c r="H5" t="s">
        <v>84</v>
      </c>
      <c r="I5" s="56" t="s">
        <v>65</v>
      </c>
      <c r="J5" s="56" t="s">
        <v>66</v>
      </c>
      <c r="K5" s="56" t="s">
        <v>67</v>
      </c>
      <c r="L5" s="56" t="s">
        <v>68</v>
      </c>
      <c r="M5" s="56" t="s">
        <v>69</v>
      </c>
      <c r="N5" s="56" t="s">
        <v>13</v>
      </c>
    </row>
    <row r="7" spans="1:16" x14ac:dyDescent="0.25">
      <c r="A7" s="51">
        <v>27</v>
      </c>
    </row>
    <row r="8" spans="1:16" x14ac:dyDescent="0.25">
      <c r="A8" s="88" t="s">
        <v>35</v>
      </c>
      <c r="B8" s="89"/>
      <c r="C8" s="89"/>
      <c r="D8" s="89"/>
      <c r="E8" s="89"/>
      <c r="F8" s="89"/>
      <c r="G8" s="89"/>
      <c r="H8" s="90"/>
      <c r="I8" s="88" t="s">
        <v>91</v>
      </c>
      <c r="J8" s="89"/>
      <c r="K8" s="89"/>
      <c r="L8" s="89"/>
      <c r="M8" s="90"/>
      <c r="N8" s="88" t="s">
        <v>92</v>
      </c>
      <c r="O8" s="90"/>
    </row>
    <row r="9" spans="1:16" x14ac:dyDescent="0.25">
      <c r="A9" s="56" t="s">
        <v>62</v>
      </c>
      <c r="B9" s="56" t="s">
        <v>63</v>
      </c>
      <c r="C9" s="56" t="s">
        <v>58</v>
      </c>
      <c r="D9" s="56" t="s">
        <v>64</v>
      </c>
      <c r="E9" t="s">
        <v>81</v>
      </c>
      <c r="F9" t="s">
        <v>82</v>
      </c>
      <c r="G9" t="s">
        <v>83</v>
      </c>
      <c r="H9" t="s">
        <v>84</v>
      </c>
      <c r="I9" s="56" t="s">
        <v>65</v>
      </c>
      <c r="J9" s="56" t="s">
        <v>66</v>
      </c>
      <c r="K9" s="56" t="s">
        <v>67</v>
      </c>
      <c r="L9" s="56" t="s">
        <v>68</v>
      </c>
      <c r="M9" s="56" t="s">
        <v>69</v>
      </c>
      <c r="N9" s="56" t="s">
        <v>13</v>
      </c>
      <c r="O9" t="s">
        <v>70</v>
      </c>
    </row>
    <row r="11" spans="1:16" x14ac:dyDescent="0.25">
      <c r="A11" s="51">
        <v>41</v>
      </c>
    </row>
    <row r="12" spans="1:16" x14ac:dyDescent="0.25">
      <c r="A12" s="88" t="s">
        <v>35</v>
      </c>
      <c r="B12" s="89"/>
      <c r="C12" s="89"/>
      <c r="D12" s="89"/>
      <c r="E12" s="89"/>
      <c r="F12" s="89"/>
      <c r="G12" s="89"/>
      <c r="H12" s="90"/>
      <c r="I12" s="88" t="s">
        <v>91</v>
      </c>
      <c r="J12" s="89"/>
      <c r="K12" s="89"/>
      <c r="L12" s="89"/>
      <c r="M12" s="90"/>
      <c r="N12" s="88" t="s">
        <v>92</v>
      </c>
      <c r="O12" s="89"/>
      <c r="P12" s="90"/>
    </row>
    <row r="13" spans="1:16" x14ac:dyDescent="0.25">
      <c r="A13" s="56" t="s">
        <v>62</v>
      </c>
      <c r="B13" s="56" t="s">
        <v>63</v>
      </c>
      <c r="C13" s="56" t="s">
        <v>58</v>
      </c>
      <c r="D13" s="56" t="s">
        <v>64</v>
      </c>
      <c r="E13" t="s">
        <v>81</v>
      </c>
      <c r="F13" t="s">
        <v>82</v>
      </c>
      <c r="G13" t="s">
        <v>83</v>
      </c>
      <c r="H13" t="s">
        <v>84</v>
      </c>
      <c r="I13" s="56" t="s">
        <v>65</v>
      </c>
      <c r="J13" s="56" t="s">
        <v>66</v>
      </c>
      <c r="K13" s="56" t="s">
        <v>67</v>
      </c>
      <c r="L13" s="56" t="s">
        <v>68</v>
      </c>
      <c r="M13" s="56" t="s">
        <v>69</v>
      </c>
      <c r="N13" s="56" t="s">
        <v>13</v>
      </c>
      <c r="O13" t="s">
        <v>70</v>
      </c>
      <c r="P13" t="s">
        <v>89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ColWidth="9.140625"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88" t="s">
        <v>100</v>
      </c>
      <c r="B4" s="89"/>
      <c r="C4" s="89"/>
      <c r="D4" s="89"/>
      <c r="E4" s="89"/>
      <c r="F4" s="89"/>
      <c r="G4" s="89"/>
      <c r="H4" s="90"/>
      <c r="I4" s="89"/>
      <c r="J4" s="89"/>
      <c r="K4" s="89"/>
      <c r="L4" s="89"/>
      <c r="M4" s="89"/>
      <c r="N4" s="89"/>
      <c r="O4" s="90"/>
      <c r="P4" s="88" t="s">
        <v>91</v>
      </c>
      <c r="Q4" s="89"/>
      <c r="R4" s="89"/>
      <c r="S4" s="90"/>
    </row>
    <row r="5" spans="1:19" ht="15.75" x14ac:dyDescent="0.25">
      <c r="A5" s="56" t="s">
        <v>62</v>
      </c>
      <c r="B5" s="59" t="s">
        <v>90</v>
      </c>
      <c r="C5" s="60" t="s">
        <v>144</v>
      </c>
      <c r="D5" s="60" t="s">
        <v>99</v>
      </c>
      <c r="E5" s="60" t="s">
        <v>85</v>
      </c>
      <c r="F5" s="60" t="s">
        <v>86</v>
      </c>
      <c r="G5" s="57" t="s">
        <v>87</v>
      </c>
      <c r="H5" s="57" t="s">
        <v>88</v>
      </c>
      <c r="I5" s="61" t="s">
        <v>63</v>
      </c>
      <c r="J5" s="60" t="s">
        <v>58</v>
      </c>
      <c r="K5" s="57" t="s">
        <v>64</v>
      </c>
      <c r="L5" s="57" t="s">
        <v>81</v>
      </c>
      <c r="M5" s="57" t="s">
        <v>82</v>
      </c>
      <c r="N5" s="57" t="s">
        <v>83</v>
      </c>
      <c r="O5" s="57" t="s">
        <v>84</v>
      </c>
      <c r="P5" s="60" t="s">
        <v>65</v>
      </c>
      <c r="Q5" s="60" t="s">
        <v>66</v>
      </c>
      <c r="R5" s="47" t="s">
        <v>69</v>
      </c>
      <c r="S5" s="47" t="s">
        <v>13</v>
      </c>
    </row>
    <row r="6" spans="1:19" x14ac:dyDescent="0.25">
      <c r="A6"/>
      <c r="B6"/>
      <c r="C6" t="s">
        <v>123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activeCell="C21" sqref="C21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2" t="s">
        <v>73</v>
      </c>
      <c r="B1" s="92"/>
      <c r="C1" s="26">
        <f>COUNTIF(C6:C16,TRUE)</f>
        <v>0</v>
      </c>
      <c r="D1" s="21"/>
      <c r="E1" s="22"/>
      <c r="F1" s="35"/>
    </row>
    <row r="2" spans="1:7" ht="15" customHeight="1" x14ac:dyDescent="0.25">
      <c r="A2" s="92" t="s">
        <v>74</v>
      </c>
      <c r="B2" s="92"/>
      <c r="C2" s="26">
        <f>COUNTIF(C7:C16,FALSE)</f>
        <v>0</v>
      </c>
      <c r="D2" s="21"/>
      <c r="E2" s="23"/>
      <c r="F2" s="35"/>
      <c r="G2" s="13" t="s">
        <v>59</v>
      </c>
    </row>
    <row r="3" spans="1:7" ht="28.5" customHeight="1" x14ac:dyDescent="0.25">
      <c r="A3" s="93" t="s">
        <v>72</v>
      </c>
      <c r="B3" s="93"/>
      <c r="C3" s="24" t="b">
        <f>IF(C1=2,TRUE,FALSE)</f>
        <v>0</v>
      </c>
      <c r="D3" s="25"/>
      <c r="E3" s="23"/>
      <c r="F3" s="35"/>
      <c r="G3" s="13" t="s">
        <v>60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71</v>
      </c>
      <c r="B5" s="30" t="s">
        <v>75</v>
      </c>
      <c r="C5" s="30" t="s">
        <v>61</v>
      </c>
      <c r="D5" s="31" t="s">
        <v>40</v>
      </c>
      <c r="E5" s="31" t="s">
        <v>131</v>
      </c>
      <c r="F5" s="35"/>
    </row>
    <row r="6" spans="1:7" x14ac:dyDescent="0.25">
      <c r="A6" s="91" t="s">
        <v>124</v>
      </c>
      <c r="B6" s="91"/>
      <c r="C6" s="32" t="e">
        <f>IF(COUNTIF(#REF!,"FALSE")=0,TRUE,FALSE)</f>
        <v>#REF!</v>
      </c>
      <c r="D6" s="33"/>
      <c r="E6" s="32"/>
      <c r="F6" s="34"/>
    </row>
    <row r="7" spans="1:7" x14ac:dyDescent="0.25">
      <c r="A7" s="14">
        <v>1</v>
      </c>
      <c r="B7" s="5" t="s">
        <v>126</v>
      </c>
      <c r="C7" s="77"/>
      <c r="D7" s="67">
        <f>COUNTA(#REF!)</f>
        <v>1</v>
      </c>
      <c r="E7" s="17"/>
      <c r="F7" s="16"/>
    </row>
    <row r="8" spans="1:7" x14ac:dyDescent="0.25">
      <c r="A8" s="14">
        <v>2</v>
      </c>
      <c r="B8" s="5" t="s">
        <v>127</v>
      </c>
      <c r="D8" s="67" t="e">
        <f>SUM(#REF!)</f>
        <v>#REF!</v>
      </c>
      <c r="E8" s="17"/>
      <c r="F8" s="16"/>
    </row>
    <row r="9" spans="1:7" x14ac:dyDescent="0.25">
      <c r="A9" s="14">
        <v>3</v>
      </c>
      <c r="B9" s="5" t="s">
        <v>128</v>
      </c>
      <c r="D9" s="67" t="e">
        <f>SUM(#REF!)</f>
        <v>#REF!</v>
      </c>
      <c r="E9" s="17"/>
      <c r="F9" s="16"/>
    </row>
    <row r="10" spans="1:7" x14ac:dyDescent="0.25">
      <c r="A10" s="14">
        <v>4</v>
      </c>
      <c r="B10" s="5" t="s">
        <v>130</v>
      </c>
      <c r="D10" s="67" t="e">
        <f>SUM(#REF!)</f>
        <v>#REF!</v>
      </c>
      <c r="E10" s="17"/>
      <c r="F10" s="16"/>
    </row>
    <row r="11" spans="1:7" x14ac:dyDescent="0.25">
      <c r="A11" s="14">
        <v>5</v>
      </c>
      <c r="B11" s="5" t="s">
        <v>129</v>
      </c>
      <c r="D11" s="67" t="e">
        <f>SUM(#REF!)</f>
        <v>#REF!</v>
      </c>
      <c r="E11" s="17"/>
      <c r="F11" s="16"/>
    </row>
    <row r="12" spans="1:7" x14ac:dyDescent="0.25">
      <c r="A12" s="91" t="s">
        <v>125</v>
      </c>
      <c r="B12" s="91"/>
      <c r="C12" s="37" t="e">
        <f>IF(COUNTIF(#REF!,"FALSE")=0,TRUE,FALSE)</f>
        <v>#REF!</v>
      </c>
      <c r="D12" s="37"/>
      <c r="E12" s="36"/>
      <c r="F12" s="34"/>
    </row>
    <row r="13" spans="1:7" x14ac:dyDescent="0.25">
      <c r="A13" s="14">
        <v>1</v>
      </c>
      <c r="B13" s="5" t="s">
        <v>126</v>
      </c>
      <c r="C13" s="67"/>
      <c r="D13" s="19">
        <f>COUNTA(#REF!)</f>
        <v>1</v>
      </c>
      <c r="E13" s="17"/>
      <c r="F13" s="16"/>
    </row>
    <row r="14" spans="1:7" x14ac:dyDescent="0.25">
      <c r="A14" s="14">
        <v>2</v>
      </c>
      <c r="B14" s="5" t="s">
        <v>127</v>
      </c>
      <c r="C14" s="67"/>
      <c r="D14" s="19" t="e">
        <f>SUM(#REF!)</f>
        <v>#REF!</v>
      </c>
      <c r="E14" s="17"/>
      <c r="F14" s="16"/>
    </row>
    <row r="15" spans="1:7" x14ac:dyDescent="0.25">
      <c r="A15" s="14">
        <v>3</v>
      </c>
      <c r="B15" s="5" t="s">
        <v>130</v>
      </c>
      <c r="C15" s="67"/>
      <c r="D15" s="19" t="e">
        <f>SUM(#REF!)</f>
        <v>#REF!</v>
      </c>
      <c r="E15" s="17"/>
      <c r="F15" s="16"/>
    </row>
    <row r="16" spans="1:7" x14ac:dyDescent="0.25">
      <c r="A16" s="14">
        <v>4</v>
      </c>
      <c r="B16" s="5" t="s">
        <v>129</v>
      </c>
      <c r="C16" s="67"/>
      <c r="D16" s="19" t="e">
        <f>SUM(#REF!)</f>
        <v>#REF!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AB3EF-E307-41C7-B8BC-63BE344D0F09}">
  <sheetPr codeName="Sheet11"/>
  <dimension ref="A1:N20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3" sqref="J3"/>
    </sheetView>
  </sheetViews>
  <sheetFormatPr defaultRowHeight="15" x14ac:dyDescent="0.25"/>
  <cols>
    <col min="1" max="1" width="11.85546875" bestFit="1" customWidth="1"/>
    <col min="2" max="2" width="9" style="11" bestFit="1" customWidth="1"/>
    <col min="3" max="3" width="28.140625" style="11" bestFit="1" customWidth="1"/>
    <col min="4" max="4" width="7.42578125" style="11" bestFit="1" customWidth="1"/>
    <col min="5" max="5" width="6.5703125" style="11" bestFit="1" customWidth="1"/>
    <col min="6" max="6" width="4.42578125" style="11" bestFit="1" customWidth="1"/>
    <col min="7" max="7" width="7.85546875" style="11" bestFit="1" customWidth="1"/>
    <col min="8" max="8" width="14.5703125" style="11" bestFit="1" customWidth="1"/>
    <col min="9" max="9" width="12.7109375" style="11" bestFit="1" customWidth="1"/>
    <col min="10" max="10" width="15.140625" bestFit="1" customWidth="1"/>
    <col min="11" max="11" width="14.28515625" style="11" bestFit="1" customWidth="1"/>
    <col min="12" max="12" width="16.5703125" bestFit="1" customWidth="1"/>
    <col min="13" max="13" width="6.42578125" bestFit="1" customWidth="1"/>
    <col min="14" max="14" width="5.7109375" bestFit="1" customWidth="1"/>
  </cols>
  <sheetData>
    <row r="1" spans="1:14" x14ac:dyDescent="0.25">
      <c r="A1" s="88" t="s">
        <v>35</v>
      </c>
      <c r="B1" s="89"/>
      <c r="C1" s="89"/>
      <c r="D1" s="89"/>
      <c r="E1" s="89"/>
      <c r="F1" s="89"/>
      <c r="G1" s="89"/>
      <c r="H1" s="90"/>
      <c r="I1" s="88" t="s">
        <v>91</v>
      </c>
      <c r="J1" s="89"/>
      <c r="K1" s="89"/>
      <c r="L1" s="89"/>
      <c r="M1" s="90"/>
      <c r="N1" s="58" t="s">
        <v>92</v>
      </c>
    </row>
    <row r="2" spans="1:14" x14ac:dyDescent="0.25">
      <c r="A2" s="56" t="s">
        <v>62</v>
      </c>
      <c r="B2" s="81" t="s">
        <v>63</v>
      </c>
      <c r="C2" s="81" t="s">
        <v>58</v>
      </c>
      <c r="D2" s="81" t="s">
        <v>64</v>
      </c>
      <c r="E2" s="11" t="s">
        <v>81</v>
      </c>
      <c r="F2" s="11" t="s">
        <v>82</v>
      </c>
      <c r="G2" s="11" t="s">
        <v>83</v>
      </c>
      <c r="H2" s="11" t="s">
        <v>84</v>
      </c>
      <c r="I2" s="81" t="s">
        <v>65</v>
      </c>
      <c r="J2" s="56" t="s">
        <v>66</v>
      </c>
      <c r="K2" s="81" t="s">
        <v>67</v>
      </c>
      <c r="L2" s="56" t="s">
        <v>68</v>
      </c>
      <c r="M2" s="56" t="s">
        <v>69</v>
      </c>
      <c r="N2" s="56" t="s">
        <v>13</v>
      </c>
    </row>
    <row r="3" spans="1:14" x14ac:dyDescent="0.25">
      <c r="A3">
        <v>1</v>
      </c>
      <c r="B3" s="11">
        <v>48211090</v>
      </c>
      <c r="C3" s="11">
        <v>290838</v>
      </c>
      <c r="D3" s="11" t="s">
        <v>174</v>
      </c>
      <c r="I3" s="11" t="s">
        <v>2</v>
      </c>
      <c r="J3">
        <v>2294</v>
      </c>
      <c r="K3" s="11" t="s">
        <v>115</v>
      </c>
      <c r="L3">
        <v>3</v>
      </c>
      <c r="M3">
        <v>19648.68</v>
      </c>
      <c r="N3">
        <v>86927.82</v>
      </c>
    </row>
    <row r="4" spans="1:14" x14ac:dyDescent="0.25">
      <c r="A4">
        <v>2</v>
      </c>
      <c r="B4" s="11">
        <v>52095990</v>
      </c>
      <c r="C4" s="11">
        <v>293943</v>
      </c>
      <c r="D4" s="11" t="s">
        <v>175</v>
      </c>
      <c r="I4" s="11" t="s">
        <v>14</v>
      </c>
      <c r="J4">
        <v>61</v>
      </c>
      <c r="K4" s="11" t="s">
        <v>115</v>
      </c>
      <c r="L4">
        <v>0</v>
      </c>
      <c r="M4">
        <v>19648.68</v>
      </c>
      <c r="N4">
        <v>2311.5100000000002</v>
      </c>
    </row>
    <row r="5" spans="1:14" x14ac:dyDescent="0.25">
      <c r="A5">
        <v>3</v>
      </c>
      <c r="B5" s="11">
        <v>60063290</v>
      </c>
      <c r="C5" s="11">
        <v>296204</v>
      </c>
      <c r="D5" s="11" t="s">
        <v>176</v>
      </c>
      <c r="I5" s="11" t="s">
        <v>14</v>
      </c>
      <c r="J5">
        <v>123</v>
      </c>
      <c r="K5" s="11" t="s">
        <v>115</v>
      </c>
      <c r="L5">
        <v>0</v>
      </c>
      <c r="M5">
        <v>19648.68</v>
      </c>
      <c r="N5">
        <v>4660.8999999999996</v>
      </c>
    </row>
    <row r="6" spans="1:14" x14ac:dyDescent="0.25">
      <c r="A6">
        <v>4</v>
      </c>
      <c r="B6" s="11">
        <v>55169200</v>
      </c>
      <c r="C6" s="11" t="s">
        <v>177</v>
      </c>
      <c r="D6" s="11" t="s">
        <v>178</v>
      </c>
      <c r="I6" s="11" t="s">
        <v>14</v>
      </c>
      <c r="J6">
        <v>5880.7</v>
      </c>
      <c r="K6" s="11" t="s">
        <v>115</v>
      </c>
      <c r="L6">
        <v>0</v>
      </c>
      <c r="M6">
        <v>19648.68</v>
      </c>
      <c r="N6">
        <v>222840.64</v>
      </c>
    </row>
    <row r="7" spans="1:14" x14ac:dyDescent="0.25">
      <c r="A7">
        <v>5</v>
      </c>
      <c r="B7" s="11">
        <v>52084190</v>
      </c>
      <c r="C7" s="11">
        <v>298827</v>
      </c>
      <c r="D7" s="11" t="s">
        <v>179</v>
      </c>
      <c r="I7" s="11" t="s">
        <v>15</v>
      </c>
      <c r="J7">
        <v>987</v>
      </c>
      <c r="K7" s="11" t="s">
        <v>115</v>
      </c>
      <c r="L7">
        <v>0</v>
      </c>
      <c r="M7">
        <v>19648.68</v>
      </c>
      <c r="N7">
        <v>37400.94</v>
      </c>
    </row>
    <row r="8" spans="1:14" x14ac:dyDescent="0.25">
      <c r="A8">
        <v>6</v>
      </c>
      <c r="B8" s="11">
        <v>52093200</v>
      </c>
      <c r="C8" s="11">
        <v>300343</v>
      </c>
      <c r="D8" s="11" t="s">
        <v>180</v>
      </c>
      <c r="I8" s="11" t="s">
        <v>14</v>
      </c>
      <c r="J8">
        <v>15.4</v>
      </c>
      <c r="K8" s="11" t="s">
        <v>115</v>
      </c>
      <c r="L8">
        <v>0</v>
      </c>
      <c r="M8">
        <v>19648.68</v>
      </c>
      <c r="N8">
        <v>583.54999999999995</v>
      </c>
    </row>
    <row r="9" spans="1:14" x14ac:dyDescent="0.25">
      <c r="A9">
        <v>7</v>
      </c>
      <c r="B9" s="11">
        <v>58062090</v>
      </c>
      <c r="C9" s="11">
        <v>257439</v>
      </c>
      <c r="D9" s="11" t="s">
        <v>181</v>
      </c>
      <c r="I9" s="11" t="s">
        <v>45</v>
      </c>
      <c r="J9">
        <v>29</v>
      </c>
      <c r="K9" s="11" t="s">
        <v>115</v>
      </c>
      <c r="L9">
        <v>0</v>
      </c>
      <c r="M9">
        <v>19648.68</v>
      </c>
      <c r="N9">
        <v>1098.92</v>
      </c>
    </row>
    <row r="10" spans="1:14" x14ac:dyDescent="0.25">
      <c r="A10">
        <v>8</v>
      </c>
      <c r="B10" s="11">
        <v>96071900</v>
      </c>
      <c r="C10" s="11" t="s">
        <v>182</v>
      </c>
      <c r="D10" s="11" t="s">
        <v>183</v>
      </c>
      <c r="I10" s="11" t="s">
        <v>2</v>
      </c>
      <c r="J10">
        <v>3924</v>
      </c>
      <c r="K10" s="11" t="s">
        <v>115</v>
      </c>
      <c r="L10">
        <v>0</v>
      </c>
      <c r="M10">
        <v>19648.68</v>
      </c>
      <c r="N10">
        <v>148694.32</v>
      </c>
    </row>
    <row r="11" spans="1:14" x14ac:dyDescent="0.25">
      <c r="A11">
        <v>9</v>
      </c>
      <c r="B11" s="11">
        <v>96061090</v>
      </c>
      <c r="C11" s="11" t="s">
        <v>184</v>
      </c>
      <c r="D11" s="11" t="s">
        <v>185</v>
      </c>
      <c r="I11" s="11" t="s">
        <v>2</v>
      </c>
      <c r="J11">
        <v>84480</v>
      </c>
      <c r="K11" s="11" t="s">
        <v>115</v>
      </c>
      <c r="L11">
        <v>0</v>
      </c>
      <c r="M11">
        <v>19648.68</v>
      </c>
      <c r="N11">
        <v>3201247.68</v>
      </c>
    </row>
    <row r="12" spans="1:14" x14ac:dyDescent="0.25">
      <c r="A12">
        <v>10</v>
      </c>
      <c r="B12" s="11">
        <v>58063210</v>
      </c>
      <c r="C12" s="11">
        <v>290824</v>
      </c>
      <c r="D12" s="11" t="s">
        <v>186</v>
      </c>
      <c r="I12" s="11" t="s">
        <v>14</v>
      </c>
      <c r="J12">
        <v>986</v>
      </c>
      <c r="K12" s="11" t="s">
        <v>115</v>
      </c>
      <c r="L12">
        <v>0</v>
      </c>
      <c r="M12">
        <v>19648.68</v>
      </c>
      <c r="N12">
        <v>37363.040000000001</v>
      </c>
    </row>
    <row r="13" spans="1:14" x14ac:dyDescent="0.25">
      <c r="A13">
        <v>11</v>
      </c>
      <c r="B13" s="11">
        <v>58063210</v>
      </c>
      <c r="C13" s="11">
        <v>290825</v>
      </c>
      <c r="D13" s="11" t="s">
        <v>187</v>
      </c>
      <c r="I13" s="11" t="s">
        <v>14</v>
      </c>
      <c r="J13">
        <v>141</v>
      </c>
      <c r="K13" s="11" t="s">
        <v>115</v>
      </c>
      <c r="L13">
        <v>0</v>
      </c>
      <c r="M13">
        <v>19648.68</v>
      </c>
      <c r="N13">
        <v>5343</v>
      </c>
    </row>
    <row r="14" spans="1:14" x14ac:dyDescent="0.25">
      <c r="A14">
        <v>12</v>
      </c>
      <c r="B14" s="11">
        <v>48211090</v>
      </c>
      <c r="C14" s="11">
        <v>290829</v>
      </c>
      <c r="D14" s="11" t="s">
        <v>188</v>
      </c>
      <c r="I14" s="11" t="s">
        <v>2</v>
      </c>
      <c r="J14">
        <v>5140</v>
      </c>
      <c r="K14" s="11" t="s">
        <v>115</v>
      </c>
      <c r="L14">
        <v>0</v>
      </c>
      <c r="M14">
        <v>19648.68</v>
      </c>
      <c r="N14">
        <v>194772.89</v>
      </c>
    </row>
    <row r="15" spans="1:14" x14ac:dyDescent="0.25">
      <c r="A15">
        <v>13</v>
      </c>
      <c r="B15" s="11">
        <v>48211090</v>
      </c>
      <c r="C15" s="11">
        <v>290833</v>
      </c>
      <c r="D15" s="11" t="s">
        <v>189</v>
      </c>
      <c r="I15" s="11" t="s">
        <v>2</v>
      </c>
      <c r="J15">
        <v>2570</v>
      </c>
      <c r="K15" s="11" t="s">
        <v>115</v>
      </c>
      <c r="L15">
        <v>0</v>
      </c>
      <c r="M15">
        <v>19648.68</v>
      </c>
      <c r="N15">
        <v>97386.44</v>
      </c>
    </row>
    <row r="16" spans="1:14" x14ac:dyDescent="0.25">
      <c r="A16">
        <v>14</v>
      </c>
      <c r="B16" s="11">
        <v>90258000</v>
      </c>
      <c r="C16" s="11">
        <v>290836</v>
      </c>
      <c r="D16" s="11" t="s">
        <v>190</v>
      </c>
      <c r="I16" s="11" t="s">
        <v>56</v>
      </c>
      <c r="J16">
        <v>1.37</v>
      </c>
      <c r="K16" s="11" t="s">
        <v>115</v>
      </c>
      <c r="L16">
        <v>0</v>
      </c>
      <c r="M16">
        <v>19648.68</v>
      </c>
      <c r="N16">
        <v>51.92</v>
      </c>
    </row>
    <row r="17" spans="1:14" x14ac:dyDescent="0.25">
      <c r="A17">
        <v>15</v>
      </c>
      <c r="B17" s="11">
        <v>49089000</v>
      </c>
      <c r="C17" s="11">
        <v>290837</v>
      </c>
      <c r="D17" s="11" t="s">
        <v>191</v>
      </c>
      <c r="I17" s="11" t="s">
        <v>2</v>
      </c>
      <c r="J17">
        <v>2570</v>
      </c>
      <c r="K17" s="11" t="s">
        <v>115</v>
      </c>
      <c r="L17">
        <v>0</v>
      </c>
      <c r="M17">
        <v>19648.68</v>
      </c>
      <c r="N17">
        <v>97386.44</v>
      </c>
    </row>
    <row r="18" spans="1:14" x14ac:dyDescent="0.25">
      <c r="A18">
        <v>16</v>
      </c>
      <c r="B18" s="11">
        <v>96071900</v>
      </c>
      <c r="C18" s="11" t="s">
        <v>192</v>
      </c>
      <c r="D18" s="11" t="s">
        <v>193</v>
      </c>
      <c r="I18" s="11" t="s">
        <v>2</v>
      </c>
      <c r="J18">
        <v>960</v>
      </c>
      <c r="K18" s="11" t="s">
        <v>115</v>
      </c>
      <c r="L18">
        <v>0</v>
      </c>
      <c r="M18">
        <v>19648.68</v>
      </c>
      <c r="N18">
        <v>36377.81</v>
      </c>
    </row>
    <row r="19" spans="1:14" x14ac:dyDescent="0.25">
      <c r="A19">
        <v>17</v>
      </c>
      <c r="B19" s="11">
        <v>48211090</v>
      </c>
      <c r="C19" s="11">
        <v>294019</v>
      </c>
      <c r="D19" s="11" t="s">
        <v>194</v>
      </c>
      <c r="I19" s="11" t="s">
        <v>2</v>
      </c>
      <c r="J19">
        <v>700</v>
      </c>
      <c r="K19" s="11" t="s">
        <v>115</v>
      </c>
      <c r="L19">
        <v>0</v>
      </c>
      <c r="M19">
        <v>19648.68</v>
      </c>
      <c r="N19">
        <v>26525.49</v>
      </c>
    </row>
    <row r="20" spans="1:14" x14ac:dyDescent="0.25">
      <c r="A20">
        <v>18</v>
      </c>
      <c r="B20" s="11">
        <v>48211090</v>
      </c>
      <c r="C20" s="11">
        <v>303567</v>
      </c>
      <c r="D20" s="11" t="s">
        <v>195</v>
      </c>
      <c r="I20" s="11" t="s">
        <v>2</v>
      </c>
      <c r="J20">
        <v>670</v>
      </c>
      <c r="K20" s="11" t="s">
        <v>115</v>
      </c>
      <c r="L20">
        <v>0</v>
      </c>
      <c r="M20">
        <v>19648.68</v>
      </c>
      <c r="N20">
        <v>25388.68</v>
      </c>
    </row>
  </sheetData>
  <mergeCells count="2">
    <mergeCell ref="A1:H1"/>
    <mergeCell ref="I1:M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6379E-1221-4103-95CF-9791C01861BA}">
  <sheetPr codeName="Sheet12"/>
  <dimension ref="A1:Z8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0" sqref="D10"/>
    </sheetView>
  </sheetViews>
  <sheetFormatPr defaultRowHeight="15" x14ac:dyDescent="0.25"/>
  <cols>
    <col min="1" max="1" width="11.85546875" bestFit="1" customWidth="1"/>
    <col min="2" max="2" width="15.85546875" bestFit="1" customWidth="1"/>
    <col min="3" max="3" width="21.140625" style="11" bestFit="1" customWidth="1"/>
    <col min="4" max="4" width="18.85546875" style="11" bestFit="1" customWidth="1"/>
    <col min="5" max="5" width="21.140625" style="11" bestFit="1" customWidth="1"/>
    <col min="6" max="6" width="22.42578125" style="11" bestFit="1" customWidth="1"/>
    <col min="7" max="7" width="17.140625" style="11" bestFit="1" customWidth="1"/>
    <col min="8" max="8" width="17.85546875" style="11" bestFit="1" customWidth="1"/>
    <col min="9" max="9" width="3.140625" style="11" bestFit="1" customWidth="1"/>
    <col min="10" max="10" width="14.140625" style="11" bestFit="1" customWidth="1"/>
    <col min="11" max="11" width="7.85546875" style="11" bestFit="1" customWidth="1"/>
    <col min="12" max="12" width="7.140625" style="11" bestFit="1" customWidth="1"/>
    <col min="13" max="13" width="4.5703125" style="11" bestFit="1" customWidth="1"/>
    <col min="14" max="14" width="8.5703125" style="11" bestFit="1" customWidth="1"/>
    <col min="15" max="15" width="15.7109375" style="11" bestFit="1" customWidth="1"/>
    <col min="16" max="16" width="13.85546875" style="11" bestFit="1" customWidth="1"/>
    <col min="17" max="17" width="16.42578125" bestFit="1" customWidth="1"/>
    <col min="18" max="18" width="7" bestFit="1" customWidth="1"/>
    <col min="19" max="19" width="3.5703125" bestFit="1" customWidth="1"/>
  </cols>
  <sheetData>
    <row r="1" spans="1:26" x14ac:dyDescent="0.25">
      <c r="A1" s="88" t="s">
        <v>100</v>
      </c>
      <c r="B1" s="89"/>
      <c r="C1" s="89"/>
      <c r="D1" s="89"/>
      <c r="E1" s="89"/>
      <c r="F1" s="89"/>
      <c r="G1" s="89"/>
      <c r="H1" s="90"/>
      <c r="I1" s="94"/>
      <c r="J1" s="94"/>
      <c r="K1" s="94"/>
      <c r="L1" s="94"/>
      <c r="M1" s="94"/>
      <c r="N1" s="94"/>
      <c r="O1" s="95"/>
      <c r="P1" s="88" t="s">
        <v>91</v>
      </c>
      <c r="Q1" s="89"/>
      <c r="R1" s="89"/>
      <c r="S1" s="90"/>
      <c r="T1" s="46"/>
      <c r="U1" s="46"/>
      <c r="V1" s="46"/>
      <c r="W1" s="46"/>
      <c r="X1" s="46"/>
      <c r="Y1" s="46"/>
      <c r="Z1" s="46"/>
    </row>
    <row r="2" spans="1:26" ht="15.75" x14ac:dyDescent="0.25">
      <c r="A2" s="56" t="s">
        <v>62</v>
      </c>
      <c r="B2" s="59" t="s">
        <v>90</v>
      </c>
      <c r="C2" s="82" t="s">
        <v>144</v>
      </c>
      <c r="D2" s="82" t="s">
        <v>99</v>
      </c>
      <c r="E2" s="82" t="s">
        <v>85</v>
      </c>
      <c r="F2" s="82" t="s">
        <v>86</v>
      </c>
      <c r="G2" s="83" t="s">
        <v>87</v>
      </c>
      <c r="H2" s="83" t="s">
        <v>88</v>
      </c>
      <c r="I2" s="84" t="s">
        <v>63</v>
      </c>
      <c r="J2" s="82" t="s">
        <v>58</v>
      </c>
      <c r="K2" s="83" t="s">
        <v>64</v>
      </c>
      <c r="L2" s="83" t="s">
        <v>81</v>
      </c>
      <c r="M2" s="83" t="s">
        <v>82</v>
      </c>
      <c r="N2" s="83" t="s">
        <v>83</v>
      </c>
      <c r="O2" s="83" t="s">
        <v>84</v>
      </c>
      <c r="P2" s="82" t="s">
        <v>65</v>
      </c>
      <c r="Q2" s="60" t="s">
        <v>66</v>
      </c>
      <c r="R2" s="47" t="s">
        <v>69</v>
      </c>
      <c r="S2" s="47" t="s">
        <v>13</v>
      </c>
      <c r="T2" s="6"/>
      <c r="U2" s="6"/>
      <c r="V2" s="6"/>
      <c r="W2" s="6"/>
      <c r="X2" s="6"/>
      <c r="Y2" s="6"/>
      <c r="Z2" s="6"/>
    </row>
    <row r="3" spans="1:26" x14ac:dyDescent="0.25">
      <c r="A3">
        <v>1</v>
      </c>
      <c r="B3">
        <v>1</v>
      </c>
      <c r="C3" s="11" t="s">
        <v>208</v>
      </c>
      <c r="D3" s="11" t="s">
        <v>145</v>
      </c>
      <c r="E3" s="11">
        <v>623264</v>
      </c>
      <c r="F3" s="11" t="s">
        <v>199</v>
      </c>
      <c r="J3" s="11">
        <v>290838</v>
      </c>
      <c r="K3" s="11" t="s">
        <v>174</v>
      </c>
      <c r="P3" s="11" t="s">
        <v>2</v>
      </c>
      <c r="Q3">
        <v>2294</v>
      </c>
      <c r="T3" s="6"/>
      <c r="U3" s="6"/>
      <c r="V3" s="6"/>
      <c r="W3" s="6"/>
      <c r="X3" s="6"/>
      <c r="Y3" s="6"/>
      <c r="Z3" s="6"/>
    </row>
    <row r="4" spans="1:26" x14ac:dyDescent="0.25">
      <c r="A4">
        <v>1</v>
      </c>
      <c r="B4">
        <v>2</v>
      </c>
      <c r="C4" s="11" t="s">
        <v>208</v>
      </c>
      <c r="D4" s="11" t="s">
        <v>145</v>
      </c>
      <c r="E4" s="11">
        <v>625351</v>
      </c>
      <c r="F4" s="11" t="s">
        <v>207</v>
      </c>
      <c r="J4" s="11">
        <v>290838</v>
      </c>
      <c r="K4" s="11" t="s">
        <v>174</v>
      </c>
      <c r="P4" s="11" t="s">
        <v>2</v>
      </c>
      <c r="Q4">
        <v>1900</v>
      </c>
    </row>
    <row r="5" spans="1:26" x14ac:dyDescent="0.25">
      <c r="A5">
        <v>2</v>
      </c>
      <c r="B5">
        <v>1</v>
      </c>
      <c r="C5" s="11" t="s">
        <v>208</v>
      </c>
      <c r="D5" s="11" t="s">
        <v>145</v>
      </c>
      <c r="E5" s="11">
        <v>623132</v>
      </c>
      <c r="F5" s="11" t="s">
        <v>198</v>
      </c>
      <c r="J5" s="11">
        <v>293943</v>
      </c>
      <c r="K5" s="11" t="s">
        <v>175</v>
      </c>
      <c r="P5" s="11" t="s">
        <v>14</v>
      </c>
      <c r="Q5">
        <v>61</v>
      </c>
    </row>
    <row r="6" spans="1:26" x14ac:dyDescent="0.25">
      <c r="A6">
        <v>2</v>
      </c>
      <c r="B6">
        <v>2</v>
      </c>
      <c r="C6" s="11" t="s">
        <v>208</v>
      </c>
      <c r="D6" s="11" t="s">
        <v>145</v>
      </c>
      <c r="E6" s="11">
        <v>625351</v>
      </c>
      <c r="F6" s="11" t="s">
        <v>207</v>
      </c>
      <c r="J6" s="11">
        <v>293943</v>
      </c>
      <c r="K6" s="11" t="s">
        <v>175</v>
      </c>
      <c r="P6" s="11" t="s">
        <v>14</v>
      </c>
      <c r="Q6">
        <v>61</v>
      </c>
    </row>
    <row r="7" spans="1:26" x14ac:dyDescent="0.25">
      <c r="A7">
        <v>3</v>
      </c>
      <c r="B7">
        <v>1</v>
      </c>
      <c r="C7" s="11" t="s">
        <v>208</v>
      </c>
      <c r="D7" s="11" t="s">
        <v>145</v>
      </c>
      <c r="E7" s="11">
        <v>623264</v>
      </c>
      <c r="F7" s="11" t="s">
        <v>199</v>
      </c>
      <c r="J7" s="11">
        <v>296204</v>
      </c>
      <c r="K7" s="11" t="s">
        <v>176</v>
      </c>
      <c r="P7" s="11" t="s">
        <v>14</v>
      </c>
      <c r="Q7">
        <v>123</v>
      </c>
    </row>
    <row r="8" spans="1:26" x14ac:dyDescent="0.25">
      <c r="A8">
        <v>3</v>
      </c>
      <c r="B8">
        <v>2</v>
      </c>
      <c r="C8" s="11" t="s">
        <v>208</v>
      </c>
      <c r="D8" s="11" t="s">
        <v>145</v>
      </c>
      <c r="E8" s="11">
        <v>624436</v>
      </c>
      <c r="F8" s="11" t="s">
        <v>206</v>
      </c>
      <c r="J8" s="11">
        <v>296204</v>
      </c>
      <c r="K8" s="11" t="s">
        <v>176</v>
      </c>
      <c r="P8" s="11" t="s">
        <v>14</v>
      </c>
      <c r="Q8">
        <v>4</v>
      </c>
    </row>
    <row r="9" spans="1:26" x14ac:dyDescent="0.25">
      <c r="A9">
        <v>3</v>
      </c>
      <c r="B9">
        <v>3</v>
      </c>
      <c r="C9" s="11" t="s">
        <v>208</v>
      </c>
      <c r="D9" s="11" t="s">
        <v>145</v>
      </c>
      <c r="E9" s="11">
        <v>625351</v>
      </c>
      <c r="F9" s="11" t="s">
        <v>207</v>
      </c>
      <c r="J9" s="11">
        <v>296204</v>
      </c>
      <c r="K9" s="11" t="s">
        <v>176</v>
      </c>
      <c r="P9" s="11" t="s">
        <v>14</v>
      </c>
      <c r="Q9">
        <v>127</v>
      </c>
    </row>
    <row r="10" spans="1:26" x14ac:dyDescent="0.25">
      <c r="A10">
        <v>4</v>
      </c>
      <c r="B10">
        <v>1</v>
      </c>
      <c r="C10" s="11" t="s">
        <v>208</v>
      </c>
      <c r="D10" s="11" t="s">
        <v>145</v>
      </c>
      <c r="E10" s="11">
        <v>623264</v>
      </c>
      <c r="F10" s="11" t="s">
        <v>199</v>
      </c>
      <c r="J10" s="11">
        <v>297887</v>
      </c>
      <c r="K10" s="11" t="s">
        <v>178</v>
      </c>
      <c r="P10" s="11" t="s">
        <v>14</v>
      </c>
      <c r="Q10">
        <v>566.29999999999995</v>
      </c>
    </row>
    <row r="11" spans="1:26" x14ac:dyDescent="0.25">
      <c r="A11">
        <v>4</v>
      </c>
      <c r="B11">
        <v>2</v>
      </c>
      <c r="C11" s="11" t="s">
        <v>208</v>
      </c>
      <c r="D11" s="11" t="s">
        <v>145</v>
      </c>
      <c r="E11" s="11">
        <v>623264</v>
      </c>
      <c r="F11" s="11" t="s">
        <v>199</v>
      </c>
      <c r="J11" s="11">
        <v>297888</v>
      </c>
      <c r="K11" s="11" t="s">
        <v>178</v>
      </c>
      <c r="P11" s="11" t="s">
        <v>14</v>
      </c>
      <c r="Q11">
        <v>4841.8</v>
      </c>
    </row>
    <row r="12" spans="1:26" x14ac:dyDescent="0.25">
      <c r="A12">
        <v>4</v>
      </c>
      <c r="B12">
        <v>3</v>
      </c>
      <c r="C12" s="11" t="s">
        <v>208</v>
      </c>
      <c r="D12" s="11" t="s">
        <v>145</v>
      </c>
      <c r="E12" s="11">
        <v>623411</v>
      </c>
      <c r="F12" s="11" t="s">
        <v>200</v>
      </c>
      <c r="J12" s="11">
        <v>297888</v>
      </c>
      <c r="K12" s="11" t="s">
        <v>178</v>
      </c>
      <c r="P12" s="11" t="s">
        <v>14</v>
      </c>
      <c r="Q12">
        <v>472.6</v>
      </c>
    </row>
    <row r="13" spans="1:26" x14ac:dyDescent="0.25">
      <c r="A13">
        <v>4</v>
      </c>
      <c r="B13">
        <v>4</v>
      </c>
      <c r="C13" s="11" t="s">
        <v>208</v>
      </c>
      <c r="D13" s="11" t="s">
        <v>145</v>
      </c>
      <c r="E13" s="11">
        <v>625351</v>
      </c>
      <c r="F13" s="11" t="s">
        <v>207</v>
      </c>
      <c r="J13" s="11">
        <v>297888</v>
      </c>
      <c r="K13" s="11" t="s">
        <v>178</v>
      </c>
      <c r="P13" s="11" t="s">
        <v>14</v>
      </c>
      <c r="Q13">
        <v>4589.3999999999996</v>
      </c>
    </row>
    <row r="14" spans="1:26" x14ac:dyDescent="0.25">
      <c r="A14">
        <v>4</v>
      </c>
      <c r="B14">
        <v>5</v>
      </c>
      <c r="C14" s="11" t="s">
        <v>208</v>
      </c>
      <c r="D14" s="11" t="s">
        <v>145</v>
      </c>
      <c r="E14" s="11">
        <v>625351</v>
      </c>
      <c r="F14" s="11" t="s">
        <v>207</v>
      </c>
      <c r="J14" s="11">
        <v>297887</v>
      </c>
      <c r="K14" s="11" t="s">
        <v>178</v>
      </c>
      <c r="P14" s="11" t="s">
        <v>14</v>
      </c>
      <c r="Q14">
        <v>566.29999999999995</v>
      </c>
    </row>
    <row r="15" spans="1:26" x14ac:dyDescent="0.25">
      <c r="A15">
        <v>4</v>
      </c>
      <c r="B15">
        <v>6</v>
      </c>
      <c r="C15" s="11" t="s">
        <v>208</v>
      </c>
      <c r="D15" s="11" t="s">
        <v>145</v>
      </c>
      <c r="E15" s="11">
        <v>623264</v>
      </c>
      <c r="F15" s="11" t="s">
        <v>199</v>
      </c>
      <c r="J15" s="11">
        <v>297888</v>
      </c>
      <c r="K15" s="11" t="s">
        <v>178</v>
      </c>
      <c r="P15" s="11" t="s">
        <v>14</v>
      </c>
      <c r="Q15">
        <v>4841.8</v>
      </c>
    </row>
    <row r="16" spans="1:26" x14ac:dyDescent="0.25">
      <c r="A16">
        <v>4</v>
      </c>
      <c r="B16">
        <v>7</v>
      </c>
      <c r="C16" s="11" t="s">
        <v>208</v>
      </c>
      <c r="D16" s="11" t="s">
        <v>145</v>
      </c>
      <c r="E16" s="11">
        <v>623411</v>
      </c>
      <c r="F16" s="11" t="s">
        <v>200</v>
      </c>
      <c r="J16" s="11">
        <v>297888</v>
      </c>
      <c r="K16" s="11" t="s">
        <v>178</v>
      </c>
      <c r="P16" s="11" t="s">
        <v>14</v>
      </c>
      <c r="Q16">
        <v>472.6</v>
      </c>
    </row>
    <row r="17" spans="1:17" x14ac:dyDescent="0.25">
      <c r="A17">
        <v>4</v>
      </c>
      <c r="B17">
        <v>8</v>
      </c>
      <c r="C17" s="11" t="s">
        <v>208</v>
      </c>
      <c r="D17" s="11" t="s">
        <v>145</v>
      </c>
      <c r="E17" s="11">
        <v>625351</v>
      </c>
      <c r="F17" s="11" t="s">
        <v>207</v>
      </c>
      <c r="J17" s="11">
        <v>297888</v>
      </c>
      <c r="K17" s="11" t="s">
        <v>178</v>
      </c>
      <c r="P17" s="11" t="s">
        <v>14</v>
      </c>
      <c r="Q17">
        <v>4589.3999999999996</v>
      </c>
    </row>
    <row r="18" spans="1:17" x14ac:dyDescent="0.25">
      <c r="A18">
        <v>5</v>
      </c>
      <c r="B18">
        <v>1</v>
      </c>
      <c r="C18" s="11" t="s">
        <v>208</v>
      </c>
      <c r="D18" s="11" t="s">
        <v>145</v>
      </c>
      <c r="E18" s="11">
        <v>623132</v>
      </c>
      <c r="F18" s="11" t="s">
        <v>198</v>
      </c>
      <c r="J18" s="11">
        <v>298827</v>
      </c>
      <c r="K18" s="11" t="s">
        <v>179</v>
      </c>
      <c r="P18" s="11" t="s">
        <v>15</v>
      </c>
      <c r="Q18">
        <v>987</v>
      </c>
    </row>
    <row r="19" spans="1:17" x14ac:dyDescent="0.25">
      <c r="A19">
        <v>5</v>
      </c>
      <c r="B19">
        <v>2</v>
      </c>
      <c r="C19" s="11" t="s">
        <v>208</v>
      </c>
      <c r="D19" s="11" t="s">
        <v>145</v>
      </c>
      <c r="E19" s="11">
        <v>624197</v>
      </c>
      <c r="F19" s="11" t="s">
        <v>204</v>
      </c>
      <c r="J19" s="11">
        <v>298827</v>
      </c>
      <c r="K19" s="11" t="s">
        <v>179</v>
      </c>
      <c r="P19" s="11" t="s">
        <v>15</v>
      </c>
      <c r="Q19">
        <v>30</v>
      </c>
    </row>
    <row r="20" spans="1:17" x14ac:dyDescent="0.25">
      <c r="A20">
        <v>5</v>
      </c>
      <c r="B20">
        <v>3</v>
      </c>
      <c r="C20" s="11" t="s">
        <v>208</v>
      </c>
      <c r="D20" s="11" t="s">
        <v>145</v>
      </c>
      <c r="E20" s="11">
        <v>625351</v>
      </c>
      <c r="F20" s="11" t="s">
        <v>207</v>
      </c>
      <c r="J20" s="11">
        <v>298827</v>
      </c>
      <c r="K20" s="11" t="s">
        <v>179</v>
      </c>
      <c r="P20" s="11" t="s">
        <v>15</v>
      </c>
      <c r="Q20">
        <v>738</v>
      </c>
    </row>
    <row r="21" spans="1:17" x14ac:dyDescent="0.25">
      <c r="A21">
        <v>6</v>
      </c>
      <c r="B21">
        <v>1</v>
      </c>
      <c r="C21" s="11" t="s">
        <v>208</v>
      </c>
      <c r="D21" s="11" t="s">
        <v>145</v>
      </c>
      <c r="E21" s="11">
        <v>623132</v>
      </c>
      <c r="F21" s="11" t="s">
        <v>198</v>
      </c>
      <c r="J21" s="11">
        <v>300343</v>
      </c>
      <c r="K21" s="11" t="s">
        <v>180</v>
      </c>
      <c r="P21" s="11" t="s">
        <v>14</v>
      </c>
      <c r="Q21">
        <v>15.4</v>
      </c>
    </row>
    <row r="22" spans="1:17" x14ac:dyDescent="0.25">
      <c r="A22">
        <v>6</v>
      </c>
      <c r="B22">
        <v>2</v>
      </c>
      <c r="C22" s="11" t="s">
        <v>208</v>
      </c>
      <c r="D22" s="11" t="s">
        <v>145</v>
      </c>
      <c r="E22" s="11">
        <v>625351</v>
      </c>
      <c r="F22" s="11" t="s">
        <v>207</v>
      </c>
      <c r="J22" s="11">
        <v>300343</v>
      </c>
      <c r="K22" s="11" t="s">
        <v>180</v>
      </c>
      <c r="P22" s="11" t="s">
        <v>14</v>
      </c>
      <c r="Q22">
        <v>11.4</v>
      </c>
    </row>
    <row r="23" spans="1:17" x14ac:dyDescent="0.25">
      <c r="A23">
        <v>7</v>
      </c>
      <c r="B23">
        <v>1</v>
      </c>
      <c r="C23" s="11" t="s">
        <v>208</v>
      </c>
      <c r="D23" s="11" t="s">
        <v>145</v>
      </c>
      <c r="E23" s="11">
        <v>623013</v>
      </c>
      <c r="F23" s="11" t="s">
        <v>197</v>
      </c>
      <c r="J23" s="11">
        <v>257439</v>
      </c>
      <c r="K23" s="11" t="s">
        <v>181</v>
      </c>
      <c r="P23" s="11" t="s">
        <v>45</v>
      </c>
      <c r="Q23">
        <v>29</v>
      </c>
    </row>
    <row r="24" spans="1:17" x14ac:dyDescent="0.25">
      <c r="A24">
        <v>7</v>
      </c>
      <c r="B24">
        <v>2</v>
      </c>
      <c r="C24" s="11" t="s">
        <v>208</v>
      </c>
      <c r="D24" s="11" t="s">
        <v>145</v>
      </c>
      <c r="E24" s="11">
        <v>625351</v>
      </c>
      <c r="F24" s="11" t="s">
        <v>207</v>
      </c>
      <c r="J24" s="11">
        <v>257439</v>
      </c>
      <c r="K24" s="11" t="s">
        <v>181</v>
      </c>
      <c r="P24" s="11" t="s">
        <v>45</v>
      </c>
      <c r="Q24">
        <v>20</v>
      </c>
    </row>
    <row r="25" spans="1:17" x14ac:dyDescent="0.25">
      <c r="A25">
        <v>8</v>
      </c>
      <c r="B25">
        <v>1</v>
      </c>
      <c r="C25" s="11" t="s">
        <v>208</v>
      </c>
      <c r="D25" s="11" t="s">
        <v>145</v>
      </c>
      <c r="E25" s="11">
        <v>623013</v>
      </c>
      <c r="F25" s="11" t="s">
        <v>197</v>
      </c>
      <c r="J25" s="11">
        <v>290818</v>
      </c>
      <c r="K25" s="11" t="s">
        <v>183</v>
      </c>
      <c r="P25" s="11" t="s">
        <v>2</v>
      </c>
      <c r="Q25">
        <v>2240</v>
      </c>
    </row>
    <row r="26" spans="1:17" x14ac:dyDescent="0.25">
      <c r="A26">
        <v>8</v>
      </c>
      <c r="B26">
        <v>2</v>
      </c>
      <c r="C26" s="11" t="s">
        <v>208</v>
      </c>
      <c r="D26" s="11" t="s">
        <v>145</v>
      </c>
      <c r="E26" s="11">
        <v>623411</v>
      </c>
      <c r="F26" s="11" t="s">
        <v>200</v>
      </c>
      <c r="J26" s="11">
        <v>290818</v>
      </c>
      <c r="K26" s="11" t="s">
        <v>183</v>
      </c>
      <c r="P26" s="11" t="s">
        <v>2</v>
      </c>
      <c r="Q26">
        <v>904</v>
      </c>
    </row>
    <row r="27" spans="1:17" x14ac:dyDescent="0.25">
      <c r="A27">
        <v>8</v>
      </c>
      <c r="B27">
        <v>3</v>
      </c>
      <c r="C27" s="11" t="s">
        <v>208</v>
      </c>
      <c r="D27" s="11" t="s">
        <v>145</v>
      </c>
      <c r="E27" s="11">
        <v>623951</v>
      </c>
      <c r="F27" s="11" t="s">
        <v>202</v>
      </c>
      <c r="J27" s="11">
        <v>290954</v>
      </c>
      <c r="K27" s="11" t="s">
        <v>183</v>
      </c>
      <c r="P27" s="11" t="s">
        <v>2</v>
      </c>
      <c r="Q27">
        <v>780</v>
      </c>
    </row>
    <row r="28" spans="1:17" x14ac:dyDescent="0.25">
      <c r="A28">
        <v>8</v>
      </c>
      <c r="B28">
        <v>4</v>
      </c>
      <c r="C28" s="11" t="s">
        <v>208</v>
      </c>
      <c r="D28" s="11" t="s">
        <v>145</v>
      </c>
      <c r="E28" s="11">
        <v>624063</v>
      </c>
      <c r="F28" s="11" t="s">
        <v>203</v>
      </c>
      <c r="J28" s="11">
        <v>290954</v>
      </c>
      <c r="K28" s="11" t="s">
        <v>183</v>
      </c>
      <c r="P28" s="11" t="s">
        <v>2</v>
      </c>
      <c r="Q28">
        <v>420</v>
      </c>
    </row>
    <row r="29" spans="1:17" x14ac:dyDescent="0.25">
      <c r="A29">
        <v>8</v>
      </c>
      <c r="B29">
        <v>5</v>
      </c>
      <c r="C29" s="11" t="s">
        <v>208</v>
      </c>
      <c r="D29" s="11" t="s">
        <v>145</v>
      </c>
      <c r="E29" s="11">
        <v>624300</v>
      </c>
      <c r="F29" s="11" t="s">
        <v>205</v>
      </c>
      <c r="J29" s="11">
        <v>290818</v>
      </c>
      <c r="K29" s="11" t="s">
        <v>183</v>
      </c>
      <c r="P29" s="11" t="s">
        <v>2</v>
      </c>
      <c r="Q29">
        <v>716</v>
      </c>
    </row>
    <row r="30" spans="1:17" x14ac:dyDescent="0.25">
      <c r="A30">
        <v>8</v>
      </c>
      <c r="B30">
        <v>6</v>
      </c>
      <c r="C30" s="11" t="s">
        <v>208</v>
      </c>
      <c r="D30" s="11" t="s">
        <v>145</v>
      </c>
      <c r="E30" s="11">
        <v>625351</v>
      </c>
      <c r="F30" s="11" t="s">
        <v>207</v>
      </c>
      <c r="J30" s="11">
        <v>290818</v>
      </c>
      <c r="K30" s="11" t="s">
        <v>183</v>
      </c>
      <c r="P30" s="11" t="s">
        <v>2</v>
      </c>
      <c r="Q30">
        <v>2660</v>
      </c>
    </row>
    <row r="31" spans="1:17" x14ac:dyDescent="0.25">
      <c r="A31">
        <v>8</v>
      </c>
      <c r="B31">
        <v>7</v>
      </c>
      <c r="C31" s="11" t="s">
        <v>208</v>
      </c>
      <c r="D31" s="11" t="s">
        <v>145</v>
      </c>
      <c r="E31" s="11">
        <v>625351</v>
      </c>
      <c r="F31" s="11" t="s">
        <v>207</v>
      </c>
      <c r="J31" s="11">
        <v>290954</v>
      </c>
      <c r="K31" s="11" t="s">
        <v>183</v>
      </c>
      <c r="P31" s="11" t="s">
        <v>2</v>
      </c>
      <c r="Q31">
        <v>1140</v>
      </c>
    </row>
    <row r="32" spans="1:17" x14ac:dyDescent="0.25">
      <c r="A32">
        <v>8</v>
      </c>
      <c r="B32">
        <v>8</v>
      </c>
      <c r="C32" s="11" t="s">
        <v>208</v>
      </c>
      <c r="D32" s="11" t="s">
        <v>145</v>
      </c>
      <c r="E32" s="11">
        <v>623013</v>
      </c>
      <c r="F32" s="11" t="s">
        <v>197</v>
      </c>
      <c r="J32" s="11">
        <v>290818</v>
      </c>
      <c r="K32" s="11" t="s">
        <v>183</v>
      </c>
      <c r="P32" s="11" t="s">
        <v>2</v>
      </c>
      <c r="Q32">
        <v>2240</v>
      </c>
    </row>
    <row r="33" spans="1:17" x14ac:dyDescent="0.25">
      <c r="A33">
        <v>8</v>
      </c>
      <c r="B33">
        <v>9</v>
      </c>
      <c r="C33" s="11" t="s">
        <v>208</v>
      </c>
      <c r="D33" s="11" t="s">
        <v>145</v>
      </c>
      <c r="E33" s="11">
        <v>623411</v>
      </c>
      <c r="F33" s="11" t="s">
        <v>200</v>
      </c>
      <c r="J33" s="11">
        <v>290818</v>
      </c>
      <c r="K33" s="11" t="s">
        <v>183</v>
      </c>
      <c r="P33" s="11" t="s">
        <v>2</v>
      </c>
      <c r="Q33">
        <v>904</v>
      </c>
    </row>
    <row r="34" spans="1:17" x14ac:dyDescent="0.25">
      <c r="A34">
        <v>8</v>
      </c>
      <c r="B34">
        <v>10</v>
      </c>
      <c r="C34" s="11" t="s">
        <v>208</v>
      </c>
      <c r="D34" s="11" t="s">
        <v>145</v>
      </c>
      <c r="E34" s="11">
        <v>624300</v>
      </c>
      <c r="F34" s="11" t="s">
        <v>205</v>
      </c>
      <c r="J34" s="11">
        <v>290818</v>
      </c>
      <c r="K34" s="11" t="s">
        <v>183</v>
      </c>
      <c r="P34" s="11" t="s">
        <v>2</v>
      </c>
      <c r="Q34">
        <v>716</v>
      </c>
    </row>
    <row r="35" spans="1:17" x14ac:dyDescent="0.25">
      <c r="A35">
        <v>8</v>
      </c>
      <c r="B35">
        <v>11</v>
      </c>
      <c r="C35" s="11" t="s">
        <v>208</v>
      </c>
      <c r="D35" s="11" t="s">
        <v>145</v>
      </c>
      <c r="E35" s="11">
        <v>625351</v>
      </c>
      <c r="F35" s="11" t="s">
        <v>207</v>
      </c>
      <c r="J35" s="11">
        <v>290818</v>
      </c>
      <c r="K35" s="11" t="s">
        <v>183</v>
      </c>
      <c r="P35" s="11" t="s">
        <v>2</v>
      </c>
      <c r="Q35">
        <v>2660</v>
      </c>
    </row>
    <row r="36" spans="1:17" x14ac:dyDescent="0.25">
      <c r="A36">
        <v>9</v>
      </c>
      <c r="B36">
        <v>1</v>
      </c>
      <c r="C36" s="11" t="s">
        <v>208</v>
      </c>
      <c r="D36" s="11" t="s">
        <v>145</v>
      </c>
      <c r="E36" s="11">
        <v>623132</v>
      </c>
      <c r="F36" s="11" t="s">
        <v>198</v>
      </c>
      <c r="J36" s="11">
        <v>290820</v>
      </c>
      <c r="K36" s="11" t="s">
        <v>185</v>
      </c>
      <c r="P36" s="11" t="s">
        <v>2</v>
      </c>
      <c r="Q36">
        <v>21120</v>
      </c>
    </row>
    <row r="37" spans="1:17" x14ac:dyDescent="0.25">
      <c r="A37">
        <v>9</v>
      </c>
      <c r="B37">
        <v>2</v>
      </c>
      <c r="C37" s="11" t="s">
        <v>208</v>
      </c>
      <c r="D37" s="11" t="s">
        <v>145</v>
      </c>
      <c r="E37" s="11">
        <v>623132</v>
      </c>
      <c r="F37" s="11" t="s">
        <v>198</v>
      </c>
      <c r="J37" s="11">
        <v>290821</v>
      </c>
      <c r="K37" s="11" t="s">
        <v>185</v>
      </c>
      <c r="P37" s="11" t="s">
        <v>2</v>
      </c>
      <c r="Q37">
        <v>21120</v>
      </c>
    </row>
    <row r="38" spans="1:17" x14ac:dyDescent="0.25">
      <c r="A38">
        <v>9</v>
      </c>
      <c r="B38">
        <v>3</v>
      </c>
      <c r="C38" s="11" t="s">
        <v>208</v>
      </c>
      <c r="D38" s="11" t="s">
        <v>145</v>
      </c>
      <c r="E38" s="11">
        <v>623132</v>
      </c>
      <c r="F38" s="11" t="s">
        <v>198</v>
      </c>
      <c r="J38" s="11">
        <v>290822</v>
      </c>
      <c r="K38" s="11" t="s">
        <v>185</v>
      </c>
      <c r="P38" s="11" t="s">
        <v>2</v>
      </c>
      <c r="Q38">
        <v>21120</v>
      </c>
    </row>
    <row r="39" spans="1:17" x14ac:dyDescent="0.25">
      <c r="A39">
        <v>9</v>
      </c>
      <c r="B39">
        <v>4</v>
      </c>
      <c r="C39" s="11" t="s">
        <v>208</v>
      </c>
      <c r="D39" s="11" t="s">
        <v>145</v>
      </c>
      <c r="E39" s="11">
        <v>623132</v>
      </c>
      <c r="F39" s="11" t="s">
        <v>198</v>
      </c>
      <c r="J39" s="11">
        <v>290823</v>
      </c>
      <c r="K39" s="11" t="s">
        <v>185</v>
      </c>
      <c r="P39" s="11" t="s">
        <v>2</v>
      </c>
      <c r="Q39">
        <v>21120</v>
      </c>
    </row>
    <row r="40" spans="1:17" x14ac:dyDescent="0.25">
      <c r="A40">
        <v>9</v>
      </c>
      <c r="B40">
        <v>5</v>
      </c>
      <c r="C40" s="11" t="s">
        <v>208</v>
      </c>
      <c r="D40" s="11" t="s">
        <v>145</v>
      </c>
      <c r="E40" s="11">
        <v>625351</v>
      </c>
      <c r="F40" s="11" t="s">
        <v>207</v>
      </c>
      <c r="J40" s="11">
        <v>290820</v>
      </c>
      <c r="K40" s="11" t="s">
        <v>185</v>
      </c>
      <c r="P40" s="11" t="s">
        <v>2</v>
      </c>
      <c r="Q40">
        <v>17100</v>
      </c>
    </row>
    <row r="41" spans="1:17" x14ac:dyDescent="0.25">
      <c r="A41">
        <v>9</v>
      </c>
      <c r="B41">
        <v>6</v>
      </c>
      <c r="C41" s="11" t="s">
        <v>208</v>
      </c>
      <c r="D41" s="11" t="s">
        <v>145</v>
      </c>
      <c r="E41" s="11">
        <v>625351</v>
      </c>
      <c r="F41" s="11" t="s">
        <v>207</v>
      </c>
      <c r="J41" s="11">
        <v>290821</v>
      </c>
      <c r="K41" s="11" t="s">
        <v>185</v>
      </c>
      <c r="P41" s="11" t="s">
        <v>2</v>
      </c>
      <c r="Q41">
        <v>17100</v>
      </c>
    </row>
    <row r="42" spans="1:17" x14ac:dyDescent="0.25">
      <c r="A42">
        <v>9</v>
      </c>
      <c r="B42">
        <v>7</v>
      </c>
      <c r="C42" s="11" t="s">
        <v>208</v>
      </c>
      <c r="D42" s="11" t="s">
        <v>145</v>
      </c>
      <c r="E42" s="11">
        <v>625351</v>
      </c>
      <c r="F42" s="11" t="s">
        <v>207</v>
      </c>
      <c r="J42" s="11">
        <v>290822</v>
      </c>
      <c r="K42" s="11" t="s">
        <v>185</v>
      </c>
      <c r="P42" s="11" t="s">
        <v>2</v>
      </c>
      <c r="Q42">
        <v>17100</v>
      </c>
    </row>
    <row r="43" spans="1:17" x14ac:dyDescent="0.25">
      <c r="A43">
        <v>9</v>
      </c>
      <c r="B43">
        <v>8</v>
      </c>
      <c r="C43" s="11" t="s">
        <v>208</v>
      </c>
      <c r="D43" s="11" t="s">
        <v>145</v>
      </c>
      <c r="E43" s="11">
        <v>625351</v>
      </c>
      <c r="F43" s="11" t="s">
        <v>207</v>
      </c>
      <c r="J43" s="11">
        <v>290823</v>
      </c>
      <c r="K43" s="11" t="s">
        <v>185</v>
      </c>
      <c r="P43" s="11" t="s">
        <v>2</v>
      </c>
      <c r="Q43">
        <v>17100</v>
      </c>
    </row>
    <row r="44" spans="1:17" x14ac:dyDescent="0.25">
      <c r="A44">
        <v>9</v>
      </c>
      <c r="B44">
        <v>9</v>
      </c>
      <c r="C44" s="11" t="s">
        <v>208</v>
      </c>
      <c r="D44" s="11" t="s">
        <v>145</v>
      </c>
      <c r="E44" s="11">
        <v>623132</v>
      </c>
      <c r="F44" s="11" t="s">
        <v>198</v>
      </c>
      <c r="J44" s="11">
        <v>290820</v>
      </c>
      <c r="K44" s="11" t="s">
        <v>185</v>
      </c>
      <c r="P44" s="11" t="s">
        <v>2</v>
      </c>
      <c r="Q44">
        <v>21120</v>
      </c>
    </row>
    <row r="45" spans="1:17" x14ac:dyDescent="0.25">
      <c r="A45">
        <v>9</v>
      </c>
      <c r="B45">
        <v>10</v>
      </c>
      <c r="C45" s="11" t="s">
        <v>208</v>
      </c>
      <c r="D45" s="11" t="s">
        <v>145</v>
      </c>
      <c r="E45" s="11">
        <v>623132</v>
      </c>
      <c r="F45" s="11" t="s">
        <v>198</v>
      </c>
      <c r="J45" s="11">
        <v>290821</v>
      </c>
      <c r="K45" s="11" t="s">
        <v>185</v>
      </c>
      <c r="P45" s="11" t="s">
        <v>2</v>
      </c>
      <c r="Q45">
        <v>21120</v>
      </c>
    </row>
    <row r="46" spans="1:17" x14ac:dyDescent="0.25">
      <c r="A46">
        <v>9</v>
      </c>
      <c r="B46">
        <v>11</v>
      </c>
      <c r="C46" s="11" t="s">
        <v>208</v>
      </c>
      <c r="D46" s="11" t="s">
        <v>145</v>
      </c>
      <c r="E46" s="11">
        <v>623132</v>
      </c>
      <c r="F46" s="11" t="s">
        <v>198</v>
      </c>
      <c r="J46" s="11">
        <v>290822</v>
      </c>
      <c r="K46" s="11" t="s">
        <v>185</v>
      </c>
      <c r="P46" s="11" t="s">
        <v>2</v>
      </c>
      <c r="Q46">
        <v>21120</v>
      </c>
    </row>
    <row r="47" spans="1:17" x14ac:dyDescent="0.25">
      <c r="A47">
        <v>9</v>
      </c>
      <c r="B47">
        <v>12</v>
      </c>
      <c r="C47" s="11" t="s">
        <v>208</v>
      </c>
      <c r="D47" s="11" t="s">
        <v>145</v>
      </c>
      <c r="E47" s="11">
        <v>625351</v>
      </c>
      <c r="F47" s="11" t="s">
        <v>207</v>
      </c>
      <c r="J47" s="11">
        <v>290820</v>
      </c>
      <c r="K47" s="11" t="s">
        <v>185</v>
      </c>
      <c r="P47" s="11" t="s">
        <v>2</v>
      </c>
      <c r="Q47">
        <v>17100</v>
      </c>
    </row>
    <row r="48" spans="1:17" x14ac:dyDescent="0.25">
      <c r="A48">
        <v>9</v>
      </c>
      <c r="B48">
        <v>13</v>
      </c>
      <c r="C48" s="11" t="s">
        <v>208</v>
      </c>
      <c r="D48" s="11" t="s">
        <v>145</v>
      </c>
      <c r="E48" s="11">
        <v>625351</v>
      </c>
      <c r="F48" s="11" t="s">
        <v>207</v>
      </c>
      <c r="J48" s="11">
        <v>290821</v>
      </c>
      <c r="K48" s="11" t="s">
        <v>185</v>
      </c>
      <c r="P48" s="11" t="s">
        <v>2</v>
      </c>
      <c r="Q48">
        <v>17100</v>
      </c>
    </row>
    <row r="49" spans="1:17" x14ac:dyDescent="0.25">
      <c r="A49">
        <v>9</v>
      </c>
      <c r="B49">
        <v>14</v>
      </c>
      <c r="C49" s="11" t="s">
        <v>208</v>
      </c>
      <c r="D49" s="11" t="s">
        <v>145</v>
      </c>
      <c r="E49" s="11">
        <v>625351</v>
      </c>
      <c r="F49" s="11" t="s">
        <v>207</v>
      </c>
      <c r="J49" s="11">
        <v>290822</v>
      </c>
      <c r="K49" s="11" t="s">
        <v>185</v>
      </c>
      <c r="P49" s="11" t="s">
        <v>2</v>
      </c>
      <c r="Q49">
        <v>17100</v>
      </c>
    </row>
    <row r="50" spans="1:17" x14ac:dyDescent="0.25">
      <c r="A50">
        <v>10</v>
      </c>
      <c r="B50">
        <v>1</v>
      </c>
      <c r="C50" s="11" t="s">
        <v>208</v>
      </c>
      <c r="D50" s="11" t="s">
        <v>145</v>
      </c>
      <c r="E50" s="11">
        <v>623013</v>
      </c>
      <c r="F50" s="11" t="s">
        <v>197</v>
      </c>
      <c r="J50" s="11">
        <v>290824</v>
      </c>
      <c r="K50" s="11" t="s">
        <v>186</v>
      </c>
      <c r="P50" s="11" t="s">
        <v>14</v>
      </c>
      <c r="Q50">
        <v>986</v>
      </c>
    </row>
    <row r="51" spans="1:17" x14ac:dyDescent="0.25">
      <c r="A51">
        <v>10</v>
      </c>
      <c r="B51">
        <v>2</v>
      </c>
      <c r="C51" s="11" t="s">
        <v>208</v>
      </c>
      <c r="D51" s="11" t="s">
        <v>145</v>
      </c>
      <c r="E51" s="11">
        <v>625351</v>
      </c>
      <c r="F51" s="11" t="s">
        <v>207</v>
      </c>
      <c r="J51" s="11">
        <v>290824</v>
      </c>
      <c r="K51" s="11" t="s">
        <v>186</v>
      </c>
      <c r="P51" s="11" t="s">
        <v>14</v>
      </c>
      <c r="Q51">
        <v>825</v>
      </c>
    </row>
    <row r="52" spans="1:17" x14ac:dyDescent="0.25">
      <c r="A52">
        <v>11</v>
      </c>
      <c r="B52">
        <v>1</v>
      </c>
      <c r="C52" s="11" t="s">
        <v>208</v>
      </c>
      <c r="D52" s="11" t="s">
        <v>145</v>
      </c>
      <c r="E52" s="11">
        <v>623013</v>
      </c>
      <c r="F52" s="11" t="s">
        <v>197</v>
      </c>
      <c r="J52" s="11">
        <v>290825</v>
      </c>
      <c r="K52" s="11" t="s">
        <v>187</v>
      </c>
      <c r="P52" s="11" t="s">
        <v>14</v>
      </c>
      <c r="Q52">
        <v>141</v>
      </c>
    </row>
    <row r="53" spans="1:17" x14ac:dyDescent="0.25">
      <c r="A53">
        <v>11</v>
      </c>
      <c r="B53">
        <v>2</v>
      </c>
      <c r="C53" s="11" t="s">
        <v>208</v>
      </c>
      <c r="D53" s="11" t="s">
        <v>145</v>
      </c>
      <c r="E53" s="11">
        <v>625351</v>
      </c>
      <c r="F53" s="11" t="s">
        <v>207</v>
      </c>
      <c r="J53" s="11">
        <v>290825</v>
      </c>
      <c r="K53" s="11" t="s">
        <v>187</v>
      </c>
      <c r="P53" s="11" t="s">
        <v>14</v>
      </c>
      <c r="Q53">
        <v>141</v>
      </c>
    </row>
    <row r="54" spans="1:17" x14ac:dyDescent="0.25">
      <c r="A54">
        <v>12</v>
      </c>
      <c r="B54">
        <v>1</v>
      </c>
      <c r="C54" s="11" t="s">
        <v>208</v>
      </c>
      <c r="D54" s="11" t="s">
        <v>145</v>
      </c>
      <c r="E54" s="11">
        <v>623013</v>
      </c>
      <c r="F54" s="11" t="s">
        <v>197</v>
      </c>
      <c r="J54" s="11">
        <v>290829</v>
      </c>
      <c r="K54" s="11" t="s">
        <v>188</v>
      </c>
      <c r="P54" s="11" t="s">
        <v>2</v>
      </c>
      <c r="Q54">
        <v>400</v>
      </c>
    </row>
    <row r="55" spans="1:17" x14ac:dyDescent="0.25">
      <c r="A55">
        <v>12</v>
      </c>
      <c r="B55">
        <v>2</v>
      </c>
      <c r="C55" s="11" t="s">
        <v>208</v>
      </c>
      <c r="D55" s="11" t="s">
        <v>145</v>
      </c>
      <c r="E55" s="11">
        <v>623132</v>
      </c>
      <c r="F55" s="11" t="s">
        <v>198</v>
      </c>
      <c r="J55" s="11">
        <v>290829</v>
      </c>
      <c r="K55" s="11" t="s">
        <v>188</v>
      </c>
      <c r="P55" s="11" t="s">
        <v>2</v>
      </c>
      <c r="Q55">
        <v>4740</v>
      </c>
    </row>
    <row r="56" spans="1:17" x14ac:dyDescent="0.25">
      <c r="A56">
        <v>12</v>
      </c>
      <c r="B56">
        <v>3</v>
      </c>
      <c r="C56" s="11" t="s">
        <v>208</v>
      </c>
      <c r="D56" s="11" t="s">
        <v>145</v>
      </c>
      <c r="E56" s="11">
        <v>625351</v>
      </c>
      <c r="F56" s="11" t="s">
        <v>207</v>
      </c>
      <c r="J56" s="11">
        <v>290829</v>
      </c>
      <c r="K56" s="11" t="s">
        <v>188</v>
      </c>
      <c r="P56" s="11" t="s">
        <v>2</v>
      </c>
      <c r="Q56">
        <v>3800</v>
      </c>
    </row>
    <row r="57" spans="1:17" x14ac:dyDescent="0.25">
      <c r="A57">
        <v>13</v>
      </c>
      <c r="B57">
        <v>1</v>
      </c>
      <c r="C57" s="11" t="s">
        <v>208</v>
      </c>
      <c r="D57" s="11" t="s">
        <v>145</v>
      </c>
      <c r="E57" s="11">
        <v>623411</v>
      </c>
      <c r="F57" s="11" t="s">
        <v>200</v>
      </c>
      <c r="J57" s="11">
        <v>290833</v>
      </c>
      <c r="K57" s="11" t="s">
        <v>189</v>
      </c>
      <c r="P57" s="11" t="s">
        <v>2</v>
      </c>
      <c r="Q57">
        <v>270</v>
      </c>
    </row>
    <row r="58" spans="1:17" x14ac:dyDescent="0.25">
      <c r="A58">
        <v>13</v>
      </c>
      <c r="B58">
        <v>2</v>
      </c>
      <c r="C58" s="11" t="s">
        <v>208</v>
      </c>
      <c r="D58" s="11" t="s">
        <v>145</v>
      </c>
      <c r="E58" s="11">
        <v>623542</v>
      </c>
      <c r="F58" s="11" t="s">
        <v>201</v>
      </c>
      <c r="J58" s="11">
        <v>290833</v>
      </c>
      <c r="K58" s="11" t="s">
        <v>189</v>
      </c>
      <c r="P58" s="11" t="s">
        <v>2</v>
      </c>
      <c r="Q58">
        <v>2300</v>
      </c>
    </row>
    <row r="59" spans="1:17" x14ac:dyDescent="0.25">
      <c r="A59">
        <v>13</v>
      </c>
      <c r="B59">
        <v>3</v>
      </c>
      <c r="C59" s="11" t="s">
        <v>208</v>
      </c>
      <c r="D59" s="11" t="s">
        <v>145</v>
      </c>
      <c r="E59" s="11">
        <v>625351</v>
      </c>
      <c r="F59" s="11" t="s">
        <v>207</v>
      </c>
      <c r="J59" s="11">
        <v>290833</v>
      </c>
      <c r="K59" s="11" t="s">
        <v>189</v>
      </c>
      <c r="P59" s="11" t="s">
        <v>2</v>
      </c>
      <c r="Q59">
        <v>1900</v>
      </c>
    </row>
    <row r="60" spans="1:17" x14ac:dyDescent="0.25">
      <c r="A60">
        <v>14</v>
      </c>
      <c r="B60">
        <v>1</v>
      </c>
      <c r="C60" s="11" t="s">
        <v>208</v>
      </c>
      <c r="D60" s="11" t="s">
        <v>145</v>
      </c>
      <c r="E60" s="11">
        <v>623013</v>
      </c>
      <c r="F60" s="11" t="s">
        <v>197</v>
      </c>
      <c r="J60" s="11">
        <v>290836</v>
      </c>
      <c r="K60" s="11" t="s">
        <v>190</v>
      </c>
      <c r="P60" s="11" t="s">
        <v>56</v>
      </c>
      <c r="Q60">
        <v>1.37</v>
      </c>
    </row>
    <row r="61" spans="1:17" x14ac:dyDescent="0.25">
      <c r="A61">
        <v>14</v>
      </c>
      <c r="B61">
        <v>2</v>
      </c>
      <c r="C61" s="11" t="s">
        <v>208</v>
      </c>
      <c r="D61" s="11" t="s">
        <v>145</v>
      </c>
      <c r="E61" s="11">
        <v>625351</v>
      </c>
      <c r="F61" s="11" t="s">
        <v>207</v>
      </c>
      <c r="J61" s="11">
        <v>290836</v>
      </c>
      <c r="K61" s="11" t="s">
        <v>190</v>
      </c>
      <c r="P61" s="11" t="s">
        <v>56</v>
      </c>
      <c r="Q61">
        <v>0.7</v>
      </c>
    </row>
    <row r="62" spans="1:17" x14ac:dyDescent="0.25">
      <c r="A62">
        <v>15</v>
      </c>
      <c r="B62">
        <v>1</v>
      </c>
      <c r="C62" s="11" t="s">
        <v>208</v>
      </c>
      <c r="D62" s="11" t="s">
        <v>145</v>
      </c>
      <c r="E62" s="11">
        <v>623132</v>
      </c>
      <c r="F62" s="11" t="s">
        <v>198</v>
      </c>
      <c r="J62" s="11">
        <v>290837</v>
      </c>
      <c r="K62" s="11" t="s">
        <v>191</v>
      </c>
      <c r="P62" s="11" t="s">
        <v>2</v>
      </c>
      <c r="Q62">
        <v>2570</v>
      </c>
    </row>
    <row r="63" spans="1:17" x14ac:dyDescent="0.25">
      <c r="A63">
        <v>15</v>
      </c>
      <c r="B63">
        <v>2</v>
      </c>
      <c r="C63" s="11" t="s">
        <v>208</v>
      </c>
      <c r="D63" s="11" t="s">
        <v>145</v>
      </c>
      <c r="E63" s="11">
        <v>625351</v>
      </c>
      <c r="F63" s="11" t="s">
        <v>207</v>
      </c>
      <c r="J63" s="11">
        <v>290837</v>
      </c>
      <c r="K63" s="11" t="s">
        <v>191</v>
      </c>
      <c r="P63" s="11" t="s">
        <v>2</v>
      </c>
      <c r="Q63">
        <v>1900</v>
      </c>
    </row>
    <row r="64" spans="1:17" x14ac:dyDescent="0.25">
      <c r="A64">
        <v>16</v>
      </c>
      <c r="B64">
        <v>1</v>
      </c>
      <c r="C64" s="11" t="s">
        <v>208</v>
      </c>
      <c r="D64" s="11" t="s">
        <v>145</v>
      </c>
      <c r="E64" s="11">
        <v>623013</v>
      </c>
      <c r="F64" s="11" t="s">
        <v>197</v>
      </c>
      <c r="J64" s="11">
        <v>290817</v>
      </c>
      <c r="K64" s="11" t="s">
        <v>193</v>
      </c>
      <c r="P64" s="11" t="s">
        <v>2</v>
      </c>
      <c r="Q64">
        <v>20</v>
      </c>
    </row>
    <row r="65" spans="1:17" x14ac:dyDescent="0.25">
      <c r="A65">
        <v>16</v>
      </c>
      <c r="B65">
        <v>2</v>
      </c>
      <c r="C65" s="11" t="s">
        <v>208</v>
      </c>
      <c r="D65" s="11" t="s">
        <v>145</v>
      </c>
      <c r="E65" s="11">
        <v>623013</v>
      </c>
      <c r="F65" s="11" t="s">
        <v>197</v>
      </c>
      <c r="J65" s="11">
        <v>290952</v>
      </c>
      <c r="K65" s="11" t="s">
        <v>193</v>
      </c>
      <c r="P65" s="11" t="s">
        <v>2</v>
      </c>
      <c r="Q65">
        <v>260</v>
      </c>
    </row>
    <row r="66" spans="1:17" x14ac:dyDescent="0.25">
      <c r="A66">
        <v>16</v>
      </c>
      <c r="B66">
        <v>3</v>
      </c>
      <c r="C66" s="11" t="s">
        <v>208</v>
      </c>
      <c r="D66" s="11" t="s">
        <v>145</v>
      </c>
      <c r="E66" s="11">
        <v>623411</v>
      </c>
      <c r="F66" s="11" t="s">
        <v>200</v>
      </c>
      <c r="J66" s="11">
        <v>290817</v>
      </c>
      <c r="K66" s="11" t="s">
        <v>193</v>
      </c>
      <c r="P66" s="11" t="s">
        <v>2</v>
      </c>
      <c r="Q66">
        <v>170</v>
      </c>
    </row>
    <row r="67" spans="1:17" x14ac:dyDescent="0.25">
      <c r="A67">
        <v>16</v>
      </c>
      <c r="B67">
        <v>4</v>
      </c>
      <c r="C67" s="11" t="s">
        <v>208</v>
      </c>
      <c r="D67" s="11" t="s">
        <v>145</v>
      </c>
      <c r="E67" s="11">
        <v>623411</v>
      </c>
      <c r="F67" s="11" t="s">
        <v>200</v>
      </c>
      <c r="J67" s="11">
        <v>290952</v>
      </c>
      <c r="K67" s="11" t="s">
        <v>193</v>
      </c>
      <c r="P67" s="11" t="s">
        <v>2</v>
      </c>
      <c r="Q67">
        <v>510</v>
      </c>
    </row>
    <row r="68" spans="1:17" x14ac:dyDescent="0.25">
      <c r="A68">
        <v>16</v>
      </c>
      <c r="B68">
        <v>5</v>
      </c>
      <c r="C68" s="11" t="s">
        <v>208</v>
      </c>
      <c r="D68" s="11" t="s">
        <v>145</v>
      </c>
      <c r="E68" s="11">
        <v>624063</v>
      </c>
      <c r="F68" s="11" t="s">
        <v>203</v>
      </c>
      <c r="J68" s="11">
        <v>290952</v>
      </c>
      <c r="K68" s="11" t="s">
        <v>193</v>
      </c>
      <c r="P68" s="11" t="s">
        <v>2</v>
      </c>
      <c r="Q68">
        <v>170</v>
      </c>
    </row>
    <row r="69" spans="1:17" x14ac:dyDescent="0.25">
      <c r="A69">
        <v>16</v>
      </c>
      <c r="B69">
        <v>6</v>
      </c>
      <c r="C69" s="11" t="s">
        <v>208</v>
      </c>
      <c r="D69" s="11" t="s">
        <v>145</v>
      </c>
      <c r="E69" s="11">
        <v>624063</v>
      </c>
      <c r="F69" s="11" t="s">
        <v>203</v>
      </c>
      <c r="J69" s="11">
        <v>290817</v>
      </c>
      <c r="K69" s="11" t="s">
        <v>193</v>
      </c>
      <c r="P69" s="11" t="s">
        <v>2</v>
      </c>
      <c r="Q69">
        <v>300</v>
      </c>
    </row>
    <row r="70" spans="1:17" x14ac:dyDescent="0.25">
      <c r="A70">
        <v>16</v>
      </c>
      <c r="B70">
        <v>7</v>
      </c>
      <c r="C70" s="11" t="s">
        <v>208</v>
      </c>
      <c r="D70" s="11" t="s">
        <v>145</v>
      </c>
      <c r="E70" s="11">
        <v>624197</v>
      </c>
      <c r="F70" s="11" t="s">
        <v>204</v>
      </c>
      <c r="J70" s="11">
        <v>290953</v>
      </c>
      <c r="K70" s="11" t="s">
        <v>193</v>
      </c>
      <c r="P70" s="11" t="s">
        <v>2</v>
      </c>
      <c r="Q70">
        <v>30</v>
      </c>
    </row>
    <row r="71" spans="1:17" x14ac:dyDescent="0.25">
      <c r="A71">
        <v>16</v>
      </c>
      <c r="B71">
        <v>8</v>
      </c>
      <c r="C71" s="11" t="s">
        <v>208</v>
      </c>
      <c r="D71" s="11" t="s">
        <v>145</v>
      </c>
      <c r="E71" s="11">
        <v>624197</v>
      </c>
      <c r="F71" s="11" t="s">
        <v>204</v>
      </c>
      <c r="J71" s="11">
        <v>290817</v>
      </c>
      <c r="K71" s="11" t="s">
        <v>193</v>
      </c>
      <c r="P71" s="11" t="s">
        <v>2</v>
      </c>
      <c r="Q71">
        <v>1120</v>
      </c>
    </row>
    <row r="72" spans="1:17" x14ac:dyDescent="0.25">
      <c r="A72">
        <v>16</v>
      </c>
      <c r="B72">
        <v>9</v>
      </c>
      <c r="C72" s="11" t="s">
        <v>208</v>
      </c>
      <c r="D72" s="11" t="s">
        <v>145</v>
      </c>
      <c r="E72" s="11">
        <v>625351</v>
      </c>
      <c r="F72" s="11" t="s">
        <v>207</v>
      </c>
      <c r="J72" s="11">
        <v>290817</v>
      </c>
      <c r="K72" s="11" t="s">
        <v>193</v>
      </c>
      <c r="P72" s="11" t="s">
        <v>2</v>
      </c>
      <c r="Q72">
        <v>1210</v>
      </c>
    </row>
    <row r="73" spans="1:17" x14ac:dyDescent="0.25">
      <c r="A73">
        <v>16</v>
      </c>
      <c r="B73">
        <v>10</v>
      </c>
      <c r="C73" s="11" t="s">
        <v>208</v>
      </c>
      <c r="D73" s="11" t="s">
        <v>145</v>
      </c>
      <c r="E73" s="11">
        <v>625351</v>
      </c>
      <c r="F73" s="11" t="s">
        <v>207</v>
      </c>
      <c r="J73" s="11">
        <v>290952</v>
      </c>
      <c r="K73" s="11" t="s">
        <v>193</v>
      </c>
      <c r="P73" s="11" t="s">
        <v>2</v>
      </c>
      <c r="Q73">
        <v>680</v>
      </c>
    </row>
    <row r="74" spans="1:17" x14ac:dyDescent="0.25">
      <c r="A74">
        <v>16</v>
      </c>
      <c r="B74">
        <v>11</v>
      </c>
      <c r="C74" s="11" t="s">
        <v>208</v>
      </c>
      <c r="D74" s="11" t="s">
        <v>145</v>
      </c>
      <c r="E74" s="11">
        <v>625351</v>
      </c>
      <c r="F74" s="11" t="s">
        <v>207</v>
      </c>
      <c r="J74" s="11">
        <v>290953</v>
      </c>
      <c r="K74" s="11" t="s">
        <v>193</v>
      </c>
      <c r="P74" s="11" t="s">
        <v>2</v>
      </c>
      <c r="Q74">
        <v>10</v>
      </c>
    </row>
    <row r="75" spans="1:17" x14ac:dyDescent="0.25">
      <c r="A75">
        <v>16</v>
      </c>
      <c r="B75">
        <v>12</v>
      </c>
      <c r="C75" s="11" t="s">
        <v>208</v>
      </c>
      <c r="D75" s="11" t="s">
        <v>145</v>
      </c>
      <c r="E75" s="11">
        <v>623013</v>
      </c>
      <c r="F75" s="11" t="s">
        <v>197</v>
      </c>
      <c r="J75" s="11">
        <v>290817</v>
      </c>
      <c r="K75" s="11" t="s">
        <v>193</v>
      </c>
      <c r="P75" s="11" t="s">
        <v>2</v>
      </c>
      <c r="Q75">
        <v>20</v>
      </c>
    </row>
    <row r="76" spans="1:17" x14ac:dyDescent="0.25">
      <c r="A76">
        <v>16</v>
      </c>
      <c r="B76">
        <v>13</v>
      </c>
      <c r="C76" s="11" t="s">
        <v>208</v>
      </c>
      <c r="D76" s="11" t="s">
        <v>145</v>
      </c>
      <c r="E76" s="11">
        <v>623013</v>
      </c>
      <c r="F76" s="11" t="s">
        <v>197</v>
      </c>
      <c r="J76" s="11">
        <v>290952</v>
      </c>
      <c r="K76" s="11" t="s">
        <v>193</v>
      </c>
      <c r="P76" s="11" t="s">
        <v>2</v>
      </c>
      <c r="Q76">
        <v>260</v>
      </c>
    </row>
    <row r="77" spans="1:17" x14ac:dyDescent="0.25">
      <c r="A77">
        <v>16</v>
      </c>
      <c r="B77">
        <v>14</v>
      </c>
      <c r="C77" s="11" t="s">
        <v>208</v>
      </c>
      <c r="D77" s="11" t="s">
        <v>145</v>
      </c>
      <c r="E77" s="11">
        <v>623411</v>
      </c>
      <c r="F77" s="11" t="s">
        <v>200</v>
      </c>
      <c r="J77" s="11">
        <v>290817</v>
      </c>
      <c r="K77" s="11" t="s">
        <v>193</v>
      </c>
      <c r="P77" s="11" t="s">
        <v>2</v>
      </c>
      <c r="Q77">
        <v>170</v>
      </c>
    </row>
    <row r="78" spans="1:17" x14ac:dyDescent="0.25">
      <c r="A78">
        <v>16</v>
      </c>
      <c r="B78">
        <v>15</v>
      </c>
      <c r="C78" s="11" t="s">
        <v>208</v>
      </c>
      <c r="D78" s="11" t="s">
        <v>145</v>
      </c>
      <c r="E78" s="11">
        <v>623411</v>
      </c>
      <c r="F78" s="11" t="s">
        <v>200</v>
      </c>
      <c r="J78" s="11">
        <v>290952</v>
      </c>
      <c r="K78" s="11" t="s">
        <v>193</v>
      </c>
      <c r="P78" s="11" t="s">
        <v>2</v>
      </c>
      <c r="Q78">
        <v>510</v>
      </c>
    </row>
    <row r="79" spans="1:17" x14ac:dyDescent="0.25">
      <c r="A79">
        <v>16</v>
      </c>
      <c r="B79">
        <v>16</v>
      </c>
      <c r="C79" s="11" t="s">
        <v>208</v>
      </c>
      <c r="D79" s="11" t="s">
        <v>145</v>
      </c>
      <c r="E79" s="11">
        <v>624063</v>
      </c>
      <c r="F79" s="11" t="s">
        <v>203</v>
      </c>
      <c r="J79" s="11">
        <v>290952</v>
      </c>
      <c r="K79" s="11" t="s">
        <v>193</v>
      </c>
      <c r="P79" s="11" t="s">
        <v>2</v>
      </c>
      <c r="Q79">
        <v>170</v>
      </c>
    </row>
    <row r="80" spans="1:17" x14ac:dyDescent="0.25">
      <c r="A80">
        <v>16</v>
      </c>
      <c r="B80">
        <v>17</v>
      </c>
      <c r="C80" s="11" t="s">
        <v>208</v>
      </c>
      <c r="D80" s="11" t="s">
        <v>145</v>
      </c>
      <c r="E80" s="11">
        <v>624063</v>
      </c>
      <c r="F80" s="11" t="s">
        <v>203</v>
      </c>
      <c r="J80" s="11">
        <v>290817</v>
      </c>
      <c r="K80" s="11" t="s">
        <v>193</v>
      </c>
      <c r="P80" s="11" t="s">
        <v>2</v>
      </c>
      <c r="Q80">
        <v>300</v>
      </c>
    </row>
    <row r="81" spans="1:17" x14ac:dyDescent="0.25">
      <c r="A81">
        <v>16</v>
      </c>
      <c r="B81">
        <v>18</v>
      </c>
      <c r="C81" s="11" t="s">
        <v>208</v>
      </c>
      <c r="D81" s="11" t="s">
        <v>145</v>
      </c>
      <c r="E81" s="11">
        <v>624197</v>
      </c>
      <c r="F81" s="11" t="s">
        <v>204</v>
      </c>
      <c r="J81" s="11">
        <v>290817</v>
      </c>
      <c r="K81" s="11" t="s">
        <v>193</v>
      </c>
      <c r="P81" s="11" t="s">
        <v>2</v>
      </c>
      <c r="Q81">
        <v>1120</v>
      </c>
    </row>
    <row r="82" spans="1:17" x14ac:dyDescent="0.25">
      <c r="A82">
        <v>16</v>
      </c>
      <c r="B82">
        <v>19</v>
      </c>
      <c r="C82" s="11" t="s">
        <v>208</v>
      </c>
      <c r="D82" s="11" t="s">
        <v>145</v>
      </c>
      <c r="E82" s="11">
        <v>625351</v>
      </c>
      <c r="F82" s="11" t="s">
        <v>207</v>
      </c>
      <c r="J82" s="11">
        <v>290817</v>
      </c>
      <c r="K82" s="11" t="s">
        <v>193</v>
      </c>
      <c r="P82" s="11" t="s">
        <v>2</v>
      </c>
      <c r="Q82">
        <v>1210</v>
      </c>
    </row>
    <row r="83" spans="1:17" x14ac:dyDescent="0.25">
      <c r="A83">
        <v>16</v>
      </c>
      <c r="B83">
        <v>20</v>
      </c>
      <c r="C83" s="11" t="s">
        <v>208</v>
      </c>
      <c r="D83" s="11" t="s">
        <v>145</v>
      </c>
      <c r="E83" s="11">
        <v>625351</v>
      </c>
      <c r="F83" s="11" t="s">
        <v>207</v>
      </c>
      <c r="J83" s="11">
        <v>290952</v>
      </c>
      <c r="K83" s="11" t="s">
        <v>193</v>
      </c>
      <c r="P83" s="11" t="s">
        <v>2</v>
      </c>
      <c r="Q83">
        <v>680</v>
      </c>
    </row>
    <row r="84" spans="1:17" x14ac:dyDescent="0.25">
      <c r="A84">
        <v>17</v>
      </c>
      <c r="B84">
        <v>1</v>
      </c>
      <c r="C84" s="11" t="s">
        <v>208</v>
      </c>
      <c r="D84" s="55" t="s">
        <v>145</v>
      </c>
      <c r="E84" s="11">
        <v>622862</v>
      </c>
      <c r="F84" s="11" t="s">
        <v>196</v>
      </c>
      <c r="J84" s="11">
        <v>294019</v>
      </c>
      <c r="K84" s="11" t="s">
        <v>194</v>
      </c>
      <c r="P84" s="11" t="s">
        <v>2</v>
      </c>
      <c r="Q84">
        <v>700</v>
      </c>
    </row>
    <row r="85" spans="1:17" x14ac:dyDescent="0.25">
      <c r="A85">
        <v>17</v>
      </c>
      <c r="B85">
        <v>2</v>
      </c>
      <c r="C85" s="11" t="s">
        <v>208</v>
      </c>
      <c r="D85" s="11" t="s">
        <v>145</v>
      </c>
      <c r="E85" s="11">
        <v>625351</v>
      </c>
      <c r="F85" s="11" t="s">
        <v>207</v>
      </c>
      <c r="J85" s="11">
        <v>294019</v>
      </c>
      <c r="K85" s="11" t="s">
        <v>194</v>
      </c>
      <c r="P85" s="11" t="s">
        <v>2</v>
      </c>
      <c r="Q85">
        <v>700</v>
      </c>
    </row>
    <row r="86" spans="1:17" x14ac:dyDescent="0.25">
      <c r="A86">
        <v>18</v>
      </c>
      <c r="B86">
        <v>1</v>
      </c>
      <c r="C86" s="11" t="s">
        <v>208</v>
      </c>
      <c r="D86" s="11" t="s">
        <v>145</v>
      </c>
      <c r="E86" s="11">
        <v>622862</v>
      </c>
      <c r="F86" s="11" t="s">
        <v>196</v>
      </c>
      <c r="J86" s="11">
        <v>303567</v>
      </c>
      <c r="K86" s="11" t="s">
        <v>195</v>
      </c>
      <c r="P86" s="11" t="s">
        <v>2</v>
      </c>
      <c r="Q86">
        <v>670</v>
      </c>
    </row>
  </sheetData>
  <mergeCells count="3">
    <mergeCell ref="A1:H1"/>
    <mergeCell ref="I1:O1"/>
    <mergeCell ref="P1:S1"/>
  </mergeCells>
  <dataValidations count="2">
    <dataValidation type="list" allowBlank="1" showInputMessage="1" showErrorMessage="1" sqref="D3" xr:uid="{14F5365C-72E8-4D7A-986D-F8A242DEE582}">
      <formula1>"050500,050700"</formula1>
    </dataValidation>
    <dataValidation type="list" allowBlank="1" showInputMessage="1" showErrorMessage="1" sqref="C3" xr:uid="{BBB4CBFA-8653-4F78-A3D3-2F9232EB7535}">
      <formula1>"Pilih Salasatu,261,262,40,41,27,25"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C753E-C4CE-4DA7-AE0D-D985E86E1569}">
  <sheetPr codeName="Sheet15"/>
  <dimension ref="A1:H18"/>
  <sheetViews>
    <sheetView workbookViewId="0">
      <selection activeCell="G6" sqref="G6"/>
    </sheetView>
  </sheetViews>
  <sheetFormatPr defaultRowHeight="15" x14ac:dyDescent="0.25"/>
  <sheetData>
    <row r="1" spans="1:8" x14ac:dyDescent="0.25">
      <c r="A1" s="11">
        <v>290838</v>
      </c>
      <c r="B1">
        <v>2294</v>
      </c>
      <c r="H1" s="77" t="s">
        <v>209</v>
      </c>
    </row>
    <row r="2" spans="1:8" x14ac:dyDescent="0.25">
      <c r="A2" s="11">
        <v>293943</v>
      </c>
      <c r="B2">
        <v>61</v>
      </c>
    </row>
    <row r="3" spans="1:8" x14ac:dyDescent="0.25">
      <c r="A3" s="11">
        <v>296204</v>
      </c>
      <c r="B3">
        <v>123</v>
      </c>
    </row>
    <row r="4" spans="1:8" x14ac:dyDescent="0.25">
      <c r="A4" s="11">
        <v>297888</v>
      </c>
      <c r="B4">
        <v>5880.7</v>
      </c>
    </row>
    <row r="5" spans="1:8" x14ac:dyDescent="0.25">
      <c r="A5" s="11">
        <v>298827</v>
      </c>
      <c r="B5">
        <v>987</v>
      </c>
    </row>
    <row r="6" spans="1:8" x14ac:dyDescent="0.25">
      <c r="A6" s="11">
        <v>300343</v>
      </c>
      <c r="B6">
        <v>15.4</v>
      </c>
    </row>
    <row r="7" spans="1:8" x14ac:dyDescent="0.25">
      <c r="A7" s="11">
        <v>257439</v>
      </c>
      <c r="B7">
        <v>29</v>
      </c>
    </row>
    <row r="8" spans="1:8" x14ac:dyDescent="0.25">
      <c r="A8" s="11">
        <v>290818</v>
      </c>
      <c r="B8">
        <v>3924</v>
      </c>
    </row>
    <row r="9" spans="1:8" x14ac:dyDescent="0.25">
      <c r="A9" s="11">
        <v>290820</v>
      </c>
      <c r="B9">
        <v>84480</v>
      </c>
    </row>
    <row r="10" spans="1:8" x14ac:dyDescent="0.25">
      <c r="A10" s="11">
        <v>290824</v>
      </c>
      <c r="B10">
        <v>986</v>
      </c>
    </row>
    <row r="11" spans="1:8" x14ac:dyDescent="0.25">
      <c r="A11" s="11">
        <v>290825</v>
      </c>
      <c r="B11">
        <v>141</v>
      </c>
    </row>
    <row r="12" spans="1:8" x14ac:dyDescent="0.25">
      <c r="A12" s="11">
        <v>290829</v>
      </c>
      <c r="B12">
        <v>5140</v>
      </c>
    </row>
    <row r="13" spans="1:8" x14ac:dyDescent="0.25">
      <c r="A13" s="11">
        <v>290833</v>
      </c>
      <c r="B13">
        <v>2570</v>
      </c>
    </row>
    <row r="14" spans="1:8" x14ac:dyDescent="0.25">
      <c r="A14" s="11">
        <v>290836</v>
      </c>
      <c r="B14">
        <v>1.37</v>
      </c>
    </row>
    <row r="15" spans="1:8" x14ac:dyDescent="0.25">
      <c r="A15" s="11">
        <v>290837</v>
      </c>
      <c r="B15">
        <v>2570</v>
      </c>
    </row>
    <row r="16" spans="1:8" x14ac:dyDescent="0.25">
      <c r="A16" s="11">
        <v>290952</v>
      </c>
      <c r="B16">
        <v>960</v>
      </c>
    </row>
    <row r="17" spans="1:2" x14ac:dyDescent="0.25">
      <c r="A17" s="11">
        <v>294019</v>
      </c>
      <c r="B17">
        <v>700</v>
      </c>
    </row>
    <row r="18" spans="1:2" x14ac:dyDescent="0.25">
      <c r="A18" s="11">
        <v>303567</v>
      </c>
      <c r="B18">
        <v>670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25533-373D-4B4C-9210-7675DE2D2E06}">
  <sheetPr codeName="Sheet5"/>
  <dimension ref="A1:A3"/>
  <sheetViews>
    <sheetView workbookViewId="0"/>
  </sheetViews>
  <sheetFormatPr defaultRowHeight="15" x14ac:dyDescent="0.25"/>
  <sheetData>
    <row r="1" spans="1:1" x14ac:dyDescent="0.25">
      <c r="A1" t="s">
        <v>210</v>
      </c>
    </row>
    <row r="2" spans="1:1" x14ac:dyDescent="0.25">
      <c r="A2" t="s">
        <v>211</v>
      </c>
    </row>
    <row r="3" spans="1:1" x14ac:dyDescent="0.25">
      <c r="A3" t="s">
        <v>212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FA4B9-5E6F-4A34-ABCE-D26C9F69F05E}">
  <sheetPr codeName="Sheet9"/>
  <dimension ref="A1:B18"/>
  <sheetViews>
    <sheetView workbookViewId="0"/>
  </sheetViews>
  <sheetFormatPr defaultRowHeight="15" x14ac:dyDescent="0.25"/>
  <sheetData>
    <row r="1" spans="1:2" x14ac:dyDescent="0.25">
      <c r="A1">
        <v>290838</v>
      </c>
      <c r="B1">
        <v>2294</v>
      </c>
    </row>
    <row r="2" spans="1:2" x14ac:dyDescent="0.25">
      <c r="A2">
        <v>293943</v>
      </c>
      <c r="B2">
        <v>61</v>
      </c>
    </row>
    <row r="3" spans="1:2" x14ac:dyDescent="0.25">
      <c r="A3">
        <v>296204</v>
      </c>
      <c r="B3">
        <v>123</v>
      </c>
    </row>
    <row r="4" spans="1:2" x14ac:dyDescent="0.25">
      <c r="A4">
        <v>297888</v>
      </c>
      <c r="B4">
        <v>5880.7</v>
      </c>
    </row>
    <row r="5" spans="1:2" x14ac:dyDescent="0.25">
      <c r="A5">
        <v>298827</v>
      </c>
      <c r="B5">
        <v>987</v>
      </c>
    </row>
    <row r="6" spans="1:2" x14ac:dyDescent="0.25">
      <c r="A6">
        <v>300343</v>
      </c>
      <c r="B6">
        <v>15.4</v>
      </c>
    </row>
    <row r="7" spans="1:2" x14ac:dyDescent="0.25">
      <c r="A7">
        <v>257439</v>
      </c>
      <c r="B7">
        <v>29</v>
      </c>
    </row>
    <row r="8" spans="1:2" x14ac:dyDescent="0.25">
      <c r="A8">
        <v>290818</v>
      </c>
      <c r="B8">
        <v>3924</v>
      </c>
    </row>
    <row r="9" spans="1:2" x14ac:dyDescent="0.25">
      <c r="A9">
        <v>290820</v>
      </c>
      <c r="B9">
        <v>84480</v>
      </c>
    </row>
    <row r="10" spans="1:2" x14ac:dyDescent="0.25">
      <c r="A10">
        <v>290824</v>
      </c>
      <c r="B10">
        <v>986</v>
      </c>
    </row>
    <row r="11" spans="1:2" x14ac:dyDescent="0.25">
      <c r="A11">
        <v>290825</v>
      </c>
      <c r="B11">
        <v>141</v>
      </c>
    </row>
    <row r="12" spans="1:2" x14ac:dyDescent="0.25">
      <c r="A12">
        <v>290829</v>
      </c>
      <c r="B12">
        <v>5140</v>
      </c>
    </row>
    <row r="13" spans="1:2" x14ac:dyDescent="0.25">
      <c r="A13">
        <v>290833</v>
      </c>
      <c r="B13">
        <v>2570</v>
      </c>
    </row>
    <row r="14" spans="1:2" x14ac:dyDescent="0.25">
      <c r="A14">
        <v>290836</v>
      </c>
      <c r="B14">
        <v>1.37</v>
      </c>
    </row>
    <row r="15" spans="1:2" x14ac:dyDescent="0.25">
      <c r="A15">
        <v>290837</v>
      </c>
      <c r="B15">
        <v>2570</v>
      </c>
    </row>
    <row r="16" spans="1:2" x14ac:dyDescent="0.25">
      <c r="A16">
        <v>290952</v>
      </c>
      <c r="B16">
        <v>960</v>
      </c>
    </row>
    <row r="17" spans="1:2" x14ac:dyDescent="0.25">
      <c r="A17">
        <v>294019</v>
      </c>
      <c r="B17">
        <v>700</v>
      </c>
    </row>
    <row r="18" spans="1:2" x14ac:dyDescent="0.25">
      <c r="A18">
        <v>303567</v>
      </c>
      <c r="B18">
        <v>670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(M)</vt:lpstr>
      <vt:lpstr>Set_Def</vt:lpstr>
      <vt:lpstr>Set_Cach</vt:lpstr>
      <vt:lpstr>Set_Ref</vt:lpstr>
      <vt:lpstr>Field_Barang</vt:lpstr>
      <vt:lpstr>Field_BahanBaku</vt:lpstr>
      <vt:lpstr>Summary</vt:lpstr>
      <vt:lpstr>BARANG</vt:lpstr>
      <vt:lpstr>BAHANBAKU</vt:lpstr>
      <vt:lpstr>Sheet6</vt:lpstr>
      <vt:lpstr>PUNGUTAN</vt:lpstr>
      <vt:lpstr>DM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cp:lastPrinted>2023-07-14T03:21:57Z</cp:lastPrinted>
  <dcterms:created xsi:type="dcterms:W3CDTF">2023-04-11T02:47:24Z</dcterms:created>
  <dcterms:modified xsi:type="dcterms:W3CDTF">2024-12-17T02:58:43Z</dcterms:modified>
</cp:coreProperties>
</file>