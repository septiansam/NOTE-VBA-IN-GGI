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6025D298-0E03-4516-846B-240F89B9138F}" xr6:coauthVersionLast="47" xr6:coauthVersionMax="47" xr10:uidLastSave="{00000000-0000-0000-0000-000000000000}"/>
  <bookViews>
    <workbookView xWindow="-120" yWindow="-120" windowWidth="20730" windowHeight="11160" tabRatio="685" activeTab="8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188" r:id="rId8"/>
    <sheet name="BAHANBAKU" sheetId="189" r:id="rId9"/>
  </sheets>
  <functionGroups builtInGroupCount="19"/>
  <externalReferences>
    <externalReference r:id="rId10"/>
  </externalReferences>
  <definedNames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189"/>
  <c r="AD4" i="189"/>
  <c r="AD5" i="189"/>
  <c r="AD6" i="189"/>
  <c r="AD7" i="189"/>
  <c r="AD8" i="189"/>
  <c r="AD9" i="189"/>
  <c r="AD10" i="189"/>
  <c r="AD11" i="189"/>
  <c r="AD12" i="189"/>
  <c r="AD13" i="189"/>
  <c r="AD14" i="189"/>
  <c r="AC3" i="189"/>
  <c r="AC4" i="189"/>
  <c r="AC5" i="189"/>
  <c r="AC6" i="189"/>
  <c r="AC7" i="189"/>
  <c r="AC8" i="189"/>
  <c r="AC9" i="189"/>
  <c r="AC10" i="189"/>
  <c r="AC11" i="189"/>
  <c r="AC12" i="189"/>
  <c r="AC13" i="189"/>
  <c r="AC14" i="189"/>
  <c r="AB3" i="189"/>
  <c r="AB4" i="189"/>
  <c r="AB5" i="189"/>
  <c r="AB6" i="189"/>
  <c r="AB7" i="189"/>
  <c r="AB8" i="189"/>
  <c r="AB9" i="189"/>
  <c r="AB10" i="189"/>
  <c r="AB11" i="189"/>
  <c r="AB12" i="189"/>
  <c r="AB13" i="189"/>
  <c r="AB14" i="189"/>
  <c r="AA3" i="189"/>
  <c r="AA4" i="189"/>
  <c r="AA5" i="189"/>
  <c r="AA6" i="189"/>
  <c r="AA7" i="189"/>
  <c r="AA8" i="189"/>
  <c r="AA9" i="189"/>
  <c r="AA10" i="189"/>
  <c r="AA11" i="189"/>
  <c r="AA12" i="189"/>
  <c r="AA13" i="189"/>
  <c r="AA14" i="189"/>
  <c r="Z3" i="189"/>
  <c r="Z4" i="189"/>
  <c r="Z5" i="189"/>
  <c r="Z6" i="189"/>
  <c r="Z7" i="189"/>
  <c r="Z8" i="189"/>
  <c r="Z9" i="189"/>
  <c r="Z10" i="189"/>
  <c r="Z11" i="189"/>
  <c r="Z12" i="189"/>
  <c r="Z13" i="189"/>
  <c r="Z14" i="189"/>
  <c r="Y3" i="189"/>
  <c r="Y4" i="189"/>
  <c r="Y5" i="189"/>
  <c r="Y6" i="189"/>
  <c r="Y7" i="189"/>
  <c r="Y8" i="189"/>
  <c r="Y9" i="189"/>
  <c r="Y10" i="189"/>
  <c r="Y11" i="189"/>
  <c r="Y12" i="189"/>
  <c r="Y13" i="189"/>
  <c r="Y14" i="189"/>
  <c r="X3" i="189"/>
  <c r="X4" i="189"/>
  <c r="X5" i="189"/>
  <c r="X6" i="189"/>
  <c r="X7" i="189"/>
  <c r="X8" i="189"/>
  <c r="X9" i="189"/>
  <c r="X10" i="189"/>
  <c r="X11" i="189"/>
  <c r="X12" i="189"/>
  <c r="X13" i="189"/>
  <c r="X14" i="189"/>
  <c r="W3" i="189"/>
  <c r="W4" i="189"/>
  <c r="W5" i="189"/>
  <c r="W6" i="189"/>
  <c r="W7" i="189"/>
  <c r="W8" i="189"/>
  <c r="W9" i="189"/>
  <c r="W10" i="189"/>
  <c r="W11" i="189"/>
  <c r="W12" i="189"/>
  <c r="W13" i="189"/>
  <c r="W14" i="189"/>
  <c r="V3" i="189"/>
  <c r="V4" i="189"/>
  <c r="V5" i="189"/>
  <c r="V6" i="189"/>
  <c r="V7" i="189"/>
  <c r="V8" i="189"/>
  <c r="V9" i="189"/>
  <c r="V10" i="189"/>
  <c r="V11" i="189"/>
  <c r="V12" i="189"/>
  <c r="V13" i="189"/>
  <c r="V14" i="189"/>
  <c r="U3" i="189"/>
  <c r="U4" i="189"/>
  <c r="U5" i="189"/>
  <c r="U6" i="189"/>
  <c r="U7" i="189"/>
  <c r="U8" i="189"/>
  <c r="U9" i="189"/>
  <c r="U10" i="189"/>
  <c r="U11" i="189"/>
  <c r="U12" i="189"/>
  <c r="U13" i="189"/>
  <c r="U14" i="189"/>
  <c r="T3" i="189"/>
  <c r="T4" i="189"/>
  <c r="T5" i="189"/>
  <c r="T6" i="189"/>
  <c r="T7" i="189"/>
  <c r="T8" i="189"/>
  <c r="T9" i="189"/>
  <c r="T10" i="189"/>
  <c r="T11" i="189"/>
  <c r="T12" i="189"/>
  <c r="AE12" i="189" s="1"/>
  <c r="T13" i="189"/>
  <c r="T14" i="189"/>
  <c r="AE14" i="189" s="1"/>
  <c r="X3" i="188"/>
  <c r="W3" i="188"/>
  <c r="V3" i="188"/>
  <c r="U3" i="188"/>
  <c r="T3" i="188"/>
  <c r="S3" i="188"/>
  <c r="R3" i="188"/>
  <c r="Q3" i="188"/>
  <c r="P3" i="188"/>
  <c r="O3" i="188"/>
  <c r="AE9" i="189" l="1"/>
  <c r="AE10" i="189"/>
  <c r="AE11" i="189"/>
  <c r="AE6" i="189"/>
  <c r="AE7" i="189"/>
  <c r="AE8" i="189"/>
  <c r="AE13" i="189"/>
  <c r="AE5" i="189"/>
  <c r="AE4" i="189"/>
  <c r="AE3" i="189"/>
  <c r="Y3" i="188"/>
  <c r="C6" i="135" s="1"/>
  <c r="C12" i="135" l="1"/>
  <c r="C1" i="135" l="1"/>
  <c r="C3" i="135" s="1"/>
  <c r="C2" i="135"/>
  <c r="D12" i="128" l="1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B1297E15-FBB2-4704-B868-0AF893D14241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3AEB9E15-CB89-4CE7-8342-A6D3B4A420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345F40C-48C8-4D92-8836-BF163A8F153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0EDADF99-FEE2-405D-AF8E-E9F0D0E144A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9C6FDD06-B239-4696-8747-7EA7F3B00B97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033210CB-96CD-483B-A1E7-526D740D78FC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AFEE43DD-D591-4AB5-9ADF-09617E7F4935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AD8F13CE-9560-4128-BAB5-F7F7A6EF66F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D44F42C0-EB0B-4D07-8937-A7C120228D96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DF561F37-BE47-432D-AE3E-C668FF69DEA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B629A024-289E-4E73-B676-20A32257715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832D9D44-790E-47CD-9D24-6D83CBD41AA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0085D1AE-4555-4716-983B-795FEE35B1D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A24D4AFF-00FD-410B-8D41-2981D6D3E29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F2B2B6D5-A24F-4DD4-9A71-D4E65856AE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91CA2A38-C63C-4332-9B84-84AEDA90BA6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0300F4FF-DA92-4638-8CFF-4204A130D58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08B004FE-5B50-4B03-8967-1B6F3C73387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D14D0453-3465-4E2B-879D-0862330109D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2FA37EBA-56DB-46F9-BE94-466EC27D667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E5955DDF-EF13-4B05-B36B-3E70D235AE2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AF16AB96-61F0-487F-9DD1-D0603C0C374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318D0EB0-48B1-4644-A457-66B72D6BE9E6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<sst xmlns="http://schemas.openxmlformats.org/spreadsheetml/2006/main" count="516" uniqueCount="204">
  <si>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</si>
  <si>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</si>
  <si>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</si>
  <si>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</si>
  <si>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</si>
  <si>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</si>
  <si>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</si>
  <si>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</si>
  <si>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</si>
  <si>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</si>
  <si>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</si>
  <si>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</si>
  <si>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</si>
  <si>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</si>
  <si>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</si>
  <si>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</si>
  <si>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</si>
  <si>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</si>
  <si>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</si>
  <si>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</si>
  <si>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</si>
  <si>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</si>
  <si>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</si>
  <si>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</si>
  <si>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</si>
  <si>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</si>
  <si>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</si>
  <si>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</si>
  <si>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</si>
  <si>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</si>
  <si>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</si>
  <si>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</si>
  <si>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</si>
  <si>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</si>
  <si>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</si>
  <si>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</si>
  <si>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</si>
  <si>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</si>
  <si>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</si>
  <si>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</si>
  <si>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</si>
  <si>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</si>
  <si>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</si>
  <si>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</si>
  <si>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</si>
  <si>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</si>
  <si>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</si>
  <si>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</si>
  <si>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</si>
  <si>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</si>
  <si>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</si>
  <si>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</si>
  <si>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</si>
  <si>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</si>
  <si>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</si>
  <si>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</si>
  <si>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</si>
  <si>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</si>
  <si>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</si>
  <si>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</si>
  <si>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</si>
  <si>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</si>
  <si>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</si>
  <si>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</si>
  <si>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</si>
  <si>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</si>
  <si>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</si>
  <si>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</si>
  <si>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</si>
  <si>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</si>
  <si>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</si>
  <si>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</si>
  <si>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</si>
  <si>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</si>
  <si>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</si>
  <si>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</si>
  <si>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</si>
  <si>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</si>
  <si>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</si>
  <si>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</si>
  <si>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</si>
  <si>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</si>
  <si>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</si>
  <si>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</si>
  <si>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</si>
  <si>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</si>
  <si>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</si>
  <si>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</si>
  <si>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</si>
  <si>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</si>
  <si>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</si>
  <si>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</si>
  <si>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</si>
  <si>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</si>
  <si>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</si>
  <si>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</si>
  <si>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</si>
  <si>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</si>
  <si>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</si>
  <si>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</si>
  <si>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</si>
  <si>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</si>
  <si>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</si>
  <si>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</si>
  <si>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</si>
  <si>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</si>
  <si>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</si>
  <si>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</si>
  <si>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</si>
  <si>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</si>
  <si>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</si>
  <si>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</si>
  <si>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</si>
  <si>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</si>
  <si>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</si>
  <si>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</si>
  <si>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</si>
  <si>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</si>
  <si>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</si>
  <si>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</si>
  <si>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</si>
  <si>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</si>
  <si>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</si>
  <si>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</si>
  <si>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</si>
  <si>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</si>
  <si>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</si>
  <si>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</si>
  <si>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</si>
  <si>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</si>
  <si>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</si>
  <si>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</si>
  <si>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</si>
  <si>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</si>
  <si>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</si>
  <si>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</si>
  <si>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</si>
  <si>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</si>
  <si>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</si>
  <si>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</si>
  <si>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</si>
  <si>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</si>
  <si>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</si>
  <si>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</si>
  <si>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</si>
  <si>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</si>
  <si>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</si>
  <si>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</si>
  <si>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</si>
  <si>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</si>
  <si>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</si>
  <si>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</si>
  <si>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</si>
  <si>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</si>
  <si>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</si>
  <si>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</si>
  <si>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</si>
  <si>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</si>
  <si>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</si>
  <si>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</si>
  <si>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</si>
  <si>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</si>
  <si>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</si>
  <si>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</si>
  <si>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</si>
  <si>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</si>
  <si>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</si>
  <si>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</si>
  <si>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</si>
  <si>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VALIDASI 1</t>
  </si>
  <si>
    <t>T/F</t>
  </si>
  <si>
    <t>DATA YG WAJIB DICARI 2</t>
  </si>
  <si>
    <t>C:\Users\sdewi\Downloads\00026231560820240612000741.xlsx</t>
  </si>
  <si>
    <t>63109090</t>
  </si>
  <si>
    <t>MAJUN IMPOR</t>
  </si>
  <si>
    <t>2024-03-14</t>
  </si>
  <si>
    <t>2024-03-22</t>
  </si>
  <si>
    <t>2024-04-03</t>
  </si>
  <si>
    <t>POLY65% CTN35% DYD TWIL,JT5294</t>
  </si>
  <si>
    <t>800POLY DYD TAFTA SLEK 100%PLY</t>
  </si>
  <si>
    <t>POLY 100% (KBS22S/18150)</t>
  </si>
  <si>
    <t>POLY65% CTN35% DY TWIL,JTT3020</t>
  </si>
  <si>
    <t>POLY65% CTN35% DY TWIL,JTT1008</t>
  </si>
  <si>
    <t>POLY65% CTN35% DYD TWIL,JT8925</t>
  </si>
  <si>
    <t>229075</t>
  </si>
  <si>
    <t>602744</t>
  </si>
  <si>
    <t>296539</t>
  </si>
  <si>
    <t>290987</t>
  </si>
  <si>
    <t>287742</t>
  </si>
  <si>
    <t>290984</t>
  </si>
  <si>
    <t>287739</t>
  </si>
  <si>
    <t>603410</t>
  </si>
  <si>
    <t>604401</t>
  </si>
  <si>
    <t>00026131560820240314000438</t>
  </si>
  <si>
    <t>54078200</t>
  </si>
  <si>
    <t>296539/287740/287741</t>
  </si>
  <si>
    <t>54076190</t>
  </si>
  <si>
    <t>56039200</t>
  </si>
  <si>
    <t>52083900</t>
  </si>
  <si>
    <t>290985/290986/291001</t>
  </si>
  <si>
    <t>55132300</t>
  </si>
  <si>
    <t>00026131560820240322000507</t>
  </si>
  <si>
    <t>00026131560820240403000597</t>
  </si>
  <si>
    <t>C:\Users\sdewi\Downloads\BC 262 24001021-1201- (8).xlsx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</si>
</sst>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3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9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49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D19" sqref="D19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167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155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156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157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158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159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152</v>
      </c>
      <c r="C11" s="5" t="s">
        <v>137</v>
      </c>
      <c r="D11" t="s">
        <v>151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160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153</v>
      </c>
      <c r="C12" s="5" t="s">
        <v>154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161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166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162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163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164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165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10" sqref="C10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172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168</v>
      </c>
      <c r="C7" s="2" t="s">
        <v>203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36</v>
      </c>
      <c r="B4" s="90"/>
      <c r="C4" s="90"/>
      <c r="D4" s="90"/>
      <c r="E4" s="90"/>
      <c r="F4" s="90"/>
      <c r="G4" s="90"/>
      <c r="H4" s="91"/>
      <c r="I4" s="89" t="s">
        <v>92</v>
      </c>
      <c r="J4" s="90"/>
      <c r="K4" s="90"/>
      <c r="L4" s="90"/>
      <c r="M4" s="91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89" t="s">
        <v>36</v>
      </c>
      <c r="B8" s="90"/>
      <c r="C8" s="90"/>
      <c r="D8" s="90"/>
      <c r="E8" s="90"/>
      <c r="F8" s="90"/>
      <c r="G8" s="90"/>
      <c r="H8" s="91"/>
      <c r="I8" s="89" t="s">
        <v>92</v>
      </c>
      <c r="J8" s="90"/>
      <c r="K8" s="90"/>
      <c r="L8" s="90"/>
      <c r="M8" s="91"/>
      <c r="N8" s="89" t="s">
        <v>93</v>
      </c>
      <c r="O8" s="91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89" t="s">
        <v>36</v>
      </c>
      <c r="B12" s="90"/>
      <c r="C12" s="90"/>
      <c r="D12" s="90"/>
      <c r="E12" s="90"/>
      <c r="F12" s="90"/>
      <c r="G12" s="90"/>
      <c r="H12" s="91"/>
      <c r="I12" s="89" t="s">
        <v>92</v>
      </c>
      <c r="J12" s="90"/>
      <c r="K12" s="90"/>
      <c r="L12" s="90"/>
      <c r="M12" s="91"/>
      <c r="N12" s="89" t="s">
        <v>93</v>
      </c>
      <c r="O12" s="90"/>
      <c r="P12" s="91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101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92</v>
      </c>
      <c r="Q4" s="90"/>
      <c r="R4" s="90"/>
      <c r="S4" s="91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E15" sqref="E15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74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75</v>
      </c>
      <c r="B2" s="93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4" t="s">
        <v>73</v>
      </c>
      <c r="B3" s="94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2" t="s">
        <v>128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1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132.1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4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132.1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1285.1500000000001</v>
      </c>
      <c r="E11" s="17"/>
      <c r="F11" s="16"/>
    </row>
    <row r="12" spans="1:7" x14ac:dyDescent="0.25">
      <c r="A12" s="92" t="s">
        <v>129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12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7276.5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64097-4421-4445-B696-EE0EAF4792A1}">
  <dimension ref="A1:Y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:XFD3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4" width="14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36</v>
      </c>
      <c r="B1" s="90"/>
      <c r="C1" s="90"/>
      <c r="D1" s="90"/>
      <c r="E1" s="90"/>
      <c r="F1" s="90"/>
      <c r="G1" s="90"/>
      <c r="H1" s="91"/>
      <c r="I1" s="89" t="s">
        <v>92</v>
      </c>
      <c r="J1" s="90"/>
      <c r="K1" s="90"/>
      <c r="L1" s="90"/>
      <c r="M1" s="91"/>
      <c r="N1" s="58" t="s">
        <v>93</v>
      </c>
      <c r="O1" s="95" t="s">
        <v>169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5" t="s">
        <v>63</v>
      </c>
      <c r="P2" s="85" t="s">
        <v>64</v>
      </c>
      <c r="Q2" s="85" t="s">
        <v>59</v>
      </c>
      <c r="R2" s="85" t="s">
        <v>65</v>
      </c>
      <c r="S2" s="85" t="s">
        <v>66</v>
      </c>
      <c r="T2" s="85" t="s">
        <v>67</v>
      </c>
      <c r="U2" s="85" t="s">
        <v>68</v>
      </c>
      <c r="V2" s="85" t="s">
        <v>69</v>
      </c>
      <c r="W2" s="85" t="s">
        <v>70</v>
      </c>
      <c r="X2" s="85" t="s">
        <v>14</v>
      </c>
      <c r="Y2" s="85" t="s">
        <v>170</v>
      </c>
    </row>
    <row r="3" spans="1:25" x14ac:dyDescent="0.25">
      <c r="A3">
        <v>1</v>
      </c>
      <c r="B3" s="11" t="s">
        <v>173</v>
      </c>
      <c r="C3" s="11" t="s">
        <v>184</v>
      </c>
      <c r="D3" t="s">
        <v>174</v>
      </c>
      <c r="E3" t="s">
        <v>39</v>
      </c>
      <c r="F3" t="s">
        <v>39</v>
      </c>
      <c r="G3" t="s">
        <v>39</v>
      </c>
      <c r="H3" t="s">
        <v>39</v>
      </c>
      <c r="I3" t="s">
        <v>20</v>
      </c>
      <c r="J3">
        <v>132.1</v>
      </c>
      <c r="K3" t="s">
        <v>13</v>
      </c>
      <c r="L3">
        <v>4</v>
      </c>
      <c r="M3">
        <v>132.1</v>
      </c>
      <c r="N3">
        <v>1285.1500000000001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IF(OR(J3="",J3&lt;1),FALSE,IF(ISNUMBER(J3),"-",FALSE))</f>
        <v>-</v>
      </c>
      <c r="U3" t="str">
        <f>IF(ISTEXT(K3),  "-",FALSE)</f>
        <v>-</v>
      </c>
      <c r="V3" t="str">
        <f>IF(OR(L3="",L3&lt;1),FALSE,IF(ISNUMBER(L3),"-",FALSE))</f>
        <v>-</v>
      </c>
      <c r="W3" t="str">
        <f>IF(OR(M3="",M3&lt;0),FALSE,IF(ISNUMBER(M3),"-",FALSE))</f>
        <v>-</v>
      </c>
      <c r="X3" t="str">
        <f>IF(OR(N3="",N3&lt;1),FALSE,IF(ISNUMBER(N3),"-",FALSE))</f>
        <v>-</v>
      </c>
      <c r="Y3" t="b">
        <f>IF(COUNTIF($O$3:$X$3, "FALSE") &gt; 0, FALSE, TRUE)</f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5829-7B0A-45ED-9BAC-FA10C1EB27E8}">
  <dimension ref="A1:AE14"/>
  <sheetViews>
    <sheetView tabSelected="1"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19" sqref="P19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101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92</v>
      </c>
      <c r="Q1" s="90"/>
      <c r="R1" s="90"/>
      <c r="S1" s="91"/>
      <c r="T1" s="95" t="s">
        <v>169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5" t="s">
        <v>63</v>
      </c>
      <c r="U2" s="85" t="s">
        <v>91</v>
      </c>
      <c r="V2" s="85" t="s">
        <v>48</v>
      </c>
      <c r="W2" s="85" t="s">
        <v>100</v>
      </c>
      <c r="X2" s="85" t="s">
        <v>86</v>
      </c>
      <c r="Y2" s="85" t="s">
        <v>87</v>
      </c>
      <c r="Z2" s="85" t="s">
        <v>64</v>
      </c>
      <c r="AA2" s="85" t="s">
        <v>59</v>
      </c>
      <c r="AB2" s="85" t="s">
        <v>66</v>
      </c>
      <c r="AC2" s="85" t="s">
        <v>67</v>
      </c>
      <c r="AD2" s="85" t="s">
        <v>171</v>
      </c>
      <c r="AE2" s="85" t="s">
        <v>170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s="11" t="s">
        <v>185</v>
      </c>
      <c r="F3" s="11" t="s">
        <v>175</v>
      </c>
      <c r="G3" s="11" t="s">
        <v>193</v>
      </c>
      <c r="H3">
        <v>20</v>
      </c>
      <c r="I3" s="11" t="s">
        <v>194</v>
      </c>
      <c r="J3" s="11" t="s">
        <v>195</v>
      </c>
      <c r="K3" s="11" t="s">
        <v>178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10</v>
      </c>
      <c r="Q3">
        <v>1802.5</v>
      </c>
      <c r="R3">
        <v>0</v>
      </c>
      <c r="S3">
        <v>0</v>
      </c>
      <c r="T3" t="str">
        <f t="shared" ref="T3:T14" si="0">IF(OR(A3="",A3&lt;1),FALSE,IF(ISNUMBER(A3), IF(INT(A3) = A3, "-", FALSE), FALSE))</f>
        <v>-</v>
      </c>
      <c r="U3" t="str">
        <f t="shared" ref="U3:U14" si="1">IF(OR(B3="",A3&lt;1),FALSE,IF(ISNUMBER(A3), IF(INT(A3) = A3, "-", FALSE), FALSE))</f>
        <v>-</v>
      </c>
      <c r="V3" t="str">
        <f t="shared" ref="V3:V14" si="2">IF(OR(C3="",C3="PilihSalasatu"),FALSE,"-")</f>
        <v>-</v>
      </c>
      <c r="W3" t="str">
        <f t="shared" ref="W3:W14" si="3">IF(D3="",FALSE,"-")</f>
        <v>-</v>
      </c>
      <c r="X3" t="str">
        <f t="shared" ref="X3:X14" si="4">IF(E3="",FALSE,"-")</f>
        <v>-</v>
      </c>
      <c r="Y3" t="str">
        <f t="shared" ref="Y3:Y14" si="5">IF(F3="",FALSE,"-")</f>
        <v>-</v>
      </c>
      <c r="Z3" t="str">
        <f t="shared" ref="Z3:Z14" si="6">IF(I3="",FALSE,"-")</f>
        <v>-</v>
      </c>
      <c r="AA3" t="str">
        <f t="shared" ref="AA3:AA14" si="7">IF(J3="",FALSE,"-")</f>
        <v>-</v>
      </c>
      <c r="AB3" t="str">
        <f>IF(_xlfn.IFNA(VLOOKUP(P3,Set_Ref!$B$6:$B$1048576,1,FALSE),"")&lt;&gt;"","-",FALSE)</f>
        <v>-</v>
      </c>
      <c r="AC3" t="str">
        <f t="shared" ref="AC3:AC14" si="8">IF(OR(Q3="",Q3&lt;1),FALSE,IF(ISNUMBER(Q3),"-",FALSE))</f>
        <v>-</v>
      </c>
      <c r="AD3" t="str">
        <f t="shared" ref="AD3:AD14" si="9">IF(OR(G3="",H3="",I3="",K3=""),FALSE,"-")</f>
        <v>-</v>
      </c>
      <c r="AE3" t="b">
        <f t="shared" ref="AE3:AE1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55" t="s">
        <v>149</v>
      </c>
      <c r="E4" s="11" t="s">
        <v>185</v>
      </c>
      <c r="F4" s="11" t="s">
        <v>175</v>
      </c>
      <c r="G4" s="11" t="s">
        <v>193</v>
      </c>
      <c r="H4">
        <v>20</v>
      </c>
      <c r="I4" s="11" t="s">
        <v>194</v>
      </c>
      <c r="J4" s="11" t="s">
        <v>195</v>
      </c>
      <c r="K4" s="11" t="s">
        <v>178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10</v>
      </c>
      <c r="Q4">
        <v>190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55" t="s">
        <v>149</v>
      </c>
      <c r="E5" s="11" t="s">
        <v>185</v>
      </c>
      <c r="F5" s="11" t="s">
        <v>175</v>
      </c>
      <c r="G5" s="11" t="s">
        <v>193</v>
      </c>
      <c r="H5">
        <v>20</v>
      </c>
      <c r="I5" s="11" t="s">
        <v>194</v>
      </c>
      <c r="J5" s="11" t="s">
        <v>195</v>
      </c>
      <c r="K5" s="11" t="s">
        <v>178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10</v>
      </c>
      <c r="Q5">
        <v>30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55" t="s">
        <v>149</v>
      </c>
      <c r="E6" s="11" t="s">
        <v>185</v>
      </c>
      <c r="F6" s="11" t="s">
        <v>175</v>
      </c>
      <c r="G6" s="11" t="s">
        <v>193</v>
      </c>
      <c r="H6">
        <v>21</v>
      </c>
      <c r="I6" s="11" t="s">
        <v>196</v>
      </c>
      <c r="J6" s="11" t="s">
        <v>187</v>
      </c>
      <c r="K6" s="11" t="s">
        <v>179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10</v>
      </c>
      <c r="Q6">
        <v>539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55" t="s">
        <v>149</v>
      </c>
      <c r="E7" s="11" t="s">
        <v>185</v>
      </c>
      <c r="F7" s="11" t="s">
        <v>175</v>
      </c>
      <c r="G7" s="11" t="s">
        <v>193</v>
      </c>
      <c r="H7">
        <v>22</v>
      </c>
      <c r="I7" s="11" t="s">
        <v>197</v>
      </c>
      <c r="J7" s="11" t="s">
        <v>188</v>
      </c>
      <c r="K7" s="11" t="s">
        <v>180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10</v>
      </c>
      <c r="Q7">
        <v>985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55" t="s">
        <v>149</v>
      </c>
      <c r="E8" s="11" t="s">
        <v>185</v>
      </c>
      <c r="F8" s="11" t="s">
        <v>175</v>
      </c>
      <c r="G8" s="11" t="s">
        <v>193</v>
      </c>
      <c r="H8">
        <v>23</v>
      </c>
      <c r="I8" s="11" t="s">
        <v>198</v>
      </c>
      <c r="J8" s="11" t="s">
        <v>189</v>
      </c>
      <c r="K8" s="11" t="s">
        <v>181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10</v>
      </c>
      <c r="Q8">
        <v>1600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55" t="s">
        <v>149</v>
      </c>
      <c r="E9" s="11" t="s">
        <v>185</v>
      </c>
      <c r="F9" s="11" t="s">
        <v>175</v>
      </c>
      <c r="G9" s="11" t="s">
        <v>193</v>
      </c>
      <c r="H9">
        <v>24</v>
      </c>
      <c r="I9" s="11" t="s">
        <v>198</v>
      </c>
      <c r="J9" s="11" t="s">
        <v>199</v>
      </c>
      <c r="K9" s="11" t="s">
        <v>182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10</v>
      </c>
      <c r="Q9">
        <v>170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55" t="s">
        <v>149</v>
      </c>
      <c r="E10" s="11" t="s">
        <v>185</v>
      </c>
      <c r="F10" s="11" t="s">
        <v>175</v>
      </c>
      <c r="G10" s="11" t="s">
        <v>193</v>
      </c>
      <c r="H10">
        <v>24</v>
      </c>
      <c r="I10" s="11" t="s">
        <v>198</v>
      </c>
      <c r="J10" s="11" t="s">
        <v>199</v>
      </c>
      <c r="K10" s="11" t="s">
        <v>182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10</v>
      </c>
      <c r="Q10">
        <v>30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55" t="s">
        <v>149</v>
      </c>
      <c r="E11" s="11" t="s">
        <v>185</v>
      </c>
      <c r="F11" s="11" t="s">
        <v>175</v>
      </c>
      <c r="G11" s="11" t="s">
        <v>193</v>
      </c>
      <c r="H11">
        <v>25</v>
      </c>
      <c r="I11" s="11" t="s">
        <v>200</v>
      </c>
      <c r="J11" s="11" t="s">
        <v>190</v>
      </c>
      <c r="K11" s="11" t="s">
        <v>183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10</v>
      </c>
      <c r="Q11">
        <v>900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55" t="s">
        <v>149</v>
      </c>
      <c r="E12" s="11" t="s">
        <v>185</v>
      </c>
      <c r="F12" s="11" t="s">
        <v>175</v>
      </c>
      <c r="G12" s="11" t="s">
        <v>193</v>
      </c>
      <c r="H12">
        <v>24</v>
      </c>
      <c r="I12" s="11" t="s">
        <v>198</v>
      </c>
      <c r="J12" s="11" t="s">
        <v>199</v>
      </c>
      <c r="K12" s="11" t="s">
        <v>182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10</v>
      </c>
      <c r="Q12">
        <v>850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11</v>
      </c>
      <c r="C13">
        <v>261</v>
      </c>
      <c r="D13" s="55" t="s">
        <v>149</v>
      </c>
      <c r="E13" s="11" t="s">
        <v>191</v>
      </c>
      <c r="F13" s="11" t="s">
        <v>176</v>
      </c>
      <c r="G13" s="11" t="s">
        <v>201</v>
      </c>
      <c r="H13">
        <v>4</v>
      </c>
      <c r="I13" s="11" t="s">
        <v>197</v>
      </c>
      <c r="J13" s="11" t="s">
        <v>188</v>
      </c>
      <c r="K13" s="11" t="s">
        <v>180</v>
      </c>
      <c r="L13" s="11" t="s">
        <v>39</v>
      </c>
      <c r="M13" s="11" t="s">
        <v>39</v>
      </c>
      <c r="N13" s="11" t="s">
        <v>39</v>
      </c>
      <c r="O13" s="11" t="s">
        <v>39</v>
      </c>
      <c r="P13" t="s">
        <v>10</v>
      </c>
      <c r="Q13">
        <v>30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1</v>
      </c>
      <c r="B14">
        <v>12</v>
      </c>
      <c r="C14">
        <v>261</v>
      </c>
      <c r="D14" s="55" t="s">
        <v>149</v>
      </c>
      <c r="E14" s="11" t="s">
        <v>192</v>
      </c>
      <c r="F14" s="11" t="s">
        <v>177</v>
      </c>
      <c r="G14" s="11" t="s">
        <v>202</v>
      </c>
      <c r="H14">
        <v>2</v>
      </c>
      <c r="I14" s="11" t="s">
        <v>194</v>
      </c>
      <c r="J14" s="11" t="s">
        <v>186</v>
      </c>
      <c r="K14" s="11" t="s">
        <v>178</v>
      </c>
      <c r="L14" s="11" t="s">
        <v>39</v>
      </c>
      <c r="M14" s="11" t="s">
        <v>39</v>
      </c>
      <c r="N14" s="11" t="s">
        <v>39</v>
      </c>
      <c r="O14" s="11" t="s">
        <v>39</v>
      </c>
      <c r="P14" t="s">
        <v>10</v>
      </c>
      <c r="Q14">
        <v>150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:D14" xr:uid="{7F8E41DA-81C7-470E-B67F-F3E2BED7BAD0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2024-06-12T08:34:11Z</dcterms:modified>
</cp:coreProperties>
</file>