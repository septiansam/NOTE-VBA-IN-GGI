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CRO - Item Draft Barang - CEISA 4\MACRO - Item Draft Barang - CEISA 4\"/>
    </mc:Choice>
  </mc:AlternateContent>
  <xr:revisionPtr revIDLastSave="0" documentId="13_ncr:1_{0728B2B0-37FD-4FA5-8222-796D8D3C8062}" xr6:coauthVersionLast="47" xr6:coauthVersionMax="47" xr10:uidLastSave="{00000000-0000-0000-0000-000000000000}"/>
  <bookViews>
    <workbookView xWindow="20370" yWindow="-120" windowWidth="20730" windowHeight="11160" tabRatio="685" xr2:uid="{7E7A7F93-5039-4D12-8102-F8D7E7D5379D}"/>
  </bookViews>
  <sheets>
    <sheet name="(M)" sheetId="12" r:id="rId1"/>
    <sheet name="Summary" sheetId="135" r:id="rId2"/>
    <sheet name="Set_Def" sheetId="128" state="hidden" r:id="rId3"/>
    <sheet name="Set_Cach" sheetId="129" state="hidden" r:id="rId4"/>
    <sheet name="Set_Ref" sheetId="130" state="hidden" r:id="rId5"/>
    <sheet name="Field_Barang" sheetId="145" state="hidden" r:id="rId6"/>
    <sheet name="Field_BahanBaku" sheetId="143" state="hidden" r:id="rId7"/>
    <sheet name="BARANG" sheetId="897" r:id="rId8"/>
    <sheet name="BAHANBAKU" sheetId="898" r:id="rId9"/>
  </sheets>
  <functionGroups builtInGroupCount="19"/>
  <externalReferences>
    <externalReference r:id="rId10"/>
  </externalReferences>
  <definedNames>
    <definedName name="_xlnm._FilterDatabase" localSheetId="5" hidden="1">Field_Barang!#REF!</definedName>
    <definedName name="Excel_BuiltIn__FilterDatabase" localSheetId="5">#REF!</definedName>
    <definedName name="Excel_BuiltIn__FilterDatabase">#REF!</definedName>
    <definedName name="Excel_BuiltIn__FilterDatabase_1" localSheetId="5">#REF!</definedName>
    <definedName name="Excel_BuiltIn__FilterDatabase_1">#REF!</definedName>
    <definedName name="Excel_BuiltIn_Print_Area_1" localSheetId="5">#REF!</definedName>
    <definedName name="Excel_BuiltIn_Print_Area_1">#REF!</definedName>
    <definedName name="Excel_BuiltIn_Print_Area_2" localSheetId="5">#REF!</definedName>
    <definedName name="Excel_BuiltIn_Print_Area_2">#REF!</definedName>
    <definedName name="Excel_BuiltIn_Print_Area_3" localSheetId="5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898"/>
  <c r="AD4" i="898"/>
  <c r="AD5" i="898"/>
  <c r="AD6" i="898"/>
  <c r="AD7" i="898"/>
  <c r="AD8" i="898"/>
  <c r="AD9" i="898"/>
  <c r="AD10" i="898"/>
  <c r="AD11" i="898"/>
  <c r="AD12" i="898"/>
  <c r="AC3" i="898"/>
  <c r="AC4" i="898"/>
  <c r="AC5" i="898"/>
  <c r="AC6" i="898"/>
  <c r="AC7" i="898"/>
  <c r="AC8" i="898"/>
  <c r="AC9" i="898"/>
  <c r="AC10" i="898"/>
  <c r="AC11" i="898"/>
  <c r="AC12" i="898"/>
  <c r="AB3" i="898"/>
  <c r="AB4" i="898"/>
  <c r="AB5" i="898"/>
  <c r="AB6" i="898"/>
  <c r="AB7" i="898"/>
  <c r="AB8" i="898"/>
  <c r="AB9" i="898"/>
  <c r="AB10" i="898"/>
  <c r="AB11" i="898"/>
  <c r="AB12" i="898"/>
  <c r="AA3" i="898"/>
  <c r="AA4" i="898"/>
  <c r="AA5" i="898"/>
  <c r="AA6" i="898"/>
  <c r="AA7" i="898"/>
  <c r="AA8" i="898"/>
  <c r="AA9" i="898"/>
  <c r="AA10" i="898"/>
  <c r="AA11" i="898"/>
  <c r="AA12" i="898"/>
  <c r="Z3" i="898"/>
  <c r="Z4" i="898"/>
  <c r="Z5" i="898"/>
  <c r="Z6" i="898"/>
  <c r="Z7" i="898"/>
  <c r="Z8" i="898"/>
  <c r="Z9" i="898"/>
  <c r="Z10" i="898"/>
  <c r="Z11" i="898"/>
  <c r="Z12" i="898"/>
  <c r="Y3" i="898"/>
  <c r="Y4" i="898"/>
  <c r="Y5" i="898"/>
  <c r="Y6" i="898"/>
  <c r="Y7" i="898"/>
  <c r="Y8" i="898"/>
  <c r="Y9" i="898"/>
  <c r="Y10" i="898"/>
  <c r="Y11" i="898"/>
  <c r="Y12" i="898"/>
  <c r="X3" i="898"/>
  <c r="X4" i="898"/>
  <c r="X5" i="898"/>
  <c r="X6" i="898"/>
  <c r="X7" i="898"/>
  <c r="X8" i="898"/>
  <c r="X9" i="898"/>
  <c r="X10" i="898"/>
  <c r="X11" i="898"/>
  <c r="X12" i="898"/>
  <c r="W3" i="898"/>
  <c r="W4" i="898"/>
  <c r="W5" i="898"/>
  <c r="W6" i="898"/>
  <c r="W7" i="898"/>
  <c r="W8" i="898"/>
  <c r="W9" i="898"/>
  <c r="W10" i="898"/>
  <c r="W11" i="898"/>
  <c r="W12" i="898"/>
  <c r="V3" i="898"/>
  <c r="V4" i="898"/>
  <c r="V5" i="898"/>
  <c r="V6" i="898"/>
  <c r="V7" i="898"/>
  <c r="V8" i="898"/>
  <c r="V9" i="898"/>
  <c r="V10" i="898"/>
  <c r="V11" i="898"/>
  <c r="V12" i="898"/>
  <c r="U3" i="898"/>
  <c r="U4" i="898"/>
  <c r="U5" i="898"/>
  <c r="U6" i="898"/>
  <c r="U7" i="898"/>
  <c r="U8" i="898"/>
  <c r="U9" i="898"/>
  <c r="U10" i="898"/>
  <c r="U11" i="898"/>
  <c r="U12" i="898"/>
  <c r="T3" i="898"/>
  <c r="T4" i="898"/>
  <c r="T5" i="898"/>
  <c r="T6" i="898"/>
  <c r="T7" i="898"/>
  <c r="T8" i="898"/>
  <c r="T9" i="898"/>
  <c r="T10" i="898"/>
  <c r="T11" i="898"/>
  <c r="T12" i="898"/>
  <c r="X3" i="897"/>
  <c r="W3" i="897"/>
  <c r="V3" i="897"/>
  <c r="U3" i="897"/>
  <c r="T3" i="897"/>
  <c r="S3" i="897"/>
  <c r="R3" i="897"/>
  <c r="Q3" i="897"/>
  <c r="P3" i="897"/>
  <c r="O3" i="897"/>
  <c r="AE9" i="898" l="1"/>
  <c r="AE8" i="898"/>
  <c r="AE7" i="898"/>
  <c r="AE6" i="898"/>
  <c r="AE5" i="898"/>
  <c r="AE3" i="898"/>
  <c r="AE12" i="898"/>
  <c r="AE4" i="898"/>
  <c r="AE11" i="898"/>
  <c r="AE10" i="898"/>
  <c r="Y3" i="897"/>
  <c r="C6" i="135" s="1"/>
  <c r="D12" i="128"/>
  <c r="C12" i="135" l="1"/>
  <c r="C2" i="135" s="1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D4A43377-E00B-4170-AD8B-1C196C2637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22F3D9ED-4626-4D8C-91D8-934EC1513F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96D33FE5-A341-42D9-894C-3B8A01D1403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F03E405A-AEA7-426B-BCA6-FB84971006C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9C16C0D8-28C2-4886-8FBB-572BBFFC1288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DC48CB4D-B0A7-4520-836A-B23C7C73F59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535D347D-AA3F-47A5-A656-D430F611ED38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818C6653-7202-446F-B7CC-426011C16A38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EFC05AB0-30CF-479D-A49A-311D75A0FBB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A57A2FB9-077D-439F-A7E1-10812F76241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627BAC03-BF67-4D8C-BFF2-F21101996EA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C945D19F-8E6C-472B-BEFB-8724963A12F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25BBC14D-8D0F-47B1-B6DE-156452B8508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CA8482C2-38A5-4723-89A4-5993302909D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25407BE0-B608-47BD-92B6-3B880D81971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C62C4048-1F95-4ADC-88F0-337D6BA29E7B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1D23CAD6-8371-45C1-8221-C2318FE6FE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90527715-0992-495C-9BCD-8C709D9BC6B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49E6FB1E-01D5-4808-BBC9-E0068153806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B207851E-A2D3-406A-B27B-BB281F11CB8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74D1E476-2D21-48E4-B872-68C0B422A3B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D5707104-92F3-40E6-82C6-DCDAD6D1353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6C785127-6D6C-4776-803C-AF77AEB84FBC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<sst xmlns="http://schemas.openxmlformats.org/spreadsheetml/2006/main" count="492" uniqueCount="185">
  <si>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</si>
  <si>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</si>
  <si>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</si>
  <si>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</si>
  <si>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</si>
  <si>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</si>
  <si>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</si>
  <si>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</si>
  <si>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</si>
  <si>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</si>
  <si>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</si>
  <si>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</si>
  <si>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</si>
  <si>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</si>
  <si>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</si>
  <si>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</si>
  <si>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</si>
  <si>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</si>
  <si>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</si>
  <si>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</si>
  <si>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</si>
  <si>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</si>
  <si>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</si>
  <si>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</si>
  <si>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</si>
  <si>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</si>
  <si>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</si>
  <si>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</si>
  <si>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</si>
  <si>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</si>
  <si>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</si>
  <si>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</si>
  <si>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</si>
  <si>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</si>
  <si>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</si>
  <si>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</si>
  <si>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</si>
  <si>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</si>
  <si>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</si>
  <si>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</si>
  <si>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</si>
  <si>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</si>
  <si>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</si>
  <si>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</si>
  <si>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</si>
  <si>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</si>
  <si>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</si>
  <si>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</si>
  <si>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</si>
  <si>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</si>
  <si>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</si>
  <si>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</si>
  <si>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</si>
  <si>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</si>
  <si>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</si>
  <si>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</si>
  <si>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</si>
  <si>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</si>
  <si>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</si>
  <si>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</si>
  <si>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</si>
  <si>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</si>
  <si>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</si>
  <si>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</si>
  <si>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</si>
  <si>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</si>
  <si>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</si>
  <si>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</si>
  <si>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</si>
  <si>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</si>
  <si>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</si>
  <si>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</si>
  <si>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</si>
  <si>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</si>
  <si>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</si>
  <si>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</si>
  <si>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</si>
  <si>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</si>
  <si>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</si>
  <si>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</si>
  <si>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</si>
  <si>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</si>
  <si>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</si>
  <si>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</si>
  <si>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</si>
  <si>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</si>
  <si>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</si>
  <si>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</si>
  <si>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</si>
  <si>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</si>
  <si>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</si>
  <si>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</si>
  <si>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</si>
  <si>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</si>
  <si>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</si>
  <si>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</si>
  <si>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</si>
  <si>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</si>
  <si>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</si>
  <si>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</si>
  <si>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</si>
  <si>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</si>
  <si>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</si>
  <si>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</si>
  <si>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</si>
  <si>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</si>
  <si>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</si>
  <si>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</si>
  <si>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</si>
  <si>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</si>
  <si>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</si>
  <si>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</si>
  <si>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</si>
  <si>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</si>
  <si>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</si>
  <si>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</si>
  <si>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</si>
  <si>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</si>
  <si>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</si>
  <si>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</si>
  <si>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</si>
  <si>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</si>
  <si>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</si>
  <si>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</si>
  <si>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</si>
  <si>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</si>
  <si>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</si>
  <si>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</si>
  <si>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</si>
  <si>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</si>
  <si>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</si>
  <si>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</si>
  <si>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</si>
  <si>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</si>
  <si>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</si>
  <si>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</si>
  <si>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</si>
  <si>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</si>
  <si>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</si>
  <si>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</si>
  <si>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</si>
  <si>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</si>
  <si>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</si>
  <si>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</si>
  <si>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</si>
  <si>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</si>
  <si>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</si>
  <si>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</si>
  <si>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</si>
  <si>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</si>
  <si>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</si>
  <si>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</si>
  <si>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</si>
  <si>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</si>
  <si>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</si>
  <si>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</si>
  <si>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</si>
  <si>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</si>
  <si>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</si>
  <si>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</si>
  <si>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</si>
  <si>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</si>
  <si>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</si>
  <si>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</si>
  <si>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</si>
  <si>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</si>
  <si>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</si>
  <si>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</si>
  <si>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KUASA DIREKSI</t>
  </si>
  <si>
    <t>VALIDASI 1</t>
  </si>
  <si>
    <t>T/F</t>
  </si>
  <si>
    <t>DATA YG WAJIB DICARI 2</t>
  </si>
  <si>
    <t>54011090</t>
  </si>
  <si>
    <t>\\10.8.0.35\Bersama\IT\SEPTIAN\MACRO - Item Draft Barang - CEISA 4\MACRO - Item Draft Barang - CEISA 4\BAHAN\tes2\BC 262 24001064-1201- (3).xlsx</t>
  </si>
  <si>
    <t>MAJUN IMPOR (POTONGAN KECIL)</t>
  </si>
  <si>
    <t>2024-07-04</t>
  </si>
  <si>
    <t>THREAD,ASTRA@5000MT</t>
  </si>
  <si>
    <t>THREAD,COMETA@5000MT</t>
  </si>
  <si>
    <t>229677</t>
  </si>
  <si>
    <t>611441</t>
  </si>
  <si>
    <t>00026131560820240703001480</t>
  </si>
  <si>
    <t>276208/298869/298859/298860/298861/298862/298863/266161</t>
  </si>
  <si>
    <t>298866/298867/298868/298865/298864</t>
  </si>
  <si>
    <t>63109090</t>
  </si>
  <si>
    <t>\\10.8.0.35\Bersama\IT\SEPTIAN\MACRO - Item Draft Barang - CEISA 4\MACRO - Item Draft Barang - CEISA 4\BAHAN\tes2\00026231560820240816001194.xlsx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</si>
</sst>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43" fillId="0" borderId="1" xfId="49" applyBorder="1"/>
    <xf numFmtId="167" fontId="0" fillId="0" borderId="0" xfId="0" applyNumberFormat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Hyperlink" xfId="49" builtinId="8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IT/SEPTIAN/New%20folder%20(2)/MACRO%20-%20Item%20Draft%20Barang%20-%20CEISA%204/BAHAN/BC%20262%2024001043-1201-%20(16)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/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90"/>
      <c r="B5" s="90"/>
      <c r="C5" s="90"/>
      <c r="D5" s="90"/>
      <c r="E5" s="90"/>
      <c r="F5" s="90"/>
      <c r="G5" s="90"/>
      <c r="H5" s="38" t="s">
        <v>0</v>
      </c>
      <c r="I5" s="89"/>
      <c r="J5" s="89"/>
      <c r="K5" s="89"/>
      <c r="L5" s="89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8" t="s">
        <v>1</v>
      </c>
      <c r="I8" s="88"/>
      <c r="J8" s="88"/>
      <c r="K8" s="88"/>
      <c r="L8" s="88"/>
      <c r="M8" s="88"/>
    </row>
    <row r="9" spans="1:14" s="41" customFormat="1" ht="76.5" customHeight="1" x14ac:dyDescent="0.25">
      <c r="H9" s="88"/>
      <c r="I9" s="88"/>
      <c r="J9" s="88"/>
      <c r="K9" s="88"/>
      <c r="L9" s="88"/>
      <c r="M9" s="88"/>
    </row>
    <row r="10" spans="1:14" s="41" customFormat="1" x14ac:dyDescent="0.25">
      <c r="H10" s="88"/>
      <c r="I10" s="88"/>
      <c r="J10" s="88"/>
      <c r="K10" s="88"/>
      <c r="L10" s="88"/>
      <c r="M10" s="88"/>
    </row>
    <row r="11" spans="1:14" s="41" customFormat="1" x14ac:dyDescent="0.25">
      <c r="H11" s="88"/>
      <c r="I11" s="88"/>
      <c r="J11" s="88"/>
      <c r="K11" s="88"/>
      <c r="L11" s="88"/>
      <c r="M11" s="88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9"/>
      <c r="I14" s="89"/>
      <c r="J14" s="89"/>
      <c r="K14" s="89"/>
      <c r="L14" s="89"/>
      <c r="M14" s="89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C3" sqref="C3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74</v>
      </c>
      <c r="B1" s="92"/>
      <c r="C1" s="26">
        <f>COUNTIF(C6:C16,TRUE)</f>
        <v>2</v>
      </c>
      <c r="D1" s="21"/>
      <c r="E1" s="22"/>
      <c r="F1" s="35"/>
    </row>
    <row r="2" spans="1:7" ht="15" customHeight="1" x14ac:dyDescent="0.25">
      <c r="A2" s="92" t="s">
        <v>75</v>
      </c>
      <c r="B2" s="92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3" t="s">
        <v>73</v>
      </c>
      <c r="B3" s="93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1" t="s">
        <v>128</v>
      </c>
      <c r="B6" s="91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173.71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177.49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1482.81</v>
      </c>
      <c r="E11" s="17"/>
      <c r="F11" s="16"/>
    </row>
    <row r="12" spans="1:7" x14ac:dyDescent="0.25">
      <c r="A12" s="91" t="s">
        <v>129</v>
      </c>
      <c r="B12" s="91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10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331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topLeftCell="L1" workbookViewId="0">
      <selection activeCell="W15" sqref="W15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166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154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155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156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157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158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151</v>
      </c>
      <c r="C11" s="5" t="s">
        <v>137</v>
      </c>
      <c r="D11" t="s">
        <v>168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159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152</v>
      </c>
      <c r="C12" s="5" t="s">
        <v>153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160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165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161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162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163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164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D16" sqref="D1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184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167</v>
      </c>
      <c r="C7" s="86" t="s">
        <v>173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hyperlinks>
    <hyperlink ref="C7" r:id="rId1" display="\\10.8.0.35\Bersama\IT\SEPTIAN\New folder (2)\MACRO - Item Draft Barang - CEISA 4\BAHAN\BC 262 24001043-1201- (16).xlsx" xr:uid="{89D1049B-313A-47E3-9689-E603C38E541E}"/>
  </hyperlink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zoomScale="85" zoomScaleNormal="85" workbookViewId="0">
      <selection activeCell="F14" sqref="F14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4" t="s">
        <v>36</v>
      </c>
      <c r="B4" s="95"/>
      <c r="C4" s="95"/>
      <c r="D4" s="95"/>
      <c r="E4" s="95"/>
      <c r="F4" s="95"/>
      <c r="G4" s="95"/>
      <c r="H4" s="96"/>
      <c r="I4" s="94" t="s">
        <v>92</v>
      </c>
      <c r="J4" s="95"/>
      <c r="K4" s="95"/>
      <c r="L4" s="95"/>
      <c r="M4" s="96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94" t="s">
        <v>36</v>
      </c>
      <c r="B8" s="95"/>
      <c r="C8" s="95"/>
      <c r="D8" s="95"/>
      <c r="E8" s="95"/>
      <c r="F8" s="95"/>
      <c r="G8" s="95"/>
      <c r="H8" s="96"/>
      <c r="I8" s="94" t="s">
        <v>92</v>
      </c>
      <c r="J8" s="95"/>
      <c r="K8" s="95"/>
      <c r="L8" s="95"/>
      <c r="M8" s="96"/>
      <c r="N8" s="94" t="s">
        <v>93</v>
      </c>
      <c r="O8" s="96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94" t="s">
        <v>36</v>
      </c>
      <c r="B12" s="95"/>
      <c r="C12" s="95"/>
      <c r="D12" s="95"/>
      <c r="E12" s="95"/>
      <c r="F12" s="95"/>
      <c r="G12" s="95"/>
      <c r="H12" s="96"/>
      <c r="I12" s="94" t="s">
        <v>92</v>
      </c>
      <c r="J12" s="95"/>
      <c r="K12" s="95"/>
      <c r="L12" s="95"/>
      <c r="M12" s="96"/>
      <c r="N12" s="94" t="s">
        <v>93</v>
      </c>
      <c r="O12" s="95"/>
      <c r="P12" s="96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4" t="s">
        <v>101</v>
      </c>
      <c r="B4" s="95"/>
      <c r="C4" s="95"/>
      <c r="D4" s="95"/>
      <c r="E4" s="95"/>
      <c r="F4" s="95"/>
      <c r="G4" s="95"/>
      <c r="H4" s="96"/>
      <c r="I4" s="95"/>
      <c r="J4" s="95"/>
      <c r="K4" s="95"/>
      <c r="L4" s="95"/>
      <c r="M4" s="95"/>
      <c r="N4" s="95"/>
      <c r="O4" s="96"/>
      <c r="P4" s="94" t="s">
        <v>92</v>
      </c>
      <c r="Q4" s="95"/>
      <c r="R4" s="95"/>
      <c r="S4" s="96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F260-D7C9-44D0-A4BA-1FD774EB3A86}">
  <sheetPr codeName="Sheet21"/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32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7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4" t="s">
        <v>36</v>
      </c>
      <c r="B1" s="95"/>
      <c r="C1" s="95"/>
      <c r="D1" s="95"/>
      <c r="E1" s="95"/>
      <c r="F1" s="95"/>
      <c r="G1" s="95"/>
      <c r="H1" s="96"/>
      <c r="I1" s="94" t="s">
        <v>92</v>
      </c>
      <c r="J1" s="95"/>
      <c r="K1" s="95"/>
      <c r="L1" s="95"/>
      <c r="M1" s="96"/>
      <c r="N1" s="58" t="s">
        <v>93</v>
      </c>
      <c r="O1" s="97" t="s">
        <v>169</v>
      </c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5" t="s">
        <v>63</v>
      </c>
      <c r="P2" s="85" t="s">
        <v>64</v>
      </c>
      <c r="Q2" s="85" t="s">
        <v>59</v>
      </c>
      <c r="R2" s="85" t="s">
        <v>65</v>
      </c>
      <c r="S2" s="85" t="s">
        <v>66</v>
      </c>
      <c r="T2" s="85" t="s">
        <v>67</v>
      </c>
      <c r="U2" s="85" t="s">
        <v>68</v>
      </c>
      <c r="V2" s="85" t="s">
        <v>69</v>
      </c>
      <c r="W2" s="85" t="s">
        <v>70</v>
      </c>
      <c r="X2" s="85" t="s">
        <v>14</v>
      </c>
      <c r="Y2" s="85" t="s">
        <v>170</v>
      </c>
    </row>
    <row r="3" spans="1:25" x14ac:dyDescent="0.25">
      <c r="A3">
        <v>1</v>
      </c>
      <c r="B3" s="11" t="s">
        <v>183</v>
      </c>
      <c r="C3" t="s">
        <v>178</v>
      </c>
      <c r="D3" t="s">
        <v>174</v>
      </c>
      <c r="E3" t="s">
        <v>39</v>
      </c>
      <c r="F3" t="s">
        <v>39</v>
      </c>
      <c r="G3" t="s">
        <v>39</v>
      </c>
      <c r="H3" t="s">
        <v>39</v>
      </c>
      <c r="I3" t="s">
        <v>20</v>
      </c>
      <c r="J3">
        <v>173.71</v>
      </c>
      <c r="K3" t="s">
        <v>13</v>
      </c>
      <c r="L3">
        <v>1</v>
      </c>
      <c r="M3">
        <v>177.49</v>
      </c>
      <c r="N3">
        <v>1482.81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IF(OR(L3="",L3&lt;1),FALSE,IF(ISNUMBER(L3),"-",FALSE))</f>
        <v>-</v>
      </c>
      <c r="W3" t="str">
        <f>IF(OR(M3="",M3&lt;0),FALSE,IF(ISNUMBER(M3),"-",FALSE))</f>
        <v>-</v>
      </c>
      <c r="X3" t="str">
        <f>IF(OR(N3="",N3&lt;1),FALSE,IF(ISNUMBER(N3),"-",FALSE))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3E42F-35A2-4020-91B5-3B01755BBD32}">
  <sheetPr codeName="Sheet22"/>
  <dimension ref="A1:AE12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P3" sqref="P3:S12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34.140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4" t="s">
        <v>101</v>
      </c>
      <c r="B1" s="95"/>
      <c r="C1" s="95"/>
      <c r="D1" s="95"/>
      <c r="E1" s="95"/>
      <c r="F1" s="95"/>
      <c r="G1" s="95"/>
      <c r="H1" s="96"/>
      <c r="I1" s="99"/>
      <c r="J1" s="99"/>
      <c r="K1" s="99"/>
      <c r="L1" s="99"/>
      <c r="M1" s="99"/>
      <c r="N1" s="99"/>
      <c r="O1" s="100"/>
      <c r="P1" s="94" t="s">
        <v>92</v>
      </c>
      <c r="Q1" s="95"/>
      <c r="R1" s="95"/>
      <c r="S1" s="96"/>
      <c r="T1" s="97" t="s">
        <v>169</v>
      </c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5" t="s">
        <v>63</v>
      </c>
      <c r="U2" s="85" t="s">
        <v>91</v>
      </c>
      <c r="V2" s="85" t="s">
        <v>48</v>
      </c>
      <c r="W2" s="85" t="s">
        <v>100</v>
      </c>
      <c r="X2" s="85" t="s">
        <v>86</v>
      </c>
      <c r="Y2" s="85" t="s">
        <v>87</v>
      </c>
      <c r="Z2" s="85" t="s">
        <v>64</v>
      </c>
      <c r="AA2" s="85" t="s">
        <v>59</v>
      </c>
      <c r="AB2" s="85" t="s">
        <v>66</v>
      </c>
      <c r="AC2" s="85" t="s">
        <v>67</v>
      </c>
      <c r="AD2" s="85" t="s">
        <v>171</v>
      </c>
      <c r="AE2" s="85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t="s">
        <v>179</v>
      </c>
      <c r="F3" s="87" t="s">
        <v>175</v>
      </c>
      <c r="G3" s="11" t="s">
        <v>180</v>
      </c>
      <c r="H3">
        <v>1</v>
      </c>
      <c r="I3" s="11" t="s">
        <v>172</v>
      </c>
      <c r="J3" t="s">
        <v>181</v>
      </c>
      <c r="K3" t="s">
        <v>176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11</v>
      </c>
      <c r="Q3">
        <v>1</v>
      </c>
      <c r="R3">
        <v>0</v>
      </c>
      <c r="S3">
        <v>0</v>
      </c>
      <c r="T3" t="str">
        <f t="shared" ref="T3:T12" si="0">IF(OR(A3="",A3&lt;1),FALSE,IF(ISNUMBER(A3), IF(INT(A3) = A3, "-", FALSE), FALSE))</f>
        <v>-</v>
      </c>
      <c r="U3" t="str">
        <f t="shared" ref="U3:U12" si="1">IF(OR(B3="",A3&lt;1),FALSE,IF(ISNUMBER(A3), IF(INT(A3) = A3, "-", FALSE), FALSE))</f>
        <v>-</v>
      </c>
      <c r="V3" t="str">
        <f t="shared" ref="V3:V12" si="2">IF(OR(C3="",C3="PilihSalasatu"),FALSE,"-")</f>
        <v>-</v>
      </c>
      <c r="W3" t="str">
        <f t="shared" ref="W3:W12" si="3">IF(D3="",FALSE,"-")</f>
        <v>-</v>
      </c>
      <c r="X3" t="str">
        <f t="shared" ref="X3:X12" si="4">IF(E3="",FALSE,"-")</f>
        <v>-</v>
      </c>
      <c r="Y3" t="str">
        <f t="shared" ref="Y3:Y12" si="5">IF(F3="",FALSE,"-")</f>
        <v>-</v>
      </c>
      <c r="Z3" t="str">
        <f t="shared" ref="Z3:Z12" si="6">IF(I3="",FALSE,"-")</f>
        <v>-</v>
      </c>
      <c r="AA3" t="str">
        <f t="shared" ref="AA3:AA12" si="7">IF(J3="",FALSE,"-")</f>
        <v>-</v>
      </c>
      <c r="AB3" t="str">
        <f>IF(_xlfn.IFNA(VLOOKUP(P3,Set_Ref!$B$6:$B$1048576,1,FALSE),"")&lt;&gt;"","-",FALSE)</f>
        <v>-</v>
      </c>
      <c r="AC3" t="str">
        <f t="shared" ref="AC3:AC12" si="8">IF(OR(Q3="",Q3&lt;0),FALSE,IF(ISNUMBER(Q3),"-",FALSE))</f>
        <v>-</v>
      </c>
      <c r="AD3" t="str">
        <f t="shared" ref="AD3:AD12" si="9">IF(OR(G3="",H3="",I3="",K3=""),FALSE,"-")</f>
        <v>-</v>
      </c>
      <c r="AE3" t="b">
        <f t="shared" ref="AE3:AE12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149</v>
      </c>
      <c r="E4" t="s">
        <v>179</v>
      </c>
      <c r="F4" t="s">
        <v>175</v>
      </c>
      <c r="G4" s="11" t="s">
        <v>180</v>
      </c>
      <c r="H4">
        <v>2</v>
      </c>
      <c r="I4" s="11" t="s">
        <v>172</v>
      </c>
      <c r="J4" t="s">
        <v>182</v>
      </c>
      <c r="K4" t="s">
        <v>177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11</v>
      </c>
      <c r="Q4">
        <v>88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149</v>
      </c>
      <c r="E5" t="s">
        <v>179</v>
      </c>
      <c r="F5" t="s">
        <v>175</v>
      </c>
      <c r="G5" s="11" t="s">
        <v>180</v>
      </c>
      <c r="H5">
        <v>2</v>
      </c>
      <c r="I5" s="11" t="s">
        <v>172</v>
      </c>
      <c r="J5" t="s">
        <v>182</v>
      </c>
      <c r="K5" t="s">
        <v>177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11</v>
      </c>
      <c r="Q5">
        <v>59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149</v>
      </c>
      <c r="E6" t="s">
        <v>179</v>
      </c>
      <c r="F6" t="s">
        <v>175</v>
      </c>
      <c r="G6" s="11" t="s">
        <v>180</v>
      </c>
      <c r="H6">
        <v>2</v>
      </c>
      <c r="I6" s="11" t="s">
        <v>172</v>
      </c>
      <c r="J6" t="s">
        <v>182</v>
      </c>
      <c r="K6" t="s">
        <v>177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11</v>
      </c>
      <c r="Q6">
        <v>24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149</v>
      </c>
      <c r="E7" t="s">
        <v>179</v>
      </c>
      <c r="F7" t="s">
        <v>175</v>
      </c>
      <c r="G7" s="11" t="s">
        <v>180</v>
      </c>
      <c r="H7">
        <v>1</v>
      </c>
      <c r="I7" s="11" t="s">
        <v>172</v>
      </c>
      <c r="J7" t="s">
        <v>181</v>
      </c>
      <c r="K7" t="s">
        <v>176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11</v>
      </c>
      <c r="Q7">
        <v>5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11" t="s">
        <v>149</v>
      </c>
      <c r="E8" t="s">
        <v>179</v>
      </c>
      <c r="F8" t="s">
        <v>175</v>
      </c>
      <c r="G8" s="11" t="s">
        <v>180</v>
      </c>
      <c r="H8">
        <v>2</v>
      </c>
      <c r="I8" s="11" t="s">
        <v>172</v>
      </c>
      <c r="J8" t="s">
        <v>182</v>
      </c>
      <c r="K8" t="s">
        <v>177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11</v>
      </c>
      <c r="Q8">
        <v>11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149</v>
      </c>
      <c r="E9" t="s">
        <v>179</v>
      </c>
      <c r="F9" t="s">
        <v>175</v>
      </c>
      <c r="G9" s="11" t="s">
        <v>180</v>
      </c>
      <c r="H9">
        <v>1</v>
      </c>
      <c r="I9" s="11" t="s">
        <v>172</v>
      </c>
      <c r="J9" t="s">
        <v>181</v>
      </c>
      <c r="K9" t="s">
        <v>176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11</v>
      </c>
      <c r="Q9">
        <v>17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149</v>
      </c>
      <c r="E10" t="s">
        <v>179</v>
      </c>
      <c r="F10" t="s">
        <v>175</v>
      </c>
      <c r="G10" s="11" t="s">
        <v>180</v>
      </c>
      <c r="H10">
        <v>1</v>
      </c>
      <c r="I10" s="11" t="s">
        <v>172</v>
      </c>
      <c r="J10" t="s">
        <v>181</v>
      </c>
      <c r="K10" t="s">
        <v>176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11</v>
      </c>
      <c r="Q10">
        <v>8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11" t="s">
        <v>149</v>
      </c>
      <c r="E11" t="s">
        <v>179</v>
      </c>
      <c r="F11" t="s">
        <v>175</v>
      </c>
      <c r="G11" s="11" t="s">
        <v>180</v>
      </c>
      <c r="H11">
        <v>1</v>
      </c>
      <c r="I11" s="11" t="s">
        <v>172</v>
      </c>
      <c r="J11" t="s">
        <v>181</v>
      </c>
      <c r="K11" t="s">
        <v>176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11</v>
      </c>
      <c r="Q11">
        <v>69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11" t="s">
        <v>149</v>
      </c>
      <c r="E12" t="s">
        <v>179</v>
      </c>
      <c r="F12" t="s">
        <v>175</v>
      </c>
      <c r="G12" s="11" t="s">
        <v>180</v>
      </c>
      <c r="H12">
        <v>1</v>
      </c>
      <c r="I12" s="11" t="s">
        <v>172</v>
      </c>
      <c r="J12" t="s">
        <v>181</v>
      </c>
      <c r="K12" t="s">
        <v>176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11</v>
      </c>
      <c r="Q12">
        <v>49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705F7B75-44FF-4540-81C9-C516440DCC5B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Summary</vt:lpstr>
      <vt:lpstr>Set_Def</vt:lpstr>
      <vt:lpstr>Set_Cach</vt:lpstr>
      <vt:lpstr>Set_Ref</vt:lpstr>
      <vt:lpstr>Field_Barang</vt:lpstr>
      <vt:lpstr>Field_BahanBaku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2024-08-16T09:06:10Z</dcterms:modified>
</cp:coreProperties>
</file>