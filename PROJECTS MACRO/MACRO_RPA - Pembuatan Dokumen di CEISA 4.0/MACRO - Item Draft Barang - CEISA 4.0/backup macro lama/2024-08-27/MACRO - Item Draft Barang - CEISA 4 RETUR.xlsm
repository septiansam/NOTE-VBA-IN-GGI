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0C5E61C8-2E91-4943-B79F-368E4E5A728D}" xr6:coauthVersionLast="47" xr6:coauthVersionMax="47" xr10:uidLastSave="{00000000-0000-0000-0000-000000000000}"/>
  <bookViews>
    <workbookView xWindow="-120" yWindow="-120" windowWidth="20730" windowHeight="11160" tabRatio="685" activeTab="6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339" r:id="rId8"/>
    <sheet name="BAHANBAKU" sheetId="340" r:id="rId9"/>
  </sheets>
  <functionGroups builtInGroupCount="19"/>
  <externalReferences>
    <externalReference r:id="rId10"/>
  </externalReferences>
  <definedNames>
    <definedName name="_xlnm._FilterDatabase" localSheetId="8" hidden="1">BAHANBAKU!$A$2:$S$124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340"/>
  <c r="AD4" i="340"/>
  <c r="AD5" i="340"/>
  <c r="AD6" i="340"/>
  <c r="AD7" i="340"/>
  <c r="AD8" i="340"/>
  <c r="AD9" i="340"/>
  <c r="AD10" i="340"/>
  <c r="AD11" i="340"/>
  <c r="AD12" i="340"/>
  <c r="AD13" i="340"/>
  <c r="AD14" i="340"/>
  <c r="AD15" i="340"/>
  <c r="AD16" i="340"/>
  <c r="AD17" i="340"/>
  <c r="AD18" i="340"/>
  <c r="AD19" i="340"/>
  <c r="AD20" i="340"/>
  <c r="AD21" i="340"/>
  <c r="AD22" i="340"/>
  <c r="AD23" i="340"/>
  <c r="AD24" i="340"/>
  <c r="AD25" i="340"/>
  <c r="AD26" i="340"/>
  <c r="AD27" i="340"/>
  <c r="AD28" i="340"/>
  <c r="AD29" i="340"/>
  <c r="AD30" i="340"/>
  <c r="AD31" i="340"/>
  <c r="AD32" i="340"/>
  <c r="AD33" i="340"/>
  <c r="AD34" i="340"/>
  <c r="AD35" i="340"/>
  <c r="AD36" i="340"/>
  <c r="AD37" i="340"/>
  <c r="AD38" i="340"/>
  <c r="AD39" i="340"/>
  <c r="AD40" i="340"/>
  <c r="AD41" i="340"/>
  <c r="AD42" i="340"/>
  <c r="AD43" i="340"/>
  <c r="AD44" i="340"/>
  <c r="AD45" i="340"/>
  <c r="AD46" i="340"/>
  <c r="AD47" i="340"/>
  <c r="AD48" i="340"/>
  <c r="AD49" i="340"/>
  <c r="AD50" i="340"/>
  <c r="AD51" i="340"/>
  <c r="AD52" i="340"/>
  <c r="AD53" i="340"/>
  <c r="AD54" i="340"/>
  <c r="AD55" i="340"/>
  <c r="AD56" i="340"/>
  <c r="AD57" i="340"/>
  <c r="AD58" i="340"/>
  <c r="AD59" i="340"/>
  <c r="AD60" i="340"/>
  <c r="AD61" i="340"/>
  <c r="AD62" i="340"/>
  <c r="AD63" i="340"/>
  <c r="AD64" i="340"/>
  <c r="AD65" i="340"/>
  <c r="AD66" i="340"/>
  <c r="AD67" i="340"/>
  <c r="AD68" i="340"/>
  <c r="AD69" i="340"/>
  <c r="AD70" i="340"/>
  <c r="AD71" i="340"/>
  <c r="AD72" i="340"/>
  <c r="AD73" i="340"/>
  <c r="AD74" i="340"/>
  <c r="AD75" i="340"/>
  <c r="AD76" i="340"/>
  <c r="AD77" i="340"/>
  <c r="AD78" i="340"/>
  <c r="AD79" i="340"/>
  <c r="AD80" i="340"/>
  <c r="AD81" i="340"/>
  <c r="AD82" i="340"/>
  <c r="AD83" i="340"/>
  <c r="AD84" i="340"/>
  <c r="AD85" i="340"/>
  <c r="AD86" i="340"/>
  <c r="AD87" i="340"/>
  <c r="AD88" i="340"/>
  <c r="AD89" i="340"/>
  <c r="AD90" i="340"/>
  <c r="AD91" i="340"/>
  <c r="AD92" i="340"/>
  <c r="AD93" i="340"/>
  <c r="AD94" i="340"/>
  <c r="AD95" i="340"/>
  <c r="AD96" i="340"/>
  <c r="AD97" i="340"/>
  <c r="AD98" i="340"/>
  <c r="AD99" i="340"/>
  <c r="AD100" i="340"/>
  <c r="AD101" i="340"/>
  <c r="AD102" i="340"/>
  <c r="AD103" i="340"/>
  <c r="AD104" i="340"/>
  <c r="AD105" i="340"/>
  <c r="AD106" i="340"/>
  <c r="AD107" i="340"/>
  <c r="AD108" i="340"/>
  <c r="AD109" i="340"/>
  <c r="AD110" i="340"/>
  <c r="AD111" i="340"/>
  <c r="AD112" i="340"/>
  <c r="AD113" i="340"/>
  <c r="AD114" i="340"/>
  <c r="AD115" i="340"/>
  <c r="AD116" i="340"/>
  <c r="AD117" i="340"/>
  <c r="AD118" i="340"/>
  <c r="AD119" i="340"/>
  <c r="AD120" i="340"/>
  <c r="AD121" i="340"/>
  <c r="AD122" i="340"/>
  <c r="AD123" i="340"/>
  <c r="AD124" i="340"/>
  <c r="AC3" i="340"/>
  <c r="AC4" i="340"/>
  <c r="AC5" i="340"/>
  <c r="AC6" i="340"/>
  <c r="AC7" i="340"/>
  <c r="AC8" i="340"/>
  <c r="AC9" i="340"/>
  <c r="AC10" i="340"/>
  <c r="AC11" i="340"/>
  <c r="AC12" i="340"/>
  <c r="AC13" i="340"/>
  <c r="AC14" i="340"/>
  <c r="AC15" i="340"/>
  <c r="AC16" i="340"/>
  <c r="AC17" i="340"/>
  <c r="AC18" i="340"/>
  <c r="AC19" i="340"/>
  <c r="AC20" i="340"/>
  <c r="AC21" i="340"/>
  <c r="AC22" i="340"/>
  <c r="AC23" i="340"/>
  <c r="AC24" i="340"/>
  <c r="AC25" i="340"/>
  <c r="AC26" i="340"/>
  <c r="AC27" i="340"/>
  <c r="AC28" i="340"/>
  <c r="AC29" i="340"/>
  <c r="AC30" i="340"/>
  <c r="AC31" i="340"/>
  <c r="AC32" i="340"/>
  <c r="AC33" i="340"/>
  <c r="AC34" i="340"/>
  <c r="AC35" i="340"/>
  <c r="AC36" i="340"/>
  <c r="AC37" i="340"/>
  <c r="AC38" i="340"/>
  <c r="AC39" i="340"/>
  <c r="AC40" i="340"/>
  <c r="AC41" i="340"/>
  <c r="AC42" i="340"/>
  <c r="AC43" i="340"/>
  <c r="AC44" i="340"/>
  <c r="AC45" i="340"/>
  <c r="AC46" i="340"/>
  <c r="AC47" i="340"/>
  <c r="AC48" i="340"/>
  <c r="AC49" i="340"/>
  <c r="AC50" i="340"/>
  <c r="AC51" i="340"/>
  <c r="AC52" i="340"/>
  <c r="AC53" i="340"/>
  <c r="AC54" i="340"/>
  <c r="AC55" i="340"/>
  <c r="AC56" i="340"/>
  <c r="AC57" i="340"/>
  <c r="AC58" i="340"/>
  <c r="AC59" i="340"/>
  <c r="AC60" i="340"/>
  <c r="AC61" i="340"/>
  <c r="AC62" i="340"/>
  <c r="AC63" i="340"/>
  <c r="AC64" i="340"/>
  <c r="AC65" i="340"/>
  <c r="AC66" i="340"/>
  <c r="AC67" i="340"/>
  <c r="AC68" i="340"/>
  <c r="AC69" i="340"/>
  <c r="AC70" i="340"/>
  <c r="AC71" i="340"/>
  <c r="AC72" i="340"/>
  <c r="AC73" i="340"/>
  <c r="AC74" i="340"/>
  <c r="AC75" i="340"/>
  <c r="AC76" i="340"/>
  <c r="AC77" i="340"/>
  <c r="AC78" i="340"/>
  <c r="AC79" i="340"/>
  <c r="AC80" i="340"/>
  <c r="AC81" i="340"/>
  <c r="AC82" i="340"/>
  <c r="AC83" i="340"/>
  <c r="AC84" i="340"/>
  <c r="AC85" i="340"/>
  <c r="AC86" i="340"/>
  <c r="AC87" i="340"/>
  <c r="AC88" i="340"/>
  <c r="AC89" i="340"/>
  <c r="AC90" i="340"/>
  <c r="AC91" i="340"/>
  <c r="AC92" i="340"/>
  <c r="AC93" i="340"/>
  <c r="AC94" i="340"/>
  <c r="AC95" i="340"/>
  <c r="AC96" i="340"/>
  <c r="AC97" i="340"/>
  <c r="AC98" i="340"/>
  <c r="AC99" i="340"/>
  <c r="AC100" i="340"/>
  <c r="AC101" i="340"/>
  <c r="AC102" i="340"/>
  <c r="AC103" i="340"/>
  <c r="AC104" i="340"/>
  <c r="AC105" i="340"/>
  <c r="AC106" i="340"/>
  <c r="AC107" i="340"/>
  <c r="AC108" i="340"/>
  <c r="AC109" i="340"/>
  <c r="AC110" i="340"/>
  <c r="AC111" i="340"/>
  <c r="AC112" i="340"/>
  <c r="AC113" i="340"/>
  <c r="AC114" i="340"/>
  <c r="AC115" i="340"/>
  <c r="AC116" i="340"/>
  <c r="AC117" i="340"/>
  <c r="AC118" i="340"/>
  <c r="AC119" i="340"/>
  <c r="AC120" i="340"/>
  <c r="AC121" i="340"/>
  <c r="AC122" i="340"/>
  <c r="AC123" i="340"/>
  <c r="AC124" i="340"/>
  <c r="AB3" i="340"/>
  <c r="AB4" i="340"/>
  <c r="AB5" i="340"/>
  <c r="AB6" i="340"/>
  <c r="AB7" i="340"/>
  <c r="AB8" i="340"/>
  <c r="AB9" i="340"/>
  <c r="AB10" i="340"/>
  <c r="AB11" i="340"/>
  <c r="AB12" i="340"/>
  <c r="AB13" i="340"/>
  <c r="AB14" i="340"/>
  <c r="AB15" i="340"/>
  <c r="AB16" i="340"/>
  <c r="AB17" i="340"/>
  <c r="AB18" i="340"/>
  <c r="AB19" i="340"/>
  <c r="AB20" i="340"/>
  <c r="AB21" i="340"/>
  <c r="AB22" i="340"/>
  <c r="AB23" i="340"/>
  <c r="AB24" i="340"/>
  <c r="AB25" i="340"/>
  <c r="AB26" i="340"/>
  <c r="AB27" i="340"/>
  <c r="AB28" i="340"/>
  <c r="AB29" i="340"/>
  <c r="AB30" i="340"/>
  <c r="AB31" i="340"/>
  <c r="AB32" i="340"/>
  <c r="AB33" i="340"/>
  <c r="AB34" i="340"/>
  <c r="AB35" i="340"/>
  <c r="AB36" i="340"/>
  <c r="AB37" i="340"/>
  <c r="AB38" i="340"/>
  <c r="AB39" i="340"/>
  <c r="AB40" i="340"/>
  <c r="AB41" i="340"/>
  <c r="AB42" i="340"/>
  <c r="AB43" i="340"/>
  <c r="AB44" i="340"/>
  <c r="AB45" i="340"/>
  <c r="AB46" i="340"/>
  <c r="AB47" i="340"/>
  <c r="AB48" i="340"/>
  <c r="AB49" i="340"/>
  <c r="AB50" i="340"/>
  <c r="AB51" i="340"/>
  <c r="AB52" i="340"/>
  <c r="AB53" i="340"/>
  <c r="AB54" i="340"/>
  <c r="AB55" i="340"/>
  <c r="AB56" i="340"/>
  <c r="AB57" i="340"/>
  <c r="AB58" i="340"/>
  <c r="AB59" i="340"/>
  <c r="AB60" i="340"/>
  <c r="AB61" i="340"/>
  <c r="AB62" i="340"/>
  <c r="AB63" i="340"/>
  <c r="AB64" i="340"/>
  <c r="AB65" i="340"/>
  <c r="AB66" i="340"/>
  <c r="AB67" i="340"/>
  <c r="AB68" i="340"/>
  <c r="AB69" i="340"/>
  <c r="AB70" i="340"/>
  <c r="AB71" i="340"/>
  <c r="AB72" i="340"/>
  <c r="AB73" i="340"/>
  <c r="AB74" i="340"/>
  <c r="AB75" i="340"/>
  <c r="AB76" i="340"/>
  <c r="AB77" i="340"/>
  <c r="AB78" i="340"/>
  <c r="AB79" i="340"/>
  <c r="AB80" i="340"/>
  <c r="AB81" i="340"/>
  <c r="AB82" i="340"/>
  <c r="AB83" i="340"/>
  <c r="AB84" i="340"/>
  <c r="AB85" i="340"/>
  <c r="AB86" i="340"/>
  <c r="AB87" i="340"/>
  <c r="AB88" i="340"/>
  <c r="AB89" i="340"/>
  <c r="AB90" i="340"/>
  <c r="AB91" i="340"/>
  <c r="AB92" i="340"/>
  <c r="AB93" i="340"/>
  <c r="AB94" i="340"/>
  <c r="AB95" i="340"/>
  <c r="AB96" i="340"/>
  <c r="AB97" i="340"/>
  <c r="AB98" i="340"/>
  <c r="AB99" i="340"/>
  <c r="AB100" i="340"/>
  <c r="AB101" i="340"/>
  <c r="AB102" i="340"/>
  <c r="AB103" i="340"/>
  <c r="AB104" i="340"/>
  <c r="AB105" i="340"/>
  <c r="AB106" i="340"/>
  <c r="AB107" i="340"/>
  <c r="AB108" i="340"/>
  <c r="AB109" i="340"/>
  <c r="AB110" i="340"/>
  <c r="AB111" i="340"/>
  <c r="AB112" i="340"/>
  <c r="AB113" i="340"/>
  <c r="AB114" i="340"/>
  <c r="AB115" i="340"/>
  <c r="AB116" i="340"/>
  <c r="AB117" i="340"/>
  <c r="AB118" i="340"/>
  <c r="AB119" i="340"/>
  <c r="AB120" i="340"/>
  <c r="AB121" i="340"/>
  <c r="AB122" i="340"/>
  <c r="AB123" i="340"/>
  <c r="AB124" i="340"/>
  <c r="AA3" i="340"/>
  <c r="AA4" i="340"/>
  <c r="AA5" i="340"/>
  <c r="AA6" i="340"/>
  <c r="AA7" i="340"/>
  <c r="AA8" i="340"/>
  <c r="AA9" i="340"/>
  <c r="AA10" i="340"/>
  <c r="AA11" i="340"/>
  <c r="AA12" i="340"/>
  <c r="AA13" i="340"/>
  <c r="AA14" i="340"/>
  <c r="AA15" i="340"/>
  <c r="AA16" i="340"/>
  <c r="AA17" i="340"/>
  <c r="AA18" i="340"/>
  <c r="AA19" i="340"/>
  <c r="AA20" i="340"/>
  <c r="AA21" i="340"/>
  <c r="AA22" i="340"/>
  <c r="AA23" i="340"/>
  <c r="AA24" i="340"/>
  <c r="AA25" i="340"/>
  <c r="AA26" i="340"/>
  <c r="AA27" i="340"/>
  <c r="AA28" i="340"/>
  <c r="AA29" i="340"/>
  <c r="AA30" i="340"/>
  <c r="AA31" i="340"/>
  <c r="AA32" i="340"/>
  <c r="AA33" i="340"/>
  <c r="AA34" i="340"/>
  <c r="AA35" i="340"/>
  <c r="AA36" i="340"/>
  <c r="AA37" i="340"/>
  <c r="AA38" i="340"/>
  <c r="AA39" i="340"/>
  <c r="AA40" i="340"/>
  <c r="AA41" i="340"/>
  <c r="AA42" i="340"/>
  <c r="AA43" i="340"/>
  <c r="AA44" i="340"/>
  <c r="AA45" i="340"/>
  <c r="AA46" i="340"/>
  <c r="AA47" i="340"/>
  <c r="AA48" i="340"/>
  <c r="AA49" i="340"/>
  <c r="AA50" i="340"/>
  <c r="AA51" i="340"/>
  <c r="AA52" i="340"/>
  <c r="AA53" i="340"/>
  <c r="AA54" i="340"/>
  <c r="AA55" i="340"/>
  <c r="AA56" i="340"/>
  <c r="AA57" i="340"/>
  <c r="AA58" i="340"/>
  <c r="AA59" i="340"/>
  <c r="AA60" i="340"/>
  <c r="AA61" i="340"/>
  <c r="AA62" i="340"/>
  <c r="AA63" i="340"/>
  <c r="AA64" i="340"/>
  <c r="AA65" i="340"/>
  <c r="AA66" i="340"/>
  <c r="AA67" i="340"/>
  <c r="AA68" i="340"/>
  <c r="AA69" i="340"/>
  <c r="AA70" i="340"/>
  <c r="AA71" i="340"/>
  <c r="AA72" i="340"/>
  <c r="AA73" i="340"/>
  <c r="AA74" i="340"/>
  <c r="AA75" i="340"/>
  <c r="AA76" i="340"/>
  <c r="AA77" i="340"/>
  <c r="AA78" i="340"/>
  <c r="AA79" i="340"/>
  <c r="AA80" i="340"/>
  <c r="AA81" i="340"/>
  <c r="AA82" i="340"/>
  <c r="AA83" i="340"/>
  <c r="AA84" i="340"/>
  <c r="AA85" i="340"/>
  <c r="AA86" i="340"/>
  <c r="AA87" i="340"/>
  <c r="AA88" i="340"/>
  <c r="AA89" i="340"/>
  <c r="AA90" i="340"/>
  <c r="AA91" i="340"/>
  <c r="AA92" i="340"/>
  <c r="AA93" i="340"/>
  <c r="AA94" i="340"/>
  <c r="AA95" i="340"/>
  <c r="AA96" i="340"/>
  <c r="AA97" i="340"/>
  <c r="AA98" i="340"/>
  <c r="AA99" i="340"/>
  <c r="AA100" i="340"/>
  <c r="AA101" i="340"/>
  <c r="AA102" i="340"/>
  <c r="AA103" i="340"/>
  <c r="AA104" i="340"/>
  <c r="AA105" i="340"/>
  <c r="AA106" i="340"/>
  <c r="AA107" i="340"/>
  <c r="AA108" i="340"/>
  <c r="AA109" i="340"/>
  <c r="AA110" i="340"/>
  <c r="AA111" i="340"/>
  <c r="AA112" i="340"/>
  <c r="AA113" i="340"/>
  <c r="AA114" i="340"/>
  <c r="AA115" i="340"/>
  <c r="AA116" i="340"/>
  <c r="AA117" i="340"/>
  <c r="AA118" i="340"/>
  <c r="AA119" i="340"/>
  <c r="AA120" i="340"/>
  <c r="AA121" i="340"/>
  <c r="AA122" i="340"/>
  <c r="AA123" i="340"/>
  <c r="AA124" i="340"/>
  <c r="Z3" i="340"/>
  <c r="Z4" i="340"/>
  <c r="Z5" i="340"/>
  <c r="Z6" i="340"/>
  <c r="Z7" i="340"/>
  <c r="Z8" i="340"/>
  <c r="Z9" i="340"/>
  <c r="Z10" i="340"/>
  <c r="Z11" i="340"/>
  <c r="Z12" i="340"/>
  <c r="Z13" i="340"/>
  <c r="Z14" i="340"/>
  <c r="Z15" i="340"/>
  <c r="Z16" i="340"/>
  <c r="Z17" i="340"/>
  <c r="Z18" i="340"/>
  <c r="Z19" i="340"/>
  <c r="Z20" i="340"/>
  <c r="Z21" i="340"/>
  <c r="Z22" i="340"/>
  <c r="Z23" i="340"/>
  <c r="Z24" i="340"/>
  <c r="Z25" i="340"/>
  <c r="Z26" i="340"/>
  <c r="Z27" i="340"/>
  <c r="Z28" i="340"/>
  <c r="Z29" i="340"/>
  <c r="Z30" i="340"/>
  <c r="Z31" i="340"/>
  <c r="Z32" i="340"/>
  <c r="Z33" i="340"/>
  <c r="Z34" i="340"/>
  <c r="Z35" i="340"/>
  <c r="Z36" i="340"/>
  <c r="Z37" i="340"/>
  <c r="Z38" i="340"/>
  <c r="Z39" i="340"/>
  <c r="Z40" i="340"/>
  <c r="Z41" i="340"/>
  <c r="Z42" i="340"/>
  <c r="Z43" i="340"/>
  <c r="Z44" i="340"/>
  <c r="Z45" i="340"/>
  <c r="Z46" i="340"/>
  <c r="Z47" i="340"/>
  <c r="Z48" i="340"/>
  <c r="Z49" i="340"/>
  <c r="Z50" i="340"/>
  <c r="Z51" i="340"/>
  <c r="Z52" i="340"/>
  <c r="Z53" i="340"/>
  <c r="Z54" i="340"/>
  <c r="Z55" i="340"/>
  <c r="Z56" i="340"/>
  <c r="Z57" i="340"/>
  <c r="Z58" i="340"/>
  <c r="Z59" i="340"/>
  <c r="Z60" i="340"/>
  <c r="Z61" i="340"/>
  <c r="Z62" i="340"/>
  <c r="Z63" i="340"/>
  <c r="Z64" i="340"/>
  <c r="Z65" i="340"/>
  <c r="Z66" i="340"/>
  <c r="Z67" i="340"/>
  <c r="Z68" i="340"/>
  <c r="Z69" i="340"/>
  <c r="Z70" i="340"/>
  <c r="Z71" i="340"/>
  <c r="Z72" i="340"/>
  <c r="Z73" i="340"/>
  <c r="Z74" i="340"/>
  <c r="Z75" i="340"/>
  <c r="Z76" i="340"/>
  <c r="Z77" i="340"/>
  <c r="Z78" i="340"/>
  <c r="Z79" i="340"/>
  <c r="Z80" i="340"/>
  <c r="Z81" i="340"/>
  <c r="Z82" i="340"/>
  <c r="Z83" i="340"/>
  <c r="Z84" i="340"/>
  <c r="Z85" i="340"/>
  <c r="Z86" i="340"/>
  <c r="Z87" i="340"/>
  <c r="Z88" i="340"/>
  <c r="Z89" i="340"/>
  <c r="Z90" i="340"/>
  <c r="Z91" i="340"/>
  <c r="Z92" i="340"/>
  <c r="Z93" i="340"/>
  <c r="Z94" i="340"/>
  <c r="Z95" i="340"/>
  <c r="Z96" i="340"/>
  <c r="Z97" i="340"/>
  <c r="Z98" i="340"/>
  <c r="Z99" i="340"/>
  <c r="Z100" i="340"/>
  <c r="Z101" i="340"/>
  <c r="Z102" i="340"/>
  <c r="Z103" i="340"/>
  <c r="Z104" i="340"/>
  <c r="Z105" i="340"/>
  <c r="Z106" i="340"/>
  <c r="Z107" i="340"/>
  <c r="Z108" i="340"/>
  <c r="Z109" i="340"/>
  <c r="Z110" i="340"/>
  <c r="Z111" i="340"/>
  <c r="Z112" i="340"/>
  <c r="Z113" i="340"/>
  <c r="Z114" i="340"/>
  <c r="Z115" i="340"/>
  <c r="Z116" i="340"/>
  <c r="Z117" i="340"/>
  <c r="Z118" i="340"/>
  <c r="Z119" i="340"/>
  <c r="Z120" i="340"/>
  <c r="Z121" i="340"/>
  <c r="Z122" i="340"/>
  <c r="Z123" i="340"/>
  <c r="Z124" i="340"/>
  <c r="Y3" i="340"/>
  <c r="Y4" i="340"/>
  <c r="Y5" i="340"/>
  <c r="Y6" i="340"/>
  <c r="Y7" i="340"/>
  <c r="Y8" i="340"/>
  <c r="Y9" i="340"/>
  <c r="Y10" i="340"/>
  <c r="Y11" i="340"/>
  <c r="Y12" i="340"/>
  <c r="Y13" i="340"/>
  <c r="Y14" i="340"/>
  <c r="Y15" i="340"/>
  <c r="Y16" i="340"/>
  <c r="Y17" i="340"/>
  <c r="Y18" i="340"/>
  <c r="Y19" i="340"/>
  <c r="Y20" i="340"/>
  <c r="Y21" i="340"/>
  <c r="Y22" i="340"/>
  <c r="Y23" i="340"/>
  <c r="Y24" i="340"/>
  <c r="Y25" i="340"/>
  <c r="Y26" i="340"/>
  <c r="Y27" i="340"/>
  <c r="Y28" i="340"/>
  <c r="Y29" i="340"/>
  <c r="Y30" i="340"/>
  <c r="Y31" i="340"/>
  <c r="Y32" i="340"/>
  <c r="Y33" i="340"/>
  <c r="Y34" i="340"/>
  <c r="Y35" i="340"/>
  <c r="Y36" i="340"/>
  <c r="Y37" i="340"/>
  <c r="Y38" i="340"/>
  <c r="Y39" i="340"/>
  <c r="Y40" i="340"/>
  <c r="Y41" i="340"/>
  <c r="Y42" i="340"/>
  <c r="Y43" i="340"/>
  <c r="Y44" i="340"/>
  <c r="Y45" i="340"/>
  <c r="Y46" i="340"/>
  <c r="Y47" i="340"/>
  <c r="Y48" i="340"/>
  <c r="Y49" i="340"/>
  <c r="Y50" i="340"/>
  <c r="Y51" i="340"/>
  <c r="Y52" i="340"/>
  <c r="Y53" i="340"/>
  <c r="Y54" i="340"/>
  <c r="Y55" i="340"/>
  <c r="Y56" i="340"/>
  <c r="Y57" i="340"/>
  <c r="Y58" i="340"/>
  <c r="Y59" i="340"/>
  <c r="Y60" i="340"/>
  <c r="Y61" i="340"/>
  <c r="Y62" i="340"/>
  <c r="Y63" i="340"/>
  <c r="Y64" i="340"/>
  <c r="Y65" i="340"/>
  <c r="Y66" i="340"/>
  <c r="Y67" i="340"/>
  <c r="Y68" i="340"/>
  <c r="Y69" i="340"/>
  <c r="Y70" i="340"/>
  <c r="Y71" i="340"/>
  <c r="Y72" i="340"/>
  <c r="Y73" i="340"/>
  <c r="Y74" i="340"/>
  <c r="Y75" i="340"/>
  <c r="Y76" i="340"/>
  <c r="Y77" i="340"/>
  <c r="Y78" i="340"/>
  <c r="Y79" i="340"/>
  <c r="Y80" i="340"/>
  <c r="Y81" i="340"/>
  <c r="Y82" i="340"/>
  <c r="Y83" i="340"/>
  <c r="Y84" i="340"/>
  <c r="Y85" i="340"/>
  <c r="Y86" i="340"/>
  <c r="Y87" i="340"/>
  <c r="Y88" i="340"/>
  <c r="Y89" i="340"/>
  <c r="Y90" i="340"/>
  <c r="Y91" i="340"/>
  <c r="Y92" i="340"/>
  <c r="Y93" i="340"/>
  <c r="Y94" i="340"/>
  <c r="Y95" i="340"/>
  <c r="Y96" i="340"/>
  <c r="Y97" i="340"/>
  <c r="Y98" i="340"/>
  <c r="Y99" i="340"/>
  <c r="Y100" i="340"/>
  <c r="Y101" i="340"/>
  <c r="Y102" i="340"/>
  <c r="Y103" i="340"/>
  <c r="Y104" i="340"/>
  <c r="Y105" i="340"/>
  <c r="Y106" i="340"/>
  <c r="Y107" i="340"/>
  <c r="Y108" i="340"/>
  <c r="Y109" i="340"/>
  <c r="Y110" i="340"/>
  <c r="Y111" i="340"/>
  <c r="Y112" i="340"/>
  <c r="Y113" i="340"/>
  <c r="Y114" i="340"/>
  <c r="Y115" i="340"/>
  <c r="Y116" i="340"/>
  <c r="Y117" i="340"/>
  <c r="Y118" i="340"/>
  <c r="Y119" i="340"/>
  <c r="Y120" i="340"/>
  <c r="Y121" i="340"/>
  <c r="Y122" i="340"/>
  <c r="Y123" i="340"/>
  <c r="Y124" i="340"/>
  <c r="X3" i="340"/>
  <c r="X4" i="340"/>
  <c r="X5" i="340"/>
  <c r="X6" i="340"/>
  <c r="X7" i="340"/>
  <c r="X8" i="340"/>
  <c r="X9" i="340"/>
  <c r="X10" i="340"/>
  <c r="X11" i="340"/>
  <c r="X12" i="340"/>
  <c r="X13" i="340"/>
  <c r="X14" i="340"/>
  <c r="X15" i="340"/>
  <c r="X16" i="340"/>
  <c r="X17" i="340"/>
  <c r="X18" i="340"/>
  <c r="X19" i="340"/>
  <c r="X20" i="340"/>
  <c r="X21" i="340"/>
  <c r="X22" i="340"/>
  <c r="X23" i="340"/>
  <c r="X24" i="340"/>
  <c r="X25" i="340"/>
  <c r="X26" i="340"/>
  <c r="X27" i="340"/>
  <c r="X28" i="340"/>
  <c r="X29" i="340"/>
  <c r="X30" i="340"/>
  <c r="X31" i="340"/>
  <c r="X32" i="340"/>
  <c r="X33" i="340"/>
  <c r="X34" i="340"/>
  <c r="X35" i="340"/>
  <c r="X36" i="340"/>
  <c r="X37" i="340"/>
  <c r="X38" i="340"/>
  <c r="X39" i="340"/>
  <c r="X40" i="340"/>
  <c r="X41" i="340"/>
  <c r="X42" i="340"/>
  <c r="X43" i="340"/>
  <c r="X44" i="340"/>
  <c r="X45" i="340"/>
  <c r="X46" i="340"/>
  <c r="X47" i="340"/>
  <c r="X48" i="340"/>
  <c r="X49" i="340"/>
  <c r="X50" i="340"/>
  <c r="X51" i="340"/>
  <c r="X52" i="340"/>
  <c r="X53" i="340"/>
  <c r="X54" i="340"/>
  <c r="X55" i="340"/>
  <c r="X56" i="340"/>
  <c r="X57" i="340"/>
  <c r="X58" i="340"/>
  <c r="X59" i="340"/>
  <c r="X60" i="340"/>
  <c r="X61" i="340"/>
  <c r="X62" i="340"/>
  <c r="X63" i="340"/>
  <c r="X64" i="340"/>
  <c r="X65" i="340"/>
  <c r="X66" i="340"/>
  <c r="X67" i="340"/>
  <c r="X68" i="340"/>
  <c r="X69" i="340"/>
  <c r="X70" i="340"/>
  <c r="X71" i="340"/>
  <c r="X72" i="340"/>
  <c r="X73" i="340"/>
  <c r="X74" i="340"/>
  <c r="X75" i="340"/>
  <c r="X76" i="340"/>
  <c r="X77" i="340"/>
  <c r="X78" i="340"/>
  <c r="X79" i="340"/>
  <c r="X80" i="340"/>
  <c r="X81" i="340"/>
  <c r="X82" i="340"/>
  <c r="X83" i="340"/>
  <c r="X84" i="340"/>
  <c r="X85" i="340"/>
  <c r="X86" i="340"/>
  <c r="X87" i="340"/>
  <c r="X88" i="340"/>
  <c r="X89" i="340"/>
  <c r="X90" i="340"/>
  <c r="X91" i="340"/>
  <c r="X92" i="340"/>
  <c r="X93" i="340"/>
  <c r="X94" i="340"/>
  <c r="X95" i="340"/>
  <c r="X96" i="340"/>
  <c r="X97" i="340"/>
  <c r="X98" i="340"/>
  <c r="X99" i="340"/>
  <c r="X100" i="340"/>
  <c r="X101" i="340"/>
  <c r="X102" i="340"/>
  <c r="X103" i="340"/>
  <c r="X104" i="340"/>
  <c r="X105" i="340"/>
  <c r="X106" i="340"/>
  <c r="X107" i="340"/>
  <c r="X108" i="340"/>
  <c r="X109" i="340"/>
  <c r="X110" i="340"/>
  <c r="X111" i="340"/>
  <c r="X112" i="340"/>
  <c r="X113" i="340"/>
  <c r="X114" i="340"/>
  <c r="X115" i="340"/>
  <c r="X116" i="340"/>
  <c r="X117" i="340"/>
  <c r="X118" i="340"/>
  <c r="X119" i="340"/>
  <c r="X120" i="340"/>
  <c r="X121" i="340"/>
  <c r="X122" i="340"/>
  <c r="X123" i="340"/>
  <c r="X124" i="340"/>
  <c r="W3" i="340"/>
  <c r="W4" i="340"/>
  <c r="W5" i="340"/>
  <c r="W6" i="340"/>
  <c r="W7" i="340"/>
  <c r="W8" i="340"/>
  <c r="W9" i="340"/>
  <c r="W10" i="340"/>
  <c r="W11" i="340"/>
  <c r="W12" i="340"/>
  <c r="W13" i="340"/>
  <c r="W14" i="340"/>
  <c r="W15" i="340"/>
  <c r="W16" i="340"/>
  <c r="W17" i="340"/>
  <c r="W18" i="340"/>
  <c r="W19" i="340"/>
  <c r="W20" i="340"/>
  <c r="W21" i="340"/>
  <c r="W22" i="340"/>
  <c r="W23" i="340"/>
  <c r="W24" i="340"/>
  <c r="W25" i="340"/>
  <c r="W26" i="340"/>
  <c r="W27" i="340"/>
  <c r="W28" i="340"/>
  <c r="W29" i="340"/>
  <c r="W30" i="340"/>
  <c r="W31" i="340"/>
  <c r="W32" i="340"/>
  <c r="W33" i="340"/>
  <c r="W34" i="340"/>
  <c r="W35" i="340"/>
  <c r="W36" i="340"/>
  <c r="W37" i="340"/>
  <c r="W38" i="340"/>
  <c r="W39" i="340"/>
  <c r="W40" i="340"/>
  <c r="W41" i="340"/>
  <c r="W42" i="340"/>
  <c r="W43" i="340"/>
  <c r="W44" i="340"/>
  <c r="W45" i="340"/>
  <c r="W46" i="340"/>
  <c r="W47" i="340"/>
  <c r="W48" i="340"/>
  <c r="W49" i="340"/>
  <c r="W50" i="340"/>
  <c r="W51" i="340"/>
  <c r="W52" i="340"/>
  <c r="W53" i="340"/>
  <c r="W54" i="340"/>
  <c r="W55" i="340"/>
  <c r="W56" i="340"/>
  <c r="W57" i="340"/>
  <c r="W58" i="340"/>
  <c r="W59" i="340"/>
  <c r="W60" i="340"/>
  <c r="W61" i="340"/>
  <c r="W62" i="340"/>
  <c r="W63" i="340"/>
  <c r="W64" i="340"/>
  <c r="W65" i="340"/>
  <c r="W66" i="340"/>
  <c r="W67" i="340"/>
  <c r="W68" i="340"/>
  <c r="W69" i="340"/>
  <c r="W70" i="340"/>
  <c r="W71" i="340"/>
  <c r="W72" i="340"/>
  <c r="W73" i="340"/>
  <c r="W74" i="340"/>
  <c r="W75" i="340"/>
  <c r="W76" i="340"/>
  <c r="W77" i="340"/>
  <c r="W78" i="340"/>
  <c r="W79" i="340"/>
  <c r="W80" i="340"/>
  <c r="W81" i="340"/>
  <c r="W82" i="340"/>
  <c r="W83" i="340"/>
  <c r="W84" i="340"/>
  <c r="W85" i="340"/>
  <c r="W86" i="340"/>
  <c r="W87" i="340"/>
  <c r="W88" i="340"/>
  <c r="W89" i="340"/>
  <c r="W90" i="340"/>
  <c r="W91" i="340"/>
  <c r="W92" i="340"/>
  <c r="W93" i="340"/>
  <c r="W94" i="340"/>
  <c r="W95" i="340"/>
  <c r="W96" i="340"/>
  <c r="W97" i="340"/>
  <c r="W98" i="340"/>
  <c r="W99" i="340"/>
  <c r="W100" i="340"/>
  <c r="W101" i="340"/>
  <c r="W102" i="340"/>
  <c r="W103" i="340"/>
  <c r="W104" i="340"/>
  <c r="W105" i="340"/>
  <c r="W106" i="340"/>
  <c r="W107" i="340"/>
  <c r="W108" i="340"/>
  <c r="W109" i="340"/>
  <c r="W110" i="340"/>
  <c r="W111" i="340"/>
  <c r="W112" i="340"/>
  <c r="W113" i="340"/>
  <c r="W114" i="340"/>
  <c r="W115" i="340"/>
  <c r="W116" i="340"/>
  <c r="W117" i="340"/>
  <c r="W118" i="340"/>
  <c r="W119" i="340"/>
  <c r="W120" i="340"/>
  <c r="W121" i="340"/>
  <c r="W122" i="340"/>
  <c r="W123" i="340"/>
  <c r="W124" i="340"/>
  <c r="V3" i="340"/>
  <c r="V4" i="340"/>
  <c r="V5" i="340"/>
  <c r="V6" i="340"/>
  <c r="V7" i="340"/>
  <c r="V8" i="340"/>
  <c r="V9" i="340"/>
  <c r="V10" i="340"/>
  <c r="V11" i="340"/>
  <c r="V12" i="340"/>
  <c r="V13" i="340"/>
  <c r="V14" i="340"/>
  <c r="V15" i="340"/>
  <c r="V16" i="340"/>
  <c r="V17" i="340"/>
  <c r="V18" i="340"/>
  <c r="V19" i="340"/>
  <c r="V20" i="340"/>
  <c r="V21" i="340"/>
  <c r="V22" i="340"/>
  <c r="V23" i="340"/>
  <c r="V24" i="340"/>
  <c r="V25" i="340"/>
  <c r="V26" i="340"/>
  <c r="V27" i="340"/>
  <c r="V28" i="340"/>
  <c r="V29" i="340"/>
  <c r="V30" i="340"/>
  <c r="V31" i="340"/>
  <c r="V32" i="340"/>
  <c r="V33" i="340"/>
  <c r="V34" i="340"/>
  <c r="V35" i="340"/>
  <c r="V36" i="340"/>
  <c r="V37" i="340"/>
  <c r="V38" i="340"/>
  <c r="V39" i="340"/>
  <c r="V40" i="340"/>
  <c r="V41" i="340"/>
  <c r="V42" i="340"/>
  <c r="V43" i="340"/>
  <c r="V44" i="340"/>
  <c r="V45" i="340"/>
  <c r="V46" i="340"/>
  <c r="V47" i="340"/>
  <c r="V48" i="340"/>
  <c r="V49" i="340"/>
  <c r="V50" i="340"/>
  <c r="V51" i="340"/>
  <c r="V52" i="340"/>
  <c r="V53" i="340"/>
  <c r="V54" i="340"/>
  <c r="V55" i="340"/>
  <c r="V56" i="340"/>
  <c r="V57" i="340"/>
  <c r="V58" i="340"/>
  <c r="V59" i="340"/>
  <c r="V60" i="340"/>
  <c r="V61" i="340"/>
  <c r="V62" i="340"/>
  <c r="V63" i="340"/>
  <c r="V64" i="340"/>
  <c r="V65" i="340"/>
  <c r="V66" i="340"/>
  <c r="V67" i="340"/>
  <c r="V68" i="340"/>
  <c r="V69" i="340"/>
  <c r="V70" i="340"/>
  <c r="V71" i="340"/>
  <c r="V72" i="340"/>
  <c r="V73" i="340"/>
  <c r="V74" i="340"/>
  <c r="V75" i="340"/>
  <c r="V76" i="340"/>
  <c r="V77" i="340"/>
  <c r="V78" i="340"/>
  <c r="V79" i="340"/>
  <c r="V80" i="340"/>
  <c r="V81" i="340"/>
  <c r="V82" i="340"/>
  <c r="V83" i="340"/>
  <c r="V84" i="340"/>
  <c r="V85" i="340"/>
  <c r="V86" i="340"/>
  <c r="V87" i="340"/>
  <c r="V88" i="340"/>
  <c r="V89" i="340"/>
  <c r="V90" i="340"/>
  <c r="V91" i="340"/>
  <c r="V92" i="340"/>
  <c r="V93" i="340"/>
  <c r="V94" i="340"/>
  <c r="V95" i="340"/>
  <c r="V96" i="340"/>
  <c r="V97" i="340"/>
  <c r="V98" i="340"/>
  <c r="V99" i="340"/>
  <c r="V100" i="340"/>
  <c r="V101" i="340"/>
  <c r="V102" i="340"/>
  <c r="V103" i="340"/>
  <c r="V104" i="340"/>
  <c r="V105" i="340"/>
  <c r="V106" i="340"/>
  <c r="V107" i="340"/>
  <c r="V108" i="340"/>
  <c r="V109" i="340"/>
  <c r="V110" i="340"/>
  <c r="V111" i="340"/>
  <c r="V112" i="340"/>
  <c r="V113" i="340"/>
  <c r="V114" i="340"/>
  <c r="V115" i="340"/>
  <c r="V116" i="340"/>
  <c r="V117" i="340"/>
  <c r="V118" i="340"/>
  <c r="V119" i="340"/>
  <c r="V120" i="340"/>
  <c r="V121" i="340"/>
  <c r="V122" i="340"/>
  <c r="V123" i="340"/>
  <c r="V124" i="340"/>
  <c r="U3" i="340"/>
  <c r="U4" i="340"/>
  <c r="U5" i="340"/>
  <c r="U6" i="340"/>
  <c r="U7" i="340"/>
  <c r="U8" i="340"/>
  <c r="U9" i="340"/>
  <c r="U10" i="340"/>
  <c r="U11" i="340"/>
  <c r="U12" i="340"/>
  <c r="U13" i="340"/>
  <c r="U14" i="340"/>
  <c r="U15" i="340"/>
  <c r="U16" i="340"/>
  <c r="U17" i="340"/>
  <c r="U18" i="340"/>
  <c r="U19" i="340"/>
  <c r="U20" i="340"/>
  <c r="U21" i="340"/>
  <c r="U22" i="340"/>
  <c r="U23" i="340"/>
  <c r="U24" i="340"/>
  <c r="U25" i="340"/>
  <c r="U26" i="340"/>
  <c r="U27" i="340"/>
  <c r="U28" i="340"/>
  <c r="U29" i="340"/>
  <c r="U30" i="340"/>
  <c r="U31" i="340"/>
  <c r="U32" i="340"/>
  <c r="U33" i="340"/>
  <c r="U34" i="340"/>
  <c r="U35" i="340"/>
  <c r="U36" i="340"/>
  <c r="U37" i="340"/>
  <c r="U38" i="340"/>
  <c r="U39" i="340"/>
  <c r="U40" i="340"/>
  <c r="U41" i="340"/>
  <c r="U42" i="340"/>
  <c r="U43" i="340"/>
  <c r="U44" i="340"/>
  <c r="U45" i="340"/>
  <c r="U46" i="340"/>
  <c r="U47" i="340"/>
  <c r="U48" i="340"/>
  <c r="U49" i="340"/>
  <c r="U50" i="340"/>
  <c r="U51" i="340"/>
  <c r="U52" i="340"/>
  <c r="U53" i="340"/>
  <c r="U54" i="340"/>
  <c r="U55" i="340"/>
  <c r="U56" i="340"/>
  <c r="U57" i="340"/>
  <c r="U58" i="340"/>
  <c r="U59" i="340"/>
  <c r="U60" i="340"/>
  <c r="U61" i="340"/>
  <c r="U62" i="340"/>
  <c r="U63" i="340"/>
  <c r="U64" i="340"/>
  <c r="U65" i="340"/>
  <c r="U66" i="340"/>
  <c r="U67" i="340"/>
  <c r="U68" i="340"/>
  <c r="U69" i="340"/>
  <c r="U70" i="340"/>
  <c r="U71" i="340"/>
  <c r="U72" i="340"/>
  <c r="U73" i="340"/>
  <c r="U74" i="340"/>
  <c r="U75" i="340"/>
  <c r="U76" i="340"/>
  <c r="U77" i="340"/>
  <c r="U78" i="340"/>
  <c r="U79" i="340"/>
  <c r="U80" i="340"/>
  <c r="U81" i="340"/>
  <c r="U82" i="340"/>
  <c r="U83" i="340"/>
  <c r="U84" i="340"/>
  <c r="U85" i="340"/>
  <c r="U86" i="340"/>
  <c r="U87" i="340"/>
  <c r="U88" i="340"/>
  <c r="U89" i="340"/>
  <c r="U90" i="340"/>
  <c r="U91" i="340"/>
  <c r="U92" i="340"/>
  <c r="U93" i="340"/>
  <c r="U94" i="340"/>
  <c r="U95" i="340"/>
  <c r="U96" i="340"/>
  <c r="U97" i="340"/>
  <c r="U98" i="340"/>
  <c r="U99" i="340"/>
  <c r="U100" i="340"/>
  <c r="U101" i="340"/>
  <c r="U102" i="340"/>
  <c r="U103" i="340"/>
  <c r="U104" i="340"/>
  <c r="U105" i="340"/>
  <c r="U106" i="340"/>
  <c r="U107" i="340"/>
  <c r="U108" i="340"/>
  <c r="U109" i="340"/>
  <c r="U110" i="340"/>
  <c r="U111" i="340"/>
  <c r="U112" i="340"/>
  <c r="U113" i="340"/>
  <c r="U114" i="340"/>
  <c r="U115" i="340"/>
  <c r="U116" i="340"/>
  <c r="U117" i="340"/>
  <c r="U118" i="340"/>
  <c r="U119" i="340"/>
  <c r="U120" i="340"/>
  <c r="U121" i="340"/>
  <c r="U122" i="340"/>
  <c r="U123" i="340"/>
  <c r="U124" i="340"/>
  <c r="T3" i="340"/>
  <c r="T4" i="340"/>
  <c r="T5" i="340"/>
  <c r="T6" i="340"/>
  <c r="T7" i="340"/>
  <c r="T8" i="340"/>
  <c r="T9" i="340"/>
  <c r="T10" i="340"/>
  <c r="T11" i="340"/>
  <c r="T12" i="340"/>
  <c r="T13" i="340"/>
  <c r="T14" i="340"/>
  <c r="T15" i="340"/>
  <c r="T16" i="340"/>
  <c r="T17" i="340"/>
  <c r="T18" i="340"/>
  <c r="T19" i="340"/>
  <c r="T20" i="340"/>
  <c r="T21" i="340"/>
  <c r="T22" i="340"/>
  <c r="T23" i="340"/>
  <c r="T24" i="340"/>
  <c r="T25" i="340"/>
  <c r="T26" i="340"/>
  <c r="T27" i="340"/>
  <c r="T28" i="340"/>
  <c r="T29" i="340"/>
  <c r="T30" i="340"/>
  <c r="T31" i="340"/>
  <c r="T32" i="340"/>
  <c r="T33" i="340"/>
  <c r="T34" i="340"/>
  <c r="T35" i="340"/>
  <c r="T36" i="340"/>
  <c r="T37" i="340"/>
  <c r="T38" i="340"/>
  <c r="T39" i="340"/>
  <c r="T40" i="340"/>
  <c r="T41" i="340"/>
  <c r="T42" i="340"/>
  <c r="T43" i="340"/>
  <c r="T44" i="340"/>
  <c r="T45" i="340"/>
  <c r="T46" i="340"/>
  <c r="T47" i="340"/>
  <c r="T48" i="340"/>
  <c r="T49" i="340"/>
  <c r="T50" i="340"/>
  <c r="T51" i="340"/>
  <c r="T52" i="340"/>
  <c r="T53" i="340"/>
  <c r="T54" i="340"/>
  <c r="T55" i="340"/>
  <c r="T56" i="340"/>
  <c r="T57" i="340"/>
  <c r="T58" i="340"/>
  <c r="T59" i="340"/>
  <c r="T60" i="340"/>
  <c r="T61" i="340"/>
  <c r="T62" i="340"/>
  <c r="T63" i="340"/>
  <c r="T64" i="340"/>
  <c r="T65" i="340"/>
  <c r="T66" i="340"/>
  <c r="T67" i="340"/>
  <c r="T68" i="340"/>
  <c r="T69" i="340"/>
  <c r="T70" i="340"/>
  <c r="T71" i="340"/>
  <c r="T72" i="340"/>
  <c r="T73" i="340"/>
  <c r="T74" i="340"/>
  <c r="T75" i="340"/>
  <c r="T76" i="340"/>
  <c r="T77" i="340"/>
  <c r="T78" i="340"/>
  <c r="T79" i="340"/>
  <c r="T80" i="340"/>
  <c r="T81" i="340"/>
  <c r="T82" i="340"/>
  <c r="T83" i="340"/>
  <c r="T84" i="340"/>
  <c r="T85" i="340"/>
  <c r="T86" i="340"/>
  <c r="T87" i="340"/>
  <c r="T88" i="340"/>
  <c r="T89" i="340"/>
  <c r="T90" i="340"/>
  <c r="T91" i="340"/>
  <c r="T92" i="340"/>
  <c r="T93" i="340"/>
  <c r="T94" i="340"/>
  <c r="T95" i="340"/>
  <c r="T96" i="340"/>
  <c r="T97" i="340"/>
  <c r="T98" i="340"/>
  <c r="T99" i="340"/>
  <c r="T100" i="340"/>
  <c r="T101" i="340"/>
  <c r="T102" i="340"/>
  <c r="T103" i="340"/>
  <c r="T104" i="340"/>
  <c r="T105" i="340"/>
  <c r="T106" i="340"/>
  <c r="T107" i="340"/>
  <c r="T108" i="340"/>
  <c r="T109" i="340"/>
  <c r="T110" i="340"/>
  <c r="T111" i="340"/>
  <c r="T112" i="340"/>
  <c r="T113" i="340"/>
  <c r="T114" i="340"/>
  <c r="T115" i="340"/>
  <c r="T116" i="340"/>
  <c r="T117" i="340"/>
  <c r="T118" i="340"/>
  <c r="T119" i="340"/>
  <c r="T120" i="340"/>
  <c r="T121" i="340"/>
  <c r="T122" i="340"/>
  <c r="T123" i="340"/>
  <c r="T124" i="340"/>
  <c r="X3" i="339"/>
  <c r="X4" i="339"/>
  <c r="X5" i="339"/>
  <c r="X6" i="339"/>
  <c r="X7" i="339"/>
  <c r="X8" i="339"/>
  <c r="X9" i="339"/>
  <c r="X10" i="339"/>
  <c r="W3" i="339"/>
  <c r="W4" i="339"/>
  <c r="W5" i="339"/>
  <c r="W6" i="339"/>
  <c r="W7" i="339"/>
  <c r="W8" i="339"/>
  <c r="W9" i="339"/>
  <c r="W10" i="339"/>
  <c r="V3" i="339"/>
  <c r="V4" i="339"/>
  <c r="V5" i="339"/>
  <c r="V6" i="339"/>
  <c r="V7" i="339"/>
  <c r="V8" i="339"/>
  <c r="V9" i="339"/>
  <c r="V10" i="339"/>
  <c r="U3" i="339"/>
  <c r="U4" i="339"/>
  <c r="U5" i="339"/>
  <c r="U6" i="339"/>
  <c r="U7" i="339"/>
  <c r="U8" i="339"/>
  <c r="U9" i="339"/>
  <c r="U10" i="339"/>
  <c r="T3" i="339"/>
  <c r="T4" i="339"/>
  <c r="T5" i="339"/>
  <c r="T6" i="339"/>
  <c r="T7" i="339"/>
  <c r="T8" i="339"/>
  <c r="T9" i="339"/>
  <c r="T10" i="339"/>
  <c r="S3" i="339"/>
  <c r="S4" i="339"/>
  <c r="S5" i="339"/>
  <c r="S6" i="339"/>
  <c r="S7" i="339"/>
  <c r="S8" i="339"/>
  <c r="S9" i="339"/>
  <c r="S10" i="339"/>
  <c r="R3" i="339"/>
  <c r="R4" i="339"/>
  <c r="R5" i="339"/>
  <c r="R6" i="339"/>
  <c r="R7" i="339"/>
  <c r="R8" i="339"/>
  <c r="R9" i="339"/>
  <c r="R10" i="339"/>
  <c r="Q3" i="339"/>
  <c r="Q4" i="339"/>
  <c r="Q5" i="339"/>
  <c r="Q6" i="339"/>
  <c r="Q7" i="339"/>
  <c r="Q8" i="339"/>
  <c r="Q9" i="339"/>
  <c r="Q10" i="339"/>
  <c r="P3" i="339"/>
  <c r="P4" i="339"/>
  <c r="P5" i="339"/>
  <c r="P6" i="339"/>
  <c r="P7" i="339"/>
  <c r="P8" i="339"/>
  <c r="P9" i="339"/>
  <c r="P10" i="339"/>
  <c r="O3" i="339"/>
  <c r="O4" i="339"/>
  <c r="O5" i="339"/>
  <c r="O6" i="339"/>
  <c r="O7" i="339"/>
  <c r="O8" i="339"/>
  <c r="O9" i="339"/>
  <c r="O10" i="339"/>
  <c r="Y3" i="339" l="1"/>
  <c r="AE121" i="340"/>
  <c r="AE117" i="340"/>
  <c r="AE113" i="340"/>
  <c r="AE109" i="340"/>
  <c r="AE105" i="340"/>
  <c r="AE101" i="340"/>
  <c r="AE97" i="340"/>
  <c r="AE93" i="340"/>
  <c r="AE89" i="340"/>
  <c r="AE85" i="340"/>
  <c r="AE81" i="340"/>
  <c r="AE77" i="340"/>
  <c r="AE73" i="340"/>
  <c r="AE69" i="340"/>
  <c r="AE65" i="340"/>
  <c r="AE61" i="340"/>
  <c r="AE57" i="340"/>
  <c r="AE53" i="340"/>
  <c r="AE49" i="340"/>
  <c r="AE45" i="340"/>
  <c r="AE41" i="340"/>
  <c r="AE37" i="340"/>
  <c r="AE33" i="340"/>
  <c r="AE29" i="340"/>
  <c r="AE25" i="340"/>
  <c r="AE21" i="340"/>
  <c r="AE17" i="340"/>
  <c r="AE13" i="340"/>
  <c r="AE9" i="340"/>
  <c r="AE5" i="340"/>
  <c r="AE122" i="340"/>
  <c r="AE118" i="340"/>
  <c r="AE114" i="340"/>
  <c r="AE110" i="340"/>
  <c r="AE106" i="340"/>
  <c r="AE102" i="340"/>
  <c r="AE98" i="340"/>
  <c r="AE94" i="340"/>
  <c r="AE90" i="340"/>
  <c r="AE86" i="340"/>
  <c r="AE82" i="340"/>
  <c r="AE78" i="340"/>
  <c r="AE74" i="340"/>
  <c r="AE70" i="340"/>
  <c r="AE66" i="340"/>
  <c r="AE62" i="340"/>
  <c r="AE58" i="340"/>
  <c r="AE54" i="340"/>
  <c r="AE50" i="340"/>
  <c r="AE46" i="340"/>
  <c r="AE42" i="340"/>
  <c r="AE38" i="340"/>
  <c r="AE34" i="340"/>
  <c r="AE30" i="340"/>
  <c r="AE26" i="340"/>
  <c r="AE22" i="340"/>
  <c r="AE18" i="340"/>
  <c r="AE14" i="340"/>
  <c r="AE10" i="340"/>
  <c r="AE6" i="340"/>
  <c r="AE124" i="340"/>
  <c r="AE120" i="340"/>
  <c r="AE116" i="340"/>
  <c r="AE112" i="340"/>
  <c r="AE108" i="340"/>
  <c r="AE104" i="340"/>
  <c r="AE100" i="340"/>
  <c r="AE96" i="340"/>
  <c r="AE92" i="340"/>
  <c r="AE88" i="340"/>
  <c r="AE84" i="340"/>
  <c r="AE80" i="340"/>
  <c r="AE76" i="340"/>
  <c r="AE72" i="340"/>
  <c r="AE68" i="340"/>
  <c r="AE64" i="340"/>
  <c r="AE60" i="340"/>
  <c r="AE56" i="340"/>
  <c r="AE52" i="340"/>
  <c r="AE48" i="340"/>
  <c r="AE44" i="340"/>
  <c r="AE40" i="340"/>
  <c r="AE36" i="340"/>
  <c r="AE32" i="340"/>
  <c r="AE28" i="340"/>
  <c r="AE24" i="340"/>
  <c r="AE20" i="340"/>
  <c r="AE16" i="340"/>
  <c r="AE12" i="340"/>
  <c r="AE8" i="340"/>
  <c r="AE4" i="340"/>
  <c r="AE123" i="340"/>
  <c r="AE119" i="340"/>
  <c r="AE115" i="340"/>
  <c r="AE111" i="340"/>
  <c r="AE107" i="340"/>
  <c r="AE103" i="340"/>
  <c r="AE99" i="340"/>
  <c r="AE95" i="340"/>
  <c r="AE91" i="340"/>
  <c r="AE87" i="340"/>
  <c r="AE83" i="340"/>
  <c r="AE79" i="340"/>
  <c r="AE75" i="340"/>
  <c r="AE71" i="340"/>
  <c r="AE67" i="340"/>
  <c r="AE63" i="340"/>
  <c r="AE59" i="340"/>
  <c r="AE55" i="340"/>
  <c r="AE51" i="340"/>
  <c r="AE47" i="340"/>
  <c r="AE43" i="340"/>
  <c r="AE39" i="340"/>
  <c r="AE35" i="340"/>
  <c r="AE31" i="340"/>
  <c r="AE27" i="340"/>
  <c r="AE23" i="340"/>
  <c r="AE19" i="340"/>
  <c r="AE15" i="340"/>
  <c r="AE11" i="340"/>
  <c r="AE7" i="340"/>
  <c r="AE3" i="340"/>
  <c r="Y10" i="339"/>
  <c r="Y6" i="339"/>
  <c r="Y9" i="339"/>
  <c r="Y5" i="339"/>
  <c r="Y8" i="339"/>
  <c r="Y4" i="339"/>
  <c r="Y7" i="339"/>
  <c r="D12" i="128"/>
  <c r="C12" i="135" l="1"/>
  <c r="C2" i="135" s="1"/>
  <c r="C6" i="135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3832C30E-9345-4CF2-9DBF-04862244864B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D54E73DB-7F96-463A-8D79-6B2E29767E2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5A40535C-9420-4B4D-88E7-95725DE588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F3733CE7-7670-4148-B173-D13C1A0540A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4749CB36-4470-49C8-8ACE-5FB01B16F4E1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7A37D498-94BC-4164-B3FA-F4AB5A11CD11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C32525C8-12E1-4B5C-8AB4-2650780BB993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0807F404-A841-4A54-822E-ACF62A684C6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17B34C36-53CB-4070-A6C0-53405120BF5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FCC29FF1-0C3C-43C5-B4A0-D61B3A9370E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F095948F-438E-4DDD-A4C1-1B036035615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F36009D3-00DD-4163-81D8-AABC28D2400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BDED6E79-2A59-4663-9338-BF1A9644F22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CE4000FF-9CD3-443C-846C-07E5B96F511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D6B8E67D-7D94-4139-8E4A-23BA7EC5759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C3384398-453D-4E94-891F-A7AECB43320E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E91D502E-6038-4911-A5B9-AAB4F61A922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5910D7EB-ED1A-42D0-A5C4-D85A3DE921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55576EDC-E480-47DC-A667-1ACDC087ABE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59CF8F75-313A-4DE8-A30C-2330C7D03CC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62CC1682-AEA1-49F1-83FF-70A4B94DDA4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D6995C41-3996-40E3-A49D-09ED839A5C1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5589E5A5-135F-4C61-BF62-0440A0D65C40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<sst xmlns="http://schemas.openxmlformats.org/spreadsheetml/2006/main" count="1899" uniqueCount="244">
  <si>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</si>
  <si>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</si>
  <si>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</si>
  <si>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</si>
  <si>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</si>
  <si>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</si>
  <si>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</si>
  <si>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</si>
  <si>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</si>
  <si>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</si>
  <si>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</si>
  <si>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</si>
  <si>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</si>
  <si>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</si>
  <si>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</si>
  <si>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</si>
  <si>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</si>
  <si>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</si>
  <si>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</si>
  <si>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</si>
  <si>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</si>
  <si>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</si>
  <si>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</si>
  <si>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</si>
  <si>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</si>
  <si>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</si>
  <si>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</si>
  <si>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</si>
  <si>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</si>
  <si>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</si>
  <si>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</si>
  <si>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</si>
  <si>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</si>
  <si>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</si>
  <si>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</si>
  <si>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</si>
  <si>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</si>
  <si>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</si>
  <si>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</si>
  <si>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</si>
  <si>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</si>
  <si>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</si>
  <si>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</si>
  <si>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</si>
  <si>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</si>
  <si>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</si>
  <si>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</si>
  <si>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</si>
  <si>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</si>
  <si>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</si>
  <si>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</si>
  <si>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</si>
  <si>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</si>
  <si>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</si>
  <si>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</si>
  <si>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</si>
  <si>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</si>
  <si>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</si>
  <si>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</si>
  <si>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</si>
  <si>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</si>
  <si>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</si>
  <si>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</si>
  <si>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</si>
  <si>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</si>
  <si>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</si>
  <si>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</si>
  <si>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</si>
  <si>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</si>
  <si>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</si>
  <si>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</si>
  <si>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</si>
  <si>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</si>
  <si>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</si>
  <si>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</si>
  <si>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</si>
  <si>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</si>
  <si>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</si>
  <si>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</si>
  <si>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</si>
  <si>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</si>
  <si>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</si>
  <si>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</si>
  <si>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</si>
  <si>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</si>
  <si>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</si>
  <si>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</si>
  <si>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</si>
  <si>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</si>
  <si>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</si>
  <si>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</si>
  <si>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</si>
  <si>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</si>
  <si>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</si>
  <si>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</si>
  <si>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</si>
  <si>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</si>
  <si>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</si>
  <si>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</si>
  <si>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</si>
  <si>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</si>
  <si>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</si>
  <si>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</si>
  <si>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</si>
  <si>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</si>
  <si>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</si>
  <si>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</si>
  <si>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</si>
  <si>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</si>
  <si>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</si>
  <si>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</si>
  <si>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</si>
  <si>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</si>
  <si>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</si>
  <si>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</si>
  <si>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</si>
  <si>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</si>
  <si>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</si>
  <si>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</si>
  <si>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</si>
  <si>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</si>
  <si>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</si>
  <si>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</si>
  <si>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</si>
  <si>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</si>
  <si>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</si>
  <si>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</si>
  <si>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</si>
  <si>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</si>
  <si>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</si>
  <si>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</si>
  <si>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</si>
  <si>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</si>
  <si>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</si>
  <si>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</si>
  <si>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</si>
  <si>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</si>
  <si>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</si>
  <si>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</si>
  <si>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</si>
  <si>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</si>
  <si>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</si>
  <si>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</si>
  <si>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</si>
  <si>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</si>
  <si>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</si>
  <si>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</si>
  <si>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</si>
  <si>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</si>
  <si>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</si>
  <si>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</si>
  <si>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</si>
  <si>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</si>
  <si>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</si>
  <si>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</si>
  <si>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</si>
  <si>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</si>
  <si>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</si>
  <si>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</si>
  <si>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</si>
  <si>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</si>
  <si>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</si>
  <si>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</si>
  <si>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</si>
  <si>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</si>
  <si>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</si>
  <si>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</si>
  <si>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</si>
  <si>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</si>
  <si>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</si>
  <si>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</si>
  <si>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</si>
  <si>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</si>
  <si>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48211090</t>
  </si>
  <si>
    <t>WAREHOUSE STICKER</t>
  </si>
  <si>
    <t>TAPE</t>
  </si>
  <si>
    <t>HANGTAG EC-HG</t>
  </si>
  <si>
    <t>PRICE TAG</t>
  </si>
  <si>
    <t>ASSORT STICKER</t>
  </si>
  <si>
    <t>CARE LABEL NISHIMATSUYA</t>
  </si>
  <si>
    <t>CARTON BOX</t>
  </si>
  <si>
    <t>HANGER</t>
  </si>
  <si>
    <t>2024-06-19</t>
  </si>
  <si>
    <t>2024-07-25</t>
  </si>
  <si>
    <t>54011090</t>
  </si>
  <si>
    <t>236651</t>
  </si>
  <si>
    <t>58071000</t>
  </si>
  <si>
    <t>48192000</t>
  </si>
  <si>
    <t>39249090</t>
  </si>
  <si>
    <t>272291</t>
  </si>
  <si>
    <t>238382</t>
  </si>
  <si>
    <t>238380</t>
  </si>
  <si>
    <t>236645/236646/236647/236648/236649/236650</t>
  </si>
  <si>
    <t>225343/225342</t>
  </si>
  <si>
    <t>243240/245735/245736</t>
  </si>
  <si>
    <t>236740/236741/236742</t>
  </si>
  <si>
    <t>C:\Users\sdewi\Downloads\00026231560820240826001246.xlsx</t>
  </si>
  <si>
    <t>C:\Users\sdewi\Downloads\BC 262 24001040-1201- (38).xlsx</t>
  </si>
  <si>
    <t>225342/225343</t>
  </si>
  <si>
    <t>239199/239200/239201</t>
  </si>
  <si>
    <t>236649/236648/236645/236647/236646/236650</t>
  </si>
  <si>
    <t>2024-04-24</t>
  </si>
  <si>
    <t>2024-04-26</t>
  </si>
  <si>
    <t>2024-05-02</t>
  </si>
  <si>
    <t>2024-05-03</t>
  </si>
  <si>
    <t>2024-05-28</t>
  </si>
  <si>
    <t>2024-06-13</t>
  </si>
  <si>
    <t>2024-06-25</t>
  </si>
  <si>
    <t>2024-07-04</t>
  </si>
  <si>
    <t>605385</t>
  </si>
  <si>
    <t>608113</t>
  </si>
  <si>
    <t>610596</t>
  </si>
  <si>
    <t>611505</t>
  </si>
  <si>
    <t>606244</t>
  </si>
  <si>
    <t>609603</t>
  </si>
  <si>
    <t>610561</t>
  </si>
  <si>
    <t>606084</t>
  </si>
  <si>
    <t>605695</t>
  </si>
  <si>
    <t>608142</t>
  </si>
  <si>
    <t>610015</t>
  </si>
  <si>
    <t>611524</t>
  </si>
  <si>
    <t>613542</t>
  </si>
  <si>
    <t>00026131560820240424000676</t>
  </si>
  <si>
    <t>00026131560820240528001076</t>
  </si>
  <si>
    <t>00026131560820240625001377</t>
  </si>
  <si>
    <t>254221/271667/239199/239200/239201</t>
  </si>
  <si>
    <t>00026131560820240704001494</t>
  </si>
  <si>
    <t>00026131560820240503000798</t>
  </si>
  <si>
    <t>254224/271666</t>
  </si>
  <si>
    <t>00026131560820240613001256</t>
  </si>
  <si>
    <t>245735/243240/245736</t>
  </si>
  <si>
    <t>254226/271669</t>
  </si>
  <si>
    <t>236741/236740/236742</t>
  </si>
  <si>
    <t>00026131560820240625001361</t>
  </si>
  <si>
    <t>236645/236648/236649</t>
  </si>
  <si>
    <t>236647/236650/236646</t>
  </si>
  <si>
    <t>00026131560820240502000779</t>
  </si>
  <si>
    <t>238380/238382/238381</t>
  </si>
  <si>
    <t xml:space="preserve">CARTON BOX
</t>
  </si>
  <si>
    <t>00026131560820240426000721</t>
  </si>
  <si>
    <t>00026131560820240528001085</t>
  </si>
  <si>
    <t>00026131560820240619001313</t>
  </si>
  <si>
    <t>00026131560820240704001507</t>
  </si>
  <si>
    <t>00026131560820240725001748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</si>
</sst>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10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0" fontId="0" fillId="52" borderId="0" xfId="0" applyFill="1"/>
    <xf numFmtId="49" fontId="0" fillId="52" borderId="0" xfId="0" applyNumberFormat="1" applyFill="1"/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7" sqref="C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196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197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E15" sqref="E15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73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74</v>
      </c>
      <c r="B2" s="93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4" t="s">
        <v>72</v>
      </c>
      <c r="B3" s="94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2" t="s">
        <v>124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8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21775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3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35.009999999999984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12738.57</v>
      </c>
      <c r="E11" s="17"/>
      <c r="F11" s="16"/>
    </row>
    <row r="12" spans="1:7" x14ac:dyDescent="0.25">
      <c r="A12" s="92" t="s">
        <v>125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122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757690.4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9F6BE-94A5-4992-B35B-723851CAF7B7}">
  <dimension ref="A1:Y1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42.42578125" style="11" bestFit="1" customWidth="1"/>
    <col min="4" max="4" width="25.57031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12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5" t="s">
        <v>170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x14ac:dyDescent="0.25">
      <c r="A3">
        <v>1</v>
      </c>
      <c r="B3" s="11" t="s">
        <v>184</v>
      </c>
      <c r="C3" s="11" t="s">
        <v>198</v>
      </c>
      <c r="D3" t="s">
        <v>175</v>
      </c>
      <c r="E3" t="s">
        <v>38</v>
      </c>
      <c r="F3" t="s">
        <v>38</v>
      </c>
      <c r="G3" t="s">
        <v>38</v>
      </c>
      <c r="H3" t="s">
        <v>38</v>
      </c>
      <c r="I3" t="s">
        <v>31</v>
      </c>
      <c r="J3">
        <v>2</v>
      </c>
      <c r="K3" t="s">
        <v>31</v>
      </c>
      <c r="L3">
        <v>3</v>
      </c>
      <c r="M3">
        <v>3.21561423650976E-3</v>
      </c>
      <c r="N3">
        <v>1.18</v>
      </c>
      <c r="O3" t="str">
        <f t="shared" ref="O3:O10" si="0">IF(OR(A3="",A3&lt;1),FALSE,IF(ISNUMBER(A3), IF(INT(A3) = A3, "-", FALSE), FALSE))</f>
        <v>-</v>
      </c>
      <c r="P3" t="str">
        <f t="shared" ref="P3:P10" si="1">IF(B3="",FALSE,"-")</f>
        <v>-</v>
      </c>
      <c r="Q3" t="str">
        <f t="shared" ref="Q3:Q10" si="2">IF(C3="",FALSE,"-")</f>
        <v>-</v>
      </c>
      <c r="R3" t="str">
        <f t="shared" ref="R3:R10" si="3">IF(D3="",FALSE,"-")</f>
        <v>-</v>
      </c>
      <c r="S3" t="str">
        <f>IF(_xlfn.IFNA(VLOOKUP(I3,Set_Ref!$B$6:$B$1048576,1,FALSE),"")&lt;&gt;"","-",FALSE)</f>
        <v>-</v>
      </c>
      <c r="T3" t="str">
        <f t="shared" ref="T3:T10" si="4">IF(OR(J3="",J3&lt;1),FALSE,IF(ISNUMBER(J3),"-",FALSE))</f>
        <v>-</v>
      </c>
      <c r="U3" t="str">
        <f t="shared" ref="U3:U10" si="5">IF(ISTEXT(K3),  "-",FALSE)</f>
        <v>-</v>
      </c>
      <c r="V3" t="str">
        <f t="shared" ref="V3:V10" si="6">IF(OR(L3="",L3&lt;0),FALSE,IF(ISNUMBER(L3),"-",FALSE))</f>
        <v>-</v>
      </c>
      <c r="W3" t="str">
        <f t="shared" ref="W3:W10" si="7">IF(OR(M3="",M3&lt;0),FALSE,IF(ISNUMBER(M3),"-",FALSE))</f>
        <v>-</v>
      </c>
      <c r="X3" t="str">
        <f t="shared" ref="X3:X10" si="8">IF(OR(N3="",N3&lt;0),FALSE,IF(ISNUMBER(N3),"-",FALSE))</f>
        <v>-</v>
      </c>
      <c r="Y3" t="b">
        <f t="shared" ref="Y3:Y10" si="9">IF(COUNTIF($O$3:$X$3, "FALSE") &gt; 0, FALSE, TRUE)</f>
        <v>1</v>
      </c>
    </row>
    <row r="4" spans="1:25" x14ac:dyDescent="0.25">
      <c r="A4">
        <v>2</v>
      </c>
      <c r="B4" s="11" t="s">
        <v>186</v>
      </c>
      <c r="C4" s="11" t="s">
        <v>199</v>
      </c>
      <c r="D4" t="s">
        <v>179</v>
      </c>
      <c r="E4" t="s">
        <v>38</v>
      </c>
      <c r="F4" t="s">
        <v>38</v>
      </c>
      <c r="G4" t="s">
        <v>38</v>
      </c>
      <c r="H4" t="s">
        <v>38</v>
      </c>
      <c r="I4" t="s">
        <v>8</v>
      </c>
      <c r="J4">
        <v>1850</v>
      </c>
      <c r="K4" t="s">
        <v>31</v>
      </c>
      <c r="L4">
        <v>0</v>
      </c>
      <c r="M4">
        <v>2.97444316877153</v>
      </c>
      <c r="N4">
        <v>1082.26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173</v>
      </c>
      <c r="C5" s="11" t="s">
        <v>194</v>
      </c>
      <c r="D5" t="s">
        <v>176</v>
      </c>
      <c r="E5" t="s">
        <v>38</v>
      </c>
      <c r="F5" t="s">
        <v>38</v>
      </c>
      <c r="G5" t="s">
        <v>38</v>
      </c>
      <c r="H5" t="s">
        <v>38</v>
      </c>
      <c r="I5" t="s">
        <v>8</v>
      </c>
      <c r="J5">
        <v>1850</v>
      </c>
      <c r="K5" t="s">
        <v>31</v>
      </c>
      <c r="L5">
        <v>0</v>
      </c>
      <c r="M5">
        <v>2.97444316877153</v>
      </c>
      <c r="N5">
        <v>1082.26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173</v>
      </c>
      <c r="C6" s="11" t="s">
        <v>195</v>
      </c>
      <c r="D6" t="s">
        <v>177</v>
      </c>
      <c r="E6" t="s">
        <v>38</v>
      </c>
      <c r="F6" t="s">
        <v>38</v>
      </c>
      <c r="G6" t="s">
        <v>38</v>
      </c>
      <c r="H6" t="s">
        <v>38</v>
      </c>
      <c r="I6" t="s">
        <v>8</v>
      </c>
      <c r="J6">
        <v>4500</v>
      </c>
      <c r="K6" t="s">
        <v>31</v>
      </c>
      <c r="L6">
        <v>0</v>
      </c>
      <c r="M6">
        <v>7.2351320321469599</v>
      </c>
      <c r="N6">
        <v>2632.53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173</v>
      </c>
      <c r="C7" s="11" t="s">
        <v>200</v>
      </c>
      <c r="D7" t="s">
        <v>174</v>
      </c>
      <c r="E7" t="s">
        <v>38</v>
      </c>
      <c r="F7" t="s">
        <v>38</v>
      </c>
      <c r="G7" t="s">
        <v>38</v>
      </c>
      <c r="H7" t="s">
        <v>38</v>
      </c>
      <c r="I7" t="s">
        <v>8</v>
      </c>
      <c r="J7">
        <v>184</v>
      </c>
      <c r="K7" t="s">
        <v>31</v>
      </c>
      <c r="L7">
        <v>0</v>
      </c>
      <c r="M7">
        <v>0.29583650975889803</v>
      </c>
      <c r="N7">
        <v>107.66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173</v>
      </c>
      <c r="C8" s="11" t="s">
        <v>185</v>
      </c>
      <c r="D8" t="s">
        <v>178</v>
      </c>
      <c r="E8" t="s">
        <v>38</v>
      </c>
      <c r="F8" t="s">
        <v>38</v>
      </c>
      <c r="G8" t="s">
        <v>38</v>
      </c>
      <c r="H8" t="s">
        <v>38</v>
      </c>
      <c r="I8" t="s">
        <v>8</v>
      </c>
      <c r="J8">
        <v>738</v>
      </c>
      <c r="K8" t="s">
        <v>31</v>
      </c>
      <c r="L8">
        <v>0</v>
      </c>
      <c r="M8">
        <v>1.1865616532720999</v>
      </c>
      <c r="N8">
        <v>431.74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187</v>
      </c>
      <c r="C9" s="11" t="s">
        <v>190</v>
      </c>
      <c r="D9" t="s">
        <v>180</v>
      </c>
      <c r="E9" t="s">
        <v>38</v>
      </c>
      <c r="F9" t="s">
        <v>38</v>
      </c>
      <c r="G9" t="s">
        <v>38</v>
      </c>
      <c r="H9" t="s">
        <v>38</v>
      </c>
      <c r="I9" t="s">
        <v>8</v>
      </c>
      <c r="J9">
        <v>1</v>
      </c>
      <c r="K9" t="s">
        <v>31</v>
      </c>
      <c r="L9">
        <v>0</v>
      </c>
      <c r="M9">
        <v>1.60780711825488E-3</v>
      </c>
      <c r="N9">
        <v>0.59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188</v>
      </c>
      <c r="C10" s="11" t="s">
        <v>189</v>
      </c>
      <c r="D10" t="s">
        <v>181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12650</v>
      </c>
      <c r="K10" t="s">
        <v>31</v>
      </c>
      <c r="L10">
        <v>0</v>
      </c>
      <c r="M10">
        <v>20.3387600459242</v>
      </c>
      <c r="N10">
        <v>7400.35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3B4-2406-497D-B918-378779A3D0C0}">
  <dimension ref="A1:AE124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124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91</v>
      </c>
      <c r="Q1" s="90"/>
      <c r="R1" s="90"/>
      <c r="S1" s="91"/>
      <c r="T1" s="95" t="s">
        <v>170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55" t="s">
        <v>145</v>
      </c>
      <c r="E3" s="11" t="s">
        <v>209</v>
      </c>
      <c r="F3" s="11" t="s">
        <v>201</v>
      </c>
      <c r="G3" s="11" t="s">
        <v>222</v>
      </c>
      <c r="H3">
        <v>2</v>
      </c>
      <c r="I3" s="11" t="s">
        <v>184</v>
      </c>
      <c r="J3" s="11" t="s">
        <v>198</v>
      </c>
      <c r="K3" s="11" t="s">
        <v>175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31</v>
      </c>
      <c r="Q3">
        <v>38.700000000000003</v>
      </c>
      <c r="R3">
        <v>0</v>
      </c>
      <c r="S3">
        <v>0</v>
      </c>
      <c r="T3" t="str">
        <f t="shared" ref="T3:T34" si="0">IF(OR(A3="",A3&lt;1),FALSE,IF(ISNUMBER(A3), IF(INT(A3) = A3, "-", FALSE), FALSE))</f>
        <v>-</v>
      </c>
      <c r="U3" t="str">
        <f t="shared" ref="U3:U34" si="1">IF(OR(B3="",A3&lt;1),FALSE,IF(ISNUMBER(A3), IF(INT(A3) = A3, "-", FALSE), FALSE))</f>
        <v>-</v>
      </c>
      <c r="V3" t="str">
        <f t="shared" ref="V3:V34" si="2">IF(OR(C3="",C3="PilihSalasatu"),FALSE,"-")</f>
        <v>-</v>
      </c>
      <c r="W3" t="str">
        <f t="shared" ref="W3:W34" si="3">IF(D3="",FALSE,"-")</f>
        <v>-</v>
      </c>
      <c r="X3" t="str">
        <f t="shared" ref="X3:X34" si="4">IF(E3="",FALSE,"-")</f>
        <v>-</v>
      </c>
      <c r="Y3" t="str">
        <f t="shared" ref="Y3:Y34" si="5">IF(F3="",FALSE,"-")</f>
        <v>-</v>
      </c>
      <c r="Z3" t="str">
        <f t="shared" ref="Z3:Z34" si="6">IF(I3="",FALSE,"-")</f>
        <v>-</v>
      </c>
      <c r="AA3" t="str">
        <f t="shared" ref="AA3:AA34" si="7">IF(J3="",FALSE,"-")</f>
        <v>-</v>
      </c>
      <c r="AB3" t="str">
        <f>IF(_xlfn.IFNA(VLOOKUP(P3,Set_Ref!$B$6:$B$1048576,1,FALSE),"")&lt;&gt;"","-",FALSE)</f>
        <v>-</v>
      </c>
      <c r="AC3" t="str">
        <f t="shared" ref="AC3:AC34" si="8">IF(OR(Q3="",Q3&lt;1),FALSE,IF(ISNUMBER(Q3),"-",FALSE))</f>
        <v>-</v>
      </c>
      <c r="AD3" t="str">
        <f t="shared" ref="AD3:AD34" si="9">IF(OR(G3="",H3="",I3="",K3=""),FALSE,"-")</f>
        <v>-</v>
      </c>
      <c r="AE3" t="b">
        <f t="shared" ref="AE3:AE3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145</v>
      </c>
      <c r="E4" s="11" t="s">
        <v>209</v>
      </c>
      <c r="F4" s="11" t="s">
        <v>201</v>
      </c>
      <c r="G4" s="11" t="s">
        <v>222</v>
      </c>
      <c r="H4">
        <v>2</v>
      </c>
      <c r="I4" s="11" t="s">
        <v>184</v>
      </c>
      <c r="J4" s="11" t="s">
        <v>198</v>
      </c>
      <c r="K4" s="11" t="s">
        <v>175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31</v>
      </c>
      <c r="Q4">
        <v>39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145</v>
      </c>
      <c r="E5" s="11" t="s">
        <v>210</v>
      </c>
      <c r="F5" s="11" t="s">
        <v>205</v>
      </c>
      <c r="G5" s="11" t="s">
        <v>223</v>
      </c>
      <c r="H5">
        <v>1</v>
      </c>
      <c r="I5" s="11" t="s">
        <v>184</v>
      </c>
      <c r="J5" s="11" t="s">
        <v>198</v>
      </c>
      <c r="K5" s="11" t="s">
        <v>175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31</v>
      </c>
      <c r="Q5">
        <v>14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145</v>
      </c>
      <c r="E6" s="11" t="s">
        <v>210</v>
      </c>
      <c r="F6" s="11" t="s">
        <v>205</v>
      </c>
      <c r="G6" s="11" t="s">
        <v>223</v>
      </c>
      <c r="H6">
        <v>1</v>
      </c>
      <c r="I6" s="11" t="s">
        <v>184</v>
      </c>
      <c r="J6" s="11" t="s">
        <v>198</v>
      </c>
      <c r="K6" s="11" t="s">
        <v>175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31</v>
      </c>
      <c r="Q6">
        <v>13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s="99" customFormat="1" x14ac:dyDescent="0.25">
      <c r="A7">
        <v>1</v>
      </c>
      <c r="B7">
        <v>5</v>
      </c>
      <c r="C7">
        <v>261</v>
      </c>
      <c r="D7" s="100" t="s">
        <v>145</v>
      </c>
      <c r="E7" s="100" t="s">
        <v>211</v>
      </c>
      <c r="F7" s="100" t="s">
        <v>207</v>
      </c>
      <c r="G7" s="100" t="s">
        <v>224</v>
      </c>
      <c r="H7">
        <v>2</v>
      </c>
      <c r="I7" s="100" t="s">
        <v>184</v>
      </c>
      <c r="J7" s="100" t="s">
        <v>193</v>
      </c>
      <c r="K7" s="100" t="s">
        <v>175</v>
      </c>
      <c r="L7" s="100" t="s">
        <v>38</v>
      </c>
      <c r="M7" s="100" t="s">
        <v>38</v>
      </c>
      <c r="N7" s="100" t="s">
        <v>38</v>
      </c>
      <c r="O7" s="100" t="s">
        <v>38</v>
      </c>
      <c r="P7" t="s">
        <v>31</v>
      </c>
      <c r="Q7">
        <v>1</v>
      </c>
      <c r="R7">
        <v>0</v>
      </c>
      <c r="S7">
        <v>0</v>
      </c>
      <c r="T7" s="99" t="str">
        <f t="shared" si="0"/>
        <v>-</v>
      </c>
      <c r="U7" s="99" t="str">
        <f t="shared" si="1"/>
        <v>-</v>
      </c>
      <c r="V7" s="99" t="str">
        <f t="shared" si="2"/>
        <v>-</v>
      </c>
      <c r="W7" s="99" t="str">
        <f t="shared" si="3"/>
        <v>-</v>
      </c>
      <c r="X7" s="99" t="str">
        <f t="shared" si="4"/>
        <v>-</v>
      </c>
      <c r="Y7" s="99" t="str">
        <f t="shared" si="5"/>
        <v>-</v>
      </c>
      <c r="Z7" s="99" t="str">
        <f t="shared" si="6"/>
        <v>-</v>
      </c>
      <c r="AA7" s="99" t="str">
        <f t="shared" si="7"/>
        <v>-</v>
      </c>
      <c r="AB7" s="99" t="str">
        <f>IF(_xlfn.IFNA(VLOOKUP(P7,Set_Ref!$B$6:$B$1048576,1,FALSE),"")&lt;&gt;"","-",FALSE)</f>
        <v>-</v>
      </c>
      <c r="AC7" s="99" t="str">
        <f t="shared" si="8"/>
        <v>-</v>
      </c>
      <c r="AD7" s="99" t="str">
        <f t="shared" si="9"/>
        <v>-</v>
      </c>
      <c r="AE7" s="99" t="b">
        <f t="shared" si="10"/>
        <v>1</v>
      </c>
    </row>
    <row r="8" spans="1:31" s="99" customFormat="1" x14ac:dyDescent="0.25">
      <c r="A8">
        <v>1</v>
      </c>
      <c r="B8">
        <v>6</v>
      </c>
      <c r="C8">
        <v>261</v>
      </c>
      <c r="D8" s="100" t="s">
        <v>145</v>
      </c>
      <c r="E8" s="100" t="s">
        <v>211</v>
      </c>
      <c r="F8" s="100" t="s">
        <v>207</v>
      </c>
      <c r="G8" s="100" t="s">
        <v>224</v>
      </c>
      <c r="H8">
        <v>2</v>
      </c>
      <c r="I8" s="100" t="s">
        <v>184</v>
      </c>
      <c r="J8" s="100" t="s">
        <v>193</v>
      </c>
      <c r="K8" s="100" t="s">
        <v>175</v>
      </c>
      <c r="L8" s="100" t="s">
        <v>38</v>
      </c>
      <c r="M8" s="100" t="s">
        <v>38</v>
      </c>
      <c r="N8" s="100" t="s">
        <v>38</v>
      </c>
      <c r="O8" s="100" t="s">
        <v>38</v>
      </c>
      <c r="P8" t="s">
        <v>31</v>
      </c>
      <c r="Q8">
        <v>1</v>
      </c>
      <c r="R8">
        <v>0</v>
      </c>
      <c r="S8">
        <v>0</v>
      </c>
      <c r="T8" s="99" t="str">
        <f t="shared" si="0"/>
        <v>-</v>
      </c>
      <c r="U8" s="99" t="str">
        <f t="shared" si="1"/>
        <v>-</v>
      </c>
      <c r="V8" s="99" t="str">
        <f t="shared" si="2"/>
        <v>-</v>
      </c>
      <c r="W8" s="99" t="str">
        <f t="shared" si="3"/>
        <v>-</v>
      </c>
      <c r="X8" s="99" t="str">
        <f t="shared" si="4"/>
        <v>-</v>
      </c>
      <c r="Y8" s="99" t="str">
        <f t="shared" si="5"/>
        <v>-</v>
      </c>
      <c r="Z8" s="99" t="str">
        <f t="shared" si="6"/>
        <v>-</v>
      </c>
      <c r="AA8" s="99" t="str">
        <f t="shared" si="7"/>
        <v>-</v>
      </c>
      <c r="AB8" s="99" t="str">
        <f>IF(_xlfn.IFNA(VLOOKUP(P8,Set_Ref!$B$6:$B$1048576,1,FALSE),"")&lt;&gt;"","-",FALSE)</f>
        <v>-</v>
      </c>
      <c r="AC8" s="99" t="str">
        <f t="shared" si="8"/>
        <v>-</v>
      </c>
      <c r="AD8" s="99" t="str">
        <f t="shared" si="9"/>
        <v>-</v>
      </c>
      <c r="AE8" s="99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11" t="s">
        <v>145</v>
      </c>
      <c r="E9" s="11" t="s">
        <v>209</v>
      </c>
      <c r="F9" s="11" t="s">
        <v>201</v>
      </c>
      <c r="G9" s="11" t="s">
        <v>222</v>
      </c>
      <c r="H9">
        <v>2</v>
      </c>
      <c r="I9" s="11" t="s">
        <v>184</v>
      </c>
      <c r="J9" s="11" t="s">
        <v>198</v>
      </c>
      <c r="K9" s="11" t="s">
        <v>175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31</v>
      </c>
      <c r="Q9">
        <v>38.700000000000003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11" t="s">
        <v>145</v>
      </c>
      <c r="E10" s="11" t="s">
        <v>210</v>
      </c>
      <c r="F10" s="11" t="s">
        <v>205</v>
      </c>
      <c r="G10" s="11" t="s">
        <v>223</v>
      </c>
      <c r="H10">
        <v>1</v>
      </c>
      <c r="I10" s="11" t="s">
        <v>184</v>
      </c>
      <c r="J10" s="11" t="s">
        <v>198</v>
      </c>
      <c r="K10" s="11" t="s">
        <v>175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31</v>
      </c>
      <c r="Q10">
        <v>14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s="99" customFormat="1" x14ac:dyDescent="0.25">
      <c r="A11">
        <v>1</v>
      </c>
      <c r="B11">
        <v>9</v>
      </c>
      <c r="C11">
        <v>261</v>
      </c>
      <c r="D11" s="100" t="s">
        <v>145</v>
      </c>
      <c r="E11" s="100" t="s">
        <v>211</v>
      </c>
      <c r="F11" s="100" t="s">
        <v>207</v>
      </c>
      <c r="G11" s="100" t="s">
        <v>224</v>
      </c>
      <c r="H11">
        <v>2</v>
      </c>
      <c r="I11" s="100" t="s">
        <v>184</v>
      </c>
      <c r="J11" s="100" t="s">
        <v>193</v>
      </c>
      <c r="K11" s="100" t="s">
        <v>175</v>
      </c>
      <c r="L11" s="100" t="s">
        <v>38</v>
      </c>
      <c r="M11" s="100" t="s">
        <v>38</v>
      </c>
      <c r="N11" s="100" t="s">
        <v>38</v>
      </c>
      <c r="O11" s="100" t="s">
        <v>38</v>
      </c>
      <c r="P11" t="s">
        <v>31</v>
      </c>
      <c r="Q11">
        <v>1</v>
      </c>
      <c r="R11">
        <v>0</v>
      </c>
      <c r="S11">
        <v>0</v>
      </c>
      <c r="T11" s="99" t="str">
        <f t="shared" si="0"/>
        <v>-</v>
      </c>
      <c r="U11" s="99" t="str">
        <f t="shared" si="1"/>
        <v>-</v>
      </c>
      <c r="V11" s="99" t="str">
        <f t="shared" si="2"/>
        <v>-</v>
      </c>
      <c r="W11" s="99" t="str">
        <f t="shared" si="3"/>
        <v>-</v>
      </c>
      <c r="X11" s="99" t="str">
        <f t="shared" si="4"/>
        <v>-</v>
      </c>
      <c r="Y11" s="99" t="str">
        <f t="shared" si="5"/>
        <v>-</v>
      </c>
      <c r="Z11" s="99" t="str">
        <f t="shared" si="6"/>
        <v>-</v>
      </c>
      <c r="AA11" s="99" t="str">
        <f t="shared" si="7"/>
        <v>-</v>
      </c>
      <c r="AB11" s="99" t="str">
        <f>IF(_xlfn.IFNA(VLOOKUP(P11,Set_Ref!$B$6:$B$1048576,1,FALSE),"")&lt;&gt;"","-",FALSE)</f>
        <v>-</v>
      </c>
      <c r="AC11" s="99" t="str">
        <f t="shared" si="8"/>
        <v>-</v>
      </c>
      <c r="AD11" s="99" t="str">
        <f t="shared" si="9"/>
        <v>-</v>
      </c>
      <c r="AE11" s="99" t="b">
        <f t="shared" si="10"/>
        <v>1</v>
      </c>
    </row>
    <row r="12" spans="1:31" x14ac:dyDescent="0.25">
      <c r="A12">
        <v>2</v>
      </c>
      <c r="B12">
        <v>1</v>
      </c>
      <c r="C12">
        <v>261</v>
      </c>
      <c r="D12" s="11" t="s">
        <v>145</v>
      </c>
      <c r="E12" s="11" t="s">
        <v>209</v>
      </c>
      <c r="F12" s="11" t="s">
        <v>201</v>
      </c>
      <c r="G12" s="11" t="s">
        <v>222</v>
      </c>
      <c r="H12">
        <v>3</v>
      </c>
      <c r="I12" s="11" t="s">
        <v>186</v>
      </c>
      <c r="J12" s="11" t="s">
        <v>225</v>
      </c>
      <c r="K12" s="11" t="s">
        <v>179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8</v>
      </c>
      <c r="Q12">
        <v>5900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2</v>
      </c>
      <c r="B13">
        <v>2</v>
      </c>
      <c r="C13">
        <v>261</v>
      </c>
      <c r="D13" s="11" t="s">
        <v>145</v>
      </c>
      <c r="E13" s="11" t="s">
        <v>209</v>
      </c>
      <c r="F13" s="11" t="s">
        <v>201</v>
      </c>
      <c r="G13" s="11" t="s">
        <v>222</v>
      </c>
      <c r="H13">
        <v>3</v>
      </c>
      <c r="I13" s="11" t="s">
        <v>186</v>
      </c>
      <c r="J13" s="11" t="s">
        <v>225</v>
      </c>
      <c r="K13" s="11" t="s">
        <v>179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8</v>
      </c>
      <c r="Q13">
        <v>20100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2</v>
      </c>
      <c r="B14">
        <v>3</v>
      </c>
      <c r="C14">
        <v>261</v>
      </c>
      <c r="D14" s="11" t="s">
        <v>145</v>
      </c>
      <c r="E14" s="11" t="s">
        <v>209</v>
      </c>
      <c r="F14" s="11" t="s">
        <v>201</v>
      </c>
      <c r="G14" s="11" t="s">
        <v>222</v>
      </c>
      <c r="H14">
        <v>3</v>
      </c>
      <c r="I14" s="11" t="s">
        <v>186</v>
      </c>
      <c r="J14" s="11" t="s">
        <v>225</v>
      </c>
      <c r="K14" s="11" t="s">
        <v>179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8</v>
      </c>
      <c r="Q14">
        <v>22692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2</v>
      </c>
      <c r="B15">
        <v>4</v>
      </c>
      <c r="C15">
        <v>261</v>
      </c>
      <c r="D15" s="11" t="s">
        <v>145</v>
      </c>
      <c r="E15" s="11" t="s">
        <v>209</v>
      </c>
      <c r="F15" s="11" t="s">
        <v>201</v>
      </c>
      <c r="G15" s="11" t="s">
        <v>222</v>
      </c>
      <c r="H15">
        <v>3</v>
      </c>
      <c r="I15" s="11" t="s">
        <v>186</v>
      </c>
      <c r="J15" s="11" t="s">
        <v>225</v>
      </c>
      <c r="K15" s="11" t="s">
        <v>179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8</v>
      </c>
      <c r="Q15">
        <v>24058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2</v>
      </c>
      <c r="B16">
        <v>5</v>
      </c>
      <c r="C16">
        <v>261</v>
      </c>
      <c r="D16" s="11" t="s">
        <v>145</v>
      </c>
      <c r="E16" s="11" t="s">
        <v>209</v>
      </c>
      <c r="F16" s="11" t="s">
        <v>201</v>
      </c>
      <c r="G16" s="11" t="s">
        <v>222</v>
      </c>
      <c r="H16">
        <v>3</v>
      </c>
      <c r="I16" s="11" t="s">
        <v>186</v>
      </c>
      <c r="J16" s="11" t="s">
        <v>225</v>
      </c>
      <c r="K16" s="11" t="s">
        <v>179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8</v>
      </c>
      <c r="Q16">
        <v>16800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2</v>
      </c>
      <c r="B17">
        <v>6</v>
      </c>
      <c r="C17">
        <v>261</v>
      </c>
      <c r="D17" s="11" t="s">
        <v>145</v>
      </c>
      <c r="E17" s="11" t="s">
        <v>210</v>
      </c>
      <c r="F17" s="11" t="s">
        <v>205</v>
      </c>
      <c r="G17" s="11" t="s">
        <v>223</v>
      </c>
      <c r="H17">
        <v>2</v>
      </c>
      <c r="I17" s="11" t="s">
        <v>186</v>
      </c>
      <c r="J17" s="11" t="s">
        <v>199</v>
      </c>
      <c r="K17" s="11" t="s">
        <v>179</v>
      </c>
      <c r="L17" s="11" t="s">
        <v>38</v>
      </c>
      <c r="M17" s="11" t="s">
        <v>38</v>
      </c>
      <c r="N17" s="11" t="s">
        <v>38</v>
      </c>
      <c r="O17" s="11" t="s">
        <v>38</v>
      </c>
      <c r="P17" t="s">
        <v>8</v>
      </c>
      <c r="Q17">
        <v>12000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2</v>
      </c>
      <c r="B18">
        <v>7</v>
      </c>
      <c r="C18">
        <v>261</v>
      </c>
      <c r="D18" s="11" t="s">
        <v>145</v>
      </c>
      <c r="E18" s="11" t="s">
        <v>210</v>
      </c>
      <c r="F18" s="11" t="s">
        <v>205</v>
      </c>
      <c r="G18" s="11" t="s">
        <v>223</v>
      </c>
      <c r="H18">
        <v>2</v>
      </c>
      <c r="I18" s="11" t="s">
        <v>186</v>
      </c>
      <c r="J18" s="11" t="s">
        <v>199</v>
      </c>
      <c r="K18" s="11" t="s">
        <v>179</v>
      </c>
      <c r="L18" s="11" t="s">
        <v>38</v>
      </c>
      <c r="M18" s="11" t="s">
        <v>38</v>
      </c>
      <c r="N18" s="11" t="s">
        <v>38</v>
      </c>
      <c r="O18" s="11" t="s">
        <v>38</v>
      </c>
      <c r="P18" t="s">
        <v>8</v>
      </c>
      <c r="Q18">
        <v>12000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2</v>
      </c>
      <c r="B19">
        <v>8</v>
      </c>
      <c r="C19">
        <v>261</v>
      </c>
      <c r="D19" s="11" t="s">
        <v>145</v>
      </c>
      <c r="E19" s="11" t="s">
        <v>210</v>
      </c>
      <c r="F19" s="11" t="s">
        <v>205</v>
      </c>
      <c r="G19" s="11" t="s">
        <v>223</v>
      </c>
      <c r="H19">
        <v>2</v>
      </c>
      <c r="I19" s="11" t="s">
        <v>186</v>
      </c>
      <c r="J19" s="11" t="s">
        <v>199</v>
      </c>
      <c r="K19" s="11" t="s">
        <v>179</v>
      </c>
      <c r="L19" s="11" t="s">
        <v>38</v>
      </c>
      <c r="M19" s="11" t="s">
        <v>38</v>
      </c>
      <c r="N19" s="11" t="s">
        <v>38</v>
      </c>
      <c r="O19" s="11" t="s">
        <v>38</v>
      </c>
      <c r="P19" t="s">
        <v>8</v>
      </c>
      <c r="Q19">
        <v>9000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2</v>
      </c>
      <c r="B20">
        <v>9</v>
      </c>
      <c r="C20">
        <v>261</v>
      </c>
      <c r="D20" s="11" t="s">
        <v>145</v>
      </c>
      <c r="E20" s="11" t="s">
        <v>212</v>
      </c>
      <c r="F20" s="11" t="s">
        <v>208</v>
      </c>
      <c r="G20" s="11" t="s">
        <v>226</v>
      </c>
      <c r="H20">
        <v>3</v>
      </c>
      <c r="I20" s="11" t="s">
        <v>186</v>
      </c>
      <c r="J20" s="11" t="s">
        <v>199</v>
      </c>
      <c r="K20" s="11" t="s">
        <v>179</v>
      </c>
      <c r="L20" s="11" t="s">
        <v>38</v>
      </c>
      <c r="M20" s="11" t="s">
        <v>38</v>
      </c>
      <c r="N20" s="11" t="s">
        <v>38</v>
      </c>
      <c r="O20" s="11" t="s">
        <v>38</v>
      </c>
      <c r="P20" t="s">
        <v>8</v>
      </c>
      <c r="Q20">
        <v>636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2</v>
      </c>
      <c r="B21">
        <v>10</v>
      </c>
      <c r="C21">
        <v>261</v>
      </c>
      <c r="D21" s="11" t="s">
        <v>145</v>
      </c>
      <c r="E21" s="11" t="s">
        <v>212</v>
      </c>
      <c r="F21" s="11" t="s">
        <v>208</v>
      </c>
      <c r="G21" s="11" t="s">
        <v>226</v>
      </c>
      <c r="H21">
        <v>3</v>
      </c>
      <c r="I21" s="11" t="s">
        <v>186</v>
      </c>
      <c r="J21" s="11" t="s">
        <v>199</v>
      </c>
      <c r="K21" s="11" t="s">
        <v>179</v>
      </c>
      <c r="L21" s="11" t="s">
        <v>38</v>
      </c>
      <c r="M21" s="11" t="s">
        <v>38</v>
      </c>
      <c r="N21" s="11" t="s">
        <v>38</v>
      </c>
      <c r="O21" s="11" t="s">
        <v>38</v>
      </c>
      <c r="P21" t="s">
        <v>8</v>
      </c>
      <c r="Q21">
        <v>689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2</v>
      </c>
      <c r="B22">
        <v>11</v>
      </c>
      <c r="C22">
        <v>261</v>
      </c>
      <c r="D22" s="11" t="s">
        <v>145</v>
      </c>
      <c r="E22" s="11" t="s">
        <v>212</v>
      </c>
      <c r="F22" s="11" t="s">
        <v>208</v>
      </c>
      <c r="G22" s="11" t="s">
        <v>226</v>
      </c>
      <c r="H22">
        <v>3</v>
      </c>
      <c r="I22" s="11" t="s">
        <v>186</v>
      </c>
      <c r="J22" s="11" t="s">
        <v>199</v>
      </c>
      <c r="K22" s="11" t="s">
        <v>179</v>
      </c>
      <c r="L22" s="11" t="s">
        <v>38</v>
      </c>
      <c r="M22" s="11" t="s">
        <v>38</v>
      </c>
      <c r="N22" s="11" t="s">
        <v>38</v>
      </c>
      <c r="O22" s="11" t="s">
        <v>38</v>
      </c>
      <c r="P22" t="s">
        <v>8</v>
      </c>
      <c r="Q22">
        <v>525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2</v>
      </c>
      <c r="B23">
        <v>12</v>
      </c>
      <c r="C23">
        <v>261</v>
      </c>
      <c r="D23" s="11" t="s">
        <v>145</v>
      </c>
      <c r="E23" s="11" t="s">
        <v>209</v>
      </c>
      <c r="F23" s="11" t="s">
        <v>201</v>
      </c>
      <c r="G23" s="11" t="s">
        <v>222</v>
      </c>
      <c r="H23">
        <v>3</v>
      </c>
      <c r="I23" s="11" t="s">
        <v>186</v>
      </c>
      <c r="J23" s="11" t="s">
        <v>225</v>
      </c>
      <c r="K23" s="11" t="s">
        <v>179</v>
      </c>
      <c r="L23" s="11" t="s">
        <v>38</v>
      </c>
      <c r="M23" s="11" t="s">
        <v>38</v>
      </c>
      <c r="N23" s="11" t="s">
        <v>38</v>
      </c>
      <c r="O23" s="11" t="s">
        <v>38</v>
      </c>
      <c r="P23" t="s">
        <v>8</v>
      </c>
      <c r="Q23">
        <v>22692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2</v>
      </c>
      <c r="B24">
        <v>13</v>
      </c>
      <c r="C24">
        <v>261</v>
      </c>
      <c r="D24" s="11" t="s">
        <v>145</v>
      </c>
      <c r="E24" s="11" t="s">
        <v>209</v>
      </c>
      <c r="F24" s="11" t="s">
        <v>201</v>
      </c>
      <c r="G24" s="11" t="s">
        <v>222</v>
      </c>
      <c r="H24">
        <v>3</v>
      </c>
      <c r="I24" s="11" t="s">
        <v>186</v>
      </c>
      <c r="J24" s="11" t="s">
        <v>225</v>
      </c>
      <c r="K24" s="11" t="s">
        <v>179</v>
      </c>
      <c r="L24" s="11" t="s">
        <v>38</v>
      </c>
      <c r="M24" s="11" t="s">
        <v>38</v>
      </c>
      <c r="N24" s="11" t="s">
        <v>38</v>
      </c>
      <c r="O24" s="11" t="s">
        <v>38</v>
      </c>
      <c r="P24" t="s">
        <v>8</v>
      </c>
      <c r="Q24">
        <v>24058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2</v>
      </c>
      <c r="B25">
        <v>14</v>
      </c>
      <c r="C25">
        <v>261</v>
      </c>
      <c r="D25" s="11" t="s">
        <v>145</v>
      </c>
      <c r="E25" s="11" t="s">
        <v>210</v>
      </c>
      <c r="F25" s="11" t="s">
        <v>205</v>
      </c>
      <c r="G25" s="11" t="s">
        <v>223</v>
      </c>
      <c r="H25">
        <v>2</v>
      </c>
      <c r="I25" s="11" t="s">
        <v>186</v>
      </c>
      <c r="J25" s="11" t="s">
        <v>199</v>
      </c>
      <c r="K25" s="11" t="s">
        <v>179</v>
      </c>
      <c r="L25" s="11" t="s">
        <v>38</v>
      </c>
      <c r="M25" s="11" t="s">
        <v>38</v>
      </c>
      <c r="N25" s="11" t="s">
        <v>38</v>
      </c>
      <c r="O25" s="11" t="s">
        <v>38</v>
      </c>
      <c r="P25" t="s">
        <v>8</v>
      </c>
      <c r="Q25">
        <v>12000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2</v>
      </c>
      <c r="B26">
        <v>15</v>
      </c>
      <c r="C26">
        <v>261</v>
      </c>
      <c r="D26" s="11" t="s">
        <v>145</v>
      </c>
      <c r="E26" s="11" t="s">
        <v>210</v>
      </c>
      <c r="F26" s="11" t="s">
        <v>205</v>
      </c>
      <c r="G26" s="11" t="s">
        <v>223</v>
      </c>
      <c r="H26">
        <v>2</v>
      </c>
      <c r="I26" s="11" t="s">
        <v>186</v>
      </c>
      <c r="J26" s="11" t="s">
        <v>199</v>
      </c>
      <c r="K26" s="11" t="s">
        <v>179</v>
      </c>
      <c r="L26" s="11" t="s">
        <v>38</v>
      </c>
      <c r="M26" s="11" t="s">
        <v>38</v>
      </c>
      <c r="N26" s="11" t="s">
        <v>38</v>
      </c>
      <c r="O26" s="11" t="s">
        <v>38</v>
      </c>
      <c r="P26" t="s">
        <v>8</v>
      </c>
      <c r="Q26">
        <v>12000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2</v>
      </c>
      <c r="B27">
        <v>16</v>
      </c>
      <c r="C27">
        <v>261</v>
      </c>
      <c r="D27" s="11" t="s">
        <v>145</v>
      </c>
      <c r="E27" s="11" t="s">
        <v>212</v>
      </c>
      <c r="F27" s="11" t="s">
        <v>208</v>
      </c>
      <c r="G27" s="11" t="s">
        <v>226</v>
      </c>
      <c r="H27">
        <v>3</v>
      </c>
      <c r="I27" s="11" t="s">
        <v>186</v>
      </c>
      <c r="J27" s="11" t="s">
        <v>199</v>
      </c>
      <c r="K27" s="11" t="s">
        <v>179</v>
      </c>
      <c r="L27" s="11" t="s">
        <v>38</v>
      </c>
      <c r="M27" s="11" t="s">
        <v>38</v>
      </c>
      <c r="N27" s="11" t="s">
        <v>38</v>
      </c>
      <c r="O27" s="11" t="s">
        <v>38</v>
      </c>
      <c r="P27" t="s">
        <v>8</v>
      </c>
      <c r="Q27">
        <v>636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2</v>
      </c>
      <c r="B28">
        <v>17</v>
      </c>
      <c r="C28">
        <v>261</v>
      </c>
      <c r="D28" s="11" t="s">
        <v>145</v>
      </c>
      <c r="E28" s="11" t="s">
        <v>212</v>
      </c>
      <c r="F28" s="11" t="s">
        <v>208</v>
      </c>
      <c r="G28" s="11" t="s">
        <v>226</v>
      </c>
      <c r="H28">
        <v>3</v>
      </c>
      <c r="I28" s="11" t="s">
        <v>186</v>
      </c>
      <c r="J28" s="11" t="s">
        <v>199</v>
      </c>
      <c r="K28" s="11" t="s">
        <v>179</v>
      </c>
      <c r="L28" s="11" t="s">
        <v>38</v>
      </c>
      <c r="M28" s="11" t="s">
        <v>38</v>
      </c>
      <c r="N28" s="11" t="s">
        <v>38</v>
      </c>
      <c r="O28" s="11" t="s">
        <v>38</v>
      </c>
      <c r="P28" t="s">
        <v>8</v>
      </c>
      <c r="Q28">
        <v>689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3</v>
      </c>
      <c r="B29">
        <v>1</v>
      </c>
      <c r="C29">
        <v>261</v>
      </c>
      <c r="D29" s="11" t="s">
        <v>145</v>
      </c>
      <c r="E29" s="11" t="s">
        <v>213</v>
      </c>
      <c r="F29" s="11" t="s">
        <v>204</v>
      </c>
      <c r="G29" s="11" t="s">
        <v>227</v>
      </c>
      <c r="H29">
        <v>4</v>
      </c>
      <c r="I29" s="11" t="s">
        <v>173</v>
      </c>
      <c r="J29" s="11" t="s">
        <v>228</v>
      </c>
      <c r="K29" s="11" t="s">
        <v>176</v>
      </c>
      <c r="L29" s="11" t="s">
        <v>38</v>
      </c>
      <c r="M29" s="11" t="s">
        <v>38</v>
      </c>
      <c r="N29" s="11" t="s">
        <v>38</v>
      </c>
      <c r="O29" s="11" t="s">
        <v>38</v>
      </c>
      <c r="P29" t="s">
        <v>8</v>
      </c>
      <c r="Q29">
        <v>5900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3</v>
      </c>
      <c r="B30">
        <v>2</v>
      </c>
      <c r="C30">
        <v>261</v>
      </c>
      <c r="D30" s="11" t="s">
        <v>145</v>
      </c>
      <c r="E30" s="11" t="s">
        <v>213</v>
      </c>
      <c r="F30" s="11" t="s">
        <v>204</v>
      </c>
      <c r="G30" s="11" t="s">
        <v>227</v>
      </c>
      <c r="H30">
        <v>4</v>
      </c>
      <c r="I30" s="11" t="s">
        <v>173</v>
      </c>
      <c r="J30" s="11" t="s">
        <v>228</v>
      </c>
      <c r="K30" s="11" t="s">
        <v>176</v>
      </c>
      <c r="L30" s="11" t="s">
        <v>38</v>
      </c>
      <c r="M30" s="11" t="s">
        <v>38</v>
      </c>
      <c r="N30" s="11" t="s">
        <v>38</v>
      </c>
      <c r="O30" s="11" t="s">
        <v>38</v>
      </c>
      <c r="P30" t="s">
        <v>8</v>
      </c>
      <c r="Q30">
        <v>20100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3</v>
      </c>
      <c r="B31">
        <v>3</v>
      </c>
      <c r="C31">
        <v>261</v>
      </c>
      <c r="D31" s="11" t="s">
        <v>145</v>
      </c>
      <c r="E31" s="11" t="s">
        <v>210</v>
      </c>
      <c r="F31" s="11" t="s">
        <v>205</v>
      </c>
      <c r="G31" s="11" t="s">
        <v>223</v>
      </c>
      <c r="H31">
        <v>13</v>
      </c>
      <c r="I31" s="11" t="s">
        <v>173</v>
      </c>
      <c r="J31" s="11" t="s">
        <v>194</v>
      </c>
      <c r="K31" s="11" t="s">
        <v>176</v>
      </c>
      <c r="L31" s="11" t="s">
        <v>38</v>
      </c>
      <c r="M31" s="11" t="s">
        <v>38</v>
      </c>
      <c r="N31" s="11" t="s">
        <v>38</v>
      </c>
      <c r="O31" s="11" t="s">
        <v>38</v>
      </c>
      <c r="P31" t="s">
        <v>8</v>
      </c>
      <c r="Q31">
        <v>22692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3</v>
      </c>
      <c r="B32">
        <v>4</v>
      </c>
      <c r="C32">
        <v>261</v>
      </c>
      <c r="D32" s="11" t="s">
        <v>145</v>
      </c>
      <c r="E32" s="11" t="s">
        <v>210</v>
      </c>
      <c r="F32" s="11" t="s">
        <v>205</v>
      </c>
      <c r="G32" s="11" t="s">
        <v>223</v>
      </c>
      <c r="H32">
        <v>13</v>
      </c>
      <c r="I32" s="11" t="s">
        <v>173</v>
      </c>
      <c r="J32" s="11" t="s">
        <v>194</v>
      </c>
      <c r="K32" s="11" t="s">
        <v>176</v>
      </c>
      <c r="L32" s="11" t="s">
        <v>38</v>
      </c>
      <c r="M32" s="11" t="s">
        <v>38</v>
      </c>
      <c r="N32" s="11" t="s">
        <v>38</v>
      </c>
      <c r="O32" s="11" t="s">
        <v>38</v>
      </c>
      <c r="P32" t="s">
        <v>8</v>
      </c>
      <c r="Q32">
        <v>24058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3</v>
      </c>
      <c r="B33">
        <v>5</v>
      </c>
      <c r="C33">
        <v>261</v>
      </c>
      <c r="D33" s="11" t="s">
        <v>145</v>
      </c>
      <c r="E33" s="11" t="s">
        <v>210</v>
      </c>
      <c r="F33" s="11" t="s">
        <v>205</v>
      </c>
      <c r="G33" s="11" t="s">
        <v>223</v>
      </c>
      <c r="H33">
        <v>13</v>
      </c>
      <c r="I33" s="11" t="s">
        <v>173</v>
      </c>
      <c r="J33" s="11" t="s">
        <v>194</v>
      </c>
      <c r="K33" s="11" t="s">
        <v>176</v>
      </c>
      <c r="L33" s="11" t="s">
        <v>38</v>
      </c>
      <c r="M33" s="11" t="s">
        <v>38</v>
      </c>
      <c r="N33" s="11" t="s">
        <v>38</v>
      </c>
      <c r="O33" s="11" t="s">
        <v>38</v>
      </c>
      <c r="P33" t="s">
        <v>8</v>
      </c>
      <c r="Q33">
        <v>16800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3</v>
      </c>
      <c r="B34">
        <v>6</v>
      </c>
      <c r="C34">
        <v>261</v>
      </c>
      <c r="D34" s="11" t="s">
        <v>145</v>
      </c>
      <c r="E34" s="11" t="s">
        <v>214</v>
      </c>
      <c r="F34" s="11" t="s">
        <v>206</v>
      </c>
      <c r="G34" s="11" t="s">
        <v>229</v>
      </c>
      <c r="H34">
        <v>1</v>
      </c>
      <c r="I34" s="11" t="s">
        <v>173</v>
      </c>
      <c r="J34" s="11" t="s">
        <v>194</v>
      </c>
      <c r="K34" s="11" t="s">
        <v>176</v>
      </c>
      <c r="L34" s="11" t="s">
        <v>38</v>
      </c>
      <c r="M34" s="11" t="s">
        <v>38</v>
      </c>
      <c r="N34" s="11" t="s">
        <v>38</v>
      </c>
      <c r="O34" s="11" t="s">
        <v>38</v>
      </c>
      <c r="P34" t="s">
        <v>8</v>
      </c>
      <c r="Q34">
        <v>12000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3</v>
      </c>
      <c r="B35">
        <v>7</v>
      </c>
      <c r="C35">
        <v>261</v>
      </c>
      <c r="D35" s="11" t="s">
        <v>145</v>
      </c>
      <c r="E35" s="11" t="s">
        <v>214</v>
      </c>
      <c r="F35" s="11" t="s">
        <v>206</v>
      </c>
      <c r="G35" s="11" t="s">
        <v>229</v>
      </c>
      <c r="H35">
        <v>1</v>
      </c>
      <c r="I35" s="11" t="s">
        <v>173</v>
      </c>
      <c r="J35" s="11" t="s">
        <v>194</v>
      </c>
      <c r="K35" s="11" t="s">
        <v>176</v>
      </c>
      <c r="L35" s="11" t="s">
        <v>38</v>
      </c>
      <c r="M35" s="11" t="s">
        <v>38</v>
      </c>
      <c r="N35" s="11" t="s">
        <v>38</v>
      </c>
      <c r="O35" s="11" t="s">
        <v>38</v>
      </c>
      <c r="P35" t="s">
        <v>8</v>
      </c>
      <c r="Q35">
        <v>12000</v>
      </c>
      <c r="R35">
        <v>0</v>
      </c>
      <c r="S35">
        <v>0</v>
      </c>
      <c r="T35" t="str">
        <f t="shared" ref="T35:T66" si="11">IF(OR(A35="",A35&lt;1),FALSE,IF(ISNUMBER(A35), IF(INT(A35) = A35, "-", FALSE), FALSE))</f>
        <v>-</v>
      </c>
      <c r="U35" t="str">
        <f t="shared" ref="U35:U66" si="12">IF(OR(B35="",A35&lt;1),FALSE,IF(ISNUMBER(A35), IF(INT(A35) = A35, "-", FALSE), FALSE))</f>
        <v>-</v>
      </c>
      <c r="V35" t="str">
        <f t="shared" ref="V35:V66" si="13">IF(OR(C35="",C35="PilihSalasatu"),FALSE,"-")</f>
        <v>-</v>
      </c>
      <c r="W35" t="str">
        <f t="shared" ref="W35:W66" si="14">IF(D35="",FALSE,"-")</f>
        <v>-</v>
      </c>
      <c r="X35" t="str">
        <f t="shared" ref="X35:X66" si="15">IF(E35="",FALSE,"-")</f>
        <v>-</v>
      </c>
      <c r="Y35" t="str">
        <f t="shared" ref="Y35:Y66" si="16">IF(F35="",FALSE,"-")</f>
        <v>-</v>
      </c>
      <c r="Z35" t="str">
        <f t="shared" ref="Z35:Z66" si="17">IF(I35="",FALSE,"-")</f>
        <v>-</v>
      </c>
      <c r="AA35" t="str">
        <f t="shared" ref="AA35:AA66" si="18">IF(J35="",FALSE,"-")</f>
        <v>-</v>
      </c>
      <c r="AB35" t="str">
        <f>IF(_xlfn.IFNA(VLOOKUP(P35,Set_Ref!$B$6:$B$1048576,1,FALSE),"")&lt;&gt;"","-",FALSE)</f>
        <v>-</v>
      </c>
      <c r="AC35" t="str">
        <f t="shared" ref="AC35:AC66" si="19">IF(OR(Q35="",Q35&lt;1),FALSE,IF(ISNUMBER(Q35),"-",FALSE))</f>
        <v>-</v>
      </c>
      <c r="AD35" t="str">
        <f t="shared" ref="AD35:AD66" si="20">IF(OR(G35="",H35="",I35="",K35=""),FALSE,"-")</f>
        <v>-</v>
      </c>
      <c r="AE35" t="b">
        <f t="shared" ref="AE35:AE66" si="21">IF(COUNTIF(T35:AD35, "FALSE") &gt; 0, FALSE, TRUE)</f>
        <v>1</v>
      </c>
    </row>
    <row r="36" spans="1:31" x14ac:dyDescent="0.25">
      <c r="A36">
        <v>3</v>
      </c>
      <c r="B36">
        <v>8</v>
      </c>
      <c r="C36">
        <v>261</v>
      </c>
      <c r="D36" s="11" t="s">
        <v>145</v>
      </c>
      <c r="E36" s="11" t="s">
        <v>214</v>
      </c>
      <c r="F36" s="11" t="s">
        <v>206</v>
      </c>
      <c r="G36" s="11" t="s">
        <v>229</v>
      </c>
      <c r="H36">
        <v>1</v>
      </c>
      <c r="I36" s="11" t="s">
        <v>173</v>
      </c>
      <c r="J36" s="11" t="s">
        <v>194</v>
      </c>
      <c r="K36" s="11" t="s">
        <v>176</v>
      </c>
      <c r="L36" s="11" t="s">
        <v>38</v>
      </c>
      <c r="M36" s="11" t="s">
        <v>38</v>
      </c>
      <c r="N36" s="11" t="s">
        <v>38</v>
      </c>
      <c r="O36" s="11" t="s">
        <v>38</v>
      </c>
      <c r="P36" t="s">
        <v>8</v>
      </c>
      <c r="Q36">
        <v>9000</v>
      </c>
      <c r="R36">
        <v>0</v>
      </c>
      <c r="S36">
        <v>0</v>
      </c>
      <c r="T36" t="str">
        <f t="shared" si="11"/>
        <v>-</v>
      </c>
      <c r="U36" t="str">
        <f t="shared" si="12"/>
        <v>-</v>
      </c>
      <c r="V36" t="str">
        <f t="shared" si="13"/>
        <v>-</v>
      </c>
      <c r="W36" t="str">
        <f t="shared" si="14"/>
        <v>-</v>
      </c>
      <c r="X36" t="str">
        <f t="shared" si="15"/>
        <v>-</v>
      </c>
      <c r="Y36" t="str">
        <f t="shared" si="16"/>
        <v>-</v>
      </c>
      <c r="Z36" t="str">
        <f t="shared" si="17"/>
        <v>-</v>
      </c>
      <c r="AA36" t="str">
        <f t="shared" si="18"/>
        <v>-</v>
      </c>
      <c r="AB36" t="str">
        <f>IF(_xlfn.IFNA(VLOOKUP(P36,Set_Ref!$B$6:$B$1048576,1,FALSE),"")&lt;&gt;"","-",FALSE)</f>
        <v>-</v>
      </c>
      <c r="AC36" t="str">
        <f t="shared" si="19"/>
        <v>-</v>
      </c>
      <c r="AD36" t="str">
        <f t="shared" si="20"/>
        <v>-</v>
      </c>
      <c r="AE36" t="b">
        <f t="shared" si="21"/>
        <v>1</v>
      </c>
    </row>
    <row r="37" spans="1:31" x14ac:dyDescent="0.25">
      <c r="A37">
        <v>3</v>
      </c>
      <c r="B37">
        <v>9</v>
      </c>
      <c r="C37">
        <v>261</v>
      </c>
      <c r="D37" s="11" t="s">
        <v>145</v>
      </c>
      <c r="E37" s="11" t="s">
        <v>212</v>
      </c>
      <c r="F37" s="11" t="s">
        <v>208</v>
      </c>
      <c r="G37" s="11" t="s">
        <v>226</v>
      </c>
      <c r="H37">
        <v>2</v>
      </c>
      <c r="I37" s="11" t="s">
        <v>173</v>
      </c>
      <c r="J37" s="11" t="s">
        <v>230</v>
      </c>
      <c r="K37" s="11" t="s">
        <v>176</v>
      </c>
      <c r="L37" s="11" t="s">
        <v>38</v>
      </c>
      <c r="M37" s="11" t="s">
        <v>38</v>
      </c>
      <c r="N37" s="11" t="s">
        <v>38</v>
      </c>
      <c r="O37" s="11" t="s">
        <v>38</v>
      </c>
      <c r="P37" t="s">
        <v>8</v>
      </c>
      <c r="Q37">
        <v>689</v>
      </c>
      <c r="R37">
        <v>0</v>
      </c>
      <c r="S37">
        <v>0</v>
      </c>
      <c r="T37" t="str">
        <f t="shared" si="11"/>
        <v>-</v>
      </c>
      <c r="U37" t="str">
        <f t="shared" si="12"/>
        <v>-</v>
      </c>
      <c r="V37" t="str">
        <f t="shared" si="13"/>
        <v>-</v>
      </c>
      <c r="W37" t="str">
        <f t="shared" si="14"/>
        <v>-</v>
      </c>
      <c r="X37" t="str">
        <f t="shared" si="15"/>
        <v>-</v>
      </c>
      <c r="Y37" t="str">
        <f t="shared" si="16"/>
        <v>-</v>
      </c>
      <c r="Z37" t="str">
        <f t="shared" si="17"/>
        <v>-</v>
      </c>
      <c r="AA37" t="str">
        <f t="shared" si="18"/>
        <v>-</v>
      </c>
      <c r="AB37" t="str">
        <f>IF(_xlfn.IFNA(VLOOKUP(P37,Set_Ref!$B$6:$B$1048576,1,FALSE),"")&lt;&gt;"","-",FALSE)</f>
        <v>-</v>
      </c>
      <c r="AC37" t="str">
        <f t="shared" si="19"/>
        <v>-</v>
      </c>
      <c r="AD37" t="str">
        <f t="shared" si="20"/>
        <v>-</v>
      </c>
      <c r="AE37" t="b">
        <f t="shared" si="21"/>
        <v>1</v>
      </c>
    </row>
    <row r="38" spans="1:31" x14ac:dyDescent="0.25">
      <c r="A38">
        <v>3</v>
      </c>
      <c r="B38">
        <v>10</v>
      </c>
      <c r="C38">
        <v>261</v>
      </c>
      <c r="D38" s="11" t="s">
        <v>145</v>
      </c>
      <c r="E38" s="11" t="s">
        <v>212</v>
      </c>
      <c r="F38" s="11" t="s">
        <v>208</v>
      </c>
      <c r="G38" s="11" t="s">
        <v>226</v>
      </c>
      <c r="H38">
        <v>2</v>
      </c>
      <c r="I38" s="11" t="s">
        <v>173</v>
      </c>
      <c r="J38" s="11" t="s">
        <v>230</v>
      </c>
      <c r="K38" s="11" t="s">
        <v>176</v>
      </c>
      <c r="L38" s="11" t="s">
        <v>38</v>
      </c>
      <c r="M38" s="11" t="s">
        <v>38</v>
      </c>
      <c r="N38" s="11" t="s">
        <v>38</v>
      </c>
      <c r="O38" s="11" t="s">
        <v>38</v>
      </c>
      <c r="P38" t="s">
        <v>8</v>
      </c>
      <c r="Q38">
        <v>636</v>
      </c>
      <c r="R38">
        <v>0</v>
      </c>
      <c r="S38">
        <v>0</v>
      </c>
      <c r="T38" t="str">
        <f t="shared" si="11"/>
        <v>-</v>
      </c>
      <c r="U38" t="str">
        <f t="shared" si="12"/>
        <v>-</v>
      </c>
      <c r="V38" t="str">
        <f t="shared" si="13"/>
        <v>-</v>
      </c>
      <c r="W38" t="str">
        <f t="shared" si="14"/>
        <v>-</v>
      </c>
      <c r="X38" t="str">
        <f t="shared" si="15"/>
        <v>-</v>
      </c>
      <c r="Y38" t="str">
        <f t="shared" si="16"/>
        <v>-</v>
      </c>
      <c r="Z38" t="str">
        <f t="shared" si="17"/>
        <v>-</v>
      </c>
      <c r="AA38" t="str">
        <f t="shared" si="18"/>
        <v>-</v>
      </c>
      <c r="AB38" t="str">
        <f>IF(_xlfn.IFNA(VLOOKUP(P38,Set_Ref!$B$6:$B$1048576,1,FALSE),"")&lt;&gt;"","-",FALSE)</f>
        <v>-</v>
      </c>
      <c r="AC38" t="str">
        <f t="shared" si="19"/>
        <v>-</v>
      </c>
      <c r="AD38" t="str">
        <f t="shared" si="20"/>
        <v>-</v>
      </c>
      <c r="AE38" t="b">
        <f t="shared" si="21"/>
        <v>1</v>
      </c>
    </row>
    <row r="39" spans="1:31" x14ac:dyDescent="0.25">
      <c r="A39">
        <v>3</v>
      </c>
      <c r="B39">
        <v>11</v>
      </c>
      <c r="C39">
        <v>261</v>
      </c>
      <c r="D39" s="11" t="s">
        <v>145</v>
      </c>
      <c r="E39" s="11" t="s">
        <v>212</v>
      </c>
      <c r="F39" s="11" t="s">
        <v>208</v>
      </c>
      <c r="G39" s="11" t="s">
        <v>226</v>
      </c>
      <c r="H39">
        <v>2</v>
      </c>
      <c r="I39" s="11" t="s">
        <v>173</v>
      </c>
      <c r="J39" s="11" t="s">
        <v>230</v>
      </c>
      <c r="K39" s="11" t="s">
        <v>176</v>
      </c>
      <c r="L39" s="11" t="s">
        <v>38</v>
      </c>
      <c r="M39" s="11" t="s">
        <v>38</v>
      </c>
      <c r="N39" s="11" t="s">
        <v>38</v>
      </c>
      <c r="O39" s="11" t="s">
        <v>38</v>
      </c>
      <c r="P39" t="s">
        <v>8</v>
      </c>
      <c r="Q39">
        <v>525</v>
      </c>
      <c r="R39">
        <v>0</v>
      </c>
      <c r="S39">
        <v>0</v>
      </c>
      <c r="T39" t="str">
        <f t="shared" si="11"/>
        <v>-</v>
      </c>
      <c r="U39" t="str">
        <f t="shared" si="12"/>
        <v>-</v>
      </c>
      <c r="V39" t="str">
        <f t="shared" si="13"/>
        <v>-</v>
      </c>
      <c r="W39" t="str">
        <f t="shared" si="14"/>
        <v>-</v>
      </c>
      <c r="X39" t="str">
        <f t="shared" si="15"/>
        <v>-</v>
      </c>
      <c r="Y39" t="str">
        <f t="shared" si="16"/>
        <v>-</v>
      </c>
      <c r="Z39" t="str">
        <f t="shared" si="17"/>
        <v>-</v>
      </c>
      <c r="AA39" t="str">
        <f t="shared" si="18"/>
        <v>-</v>
      </c>
      <c r="AB39" t="str">
        <f>IF(_xlfn.IFNA(VLOOKUP(P39,Set_Ref!$B$6:$B$1048576,1,FALSE),"")&lt;&gt;"","-",FALSE)</f>
        <v>-</v>
      </c>
      <c r="AC39" t="str">
        <f t="shared" si="19"/>
        <v>-</v>
      </c>
      <c r="AD39" t="str">
        <f t="shared" si="20"/>
        <v>-</v>
      </c>
      <c r="AE39" t="b">
        <f t="shared" si="21"/>
        <v>1</v>
      </c>
    </row>
    <row r="40" spans="1:31" x14ac:dyDescent="0.25">
      <c r="A40">
        <v>3</v>
      </c>
      <c r="B40">
        <v>12</v>
      </c>
      <c r="C40">
        <v>261</v>
      </c>
      <c r="D40" s="11" t="s">
        <v>145</v>
      </c>
      <c r="E40" s="11" t="s">
        <v>210</v>
      </c>
      <c r="F40" s="11" t="s">
        <v>205</v>
      </c>
      <c r="G40" s="11" t="s">
        <v>223</v>
      </c>
      <c r="H40">
        <v>13</v>
      </c>
      <c r="I40" s="11" t="s">
        <v>173</v>
      </c>
      <c r="J40" s="11" t="s">
        <v>194</v>
      </c>
      <c r="K40" s="11" t="s">
        <v>176</v>
      </c>
      <c r="L40" s="11" t="s">
        <v>38</v>
      </c>
      <c r="M40" s="11" t="s">
        <v>38</v>
      </c>
      <c r="N40" s="11" t="s">
        <v>38</v>
      </c>
      <c r="O40" s="11" t="s">
        <v>38</v>
      </c>
      <c r="P40" t="s">
        <v>8</v>
      </c>
      <c r="Q40">
        <v>22692</v>
      </c>
      <c r="R40">
        <v>0</v>
      </c>
      <c r="S40">
        <v>0</v>
      </c>
      <c r="T40" t="str">
        <f t="shared" si="11"/>
        <v>-</v>
      </c>
      <c r="U40" t="str">
        <f t="shared" si="12"/>
        <v>-</v>
      </c>
      <c r="V40" t="str">
        <f t="shared" si="13"/>
        <v>-</v>
      </c>
      <c r="W40" t="str">
        <f t="shared" si="14"/>
        <v>-</v>
      </c>
      <c r="X40" t="str">
        <f t="shared" si="15"/>
        <v>-</v>
      </c>
      <c r="Y40" t="str">
        <f t="shared" si="16"/>
        <v>-</v>
      </c>
      <c r="Z40" t="str">
        <f t="shared" si="17"/>
        <v>-</v>
      </c>
      <c r="AA40" t="str">
        <f t="shared" si="18"/>
        <v>-</v>
      </c>
      <c r="AB40" t="str">
        <f>IF(_xlfn.IFNA(VLOOKUP(P40,Set_Ref!$B$6:$B$1048576,1,FALSE),"")&lt;&gt;"","-",FALSE)</f>
        <v>-</v>
      </c>
      <c r="AC40" t="str">
        <f t="shared" si="19"/>
        <v>-</v>
      </c>
      <c r="AD40" t="str">
        <f t="shared" si="20"/>
        <v>-</v>
      </c>
      <c r="AE40" t="b">
        <f t="shared" si="21"/>
        <v>1</v>
      </c>
    </row>
    <row r="41" spans="1:31" x14ac:dyDescent="0.25">
      <c r="A41">
        <v>3</v>
      </c>
      <c r="B41">
        <v>13</v>
      </c>
      <c r="C41">
        <v>261</v>
      </c>
      <c r="D41" s="11" t="s">
        <v>145</v>
      </c>
      <c r="E41" s="11" t="s">
        <v>210</v>
      </c>
      <c r="F41" s="11" t="s">
        <v>205</v>
      </c>
      <c r="G41" s="11" t="s">
        <v>223</v>
      </c>
      <c r="H41">
        <v>13</v>
      </c>
      <c r="I41" s="11" t="s">
        <v>173</v>
      </c>
      <c r="J41" s="11" t="s">
        <v>194</v>
      </c>
      <c r="K41" s="11" t="s">
        <v>176</v>
      </c>
      <c r="L41" s="11" t="s">
        <v>38</v>
      </c>
      <c r="M41" s="11" t="s">
        <v>38</v>
      </c>
      <c r="N41" s="11" t="s">
        <v>38</v>
      </c>
      <c r="O41" s="11" t="s">
        <v>38</v>
      </c>
      <c r="P41" t="s">
        <v>8</v>
      </c>
      <c r="Q41">
        <v>24058</v>
      </c>
      <c r="R41">
        <v>0</v>
      </c>
      <c r="S41">
        <v>0</v>
      </c>
      <c r="T41" t="str">
        <f t="shared" si="11"/>
        <v>-</v>
      </c>
      <c r="U41" t="str">
        <f t="shared" si="12"/>
        <v>-</v>
      </c>
      <c r="V41" t="str">
        <f t="shared" si="13"/>
        <v>-</v>
      </c>
      <c r="W41" t="str">
        <f t="shared" si="14"/>
        <v>-</v>
      </c>
      <c r="X41" t="str">
        <f t="shared" si="15"/>
        <v>-</v>
      </c>
      <c r="Y41" t="str">
        <f t="shared" si="16"/>
        <v>-</v>
      </c>
      <c r="Z41" t="str">
        <f t="shared" si="17"/>
        <v>-</v>
      </c>
      <c r="AA41" t="str">
        <f t="shared" si="18"/>
        <v>-</v>
      </c>
      <c r="AB41" t="str">
        <f>IF(_xlfn.IFNA(VLOOKUP(P41,Set_Ref!$B$6:$B$1048576,1,FALSE),"")&lt;&gt;"","-",FALSE)</f>
        <v>-</v>
      </c>
      <c r="AC41" t="str">
        <f t="shared" si="19"/>
        <v>-</v>
      </c>
      <c r="AD41" t="str">
        <f t="shared" si="20"/>
        <v>-</v>
      </c>
      <c r="AE41" t="b">
        <f t="shared" si="21"/>
        <v>1</v>
      </c>
    </row>
    <row r="42" spans="1:31" x14ac:dyDescent="0.25">
      <c r="A42">
        <v>3</v>
      </c>
      <c r="B42">
        <v>14</v>
      </c>
      <c r="C42">
        <v>261</v>
      </c>
      <c r="D42" s="11" t="s">
        <v>145</v>
      </c>
      <c r="E42" s="11" t="s">
        <v>214</v>
      </c>
      <c r="F42" s="11" t="s">
        <v>206</v>
      </c>
      <c r="G42" s="11" t="s">
        <v>229</v>
      </c>
      <c r="H42">
        <v>1</v>
      </c>
      <c r="I42" s="11" t="s">
        <v>173</v>
      </c>
      <c r="J42" s="11" t="s">
        <v>194</v>
      </c>
      <c r="K42" s="11" t="s">
        <v>176</v>
      </c>
      <c r="L42" s="11" t="s">
        <v>38</v>
      </c>
      <c r="M42" s="11" t="s">
        <v>38</v>
      </c>
      <c r="N42" s="11" t="s">
        <v>38</v>
      </c>
      <c r="O42" s="11" t="s">
        <v>38</v>
      </c>
      <c r="P42" t="s">
        <v>8</v>
      </c>
      <c r="Q42">
        <v>12000</v>
      </c>
      <c r="R42">
        <v>0</v>
      </c>
      <c r="S42">
        <v>0</v>
      </c>
      <c r="T42" t="str">
        <f t="shared" si="11"/>
        <v>-</v>
      </c>
      <c r="U42" t="str">
        <f t="shared" si="12"/>
        <v>-</v>
      </c>
      <c r="V42" t="str">
        <f t="shared" si="13"/>
        <v>-</v>
      </c>
      <c r="W42" t="str">
        <f t="shared" si="14"/>
        <v>-</v>
      </c>
      <c r="X42" t="str">
        <f t="shared" si="15"/>
        <v>-</v>
      </c>
      <c r="Y42" t="str">
        <f t="shared" si="16"/>
        <v>-</v>
      </c>
      <c r="Z42" t="str">
        <f t="shared" si="17"/>
        <v>-</v>
      </c>
      <c r="AA42" t="str">
        <f t="shared" si="18"/>
        <v>-</v>
      </c>
      <c r="AB42" t="str">
        <f>IF(_xlfn.IFNA(VLOOKUP(P42,Set_Ref!$B$6:$B$1048576,1,FALSE),"")&lt;&gt;"","-",FALSE)</f>
        <v>-</v>
      </c>
      <c r="AC42" t="str">
        <f t="shared" si="19"/>
        <v>-</v>
      </c>
      <c r="AD42" t="str">
        <f t="shared" si="20"/>
        <v>-</v>
      </c>
      <c r="AE42" t="b">
        <f t="shared" si="21"/>
        <v>1</v>
      </c>
    </row>
    <row r="43" spans="1:31" x14ac:dyDescent="0.25">
      <c r="A43">
        <v>3</v>
      </c>
      <c r="B43">
        <v>15</v>
      </c>
      <c r="C43">
        <v>261</v>
      </c>
      <c r="D43" s="11" t="s">
        <v>145</v>
      </c>
      <c r="E43" s="11" t="s">
        <v>214</v>
      </c>
      <c r="F43" s="11" t="s">
        <v>206</v>
      </c>
      <c r="G43" s="11" t="s">
        <v>229</v>
      </c>
      <c r="H43">
        <v>1</v>
      </c>
      <c r="I43" s="11" t="s">
        <v>173</v>
      </c>
      <c r="J43" s="11" t="s">
        <v>194</v>
      </c>
      <c r="K43" s="11" t="s">
        <v>176</v>
      </c>
      <c r="L43" s="11" t="s">
        <v>38</v>
      </c>
      <c r="M43" s="11" t="s">
        <v>38</v>
      </c>
      <c r="N43" s="11" t="s">
        <v>38</v>
      </c>
      <c r="O43" s="11" t="s">
        <v>38</v>
      </c>
      <c r="P43" t="s">
        <v>8</v>
      </c>
      <c r="Q43">
        <v>12000</v>
      </c>
      <c r="R43">
        <v>0</v>
      </c>
      <c r="S43">
        <v>0</v>
      </c>
      <c r="T43" t="str">
        <f t="shared" si="11"/>
        <v>-</v>
      </c>
      <c r="U43" t="str">
        <f t="shared" si="12"/>
        <v>-</v>
      </c>
      <c r="V43" t="str">
        <f t="shared" si="13"/>
        <v>-</v>
      </c>
      <c r="W43" t="str">
        <f t="shared" si="14"/>
        <v>-</v>
      </c>
      <c r="X43" t="str">
        <f t="shared" si="15"/>
        <v>-</v>
      </c>
      <c r="Y43" t="str">
        <f t="shared" si="16"/>
        <v>-</v>
      </c>
      <c r="Z43" t="str">
        <f t="shared" si="17"/>
        <v>-</v>
      </c>
      <c r="AA43" t="str">
        <f t="shared" si="18"/>
        <v>-</v>
      </c>
      <c r="AB43" t="str">
        <f>IF(_xlfn.IFNA(VLOOKUP(P43,Set_Ref!$B$6:$B$1048576,1,FALSE),"")&lt;&gt;"","-",FALSE)</f>
        <v>-</v>
      </c>
      <c r="AC43" t="str">
        <f t="shared" si="19"/>
        <v>-</v>
      </c>
      <c r="AD43" t="str">
        <f t="shared" si="20"/>
        <v>-</v>
      </c>
      <c r="AE43" t="b">
        <f t="shared" si="21"/>
        <v>1</v>
      </c>
    </row>
    <row r="44" spans="1:31" x14ac:dyDescent="0.25">
      <c r="A44">
        <v>3</v>
      </c>
      <c r="B44">
        <v>16</v>
      </c>
      <c r="C44">
        <v>261</v>
      </c>
      <c r="D44" s="11" t="s">
        <v>145</v>
      </c>
      <c r="E44" s="11" t="s">
        <v>212</v>
      </c>
      <c r="F44" s="11" t="s">
        <v>208</v>
      </c>
      <c r="G44" s="11" t="s">
        <v>226</v>
      </c>
      <c r="H44">
        <v>2</v>
      </c>
      <c r="I44" s="11" t="s">
        <v>173</v>
      </c>
      <c r="J44" s="11" t="s">
        <v>230</v>
      </c>
      <c r="K44" s="11" t="s">
        <v>176</v>
      </c>
      <c r="L44" s="11" t="s">
        <v>38</v>
      </c>
      <c r="M44" s="11" t="s">
        <v>38</v>
      </c>
      <c r="N44" s="11" t="s">
        <v>38</v>
      </c>
      <c r="O44" s="11" t="s">
        <v>38</v>
      </c>
      <c r="P44" t="s">
        <v>8</v>
      </c>
      <c r="Q44">
        <v>689</v>
      </c>
      <c r="R44">
        <v>0</v>
      </c>
      <c r="S44">
        <v>0</v>
      </c>
      <c r="T44" t="str">
        <f t="shared" si="11"/>
        <v>-</v>
      </c>
      <c r="U44" t="str">
        <f t="shared" si="12"/>
        <v>-</v>
      </c>
      <c r="V44" t="str">
        <f t="shared" si="13"/>
        <v>-</v>
      </c>
      <c r="W44" t="str">
        <f t="shared" si="14"/>
        <v>-</v>
      </c>
      <c r="X44" t="str">
        <f t="shared" si="15"/>
        <v>-</v>
      </c>
      <c r="Y44" t="str">
        <f t="shared" si="16"/>
        <v>-</v>
      </c>
      <c r="Z44" t="str">
        <f t="shared" si="17"/>
        <v>-</v>
      </c>
      <c r="AA44" t="str">
        <f t="shared" si="18"/>
        <v>-</v>
      </c>
      <c r="AB44" t="str">
        <f>IF(_xlfn.IFNA(VLOOKUP(P44,Set_Ref!$B$6:$B$1048576,1,FALSE),"")&lt;&gt;"","-",FALSE)</f>
        <v>-</v>
      </c>
      <c r="AC44" t="str">
        <f t="shared" si="19"/>
        <v>-</v>
      </c>
      <c r="AD44" t="str">
        <f t="shared" si="20"/>
        <v>-</v>
      </c>
      <c r="AE44" t="b">
        <f t="shared" si="21"/>
        <v>1</v>
      </c>
    </row>
    <row r="45" spans="1:31" x14ac:dyDescent="0.25">
      <c r="A45">
        <v>3</v>
      </c>
      <c r="B45">
        <v>17</v>
      </c>
      <c r="C45">
        <v>261</v>
      </c>
      <c r="D45" s="11" t="s">
        <v>145</v>
      </c>
      <c r="E45" s="11" t="s">
        <v>212</v>
      </c>
      <c r="F45" s="11" t="s">
        <v>208</v>
      </c>
      <c r="G45" s="11" t="s">
        <v>226</v>
      </c>
      <c r="H45">
        <v>2</v>
      </c>
      <c r="I45" s="11" t="s">
        <v>173</v>
      </c>
      <c r="J45" s="11" t="s">
        <v>230</v>
      </c>
      <c r="K45" s="11" t="s">
        <v>176</v>
      </c>
      <c r="L45" s="11" t="s">
        <v>38</v>
      </c>
      <c r="M45" s="11" t="s">
        <v>38</v>
      </c>
      <c r="N45" s="11" t="s">
        <v>38</v>
      </c>
      <c r="O45" s="11" t="s">
        <v>38</v>
      </c>
      <c r="P45" t="s">
        <v>8</v>
      </c>
      <c r="Q45">
        <v>636</v>
      </c>
      <c r="R45">
        <v>0</v>
      </c>
      <c r="S45">
        <v>0</v>
      </c>
      <c r="T45" t="str">
        <f t="shared" si="11"/>
        <v>-</v>
      </c>
      <c r="U45" t="str">
        <f t="shared" si="12"/>
        <v>-</v>
      </c>
      <c r="V45" t="str">
        <f t="shared" si="13"/>
        <v>-</v>
      </c>
      <c r="W45" t="str">
        <f t="shared" si="14"/>
        <v>-</v>
      </c>
      <c r="X45" t="str">
        <f t="shared" si="15"/>
        <v>-</v>
      </c>
      <c r="Y45" t="str">
        <f t="shared" si="16"/>
        <v>-</v>
      </c>
      <c r="Z45" t="str">
        <f t="shared" si="17"/>
        <v>-</v>
      </c>
      <c r="AA45" t="str">
        <f t="shared" si="18"/>
        <v>-</v>
      </c>
      <c r="AB45" t="str">
        <f>IF(_xlfn.IFNA(VLOOKUP(P45,Set_Ref!$B$6:$B$1048576,1,FALSE),"")&lt;&gt;"","-",FALSE)</f>
        <v>-</v>
      </c>
      <c r="AC45" t="str">
        <f t="shared" si="19"/>
        <v>-</v>
      </c>
      <c r="AD45" t="str">
        <f t="shared" si="20"/>
        <v>-</v>
      </c>
      <c r="AE45" t="b">
        <f t="shared" si="21"/>
        <v>1</v>
      </c>
    </row>
    <row r="46" spans="1:31" x14ac:dyDescent="0.25">
      <c r="A46">
        <v>4</v>
      </c>
      <c r="B46">
        <v>1</v>
      </c>
      <c r="C46">
        <v>261</v>
      </c>
      <c r="D46" s="11" t="s">
        <v>145</v>
      </c>
      <c r="E46" s="11" t="s">
        <v>213</v>
      </c>
      <c r="F46" s="11" t="s">
        <v>204</v>
      </c>
      <c r="G46" s="11" t="s">
        <v>227</v>
      </c>
      <c r="H46">
        <v>5</v>
      </c>
      <c r="I46" s="11" t="s">
        <v>173</v>
      </c>
      <c r="J46" s="11" t="s">
        <v>231</v>
      </c>
      <c r="K46" s="11" t="s">
        <v>177</v>
      </c>
      <c r="L46" s="11" t="s">
        <v>38</v>
      </c>
      <c r="M46" s="11" t="s">
        <v>38</v>
      </c>
      <c r="N46" s="11" t="s">
        <v>38</v>
      </c>
      <c r="O46" s="11" t="s">
        <v>38</v>
      </c>
      <c r="P46" t="s">
        <v>8</v>
      </c>
      <c r="Q46">
        <v>5900</v>
      </c>
      <c r="R46">
        <v>0</v>
      </c>
      <c r="S46">
        <v>0</v>
      </c>
      <c r="T46" t="str">
        <f t="shared" si="11"/>
        <v>-</v>
      </c>
      <c r="U46" t="str">
        <f t="shared" si="12"/>
        <v>-</v>
      </c>
      <c r="V46" t="str">
        <f t="shared" si="13"/>
        <v>-</v>
      </c>
      <c r="W46" t="str">
        <f t="shared" si="14"/>
        <v>-</v>
      </c>
      <c r="X46" t="str">
        <f t="shared" si="15"/>
        <v>-</v>
      </c>
      <c r="Y46" t="str">
        <f t="shared" si="16"/>
        <v>-</v>
      </c>
      <c r="Z46" t="str">
        <f t="shared" si="17"/>
        <v>-</v>
      </c>
      <c r="AA46" t="str">
        <f t="shared" si="18"/>
        <v>-</v>
      </c>
      <c r="AB46" t="str">
        <f>IF(_xlfn.IFNA(VLOOKUP(P46,Set_Ref!$B$6:$B$1048576,1,FALSE),"")&lt;&gt;"","-",FALSE)</f>
        <v>-</v>
      </c>
      <c r="AC46" t="str">
        <f t="shared" si="19"/>
        <v>-</v>
      </c>
      <c r="AD46" t="str">
        <f t="shared" si="20"/>
        <v>-</v>
      </c>
      <c r="AE46" t="b">
        <f t="shared" si="21"/>
        <v>1</v>
      </c>
    </row>
    <row r="47" spans="1:31" x14ac:dyDescent="0.25">
      <c r="A47">
        <v>4</v>
      </c>
      <c r="B47">
        <v>2</v>
      </c>
      <c r="C47">
        <v>261</v>
      </c>
      <c r="D47" s="11" t="s">
        <v>145</v>
      </c>
      <c r="E47" s="11" t="s">
        <v>213</v>
      </c>
      <c r="F47" s="11" t="s">
        <v>204</v>
      </c>
      <c r="G47" s="11" t="s">
        <v>227</v>
      </c>
      <c r="H47">
        <v>5</v>
      </c>
      <c r="I47" s="11" t="s">
        <v>173</v>
      </c>
      <c r="J47" s="11" t="s">
        <v>231</v>
      </c>
      <c r="K47" s="11" t="s">
        <v>177</v>
      </c>
      <c r="L47" s="11" t="s">
        <v>38</v>
      </c>
      <c r="M47" s="11" t="s">
        <v>38</v>
      </c>
      <c r="N47" s="11" t="s">
        <v>38</v>
      </c>
      <c r="O47" s="11" t="s">
        <v>38</v>
      </c>
      <c r="P47" t="s">
        <v>8</v>
      </c>
      <c r="Q47">
        <v>20100</v>
      </c>
      <c r="R47">
        <v>0</v>
      </c>
      <c r="S47">
        <v>0</v>
      </c>
      <c r="T47" t="str">
        <f t="shared" si="11"/>
        <v>-</v>
      </c>
      <c r="U47" t="str">
        <f t="shared" si="12"/>
        <v>-</v>
      </c>
      <c r="V47" t="str">
        <f t="shared" si="13"/>
        <v>-</v>
      </c>
      <c r="W47" t="str">
        <f t="shared" si="14"/>
        <v>-</v>
      </c>
      <c r="X47" t="str">
        <f t="shared" si="15"/>
        <v>-</v>
      </c>
      <c r="Y47" t="str">
        <f t="shared" si="16"/>
        <v>-</v>
      </c>
      <c r="Z47" t="str">
        <f t="shared" si="17"/>
        <v>-</v>
      </c>
      <c r="AA47" t="str">
        <f t="shared" si="18"/>
        <v>-</v>
      </c>
      <c r="AB47" t="str">
        <f>IF(_xlfn.IFNA(VLOOKUP(P47,Set_Ref!$B$6:$B$1048576,1,FALSE),"")&lt;&gt;"","-",FALSE)</f>
        <v>-</v>
      </c>
      <c r="AC47" t="str">
        <f t="shared" si="19"/>
        <v>-</v>
      </c>
      <c r="AD47" t="str">
        <f t="shared" si="20"/>
        <v>-</v>
      </c>
      <c r="AE47" t="b">
        <f t="shared" si="21"/>
        <v>1</v>
      </c>
    </row>
    <row r="48" spans="1:31" x14ac:dyDescent="0.25">
      <c r="A48">
        <v>4</v>
      </c>
      <c r="B48">
        <v>3</v>
      </c>
      <c r="C48">
        <v>261</v>
      </c>
      <c r="D48" s="11" t="s">
        <v>145</v>
      </c>
      <c r="E48" s="11" t="s">
        <v>210</v>
      </c>
      <c r="F48" s="11" t="s">
        <v>205</v>
      </c>
      <c r="G48" s="11" t="s">
        <v>223</v>
      </c>
      <c r="H48">
        <v>11</v>
      </c>
      <c r="I48" s="11" t="s">
        <v>173</v>
      </c>
      <c r="J48" s="11" t="s">
        <v>195</v>
      </c>
      <c r="K48" s="11" t="s">
        <v>177</v>
      </c>
      <c r="L48" s="11" t="s">
        <v>38</v>
      </c>
      <c r="M48" s="11" t="s">
        <v>38</v>
      </c>
      <c r="N48" s="11" t="s">
        <v>38</v>
      </c>
      <c r="O48" s="11" t="s">
        <v>38</v>
      </c>
      <c r="P48" t="s">
        <v>8</v>
      </c>
      <c r="Q48">
        <v>24000</v>
      </c>
      <c r="R48">
        <v>0</v>
      </c>
      <c r="S48">
        <v>0</v>
      </c>
      <c r="T48" t="str">
        <f t="shared" si="11"/>
        <v>-</v>
      </c>
      <c r="U48" t="str">
        <f t="shared" si="12"/>
        <v>-</v>
      </c>
      <c r="V48" t="str">
        <f t="shared" si="13"/>
        <v>-</v>
      </c>
      <c r="W48" t="str">
        <f t="shared" si="14"/>
        <v>-</v>
      </c>
      <c r="X48" t="str">
        <f t="shared" si="15"/>
        <v>-</v>
      </c>
      <c r="Y48" t="str">
        <f t="shared" si="16"/>
        <v>-</v>
      </c>
      <c r="Z48" t="str">
        <f t="shared" si="17"/>
        <v>-</v>
      </c>
      <c r="AA48" t="str">
        <f t="shared" si="18"/>
        <v>-</v>
      </c>
      <c r="AB48" t="str">
        <f>IF(_xlfn.IFNA(VLOOKUP(P48,Set_Ref!$B$6:$B$1048576,1,FALSE),"")&lt;&gt;"","-",FALSE)</f>
        <v>-</v>
      </c>
      <c r="AC48" t="str">
        <f t="shared" si="19"/>
        <v>-</v>
      </c>
      <c r="AD48" t="str">
        <f t="shared" si="20"/>
        <v>-</v>
      </c>
      <c r="AE48" t="b">
        <f t="shared" si="21"/>
        <v>1</v>
      </c>
    </row>
    <row r="49" spans="1:31" x14ac:dyDescent="0.25">
      <c r="A49">
        <v>4</v>
      </c>
      <c r="B49">
        <v>4</v>
      </c>
      <c r="C49">
        <v>261</v>
      </c>
      <c r="D49" s="11" t="s">
        <v>145</v>
      </c>
      <c r="E49" s="11" t="s">
        <v>210</v>
      </c>
      <c r="F49" s="11" t="s">
        <v>205</v>
      </c>
      <c r="G49" s="11" t="s">
        <v>223</v>
      </c>
      <c r="H49">
        <v>11</v>
      </c>
      <c r="I49" s="11" t="s">
        <v>173</v>
      </c>
      <c r="J49" s="11" t="s">
        <v>195</v>
      </c>
      <c r="K49" s="11" t="s">
        <v>177</v>
      </c>
      <c r="L49" s="11" t="s">
        <v>38</v>
      </c>
      <c r="M49" s="11" t="s">
        <v>38</v>
      </c>
      <c r="N49" s="11" t="s">
        <v>38</v>
      </c>
      <c r="O49" s="11" t="s">
        <v>38</v>
      </c>
      <c r="P49" t="s">
        <v>8</v>
      </c>
      <c r="Q49">
        <v>25500</v>
      </c>
      <c r="R49">
        <v>0</v>
      </c>
      <c r="S49">
        <v>0</v>
      </c>
      <c r="T49" t="str">
        <f t="shared" si="11"/>
        <v>-</v>
      </c>
      <c r="U49" t="str">
        <f t="shared" si="12"/>
        <v>-</v>
      </c>
      <c r="V49" t="str">
        <f t="shared" si="13"/>
        <v>-</v>
      </c>
      <c r="W49" t="str">
        <f t="shared" si="14"/>
        <v>-</v>
      </c>
      <c r="X49" t="str">
        <f t="shared" si="15"/>
        <v>-</v>
      </c>
      <c r="Y49" t="str">
        <f t="shared" si="16"/>
        <v>-</v>
      </c>
      <c r="Z49" t="str">
        <f t="shared" si="17"/>
        <v>-</v>
      </c>
      <c r="AA49" t="str">
        <f t="shared" si="18"/>
        <v>-</v>
      </c>
      <c r="AB49" t="str">
        <f>IF(_xlfn.IFNA(VLOOKUP(P49,Set_Ref!$B$6:$B$1048576,1,FALSE),"")&lt;&gt;"","-",FALSE)</f>
        <v>-</v>
      </c>
      <c r="AC49" t="str">
        <f t="shared" si="19"/>
        <v>-</v>
      </c>
      <c r="AD49" t="str">
        <f t="shared" si="20"/>
        <v>-</v>
      </c>
      <c r="AE49" t="b">
        <f t="shared" si="21"/>
        <v>1</v>
      </c>
    </row>
    <row r="50" spans="1:31" x14ac:dyDescent="0.25">
      <c r="A50">
        <v>4</v>
      </c>
      <c r="B50">
        <v>5</v>
      </c>
      <c r="C50">
        <v>261</v>
      </c>
      <c r="D50" s="11" t="s">
        <v>145</v>
      </c>
      <c r="E50" s="11" t="s">
        <v>210</v>
      </c>
      <c r="F50" s="11" t="s">
        <v>205</v>
      </c>
      <c r="G50" s="11" t="s">
        <v>223</v>
      </c>
      <c r="H50">
        <v>11</v>
      </c>
      <c r="I50" s="11" t="s">
        <v>173</v>
      </c>
      <c r="J50" s="11" t="s">
        <v>195</v>
      </c>
      <c r="K50" s="11" t="s">
        <v>177</v>
      </c>
      <c r="L50" s="11" t="s">
        <v>38</v>
      </c>
      <c r="M50" s="11" t="s">
        <v>38</v>
      </c>
      <c r="N50" s="11" t="s">
        <v>38</v>
      </c>
      <c r="O50" s="11" t="s">
        <v>38</v>
      </c>
      <c r="P50" t="s">
        <v>8</v>
      </c>
      <c r="Q50">
        <v>18000</v>
      </c>
      <c r="R50">
        <v>0</v>
      </c>
      <c r="S50">
        <v>0</v>
      </c>
      <c r="T50" t="str">
        <f t="shared" si="11"/>
        <v>-</v>
      </c>
      <c r="U50" t="str">
        <f t="shared" si="12"/>
        <v>-</v>
      </c>
      <c r="V50" t="str">
        <f t="shared" si="13"/>
        <v>-</v>
      </c>
      <c r="W50" t="str">
        <f t="shared" si="14"/>
        <v>-</v>
      </c>
      <c r="X50" t="str">
        <f t="shared" si="15"/>
        <v>-</v>
      </c>
      <c r="Y50" t="str">
        <f t="shared" si="16"/>
        <v>-</v>
      </c>
      <c r="Z50" t="str">
        <f t="shared" si="17"/>
        <v>-</v>
      </c>
      <c r="AA50" t="str">
        <f t="shared" si="18"/>
        <v>-</v>
      </c>
      <c r="AB50" t="str">
        <f>IF(_xlfn.IFNA(VLOOKUP(P50,Set_Ref!$B$6:$B$1048576,1,FALSE),"")&lt;&gt;"","-",FALSE)</f>
        <v>-</v>
      </c>
      <c r="AC50" t="str">
        <f t="shared" si="19"/>
        <v>-</v>
      </c>
      <c r="AD50" t="str">
        <f t="shared" si="20"/>
        <v>-</v>
      </c>
      <c r="AE50" t="b">
        <f t="shared" si="21"/>
        <v>1</v>
      </c>
    </row>
    <row r="51" spans="1:31" x14ac:dyDescent="0.25">
      <c r="A51">
        <v>4</v>
      </c>
      <c r="B51">
        <v>6</v>
      </c>
      <c r="C51">
        <v>261</v>
      </c>
      <c r="D51" s="11" t="s">
        <v>145</v>
      </c>
      <c r="E51" s="11" t="s">
        <v>214</v>
      </c>
      <c r="F51" s="11" t="s">
        <v>206</v>
      </c>
      <c r="G51" s="11" t="s">
        <v>229</v>
      </c>
      <c r="H51">
        <v>6</v>
      </c>
      <c r="I51" s="11" t="s">
        <v>173</v>
      </c>
      <c r="J51" s="11" t="s">
        <v>195</v>
      </c>
      <c r="K51" s="11" t="s">
        <v>177</v>
      </c>
      <c r="L51" s="11" t="s">
        <v>38</v>
      </c>
      <c r="M51" s="11" t="s">
        <v>38</v>
      </c>
      <c r="N51" s="11" t="s">
        <v>38</v>
      </c>
      <c r="O51" s="11" t="s">
        <v>38</v>
      </c>
      <c r="P51" t="s">
        <v>8</v>
      </c>
      <c r="Q51">
        <v>12000</v>
      </c>
      <c r="R51">
        <v>0</v>
      </c>
      <c r="S51">
        <v>0</v>
      </c>
      <c r="T51" t="str">
        <f t="shared" si="11"/>
        <v>-</v>
      </c>
      <c r="U51" t="str">
        <f t="shared" si="12"/>
        <v>-</v>
      </c>
      <c r="V51" t="str">
        <f t="shared" si="13"/>
        <v>-</v>
      </c>
      <c r="W51" t="str">
        <f t="shared" si="14"/>
        <v>-</v>
      </c>
      <c r="X51" t="str">
        <f t="shared" si="15"/>
        <v>-</v>
      </c>
      <c r="Y51" t="str">
        <f t="shared" si="16"/>
        <v>-</v>
      </c>
      <c r="Z51" t="str">
        <f t="shared" si="17"/>
        <v>-</v>
      </c>
      <c r="AA51" t="str">
        <f t="shared" si="18"/>
        <v>-</v>
      </c>
      <c r="AB51" t="str">
        <f>IF(_xlfn.IFNA(VLOOKUP(P51,Set_Ref!$B$6:$B$1048576,1,FALSE),"")&lt;&gt;"","-",FALSE)</f>
        <v>-</v>
      </c>
      <c r="AC51" t="str">
        <f t="shared" si="19"/>
        <v>-</v>
      </c>
      <c r="AD51" t="str">
        <f t="shared" si="20"/>
        <v>-</v>
      </c>
      <c r="AE51" t="b">
        <f t="shared" si="21"/>
        <v>1</v>
      </c>
    </row>
    <row r="52" spans="1:31" x14ac:dyDescent="0.25">
      <c r="A52">
        <v>4</v>
      </c>
      <c r="B52">
        <v>7</v>
      </c>
      <c r="C52">
        <v>261</v>
      </c>
      <c r="D52" s="11" t="s">
        <v>145</v>
      </c>
      <c r="E52" s="11" t="s">
        <v>214</v>
      </c>
      <c r="F52" s="11" t="s">
        <v>206</v>
      </c>
      <c r="G52" s="11" t="s">
        <v>229</v>
      </c>
      <c r="H52">
        <v>6</v>
      </c>
      <c r="I52" s="11" t="s">
        <v>173</v>
      </c>
      <c r="J52" s="11" t="s">
        <v>195</v>
      </c>
      <c r="K52" s="11" t="s">
        <v>177</v>
      </c>
      <c r="L52" s="11" t="s">
        <v>38</v>
      </c>
      <c r="M52" s="11" t="s">
        <v>38</v>
      </c>
      <c r="N52" s="11" t="s">
        <v>38</v>
      </c>
      <c r="O52" s="11" t="s">
        <v>38</v>
      </c>
      <c r="P52" t="s">
        <v>8</v>
      </c>
      <c r="Q52">
        <v>12000</v>
      </c>
      <c r="R52">
        <v>0</v>
      </c>
      <c r="S52">
        <v>0</v>
      </c>
      <c r="T52" t="str">
        <f t="shared" si="11"/>
        <v>-</v>
      </c>
      <c r="U52" t="str">
        <f t="shared" si="12"/>
        <v>-</v>
      </c>
      <c r="V52" t="str">
        <f t="shared" si="13"/>
        <v>-</v>
      </c>
      <c r="W52" t="str">
        <f t="shared" si="14"/>
        <v>-</v>
      </c>
      <c r="X52" t="str">
        <f t="shared" si="15"/>
        <v>-</v>
      </c>
      <c r="Y52" t="str">
        <f t="shared" si="16"/>
        <v>-</v>
      </c>
      <c r="Z52" t="str">
        <f t="shared" si="17"/>
        <v>-</v>
      </c>
      <c r="AA52" t="str">
        <f t="shared" si="18"/>
        <v>-</v>
      </c>
      <c r="AB52" t="str">
        <f>IF(_xlfn.IFNA(VLOOKUP(P52,Set_Ref!$B$6:$B$1048576,1,FALSE),"")&lt;&gt;"","-",FALSE)</f>
        <v>-</v>
      </c>
      <c r="AC52" t="str">
        <f t="shared" si="19"/>
        <v>-</v>
      </c>
      <c r="AD52" t="str">
        <f t="shared" si="20"/>
        <v>-</v>
      </c>
      <c r="AE52" t="b">
        <f t="shared" si="21"/>
        <v>1</v>
      </c>
    </row>
    <row r="53" spans="1:31" x14ac:dyDescent="0.25">
      <c r="A53">
        <v>4</v>
      </c>
      <c r="B53">
        <v>8</v>
      </c>
      <c r="C53">
        <v>261</v>
      </c>
      <c r="D53" s="11" t="s">
        <v>145</v>
      </c>
      <c r="E53" s="11" t="s">
        <v>214</v>
      </c>
      <c r="F53" s="11" t="s">
        <v>206</v>
      </c>
      <c r="G53" s="11" t="s">
        <v>229</v>
      </c>
      <c r="H53">
        <v>6</v>
      </c>
      <c r="I53" s="11" t="s">
        <v>173</v>
      </c>
      <c r="J53" s="11" t="s">
        <v>195</v>
      </c>
      <c r="K53" s="11" t="s">
        <v>177</v>
      </c>
      <c r="L53" s="11" t="s">
        <v>38</v>
      </c>
      <c r="M53" s="11" t="s">
        <v>38</v>
      </c>
      <c r="N53" s="11" t="s">
        <v>38</v>
      </c>
      <c r="O53" s="11" t="s">
        <v>38</v>
      </c>
      <c r="P53" t="s">
        <v>8</v>
      </c>
      <c r="Q53">
        <v>9000</v>
      </c>
      <c r="R53">
        <v>0</v>
      </c>
      <c r="S53">
        <v>0</v>
      </c>
      <c r="T53" t="str">
        <f t="shared" si="11"/>
        <v>-</v>
      </c>
      <c r="U53" t="str">
        <f t="shared" si="12"/>
        <v>-</v>
      </c>
      <c r="V53" t="str">
        <f t="shared" si="13"/>
        <v>-</v>
      </c>
      <c r="W53" t="str">
        <f t="shared" si="14"/>
        <v>-</v>
      </c>
      <c r="X53" t="str">
        <f t="shared" si="15"/>
        <v>-</v>
      </c>
      <c r="Y53" t="str">
        <f t="shared" si="16"/>
        <v>-</v>
      </c>
      <c r="Z53" t="str">
        <f t="shared" si="17"/>
        <v>-</v>
      </c>
      <c r="AA53" t="str">
        <f t="shared" si="18"/>
        <v>-</v>
      </c>
      <c r="AB53" t="str">
        <f>IF(_xlfn.IFNA(VLOOKUP(P53,Set_Ref!$B$6:$B$1048576,1,FALSE),"")&lt;&gt;"","-",FALSE)</f>
        <v>-</v>
      </c>
      <c r="AC53" t="str">
        <f t="shared" si="19"/>
        <v>-</v>
      </c>
      <c r="AD53" t="str">
        <f t="shared" si="20"/>
        <v>-</v>
      </c>
      <c r="AE53" t="b">
        <f t="shared" si="21"/>
        <v>1</v>
      </c>
    </row>
    <row r="54" spans="1:31" x14ac:dyDescent="0.25">
      <c r="A54">
        <v>4</v>
      </c>
      <c r="B54">
        <v>9</v>
      </c>
      <c r="C54">
        <v>261</v>
      </c>
      <c r="D54" s="11" t="s">
        <v>145</v>
      </c>
      <c r="E54" s="11" t="s">
        <v>212</v>
      </c>
      <c r="F54" s="11" t="s">
        <v>208</v>
      </c>
      <c r="G54" s="11" t="s">
        <v>226</v>
      </c>
      <c r="H54">
        <v>1</v>
      </c>
      <c r="I54" s="11" t="s">
        <v>173</v>
      </c>
      <c r="J54" s="11" t="s">
        <v>232</v>
      </c>
      <c r="K54" s="11" t="s">
        <v>177</v>
      </c>
      <c r="L54" s="11" t="s">
        <v>38</v>
      </c>
      <c r="M54" s="11" t="s">
        <v>38</v>
      </c>
      <c r="N54" s="11" t="s">
        <v>38</v>
      </c>
      <c r="O54" s="11" t="s">
        <v>38</v>
      </c>
      <c r="P54" t="s">
        <v>8</v>
      </c>
      <c r="Q54">
        <v>3750</v>
      </c>
      <c r="R54">
        <v>0</v>
      </c>
      <c r="S54">
        <v>0</v>
      </c>
      <c r="T54" t="str">
        <f t="shared" si="11"/>
        <v>-</v>
      </c>
      <c r="U54" t="str">
        <f t="shared" si="12"/>
        <v>-</v>
      </c>
      <c r="V54" t="str">
        <f t="shared" si="13"/>
        <v>-</v>
      </c>
      <c r="W54" t="str">
        <f t="shared" si="14"/>
        <v>-</v>
      </c>
      <c r="X54" t="str">
        <f t="shared" si="15"/>
        <v>-</v>
      </c>
      <c r="Y54" t="str">
        <f t="shared" si="16"/>
        <v>-</v>
      </c>
      <c r="Z54" t="str">
        <f t="shared" si="17"/>
        <v>-</v>
      </c>
      <c r="AA54" t="str">
        <f t="shared" si="18"/>
        <v>-</v>
      </c>
      <c r="AB54" t="str">
        <f>IF(_xlfn.IFNA(VLOOKUP(P54,Set_Ref!$B$6:$B$1048576,1,FALSE),"")&lt;&gt;"","-",FALSE)</f>
        <v>-</v>
      </c>
      <c r="AC54" t="str">
        <f t="shared" si="19"/>
        <v>-</v>
      </c>
      <c r="AD54" t="str">
        <f t="shared" si="20"/>
        <v>-</v>
      </c>
      <c r="AE54" t="b">
        <f t="shared" si="21"/>
        <v>1</v>
      </c>
    </row>
    <row r="55" spans="1:31" x14ac:dyDescent="0.25">
      <c r="A55">
        <v>4</v>
      </c>
      <c r="B55">
        <v>10</v>
      </c>
      <c r="C55">
        <v>261</v>
      </c>
      <c r="D55" s="11" t="s">
        <v>145</v>
      </c>
      <c r="E55" s="11" t="s">
        <v>212</v>
      </c>
      <c r="F55" s="11" t="s">
        <v>208</v>
      </c>
      <c r="G55" s="11" t="s">
        <v>226</v>
      </c>
      <c r="H55">
        <v>1</v>
      </c>
      <c r="I55" s="11" t="s">
        <v>173</v>
      </c>
      <c r="J55" s="11" t="s">
        <v>232</v>
      </c>
      <c r="K55" s="11" t="s">
        <v>177</v>
      </c>
      <c r="L55" s="11" t="s">
        <v>38</v>
      </c>
      <c r="M55" s="11" t="s">
        <v>38</v>
      </c>
      <c r="N55" s="11" t="s">
        <v>38</v>
      </c>
      <c r="O55" s="11" t="s">
        <v>38</v>
      </c>
      <c r="P55" t="s">
        <v>8</v>
      </c>
      <c r="Q55">
        <v>3600</v>
      </c>
      <c r="R55">
        <v>0</v>
      </c>
      <c r="S55">
        <v>0</v>
      </c>
      <c r="T55" t="str">
        <f t="shared" si="11"/>
        <v>-</v>
      </c>
      <c r="U55" t="str">
        <f t="shared" si="12"/>
        <v>-</v>
      </c>
      <c r="V55" t="str">
        <f t="shared" si="13"/>
        <v>-</v>
      </c>
      <c r="W55" t="str">
        <f t="shared" si="14"/>
        <v>-</v>
      </c>
      <c r="X55" t="str">
        <f t="shared" si="15"/>
        <v>-</v>
      </c>
      <c r="Y55" t="str">
        <f t="shared" si="16"/>
        <v>-</v>
      </c>
      <c r="Z55" t="str">
        <f t="shared" si="17"/>
        <v>-</v>
      </c>
      <c r="AA55" t="str">
        <f t="shared" si="18"/>
        <v>-</v>
      </c>
      <c r="AB55" t="str">
        <f>IF(_xlfn.IFNA(VLOOKUP(P55,Set_Ref!$B$6:$B$1048576,1,FALSE),"")&lt;&gt;"","-",FALSE)</f>
        <v>-</v>
      </c>
      <c r="AC55" t="str">
        <f t="shared" si="19"/>
        <v>-</v>
      </c>
      <c r="AD55" t="str">
        <f t="shared" si="20"/>
        <v>-</v>
      </c>
      <c r="AE55" t="b">
        <f t="shared" si="21"/>
        <v>1</v>
      </c>
    </row>
    <row r="56" spans="1:31" x14ac:dyDescent="0.25">
      <c r="A56">
        <v>4</v>
      </c>
      <c r="B56">
        <v>11</v>
      </c>
      <c r="C56">
        <v>261</v>
      </c>
      <c r="D56" s="11" t="s">
        <v>145</v>
      </c>
      <c r="E56" s="11" t="s">
        <v>212</v>
      </c>
      <c r="F56" s="11" t="s">
        <v>208</v>
      </c>
      <c r="G56" s="11" t="s">
        <v>226</v>
      </c>
      <c r="H56">
        <v>1</v>
      </c>
      <c r="I56" s="11" t="s">
        <v>173</v>
      </c>
      <c r="J56" s="11" t="s">
        <v>232</v>
      </c>
      <c r="K56" s="11" t="s">
        <v>177</v>
      </c>
      <c r="L56" s="11" t="s">
        <v>38</v>
      </c>
      <c r="M56" s="11" t="s">
        <v>38</v>
      </c>
      <c r="N56" s="11" t="s">
        <v>38</v>
      </c>
      <c r="O56" s="11" t="s">
        <v>38</v>
      </c>
      <c r="P56" t="s">
        <v>8</v>
      </c>
      <c r="Q56">
        <v>2700</v>
      </c>
      <c r="R56">
        <v>0</v>
      </c>
      <c r="S56">
        <v>0</v>
      </c>
      <c r="T56" t="str">
        <f t="shared" si="11"/>
        <v>-</v>
      </c>
      <c r="U56" t="str">
        <f t="shared" si="12"/>
        <v>-</v>
      </c>
      <c r="V56" t="str">
        <f t="shared" si="13"/>
        <v>-</v>
      </c>
      <c r="W56" t="str">
        <f t="shared" si="14"/>
        <v>-</v>
      </c>
      <c r="X56" t="str">
        <f t="shared" si="15"/>
        <v>-</v>
      </c>
      <c r="Y56" t="str">
        <f t="shared" si="16"/>
        <v>-</v>
      </c>
      <c r="Z56" t="str">
        <f t="shared" si="17"/>
        <v>-</v>
      </c>
      <c r="AA56" t="str">
        <f t="shared" si="18"/>
        <v>-</v>
      </c>
      <c r="AB56" t="str">
        <f>IF(_xlfn.IFNA(VLOOKUP(P56,Set_Ref!$B$6:$B$1048576,1,FALSE),"")&lt;&gt;"","-",FALSE)</f>
        <v>-</v>
      </c>
      <c r="AC56" t="str">
        <f t="shared" si="19"/>
        <v>-</v>
      </c>
      <c r="AD56" t="str">
        <f t="shared" si="20"/>
        <v>-</v>
      </c>
      <c r="AE56" t="b">
        <f t="shared" si="21"/>
        <v>1</v>
      </c>
    </row>
    <row r="57" spans="1:31" x14ac:dyDescent="0.25">
      <c r="A57">
        <v>4</v>
      </c>
      <c r="B57">
        <v>12</v>
      </c>
      <c r="C57">
        <v>261</v>
      </c>
      <c r="D57" s="11" t="s">
        <v>145</v>
      </c>
      <c r="E57" s="11" t="s">
        <v>210</v>
      </c>
      <c r="F57" s="11" t="s">
        <v>205</v>
      </c>
      <c r="G57" s="11" t="s">
        <v>223</v>
      </c>
      <c r="H57">
        <v>11</v>
      </c>
      <c r="I57" s="11" t="s">
        <v>173</v>
      </c>
      <c r="J57" s="11" t="s">
        <v>195</v>
      </c>
      <c r="K57" s="11" t="s">
        <v>177</v>
      </c>
      <c r="L57" s="11" t="s">
        <v>38</v>
      </c>
      <c r="M57" s="11" t="s">
        <v>38</v>
      </c>
      <c r="N57" s="11" t="s">
        <v>38</v>
      </c>
      <c r="O57" s="11" t="s">
        <v>38</v>
      </c>
      <c r="P57" t="s">
        <v>8</v>
      </c>
      <c r="Q57">
        <v>24000</v>
      </c>
      <c r="R57">
        <v>0</v>
      </c>
      <c r="S57">
        <v>0</v>
      </c>
      <c r="T57" t="str">
        <f t="shared" si="11"/>
        <v>-</v>
      </c>
      <c r="U57" t="str">
        <f t="shared" si="12"/>
        <v>-</v>
      </c>
      <c r="V57" t="str">
        <f t="shared" si="13"/>
        <v>-</v>
      </c>
      <c r="W57" t="str">
        <f t="shared" si="14"/>
        <v>-</v>
      </c>
      <c r="X57" t="str">
        <f t="shared" si="15"/>
        <v>-</v>
      </c>
      <c r="Y57" t="str">
        <f t="shared" si="16"/>
        <v>-</v>
      </c>
      <c r="Z57" t="str">
        <f t="shared" si="17"/>
        <v>-</v>
      </c>
      <c r="AA57" t="str">
        <f t="shared" si="18"/>
        <v>-</v>
      </c>
      <c r="AB57" t="str">
        <f>IF(_xlfn.IFNA(VLOOKUP(P57,Set_Ref!$B$6:$B$1048576,1,FALSE),"")&lt;&gt;"","-",FALSE)</f>
        <v>-</v>
      </c>
      <c r="AC57" t="str">
        <f t="shared" si="19"/>
        <v>-</v>
      </c>
      <c r="AD57" t="str">
        <f t="shared" si="20"/>
        <v>-</v>
      </c>
      <c r="AE57" t="b">
        <f t="shared" si="21"/>
        <v>1</v>
      </c>
    </row>
    <row r="58" spans="1:31" x14ac:dyDescent="0.25">
      <c r="A58">
        <v>4</v>
      </c>
      <c r="B58">
        <v>13</v>
      </c>
      <c r="C58">
        <v>261</v>
      </c>
      <c r="D58" s="11" t="s">
        <v>145</v>
      </c>
      <c r="E58" s="11" t="s">
        <v>210</v>
      </c>
      <c r="F58" s="11" t="s">
        <v>205</v>
      </c>
      <c r="G58" s="11" t="s">
        <v>223</v>
      </c>
      <c r="H58">
        <v>11</v>
      </c>
      <c r="I58" s="11" t="s">
        <v>173</v>
      </c>
      <c r="J58" s="11" t="s">
        <v>195</v>
      </c>
      <c r="K58" s="11" t="s">
        <v>177</v>
      </c>
      <c r="L58" s="11" t="s">
        <v>38</v>
      </c>
      <c r="M58" s="11" t="s">
        <v>38</v>
      </c>
      <c r="N58" s="11" t="s">
        <v>38</v>
      </c>
      <c r="O58" s="11" t="s">
        <v>38</v>
      </c>
      <c r="P58" t="s">
        <v>8</v>
      </c>
      <c r="Q58">
        <v>25500</v>
      </c>
      <c r="R58">
        <v>0</v>
      </c>
      <c r="S58">
        <v>0</v>
      </c>
      <c r="T58" t="str">
        <f t="shared" si="11"/>
        <v>-</v>
      </c>
      <c r="U58" t="str">
        <f t="shared" si="12"/>
        <v>-</v>
      </c>
      <c r="V58" t="str">
        <f t="shared" si="13"/>
        <v>-</v>
      </c>
      <c r="W58" t="str">
        <f t="shared" si="14"/>
        <v>-</v>
      </c>
      <c r="X58" t="str">
        <f t="shared" si="15"/>
        <v>-</v>
      </c>
      <c r="Y58" t="str">
        <f t="shared" si="16"/>
        <v>-</v>
      </c>
      <c r="Z58" t="str">
        <f t="shared" si="17"/>
        <v>-</v>
      </c>
      <c r="AA58" t="str">
        <f t="shared" si="18"/>
        <v>-</v>
      </c>
      <c r="AB58" t="str">
        <f>IF(_xlfn.IFNA(VLOOKUP(P58,Set_Ref!$B$6:$B$1048576,1,FALSE),"")&lt;&gt;"","-",FALSE)</f>
        <v>-</v>
      </c>
      <c r="AC58" t="str">
        <f t="shared" si="19"/>
        <v>-</v>
      </c>
      <c r="AD58" t="str">
        <f t="shared" si="20"/>
        <v>-</v>
      </c>
      <c r="AE58" t="b">
        <f t="shared" si="21"/>
        <v>1</v>
      </c>
    </row>
    <row r="59" spans="1:31" x14ac:dyDescent="0.25">
      <c r="A59">
        <v>4</v>
      </c>
      <c r="B59">
        <v>14</v>
      </c>
      <c r="C59">
        <v>261</v>
      </c>
      <c r="D59" s="11" t="s">
        <v>145</v>
      </c>
      <c r="E59" s="11" t="s">
        <v>214</v>
      </c>
      <c r="F59" s="11" t="s">
        <v>206</v>
      </c>
      <c r="G59" s="11" t="s">
        <v>229</v>
      </c>
      <c r="H59">
        <v>6</v>
      </c>
      <c r="I59" s="11" t="s">
        <v>173</v>
      </c>
      <c r="J59" s="11" t="s">
        <v>195</v>
      </c>
      <c r="K59" s="11" t="s">
        <v>177</v>
      </c>
      <c r="L59" s="11" t="s">
        <v>38</v>
      </c>
      <c r="M59" s="11" t="s">
        <v>38</v>
      </c>
      <c r="N59" s="11" t="s">
        <v>38</v>
      </c>
      <c r="O59" s="11" t="s">
        <v>38</v>
      </c>
      <c r="P59" t="s">
        <v>8</v>
      </c>
      <c r="Q59">
        <v>12000</v>
      </c>
      <c r="R59">
        <v>0</v>
      </c>
      <c r="S59">
        <v>0</v>
      </c>
      <c r="T59" t="str">
        <f t="shared" si="11"/>
        <v>-</v>
      </c>
      <c r="U59" t="str">
        <f t="shared" si="12"/>
        <v>-</v>
      </c>
      <c r="V59" t="str">
        <f t="shared" si="13"/>
        <v>-</v>
      </c>
      <c r="W59" t="str">
        <f t="shared" si="14"/>
        <v>-</v>
      </c>
      <c r="X59" t="str">
        <f t="shared" si="15"/>
        <v>-</v>
      </c>
      <c r="Y59" t="str">
        <f t="shared" si="16"/>
        <v>-</v>
      </c>
      <c r="Z59" t="str">
        <f t="shared" si="17"/>
        <v>-</v>
      </c>
      <c r="AA59" t="str">
        <f t="shared" si="18"/>
        <v>-</v>
      </c>
      <c r="AB59" t="str">
        <f>IF(_xlfn.IFNA(VLOOKUP(P59,Set_Ref!$B$6:$B$1048576,1,FALSE),"")&lt;&gt;"","-",FALSE)</f>
        <v>-</v>
      </c>
      <c r="AC59" t="str">
        <f t="shared" si="19"/>
        <v>-</v>
      </c>
      <c r="AD59" t="str">
        <f t="shared" si="20"/>
        <v>-</v>
      </c>
      <c r="AE59" t="b">
        <f t="shared" si="21"/>
        <v>1</v>
      </c>
    </row>
    <row r="60" spans="1:31" x14ac:dyDescent="0.25">
      <c r="A60">
        <v>4</v>
      </c>
      <c r="B60">
        <v>15</v>
      </c>
      <c r="C60">
        <v>261</v>
      </c>
      <c r="D60" s="11" t="s">
        <v>145</v>
      </c>
      <c r="E60" s="11" t="s">
        <v>214</v>
      </c>
      <c r="F60" s="11" t="s">
        <v>206</v>
      </c>
      <c r="G60" s="11" t="s">
        <v>229</v>
      </c>
      <c r="H60">
        <v>6</v>
      </c>
      <c r="I60" s="11" t="s">
        <v>173</v>
      </c>
      <c r="J60" s="11" t="s">
        <v>195</v>
      </c>
      <c r="K60" s="11" t="s">
        <v>177</v>
      </c>
      <c r="L60" s="11" t="s">
        <v>38</v>
      </c>
      <c r="M60" s="11" t="s">
        <v>38</v>
      </c>
      <c r="N60" s="11" t="s">
        <v>38</v>
      </c>
      <c r="O60" s="11" t="s">
        <v>38</v>
      </c>
      <c r="P60" t="s">
        <v>8</v>
      </c>
      <c r="Q60">
        <v>12000</v>
      </c>
      <c r="R60">
        <v>0</v>
      </c>
      <c r="S60">
        <v>0</v>
      </c>
      <c r="T60" t="str">
        <f t="shared" si="11"/>
        <v>-</v>
      </c>
      <c r="U60" t="str">
        <f t="shared" si="12"/>
        <v>-</v>
      </c>
      <c r="V60" t="str">
        <f t="shared" si="13"/>
        <v>-</v>
      </c>
      <c r="W60" t="str">
        <f t="shared" si="14"/>
        <v>-</v>
      </c>
      <c r="X60" t="str">
        <f t="shared" si="15"/>
        <v>-</v>
      </c>
      <c r="Y60" t="str">
        <f t="shared" si="16"/>
        <v>-</v>
      </c>
      <c r="Z60" t="str">
        <f t="shared" si="17"/>
        <v>-</v>
      </c>
      <c r="AA60" t="str">
        <f t="shared" si="18"/>
        <v>-</v>
      </c>
      <c r="AB60" t="str">
        <f>IF(_xlfn.IFNA(VLOOKUP(P60,Set_Ref!$B$6:$B$1048576,1,FALSE),"")&lt;&gt;"","-",FALSE)</f>
        <v>-</v>
      </c>
      <c r="AC60" t="str">
        <f t="shared" si="19"/>
        <v>-</v>
      </c>
      <c r="AD60" t="str">
        <f t="shared" si="20"/>
        <v>-</v>
      </c>
      <c r="AE60" t="b">
        <f t="shared" si="21"/>
        <v>1</v>
      </c>
    </row>
    <row r="61" spans="1:31" x14ac:dyDescent="0.25">
      <c r="A61">
        <v>4</v>
      </c>
      <c r="B61">
        <v>16</v>
      </c>
      <c r="C61">
        <v>261</v>
      </c>
      <c r="D61" s="11" t="s">
        <v>145</v>
      </c>
      <c r="E61" s="11" t="s">
        <v>212</v>
      </c>
      <c r="F61" s="11" t="s">
        <v>208</v>
      </c>
      <c r="G61" s="11" t="s">
        <v>226</v>
      </c>
      <c r="H61">
        <v>1</v>
      </c>
      <c r="I61" s="11" t="s">
        <v>173</v>
      </c>
      <c r="J61" s="11" t="s">
        <v>232</v>
      </c>
      <c r="K61" s="11" t="s">
        <v>177</v>
      </c>
      <c r="L61" s="11" t="s">
        <v>38</v>
      </c>
      <c r="M61" s="11" t="s">
        <v>38</v>
      </c>
      <c r="N61" s="11" t="s">
        <v>38</v>
      </c>
      <c r="O61" s="11" t="s">
        <v>38</v>
      </c>
      <c r="P61" t="s">
        <v>8</v>
      </c>
      <c r="Q61">
        <v>3750</v>
      </c>
      <c r="R61">
        <v>0</v>
      </c>
      <c r="S61">
        <v>0</v>
      </c>
      <c r="T61" t="str">
        <f t="shared" si="11"/>
        <v>-</v>
      </c>
      <c r="U61" t="str">
        <f t="shared" si="12"/>
        <v>-</v>
      </c>
      <c r="V61" t="str">
        <f t="shared" si="13"/>
        <v>-</v>
      </c>
      <c r="W61" t="str">
        <f t="shared" si="14"/>
        <v>-</v>
      </c>
      <c r="X61" t="str">
        <f t="shared" si="15"/>
        <v>-</v>
      </c>
      <c r="Y61" t="str">
        <f t="shared" si="16"/>
        <v>-</v>
      </c>
      <c r="Z61" t="str">
        <f t="shared" si="17"/>
        <v>-</v>
      </c>
      <c r="AA61" t="str">
        <f t="shared" si="18"/>
        <v>-</v>
      </c>
      <c r="AB61" t="str">
        <f>IF(_xlfn.IFNA(VLOOKUP(P61,Set_Ref!$B$6:$B$1048576,1,FALSE),"")&lt;&gt;"","-",FALSE)</f>
        <v>-</v>
      </c>
      <c r="AC61" t="str">
        <f t="shared" si="19"/>
        <v>-</v>
      </c>
      <c r="AD61" t="str">
        <f t="shared" si="20"/>
        <v>-</v>
      </c>
      <c r="AE61" t="b">
        <f t="shared" si="21"/>
        <v>1</v>
      </c>
    </row>
    <row r="62" spans="1:31" x14ac:dyDescent="0.25">
      <c r="A62">
        <v>4</v>
      </c>
      <c r="B62">
        <v>17</v>
      </c>
      <c r="C62">
        <v>261</v>
      </c>
      <c r="D62" s="11" t="s">
        <v>145</v>
      </c>
      <c r="E62" s="11" t="s">
        <v>212</v>
      </c>
      <c r="F62" s="11" t="s">
        <v>208</v>
      </c>
      <c r="G62" s="11" t="s">
        <v>226</v>
      </c>
      <c r="H62">
        <v>1</v>
      </c>
      <c r="I62" s="11" t="s">
        <v>173</v>
      </c>
      <c r="J62" s="11" t="s">
        <v>232</v>
      </c>
      <c r="K62" s="11" t="s">
        <v>177</v>
      </c>
      <c r="L62" s="11" t="s">
        <v>38</v>
      </c>
      <c r="M62" s="11" t="s">
        <v>38</v>
      </c>
      <c r="N62" s="11" t="s">
        <v>38</v>
      </c>
      <c r="O62" s="11" t="s">
        <v>38</v>
      </c>
      <c r="P62" t="s">
        <v>8</v>
      </c>
      <c r="Q62">
        <v>3600</v>
      </c>
      <c r="R62">
        <v>0</v>
      </c>
      <c r="S62">
        <v>0</v>
      </c>
      <c r="T62" t="str">
        <f t="shared" si="11"/>
        <v>-</v>
      </c>
      <c r="U62" t="str">
        <f t="shared" si="12"/>
        <v>-</v>
      </c>
      <c r="V62" t="str">
        <f t="shared" si="13"/>
        <v>-</v>
      </c>
      <c r="W62" t="str">
        <f t="shared" si="14"/>
        <v>-</v>
      </c>
      <c r="X62" t="str">
        <f t="shared" si="15"/>
        <v>-</v>
      </c>
      <c r="Y62" t="str">
        <f t="shared" si="16"/>
        <v>-</v>
      </c>
      <c r="Z62" t="str">
        <f t="shared" si="17"/>
        <v>-</v>
      </c>
      <c r="AA62" t="str">
        <f t="shared" si="18"/>
        <v>-</v>
      </c>
      <c r="AB62" t="str">
        <f>IF(_xlfn.IFNA(VLOOKUP(P62,Set_Ref!$B$6:$B$1048576,1,FALSE),"")&lt;&gt;"","-",FALSE)</f>
        <v>-</v>
      </c>
      <c r="AC62" t="str">
        <f t="shared" si="19"/>
        <v>-</v>
      </c>
      <c r="AD62" t="str">
        <f t="shared" si="20"/>
        <v>-</v>
      </c>
      <c r="AE62" t="b">
        <f t="shared" si="21"/>
        <v>1</v>
      </c>
    </row>
    <row r="63" spans="1:31" x14ac:dyDescent="0.25">
      <c r="A63">
        <v>5</v>
      </c>
      <c r="B63">
        <v>1</v>
      </c>
      <c r="C63">
        <v>261</v>
      </c>
      <c r="D63" s="11" t="s">
        <v>145</v>
      </c>
      <c r="E63" s="11" t="s">
        <v>213</v>
      </c>
      <c r="F63" s="11" t="s">
        <v>204</v>
      </c>
      <c r="G63" s="11" t="s">
        <v>227</v>
      </c>
      <c r="H63">
        <v>1</v>
      </c>
      <c r="I63" s="11" t="s">
        <v>173</v>
      </c>
      <c r="J63" s="11" t="s">
        <v>192</v>
      </c>
      <c r="K63" s="11" t="s">
        <v>174</v>
      </c>
      <c r="L63" s="11" t="s">
        <v>38</v>
      </c>
      <c r="M63" s="11" t="s">
        <v>38</v>
      </c>
      <c r="N63" s="11" t="s">
        <v>38</v>
      </c>
      <c r="O63" s="11" t="s">
        <v>38</v>
      </c>
      <c r="P63" t="s">
        <v>8</v>
      </c>
      <c r="Q63">
        <v>34</v>
      </c>
      <c r="R63">
        <v>0</v>
      </c>
      <c r="S63">
        <v>0</v>
      </c>
      <c r="T63" t="str">
        <f t="shared" si="11"/>
        <v>-</v>
      </c>
      <c r="U63" t="str">
        <f t="shared" si="12"/>
        <v>-</v>
      </c>
      <c r="V63" t="str">
        <f t="shared" si="13"/>
        <v>-</v>
      </c>
      <c r="W63" t="str">
        <f t="shared" si="14"/>
        <v>-</v>
      </c>
      <c r="X63" t="str">
        <f t="shared" si="15"/>
        <v>-</v>
      </c>
      <c r="Y63" t="str">
        <f t="shared" si="16"/>
        <v>-</v>
      </c>
      <c r="Z63" t="str">
        <f t="shared" si="17"/>
        <v>-</v>
      </c>
      <c r="AA63" t="str">
        <f t="shared" si="18"/>
        <v>-</v>
      </c>
      <c r="AB63" t="str">
        <f>IF(_xlfn.IFNA(VLOOKUP(P63,Set_Ref!$B$6:$B$1048576,1,FALSE),"")&lt;&gt;"","-",FALSE)</f>
        <v>-</v>
      </c>
      <c r="AC63" t="str">
        <f t="shared" si="19"/>
        <v>-</v>
      </c>
      <c r="AD63" t="str">
        <f t="shared" si="20"/>
        <v>-</v>
      </c>
      <c r="AE63" t="b">
        <f t="shared" si="21"/>
        <v>1</v>
      </c>
    </row>
    <row r="64" spans="1:31" x14ac:dyDescent="0.25">
      <c r="A64">
        <v>5</v>
      </c>
      <c r="B64">
        <v>2</v>
      </c>
      <c r="C64">
        <v>261</v>
      </c>
      <c r="D64" s="11" t="s">
        <v>145</v>
      </c>
      <c r="E64" s="11" t="s">
        <v>213</v>
      </c>
      <c r="F64" s="11" t="s">
        <v>204</v>
      </c>
      <c r="G64" s="11" t="s">
        <v>227</v>
      </c>
      <c r="H64">
        <v>1</v>
      </c>
      <c r="I64" s="11" t="s">
        <v>173</v>
      </c>
      <c r="J64" s="11" t="s">
        <v>192</v>
      </c>
      <c r="K64" s="11" t="s">
        <v>174</v>
      </c>
      <c r="L64" s="11" t="s">
        <v>38</v>
      </c>
      <c r="M64" s="11" t="s">
        <v>38</v>
      </c>
      <c r="N64" s="11" t="s">
        <v>38</v>
      </c>
      <c r="O64" s="11" t="s">
        <v>38</v>
      </c>
      <c r="P64" t="s">
        <v>8</v>
      </c>
      <c r="Q64">
        <v>43</v>
      </c>
      <c r="R64">
        <v>0</v>
      </c>
      <c r="S64">
        <v>0</v>
      </c>
      <c r="T64" t="str">
        <f t="shared" si="11"/>
        <v>-</v>
      </c>
      <c r="U64" t="str">
        <f t="shared" si="12"/>
        <v>-</v>
      </c>
      <c r="V64" t="str">
        <f t="shared" si="13"/>
        <v>-</v>
      </c>
      <c r="W64" t="str">
        <f t="shared" si="14"/>
        <v>-</v>
      </c>
      <c r="X64" t="str">
        <f t="shared" si="15"/>
        <v>-</v>
      </c>
      <c r="Y64" t="str">
        <f t="shared" si="16"/>
        <v>-</v>
      </c>
      <c r="Z64" t="str">
        <f t="shared" si="17"/>
        <v>-</v>
      </c>
      <c r="AA64" t="str">
        <f t="shared" si="18"/>
        <v>-</v>
      </c>
      <c r="AB64" t="str">
        <f>IF(_xlfn.IFNA(VLOOKUP(P64,Set_Ref!$B$6:$B$1048576,1,FALSE),"")&lt;&gt;"","-",FALSE)</f>
        <v>-</v>
      </c>
      <c r="AC64" t="str">
        <f t="shared" si="19"/>
        <v>-</v>
      </c>
      <c r="AD64" t="str">
        <f t="shared" si="20"/>
        <v>-</v>
      </c>
      <c r="AE64" t="b">
        <f t="shared" si="21"/>
        <v>1</v>
      </c>
    </row>
    <row r="65" spans="1:31" x14ac:dyDescent="0.25">
      <c r="A65">
        <v>5</v>
      </c>
      <c r="B65">
        <v>3</v>
      </c>
      <c r="C65">
        <v>261</v>
      </c>
      <c r="D65" s="11" t="s">
        <v>145</v>
      </c>
      <c r="E65" s="11" t="s">
        <v>213</v>
      </c>
      <c r="F65" s="11" t="s">
        <v>204</v>
      </c>
      <c r="G65" s="11" t="s">
        <v>227</v>
      </c>
      <c r="H65">
        <v>1</v>
      </c>
      <c r="I65" s="11" t="s">
        <v>173</v>
      </c>
      <c r="J65" s="11" t="s">
        <v>192</v>
      </c>
      <c r="K65" s="11" t="s">
        <v>174</v>
      </c>
      <c r="L65" s="11" t="s">
        <v>38</v>
      </c>
      <c r="M65" s="11" t="s">
        <v>38</v>
      </c>
      <c r="N65" s="11" t="s">
        <v>38</v>
      </c>
      <c r="O65" s="11" t="s">
        <v>38</v>
      </c>
      <c r="P65" t="s">
        <v>8</v>
      </c>
      <c r="Q65">
        <v>48</v>
      </c>
      <c r="R65">
        <v>0</v>
      </c>
      <c r="S65">
        <v>0</v>
      </c>
      <c r="T65" t="str">
        <f t="shared" si="11"/>
        <v>-</v>
      </c>
      <c r="U65" t="str">
        <f t="shared" si="12"/>
        <v>-</v>
      </c>
      <c r="V65" t="str">
        <f t="shared" si="13"/>
        <v>-</v>
      </c>
      <c r="W65" t="str">
        <f t="shared" si="14"/>
        <v>-</v>
      </c>
      <c r="X65" t="str">
        <f t="shared" si="15"/>
        <v>-</v>
      </c>
      <c r="Y65" t="str">
        <f t="shared" si="16"/>
        <v>-</v>
      </c>
      <c r="Z65" t="str">
        <f t="shared" si="17"/>
        <v>-</v>
      </c>
      <c r="AA65" t="str">
        <f t="shared" si="18"/>
        <v>-</v>
      </c>
      <c r="AB65" t="str">
        <f>IF(_xlfn.IFNA(VLOOKUP(P65,Set_Ref!$B$6:$B$1048576,1,FALSE),"")&lt;&gt;"","-",FALSE)</f>
        <v>-</v>
      </c>
      <c r="AC65" t="str">
        <f t="shared" si="19"/>
        <v>-</v>
      </c>
      <c r="AD65" t="str">
        <f t="shared" si="20"/>
        <v>-</v>
      </c>
      <c r="AE65" t="b">
        <f t="shared" si="21"/>
        <v>1</v>
      </c>
    </row>
    <row r="66" spans="1:31" x14ac:dyDescent="0.25">
      <c r="A66">
        <v>5</v>
      </c>
      <c r="B66">
        <v>4</v>
      </c>
      <c r="C66">
        <v>261</v>
      </c>
      <c r="D66" s="11" t="s">
        <v>145</v>
      </c>
      <c r="E66" s="11" t="s">
        <v>213</v>
      </c>
      <c r="F66" s="11" t="s">
        <v>204</v>
      </c>
      <c r="G66" s="11" t="s">
        <v>227</v>
      </c>
      <c r="H66">
        <v>1</v>
      </c>
      <c r="I66" s="11" t="s">
        <v>173</v>
      </c>
      <c r="J66" s="11" t="s">
        <v>192</v>
      </c>
      <c r="K66" s="11" t="s">
        <v>174</v>
      </c>
      <c r="L66" s="11" t="s">
        <v>38</v>
      </c>
      <c r="M66" s="11" t="s">
        <v>38</v>
      </c>
      <c r="N66" s="11" t="s">
        <v>38</v>
      </c>
      <c r="O66" s="11" t="s">
        <v>38</v>
      </c>
      <c r="P66" t="s">
        <v>8</v>
      </c>
      <c r="Q66">
        <v>36</v>
      </c>
      <c r="R66">
        <v>0</v>
      </c>
      <c r="S66">
        <v>0</v>
      </c>
      <c r="T66" t="str">
        <f t="shared" si="11"/>
        <v>-</v>
      </c>
      <c r="U66" t="str">
        <f t="shared" si="12"/>
        <v>-</v>
      </c>
      <c r="V66" t="str">
        <f t="shared" si="13"/>
        <v>-</v>
      </c>
      <c r="W66" t="str">
        <f t="shared" si="14"/>
        <v>-</v>
      </c>
      <c r="X66" t="str">
        <f t="shared" si="15"/>
        <v>-</v>
      </c>
      <c r="Y66" t="str">
        <f t="shared" si="16"/>
        <v>-</v>
      </c>
      <c r="Z66" t="str">
        <f t="shared" si="17"/>
        <v>-</v>
      </c>
      <c r="AA66" t="str">
        <f t="shared" si="18"/>
        <v>-</v>
      </c>
      <c r="AB66" t="str">
        <f>IF(_xlfn.IFNA(VLOOKUP(P66,Set_Ref!$B$6:$B$1048576,1,FALSE),"")&lt;&gt;"","-",FALSE)</f>
        <v>-</v>
      </c>
      <c r="AC66" t="str">
        <f t="shared" si="19"/>
        <v>-</v>
      </c>
      <c r="AD66" t="str">
        <f t="shared" si="20"/>
        <v>-</v>
      </c>
      <c r="AE66" t="b">
        <f t="shared" si="21"/>
        <v>1</v>
      </c>
    </row>
    <row r="67" spans="1:31" x14ac:dyDescent="0.25">
      <c r="A67">
        <v>5</v>
      </c>
      <c r="B67">
        <v>5</v>
      </c>
      <c r="C67">
        <v>261</v>
      </c>
      <c r="D67" s="11" t="s">
        <v>145</v>
      </c>
      <c r="E67" s="11" t="s">
        <v>213</v>
      </c>
      <c r="F67" s="11" t="s">
        <v>204</v>
      </c>
      <c r="G67" s="11" t="s">
        <v>227</v>
      </c>
      <c r="H67">
        <v>1</v>
      </c>
      <c r="I67" s="11" t="s">
        <v>173</v>
      </c>
      <c r="J67" s="11" t="s">
        <v>192</v>
      </c>
      <c r="K67" s="11" t="s">
        <v>174</v>
      </c>
      <c r="L67" s="11" t="s">
        <v>38</v>
      </c>
      <c r="M67" s="11" t="s">
        <v>38</v>
      </c>
      <c r="N67" s="11" t="s">
        <v>38</v>
      </c>
      <c r="O67" s="11" t="s">
        <v>38</v>
      </c>
      <c r="P67" t="s">
        <v>8</v>
      </c>
      <c r="Q67">
        <v>31</v>
      </c>
      <c r="R67">
        <v>0</v>
      </c>
      <c r="S67">
        <v>0</v>
      </c>
      <c r="T67" t="str">
        <f t="shared" ref="T67:T98" si="22">IF(OR(A67="",A67&lt;1),FALSE,IF(ISNUMBER(A67), IF(INT(A67) = A67, "-", FALSE), FALSE))</f>
        <v>-</v>
      </c>
      <c r="U67" t="str">
        <f t="shared" ref="U67:U98" si="23">IF(OR(B67="",A67&lt;1),FALSE,IF(ISNUMBER(A67), IF(INT(A67) = A67, "-", FALSE), FALSE))</f>
        <v>-</v>
      </c>
      <c r="V67" t="str">
        <f t="shared" ref="V67:V98" si="24">IF(OR(C67="",C67="PilihSalasatu"),FALSE,"-")</f>
        <v>-</v>
      </c>
      <c r="W67" t="str">
        <f t="shared" ref="W67:W98" si="25">IF(D67="",FALSE,"-")</f>
        <v>-</v>
      </c>
      <c r="X67" t="str">
        <f t="shared" ref="X67:X98" si="26">IF(E67="",FALSE,"-")</f>
        <v>-</v>
      </c>
      <c r="Y67" t="str">
        <f t="shared" ref="Y67:Y98" si="27">IF(F67="",FALSE,"-")</f>
        <v>-</v>
      </c>
      <c r="Z67" t="str">
        <f t="shared" ref="Z67:Z98" si="28">IF(I67="",FALSE,"-")</f>
        <v>-</v>
      </c>
      <c r="AA67" t="str">
        <f t="shared" ref="AA67:AA98" si="29">IF(J67="",FALSE,"-")</f>
        <v>-</v>
      </c>
      <c r="AB67" t="str">
        <f>IF(_xlfn.IFNA(VLOOKUP(P67,Set_Ref!$B$6:$B$1048576,1,FALSE),"")&lt;&gt;"","-",FALSE)</f>
        <v>-</v>
      </c>
      <c r="AC67" t="str">
        <f t="shared" ref="AC67:AC98" si="30">IF(OR(Q67="",Q67&lt;1),FALSE,IF(ISNUMBER(Q67),"-",FALSE))</f>
        <v>-</v>
      </c>
      <c r="AD67" t="str">
        <f t="shared" ref="AD67:AD98" si="31">IF(OR(G67="",H67="",I67="",K67=""),FALSE,"-")</f>
        <v>-</v>
      </c>
      <c r="AE67" t="b">
        <f t="shared" ref="AE67:AE98" si="32">IF(COUNTIF(T67:AD67, "FALSE") &gt; 0, FALSE, TRUE)</f>
        <v>1</v>
      </c>
    </row>
    <row r="68" spans="1:31" x14ac:dyDescent="0.25">
      <c r="A68">
        <v>5</v>
      </c>
      <c r="B68">
        <v>6</v>
      </c>
      <c r="C68">
        <v>261</v>
      </c>
      <c r="D68" s="11" t="s">
        <v>145</v>
      </c>
      <c r="E68" s="11" t="s">
        <v>213</v>
      </c>
      <c r="F68" s="11" t="s">
        <v>204</v>
      </c>
      <c r="G68" s="11" t="s">
        <v>227</v>
      </c>
      <c r="H68">
        <v>1</v>
      </c>
      <c r="I68" s="11" t="s">
        <v>173</v>
      </c>
      <c r="J68" s="11" t="s">
        <v>192</v>
      </c>
      <c r="K68" s="11" t="s">
        <v>174</v>
      </c>
      <c r="L68" s="11" t="s">
        <v>38</v>
      </c>
      <c r="M68" s="11" t="s">
        <v>38</v>
      </c>
      <c r="N68" s="11" t="s">
        <v>38</v>
      </c>
      <c r="O68" s="11" t="s">
        <v>38</v>
      </c>
      <c r="P68" t="s">
        <v>8</v>
      </c>
      <c r="Q68">
        <v>36</v>
      </c>
      <c r="R68">
        <v>0</v>
      </c>
      <c r="S68">
        <v>0</v>
      </c>
      <c r="T68" t="str">
        <f t="shared" si="22"/>
        <v>-</v>
      </c>
      <c r="U68" t="str">
        <f t="shared" si="23"/>
        <v>-</v>
      </c>
      <c r="V68" t="str">
        <f t="shared" si="24"/>
        <v>-</v>
      </c>
      <c r="W68" t="str">
        <f t="shared" si="25"/>
        <v>-</v>
      </c>
      <c r="X68" t="str">
        <f t="shared" si="26"/>
        <v>-</v>
      </c>
      <c r="Y68" t="str">
        <f t="shared" si="27"/>
        <v>-</v>
      </c>
      <c r="Z68" t="str">
        <f t="shared" si="28"/>
        <v>-</v>
      </c>
      <c r="AA68" t="str">
        <f t="shared" si="29"/>
        <v>-</v>
      </c>
      <c r="AB68" t="str">
        <f>IF(_xlfn.IFNA(VLOOKUP(P68,Set_Ref!$B$6:$B$1048576,1,FALSE),"")&lt;&gt;"","-",FALSE)</f>
        <v>-</v>
      </c>
      <c r="AC68" t="str">
        <f t="shared" si="30"/>
        <v>-</v>
      </c>
      <c r="AD68" t="str">
        <f t="shared" si="31"/>
        <v>-</v>
      </c>
      <c r="AE68" t="b">
        <f t="shared" si="32"/>
        <v>1</v>
      </c>
    </row>
    <row r="69" spans="1:31" x14ac:dyDescent="0.25">
      <c r="A69">
        <v>5</v>
      </c>
      <c r="B69">
        <v>7</v>
      </c>
      <c r="C69">
        <v>261</v>
      </c>
      <c r="D69" s="11" t="s">
        <v>145</v>
      </c>
      <c r="E69" s="11" t="s">
        <v>210</v>
      </c>
      <c r="F69" s="11" t="s">
        <v>205</v>
      </c>
      <c r="G69" s="11" t="s">
        <v>223</v>
      </c>
      <c r="H69">
        <v>9</v>
      </c>
      <c r="I69" s="11" t="s">
        <v>173</v>
      </c>
      <c r="J69" s="11" t="s">
        <v>192</v>
      </c>
      <c r="K69" s="11" t="s">
        <v>174</v>
      </c>
      <c r="L69" s="11" t="s">
        <v>38</v>
      </c>
      <c r="M69" s="11" t="s">
        <v>38</v>
      </c>
      <c r="N69" s="11" t="s">
        <v>38</v>
      </c>
      <c r="O69" s="11" t="s">
        <v>38</v>
      </c>
      <c r="P69" t="s">
        <v>8</v>
      </c>
      <c r="Q69">
        <v>77</v>
      </c>
      <c r="R69">
        <v>0</v>
      </c>
      <c r="S69">
        <v>0</v>
      </c>
      <c r="T69" t="str">
        <f t="shared" si="22"/>
        <v>-</v>
      </c>
      <c r="U69" t="str">
        <f t="shared" si="23"/>
        <v>-</v>
      </c>
      <c r="V69" t="str">
        <f t="shared" si="24"/>
        <v>-</v>
      </c>
      <c r="W69" t="str">
        <f t="shared" si="25"/>
        <v>-</v>
      </c>
      <c r="X69" t="str">
        <f t="shared" si="26"/>
        <v>-</v>
      </c>
      <c r="Y69" t="str">
        <f t="shared" si="27"/>
        <v>-</v>
      </c>
      <c r="Z69" t="str">
        <f t="shared" si="28"/>
        <v>-</v>
      </c>
      <c r="AA69" t="str">
        <f t="shared" si="29"/>
        <v>-</v>
      </c>
      <c r="AB69" t="str">
        <f>IF(_xlfn.IFNA(VLOOKUP(P69,Set_Ref!$B$6:$B$1048576,1,FALSE),"")&lt;&gt;"","-",FALSE)</f>
        <v>-</v>
      </c>
      <c r="AC69" t="str">
        <f t="shared" si="30"/>
        <v>-</v>
      </c>
      <c r="AD69" t="str">
        <f t="shared" si="31"/>
        <v>-</v>
      </c>
      <c r="AE69" t="b">
        <f t="shared" si="32"/>
        <v>1</v>
      </c>
    </row>
    <row r="70" spans="1:31" x14ac:dyDescent="0.25">
      <c r="A70">
        <v>5</v>
      </c>
      <c r="B70">
        <v>8</v>
      </c>
      <c r="C70">
        <v>261</v>
      </c>
      <c r="D70" s="11" t="s">
        <v>145</v>
      </c>
      <c r="E70" s="11" t="s">
        <v>210</v>
      </c>
      <c r="F70" s="11" t="s">
        <v>205</v>
      </c>
      <c r="G70" s="11" t="s">
        <v>223</v>
      </c>
      <c r="H70">
        <v>9</v>
      </c>
      <c r="I70" s="11" t="s">
        <v>173</v>
      </c>
      <c r="J70" s="11" t="s">
        <v>192</v>
      </c>
      <c r="K70" s="11" t="s">
        <v>174</v>
      </c>
      <c r="L70" s="11" t="s">
        <v>38</v>
      </c>
      <c r="M70" s="11" t="s">
        <v>38</v>
      </c>
      <c r="N70" s="11" t="s">
        <v>38</v>
      </c>
      <c r="O70" s="11" t="s">
        <v>38</v>
      </c>
      <c r="P70" t="s">
        <v>8</v>
      </c>
      <c r="Q70">
        <v>109</v>
      </c>
      <c r="R70">
        <v>0</v>
      </c>
      <c r="S70">
        <v>0</v>
      </c>
      <c r="T70" t="str">
        <f t="shared" si="22"/>
        <v>-</v>
      </c>
      <c r="U70" t="str">
        <f t="shared" si="23"/>
        <v>-</v>
      </c>
      <c r="V70" t="str">
        <f t="shared" si="24"/>
        <v>-</v>
      </c>
      <c r="W70" t="str">
        <f t="shared" si="25"/>
        <v>-</v>
      </c>
      <c r="X70" t="str">
        <f t="shared" si="26"/>
        <v>-</v>
      </c>
      <c r="Y70" t="str">
        <f t="shared" si="27"/>
        <v>-</v>
      </c>
      <c r="Z70" t="str">
        <f t="shared" si="28"/>
        <v>-</v>
      </c>
      <c r="AA70" t="str">
        <f t="shared" si="29"/>
        <v>-</v>
      </c>
      <c r="AB70" t="str">
        <f>IF(_xlfn.IFNA(VLOOKUP(P70,Set_Ref!$B$6:$B$1048576,1,FALSE),"")&lt;&gt;"","-",FALSE)</f>
        <v>-</v>
      </c>
      <c r="AC70" t="str">
        <f t="shared" si="30"/>
        <v>-</v>
      </c>
      <c r="AD70" t="str">
        <f t="shared" si="31"/>
        <v>-</v>
      </c>
      <c r="AE70" t="b">
        <f t="shared" si="32"/>
        <v>1</v>
      </c>
    </row>
    <row r="71" spans="1:31" x14ac:dyDescent="0.25">
      <c r="A71">
        <v>5</v>
      </c>
      <c r="B71">
        <v>9</v>
      </c>
      <c r="C71">
        <v>261</v>
      </c>
      <c r="D71" s="11" t="s">
        <v>145</v>
      </c>
      <c r="E71" s="11" t="s">
        <v>210</v>
      </c>
      <c r="F71" s="11" t="s">
        <v>205</v>
      </c>
      <c r="G71" s="11" t="s">
        <v>223</v>
      </c>
      <c r="H71">
        <v>9</v>
      </c>
      <c r="I71" s="11" t="s">
        <v>173</v>
      </c>
      <c r="J71" s="11" t="s">
        <v>192</v>
      </c>
      <c r="K71" s="11" t="s">
        <v>174</v>
      </c>
      <c r="L71" s="11" t="s">
        <v>38</v>
      </c>
      <c r="M71" s="11" t="s">
        <v>38</v>
      </c>
      <c r="N71" s="11" t="s">
        <v>38</v>
      </c>
      <c r="O71" s="11" t="s">
        <v>38</v>
      </c>
      <c r="P71" t="s">
        <v>8</v>
      </c>
      <c r="Q71">
        <v>139</v>
      </c>
      <c r="R71">
        <v>0</v>
      </c>
      <c r="S71">
        <v>0</v>
      </c>
      <c r="T71" t="str">
        <f t="shared" si="22"/>
        <v>-</v>
      </c>
      <c r="U71" t="str">
        <f t="shared" si="23"/>
        <v>-</v>
      </c>
      <c r="V71" t="str">
        <f t="shared" si="24"/>
        <v>-</v>
      </c>
      <c r="W71" t="str">
        <f t="shared" si="25"/>
        <v>-</v>
      </c>
      <c r="X71" t="str">
        <f t="shared" si="26"/>
        <v>-</v>
      </c>
      <c r="Y71" t="str">
        <f t="shared" si="27"/>
        <v>-</v>
      </c>
      <c r="Z71" t="str">
        <f t="shared" si="28"/>
        <v>-</v>
      </c>
      <c r="AA71" t="str">
        <f t="shared" si="29"/>
        <v>-</v>
      </c>
      <c r="AB71" t="str">
        <f>IF(_xlfn.IFNA(VLOOKUP(P71,Set_Ref!$B$6:$B$1048576,1,FALSE),"")&lt;&gt;"","-",FALSE)</f>
        <v>-</v>
      </c>
      <c r="AC71" t="str">
        <f t="shared" si="30"/>
        <v>-</v>
      </c>
      <c r="AD71" t="str">
        <f t="shared" si="31"/>
        <v>-</v>
      </c>
      <c r="AE71" t="b">
        <f t="shared" si="32"/>
        <v>1</v>
      </c>
    </row>
    <row r="72" spans="1:31" x14ac:dyDescent="0.25">
      <c r="A72">
        <v>5</v>
      </c>
      <c r="B72">
        <v>10</v>
      </c>
      <c r="C72">
        <v>261</v>
      </c>
      <c r="D72" s="11" t="s">
        <v>145</v>
      </c>
      <c r="E72" s="11" t="s">
        <v>210</v>
      </c>
      <c r="F72" s="11" t="s">
        <v>205</v>
      </c>
      <c r="G72" s="11" t="s">
        <v>223</v>
      </c>
      <c r="H72">
        <v>9</v>
      </c>
      <c r="I72" s="11" t="s">
        <v>173</v>
      </c>
      <c r="J72" s="11" t="s">
        <v>192</v>
      </c>
      <c r="K72" s="11" t="s">
        <v>174</v>
      </c>
      <c r="L72" s="11" t="s">
        <v>38</v>
      </c>
      <c r="M72" s="11" t="s">
        <v>38</v>
      </c>
      <c r="N72" s="11" t="s">
        <v>38</v>
      </c>
      <c r="O72" s="11" t="s">
        <v>38</v>
      </c>
      <c r="P72" t="s">
        <v>8</v>
      </c>
      <c r="Q72">
        <v>98</v>
      </c>
      <c r="R72">
        <v>0</v>
      </c>
      <c r="S72">
        <v>0</v>
      </c>
      <c r="T72" t="str">
        <f t="shared" si="22"/>
        <v>-</v>
      </c>
      <c r="U72" t="str">
        <f t="shared" si="23"/>
        <v>-</v>
      </c>
      <c r="V72" t="str">
        <f t="shared" si="24"/>
        <v>-</v>
      </c>
      <c r="W72" t="str">
        <f t="shared" si="25"/>
        <v>-</v>
      </c>
      <c r="X72" t="str">
        <f t="shared" si="26"/>
        <v>-</v>
      </c>
      <c r="Y72" t="str">
        <f t="shared" si="27"/>
        <v>-</v>
      </c>
      <c r="Z72" t="str">
        <f t="shared" si="28"/>
        <v>-</v>
      </c>
      <c r="AA72" t="str">
        <f t="shared" si="29"/>
        <v>-</v>
      </c>
      <c r="AB72" t="str">
        <f>IF(_xlfn.IFNA(VLOOKUP(P72,Set_Ref!$B$6:$B$1048576,1,FALSE),"")&lt;&gt;"","-",FALSE)</f>
        <v>-</v>
      </c>
      <c r="AC72" t="str">
        <f t="shared" si="30"/>
        <v>-</v>
      </c>
      <c r="AD72" t="str">
        <f t="shared" si="31"/>
        <v>-</v>
      </c>
      <c r="AE72" t="b">
        <f t="shared" si="32"/>
        <v>1</v>
      </c>
    </row>
    <row r="73" spans="1:31" x14ac:dyDescent="0.25">
      <c r="A73">
        <v>5</v>
      </c>
      <c r="B73">
        <v>11</v>
      </c>
      <c r="C73">
        <v>261</v>
      </c>
      <c r="D73" s="11" t="s">
        <v>145</v>
      </c>
      <c r="E73" s="11" t="s">
        <v>210</v>
      </c>
      <c r="F73" s="11" t="s">
        <v>205</v>
      </c>
      <c r="G73" s="11" t="s">
        <v>223</v>
      </c>
      <c r="H73">
        <v>9</v>
      </c>
      <c r="I73" s="11" t="s">
        <v>173</v>
      </c>
      <c r="J73" s="11" t="s">
        <v>192</v>
      </c>
      <c r="K73" s="11" t="s">
        <v>174</v>
      </c>
      <c r="L73" s="11" t="s">
        <v>38</v>
      </c>
      <c r="M73" s="11" t="s">
        <v>38</v>
      </c>
      <c r="N73" s="11" t="s">
        <v>38</v>
      </c>
      <c r="O73" s="11" t="s">
        <v>38</v>
      </c>
      <c r="P73" t="s">
        <v>8</v>
      </c>
      <c r="Q73">
        <v>87</v>
      </c>
      <c r="R73">
        <v>0</v>
      </c>
      <c r="S73">
        <v>0</v>
      </c>
      <c r="T73" t="str">
        <f t="shared" si="22"/>
        <v>-</v>
      </c>
      <c r="U73" t="str">
        <f t="shared" si="23"/>
        <v>-</v>
      </c>
      <c r="V73" t="str">
        <f t="shared" si="24"/>
        <v>-</v>
      </c>
      <c r="W73" t="str">
        <f t="shared" si="25"/>
        <v>-</v>
      </c>
      <c r="X73" t="str">
        <f t="shared" si="26"/>
        <v>-</v>
      </c>
      <c r="Y73" t="str">
        <f t="shared" si="27"/>
        <v>-</v>
      </c>
      <c r="Z73" t="str">
        <f t="shared" si="28"/>
        <v>-</v>
      </c>
      <c r="AA73" t="str">
        <f t="shared" si="29"/>
        <v>-</v>
      </c>
      <c r="AB73" t="str">
        <f>IF(_xlfn.IFNA(VLOOKUP(P73,Set_Ref!$B$6:$B$1048576,1,FALSE),"")&lt;&gt;"","-",FALSE)</f>
        <v>-</v>
      </c>
      <c r="AC73" t="str">
        <f t="shared" si="30"/>
        <v>-</v>
      </c>
      <c r="AD73" t="str">
        <f t="shared" si="31"/>
        <v>-</v>
      </c>
      <c r="AE73" t="b">
        <f t="shared" si="32"/>
        <v>1</v>
      </c>
    </row>
    <row r="74" spans="1:31" x14ac:dyDescent="0.25">
      <c r="A74">
        <v>5</v>
      </c>
      <c r="B74">
        <v>12</v>
      </c>
      <c r="C74">
        <v>261</v>
      </c>
      <c r="D74" s="11" t="s">
        <v>145</v>
      </c>
      <c r="E74" s="11" t="s">
        <v>210</v>
      </c>
      <c r="F74" s="11" t="s">
        <v>205</v>
      </c>
      <c r="G74" s="11" t="s">
        <v>223</v>
      </c>
      <c r="H74">
        <v>9</v>
      </c>
      <c r="I74" s="11" t="s">
        <v>173</v>
      </c>
      <c r="J74" s="11" t="s">
        <v>192</v>
      </c>
      <c r="K74" s="11" t="s">
        <v>174</v>
      </c>
      <c r="L74" s="11" t="s">
        <v>38</v>
      </c>
      <c r="M74" s="11" t="s">
        <v>38</v>
      </c>
      <c r="N74" s="11" t="s">
        <v>38</v>
      </c>
      <c r="O74" s="11" t="s">
        <v>38</v>
      </c>
      <c r="P74" t="s">
        <v>8</v>
      </c>
      <c r="Q74">
        <v>208</v>
      </c>
      <c r="R74">
        <v>0</v>
      </c>
      <c r="S74">
        <v>0</v>
      </c>
      <c r="T74" t="str">
        <f t="shared" si="22"/>
        <v>-</v>
      </c>
      <c r="U74" t="str">
        <f t="shared" si="23"/>
        <v>-</v>
      </c>
      <c r="V74" t="str">
        <f t="shared" si="24"/>
        <v>-</v>
      </c>
      <c r="W74" t="str">
        <f t="shared" si="25"/>
        <v>-</v>
      </c>
      <c r="X74" t="str">
        <f t="shared" si="26"/>
        <v>-</v>
      </c>
      <c r="Y74" t="str">
        <f t="shared" si="27"/>
        <v>-</v>
      </c>
      <c r="Z74" t="str">
        <f t="shared" si="28"/>
        <v>-</v>
      </c>
      <c r="AA74" t="str">
        <f t="shared" si="29"/>
        <v>-</v>
      </c>
      <c r="AB74" t="str">
        <f>IF(_xlfn.IFNA(VLOOKUP(P74,Set_Ref!$B$6:$B$1048576,1,FALSE),"")&lt;&gt;"","-",FALSE)</f>
        <v>-</v>
      </c>
      <c r="AC74" t="str">
        <f t="shared" si="30"/>
        <v>-</v>
      </c>
      <c r="AD74" t="str">
        <f t="shared" si="31"/>
        <v>-</v>
      </c>
      <c r="AE74" t="b">
        <f t="shared" si="32"/>
        <v>1</v>
      </c>
    </row>
    <row r="75" spans="1:31" x14ac:dyDescent="0.25">
      <c r="A75">
        <v>5</v>
      </c>
      <c r="B75">
        <v>13</v>
      </c>
      <c r="C75">
        <v>261</v>
      </c>
      <c r="D75" s="11" t="s">
        <v>145</v>
      </c>
      <c r="E75" s="11" t="s">
        <v>214</v>
      </c>
      <c r="F75" s="11" t="s">
        <v>206</v>
      </c>
      <c r="G75" s="11" t="s">
        <v>229</v>
      </c>
      <c r="H75">
        <v>7</v>
      </c>
      <c r="I75" s="11" t="s">
        <v>173</v>
      </c>
      <c r="J75" s="11" t="s">
        <v>192</v>
      </c>
      <c r="K75" s="11" t="s">
        <v>174</v>
      </c>
      <c r="L75" s="11" t="s">
        <v>38</v>
      </c>
      <c r="M75" s="11" t="s">
        <v>38</v>
      </c>
      <c r="N75" s="11" t="s">
        <v>38</v>
      </c>
      <c r="O75" s="11" t="s">
        <v>38</v>
      </c>
      <c r="P75" t="s">
        <v>8</v>
      </c>
      <c r="Q75">
        <v>38</v>
      </c>
      <c r="R75">
        <v>0</v>
      </c>
      <c r="S75">
        <v>0</v>
      </c>
      <c r="T75" t="str">
        <f t="shared" si="22"/>
        <v>-</v>
      </c>
      <c r="U75" t="str">
        <f t="shared" si="23"/>
        <v>-</v>
      </c>
      <c r="V75" t="str">
        <f t="shared" si="24"/>
        <v>-</v>
      </c>
      <c r="W75" t="str">
        <f t="shared" si="25"/>
        <v>-</v>
      </c>
      <c r="X75" t="str">
        <f t="shared" si="26"/>
        <v>-</v>
      </c>
      <c r="Y75" t="str">
        <f t="shared" si="27"/>
        <v>-</v>
      </c>
      <c r="Z75" t="str">
        <f t="shared" si="28"/>
        <v>-</v>
      </c>
      <c r="AA75" t="str">
        <f t="shared" si="29"/>
        <v>-</v>
      </c>
      <c r="AB75" t="str">
        <f>IF(_xlfn.IFNA(VLOOKUP(P75,Set_Ref!$B$6:$B$1048576,1,FALSE),"")&lt;&gt;"","-",FALSE)</f>
        <v>-</v>
      </c>
      <c r="AC75" t="str">
        <f t="shared" si="30"/>
        <v>-</v>
      </c>
      <c r="AD75" t="str">
        <f t="shared" si="31"/>
        <v>-</v>
      </c>
      <c r="AE75" t="b">
        <f t="shared" si="32"/>
        <v>1</v>
      </c>
    </row>
    <row r="76" spans="1:31" x14ac:dyDescent="0.25">
      <c r="A76">
        <v>5</v>
      </c>
      <c r="B76">
        <v>14</v>
      </c>
      <c r="C76">
        <v>261</v>
      </c>
      <c r="D76" s="11" t="s">
        <v>145</v>
      </c>
      <c r="E76" s="11" t="s">
        <v>214</v>
      </c>
      <c r="F76" s="11" t="s">
        <v>206</v>
      </c>
      <c r="G76" s="11" t="s">
        <v>229</v>
      </c>
      <c r="H76">
        <v>7</v>
      </c>
      <c r="I76" s="11" t="s">
        <v>173</v>
      </c>
      <c r="J76" s="11" t="s">
        <v>192</v>
      </c>
      <c r="K76" s="11" t="s">
        <v>174</v>
      </c>
      <c r="L76" s="11" t="s">
        <v>38</v>
      </c>
      <c r="M76" s="11" t="s">
        <v>38</v>
      </c>
      <c r="N76" s="11" t="s">
        <v>38</v>
      </c>
      <c r="O76" s="11" t="s">
        <v>38</v>
      </c>
      <c r="P76" t="s">
        <v>8</v>
      </c>
      <c r="Q76">
        <v>52</v>
      </c>
      <c r="R76">
        <v>0</v>
      </c>
      <c r="S76">
        <v>0</v>
      </c>
      <c r="T76" t="str">
        <f t="shared" si="22"/>
        <v>-</v>
      </c>
      <c r="U76" t="str">
        <f t="shared" si="23"/>
        <v>-</v>
      </c>
      <c r="V76" t="str">
        <f t="shared" si="24"/>
        <v>-</v>
      </c>
      <c r="W76" t="str">
        <f t="shared" si="25"/>
        <v>-</v>
      </c>
      <c r="X76" t="str">
        <f t="shared" si="26"/>
        <v>-</v>
      </c>
      <c r="Y76" t="str">
        <f t="shared" si="27"/>
        <v>-</v>
      </c>
      <c r="Z76" t="str">
        <f t="shared" si="28"/>
        <v>-</v>
      </c>
      <c r="AA76" t="str">
        <f t="shared" si="29"/>
        <v>-</v>
      </c>
      <c r="AB76" t="str">
        <f>IF(_xlfn.IFNA(VLOOKUP(P76,Set_Ref!$B$6:$B$1048576,1,FALSE),"")&lt;&gt;"","-",FALSE)</f>
        <v>-</v>
      </c>
      <c r="AC76" t="str">
        <f t="shared" si="30"/>
        <v>-</v>
      </c>
      <c r="AD76" t="str">
        <f t="shared" si="31"/>
        <v>-</v>
      </c>
      <c r="AE76" t="b">
        <f t="shared" si="32"/>
        <v>1</v>
      </c>
    </row>
    <row r="77" spans="1:31" x14ac:dyDescent="0.25">
      <c r="A77">
        <v>5</v>
      </c>
      <c r="B77">
        <v>15</v>
      </c>
      <c r="C77">
        <v>261</v>
      </c>
      <c r="D77" s="11" t="s">
        <v>145</v>
      </c>
      <c r="E77" s="11" t="s">
        <v>214</v>
      </c>
      <c r="F77" s="11" t="s">
        <v>206</v>
      </c>
      <c r="G77" s="11" t="s">
        <v>229</v>
      </c>
      <c r="H77">
        <v>7</v>
      </c>
      <c r="I77" s="11" t="s">
        <v>173</v>
      </c>
      <c r="J77" s="11" t="s">
        <v>192</v>
      </c>
      <c r="K77" s="11" t="s">
        <v>174</v>
      </c>
      <c r="L77" s="11" t="s">
        <v>38</v>
      </c>
      <c r="M77" s="11" t="s">
        <v>38</v>
      </c>
      <c r="N77" s="11" t="s">
        <v>38</v>
      </c>
      <c r="O77" s="11" t="s">
        <v>38</v>
      </c>
      <c r="P77" t="s">
        <v>8</v>
      </c>
      <c r="Q77">
        <v>5</v>
      </c>
      <c r="R77">
        <v>0</v>
      </c>
      <c r="S77">
        <v>0</v>
      </c>
      <c r="T77" t="str">
        <f t="shared" si="22"/>
        <v>-</v>
      </c>
      <c r="U77" t="str">
        <f t="shared" si="23"/>
        <v>-</v>
      </c>
      <c r="V77" t="str">
        <f t="shared" si="24"/>
        <v>-</v>
      </c>
      <c r="W77" t="str">
        <f t="shared" si="25"/>
        <v>-</v>
      </c>
      <c r="X77" t="str">
        <f t="shared" si="26"/>
        <v>-</v>
      </c>
      <c r="Y77" t="str">
        <f t="shared" si="27"/>
        <v>-</v>
      </c>
      <c r="Z77" t="str">
        <f t="shared" si="28"/>
        <v>-</v>
      </c>
      <c r="AA77" t="str">
        <f t="shared" si="29"/>
        <v>-</v>
      </c>
      <c r="AB77" t="str">
        <f>IF(_xlfn.IFNA(VLOOKUP(P77,Set_Ref!$B$6:$B$1048576,1,FALSE),"")&lt;&gt;"","-",FALSE)</f>
        <v>-</v>
      </c>
      <c r="AC77" t="str">
        <f t="shared" si="30"/>
        <v>-</v>
      </c>
      <c r="AD77" t="str">
        <f t="shared" si="31"/>
        <v>-</v>
      </c>
      <c r="AE77" t="b">
        <f t="shared" si="32"/>
        <v>1</v>
      </c>
    </row>
    <row r="78" spans="1:31" x14ac:dyDescent="0.25">
      <c r="A78">
        <v>5</v>
      </c>
      <c r="B78">
        <v>16</v>
      </c>
      <c r="C78">
        <v>261</v>
      </c>
      <c r="D78" s="11" t="s">
        <v>145</v>
      </c>
      <c r="E78" s="11" t="s">
        <v>214</v>
      </c>
      <c r="F78" s="11" t="s">
        <v>206</v>
      </c>
      <c r="G78" s="11" t="s">
        <v>229</v>
      </c>
      <c r="H78">
        <v>7</v>
      </c>
      <c r="I78" s="11" t="s">
        <v>173</v>
      </c>
      <c r="J78" s="11" t="s">
        <v>192</v>
      </c>
      <c r="K78" s="11" t="s">
        <v>174</v>
      </c>
      <c r="L78" s="11" t="s">
        <v>38</v>
      </c>
      <c r="M78" s="11" t="s">
        <v>38</v>
      </c>
      <c r="N78" s="11" t="s">
        <v>38</v>
      </c>
      <c r="O78" s="11" t="s">
        <v>38</v>
      </c>
      <c r="P78" t="s">
        <v>8</v>
      </c>
      <c r="Q78">
        <v>46</v>
      </c>
      <c r="R78">
        <v>0</v>
      </c>
      <c r="S78">
        <v>0</v>
      </c>
      <c r="T78" t="str">
        <f t="shared" si="22"/>
        <v>-</v>
      </c>
      <c r="U78" t="str">
        <f t="shared" si="23"/>
        <v>-</v>
      </c>
      <c r="V78" t="str">
        <f t="shared" si="24"/>
        <v>-</v>
      </c>
      <c r="W78" t="str">
        <f t="shared" si="25"/>
        <v>-</v>
      </c>
      <c r="X78" t="str">
        <f t="shared" si="26"/>
        <v>-</v>
      </c>
      <c r="Y78" t="str">
        <f t="shared" si="27"/>
        <v>-</v>
      </c>
      <c r="Z78" t="str">
        <f t="shared" si="28"/>
        <v>-</v>
      </c>
      <c r="AA78" t="str">
        <f t="shared" si="29"/>
        <v>-</v>
      </c>
      <c r="AB78" t="str">
        <f>IF(_xlfn.IFNA(VLOOKUP(P78,Set_Ref!$B$6:$B$1048576,1,FALSE),"")&lt;&gt;"","-",FALSE)</f>
        <v>-</v>
      </c>
      <c r="AC78" t="str">
        <f t="shared" si="30"/>
        <v>-</v>
      </c>
      <c r="AD78" t="str">
        <f t="shared" si="31"/>
        <v>-</v>
      </c>
      <c r="AE78" t="b">
        <f t="shared" si="32"/>
        <v>1</v>
      </c>
    </row>
    <row r="79" spans="1:31" x14ac:dyDescent="0.25">
      <c r="A79">
        <v>5</v>
      </c>
      <c r="B79">
        <v>17</v>
      </c>
      <c r="C79">
        <v>261</v>
      </c>
      <c r="D79" s="11" t="s">
        <v>145</v>
      </c>
      <c r="E79" s="11" t="s">
        <v>214</v>
      </c>
      <c r="F79" s="11" t="s">
        <v>206</v>
      </c>
      <c r="G79" s="11" t="s">
        <v>229</v>
      </c>
      <c r="H79">
        <v>7</v>
      </c>
      <c r="I79" s="11" t="s">
        <v>173</v>
      </c>
      <c r="J79" s="11" t="s">
        <v>192</v>
      </c>
      <c r="K79" s="11" t="s">
        <v>174</v>
      </c>
      <c r="L79" s="11" t="s">
        <v>38</v>
      </c>
      <c r="M79" s="11" t="s">
        <v>38</v>
      </c>
      <c r="N79" s="11" t="s">
        <v>38</v>
      </c>
      <c r="O79" s="11" t="s">
        <v>38</v>
      </c>
      <c r="P79" t="s">
        <v>8</v>
      </c>
      <c r="Q79">
        <v>50</v>
      </c>
      <c r="R79">
        <v>0</v>
      </c>
      <c r="S79">
        <v>0</v>
      </c>
      <c r="T79" t="str">
        <f t="shared" si="22"/>
        <v>-</v>
      </c>
      <c r="U79" t="str">
        <f t="shared" si="23"/>
        <v>-</v>
      </c>
      <c r="V79" t="str">
        <f t="shared" si="24"/>
        <v>-</v>
      </c>
      <c r="W79" t="str">
        <f t="shared" si="25"/>
        <v>-</v>
      </c>
      <c r="X79" t="str">
        <f t="shared" si="26"/>
        <v>-</v>
      </c>
      <c r="Y79" t="str">
        <f t="shared" si="27"/>
        <v>-</v>
      </c>
      <c r="Z79" t="str">
        <f t="shared" si="28"/>
        <v>-</v>
      </c>
      <c r="AA79" t="str">
        <f t="shared" si="29"/>
        <v>-</v>
      </c>
      <c r="AB79" t="str">
        <f>IF(_xlfn.IFNA(VLOOKUP(P79,Set_Ref!$B$6:$B$1048576,1,FALSE),"")&lt;&gt;"","-",FALSE)</f>
        <v>-</v>
      </c>
      <c r="AC79" t="str">
        <f t="shared" si="30"/>
        <v>-</v>
      </c>
      <c r="AD79" t="str">
        <f t="shared" si="31"/>
        <v>-</v>
      </c>
      <c r="AE79" t="b">
        <f t="shared" si="32"/>
        <v>1</v>
      </c>
    </row>
    <row r="80" spans="1:31" x14ac:dyDescent="0.25">
      <c r="A80">
        <v>5</v>
      </c>
      <c r="B80">
        <v>18</v>
      </c>
      <c r="C80">
        <v>261</v>
      </c>
      <c r="D80" s="11" t="s">
        <v>145</v>
      </c>
      <c r="E80" s="11" t="s">
        <v>214</v>
      </c>
      <c r="F80" s="11" t="s">
        <v>206</v>
      </c>
      <c r="G80" s="11" t="s">
        <v>229</v>
      </c>
      <c r="H80">
        <v>7</v>
      </c>
      <c r="I80" s="11" t="s">
        <v>173</v>
      </c>
      <c r="J80" s="11" t="s">
        <v>192</v>
      </c>
      <c r="K80" s="11" t="s">
        <v>174</v>
      </c>
      <c r="L80" s="11" t="s">
        <v>38</v>
      </c>
      <c r="M80" s="11" t="s">
        <v>38</v>
      </c>
      <c r="N80" s="11" t="s">
        <v>38</v>
      </c>
      <c r="O80" s="11" t="s">
        <v>38</v>
      </c>
      <c r="P80" t="s">
        <v>8</v>
      </c>
      <c r="Q80">
        <v>158</v>
      </c>
      <c r="R80">
        <v>0</v>
      </c>
      <c r="S80">
        <v>0</v>
      </c>
      <c r="T80" t="str">
        <f t="shared" si="22"/>
        <v>-</v>
      </c>
      <c r="U80" t="str">
        <f t="shared" si="23"/>
        <v>-</v>
      </c>
      <c r="V80" t="str">
        <f t="shared" si="24"/>
        <v>-</v>
      </c>
      <c r="W80" t="str">
        <f t="shared" si="25"/>
        <v>-</v>
      </c>
      <c r="X80" t="str">
        <f t="shared" si="26"/>
        <v>-</v>
      </c>
      <c r="Y80" t="str">
        <f t="shared" si="27"/>
        <v>-</v>
      </c>
      <c r="Z80" t="str">
        <f t="shared" si="28"/>
        <v>-</v>
      </c>
      <c r="AA80" t="str">
        <f t="shared" si="29"/>
        <v>-</v>
      </c>
      <c r="AB80" t="str">
        <f>IF(_xlfn.IFNA(VLOOKUP(P80,Set_Ref!$B$6:$B$1048576,1,FALSE),"")&lt;&gt;"","-",FALSE)</f>
        <v>-</v>
      </c>
      <c r="AC80" t="str">
        <f t="shared" si="30"/>
        <v>-</v>
      </c>
      <c r="AD80" t="str">
        <f t="shared" si="31"/>
        <v>-</v>
      </c>
      <c r="AE80" t="b">
        <f t="shared" si="32"/>
        <v>1</v>
      </c>
    </row>
    <row r="81" spans="1:31" x14ac:dyDescent="0.25">
      <c r="A81">
        <v>5</v>
      </c>
      <c r="B81">
        <v>19</v>
      </c>
      <c r="C81">
        <v>261</v>
      </c>
      <c r="D81" s="11" t="s">
        <v>145</v>
      </c>
      <c r="E81" s="11" t="s">
        <v>215</v>
      </c>
      <c r="F81" s="11" t="s">
        <v>207</v>
      </c>
      <c r="G81" s="11" t="s">
        <v>233</v>
      </c>
      <c r="H81">
        <v>1</v>
      </c>
      <c r="I81" s="11" t="s">
        <v>173</v>
      </c>
      <c r="J81" s="11" t="s">
        <v>234</v>
      </c>
      <c r="K81" s="11" t="s">
        <v>174</v>
      </c>
      <c r="L81" s="11" t="s">
        <v>38</v>
      </c>
      <c r="M81" s="11" t="s">
        <v>38</v>
      </c>
      <c r="N81" s="11" t="s">
        <v>38</v>
      </c>
      <c r="O81" s="11" t="s">
        <v>38</v>
      </c>
      <c r="P81" t="s">
        <v>8</v>
      </c>
      <c r="Q81">
        <v>21</v>
      </c>
      <c r="R81">
        <v>0</v>
      </c>
      <c r="S81">
        <v>0</v>
      </c>
      <c r="T81" t="str">
        <f t="shared" si="22"/>
        <v>-</v>
      </c>
      <c r="U81" t="str">
        <f t="shared" si="23"/>
        <v>-</v>
      </c>
      <c r="V81" t="str">
        <f t="shared" si="24"/>
        <v>-</v>
      </c>
      <c r="W81" t="str">
        <f t="shared" si="25"/>
        <v>-</v>
      </c>
      <c r="X81" t="str">
        <f t="shared" si="26"/>
        <v>-</v>
      </c>
      <c r="Y81" t="str">
        <f t="shared" si="27"/>
        <v>-</v>
      </c>
      <c r="Z81" t="str">
        <f t="shared" si="28"/>
        <v>-</v>
      </c>
      <c r="AA81" t="str">
        <f t="shared" si="29"/>
        <v>-</v>
      </c>
      <c r="AB81" t="str">
        <f>IF(_xlfn.IFNA(VLOOKUP(P81,Set_Ref!$B$6:$B$1048576,1,FALSE),"")&lt;&gt;"","-",FALSE)</f>
        <v>-</v>
      </c>
      <c r="AC81" t="str">
        <f t="shared" si="30"/>
        <v>-</v>
      </c>
      <c r="AD81" t="str">
        <f t="shared" si="31"/>
        <v>-</v>
      </c>
      <c r="AE81" t="b">
        <f t="shared" si="32"/>
        <v>1</v>
      </c>
    </row>
    <row r="82" spans="1:31" x14ac:dyDescent="0.25">
      <c r="A82">
        <v>5</v>
      </c>
      <c r="B82">
        <v>20</v>
      </c>
      <c r="C82">
        <v>261</v>
      </c>
      <c r="D82" s="11" t="s">
        <v>145</v>
      </c>
      <c r="E82" s="11" t="s">
        <v>215</v>
      </c>
      <c r="F82" s="11" t="s">
        <v>207</v>
      </c>
      <c r="G82" s="11" t="s">
        <v>233</v>
      </c>
      <c r="H82">
        <v>1</v>
      </c>
      <c r="I82" s="11" t="s">
        <v>173</v>
      </c>
      <c r="J82" s="11" t="s">
        <v>234</v>
      </c>
      <c r="K82" s="11" t="s">
        <v>174</v>
      </c>
      <c r="L82" s="11" t="s">
        <v>38</v>
      </c>
      <c r="M82" s="11" t="s">
        <v>38</v>
      </c>
      <c r="N82" s="11" t="s">
        <v>38</v>
      </c>
      <c r="O82" s="11" t="s">
        <v>38</v>
      </c>
      <c r="P82" t="s">
        <v>8</v>
      </c>
      <c r="Q82">
        <v>23</v>
      </c>
      <c r="R82">
        <v>0</v>
      </c>
      <c r="S82">
        <v>0</v>
      </c>
      <c r="T82" t="str">
        <f t="shared" si="22"/>
        <v>-</v>
      </c>
      <c r="U82" t="str">
        <f t="shared" si="23"/>
        <v>-</v>
      </c>
      <c r="V82" t="str">
        <f t="shared" si="24"/>
        <v>-</v>
      </c>
      <c r="W82" t="str">
        <f t="shared" si="25"/>
        <v>-</v>
      </c>
      <c r="X82" t="str">
        <f t="shared" si="26"/>
        <v>-</v>
      </c>
      <c r="Y82" t="str">
        <f t="shared" si="27"/>
        <v>-</v>
      </c>
      <c r="Z82" t="str">
        <f t="shared" si="28"/>
        <v>-</v>
      </c>
      <c r="AA82" t="str">
        <f t="shared" si="29"/>
        <v>-</v>
      </c>
      <c r="AB82" t="str">
        <f>IF(_xlfn.IFNA(VLOOKUP(P82,Set_Ref!$B$6:$B$1048576,1,FALSE),"")&lt;&gt;"","-",FALSE)</f>
        <v>-</v>
      </c>
      <c r="AC82" t="str">
        <f t="shared" si="30"/>
        <v>-</v>
      </c>
      <c r="AD82" t="str">
        <f t="shared" si="31"/>
        <v>-</v>
      </c>
      <c r="AE82" t="b">
        <f t="shared" si="32"/>
        <v>1</v>
      </c>
    </row>
    <row r="83" spans="1:31" x14ac:dyDescent="0.25">
      <c r="A83">
        <v>5</v>
      </c>
      <c r="B83">
        <v>21</v>
      </c>
      <c r="C83">
        <v>261</v>
      </c>
      <c r="D83" s="11" t="s">
        <v>145</v>
      </c>
      <c r="E83" s="11" t="s">
        <v>215</v>
      </c>
      <c r="F83" s="11" t="s">
        <v>207</v>
      </c>
      <c r="G83" s="11" t="s">
        <v>233</v>
      </c>
      <c r="H83">
        <v>1</v>
      </c>
      <c r="I83" s="11" t="s">
        <v>173</v>
      </c>
      <c r="J83" s="11" t="s">
        <v>234</v>
      </c>
      <c r="K83" s="11" t="s">
        <v>174</v>
      </c>
      <c r="L83" s="11" t="s">
        <v>38</v>
      </c>
      <c r="M83" s="11" t="s">
        <v>38</v>
      </c>
      <c r="N83" s="11" t="s">
        <v>38</v>
      </c>
      <c r="O83" s="11" t="s">
        <v>38</v>
      </c>
      <c r="P83" t="s">
        <v>8</v>
      </c>
      <c r="Q83">
        <v>21</v>
      </c>
      <c r="R83">
        <v>0</v>
      </c>
      <c r="S83">
        <v>0</v>
      </c>
      <c r="T83" t="str">
        <f t="shared" si="22"/>
        <v>-</v>
      </c>
      <c r="U83" t="str">
        <f t="shared" si="23"/>
        <v>-</v>
      </c>
      <c r="V83" t="str">
        <f t="shared" si="24"/>
        <v>-</v>
      </c>
      <c r="W83" t="str">
        <f t="shared" si="25"/>
        <v>-</v>
      </c>
      <c r="X83" t="str">
        <f t="shared" si="26"/>
        <v>-</v>
      </c>
      <c r="Y83" t="str">
        <f t="shared" si="27"/>
        <v>-</v>
      </c>
      <c r="Z83" t="str">
        <f t="shared" si="28"/>
        <v>-</v>
      </c>
      <c r="AA83" t="str">
        <f t="shared" si="29"/>
        <v>-</v>
      </c>
      <c r="AB83" t="str">
        <f>IF(_xlfn.IFNA(VLOOKUP(P83,Set_Ref!$B$6:$B$1048576,1,FALSE),"")&lt;&gt;"","-",FALSE)</f>
        <v>-</v>
      </c>
      <c r="AC83" t="str">
        <f t="shared" si="30"/>
        <v>-</v>
      </c>
      <c r="AD83" t="str">
        <f t="shared" si="31"/>
        <v>-</v>
      </c>
      <c r="AE83" t="b">
        <f t="shared" si="32"/>
        <v>1</v>
      </c>
    </row>
    <row r="84" spans="1:31" x14ac:dyDescent="0.25">
      <c r="A84">
        <v>5</v>
      </c>
      <c r="B84">
        <v>22</v>
      </c>
      <c r="C84">
        <v>261</v>
      </c>
      <c r="D84" s="11" t="s">
        <v>145</v>
      </c>
      <c r="E84" s="11" t="s">
        <v>211</v>
      </c>
      <c r="F84" s="11" t="s">
        <v>207</v>
      </c>
      <c r="G84" s="11" t="s">
        <v>224</v>
      </c>
      <c r="H84">
        <v>1</v>
      </c>
      <c r="I84" s="11" t="s">
        <v>173</v>
      </c>
      <c r="J84" s="11" t="s">
        <v>235</v>
      </c>
      <c r="K84" s="11" t="s">
        <v>174</v>
      </c>
      <c r="L84" s="11" t="s">
        <v>38</v>
      </c>
      <c r="M84" s="11" t="s">
        <v>38</v>
      </c>
      <c r="N84" s="11" t="s">
        <v>38</v>
      </c>
      <c r="O84" s="11" t="s">
        <v>38</v>
      </c>
      <c r="P84" t="s">
        <v>8</v>
      </c>
      <c r="Q84">
        <v>102</v>
      </c>
      <c r="R84">
        <v>0</v>
      </c>
      <c r="S84">
        <v>0</v>
      </c>
      <c r="T84" t="str">
        <f t="shared" si="22"/>
        <v>-</v>
      </c>
      <c r="U84" t="str">
        <f t="shared" si="23"/>
        <v>-</v>
      </c>
      <c r="V84" t="str">
        <f t="shared" si="24"/>
        <v>-</v>
      </c>
      <c r="W84" t="str">
        <f t="shared" si="25"/>
        <v>-</v>
      </c>
      <c r="X84" t="str">
        <f t="shared" si="26"/>
        <v>-</v>
      </c>
      <c r="Y84" t="str">
        <f t="shared" si="27"/>
        <v>-</v>
      </c>
      <c r="Z84" t="str">
        <f t="shared" si="28"/>
        <v>-</v>
      </c>
      <c r="AA84" t="str">
        <f t="shared" si="29"/>
        <v>-</v>
      </c>
      <c r="AB84" t="str">
        <f>IF(_xlfn.IFNA(VLOOKUP(P84,Set_Ref!$B$6:$B$1048576,1,FALSE),"")&lt;&gt;"","-",FALSE)</f>
        <v>-</v>
      </c>
      <c r="AC84" t="str">
        <f t="shared" si="30"/>
        <v>-</v>
      </c>
      <c r="AD84" t="str">
        <f t="shared" si="31"/>
        <v>-</v>
      </c>
      <c r="AE84" t="b">
        <f t="shared" si="32"/>
        <v>1</v>
      </c>
    </row>
    <row r="85" spans="1:31" x14ac:dyDescent="0.25">
      <c r="A85">
        <v>5</v>
      </c>
      <c r="B85">
        <v>23</v>
      </c>
      <c r="C85">
        <v>261</v>
      </c>
      <c r="D85" s="11" t="s">
        <v>145</v>
      </c>
      <c r="E85" s="11" t="s">
        <v>211</v>
      </c>
      <c r="F85" s="11" t="s">
        <v>207</v>
      </c>
      <c r="G85" s="11" t="s">
        <v>224</v>
      </c>
      <c r="H85">
        <v>1</v>
      </c>
      <c r="I85" s="11" t="s">
        <v>173</v>
      </c>
      <c r="J85" s="11" t="s">
        <v>235</v>
      </c>
      <c r="K85" s="11" t="s">
        <v>174</v>
      </c>
      <c r="L85" s="11" t="s">
        <v>38</v>
      </c>
      <c r="M85" s="11" t="s">
        <v>38</v>
      </c>
      <c r="N85" s="11" t="s">
        <v>38</v>
      </c>
      <c r="O85" s="11" t="s">
        <v>38</v>
      </c>
      <c r="P85" t="s">
        <v>8</v>
      </c>
      <c r="Q85">
        <v>44</v>
      </c>
      <c r="R85">
        <v>0</v>
      </c>
      <c r="S85">
        <v>0</v>
      </c>
      <c r="T85" t="str">
        <f t="shared" si="22"/>
        <v>-</v>
      </c>
      <c r="U85" t="str">
        <f t="shared" si="23"/>
        <v>-</v>
      </c>
      <c r="V85" t="str">
        <f t="shared" si="24"/>
        <v>-</v>
      </c>
      <c r="W85" t="str">
        <f t="shared" si="25"/>
        <v>-</v>
      </c>
      <c r="X85" t="str">
        <f t="shared" si="26"/>
        <v>-</v>
      </c>
      <c r="Y85" t="str">
        <f t="shared" si="27"/>
        <v>-</v>
      </c>
      <c r="Z85" t="str">
        <f t="shared" si="28"/>
        <v>-</v>
      </c>
      <c r="AA85" t="str">
        <f t="shared" si="29"/>
        <v>-</v>
      </c>
      <c r="AB85" t="str">
        <f>IF(_xlfn.IFNA(VLOOKUP(P85,Set_Ref!$B$6:$B$1048576,1,FALSE),"")&lt;&gt;"","-",FALSE)</f>
        <v>-</v>
      </c>
      <c r="AC85" t="str">
        <f t="shared" si="30"/>
        <v>-</v>
      </c>
      <c r="AD85" t="str">
        <f t="shared" si="31"/>
        <v>-</v>
      </c>
      <c r="AE85" t="b">
        <f t="shared" si="32"/>
        <v>1</v>
      </c>
    </row>
    <row r="86" spans="1:31" x14ac:dyDescent="0.25">
      <c r="A86">
        <v>5</v>
      </c>
      <c r="B86">
        <v>24</v>
      </c>
      <c r="C86">
        <v>261</v>
      </c>
      <c r="D86" s="11" t="s">
        <v>145</v>
      </c>
      <c r="E86" s="11" t="s">
        <v>211</v>
      </c>
      <c r="F86" s="11" t="s">
        <v>207</v>
      </c>
      <c r="G86" s="11" t="s">
        <v>224</v>
      </c>
      <c r="H86">
        <v>1</v>
      </c>
      <c r="I86" s="11" t="s">
        <v>173</v>
      </c>
      <c r="J86" s="11" t="s">
        <v>235</v>
      </c>
      <c r="K86" s="11" t="s">
        <v>174</v>
      </c>
      <c r="L86" s="11" t="s">
        <v>38</v>
      </c>
      <c r="M86" s="11" t="s">
        <v>38</v>
      </c>
      <c r="N86" s="11" t="s">
        <v>38</v>
      </c>
      <c r="O86" s="11" t="s">
        <v>38</v>
      </c>
      <c r="P86" t="s">
        <v>8</v>
      </c>
      <c r="Q86">
        <v>29</v>
      </c>
      <c r="R86">
        <v>0</v>
      </c>
      <c r="S86">
        <v>0</v>
      </c>
      <c r="T86" t="str">
        <f t="shared" si="22"/>
        <v>-</v>
      </c>
      <c r="U86" t="str">
        <f t="shared" si="23"/>
        <v>-</v>
      </c>
      <c r="V86" t="str">
        <f t="shared" si="24"/>
        <v>-</v>
      </c>
      <c r="W86" t="str">
        <f t="shared" si="25"/>
        <v>-</v>
      </c>
      <c r="X86" t="str">
        <f t="shared" si="26"/>
        <v>-</v>
      </c>
      <c r="Y86" t="str">
        <f t="shared" si="27"/>
        <v>-</v>
      </c>
      <c r="Z86" t="str">
        <f t="shared" si="28"/>
        <v>-</v>
      </c>
      <c r="AA86" t="str">
        <f t="shared" si="29"/>
        <v>-</v>
      </c>
      <c r="AB86" t="str">
        <f>IF(_xlfn.IFNA(VLOOKUP(P86,Set_Ref!$B$6:$B$1048576,1,FALSE),"")&lt;&gt;"","-",FALSE)</f>
        <v>-</v>
      </c>
      <c r="AC86" t="str">
        <f t="shared" si="30"/>
        <v>-</v>
      </c>
      <c r="AD86" t="str">
        <f t="shared" si="31"/>
        <v>-</v>
      </c>
      <c r="AE86" t="b">
        <f t="shared" si="32"/>
        <v>1</v>
      </c>
    </row>
    <row r="87" spans="1:31" x14ac:dyDescent="0.25">
      <c r="A87">
        <v>5</v>
      </c>
      <c r="B87">
        <v>25</v>
      </c>
      <c r="C87">
        <v>261</v>
      </c>
      <c r="D87" s="11" t="s">
        <v>145</v>
      </c>
      <c r="E87" s="11" t="s">
        <v>213</v>
      </c>
      <c r="F87" s="11" t="s">
        <v>204</v>
      </c>
      <c r="G87" s="11" t="s">
        <v>227</v>
      </c>
      <c r="H87">
        <v>1</v>
      </c>
      <c r="I87" s="11" t="s">
        <v>173</v>
      </c>
      <c r="J87" s="11" t="s">
        <v>192</v>
      </c>
      <c r="K87" s="11" t="s">
        <v>174</v>
      </c>
      <c r="L87" s="11" t="s">
        <v>38</v>
      </c>
      <c r="M87" s="11" t="s">
        <v>38</v>
      </c>
      <c r="N87" s="11" t="s">
        <v>38</v>
      </c>
      <c r="O87" s="11" t="s">
        <v>38</v>
      </c>
      <c r="P87" t="s">
        <v>8</v>
      </c>
      <c r="Q87">
        <v>34</v>
      </c>
      <c r="R87">
        <v>0</v>
      </c>
      <c r="S87">
        <v>0</v>
      </c>
      <c r="T87" t="str">
        <f t="shared" si="22"/>
        <v>-</v>
      </c>
      <c r="U87" t="str">
        <f t="shared" si="23"/>
        <v>-</v>
      </c>
      <c r="V87" t="str">
        <f t="shared" si="24"/>
        <v>-</v>
      </c>
      <c r="W87" t="str">
        <f t="shared" si="25"/>
        <v>-</v>
      </c>
      <c r="X87" t="str">
        <f t="shared" si="26"/>
        <v>-</v>
      </c>
      <c r="Y87" t="str">
        <f t="shared" si="27"/>
        <v>-</v>
      </c>
      <c r="Z87" t="str">
        <f t="shared" si="28"/>
        <v>-</v>
      </c>
      <c r="AA87" t="str">
        <f t="shared" si="29"/>
        <v>-</v>
      </c>
      <c r="AB87" t="str">
        <f>IF(_xlfn.IFNA(VLOOKUP(P87,Set_Ref!$B$6:$B$1048576,1,FALSE),"")&lt;&gt;"","-",FALSE)</f>
        <v>-</v>
      </c>
      <c r="AC87" t="str">
        <f t="shared" si="30"/>
        <v>-</v>
      </c>
      <c r="AD87" t="str">
        <f t="shared" si="31"/>
        <v>-</v>
      </c>
      <c r="AE87" t="b">
        <f t="shared" si="32"/>
        <v>1</v>
      </c>
    </row>
    <row r="88" spans="1:31" x14ac:dyDescent="0.25">
      <c r="A88">
        <v>5</v>
      </c>
      <c r="B88">
        <v>26</v>
      </c>
      <c r="C88">
        <v>261</v>
      </c>
      <c r="D88" s="11" t="s">
        <v>145</v>
      </c>
      <c r="E88" s="11" t="s">
        <v>213</v>
      </c>
      <c r="F88" s="11" t="s">
        <v>204</v>
      </c>
      <c r="G88" s="11" t="s">
        <v>227</v>
      </c>
      <c r="H88">
        <v>1</v>
      </c>
      <c r="I88" s="11" t="s">
        <v>173</v>
      </c>
      <c r="J88" s="11" t="s">
        <v>192</v>
      </c>
      <c r="K88" s="11" t="s">
        <v>174</v>
      </c>
      <c r="L88" s="11" t="s">
        <v>38</v>
      </c>
      <c r="M88" s="11" t="s">
        <v>38</v>
      </c>
      <c r="N88" s="11" t="s">
        <v>38</v>
      </c>
      <c r="O88" s="11" t="s">
        <v>38</v>
      </c>
      <c r="P88" t="s">
        <v>8</v>
      </c>
      <c r="Q88">
        <v>43</v>
      </c>
      <c r="R88">
        <v>0</v>
      </c>
      <c r="S88">
        <v>0</v>
      </c>
      <c r="T88" t="str">
        <f t="shared" si="22"/>
        <v>-</v>
      </c>
      <c r="U88" t="str">
        <f t="shared" si="23"/>
        <v>-</v>
      </c>
      <c r="V88" t="str">
        <f t="shared" si="24"/>
        <v>-</v>
      </c>
      <c r="W88" t="str">
        <f t="shared" si="25"/>
        <v>-</v>
      </c>
      <c r="X88" t="str">
        <f t="shared" si="26"/>
        <v>-</v>
      </c>
      <c r="Y88" t="str">
        <f t="shared" si="27"/>
        <v>-</v>
      </c>
      <c r="Z88" t="str">
        <f t="shared" si="28"/>
        <v>-</v>
      </c>
      <c r="AA88" t="str">
        <f t="shared" si="29"/>
        <v>-</v>
      </c>
      <c r="AB88" t="str">
        <f>IF(_xlfn.IFNA(VLOOKUP(P88,Set_Ref!$B$6:$B$1048576,1,FALSE),"")&lt;&gt;"","-",FALSE)</f>
        <v>-</v>
      </c>
      <c r="AC88" t="str">
        <f t="shared" si="30"/>
        <v>-</v>
      </c>
      <c r="AD88" t="str">
        <f t="shared" si="31"/>
        <v>-</v>
      </c>
      <c r="AE88" t="b">
        <f t="shared" si="32"/>
        <v>1</v>
      </c>
    </row>
    <row r="89" spans="1:31" x14ac:dyDescent="0.25">
      <c r="A89">
        <v>5</v>
      </c>
      <c r="B89">
        <v>27</v>
      </c>
      <c r="C89">
        <v>261</v>
      </c>
      <c r="D89" s="11" t="s">
        <v>145</v>
      </c>
      <c r="E89" s="11" t="s">
        <v>213</v>
      </c>
      <c r="F89" s="11" t="s">
        <v>204</v>
      </c>
      <c r="G89" s="11" t="s">
        <v>227</v>
      </c>
      <c r="H89">
        <v>1</v>
      </c>
      <c r="I89" s="11" t="s">
        <v>173</v>
      </c>
      <c r="J89" s="11" t="s">
        <v>192</v>
      </c>
      <c r="K89" s="11" t="s">
        <v>174</v>
      </c>
      <c r="L89" s="11" t="s">
        <v>38</v>
      </c>
      <c r="M89" s="11" t="s">
        <v>38</v>
      </c>
      <c r="N89" s="11" t="s">
        <v>38</v>
      </c>
      <c r="O89" s="11" t="s">
        <v>38</v>
      </c>
      <c r="P89" t="s">
        <v>8</v>
      </c>
      <c r="Q89">
        <v>48</v>
      </c>
      <c r="R89">
        <v>0</v>
      </c>
      <c r="S89">
        <v>0</v>
      </c>
      <c r="T89" t="str">
        <f t="shared" si="22"/>
        <v>-</v>
      </c>
      <c r="U89" t="str">
        <f t="shared" si="23"/>
        <v>-</v>
      </c>
      <c r="V89" t="str">
        <f t="shared" si="24"/>
        <v>-</v>
      </c>
      <c r="W89" t="str">
        <f t="shared" si="25"/>
        <v>-</v>
      </c>
      <c r="X89" t="str">
        <f t="shared" si="26"/>
        <v>-</v>
      </c>
      <c r="Y89" t="str">
        <f t="shared" si="27"/>
        <v>-</v>
      </c>
      <c r="Z89" t="str">
        <f t="shared" si="28"/>
        <v>-</v>
      </c>
      <c r="AA89" t="str">
        <f t="shared" si="29"/>
        <v>-</v>
      </c>
      <c r="AB89" t="str">
        <f>IF(_xlfn.IFNA(VLOOKUP(P89,Set_Ref!$B$6:$B$1048576,1,FALSE),"")&lt;&gt;"","-",FALSE)</f>
        <v>-</v>
      </c>
      <c r="AC89" t="str">
        <f t="shared" si="30"/>
        <v>-</v>
      </c>
      <c r="AD89" t="str">
        <f t="shared" si="31"/>
        <v>-</v>
      </c>
      <c r="AE89" t="b">
        <f t="shared" si="32"/>
        <v>1</v>
      </c>
    </row>
    <row r="90" spans="1:31" x14ac:dyDescent="0.25">
      <c r="A90">
        <v>5</v>
      </c>
      <c r="B90">
        <v>28</v>
      </c>
      <c r="C90">
        <v>261</v>
      </c>
      <c r="D90" s="11" t="s">
        <v>145</v>
      </c>
      <c r="E90" s="11" t="s">
        <v>213</v>
      </c>
      <c r="F90" s="11" t="s">
        <v>204</v>
      </c>
      <c r="G90" s="11" t="s">
        <v>227</v>
      </c>
      <c r="H90">
        <v>1</v>
      </c>
      <c r="I90" s="11" t="s">
        <v>173</v>
      </c>
      <c r="J90" s="11" t="s">
        <v>192</v>
      </c>
      <c r="K90" s="11" t="s">
        <v>174</v>
      </c>
      <c r="L90" s="11" t="s">
        <v>38</v>
      </c>
      <c r="M90" s="11" t="s">
        <v>38</v>
      </c>
      <c r="N90" s="11" t="s">
        <v>38</v>
      </c>
      <c r="O90" s="11" t="s">
        <v>38</v>
      </c>
      <c r="P90" t="s">
        <v>8</v>
      </c>
      <c r="Q90">
        <v>36</v>
      </c>
      <c r="R90">
        <v>0</v>
      </c>
      <c r="S90">
        <v>0</v>
      </c>
      <c r="T90" t="str">
        <f t="shared" si="22"/>
        <v>-</v>
      </c>
      <c r="U90" t="str">
        <f t="shared" si="23"/>
        <v>-</v>
      </c>
      <c r="V90" t="str">
        <f t="shared" si="24"/>
        <v>-</v>
      </c>
      <c r="W90" t="str">
        <f t="shared" si="25"/>
        <v>-</v>
      </c>
      <c r="X90" t="str">
        <f t="shared" si="26"/>
        <v>-</v>
      </c>
      <c r="Y90" t="str">
        <f t="shared" si="27"/>
        <v>-</v>
      </c>
      <c r="Z90" t="str">
        <f t="shared" si="28"/>
        <v>-</v>
      </c>
      <c r="AA90" t="str">
        <f t="shared" si="29"/>
        <v>-</v>
      </c>
      <c r="AB90" t="str">
        <f>IF(_xlfn.IFNA(VLOOKUP(P90,Set_Ref!$B$6:$B$1048576,1,FALSE),"")&lt;&gt;"","-",FALSE)</f>
        <v>-</v>
      </c>
      <c r="AC90" t="str">
        <f t="shared" si="30"/>
        <v>-</v>
      </c>
      <c r="AD90" t="str">
        <f t="shared" si="31"/>
        <v>-</v>
      </c>
      <c r="AE90" t="b">
        <f t="shared" si="32"/>
        <v>1</v>
      </c>
    </row>
    <row r="91" spans="1:31" x14ac:dyDescent="0.25">
      <c r="A91">
        <v>5</v>
      </c>
      <c r="B91">
        <v>29</v>
      </c>
      <c r="C91">
        <v>261</v>
      </c>
      <c r="D91" s="11" t="s">
        <v>145</v>
      </c>
      <c r="E91" s="11" t="s">
        <v>213</v>
      </c>
      <c r="F91" s="11" t="s">
        <v>204</v>
      </c>
      <c r="G91" s="11" t="s">
        <v>227</v>
      </c>
      <c r="H91">
        <v>1</v>
      </c>
      <c r="I91" s="11" t="s">
        <v>173</v>
      </c>
      <c r="J91" s="11" t="s">
        <v>192</v>
      </c>
      <c r="K91" s="11" t="s">
        <v>174</v>
      </c>
      <c r="L91" s="11" t="s">
        <v>38</v>
      </c>
      <c r="M91" s="11" t="s">
        <v>38</v>
      </c>
      <c r="N91" s="11" t="s">
        <v>38</v>
      </c>
      <c r="O91" s="11" t="s">
        <v>38</v>
      </c>
      <c r="P91" t="s">
        <v>8</v>
      </c>
      <c r="Q91">
        <v>31</v>
      </c>
      <c r="R91">
        <v>0</v>
      </c>
      <c r="S91">
        <v>0</v>
      </c>
      <c r="T91" t="str">
        <f t="shared" si="22"/>
        <v>-</v>
      </c>
      <c r="U91" t="str">
        <f t="shared" si="23"/>
        <v>-</v>
      </c>
      <c r="V91" t="str">
        <f t="shared" si="24"/>
        <v>-</v>
      </c>
      <c r="W91" t="str">
        <f t="shared" si="25"/>
        <v>-</v>
      </c>
      <c r="X91" t="str">
        <f t="shared" si="26"/>
        <v>-</v>
      </c>
      <c r="Y91" t="str">
        <f t="shared" si="27"/>
        <v>-</v>
      </c>
      <c r="Z91" t="str">
        <f t="shared" si="28"/>
        <v>-</v>
      </c>
      <c r="AA91" t="str">
        <f t="shared" si="29"/>
        <v>-</v>
      </c>
      <c r="AB91" t="str">
        <f>IF(_xlfn.IFNA(VLOOKUP(P91,Set_Ref!$B$6:$B$1048576,1,FALSE),"")&lt;&gt;"","-",FALSE)</f>
        <v>-</v>
      </c>
      <c r="AC91" t="str">
        <f t="shared" si="30"/>
        <v>-</v>
      </c>
      <c r="AD91" t="str">
        <f t="shared" si="31"/>
        <v>-</v>
      </c>
      <c r="AE91" t="b">
        <f t="shared" si="32"/>
        <v>1</v>
      </c>
    </row>
    <row r="92" spans="1:31" x14ac:dyDescent="0.25">
      <c r="A92">
        <v>5</v>
      </c>
      <c r="B92">
        <v>30</v>
      </c>
      <c r="C92">
        <v>261</v>
      </c>
      <c r="D92" s="11" t="s">
        <v>145</v>
      </c>
      <c r="E92" s="11" t="s">
        <v>213</v>
      </c>
      <c r="F92" s="11" t="s">
        <v>204</v>
      </c>
      <c r="G92" s="11" t="s">
        <v>227</v>
      </c>
      <c r="H92">
        <v>1</v>
      </c>
      <c r="I92" s="11" t="s">
        <v>173</v>
      </c>
      <c r="J92" s="11" t="s">
        <v>192</v>
      </c>
      <c r="K92" s="11" t="s">
        <v>174</v>
      </c>
      <c r="L92" s="11" t="s">
        <v>38</v>
      </c>
      <c r="M92" s="11" t="s">
        <v>38</v>
      </c>
      <c r="N92" s="11" t="s">
        <v>38</v>
      </c>
      <c r="O92" s="11" t="s">
        <v>38</v>
      </c>
      <c r="P92" t="s">
        <v>8</v>
      </c>
      <c r="Q92">
        <v>36</v>
      </c>
      <c r="R92">
        <v>0</v>
      </c>
      <c r="S92">
        <v>0</v>
      </c>
      <c r="T92" t="str">
        <f t="shared" si="22"/>
        <v>-</v>
      </c>
      <c r="U92" t="str">
        <f t="shared" si="23"/>
        <v>-</v>
      </c>
      <c r="V92" t="str">
        <f t="shared" si="24"/>
        <v>-</v>
      </c>
      <c r="W92" t="str">
        <f t="shared" si="25"/>
        <v>-</v>
      </c>
      <c r="X92" t="str">
        <f t="shared" si="26"/>
        <v>-</v>
      </c>
      <c r="Y92" t="str">
        <f t="shared" si="27"/>
        <v>-</v>
      </c>
      <c r="Z92" t="str">
        <f t="shared" si="28"/>
        <v>-</v>
      </c>
      <c r="AA92" t="str">
        <f t="shared" si="29"/>
        <v>-</v>
      </c>
      <c r="AB92" t="str">
        <f>IF(_xlfn.IFNA(VLOOKUP(P92,Set_Ref!$B$6:$B$1048576,1,FALSE),"")&lt;&gt;"","-",FALSE)</f>
        <v>-</v>
      </c>
      <c r="AC92" t="str">
        <f t="shared" si="30"/>
        <v>-</v>
      </c>
      <c r="AD92" t="str">
        <f t="shared" si="31"/>
        <v>-</v>
      </c>
      <c r="AE92" t="b">
        <f t="shared" si="32"/>
        <v>1</v>
      </c>
    </row>
    <row r="93" spans="1:31" x14ac:dyDescent="0.25">
      <c r="A93">
        <v>5</v>
      </c>
      <c r="B93">
        <v>31</v>
      </c>
      <c r="C93">
        <v>261</v>
      </c>
      <c r="D93" s="11" t="s">
        <v>145</v>
      </c>
      <c r="E93" s="11" t="s">
        <v>210</v>
      </c>
      <c r="F93" s="11" t="s">
        <v>205</v>
      </c>
      <c r="G93" s="11" t="s">
        <v>223</v>
      </c>
      <c r="H93">
        <v>9</v>
      </c>
      <c r="I93" s="11" t="s">
        <v>173</v>
      </c>
      <c r="J93" s="11" t="s">
        <v>192</v>
      </c>
      <c r="K93" s="11" t="s">
        <v>174</v>
      </c>
      <c r="L93" s="11" t="s">
        <v>38</v>
      </c>
      <c r="M93" s="11" t="s">
        <v>38</v>
      </c>
      <c r="N93" s="11" t="s">
        <v>38</v>
      </c>
      <c r="O93" s="11" t="s">
        <v>38</v>
      </c>
      <c r="P93" t="s">
        <v>8</v>
      </c>
      <c r="Q93">
        <v>77</v>
      </c>
      <c r="R93">
        <v>0</v>
      </c>
      <c r="S93">
        <v>0</v>
      </c>
      <c r="T93" t="str">
        <f t="shared" si="22"/>
        <v>-</v>
      </c>
      <c r="U93" t="str">
        <f t="shared" si="23"/>
        <v>-</v>
      </c>
      <c r="V93" t="str">
        <f t="shared" si="24"/>
        <v>-</v>
      </c>
      <c r="W93" t="str">
        <f t="shared" si="25"/>
        <v>-</v>
      </c>
      <c r="X93" t="str">
        <f t="shared" si="26"/>
        <v>-</v>
      </c>
      <c r="Y93" t="str">
        <f t="shared" si="27"/>
        <v>-</v>
      </c>
      <c r="Z93" t="str">
        <f t="shared" si="28"/>
        <v>-</v>
      </c>
      <c r="AA93" t="str">
        <f t="shared" si="29"/>
        <v>-</v>
      </c>
      <c r="AB93" t="str">
        <f>IF(_xlfn.IFNA(VLOOKUP(P93,Set_Ref!$B$6:$B$1048576,1,FALSE),"")&lt;&gt;"","-",FALSE)</f>
        <v>-</v>
      </c>
      <c r="AC93" t="str">
        <f t="shared" si="30"/>
        <v>-</v>
      </c>
      <c r="AD93" t="str">
        <f t="shared" si="31"/>
        <v>-</v>
      </c>
      <c r="AE93" t="b">
        <f t="shared" si="32"/>
        <v>1</v>
      </c>
    </row>
    <row r="94" spans="1:31" x14ac:dyDescent="0.25">
      <c r="A94">
        <v>5</v>
      </c>
      <c r="B94">
        <v>32</v>
      </c>
      <c r="C94">
        <v>261</v>
      </c>
      <c r="D94" s="11" t="s">
        <v>145</v>
      </c>
      <c r="E94" s="11" t="s">
        <v>210</v>
      </c>
      <c r="F94" s="11" t="s">
        <v>205</v>
      </c>
      <c r="G94" s="11" t="s">
        <v>223</v>
      </c>
      <c r="H94">
        <v>9</v>
      </c>
      <c r="I94" s="11" t="s">
        <v>173</v>
      </c>
      <c r="J94" s="11" t="s">
        <v>192</v>
      </c>
      <c r="K94" s="11" t="s">
        <v>174</v>
      </c>
      <c r="L94" s="11" t="s">
        <v>38</v>
      </c>
      <c r="M94" s="11" t="s">
        <v>38</v>
      </c>
      <c r="N94" s="11" t="s">
        <v>38</v>
      </c>
      <c r="O94" s="11" t="s">
        <v>38</v>
      </c>
      <c r="P94" t="s">
        <v>8</v>
      </c>
      <c r="Q94">
        <v>109</v>
      </c>
      <c r="R94">
        <v>0</v>
      </c>
      <c r="S94">
        <v>0</v>
      </c>
      <c r="T94" t="str">
        <f t="shared" si="22"/>
        <v>-</v>
      </c>
      <c r="U94" t="str">
        <f t="shared" si="23"/>
        <v>-</v>
      </c>
      <c r="V94" t="str">
        <f t="shared" si="24"/>
        <v>-</v>
      </c>
      <c r="W94" t="str">
        <f t="shared" si="25"/>
        <v>-</v>
      </c>
      <c r="X94" t="str">
        <f t="shared" si="26"/>
        <v>-</v>
      </c>
      <c r="Y94" t="str">
        <f t="shared" si="27"/>
        <v>-</v>
      </c>
      <c r="Z94" t="str">
        <f t="shared" si="28"/>
        <v>-</v>
      </c>
      <c r="AA94" t="str">
        <f t="shared" si="29"/>
        <v>-</v>
      </c>
      <c r="AB94" t="str">
        <f>IF(_xlfn.IFNA(VLOOKUP(P94,Set_Ref!$B$6:$B$1048576,1,FALSE),"")&lt;&gt;"","-",FALSE)</f>
        <v>-</v>
      </c>
      <c r="AC94" t="str">
        <f t="shared" si="30"/>
        <v>-</v>
      </c>
      <c r="AD94" t="str">
        <f t="shared" si="31"/>
        <v>-</v>
      </c>
      <c r="AE94" t="b">
        <f t="shared" si="32"/>
        <v>1</v>
      </c>
    </row>
    <row r="95" spans="1:31" x14ac:dyDescent="0.25">
      <c r="A95">
        <v>5</v>
      </c>
      <c r="B95">
        <v>33</v>
      </c>
      <c r="C95">
        <v>261</v>
      </c>
      <c r="D95" s="11" t="s">
        <v>145</v>
      </c>
      <c r="E95" s="11" t="s">
        <v>210</v>
      </c>
      <c r="F95" s="11" t="s">
        <v>205</v>
      </c>
      <c r="G95" s="11" t="s">
        <v>223</v>
      </c>
      <c r="H95">
        <v>9</v>
      </c>
      <c r="I95" s="11" t="s">
        <v>173</v>
      </c>
      <c r="J95" s="11" t="s">
        <v>192</v>
      </c>
      <c r="K95" s="11" t="s">
        <v>174</v>
      </c>
      <c r="L95" s="11" t="s">
        <v>38</v>
      </c>
      <c r="M95" s="11" t="s">
        <v>38</v>
      </c>
      <c r="N95" s="11" t="s">
        <v>38</v>
      </c>
      <c r="O95" s="11" t="s">
        <v>38</v>
      </c>
      <c r="P95" t="s">
        <v>8</v>
      </c>
      <c r="Q95">
        <v>139</v>
      </c>
      <c r="R95">
        <v>0</v>
      </c>
      <c r="S95">
        <v>0</v>
      </c>
      <c r="T95" t="str">
        <f t="shared" si="22"/>
        <v>-</v>
      </c>
      <c r="U95" t="str">
        <f t="shared" si="23"/>
        <v>-</v>
      </c>
      <c r="V95" t="str">
        <f t="shared" si="24"/>
        <v>-</v>
      </c>
      <c r="W95" t="str">
        <f t="shared" si="25"/>
        <v>-</v>
      </c>
      <c r="X95" t="str">
        <f t="shared" si="26"/>
        <v>-</v>
      </c>
      <c r="Y95" t="str">
        <f t="shared" si="27"/>
        <v>-</v>
      </c>
      <c r="Z95" t="str">
        <f t="shared" si="28"/>
        <v>-</v>
      </c>
      <c r="AA95" t="str">
        <f t="shared" si="29"/>
        <v>-</v>
      </c>
      <c r="AB95" t="str">
        <f>IF(_xlfn.IFNA(VLOOKUP(P95,Set_Ref!$B$6:$B$1048576,1,FALSE),"")&lt;&gt;"","-",FALSE)</f>
        <v>-</v>
      </c>
      <c r="AC95" t="str">
        <f t="shared" si="30"/>
        <v>-</v>
      </c>
      <c r="AD95" t="str">
        <f t="shared" si="31"/>
        <v>-</v>
      </c>
      <c r="AE95" t="b">
        <f t="shared" si="32"/>
        <v>1</v>
      </c>
    </row>
    <row r="96" spans="1:31" x14ac:dyDescent="0.25">
      <c r="A96">
        <v>5</v>
      </c>
      <c r="B96">
        <v>34</v>
      </c>
      <c r="C96">
        <v>261</v>
      </c>
      <c r="D96" s="11" t="s">
        <v>145</v>
      </c>
      <c r="E96" s="11" t="s">
        <v>210</v>
      </c>
      <c r="F96" s="11" t="s">
        <v>205</v>
      </c>
      <c r="G96" s="11" t="s">
        <v>223</v>
      </c>
      <c r="H96">
        <v>9</v>
      </c>
      <c r="I96" s="11" t="s">
        <v>173</v>
      </c>
      <c r="J96" s="11" t="s">
        <v>192</v>
      </c>
      <c r="K96" s="11" t="s">
        <v>174</v>
      </c>
      <c r="L96" s="11" t="s">
        <v>38</v>
      </c>
      <c r="M96" s="11" t="s">
        <v>38</v>
      </c>
      <c r="N96" s="11" t="s">
        <v>38</v>
      </c>
      <c r="O96" s="11" t="s">
        <v>38</v>
      </c>
      <c r="P96" t="s">
        <v>8</v>
      </c>
      <c r="Q96">
        <v>98</v>
      </c>
      <c r="R96">
        <v>0</v>
      </c>
      <c r="S96">
        <v>0</v>
      </c>
      <c r="T96" t="str">
        <f t="shared" si="22"/>
        <v>-</v>
      </c>
      <c r="U96" t="str">
        <f t="shared" si="23"/>
        <v>-</v>
      </c>
      <c r="V96" t="str">
        <f t="shared" si="24"/>
        <v>-</v>
      </c>
      <c r="W96" t="str">
        <f t="shared" si="25"/>
        <v>-</v>
      </c>
      <c r="X96" t="str">
        <f t="shared" si="26"/>
        <v>-</v>
      </c>
      <c r="Y96" t="str">
        <f t="shared" si="27"/>
        <v>-</v>
      </c>
      <c r="Z96" t="str">
        <f t="shared" si="28"/>
        <v>-</v>
      </c>
      <c r="AA96" t="str">
        <f t="shared" si="29"/>
        <v>-</v>
      </c>
      <c r="AB96" t="str">
        <f>IF(_xlfn.IFNA(VLOOKUP(P96,Set_Ref!$B$6:$B$1048576,1,FALSE),"")&lt;&gt;"","-",FALSE)</f>
        <v>-</v>
      </c>
      <c r="AC96" t="str">
        <f t="shared" si="30"/>
        <v>-</v>
      </c>
      <c r="AD96" t="str">
        <f t="shared" si="31"/>
        <v>-</v>
      </c>
      <c r="AE96" t="b">
        <f t="shared" si="32"/>
        <v>1</v>
      </c>
    </row>
    <row r="97" spans="1:31" x14ac:dyDescent="0.25">
      <c r="A97">
        <v>5</v>
      </c>
      <c r="B97">
        <v>35</v>
      </c>
      <c r="C97">
        <v>261</v>
      </c>
      <c r="D97" s="11" t="s">
        <v>145</v>
      </c>
      <c r="E97" s="11" t="s">
        <v>210</v>
      </c>
      <c r="F97" s="11" t="s">
        <v>205</v>
      </c>
      <c r="G97" s="11" t="s">
        <v>223</v>
      </c>
      <c r="H97">
        <v>9</v>
      </c>
      <c r="I97" s="11" t="s">
        <v>173</v>
      </c>
      <c r="J97" s="11" t="s">
        <v>192</v>
      </c>
      <c r="K97" s="11" t="s">
        <v>174</v>
      </c>
      <c r="L97" s="11" t="s">
        <v>38</v>
      </c>
      <c r="M97" s="11" t="s">
        <v>38</v>
      </c>
      <c r="N97" s="11" t="s">
        <v>38</v>
      </c>
      <c r="O97" s="11" t="s">
        <v>38</v>
      </c>
      <c r="P97" t="s">
        <v>8</v>
      </c>
      <c r="Q97">
        <v>87</v>
      </c>
      <c r="R97">
        <v>0</v>
      </c>
      <c r="S97">
        <v>0</v>
      </c>
      <c r="T97" t="str">
        <f t="shared" si="22"/>
        <v>-</v>
      </c>
      <c r="U97" t="str">
        <f t="shared" si="23"/>
        <v>-</v>
      </c>
      <c r="V97" t="str">
        <f t="shared" si="24"/>
        <v>-</v>
      </c>
      <c r="W97" t="str">
        <f t="shared" si="25"/>
        <v>-</v>
      </c>
      <c r="X97" t="str">
        <f t="shared" si="26"/>
        <v>-</v>
      </c>
      <c r="Y97" t="str">
        <f t="shared" si="27"/>
        <v>-</v>
      </c>
      <c r="Z97" t="str">
        <f t="shared" si="28"/>
        <v>-</v>
      </c>
      <c r="AA97" t="str">
        <f t="shared" si="29"/>
        <v>-</v>
      </c>
      <c r="AB97" t="str">
        <f>IF(_xlfn.IFNA(VLOOKUP(P97,Set_Ref!$B$6:$B$1048576,1,FALSE),"")&lt;&gt;"","-",FALSE)</f>
        <v>-</v>
      </c>
      <c r="AC97" t="str">
        <f t="shared" si="30"/>
        <v>-</v>
      </c>
      <c r="AD97" t="str">
        <f t="shared" si="31"/>
        <v>-</v>
      </c>
      <c r="AE97" t="b">
        <f t="shared" si="32"/>
        <v>1</v>
      </c>
    </row>
    <row r="98" spans="1:31" x14ac:dyDescent="0.25">
      <c r="A98">
        <v>5</v>
      </c>
      <c r="B98">
        <v>36</v>
      </c>
      <c r="C98">
        <v>261</v>
      </c>
      <c r="D98" s="11" t="s">
        <v>145</v>
      </c>
      <c r="E98" s="11" t="s">
        <v>210</v>
      </c>
      <c r="F98" s="11" t="s">
        <v>205</v>
      </c>
      <c r="G98" s="11" t="s">
        <v>223</v>
      </c>
      <c r="H98">
        <v>9</v>
      </c>
      <c r="I98" s="11" t="s">
        <v>173</v>
      </c>
      <c r="J98" s="11" t="s">
        <v>192</v>
      </c>
      <c r="K98" s="11" t="s">
        <v>174</v>
      </c>
      <c r="L98" s="11" t="s">
        <v>38</v>
      </c>
      <c r="M98" s="11" t="s">
        <v>38</v>
      </c>
      <c r="N98" s="11" t="s">
        <v>38</v>
      </c>
      <c r="O98" s="11" t="s">
        <v>38</v>
      </c>
      <c r="P98" t="s">
        <v>8</v>
      </c>
      <c r="Q98">
        <v>208</v>
      </c>
      <c r="R98">
        <v>0</v>
      </c>
      <c r="S98">
        <v>0</v>
      </c>
      <c r="T98" t="str">
        <f t="shared" si="22"/>
        <v>-</v>
      </c>
      <c r="U98" t="str">
        <f t="shared" si="23"/>
        <v>-</v>
      </c>
      <c r="V98" t="str">
        <f t="shared" si="24"/>
        <v>-</v>
      </c>
      <c r="W98" t="str">
        <f t="shared" si="25"/>
        <v>-</v>
      </c>
      <c r="X98" t="str">
        <f t="shared" si="26"/>
        <v>-</v>
      </c>
      <c r="Y98" t="str">
        <f t="shared" si="27"/>
        <v>-</v>
      </c>
      <c r="Z98" t="str">
        <f t="shared" si="28"/>
        <v>-</v>
      </c>
      <c r="AA98" t="str">
        <f t="shared" si="29"/>
        <v>-</v>
      </c>
      <c r="AB98" t="str">
        <f>IF(_xlfn.IFNA(VLOOKUP(P98,Set_Ref!$B$6:$B$1048576,1,FALSE),"")&lt;&gt;"","-",FALSE)</f>
        <v>-</v>
      </c>
      <c r="AC98" t="str">
        <f t="shared" si="30"/>
        <v>-</v>
      </c>
      <c r="AD98" t="str">
        <f t="shared" si="31"/>
        <v>-</v>
      </c>
      <c r="AE98" t="b">
        <f t="shared" si="32"/>
        <v>1</v>
      </c>
    </row>
    <row r="99" spans="1:31" x14ac:dyDescent="0.25">
      <c r="A99">
        <v>5</v>
      </c>
      <c r="B99">
        <v>37</v>
      </c>
      <c r="C99">
        <v>261</v>
      </c>
      <c r="D99" s="11" t="s">
        <v>145</v>
      </c>
      <c r="E99" s="11" t="s">
        <v>214</v>
      </c>
      <c r="F99" s="11" t="s">
        <v>206</v>
      </c>
      <c r="G99" s="11" t="s">
        <v>229</v>
      </c>
      <c r="H99">
        <v>7</v>
      </c>
      <c r="I99" s="11" t="s">
        <v>173</v>
      </c>
      <c r="J99" s="11" t="s">
        <v>192</v>
      </c>
      <c r="K99" s="11" t="s">
        <v>174</v>
      </c>
      <c r="L99" s="11" t="s">
        <v>38</v>
      </c>
      <c r="M99" s="11" t="s">
        <v>38</v>
      </c>
      <c r="N99" s="11" t="s">
        <v>38</v>
      </c>
      <c r="O99" s="11" t="s">
        <v>38</v>
      </c>
      <c r="P99" t="s">
        <v>8</v>
      </c>
      <c r="Q99">
        <v>38</v>
      </c>
      <c r="R99">
        <v>0</v>
      </c>
      <c r="S99">
        <v>0</v>
      </c>
      <c r="T99" t="str">
        <f t="shared" ref="T99:T124" si="33">IF(OR(A99="",A99&lt;1),FALSE,IF(ISNUMBER(A99), IF(INT(A99) = A99, "-", FALSE), FALSE))</f>
        <v>-</v>
      </c>
      <c r="U99" t="str">
        <f t="shared" ref="U99:U124" si="34">IF(OR(B99="",A99&lt;1),FALSE,IF(ISNUMBER(A99), IF(INT(A99) = A99, "-", FALSE), FALSE))</f>
        <v>-</v>
      </c>
      <c r="V99" t="str">
        <f t="shared" ref="V99:V124" si="35">IF(OR(C99="",C99="PilihSalasatu"),FALSE,"-")</f>
        <v>-</v>
      </c>
      <c r="W99" t="str">
        <f t="shared" ref="W99:W124" si="36">IF(D99="",FALSE,"-")</f>
        <v>-</v>
      </c>
      <c r="X99" t="str">
        <f t="shared" ref="X99:X124" si="37">IF(E99="",FALSE,"-")</f>
        <v>-</v>
      </c>
      <c r="Y99" t="str">
        <f t="shared" ref="Y99:Y124" si="38">IF(F99="",FALSE,"-")</f>
        <v>-</v>
      </c>
      <c r="Z99" t="str">
        <f t="shared" ref="Z99:Z124" si="39">IF(I99="",FALSE,"-")</f>
        <v>-</v>
      </c>
      <c r="AA99" t="str">
        <f t="shared" ref="AA99:AA124" si="40">IF(J99="",FALSE,"-")</f>
        <v>-</v>
      </c>
      <c r="AB99" t="str">
        <f>IF(_xlfn.IFNA(VLOOKUP(P99,Set_Ref!$B$6:$B$1048576,1,FALSE),"")&lt;&gt;"","-",FALSE)</f>
        <v>-</v>
      </c>
      <c r="AC99" t="str">
        <f t="shared" ref="AC99:AC124" si="41">IF(OR(Q99="",Q99&lt;1),FALSE,IF(ISNUMBER(Q99),"-",FALSE))</f>
        <v>-</v>
      </c>
      <c r="AD99" t="str">
        <f t="shared" ref="AD99:AD124" si="42">IF(OR(G99="",H99="",I99="",K99=""),FALSE,"-")</f>
        <v>-</v>
      </c>
      <c r="AE99" t="b">
        <f t="shared" ref="AE99:AE130" si="43">IF(COUNTIF(T99:AD99, "FALSE") &gt; 0, FALSE, TRUE)</f>
        <v>1</v>
      </c>
    </row>
    <row r="100" spans="1:31" x14ac:dyDescent="0.25">
      <c r="A100">
        <v>5</v>
      </c>
      <c r="B100">
        <v>38</v>
      </c>
      <c r="C100">
        <v>261</v>
      </c>
      <c r="D100" s="11" t="s">
        <v>145</v>
      </c>
      <c r="E100" s="11" t="s">
        <v>214</v>
      </c>
      <c r="F100" s="11" t="s">
        <v>206</v>
      </c>
      <c r="G100" s="11" t="s">
        <v>229</v>
      </c>
      <c r="H100">
        <v>7</v>
      </c>
      <c r="I100" s="11" t="s">
        <v>173</v>
      </c>
      <c r="J100" s="11" t="s">
        <v>192</v>
      </c>
      <c r="K100" s="11" t="s">
        <v>174</v>
      </c>
      <c r="L100" s="11" t="s">
        <v>38</v>
      </c>
      <c r="M100" s="11" t="s">
        <v>38</v>
      </c>
      <c r="N100" s="11" t="s">
        <v>38</v>
      </c>
      <c r="O100" s="11" t="s">
        <v>38</v>
      </c>
      <c r="P100" t="s">
        <v>8</v>
      </c>
      <c r="Q100">
        <v>52</v>
      </c>
      <c r="R100">
        <v>0</v>
      </c>
      <c r="S100">
        <v>0</v>
      </c>
      <c r="T100" t="str">
        <f t="shared" si="33"/>
        <v>-</v>
      </c>
      <c r="U100" t="str">
        <f t="shared" si="34"/>
        <v>-</v>
      </c>
      <c r="V100" t="str">
        <f t="shared" si="35"/>
        <v>-</v>
      </c>
      <c r="W100" t="str">
        <f t="shared" si="36"/>
        <v>-</v>
      </c>
      <c r="X100" t="str">
        <f t="shared" si="37"/>
        <v>-</v>
      </c>
      <c r="Y100" t="str">
        <f t="shared" si="38"/>
        <v>-</v>
      </c>
      <c r="Z100" t="str">
        <f t="shared" si="39"/>
        <v>-</v>
      </c>
      <c r="AA100" t="str">
        <f t="shared" si="40"/>
        <v>-</v>
      </c>
      <c r="AB100" t="str">
        <f>IF(_xlfn.IFNA(VLOOKUP(P100,Set_Ref!$B$6:$B$1048576,1,FALSE),"")&lt;&gt;"","-",FALSE)</f>
        <v>-</v>
      </c>
      <c r="AC100" t="str">
        <f t="shared" si="41"/>
        <v>-</v>
      </c>
      <c r="AD100" t="str">
        <f t="shared" si="42"/>
        <v>-</v>
      </c>
      <c r="AE100" t="b">
        <f t="shared" si="43"/>
        <v>1</v>
      </c>
    </row>
    <row r="101" spans="1:31" x14ac:dyDescent="0.25">
      <c r="A101">
        <v>5</v>
      </c>
      <c r="B101">
        <v>39</v>
      </c>
      <c r="C101">
        <v>261</v>
      </c>
      <c r="D101" s="11" t="s">
        <v>145</v>
      </c>
      <c r="E101" s="11" t="s">
        <v>214</v>
      </c>
      <c r="F101" s="11" t="s">
        <v>206</v>
      </c>
      <c r="G101" s="11" t="s">
        <v>229</v>
      </c>
      <c r="H101">
        <v>7</v>
      </c>
      <c r="I101" s="11" t="s">
        <v>173</v>
      </c>
      <c r="J101" s="11" t="s">
        <v>192</v>
      </c>
      <c r="K101" s="11" t="s">
        <v>174</v>
      </c>
      <c r="L101" s="11" t="s">
        <v>38</v>
      </c>
      <c r="M101" s="11" t="s">
        <v>38</v>
      </c>
      <c r="N101" s="11" t="s">
        <v>38</v>
      </c>
      <c r="O101" s="11" t="s">
        <v>38</v>
      </c>
      <c r="P101" t="s">
        <v>8</v>
      </c>
      <c r="Q101">
        <v>5</v>
      </c>
      <c r="R101">
        <v>0</v>
      </c>
      <c r="S101">
        <v>0</v>
      </c>
      <c r="T101" t="str">
        <f t="shared" si="33"/>
        <v>-</v>
      </c>
      <c r="U101" t="str">
        <f t="shared" si="34"/>
        <v>-</v>
      </c>
      <c r="V101" t="str">
        <f t="shared" si="35"/>
        <v>-</v>
      </c>
      <c r="W101" t="str">
        <f t="shared" si="36"/>
        <v>-</v>
      </c>
      <c r="X101" t="str">
        <f t="shared" si="37"/>
        <v>-</v>
      </c>
      <c r="Y101" t="str">
        <f t="shared" si="38"/>
        <v>-</v>
      </c>
      <c r="Z101" t="str">
        <f t="shared" si="39"/>
        <v>-</v>
      </c>
      <c r="AA101" t="str">
        <f t="shared" si="40"/>
        <v>-</v>
      </c>
      <c r="AB101" t="str">
        <f>IF(_xlfn.IFNA(VLOOKUP(P101,Set_Ref!$B$6:$B$1048576,1,FALSE),"")&lt;&gt;"","-",FALSE)</f>
        <v>-</v>
      </c>
      <c r="AC101" t="str">
        <f t="shared" si="41"/>
        <v>-</v>
      </c>
      <c r="AD101" t="str">
        <f t="shared" si="42"/>
        <v>-</v>
      </c>
      <c r="AE101" t="b">
        <f t="shared" si="43"/>
        <v>1</v>
      </c>
    </row>
    <row r="102" spans="1:31" x14ac:dyDescent="0.25">
      <c r="A102">
        <v>5</v>
      </c>
      <c r="B102">
        <v>40</v>
      </c>
      <c r="C102">
        <v>261</v>
      </c>
      <c r="D102" s="11" t="s">
        <v>145</v>
      </c>
      <c r="E102" s="11" t="s">
        <v>214</v>
      </c>
      <c r="F102" s="11" t="s">
        <v>206</v>
      </c>
      <c r="G102" s="11" t="s">
        <v>229</v>
      </c>
      <c r="H102">
        <v>7</v>
      </c>
      <c r="I102" s="11" t="s">
        <v>173</v>
      </c>
      <c r="J102" s="11" t="s">
        <v>192</v>
      </c>
      <c r="K102" s="11" t="s">
        <v>174</v>
      </c>
      <c r="L102" s="11" t="s">
        <v>38</v>
      </c>
      <c r="M102" s="11" t="s">
        <v>38</v>
      </c>
      <c r="N102" s="11" t="s">
        <v>38</v>
      </c>
      <c r="O102" s="11" t="s">
        <v>38</v>
      </c>
      <c r="P102" t="s">
        <v>8</v>
      </c>
      <c r="Q102">
        <v>46</v>
      </c>
      <c r="R102">
        <v>0</v>
      </c>
      <c r="S102">
        <v>0</v>
      </c>
      <c r="T102" t="str">
        <f t="shared" si="33"/>
        <v>-</v>
      </c>
      <c r="U102" t="str">
        <f t="shared" si="34"/>
        <v>-</v>
      </c>
      <c r="V102" t="str">
        <f t="shared" si="35"/>
        <v>-</v>
      </c>
      <c r="W102" t="str">
        <f t="shared" si="36"/>
        <v>-</v>
      </c>
      <c r="X102" t="str">
        <f t="shared" si="37"/>
        <v>-</v>
      </c>
      <c r="Y102" t="str">
        <f t="shared" si="38"/>
        <v>-</v>
      </c>
      <c r="Z102" t="str">
        <f t="shared" si="39"/>
        <v>-</v>
      </c>
      <c r="AA102" t="str">
        <f t="shared" si="40"/>
        <v>-</v>
      </c>
      <c r="AB102" t="str">
        <f>IF(_xlfn.IFNA(VLOOKUP(P102,Set_Ref!$B$6:$B$1048576,1,FALSE),"")&lt;&gt;"","-",FALSE)</f>
        <v>-</v>
      </c>
      <c r="AC102" t="str">
        <f t="shared" si="41"/>
        <v>-</v>
      </c>
      <c r="AD102" t="str">
        <f t="shared" si="42"/>
        <v>-</v>
      </c>
      <c r="AE102" t="b">
        <f t="shared" si="43"/>
        <v>1</v>
      </c>
    </row>
    <row r="103" spans="1:31" x14ac:dyDescent="0.25">
      <c r="A103">
        <v>5</v>
      </c>
      <c r="B103">
        <v>41</v>
      </c>
      <c r="C103">
        <v>261</v>
      </c>
      <c r="D103" s="11" t="s">
        <v>145</v>
      </c>
      <c r="E103" s="11" t="s">
        <v>214</v>
      </c>
      <c r="F103" s="11" t="s">
        <v>206</v>
      </c>
      <c r="G103" s="11" t="s">
        <v>229</v>
      </c>
      <c r="H103">
        <v>7</v>
      </c>
      <c r="I103" s="11" t="s">
        <v>173</v>
      </c>
      <c r="J103" s="11" t="s">
        <v>192</v>
      </c>
      <c r="K103" s="11" t="s">
        <v>174</v>
      </c>
      <c r="L103" s="11" t="s">
        <v>38</v>
      </c>
      <c r="M103" s="11" t="s">
        <v>38</v>
      </c>
      <c r="N103" s="11" t="s">
        <v>38</v>
      </c>
      <c r="O103" s="11" t="s">
        <v>38</v>
      </c>
      <c r="P103" t="s">
        <v>8</v>
      </c>
      <c r="Q103">
        <v>50</v>
      </c>
      <c r="R103">
        <v>0</v>
      </c>
      <c r="S103">
        <v>0</v>
      </c>
      <c r="T103" t="str">
        <f t="shared" si="33"/>
        <v>-</v>
      </c>
      <c r="U103" t="str">
        <f t="shared" si="34"/>
        <v>-</v>
      </c>
      <c r="V103" t="str">
        <f t="shared" si="35"/>
        <v>-</v>
      </c>
      <c r="W103" t="str">
        <f t="shared" si="36"/>
        <v>-</v>
      </c>
      <c r="X103" t="str">
        <f t="shared" si="37"/>
        <v>-</v>
      </c>
      <c r="Y103" t="str">
        <f t="shared" si="38"/>
        <v>-</v>
      </c>
      <c r="Z103" t="str">
        <f t="shared" si="39"/>
        <v>-</v>
      </c>
      <c r="AA103" t="str">
        <f t="shared" si="40"/>
        <v>-</v>
      </c>
      <c r="AB103" t="str">
        <f>IF(_xlfn.IFNA(VLOOKUP(P103,Set_Ref!$B$6:$B$1048576,1,FALSE),"")&lt;&gt;"","-",FALSE)</f>
        <v>-</v>
      </c>
      <c r="AC103" t="str">
        <f t="shared" si="41"/>
        <v>-</v>
      </c>
      <c r="AD103" t="str">
        <f t="shared" si="42"/>
        <v>-</v>
      </c>
      <c r="AE103" t="b">
        <f t="shared" si="43"/>
        <v>1</v>
      </c>
    </row>
    <row r="104" spans="1:31" x14ac:dyDescent="0.25">
      <c r="A104">
        <v>5</v>
      </c>
      <c r="B104">
        <v>42</v>
      </c>
      <c r="C104">
        <v>261</v>
      </c>
      <c r="D104" s="11" t="s">
        <v>145</v>
      </c>
      <c r="E104" s="11" t="s">
        <v>214</v>
      </c>
      <c r="F104" s="11" t="s">
        <v>206</v>
      </c>
      <c r="G104" s="11" t="s">
        <v>229</v>
      </c>
      <c r="H104">
        <v>7</v>
      </c>
      <c r="I104" s="11" t="s">
        <v>173</v>
      </c>
      <c r="J104" s="11" t="s">
        <v>192</v>
      </c>
      <c r="K104" s="11" t="s">
        <v>174</v>
      </c>
      <c r="L104" s="11" t="s">
        <v>38</v>
      </c>
      <c r="M104" s="11" t="s">
        <v>38</v>
      </c>
      <c r="N104" s="11" t="s">
        <v>38</v>
      </c>
      <c r="O104" s="11" t="s">
        <v>38</v>
      </c>
      <c r="P104" t="s">
        <v>8</v>
      </c>
      <c r="Q104">
        <v>158</v>
      </c>
      <c r="R104">
        <v>0</v>
      </c>
      <c r="S104">
        <v>0</v>
      </c>
      <c r="T104" t="str">
        <f t="shared" si="33"/>
        <v>-</v>
      </c>
      <c r="U104" t="str">
        <f t="shared" si="34"/>
        <v>-</v>
      </c>
      <c r="V104" t="str">
        <f t="shared" si="35"/>
        <v>-</v>
      </c>
      <c r="W104" t="str">
        <f t="shared" si="36"/>
        <v>-</v>
      </c>
      <c r="X104" t="str">
        <f t="shared" si="37"/>
        <v>-</v>
      </c>
      <c r="Y104" t="str">
        <f t="shared" si="38"/>
        <v>-</v>
      </c>
      <c r="Z104" t="str">
        <f t="shared" si="39"/>
        <v>-</v>
      </c>
      <c r="AA104" t="str">
        <f t="shared" si="40"/>
        <v>-</v>
      </c>
      <c r="AB104" t="str">
        <f>IF(_xlfn.IFNA(VLOOKUP(P104,Set_Ref!$B$6:$B$1048576,1,FALSE),"")&lt;&gt;"","-",FALSE)</f>
        <v>-</v>
      </c>
      <c r="AC104" t="str">
        <f t="shared" si="41"/>
        <v>-</v>
      </c>
      <c r="AD104" t="str">
        <f t="shared" si="42"/>
        <v>-</v>
      </c>
      <c r="AE104" t="b">
        <f t="shared" si="43"/>
        <v>1</v>
      </c>
    </row>
    <row r="105" spans="1:31" x14ac:dyDescent="0.25">
      <c r="A105">
        <v>5</v>
      </c>
      <c r="B105">
        <v>43</v>
      </c>
      <c r="C105">
        <v>261</v>
      </c>
      <c r="D105" s="11" t="s">
        <v>145</v>
      </c>
      <c r="E105" s="11" t="s">
        <v>215</v>
      </c>
      <c r="F105" s="11" t="s">
        <v>207</v>
      </c>
      <c r="G105" s="11" t="s">
        <v>233</v>
      </c>
      <c r="H105">
        <v>1</v>
      </c>
      <c r="I105" s="11" t="s">
        <v>173</v>
      </c>
      <c r="J105" s="11" t="s">
        <v>234</v>
      </c>
      <c r="K105" s="11" t="s">
        <v>174</v>
      </c>
      <c r="L105" s="11" t="s">
        <v>38</v>
      </c>
      <c r="M105" s="11" t="s">
        <v>38</v>
      </c>
      <c r="N105" s="11" t="s">
        <v>38</v>
      </c>
      <c r="O105" s="11" t="s">
        <v>38</v>
      </c>
      <c r="P105" t="s">
        <v>8</v>
      </c>
      <c r="Q105">
        <v>21</v>
      </c>
      <c r="R105">
        <v>0</v>
      </c>
      <c r="S105">
        <v>0</v>
      </c>
      <c r="T105" t="str">
        <f t="shared" si="33"/>
        <v>-</v>
      </c>
      <c r="U105" t="str">
        <f t="shared" si="34"/>
        <v>-</v>
      </c>
      <c r="V105" t="str">
        <f t="shared" si="35"/>
        <v>-</v>
      </c>
      <c r="W105" t="str">
        <f t="shared" si="36"/>
        <v>-</v>
      </c>
      <c r="X105" t="str">
        <f t="shared" si="37"/>
        <v>-</v>
      </c>
      <c r="Y105" t="str">
        <f t="shared" si="38"/>
        <v>-</v>
      </c>
      <c r="Z105" t="str">
        <f t="shared" si="39"/>
        <v>-</v>
      </c>
      <c r="AA105" t="str">
        <f t="shared" si="40"/>
        <v>-</v>
      </c>
      <c r="AB105" t="str">
        <f>IF(_xlfn.IFNA(VLOOKUP(P105,Set_Ref!$B$6:$B$1048576,1,FALSE),"")&lt;&gt;"","-",FALSE)</f>
        <v>-</v>
      </c>
      <c r="AC105" t="str">
        <f t="shared" si="41"/>
        <v>-</v>
      </c>
      <c r="AD105" t="str">
        <f t="shared" si="42"/>
        <v>-</v>
      </c>
      <c r="AE105" t="b">
        <f t="shared" si="43"/>
        <v>1</v>
      </c>
    </row>
    <row r="106" spans="1:31" x14ac:dyDescent="0.25">
      <c r="A106">
        <v>5</v>
      </c>
      <c r="B106">
        <v>44</v>
      </c>
      <c r="C106">
        <v>261</v>
      </c>
      <c r="D106" s="11" t="s">
        <v>145</v>
      </c>
      <c r="E106" s="11" t="s">
        <v>215</v>
      </c>
      <c r="F106" s="11" t="s">
        <v>207</v>
      </c>
      <c r="G106" s="11" t="s">
        <v>233</v>
      </c>
      <c r="H106">
        <v>1</v>
      </c>
      <c r="I106" s="11" t="s">
        <v>173</v>
      </c>
      <c r="J106" s="11" t="s">
        <v>234</v>
      </c>
      <c r="K106" s="11" t="s">
        <v>174</v>
      </c>
      <c r="L106" s="11" t="s">
        <v>38</v>
      </c>
      <c r="M106" s="11" t="s">
        <v>38</v>
      </c>
      <c r="N106" s="11" t="s">
        <v>38</v>
      </c>
      <c r="O106" s="11" t="s">
        <v>38</v>
      </c>
      <c r="P106" t="s">
        <v>8</v>
      </c>
      <c r="Q106">
        <v>23</v>
      </c>
      <c r="R106">
        <v>0</v>
      </c>
      <c r="S106">
        <v>0</v>
      </c>
      <c r="T106" t="str">
        <f t="shared" si="33"/>
        <v>-</v>
      </c>
      <c r="U106" t="str">
        <f t="shared" si="34"/>
        <v>-</v>
      </c>
      <c r="V106" t="str">
        <f t="shared" si="35"/>
        <v>-</v>
      </c>
      <c r="W106" t="str">
        <f t="shared" si="36"/>
        <v>-</v>
      </c>
      <c r="X106" t="str">
        <f t="shared" si="37"/>
        <v>-</v>
      </c>
      <c r="Y106" t="str">
        <f t="shared" si="38"/>
        <v>-</v>
      </c>
      <c r="Z106" t="str">
        <f t="shared" si="39"/>
        <v>-</v>
      </c>
      <c r="AA106" t="str">
        <f t="shared" si="40"/>
        <v>-</v>
      </c>
      <c r="AB106" t="str">
        <f>IF(_xlfn.IFNA(VLOOKUP(P106,Set_Ref!$B$6:$B$1048576,1,FALSE),"")&lt;&gt;"","-",FALSE)</f>
        <v>-</v>
      </c>
      <c r="AC106" t="str">
        <f t="shared" si="41"/>
        <v>-</v>
      </c>
      <c r="AD106" t="str">
        <f t="shared" si="42"/>
        <v>-</v>
      </c>
      <c r="AE106" t="b">
        <f t="shared" si="43"/>
        <v>1</v>
      </c>
    </row>
    <row r="107" spans="1:31" x14ac:dyDescent="0.25">
      <c r="A107">
        <v>5</v>
      </c>
      <c r="B107">
        <v>45</v>
      </c>
      <c r="C107">
        <v>261</v>
      </c>
      <c r="D107" s="11" t="s">
        <v>145</v>
      </c>
      <c r="E107" s="11" t="s">
        <v>215</v>
      </c>
      <c r="F107" s="11" t="s">
        <v>207</v>
      </c>
      <c r="G107" s="11" t="s">
        <v>233</v>
      </c>
      <c r="H107">
        <v>1</v>
      </c>
      <c r="I107" s="11" t="s">
        <v>173</v>
      </c>
      <c r="J107" s="11" t="s">
        <v>234</v>
      </c>
      <c r="K107" s="11" t="s">
        <v>174</v>
      </c>
      <c r="L107" s="11" t="s">
        <v>38</v>
      </c>
      <c r="M107" s="11" t="s">
        <v>38</v>
      </c>
      <c r="N107" s="11" t="s">
        <v>38</v>
      </c>
      <c r="O107" s="11" t="s">
        <v>38</v>
      </c>
      <c r="P107" t="s">
        <v>8</v>
      </c>
      <c r="Q107">
        <v>21</v>
      </c>
      <c r="R107">
        <v>0</v>
      </c>
      <c r="S107">
        <v>0</v>
      </c>
      <c r="T107" t="str">
        <f t="shared" si="33"/>
        <v>-</v>
      </c>
      <c r="U107" t="str">
        <f t="shared" si="34"/>
        <v>-</v>
      </c>
      <c r="V107" t="str">
        <f t="shared" si="35"/>
        <v>-</v>
      </c>
      <c r="W107" t="str">
        <f t="shared" si="36"/>
        <v>-</v>
      </c>
      <c r="X107" t="str">
        <f t="shared" si="37"/>
        <v>-</v>
      </c>
      <c r="Y107" t="str">
        <f t="shared" si="38"/>
        <v>-</v>
      </c>
      <c r="Z107" t="str">
        <f t="shared" si="39"/>
        <v>-</v>
      </c>
      <c r="AA107" t="str">
        <f t="shared" si="40"/>
        <v>-</v>
      </c>
      <c r="AB107" t="str">
        <f>IF(_xlfn.IFNA(VLOOKUP(P107,Set_Ref!$B$6:$B$1048576,1,FALSE),"")&lt;&gt;"","-",FALSE)</f>
        <v>-</v>
      </c>
      <c r="AC107" t="str">
        <f t="shared" si="41"/>
        <v>-</v>
      </c>
      <c r="AD107" t="str">
        <f t="shared" si="42"/>
        <v>-</v>
      </c>
      <c r="AE107" t="b">
        <f t="shared" si="43"/>
        <v>1</v>
      </c>
    </row>
    <row r="108" spans="1:31" x14ac:dyDescent="0.25">
      <c r="A108">
        <v>5</v>
      </c>
      <c r="B108">
        <v>46</v>
      </c>
      <c r="C108">
        <v>261</v>
      </c>
      <c r="D108" s="11" t="s">
        <v>145</v>
      </c>
      <c r="E108" s="11" t="s">
        <v>211</v>
      </c>
      <c r="F108" s="11" t="s">
        <v>207</v>
      </c>
      <c r="G108" s="11" t="s">
        <v>224</v>
      </c>
      <c r="H108">
        <v>1</v>
      </c>
      <c r="I108" s="11" t="s">
        <v>173</v>
      </c>
      <c r="J108" s="11" t="s">
        <v>235</v>
      </c>
      <c r="K108" s="11" t="s">
        <v>174</v>
      </c>
      <c r="L108" s="11" t="s">
        <v>38</v>
      </c>
      <c r="M108" s="11" t="s">
        <v>38</v>
      </c>
      <c r="N108" s="11" t="s">
        <v>38</v>
      </c>
      <c r="O108" s="11" t="s">
        <v>38</v>
      </c>
      <c r="P108" t="s">
        <v>8</v>
      </c>
      <c r="Q108">
        <v>102</v>
      </c>
      <c r="R108">
        <v>0</v>
      </c>
      <c r="S108">
        <v>0</v>
      </c>
      <c r="T108" t="str">
        <f t="shared" si="33"/>
        <v>-</v>
      </c>
      <c r="U108" t="str">
        <f t="shared" si="34"/>
        <v>-</v>
      </c>
      <c r="V108" t="str">
        <f t="shared" si="35"/>
        <v>-</v>
      </c>
      <c r="W108" t="str">
        <f t="shared" si="36"/>
        <v>-</v>
      </c>
      <c r="X108" t="str">
        <f t="shared" si="37"/>
        <v>-</v>
      </c>
      <c r="Y108" t="str">
        <f t="shared" si="38"/>
        <v>-</v>
      </c>
      <c r="Z108" t="str">
        <f t="shared" si="39"/>
        <v>-</v>
      </c>
      <c r="AA108" t="str">
        <f t="shared" si="40"/>
        <v>-</v>
      </c>
      <c r="AB108" t="str">
        <f>IF(_xlfn.IFNA(VLOOKUP(P108,Set_Ref!$B$6:$B$1048576,1,FALSE),"")&lt;&gt;"","-",FALSE)</f>
        <v>-</v>
      </c>
      <c r="AC108" t="str">
        <f t="shared" si="41"/>
        <v>-</v>
      </c>
      <c r="AD108" t="str">
        <f t="shared" si="42"/>
        <v>-</v>
      </c>
      <c r="AE108" t="b">
        <f t="shared" si="43"/>
        <v>1</v>
      </c>
    </row>
    <row r="109" spans="1:31" x14ac:dyDescent="0.25">
      <c r="A109">
        <v>5</v>
      </c>
      <c r="B109">
        <v>47</v>
      </c>
      <c r="C109">
        <v>261</v>
      </c>
      <c r="D109" s="11" t="s">
        <v>145</v>
      </c>
      <c r="E109" s="11" t="s">
        <v>211</v>
      </c>
      <c r="F109" s="11" t="s">
        <v>207</v>
      </c>
      <c r="G109" s="11" t="s">
        <v>224</v>
      </c>
      <c r="H109">
        <v>1</v>
      </c>
      <c r="I109" s="11" t="s">
        <v>173</v>
      </c>
      <c r="J109" s="11" t="s">
        <v>235</v>
      </c>
      <c r="K109" s="11" t="s">
        <v>174</v>
      </c>
      <c r="L109" s="11" t="s">
        <v>38</v>
      </c>
      <c r="M109" s="11" t="s">
        <v>38</v>
      </c>
      <c r="N109" s="11" t="s">
        <v>38</v>
      </c>
      <c r="O109" s="11" t="s">
        <v>38</v>
      </c>
      <c r="P109" t="s">
        <v>8</v>
      </c>
      <c r="Q109">
        <v>44</v>
      </c>
      <c r="R109">
        <v>0</v>
      </c>
      <c r="S109">
        <v>0</v>
      </c>
      <c r="T109" t="str">
        <f t="shared" si="33"/>
        <v>-</v>
      </c>
      <c r="U109" t="str">
        <f t="shared" si="34"/>
        <v>-</v>
      </c>
      <c r="V109" t="str">
        <f t="shared" si="35"/>
        <v>-</v>
      </c>
      <c r="W109" t="str">
        <f t="shared" si="36"/>
        <v>-</v>
      </c>
      <c r="X109" t="str">
        <f t="shared" si="37"/>
        <v>-</v>
      </c>
      <c r="Y109" t="str">
        <f t="shared" si="38"/>
        <v>-</v>
      </c>
      <c r="Z109" t="str">
        <f t="shared" si="39"/>
        <v>-</v>
      </c>
      <c r="AA109" t="str">
        <f t="shared" si="40"/>
        <v>-</v>
      </c>
      <c r="AB109" t="str">
        <f>IF(_xlfn.IFNA(VLOOKUP(P109,Set_Ref!$B$6:$B$1048576,1,FALSE),"")&lt;&gt;"","-",FALSE)</f>
        <v>-</v>
      </c>
      <c r="AC109" t="str">
        <f t="shared" si="41"/>
        <v>-</v>
      </c>
      <c r="AD109" t="str">
        <f t="shared" si="42"/>
        <v>-</v>
      </c>
      <c r="AE109" t="b">
        <f t="shared" si="43"/>
        <v>1</v>
      </c>
    </row>
    <row r="110" spans="1:31" x14ac:dyDescent="0.25">
      <c r="A110">
        <v>5</v>
      </c>
      <c r="B110">
        <v>48</v>
      </c>
      <c r="C110">
        <v>261</v>
      </c>
      <c r="D110" s="11" t="s">
        <v>145</v>
      </c>
      <c r="E110" s="11" t="s">
        <v>211</v>
      </c>
      <c r="F110" s="11" t="s">
        <v>207</v>
      </c>
      <c r="G110" s="11" t="s">
        <v>224</v>
      </c>
      <c r="H110">
        <v>1</v>
      </c>
      <c r="I110" s="11" t="s">
        <v>173</v>
      </c>
      <c r="J110" s="11" t="s">
        <v>235</v>
      </c>
      <c r="K110" s="11" t="s">
        <v>174</v>
      </c>
      <c r="L110" s="11" t="s">
        <v>38</v>
      </c>
      <c r="M110" s="11" t="s">
        <v>38</v>
      </c>
      <c r="N110" s="11" t="s">
        <v>38</v>
      </c>
      <c r="O110" s="11" t="s">
        <v>38</v>
      </c>
      <c r="P110" t="s">
        <v>8</v>
      </c>
      <c r="Q110">
        <v>29</v>
      </c>
      <c r="R110">
        <v>0</v>
      </c>
      <c r="S110">
        <v>0</v>
      </c>
      <c r="T110" t="str">
        <f t="shared" si="33"/>
        <v>-</v>
      </c>
      <c r="U110" t="str">
        <f t="shared" si="34"/>
        <v>-</v>
      </c>
      <c r="V110" t="str">
        <f t="shared" si="35"/>
        <v>-</v>
      </c>
      <c r="W110" t="str">
        <f t="shared" si="36"/>
        <v>-</v>
      </c>
      <c r="X110" t="str">
        <f t="shared" si="37"/>
        <v>-</v>
      </c>
      <c r="Y110" t="str">
        <f t="shared" si="38"/>
        <v>-</v>
      </c>
      <c r="Z110" t="str">
        <f t="shared" si="39"/>
        <v>-</v>
      </c>
      <c r="AA110" t="str">
        <f t="shared" si="40"/>
        <v>-</v>
      </c>
      <c r="AB110" t="str">
        <f>IF(_xlfn.IFNA(VLOOKUP(P110,Set_Ref!$B$6:$B$1048576,1,FALSE),"")&lt;&gt;"","-",FALSE)</f>
        <v>-</v>
      </c>
      <c r="AC110" t="str">
        <f t="shared" si="41"/>
        <v>-</v>
      </c>
      <c r="AD110" t="str">
        <f t="shared" si="42"/>
        <v>-</v>
      </c>
      <c r="AE110" t="b">
        <f t="shared" si="43"/>
        <v>1</v>
      </c>
    </row>
    <row r="111" spans="1:31" x14ac:dyDescent="0.25">
      <c r="A111">
        <v>6</v>
      </c>
      <c r="B111">
        <v>1</v>
      </c>
      <c r="C111">
        <v>261</v>
      </c>
      <c r="D111" s="11" t="s">
        <v>145</v>
      </c>
      <c r="E111" s="11" t="s">
        <v>213</v>
      </c>
      <c r="F111" s="11" t="s">
        <v>204</v>
      </c>
      <c r="G111" s="11" t="s">
        <v>227</v>
      </c>
      <c r="H111">
        <v>2</v>
      </c>
      <c r="I111" s="11" t="s">
        <v>173</v>
      </c>
      <c r="J111" s="11" t="s">
        <v>185</v>
      </c>
      <c r="K111" s="11" t="s">
        <v>178</v>
      </c>
      <c r="L111" s="11" t="s">
        <v>38</v>
      </c>
      <c r="M111" s="11" t="s">
        <v>38</v>
      </c>
      <c r="N111" s="11" t="s">
        <v>38</v>
      </c>
      <c r="O111" s="11" t="s">
        <v>38</v>
      </c>
      <c r="P111" t="s">
        <v>8</v>
      </c>
      <c r="Q111">
        <v>1248</v>
      </c>
      <c r="R111">
        <v>0</v>
      </c>
      <c r="S111">
        <v>0</v>
      </c>
      <c r="T111" t="str">
        <f t="shared" si="33"/>
        <v>-</v>
      </c>
      <c r="U111" t="str">
        <f t="shared" si="34"/>
        <v>-</v>
      </c>
      <c r="V111" t="str">
        <f t="shared" si="35"/>
        <v>-</v>
      </c>
      <c r="W111" t="str">
        <f t="shared" si="36"/>
        <v>-</v>
      </c>
      <c r="X111" t="str">
        <f t="shared" si="37"/>
        <v>-</v>
      </c>
      <c r="Y111" t="str">
        <f t="shared" si="38"/>
        <v>-</v>
      </c>
      <c r="Z111" t="str">
        <f t="shared" si="39"/>
        <v>-</v>
      </c>
      <c r="AA111" t="str">
        <f t="shared" si="40"/>
        <v>-</v>
      </c>
      <c r="AB111" t="str">
        <f>IF(_xlfn.IFNA(VLOOKUP(P111,Set_Ref!$B$6:$B$1048576,1,FALSE),"")&lt;&gt;"","-",FALSE)</f>
        <v>-</v>
      </c>
      <c r="AC111" t="str">
        <f t="shared" si="41"/>
        <v>-</v>
      </c>
      <c r="AD111" t="str">
        <f t="shared" si="42"/>
        <v>-</v>
      </c>
      <c r="AE111" t="b">
        <f t="shared" si="43"/>
        <v>1</v>
      </c>
    </row>
    <row r="112" spans="1:31" x14ac:dyDescent="0.25">
      <c r="A112">
        <v>6</v>
      </c>
      <c r="B112">
        <v>2</v>
      </c>
      <c r="C112">
        <v>261</v>
      </c>
      <c r="D112" s="11" t="s">
        <v>145</v>
      </c>
      <c r="E112" s="11" t="s">
        <v>210</v>
      </c>
      <c r="F112" s="11" t="s">
        <v>205</v>
      </c>
      <c r="G112" s="11" t="s">
        <v>223</v>
      </c>
      <c r="H112">
        <v>10</v>
      </c>
      <c r="I112" s="11" t="s">
        <v>173</v>
      </c>
      <c r="J112" s="11" t="s">
        <v>185</v>
      </c>
      <c r="K112" s="11" t="s">
        <v>178</v>
      </c>
      <c r="L112" s="11" t="s">
        <v>38</v>
      </c>
      <c r="M112" s="11" t="s">
        <v>38</v>
      </c>
      <c r="N112" s="11" t="s">
        <v>38</v>
      </c>
      <c r="O112" s="11" t="s">
        <v>38</v>
      </c>
      <c r="P112" t="s">
        <v>8</v>
      </c>
      <c r="Q112">
        <v>934</v>
      </c>
      <c r="R112">
        <v>0</v>
      </c>
      <c r="S112">
        <v>0</v>
      </c>
      <c r="T112" t="str">
        <f t="shared" si="33"/>
        <v>-</v>
      </c>
      <c r="U112" t="str">
        <f t="shared" si="34"/>
        <v>-</v>
      </c>
      <c r="V112" t="str">
        <f t="shared" si="35"/>
        <v>-</v>
      </c>
      <c r="W112" t="str">
        <f t="shared" si="36"/>
        <v>-</v>
      </c>
      <c r="X112" t="str">
        <f t="shared" si="37"/>
        <v>-</v>
      </c>
      <c r="Y112" t="str">
        <f t="shared" si="38"/>
        <v>-</v>
      </c>
      <c r="Z112" t="str">
        <f t="shared" si="39"/>
        <v>-</v>
      </c>
      <c r="AA112" t="str">
        <f t="shared" si="40"/>
        <v>-</v>
      </c>
      <c r="AB112" t="str">
        <f>IF(_xlfn.IFNA(VLOOKUP(P112,Set_Ref!$B$6:$B$1048576,1,FALSE),"")&lt;&gt;"","-",FALSE)</f>
        <v>-</v>
      </c>
      <c r="AC112" t="str">
        <f t="shared" si="41"/>
        <v>-</v>
      </c>
      <c r="AD112" t="str">
        <f t="shared" si="42"/>
        <v>-</v>
      </c>
      <c r="AE112" t="b">
        <f t="shared" si="43"/>
        <v>1</v>
      </c>
    </row>
    <row r="113" spans="1:31" x14ac:dyDescent="0.25">
      <c r="A113">
        <v>6</v>
      </c>
      <c r="B113">
        <v>3</v>
      </c>
      <c r="C113">
        <v>261</v>
      </c>
      <c r="D113" s="11" t="s">
        <v>145</v>
      </c>
      <c r="E113" s="11" t="s">
        <v>214</v>
      </c>
      <c r="F113" s="11" t="s">
        <v>206</v>
      </c>
      <c r="G113" s="11" t="s">
        <v>229</v>
      </c>
      <c r="H113">
        <v>8</v>
      </c>
      <c r="I113" s="11" t="s">
        <v>173</v>
      </c>
      <c r="J113" s="11" t="s">
        <v>185</v>
      </c>
      <c r="K113" s="11" t="s">
        <v>178</v>
      </c>
      <c r="L113" s="11" t="s">
        <v>38</v>
      </c>
      <c r="M113" s="11" t="s">
        <v>38</v>
      </c>
      <c r="N113" s="11" t="s">
        <v>38</v>
      </c>
      <c r="O113" s="11" t="s">
        <v>38</v>
      </c>
      <c r="P113" t="s">
        <v>8</v>
      </c>
      <c r="Q113">
        <v>934</v>
      </c>
      <c r="R113">
        <v>0</v>
      </c>
      <c r="S113">
        <v>0</v>
      </c>
      <c r="T113" t="str">
        <f t="shared" si="33"/>
        <v>-</v>
      </c>
      <c r="U113" t="str">
        <f t="shared" si="34"/>
        <v>-</v>
      </c>
      <c r="V113" t="str">
        <f t="shared" si="35"/>
        <v>-</v>
      </c>
      <c r="W113" t="str">
        <f t="shared" si="36"/>
        <v>-</v>
      </c>
      <c r="X113" t="str">
        <f t="shared" si="37"/>
        <v>-</v>
      </c>
      <c r="Y113" t="str">
        <f t="shared" si="38"/>
        <v>-</v>
      </c>
      <c r="Z113" t="str">
        <f t="shared" si="39"/>
        <v>-</v>
      </c>
      <c r="AA113" t="str">
        <f t="shared" si="40"/>
        <v>-</v>
      </c>
      <c r="AB113" t="str">
        <f>IF(_xlfn.IFNA(VLOOKUP(P113,Set_Ref!$B$6:$B$1048576,1,FALSE),"")&lt;&gt;"","-",FALSE)</f>
        <v>-</v>
      </c>
      <c r="AC113" t="str">
        <f t="shared" si="41"/>
        <v>-</v>
      </c>
      <c r="AD113" t="str">
        <f t="shared" si="42"/>
        <v>-</v>
      </c>
      <c r="AE113" t="b">
        <f t="shared" si="43"/>
        <v>1</v>
      </c>
    </row>
    <row r="114" spans="1:31" x14ac:dyDescent="0.25">
      <c r="A114">
        <v>6</v>
      </c>
      <c r="B114">
        <v>4</v>
      </c>
      <c r="C114">
        <v>261</v>
      </c>
      <c r="D114" s="11" t="s">
        <v>145</v>
      </c>
      <c r="E114" s="11" t="s">
        <v>212</v>
      </c>
      <c r="F114" s="11" t="s">
        <v>208</v>
      </c>
      <c r="G114" s="11" t="s">
        <v>226</v>
      </c>
      <c r="H114">
        <v>4</v>
      </c>
      <c r="I114" s="11" t="s">
        <v>173</v>
      </c>
      <c r="J114" s="11" t="s">
        <v>185</v>
      </c>
      <c r="K114" s="11" t="s">
        <v>178</v>
      </c>
      <c r="L114" s="11" t="s">
        <v>38</v>
      </c>
      <c r="M114" s="11" t="s">
        <v>38</v>
      </c>
      <c r="N114" s="11" t="s">
        <v>38</v>
      </c>
      <c r="O114" s="11" t="s">
        <v>38</v>
      </c>
      <c r="P114" t="s">
        <v>8</v>
      </c>
      <c r="Q114">
        <v>738</v>
      </c>
      <c r="R114">
        <v>0</v>
      </c>
      <c r="S114">
        <v>0</v>
      </c>
      <c r="T114" t="str">
        <f t="shared" si="33"/>
        <v>-</v>
      </c>
      <c r="U114" t="str">
        <f t="shared" si="34"/>
        <v>-</v>
      </c>
      <c r="V114" t="str">
        <f t="shared" si="35"/>
        <v>-</v>
      </c>
      <c r="W114" t="str">
        <f t="shared" si="36"/>
        <v>-</v>
      </c>
      <c r="X114" t="str">
        <f t="shared" si="37"/>
        <v>-</v>
      </c>
      <c r="Y114" t="str">
        <f t="shared" si="38"/>
        <v>-</v>
      </c>
      <c r="Z114" t="str">
        <f t="shared" si="39"/>
        <v>-</v>
      </c>
      <c r="AA114" t="str">
        <f t="shared" si="40"/>
        <v>-</v>
      </c>
      <c r="AB114" t="str">
        <f>IF(_xlfn.IFNA(VLOOKUP(P114,Set_Ref!$B$6:$B$1048576,1,FALSE),"")&lt;&gt;"","-",FALSE)</f>
        <v>-</v>
      </c>
      <c r="AC114" t="str">
        <f t="shared" si="41"/>
        <v>-</v>
      </c>
      <c r="AD114" t="str">
        <f t="shared" si="42"/>
        <v>-</v>
      </c>
      <c r="AE114" t="b">
        <f t="shared" si="43"/>
        <v>1</v>
      </c>
    </row>
    <row r="115" spans="1:31" x14ac:dyDescent="0.25">
      <c r="A115">
        <v>7</v>
      </c>
      <c r="B115">
        <v>1</v>
      </c>
      <c r="C115">
        <v>261</v>
      </c>
      <c r="D115" s="11" t="s">
        <v>145</v>
      </c>
      <c r="E115" s="11" t="s">
        <v>216</v>
      </c>
      <c r="F115" s="11" t="s">
        <v>203</v>
      </c>
      <c r="G115" s="11" t="s">
        <v>236</v>
      </c>
      <c r="H115">
        <v>2</v>
      </c>
      <c r="I115" s="11" t="s">
        <v>187</v>
      </c>
      <c r="J115" s="11" t="s">
        <v>237</v>
      </c>
      <c r="K115" s="11" t="s">
        <v>238</v>
      </c>
      <c r="L115" s="11" t="s">
        <v>38</v>
      </c>
      <c r="M115" s="11" t="s">
        <v>38</v>
      </c>
      <c r="N115" s="11" t="s">
        <v>38</v>
      </c>
      <c r="O115" s="11" t="s">
        <v>38</v>
      </c>
      <c r="P115" t="s">
        <v>8</v>
      </c>
      <c r="Q115">
        <v>510</v>
      </c>
      <c r="R115">
        <v>0</v>
      </c>
      <c r="S115">
        <v>0</v>
      </c>
      <c r="T115" t="str">
        <f t="shared" si="33"/>
        <v>-</v>
      </c>
      <c r="U115" t="str">
        <f t="shared" si="34"/>
        <v>-</v>
      </c>
      <c r="V115" t="str">
        <f t="shared" si="35"/>
        <v>-</v>
      </c>
      <c r="W115" t="str">
        <f t="shared" si="36"/>
        <v>-</v>
      </c>
      <c r="X115" t="str">
        <f t="shared" si="37"/>
        <v>-</v>
      </c>
      <c r="Y115" t="str">
        <f t="shared" si="38"/>
        <v>-</v>
      </c>
      <c r="Z115" t="str">
        <f t="shared" si="39"/>
        <v>-</v>
      </c>
      <c r="AA115" t="str">
        <f t="shared" si="40"/>
        <v>-</v>
      </c>
      <c r="AB115" t="str">
        <f>IF(_xlfn.IFNA(VLOOKUP(P115,Set_Ref!$B$6:$B$1048576,1,FALSE),"")&lt;&gt;"","-",FALSE)</f>
        <v>-</v>
      </c>
      <c r="AC115" t="str">
        <f t="shared" si="41"/>
        <v>-</v>
      </c>
      <c r="AD115" t="str">
        <f t="shared" si="42"/>
        <v>-</v>
      </c>
      <c r="AE115" t="b">
        <f t="shared" si="43"/>
        <v>1</v>
      </c>
    </row>
    <row r="116" spans="1:31" x14ac:dyDescent="0.25">
      <c r="A116">
        <v>7</v>
      </c>
      <c r="B116">
        <v>2</v>
      </c>
      <c r="C116">
        <v>261</v>
      </c>
      <c r="D116" s="11" t="s">
        <v>145</v>
      </c>
      <c r="E116" s="11" t="s">
        <v>216</v>
      </c>
      <c r="F116" s="11" t="s">
        <v>203</v>
      </c>
      <c r="G116" s="11" t="s">
        <v>236</v>
      </c>
      <c r="H116">
        <v>2</v>
      </c>
      <c r="I116" s="11" t="s">
        <v>187</v>
      </c>
      <c r="J116" s="11" t="s">
        <v>237</v>
      </c>
      <c r="K116" s="11" t="s">
        <v>238</v>
      </c>
      <c r="L116" s="11" t="s">
        <v>38</v>
      </c>
      <c r="M116" s="11" t="s">
        <v>38</v>
      </c>
      <c r="N116" s="11" t="s">
        <v>38</v>
      </c>
      <c r="O116" s="11" t="s">
        <v>38</v>
      </c>
      <c r="P116" t="s">
        <v>8</v>
      </c>
      <c r="Q116">
        <v>298</v>
      </c>
      <c r="R116">
        <v>0</v>
      </c>
      <c r="S116">
        <v>0</v>
      </c>
      <c r="T116" t="str">
        <f t="shared" si="33"/>
        <v>-</v>
      </c>
      <c r="U116" t="str">
        <f t="shared" si="34"/>
        <v>-</v>
      </c>
      <c r="V116" t="str">
        <f t="shared" si="35"/>
        <v>-</v>
      </c>
      <c r="W116" t="str">
        <f t="shared" si="36"/>
        <v>-</v>
      </c>
      <c r="X116" t="str">
        <f t="shared" si="37"/>
        <v>-</v>
      </c>
      <c r="Y116" t="str">
        <f t="shared" si="38"/>
        <v>-</v>
      </c>
      <c r="Z116" t="str">
        <f t="shared" si="39"/>
        <v>-</v>
      </c>
      <c r="AA116" t="str">
        <f t="shared" si="40"/>
        <v>-</v>
      </c>
      <c r="AB116" t="str">
        <f>IF(_xlfn.IFNA(VLOOKUP(P116,Set_Ref!$B$6:$B$1048576,1,FALSE),"")&lt;&gt;"","-",FALSE)</f>
        <v>-</v>
      </c>
      <c r="AC116" t="str">
        <f t="shared" si="41"/>
        <v>-</v>
      </c>
      <c r="AD116" t="str">
        <f t="shared" si="42"/>
        <v>-</v>
      </c>
      <c r="AE116" t="b">
        <f t="shared" si="43"/>
        <v>1</v>
      </c>
    </row>
    <row r="117" spans="1:31" x14ac:dyDescent="0.25">
      <c r="A117">
        <v>7</v>
      </c>
      <c r="B117">
        <v>3</v>
      </c>
      <c r="C117">
        <v>261</v>
      </c>
      <c r="D117" s="11" t="s">
        <v>145</v>
      </c>
      <c r="E117" s="11" t="s">
        <v>216</v>
      </c>
      <c r="F117" s="11" t="s">
        <v>203</v>
      </c>
      <c r="G117" s="11" t="s">
        <v>236</v>
      </c>
      <c r="H117">
        <v>2</v>
      </c>
      <c r="I117" s="11" t="s">
        <v>187</v>
      </c>
      <c r="J117" s="11" t="s">
        <v>237</v>
      </c>
      <c r="K117" s="11" t="s">
        <v>238</v>
      </c>
      <c r="L117" s="11" t="s">
        <v>38</v>
      </c>
      <c r="M117" s="11" t="s">
        <v>38</v>
      </c>
      <c r="N117" s="11" t="s">
        <v>38</v>
      </c>
      <c r="O117" s="11" t="s">
        <v>38</v>
      </c>
      <c r="P117" t="s">
        <v>8</v>
      </c>
      <c r="Q117">
        <v>2</v>
      </c>
      <c r="R117">
        <v>0</v>
      </c>
      <c r="S117">
        <v>0</v>
      </c>
      <c r="T117" t="str">
        <f t="shared" si="33"/>
        <v>-</v>
      </c>
      <c r="U117" t="str">
        <f t="shared" si="34"/>
        <v>-</v>
      </c>
      <c r="V117" t="str">
        <f t="shared" si="35"/>
        <v>-</v>
      </c>
      <c r="W117" t="str">
        <f t="shared" si="36"/>
        <v>-</v>
      </c>
      <c r="X117" t="str">
        <f t="shared" si="37"/>
        <v>-</v>
      </c>
      <c r="Y117" t="str">
        <f t="shared" si="38"/>
        <v>-</v>
      </c>
      <c r="Z117" t="str">
        <f t="shared" si="39"/>
        <v>-</v>
      </c>
      <c r="AA117" t="str">
        <f t="shared" si="40"/>
        <v>-</v>
      </c>
      <c r="AB117" t="str">
        <f>IF(_xlfn.IFNA(VLOOKUP(P117,Set_Ref!$B$6:$B$1048576,1,FALSE),"")&lt;&gt;"","-",FALSE)</f>
        <v>-</v>
      </c>
      <c r="AC117" t="str">
        <f t="shared" si="41"/>
        <v>-</v>
      </c>
      <c r="AD117" t="str">
        <f t="shared" si="42"/>
        <v>-</v>
      </c>
      <c r="AE117" t="b">
        <f t="shared" si="43"/>
        <v>1</v>
      </c>
    </row>
    <row r="118" spans="1:31" x14ac:dyDescent="0.25">
      <c r="A118">
        <v>7</v>
      </c>
      <c r="B118">
        <v>4</v>
      </c>
      <c r="C118">
        <v>261</v>
      </c>
      <c r="D118" s="11" t="s">
        <v>145</v>
      </c>
      <c r="E118" s="11" t="s">
        <v>210</v>
      </c>
      <c r="F118" s="11" t="s">
        <v>205</v>
      </c>
      <c r="G118" s="11" t="s">
        <v>223</v>
      </c>
      <c r="H118">
        <v>17</v>
      </c>
      <c r="I118" s="11" t="s">
        <v>187</v>
      </c>
      <c r="J118" s="11" t="s">
        <v>191</v>
      </c>
      <c r="K118" s="11" t="s">
        <v>180</v>
      </c>
      <c r="L118" s="11" t="s">
        <v>38</v>
      </c>
      <c r="M118" s="11" t="s">
        <v>38</v>
      </c>
      <c r="N118" s="11" t="s">
        <v>38</v>
      </c>
      <c r="O118" s="11" t="s">
        <v>38</v>
      </c>
      <c r="P118" t="s">
        <v>8</v>
      </c>
      <c r="Q118">
        <v>296</v>
      </c>
      <c r="R118">
        <v>0</v>
      </c>
      <c r="S118">
        <v>0</v>
      </c>
      <c r="T118" t="str">
        <f t="shared" si="33"/>
        <v>-</v>
      </c>
      <c r="U118" t="str">
        <f t="shared" si="34"/>
        <v>-</v>
      </c>
      <c r="V118" t="str">
        <f t="shared" si="35"/>
        <v>-</v>
      </c>
      <c r="W118" t="str">
        <f t="shared" si="36"/>
        <v>-</v>
      </c>
      <c r="X118" t="str">
        <f t="shared" si="37"/>
        <v>-</v>
      </c>
      <c r="Y118" t="str">
        <f t="shared" si="38"/>
        <v>-</v>
      </c>
      <c r="Z118" t="str">
        <f t="shared" si="39"/>
        <v>-</v>
      </c>
      <c r="AA118" t="str">
        <f t="shared" si="40"/>
        <v>-</v>
      </c>
      <c r="AB118" t="str">
        <f>IF(_xlfn.IFNA(VLOOKUP(P118,Set_Ref!$B$6:$B$1048576,1,FALSE),"")&lt;&gt;"","-",FALSE)</f>
        <v>-</v>
      </c>
      <c r="AC118" t="str">
        <f t="shared" si="41"/>
        <v>-</v>
      </c>
      <c r="AD118" t="str">
        <f t="shared" si="42"/>
        <v>-</v>
      </c>
      <c r="AE118" t="b">
        <f t="shared" si="43"/>
        <v>1</v>
      </c>
    </row>
    <row r="119" spans="1:31" x14ac:dyDescent="0.25">
      <c r="A119">
        <v>8</v>
      </c>
      <c r="B119">
        <v>1</v>
      </c>
      <c r="C119">
        <v>261</v>
      </c>
      <c r="D119" s="11" t="s">
        <v>145</v>
      </c>
      <c r="E119" s="11" t="s">
        <v>217</v>
      </c>
      <c r="F119" s="11" t="s">
        <v>202</v>
      </c>
      <c r="G119" s="11" t="s">
        <v>239</v>
      </c>
      <c r="H119">
        <v>1</v>
      </c>
      <c r="I119" s="11" t="s">
        <v>188</v>
      </c>
      <c r="J119" s="11" t="s">
        <v>189</v>
      </c>
      <c r="K119" s="11" t="s">
        <v>181</v>
      </c>
      <c r="L119" s="11" t="s">
        <v>38</v>
      </c>
      <c r="M119" s="11" t="s">
        <v>38</v>
      </c>
      <c r="N119" s="11" t="s">
        <v>38</v>
      </c>
      <c r="O119" s="11" t="s">
        <v>38</v>
      </c>
      <c r="P119" t="s">
        <v>8</v>
      </c>
      <c r="Q119">
        <v>34500</v>
      </c>
      <c r="R119">
        <v>0</v>
      </c>
      <c r="S119">
        <v>0</v>
      </c>
      <c r="T119" t="str">
        <f t="shared" si="33"/>
        <v>-</v>
      </c>
      <c r="U119" t="str">
        <f t="shared" si="34"/>
        <v>-</v>
      </c>
      <c r="V119" t="str">
        <f t="shared" si="35"/>
        <v>-</v>
      </c>
      <c r="W119" t="str">
        <f t="shared" si="36"/>
        <v>-</v>
      </c>
      <c r="X119" t="str">
        <f t="shared" si="37"/>
        <v>-</v>
      </c>
      <c r="Y119" t="str">
        <f t="shared" si="38"/>
        <v>-</v>
      </c>
      <c r="Z119" t="str">
        <f t="shared" si="39"/>
        <v>-</v>
      </c>
      <c r="AA119" t="str">
        <f t="shared" si="40"/>
        <v>-</v>
      </c>
      <c r="AB119" t="str">
        <f>IF(_xlfn.IFNA(VLOOKUP(P119,Set_Ref!$B$6:$B$1048576,1,FALSE),"")&lt;&gt;"","-",FALSE)</f>
        <v>-</v>
      </c>
      <c r="AC119" t="str">
        <f t="shared" si="41"/>
        <v>-</v>
      </c>
      <c r="AD119" t="str">
        <f t="shared" si="42"/>
        <v>-</v>
      </c>
      <c r="AE119" t="b">
        <f t="shared" si="43"/>
        <v>1</v>
      </c>
    </row>
    <row r="120" spans="1:31" x14ac:dyDescent="0.25">
      <c r="A120">
        <v>8</v>
      </c>
      <c r="B120">
        <v>2</v>
      </c>
      <c r="C120">
        <v>261</v>
      </c>
      <c r="D120" s="11" t="s">
        <v>145</v>
      </c>
      <c r="E120" s="11" t="s">
        <v>218</v>
      </c>
      <c r="F120" s="11" t="s">
        <v>205</v>
      </c>
      <c r="G120" s="11" t="s">
        <v>240</v>
      </c>
      <c r="H120">
        <v>1</v>
      </c>
      <c r="I120" s="11" t="s">
        <v>188</v>
      </c>
      <c r="J120" s="11" t="s">
        <v>189</v>
      </c>
      <c r="K120" s="11" t="s">
        <v>181</v>
      </c>
      <c r="L120" s="11" t="s">
        <v>38</v>
      </c>
      <c r="M120" s="11" t="s">
        <v>38</v>
      </c>
      <c r="N120" s="11" t="s">
        <v>38</v>
      </c>
      <c r="O120" s="11" t="s">
        <v>38</v>
      </c>
      <c r="P120" t="s">
        <v>8</v>
      </c>
      <c r="Q120">
        <v>20000</v>
      </c>
      <c r="R120">
        <v>0</v>
      </c>
      <c r="S120">
        <v>0</v>
      </c>
      <c r="T120" t="str">
        <f t="shared" si="33"/>
        <v>-</v>
      </c>
      <c r="U120" t="str">
        <f t="shared" si="34"/>
        <v>-</v>
      </c>
      <c r="V120" t="str">
        <f t="shared" si="35"/>
        <v>-</v>
      </c>
      <c r="W120" t="str">
        <f t="shared" si="36"/>
        <v>-</v>
      </c>
      <c r="X120" t="str">
        <f t="shared" si="37"/>
        <v>-</v>
      </c>
      <c r="Y120" t="str">
        <f t="shared" si="38"/>
        <v>-</v>
      </c>
      <c r="Z120" t="str">
        <f t="shared" si="39"/>
        <v>-</v>
      </c>
      <c r="AA120" t="str">
        <f t="shared" si="40"/>
        <v>-</v>
      </c>
      <c r="AB120" t="str">
        <f>IF(_xlfn.IFNA(VLOOKUP(P120,Set_Ref!$B$6:$B$1048576,1,FALSE),"")&lt;&gt;"","-",FALSE)</f>
        <v>-</v>
      </c>
      <c r="AC120" t="str">
        <f t="shared" si="41"/>
        <v>-</v>
      </c>
      <c r="AD120" t="str">
        <f t="shared" si="42"/>
        <v>-</v>
      </c>
      <c r="AE120" t="b">
        <f t="shared" si="43"/>
        <v>1</v>
      </c>
    </row>
    <row r="121" spans="1:31" x14ac:dyDescent="0.25">
      <c r="A121">
        <v>8</v>
      </c>
      <c r="B121">
        <v>3</v>
      </c>
      <c r="C121">
        <v>261</v>
      </c>
      <c r="D121" s="11" t="s">
        <v>145</v>
      </c>
      <c r="E121" s="11" t="s">
        <v>214</v>
      </c>
      <c r="F121" s="11" t="s">
        <v>206</v>
      </c>
      <c r="G121" s="11" t="s">
        <v>229</v>
      </c>
      <c r="H121">
        <v>4</v>
      </c>
      <c r="I121" s="11" t="s">
        <v>188</v>
      </c>
      <c r="J121" s="11" t="s">
        <v>189</v>
      </c>
      <c r="K121" s="11" t="s">
        <v>181</v>
      </c>
      <c r="L121" s="11" t="s">
        <v>38</v>
      </c>
      <c r="M121" s="11" t="s">
        <v>38</v>
      </c>
      <c r="N121" s="11" t="s">
        <v>38</v>
      </c>
      <c r="O121" s="11" t="s">
        <v>38</v>
      </c>
      <c r="P121" t="s">
        <v>8</v>
      </c>
      <c r="Q121">
        <v>33000</v>
      </c>
      <c r="R121">
        <v>0</v>
      </c>
      <c r="S121">
        <v>0</v>
      </c>
      <c r="T121" t="str">
        <f t="shared" si="33"/>
        <v>-</v>
      </c>
      <c r="U121" t="str">
        <f t="shared" si="34"/>
        <v>-</v>
      </c>
      <c r="V121" t="str">
        <f t="shared" si="35"/>
        <v>-</v>
      </c>
      <c r="W121" t="str">
        <f t="shared" si="36"/>
        <v>-</v>
      </c>
      <c r="X121" t="str">
        <f t="shared" si="37"/>
        <v>-</v>
      </c>
      <c r="Y121" t="str">
        <f t="shared" si="38"/>
        <v>-</v>
      </c>
      <c r="Z121" t="str">
        <f t="shared" si="39"/>
        <v>-</v>
      </c>
      <c r="AA121" t="str">
        <f t="shared" si="40"/>
        <v>-</v>
      </c>
      <c r="AB121" t="str">
        <f>IF(_xlfn.IFNA(VLOOKUP(P121,Set_Ref!$B$6:$B$1048576,1,FALSE),"")&lt;&gt;"","-",FALSE)</f>
        <v>-</v>
      </c>
      <c r="AC121" t="str">
        <f t="shared" si="41"/>
        <v>-</v>
      </c>
      <c r="AD121" t="str">
        <f t="shared" si="42"/>
        <v>-</v>
      </c>
      <c r="AE121" t="b">
        <f t="shared" si="43"/>
        <v>1</v>
      </c>
    </row>
    <row r="122" spans="1:31" x14ac:dyDescent="0.25">
      <c r="A122">
        <v>8</v>
      </c>
      <c r="B122">
        <v>4</v>
      </c>
      <c r="C122">
        <v>261</v>
      </c>
      <c r="D122" s="11" t="s">
        <v>145</v>
      </c>
      <c r="E122" s="11" t="s">
        <v>219</v>
      </c>
      <c r="F122" s="11" t="s">
        <v>182</v>
      </c>
      <c r="G122" s="11" t="s">
        <v>241</v>
      </c>
      <c r="H122">
        <v>1</v>
      </c>
      <c r="I122" s="11" t="s">
        <v>188</v>
      </c>
      <c r="J122" s="11" t="s">
        <v>189</v>
      </c>
      <c r="K122" s="11" t="s">
        <v>181</v>
      </c>
      <c r="L122" s="11" t="s">
        <v>38</v>
      </c>
      <c r="M122" s="11" t="s">
        <v>38</v>
      </c>
      <c r="N122" s="11" t="s">
        <v>38</v>
      </c>
      <c r="O122" s="11" t="s">
        <v>38</v>
      </c>
      <c r="P122" t="s">
        <v>8</v>
      </c>
      <c r="Q122">
        <v>13000</v>
      </c>
      <c r="R122">
        <v>0</v>
      </c>
      <c r="S122">
        <v>0</v>
      </c>
      <c r="T122" t="str">
        <f t="shared" si="33"/>
        <v>-</v>
      </c>
      <c r="U122" t="str">
        <f t="shared" si="34"/>
        <v>-</v>
      </c>
      <c r="V122" t="str">
        <f t="shared" si="35"/>
        <v>-</v>
      </c>
      <c r="W122" t="str">
        <f t="shared" si="36"/>
        <v>-</v>
      </c>
      <c r="X122" t="str">
        <f t="shared" si="37"/>
        <v>-</v>
      </c>
      <c r="Y122" t="str">
        <f t="shared" si="38"/>
        <v>-</v>
      </c>
      <c r="Z122" t="str">
        <f t="shared" si="39"/>
        <v>-</v>
      </c>
      <c r="AA122" t="str">
        <f t="shared" si="40"/>
        <v>-</v>
      </c>
      <c r="AB122" t="str">
        <f>IF(_xlfn.IFNA(VLOOKUP(P122,Set_Ref!$B$6:$B$1048576,1,FALSE),"")&lt;&gt;"","-",FALSE)</f>
        <v>-</v>
      </c>
      <c r="AC122" t="str">
        <f t="shared" si="41"/>
        <v>-</v>
      </c>
      <c r="AD122" t="str">
        <f t="shared" si="42"/>
        <v>-</v>
      </c>
      <c r="AE122" t="b">
        <f t="shared" si="43"/>
        <v>1</v>
      </c>
    </row>
    <row r="123" spans="1:31" x14ac:dyDescent="0.25">
      <c r="A123">
        <v>8</v>
      </c>
      <c r="B123">
        <v>5</v>
      </c>
      <c r="C123">
        <v>261</v>
      </c>
      <c r="D123" s="11" t="s">
        <v>145</v>
      </c>
      <c r="E123" s="11" t="s">
        <v>220</v>
      </c>
      <c r="F123" s="11" t="s">
        <v>208</v>
      </c>
      <c r="G123" s="11" t="s">
        <v>242</v>
      </c>
      <c r="H123">
        <v>1</v>
      </c>
      <c r="I123" s="11" t="s">
        <v>188</v>
      </c>
      <c r="J123" s="11" t="s">
        <v>189</v>
      </c>
      <c r="K123" s="11" t="s">
        <v>181</v>
      </c>
      <c r="L123" s="11" t="s">
        <v>38</v>
      </c>
      <c r="M123" s="11" t="s">
        <v>38</v>
      </c>
      <c r="N123" s="11" t="s">
        <v>38</v>
      </c>
      <c r="O123" s="11" t="s">
        <v>38</v>
      </c>
      <c r="P123" t="s">
        <v>8</v>
      </c>
      <c r="Q123">
        <v>18417</v>
      </c>
      <c r="R123">
        <v>0</v>
      </c>
      <c r="S123">
        <v>0</v>
      </c>
      <c r="T123" t="str">
        <f t="shared" si="33"/>
        <v>-</v>
      </c>
      <c r="U123" t="str">
        <f t="shared" si="34"/>
        <v>-</v>
      </c>
      <c r="V123" t="str">
        <f t="shared" si="35"/>
        <v>-</v>
      </c>
      <c r="W123" t="str">
        <f t="shared" si="36"/>
        <v>-</v>
      </c>
      <c r="X123" t="str">
        <f t="shared" si="37"/>
        <v>-</v>
      </c>
      <c r="Y123" t="str">
        <f t="shared" si="38"/>
        <v>-</v>
      </c>
      <c r="Z123" t="str">
        <f t="shared" si="39"/>
        <v>-</v>
      </c>
      <c r="AA123" t="str">
        <f t="shared" si="40"/>
        <v>-</v>
      </c>
      <c r="AB123" t="str">
        <f>IF(_xlfn.IFNA(VLOOKUP(P123,Set_Ref!$B$6:$B$1048576,1,FALSE),"")&lt;&gt;"","-",FALSE)</f>
        <v>-</v>
      </c>
      <c r="AC123" t="str">
        <f t="shared" si="41"/>
        <v>-</v>
      </c>
      <c r="AD123" t="str">
        <f t="shared" si="42"/>
        <v>-</v>
      </c>
      <c r="AE123" t="b">
        <f t="shared" si="43"/>
        <v>1</v>
      </c>
    </row>
    <row r="124" spans="1:31" x14ac:dyDescent="0.25">
      <c r="A124">
        <v>8</v>
      </c>
      <c r="B124">
        <v>6</v>
      </c>
      <c r="C124">
        <v>261</v>
      </c>
      <c r="D124" s="11" t="s">
        <v>145</v>
      </c>
      <c r="E124" s="11" t="s">
        <v>221</v>
      </c>
      <c r="F124" s="11" t="s">
        <v>183</v>
      </c>
      <c r="G124" s="11" t="s">
        <v>243</v>
      </c>
      <c r="H124">
        <v>1</v>
      </c>
      <c r="I124" s="11" t="s">
        <v>188</v>
      </c>
      <c r="J124" s="11" t="s">
        <v>189</v>
      </c>
      <c r="K124" s="11" t="s">
        <v>181</v>
      </c>
      <c r="L124" s="11" t="s">
        <v>38</v>
      </c>
      <c r="M124" s="11" t="s">
        <v>38</v>
      </c>
      <c r="N124" s="11" t="s">
        <v>38</v>
      </c>
      <c r="O124" s="11" t="s">
        <v>38</v>
      </c>
      <c r="P124" t="s">
        <v>8</v>
      </c>
      <c r="Q124">
        <v>20233</v>
      </c>
      <c r="R124">
        <v>0</v>
      </c>
      <c r="S124">
        <v>0</v>
      </c>
      <c r="T124" t="str">
        <f t="shared" si="33"/>
        <v>-</v>
      </c>
      <c r="U124" t="str">
        <f t="shared" si="34"/>
        <v>-</v>
      </c>
      <c r="V124" t="str">
        <f t="shared" si="35"/>
        <v>-</v>
      </c>
      <c r="W124" t="str">
        <f t="shared" si="36"/>
        <v>-</v>
      </c>
      <c r="X124" t="str">
        <f t="shared" si="37"/>
        <v>-</v>
      </c>
      <c r="Y124" t="str">
        <f t="shared" si="38"/>
        <v>-</v>
      </c>
      <c r="Z124" t="str">
        <f t="shared" si="39"/>
        <v>-</v>
      </c>
      <c r="AA124" t="str">
        <f t="shared" si="40"/>
        <v>-</v>
      </c>
      <c r="AB124" t="str">
        <f>IF(_xlfn.IFNA(VLOOKUP(P124,Set_Ref!$B$6:$B$1048576,1,FALSE),"")&lt;&gt;"","-",FALSE)</f>
        <v>-</v>
      </c>
      <c r="AC124" t="str">
        <f t="shared" si="41"/>
        <v>-</v>
      </c>
      <c r="AD124" t="str">
        <f t="shared" si="42"/>
        <v>-</v>
      </c>
      <c r="AE124" t="b">
        <f t="shared" si="43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83907130-C1CF-4616-9945-1ADB275DA00E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2024-08-26T09:57:02Z</dcterms:modified>
</cp:coreProperties>
</file>