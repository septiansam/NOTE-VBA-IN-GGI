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Pembuatan Dokumen di CEISA 4.0\MACRO - Item Draft Barang - CEISA 4.0\backup macro lama\2024-08-27\New folder\"/>
    </mc:Choice>
  </mc:AlternateContent>
  <xr:revisionPtr revIDLastSave="0" documentId="13_ncr:1_{36BC3771-24E2-4334-A046-A9BE7750DFF3}" xr6:coauthVersionLast="47" xr6:coauthVersionMax="47" xr10:uidLastSave="{00000000-0000-0000-0000-000000000000}"/>
  <bookViews>
    <workbookView xWindow="-120" yWindow="-120" windowWidth="20730" windowHeight="11160" tabRatio="685" activeTab="6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346" r:id="rId8"/>
    <sheet name="BAHANBAKU" sheetId="347" r:id="rId9"/>
  </sheets>
  <functionGroups builtInGroupCount="19"/>
  <externalReferences>
    <externalReference r:id="rId10"/>
  </externalReferences>
  <definedNames>
    <definedName name="_xlnm._FilterDatabase" localSheetId="8" hidden="1">BAHANBAKU!$A$2:$S$241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347"/>
  <c r="AD4" i="347"/>
  <c r="AD5" i="347"/>
  <c r="AD6" i="347"/>
  <c r="AD7" i="347"/>
  <c r="AD8" i="347"/>
  <c r="AD9" i="347"/>
  <c r="AD10" i="347"/>
  <c r="AD11" i="347"/>
  <c r="AD12" i="347"/>
  <c r="AD13" i="347"/>
  <c r="AD14" i="347"/>
  <c r="AD15" i="347"/>
  <c r="AD16" i="347"/>
  <c r="AD17" i="347"/>
  <c r="AD18" i="347"/>
  <c r="AD19" i="347"/>
  <c r="AD20" i="347"/>
  <c r="AD21" i="347"/>
  <c r="AD22" i="347"/>
  <c r="AD23" i="347"/>
  <c r="AD24" i="347"/>
  <c r="AD25" i="347"/>
  <c r="AD26" i="347"/>
  <c r="AD27" i="347"/>
  <c r="AD28" i="347"/>
  <c r="AD29" i="347"/>
  <c r="AD30" i="347"/>
  <c r="AD31" i="347"/>
  <c r="AD32" i="347"/>
  <c r="AD33" i="347"/>
  <c r="AD34" i="347"/>
  <c r="AD35" i="347"/>
  <c r="AD36" i="347"/>
  <c r="AD37" i="347"/>
  <c r="AD38" i="347"/>
  <c r="AD39" i="347"/>
  <c r="AD40" i="347"/>
  <c r="AD41" i="347"/>
  <c r="AD42" i="347"/>
  <c r="AD43" i="347"/>
  <c r="AD44" i="347"/>
  <c r="AD45" i="347"/>
  <c r="AD46" i="347"/>
  <c r="AD47" i="347"/>
  <c r="AD48" i="347"/>
  <c r="AD49" i="347"/>
  <c r="AD50" i="347"/>
  <c r="AD51" i="347"/>
  <c r="AD52" i="347"/>
  <c r="AD53" i="347"/>
  <c r="AD54" i="347"/>
  <c r="AD55" i="347"/>
  <c r="AD56" i="347"/>
  <c r="AD57" i="347"/>
  <c r="AD58" i="347"/>
  <c r="AD59" i="347"/>
  <c r="AD60" i="347"/>
  <c r="AD61" i="347"/>
  <c r="AD62" i="347"/>
  <c r="AD63" i="347"/>
  <c r="AD64" i="347"/>
  <c r="AD65" i="347"/>
  <c r="AD66" i="347"/>
  <c r="AD67" i="347"/>
  <c r="AD68" i="347"/>
  <c r="AD69" i="347"/>
  <c r="AD70" i="347"/>
  <c r="AD71" i="347"/>
  <c r="AD72" i="347"/>
  <c r="AD73" i="347"/>
  <c r="AD74" i="347"/>
  <c r="AD75" i="347"/>
  <c r="AD76" i="347"/>
  <c r="AD77" i="347"/>
  <c r="AD78" i="347"/>
  <c r="AD79" i="347"/>
  <c r="AD80" i="347"/>
  <c r="AD81" i="347"/>
  <c r="AD82" i="347"/>
  <c r="AD83" i="347"/>
  <c r="AD84" i="347"/>
  <c r="AD85" i="347"/>
  <c r="AD86" i="347"/>
  <c r="AD87" i="347"/>
  <c r="AD88" i="347"/>
  <c r="AD89" i="347"/>
  <c r="AD90" i="347"/>
  <c r="AD91" i="347"/>
  <c r="AD92" i="347"/>
  <c r="AD93" i="347"/>
  <c r="AD94" i="347"/>
  <c r="AD95" i="347"/>
  <c r="AD96" i="347"/>
  <c r="AD97" i="347"/>
  <c r="AD98" i="347"/>
  <c r="AD99" i="347"/>
  <c r="AD100" i="347"/>
  <c r="AD101" i="347"/>
  <c r="AD102" i="347"/>
  <c r="AD103" i="347"/>
  <c r="AD104" i="347"/>
  <c r="AD105" i="347"/>
  <c r="AD106" i="347"/>
  <c r="AD107" i="347"/>
  <c r="AD108" i="347"/>
  <c r="AD109" i="347"/>
  <c r="AD110" i="347"/>
  <c r="AD111" i="347"/>
  <c r="AD112" i="347"/>
  <c r="AD113" i="347"/>
  <c r="AD114" i="347"/>
  <c r="AD115" i="347"/>
  <c r="AD116" i="347"/>
  <c r="AD117" i="347"/>
  <c r="AD118" i="347"/>
  <c r="AD119" i="347"/>
  <c r="AD120" i="347"/>
  <c r="AD121" i="347"/>
  <c r="AD122" i="347"/>
  <c r="AD123" i="347"/>
  <c r="AD124" i="347"/>
  <c r="AD125" i="347"/>
  <c r="AD126" i="347"/>
  <c r="AD127" i="347"/>
  <c r="AD128" i="347"/>
  <c r="AD129" i="347"/>
  <c r="AD130" i="347"/>
  <c r="AD131" i="347"/>
  <c r="AD132" i="347"/>
  <c r="AD133" i="347"/>
  <c r="AD134" i="347"/>
  <c r="AD135" i="347"/>
  <c r="AD136" i="347"/>
  <c r="AD137" i="347"/>
  <c r="AD138" i="347"/>
  <c r="AD139" i="347"/>
  <c r="AD140" i="347"/>
  <c r="AD141" i="347"/>
  <c r="AD142" i="347"/>
  <c r="AD143" i="347"/>
  <c r="AD144" i="347"/>
  <c r="AD145" i="347"/>
  <c r="AD146" i="347"/>
  <c r="AD147" i="347"/>
  <c r="AD148" i="347"/>
  <c r="AD149" i="347"/>
  <c r="AD150" i="347"/>
  <c r="AD151" i="347"/>
  <c r="AD152" i="347"/>
  <c r="AD153" i="347"/>
  <c r="AD154" i="347"/>
  <c r="AD155" i="347"/>
  <c r="AD156" i="347"/>
  <c r="AD157" i="347"/>
  <c r="AD158" i="347"/>
  <c r="AD159" i="347"/>
  <c r="AD160" i="347"/>
  <c r="AD161" i="347"/>
  <c r="AD162" i="347"/>
  <c r="AD163" i="347"/>
  <c r="AD164" i="347"/>
  <c r="AD165" i="347"/>
  <c r="AD166" i="347"/>
  <c r="AD167" i="347"/>
  <c r="AD168" i="347"/>
  <c r="AD169" i="347"/>
  <c r="AD170" i="347"/>
  <c r="AD171" i="347"/>
  <c r="AD172" i="347"/>
  <c r="AD173" i="347"/>
  <c r="AD174" i="347"/>
  <c r="AD175" i="347"/>
  <c r="AD176" i="347"/>
  <c r="AD177" i="347"/>
  <c r="AD178" i="347"/>
  <c r="AD179" i="347"/>
  <c r="AD180" i="347"/>
  <c r="AD181" i="347"/>
  <c r="AD182" i="347"/>
  <c r="AD183" i="347"/>
  <c r="AD184" i="347"/>
  <c r="AD185" i="347"/>
  <c r="AD186" i="347"/>
  <c r="AD187" i="347"/>
  <c r="AD188" i="347"/>
  <c r="AD189" i="347"/>
  <c r="AD190" i="347"/>
  <c r="AD191" i="347"/>
  <c r="AD192" i="347"/>
  <c r="AD193" i="347"/>
  <c r="AD194" i="347"/>
  <c r="AD195" i="347"/>
  <c r="AD196" i="347"/>
  <c r="AD197" i="347"/>
  <c r="AD198" i="347"/>
  <c r="AD199" i="347"/>
  <c r="AD200" i="347"/>
  <c r="AD201" i="347"/>
  <c r="AD202" i="347"/>
  <c r="AD203" i="347"/>
  <c r="AD204" i="347"/>
  <c r="AD205" i="347"/>
  <c r="AD206" i="347"/>
  <c r="AD207" i="347"/>
  <c r="AD208" i="347"/>
  <c r="AD209" i="347"/>
  <c r="AD210" i="347"/>
  <c r="AD211" i="347"/>
  <c r="AD212" i="347"/>
  <c r="AD213" i="347"/>
  <c r="AD214" i="347"/>
  <c r="AD215" i="347"/>
  <c r="AD216" i="347"/>
  <c r="AD217" i="347"/>
  <c r="AD218" i="347"/>
  <c r="AD219" i="347"/>
  <c r="AD220" i="347"/>
  <c r="AD221" i="347"/>
  <c r="AD222" i="347"/>
  <c r="AD223" i="347"/>
  <c r="AD224" i="347"/>
  <c r="AD225" i="347"/>
  <c r="AD226" i="347"/>
  <c r="AD227" i="347"/>
  <c r="AD228" i="347"/>
  <c r="AD229" i="347"/>
  <c r="AD230" i="347"/>
  <c r="AD231" i="347"/>
  <c r="AD232" i="347"/>
  <c r="AD233" i="347"/>
  <c r="AD234" i="347"/>
  <c r="AD235" i="347"/>
  <c r="AD236" i="347"/>
  <c r="AD237" i="347"/>
  <c r="AD238" i="347"/>
  <c r="AD239" i="347"/>
  <c r="AD240" i="347"/>
  <c r="AD241" i="347"/>
  <c r="AC3" i="347"/>
  <c r="AC4" i="347"/>
  <c r="AC5" i="347"/>
  <c r="AC6" i="347"/>
  <c r="AC7" i="347"/>
  <c r="AC8" i="347"/>
  <c r="AC9" i="347"/>
  <c r="AC10" i="347"/>
  <c r="AC11" i="347"/>
  <c r="AC12" i="347"/>
  <c r="AC13" i="347"/>
  <c r="AC14" i="347"/>
  <c r="AC15" i="347"/>
  <c r="AC16" i="347"/>
  <c r="AC17" i="347"/>
  <c r="AC18" i="347"/>
  <c r="AC19" i="347"/>
  <c r="AC20" i="347"/>
  <c r="AC21" i="347"/>
  <c r="AC22" i="347"/>
  <c r="AC23" i="347"/>
  <c r="AC24" i="347"/>
  <c r="AC25" i="347"/>
  <c r="AC26" i="347"/>
  <c r="AC27" i="347"/>
  <c r="AC28" i="347"/>
  <c r="AC29" i="347"/>
  <c r="AC30" i="347"/>
  <c r="AC31" i="347"/>
  <c r="AC32" i="347"/>
  <c r="AC33" i="347"/>
  <c r="AC34" i="347"/>
  <c r="AC35" i="347"/>
  <c r="AC36" i="347"/>
  <c r="AC37" i="347"/>
  <c r="AC38" i="347"/>
  <c r="AC39" i="347"/>
  <c r="AC40" i="347"/>
  <c r="AC41" i="347"/>
  <c r="AC42" i="347"/>
  <c r="AC43" i="347"/>
  <c r="AC44" i="347"/>
  <c r="AC45" i="347"/>
  <c r="AC46" i="347"/>
  <c r="AC47" i="347"/>
  <c r="AC48" i="347"/>
  <c r="AC49" i="347"/>
  <c r="AC50" i="347"/>
  <c r="AC51" i="347"/>
  <c r="AC52" i="347"/>
  <c r="AC53" i="347"/>
  <c r="AC54" i="347"/>
  <c r="AC55" i="347"/>
  <c r="AC56" i="347"/>
  <c r="AC57" i="347"/>
  <c r="AC58" i="347"/>
  <c r="AC59" i="347"/>
  <c r="AC60" i="347"/>
  <c r="AC61" i="347"/>
  <c r="AC62" i="347"/>
  <c r="AC63" i="347"/>
  <c r="AC64" i="347"/>
  <c r="AC65" i="347"/>
  <c r="AC66" i="347"/>
  <c r="AC67" i="347"/>
  <c r="AC68" i="347"/>
  <c r="AC69" i="347"/>
  <c r="AC70" i="347"/>
  <c r="AC71" i="347"/>
  <c r="AC72" i="347"/>
  <c r="AC73" i="347"/>
  <c r="AC74" i="347"/>
  <c r="AC75" i="347"/>
  <c r="AC76" i="347"/>
  <c r="AC77" i="347"/>
  <c r="AC78" i="347"/>
  <c r="AC79" i="347"/>
  <c r="AC80" i="347"/>
  <c r="AC81" i="347"/>
  <c r="AC82" i="347"/>
  <c r="AC83" i="347"/>
  <c r="AC84" i="347"/>
  <c r="AC85" i="347"/>
  <c r="AC86" i="347"/>
  <c r="AC87" i="347"/>
  <c r="AC88" i="347"/>
  <c r="AC89" i="347"/>
  <c r="AC90" i="347"/>
  <c r="AC91" i="347"/>
  <c r="AC92" i="347"/>
  <c r="AC93" i="347"/>
  <c r="AC94" i="347"/>
  <c r="AC95" i="347"/>
  <c r="AC96" i="347"/>
  <c r="AC97" i="347"/>
  <c r="AC98" i="347"/>
  <c r="AC99" i="347"/>
  <c r="AC100" i="347"/>
  <c r="AC101" i="347"/>
  <c r="AC102" i="347"/>
  <c r="AC103" i="347"/>
  <c r="AC104" i="347"/>
  <c r="AC105" i="347"/>
  <c r="AC106" i="347"/>
  <c r="AC107" i="347"/>
  <c r="AC108" i="347"/>
  <c r="AC109" i="347"/>
  <c r="AC110" i="347"/>
  <c r="AC111" i="347"/>
  <c r="AC112" i="347"/>
  <c r="AC113" i="347"/>
  <c r="AC114" i="347"/>
  <c r="AC115" i="347"/>
  <c r="AC116" i="347"/>
  <c r="AC117" i="347"/>
  <c r="AC118" i="347"/>
  <c r="AC119" i="347"/>
  <c r="AC120" i="347"/>
  <c r="AC121" i="347"/>
  <c r="AC122" i="347"/>
  <c r="AC123" i="347"/>
  <c r="AC124" i="347"/>
  <c r="AC125" i="347"/>
  <c r="AC126" i="347"/>
  <c r="AC127" i="347"/>
  <c r="AC128" i="347"/>
  <c r="AC129" i="347"/>
  <c r="AC130" i="347"/>
  <c r="AC131" i="347"/>
  <c r="AC132" i="347"/>
  <c r="AC133" i="347"/>
  <c r="AC134" i="347"/>
  <c r="AC135" i="347"/>
  <c r="AC136" i="347"/>
  <c r="AC137" i="347"/>
  <c r="AC138" i="347"/>
  <c r="AC139" i="347"/>
  <c r="AC140" i="347"/>
  <c r="AC141" i="347"/>
  <c r="AC142" i="347"/>
  <c r="AC143" i="347"/>
  <c r="AC144" i="347"/>
  <c r="AC145" i="347"/>
  <c r="AC146" i="347"/>
  <c r="AC147" i="347"/>
  <c r="AC148" i="347"/>
  <c r="AC149" i="347"/>
  <c r="AC150" i="347"/>
  <c r="AC151" i="347"/>
  <c r="AC152" i="347"/>
  <c r="AC153" i="347"/>
  <c r="AC154" i="347"/>
  <c r="AC155" i="347"/>
  <c r="AC156" i="347"/>
  <c r="AC157" i="347"/>
  <c r="AC158" i="347"/>
  <c r="AC159" i="347"/>
  <c r="AC160" i="347"/>
  <c r="AC161" i="347"/>
  <c r="AC162" i="347"/>
  <c r="AC163" i="347"/>
  <c r="AC164" i="347"/>
  <c r="AC165" i="347"/>
  <c r="AC166" i="347"/>
  <c r="AC167" i="347"/>
  <c r="AC168" i="347"/>
  <c r="AC169" i="347"/>
  <c r="AC170" i="347"/>
  <c r="AC171" i="347"/>
  <c r="AC172" i="347"/>
  <c r="AC173" i="347"/>
  <c r="AC174" i="347"/>
  <c r="AC175" i="347"/>
  <c r="AC176" i="347"/>
  <c r="AC177" i="347"/>
  <c r="AC178" i="347"/>
  <c r="AC179" i="347"/>
  <c r="AC180" i="347"/>
  <c r="AC181" i="347"/>
  <c r="AC182" i="347"/>
  <c r="AC183" i="347"/>
  <c r="AC184" i="347"/>
  <c r="AC185" i="347"/>
  <c r="AC186" i="347"/>
  <c r="AC187" i="347"/>
  <c r="AC188" i="347"/>
  <c r="AC189" i="347"/>
  <c r="AC190" i="347"/>
  <c r="AC191" i="347"/>
  <c r="AC192" i="347"/>
  <c r="AC193" i="347"/>
  <c r="AC194" i="347"/>
  <c r="AC195" i="347"/>
  <c r="AC196" i="347"/>
  <c r="AC197" i="347"/>
  <c r="AC198" i="347"/>
  <c r="AC199" i="347"/>
  <c r="AC200" i="347"/>
  <c r="AC201" i="347"/>
  <c r="AC202" i="347"/>
  <c r="AC203" i="347"/>
  <c r="AC204" i="347"/>
  <c r="AC205" i="347"/>
  <c r="AC206" i="347"/>
  <c r="AC207" i="347"/>
  <c r="AC208" i="347"/>
  <c r="AC209" i="347"/>
  <c r="AC210" i="347"/>
  <c r="AC211" i="347"/>
  <c r="AC212" i="347"/>
  <c r="AC213" i="347"/>
  <c r="AC214" i="347"/>
  <c r="AC215" i="347"/>
  <c r="AC216" i="347"/>
  <c r="AC217" i="347"/>
  <c r="AC218" i="347"/>
  <c r="AC219" i="347"/>
  <c r="AC220" i="347"/>
  <c r="AC221" i="347"/>
  <c r="AC222" i="347"/>
  <c r="AC223" i="347"/>
  <c r="AC224" i="347"/>
  <c r="AC225" i="347"/>
  <c r="AC226" i="347"/>
  <c r="AC227" i="347"/>
  <c r="AC228" i="347"/>
  <c r="AC229" i="347"/>
  <c r="AC230" i="347"/>
  <c r="AC231" i="347"/>
  <c r="AC232" i="347"/>
  <c r="AC233" i="347"/>
  <c r="AC234" i="347"/>
  <c r="AC235" i="347"/>
  <c r="AC236" i="347"/>
  <c r="AC237" i="347"/>
  <c r="AC238" i="347"/>
  <c r="AC239" i="347"/>
  <c r="AC240" i="347"/>
  <c r="AC241" i="347"/>
  <c r="AB3" i="347"/>
  <c r="AB4" i="347"/>
  <c r="AB5" i="347"/>
  <c r="AB6" i="347"/>
  <c r="AB7" i="347"/>
  <c r="AB8" i="347"/>
  <c r="AB9" i="347"/>
  <c r="AB10" i="347"/>
  <c r="AB11" i="347"/>
  <c r="AB12" i="347"/>
  <c r="AB13" i="347"/>
  <c r="AB14" i="347"/>
  <c r="AB15" i="347"/>
  <c r="AB16" i="347"/>
  <c r="AB17" i="347"/>
  <c r="AB18" i="347"/>
  <c r="AB19" i="347"/>
  <c r="AB20" i="347"/>
  <c r="AB21" i="347"/>
  <c r="AB22" i="347"/>
  <c r="AB23" i="347"/>
  <c r="AB24" i="347"/>
  <c r="AB25" i="347"/>
  <c r="AB26" i="347"/>
  <c r="AB27" i="347"/>
  <c r="AB28" i="347"/>
  <c r="AB29" i="347"/>
  <c r="AB30" i="347"/>
  <c r="AB31" i="347"/>
  <c r="AB32" i="347"/>
  <c r="AB33" i="347"/>
  <c r="AB34" i="347"/>
  <c r="AB35" i="347"/>
  <c r="AB36" i="347"/>
  <c r="AB37" i="347"/>
  <c r="AB38" i="347"/>
  <c r="AB39" i="347"/>
  <c r="AB40" i="347"/>
  <c r="AB41" i="347"/>
  <c r="AB42" i="347"/>
  <c r="AB43" i="347"/>
  <c r="AB44" i="347"/>
  <c r="AB45" i="347"/>
  <c r="AB46" i="347"/>
  <c r="AB47" i="347"/>
  <c r="AB48" i="347"/>
  <c r="AB49" i="347"/>
  <c r="AB50" i="347"/>
  <c r="AB51" i="347"/>
  <c r="AB52" i="347"/>
  <c r="AB53" i="347"/>
  <c r="AB54" i="347"/>
  <c r="AB55" i="347"/>
  <c r="AB56" i="347"/>
  <c r="AB57" i="347"/>
  <c r="AB58" i="347"/>
  <c r="AB59" i="347"/>
  <c r="AB60" i="347"/>
  <c r="AB61" i="347"/>
  <c r="AB62" i="347"/>
  <c r="AB63" i="347"/>
  <c r="AB64" i="347"/>
  <c r="AB65" i="347"/>
  <c r="AB66" i="347"/>
  <c r="AB67" i="347"/>
  <c r="AB68" i="347"/>
  <c r="AB69" i="347"/>
  <c r="AB70" i="347"/>
  <c r="AB71" i="347"/>
  <c r="AB72" i="347"/>
  <c r="AB73" i="347"/>
  <c r="AB74" i="347"/>
  <c r="AB75" i="347"/>
  <c r="AB76" i="347"/>
  <c r="AB77" i="347"/>
  <c r="AB78" i="347"/>
  <c r="AB79" i="347"/>
  <c r="AB80" i="347"/>
  <c r="AB81" i="347"/>
  <c r="AB82" i="347"/>
  <c r="AB83" i="347"/>
  <c r="AB84" i="347"/>
  <c r="AB85" i="347"/>
  <c r="AB86" i="347"/>
  <c r="AB87" i="347"/>
  <c r="AB88" i="347"/>
  <c r="AB89" i="347"/>
  <c r="AB90" i="347"/>
  <c r="AB91" i="347"/>
  <c r="AB92" i="347"/>
  <c r="AB93" i="347"/>
  <c r="AB94" i="347"/>
  <c r="AB95" i="347"/>
  <c r="AB96" i="347"/>
  <c r="AB97" i="347"/>
  <c r="AB98" i="347"/>
  <c r="AB99" i="347"/>
  <c r="AB100" i="347"/>
  <c r="AB101" i="347"/>
  <c r="AB102" i="347"/>
  <c r="AB103" i="347"/>
  <c r="AB104" i="347"/>
  <c r="AB105" i="347"/>
  <c r="AB106" i="347"/>
  <c r="AB107" i="347"/>
  <c r="AB108" i="347"/>
  <c r="AB109" i="347"/>
  <c r="AB110" i="347"/>
  <c r="AB111" i="347"/>
  <c r="AB112" i="347"/>
  <c r="AB113" i="347"/>
  <c r="AB114" i="347"/>
  <c r="AB115" i="347"/>
  <c r="AB116" i="347"/>
  <c r="AB117" i="347"/>
  <c r="AB118" i="347"/>
  <c r="AB119" i="347"/>
  <c r="AB120" i="347"/>
  <c r="AB121" i="347"/>
  <c r="AB122" i="347"/>
  <c r="AB123" i="347"/>
  <c r="AB124" i="347"/>
  <c r="AB125" i="347"/>
  <c r="AB126" i="347"/>
  <c r="AB127" i="347"/>
  <c r="AB128" i="347"/>
  <c r="AB129" i="347"/>
  <c r="AB130" i="347"/>
  <c r="AB131" i="347"/>
  <c r="AB132" i="347"/>
  <c r="AB133" i="347"/>
  <c r="AB134" i="347"/>
  <c r="AB135" i="347"/>
  <c r="AB136" i="347"/>
  <c r="AB137" i="347"/>
  <c r="AB138" i="347"/>
  <c r="AB139" i="347"/>
  <c r="AB140" i="347"/>
  <c r="AB141" i="347"/>
  <c r="AB142" i="347"/>
  <c r="AB143" i="347"/>
  <c r="AB144" i="347"/>
  <c r="AB145" i="347"/>
  <c r="AB146" i="347"/>
  <c r="AB147" i="347"/>
  <c r="AB148" i="347"/>
  <c r="AB149" i="347"/>
  <c r="AB150" i="347"/>
  <c r="AB151" i="347"/>
  <c r="AB152" i="347"/>
  <c r="AB153" i="347"/>
  <c r="AB154" i="347"/>
  <c r="AB155" i="347"/>
  <c r="AB156" i="347"/>
  <c r="AB157" i="347"/>
  <c r="AB158" i="347"/>
  <c r="AB159" i="347"/>
  <c r="AB160" i="347"/>
  <c r="AB161" i="347"/>
  <c r="AB162" i="347"/>
  <c r="AB163" i="347"/>
  <c r="AB164" i="347"/>
  <c r="AB165" i="347"/>
  <c r="AB166" i="347"/>
  <c r="AB167" i="347"/>
  <c r="AB168" i="347"/>
  <c r="AB169" i="347"/>
  <c r="AB170" i="347"/>
  <c r="AB171" i="347"/>
  <c r="AB172" i="347"/>
  <c r="AB173" i="347"/>
  <c r="AB174" i="347"/>
  <c r="AB175" i="347"/>
  <c r="AB176" i="347"/>
  <c r="AB177" i="347"/>
  <c r="AB178" i="347"/>
  <c r="AB179" i="347"/>
  <c r="AB180" i="347"/>
  <c r="AB181" i="347"/>
  <c r="AB182" i="347"/>
  <c r="AB183" i="347"/>
  <c r="AB184" i="347"/>
  <c r="AB185" i="347"/>
  <c r="AB186" i="347"/>
  <c r="AB187" i="347"/>
  <c r="AB188" i="347"/>
  <c r="AB189" i="347"/>
  <c r="AB190" i="347"/>
  <c r="AB191" i="347"/>
  <c r="AB192" i="347"/>
  <c r="AB193" i="347"/>
  <c r="AB194" i="347"/>
  <c r="AB195" i="347"/>
  <c r="AB196" i="347"/>
  <c r="AB197" i="347"/>
  <c r="AB198" i="347"/>
  <c r="AB199" i="347"/>
  <c r="AB200" i="347"/>
  <c r="AB201" i="347"/>
  <c r="AB202" i="347"/>
  <c r="AB203" i="347"/>
  <c r="AB204" i="347"/>
  <c r="AB205" i="347"/>
  <c r="AB206" i="347"/>
  <c r="AB207" i="347"/>
  <c r="AB208" i="347"/>
  <c r="AB209" i="347"/>
  <c r="AB210" i="347"/>
  <c r="AB211" i="347"/>
  <c r="AB212" i="347"/>
  <c r="AB213" i="347"/>
  <c r="AB214" i="347"/>
  <c r="AB215" i="347"/>
  <c r="AB216" i="347"/>
  <c r="AB217" i="347"/>
  <c r="AB218" i="347"/>
  <c r="AB219" i="347"/>
  <c r="AB220" i="347"/>
  <c r="AB221" i="347"/>
  <c r="AB222" i="347"/>
  <c r="AB223" i="347"/>
  <c r="AB224" i="347"/>
  <c r="AB225" i="347"/>
  <c r="AB226" i="347"/>
  <c r="AB227" i="347"/>
  <c r="AB228" i="347"/>
  <c r="AB229" i="347"/>
  <c r="AB230" i="347"/>
  <c r="AB231" i="347"/>
  <c r="AB232" i="347"/>
  <c r="AB233" i="347"/>
  <c r="AB234" i="347"/>
  <c r="AB235" i="347"/>
  <c r="AB236" i="347"/>
  <c r="AB237" i="347"/>
  <c r="AB238" i="347"/>
  <c r="AB239" i="347"/>
  <c r="AB240" i="347"/>
  <c r="AB241" i="347"/>
  <c r="AA3" i="347"/>
  <c r="AA4" i="347"/>
  <c r="AA5" i="347"/>
  <c r="AA6" i="347"/>
  <c r="AA7" i="347"/>
  <c r="AA8" i="347"/>
  <c r="AA9" i="347"/>
  <c r="AA10" i="347"/>
  <c r="AA11" i="347"/>
  <c r="AA12" i="347"/>
  <c r="AA13" i="347"/>
  <c r="AA14" i="347"/>
  <c r="AA15" i="347"/>
  <c r="AA16" i="347"/>
  <c r="AA17" i="347"/>
  <c r="AA18" i="347"/>
  <c r="AA19" i="347"/>
  <c r="AA20" i="347"/>
  <c r="AA21" i="347"/>
  <c r="AA22" i="347"/>
  <c r="AA23" i="347"/>
  <c r="AA24" i="347"/>
  <c r="AA25" i="347"/>
  <c r="AA26" i="347"/>
  <c r="AA27" i="347"/>
  <c r="AA28" i="347"/>
  <c r="AA29" i="347"/>
  <c r="AA30" i="347"/>
  <c r="AA31" i="347"/>
  <c r="AA32" i="347"/>
  <c r="AA33" i="347"/>
  <c r="AA34" i="347"/>
  <c r="AA35" i="347"/>
  <c r="AA36" i="347"/>
  <c r="AA37" i="347"/>
  <c r="AA38" i="347"/>
  <c r="AA39" i="347"/>
  <c r="AA40" i="347"/>
  <c r="AA41" i="347"/>
  <c r="AA42" i="347"/>
  <c r="AA43" i="347"/>
  <c r="AA44" i="347"/>
  <c r="AA45" i="347"/>
  <c r="AA46" i="347"/>
  <c r="AA47" i="347"/>
  <c r="AA48" i="347"/>
  <c r="AA49" i="347"/>
  <c r="AA50" i="347"/>
  <c r="AA51" i="347"/>
  <c r="AA52" i="347"/>
  <c r="AA53" i="347"/>
  <c r="AA54" i="347"/>
  <c r="AA55" i="347"/>
  <c r="AA56" i="347"/>
  <c r="AA57" i="347"/>
  <c r="AA58" i="347"/>
  <c r="AA59" i="347"/>
  <c r="AA60" i="347"/>
  <c r="AA61" i="347"/>
  <c r="AA62" i="347"/>
  <c r="AA63" i="347"/>
  <c r="AA64" i="347"/>
  <c r="AA65" i="347"/>
  <c r="AA66" i="347"/>
  <c r="AA67" i="347"/>
  <c r="AA68" i="347"/>
  <c r="AA69" i="347"/>
  <c r="AA70" i="347"/>
  <c r="AA71" i="347"/>
  <c r="AA72" i="347"/>
  <c r="AA73" i="347"/>
  <c r="AA74" i="347"/>
  <c r="AA75" i="347"/>
  <c r="AA76" i="347"/>
  <c r="AA77" i="347"/>
  <c r="AA78" i="347"/>
  <c r="AA79" i="347"/>
  <c r="AA80" i="347"/>
  <c r="AA81" i="347"/>
  <c r="AA82" i="347"/>
  <c r="AA83" i="347"/>
  <c r="AA84" i="347"/>
  <c r="AA85" i="347"/>
  <c r="AA86" i="347"/>
  <c r="AA87" i="347"/>
  <c r="AA88" i="347"/>
  <c r="AA89" i="347"/>
  <c r="AA90" i="347"/>
  <c r="AA91" i="347"/>
  <c r="AA92" i="347"/>
  <c r="AA93" i="347"/>
  <c r="AA94" i="347"/>
  <c r="AA95" i="347"/>
  <c r="AA96" i="347"/>
  <c r="AA97" i="347"/>
  <c r="AA98" i="347"/>
  <c r="AA99" i="347"/>
  <c r="AA100" i="347"/>
  <c r="AA101" i="347"/>
  <c r="AA102" i="347"/>
  <c r="AA103" i="347"/>
  <c r="AA104" i="347"/>
  <c r="AA105" i="347"/>
  <c r="AA106" i="347"/>
  <c r="AA107" i="347"/>
  <c r="AA108" i="347"/>
  <c r="AA109" i="347"/>
  <c r="AA110" i="347"/>
  <c r="AA111" i="347"/>
  <c r="AA112" i="347"/>
  <c r="AA113" i="347"/>
  <c r="AA114" i="347"/>
  <c r="AA115" i="347"/>
  <c r="AA116" i="347"/>
  <c r="AA117" i="347"/>
  <c r="AA118" i="347"/>
  <c r="AA119" i="347"/>
  <c r="AA120" i="347"/>
  <c r="AA121" i="347"/>
  <c r="AA122" i="347"/>
  <c r="AA123" i="347"/>
  <c r="AA124" i="347"/>
  <c r="AA125" i="347"/>
  <c r="AA126" i="347"/>
  <c r="AA127" i="347"/>
  <c r="AA128" i="347"/>
  <c r="AA129" i="347"/>
  <c r="AA130" i="347"/>
  <c r="AA131" i="347"/>
  <c r="AA132" i="347"/>
  <c r="AA133" i="347"/>
  <c r="AA134" i="347"/>
  <c r="AA135" i="347"/>
  <c r="AA136" i="347"/>
  <c r="AA137" i="347"/>
  <c r="AA138" i="347"/>
  <c r="AA139" i="347"/>
  <c r="AA140" i="347"/>
  <c r="AA141" i="347"/>
  <c r="AA142" i="347"/>
  <c r="AA143" i="347"/>
  <c r="AA144" i="347"/>
  <c r="AA145" i="347"/>
  <c r="AA146" i="347"/>
  <c r="AA147" i="347"/>
  <c r="AA148" i="347"/>
  <c r="AA149" i="347"/>
  <c r="AA150" i="347"/>
  <c r="AA151" i="347"/>
  <c r="AA152" i="347"/>
  <c r="AA153" i="347"/>
  <c r="AA154" i="347"/>
  <c r="AA155" i="347"/>
  <c r="AA156" i="347"/>
  <c r="AA157" i="347"/>
  <c r="AA158" i="347"/>
  <c r="AA159" i="347"/>
  <c r="AA160" i="347"/>
  <c r="AA161" i="347"/>
  <c r="AA162" i="347"/>
  <c r="AA163" i="347"/>
  <c r="AA164" i="347"/>
  <c r="AA165" i="347"/>
  <c r="AA166" i="347"/>
  <c r="AA167" i="347"/>
  <c r="AA168" i="347"/>
  <c r="AA169" i="347"/>
  <c r="AA170" i="347"/>
  <c r="AA171" i="347"/>
  <c r="AA172" i="347"/>
  <c r="AA173" i="347"/>
  <c r="AA174" i="347"/>
  <c r="AA175" i="347"/>
  <c r="AA176" i="347"/>
  <c r="AA177" i="347"/>
  <c r="AA178" i="347"/>
  <c r="AA179" i="347"/>
  <c r="AA180" i="347"/>
  <c r="AA181" i="347"/>
  <c r="AA182" i="347"/>
  <c r="AA183" i="347"/>
  <c r="AA184" i="347"/>
  <c r="AA185" i="347"/>
  <c r="AA186" i="347"/>
  <c r="AA187" i="347"/>
  <c r="AA188" i="347"/>
  <c r="AA189" i="347"/>
  <c r="AA190" i="347"/>
  <c r="AA191" i="347"/>
  <c r="AA192" i="347"/>
  <c r="AA193" i="347"/>
  <c r="AA194" i="347"/>
  <c r="AA195" i="347"/>
  <c r="AA196" i="347"/>
  <c r="AA197" i="347"/>
  <c r="AA198" i="347"/>
  <c r="AA199" i="347"/>
  <c r="AA200" i="347"/>
  <c r="AA201" i="347"/>
  <c r="AA202" i="347"/>
  <c r="AA203" i="347"/>
  <c r="AA204" i="347"/>
  <c r="AA205" i="347"/>
  <c r="AA206" i="347"/>
  <c r="AA207" i="347"/>
  <c r="AA208" i="347"/>
  <c r="AA209" i="347"/>
  <c r="AA210" i="347"/>
  <c r="AA211" i="347"/>
  <c r="AA212" i="347"/>
  <c r="AA213" i="347"/>
  <c r="AA214" i="347"/>
  <c r="AA215" i="347"/>
  <c r="AA216" i="347"/>
  <c r="AA217" i="347"/>
  <c r="AA218" i="347"/>
  <c r="AA219" i="347"/>
  <c r="AA220" i="347"/>
  <c r="AA221" i="347"/>
  <c r="AA222" i="347"/>
  <c r="AA223" i="347"/>
  <c r="AA224" i="347"/>
  <c r="AA225" i="347"/>
  <c r="AA226" i="347"/>
  <c r="AA227" i="347"/>
  <c r="AA228" i="347"/>
  <c r="AA229" i="347"/>
  <c r="AA230" i="347"/>
  <c r="AA231" i="347"/>
  <c r="AA232" i="347"/>
  <c r="AA233" i="347"/>
  <c r="AA234" i="347"/>
  <c r="AA235" i="347"/>
  <c r="AA236" i="347"/>
  <c r="AA237" i="347"/>
  <c r="AA238" i="347"/>
  <c r="AA239" i="347"/>
  <c r="AA240" i="347"/>
  <c r="AA241" i="347"/>
  <c r="Z3" i="347"/>
  <c r="Z4" i="347"/>
  <c r="Z5" i="347"/>
  <c r="Z6" i="347"/>
  <c r="Z7" i="347"/>
  <c r="Z8" i="347"/>
  <c r="Z9" i="347"/>
  <c r="Z10" i="347"/>
  <c r="Z11" i="347"/>
  <c r="Z12" i="347"/>
  <c r="Z13" i="347"/>
  <c r="Z14" i="347"/>
  <c r="Z15" i="347"/>
  <c r="Z16" i="347"/>
  <c r="Z17" i="347"/>
  <c r="Z18" i="347"/>
  <c r="Z19" i="347"/>
  <c r="Z20" i="347"/>
  <c r="Z21" i="347"/>
  <c r="Z22" i="347"/>
  <c r="Z23" i="347"/>
  <c r="Z24" i="347"/>
  <c r="Z25" i="347"/>
  <c r="Z26" i="347"/>
  <c r="Z27" i="347"/>
  <c r="Z28" i="347"/>
  <c r="Z29" i="347"/>
  <c r="Z30" i="347"/>
  <c r="Z31" i="347"/>
  <c r="Z32" i="347"/>
  <c r="Z33" i="347"/>
  <c r="Z34" i="347"/>
  <c r="Z35" i="347"/>
  <c r="Z36" i="347"/>
  <c r="Z37" i="347"/>
  <c r="Z38" i="347"/>
  <c r="Z39" i="347"/>
  <c r="Z40" i="347"/>
  <c r="Z41" i="347"/>
  <c r="Z42" i="347"/>
  <c r="Z43" i="347"/>
  <c r="Z44" i="347"/>
  <c r="Z45" i="347"/>
  <c r="Z46" i="347"/>
  <c r="Z47" i="347"/>
  <c r="Z48" i="347"/>
  <c r="Z49" i="347"/>
  <c r="Z50" i="347"/>
  <c r="Z51" i="347"/>
  <c r="Z52" i="347"/>
  <c r="Z53" i="347"/>
  <c r="Z54" i="347"/>
  <c r="Z55" i="347"/>
  <c r="Z56" i="347"/>
  <c r="Z57" i="347"/>
  <c r="Z58" i="347"/>
  <c r="Z59" i="347"/>
  <c r="Z60" i="347"/>
  <c r="Z61" i="347"/>
  <c r="Z62" i="347"/>
  <c r="Z63" i="347"/>
  <c r="Z64" i="347"/>
  <c r="Z65" i="347"/>
  <c r="Z66" i="347"/>
  <c r="Z67" i="347"/>
  <c r="Z68" i="347"/>
  <c r="Z69" i="347"/>
  <c r="Z70" i="347"/>
  <c r="Z71" i="347"/>
  <c r="Z72" i="347"/>
  <c r="Z73" i="347"/>
  <c r="Z74" i="347"/>
  <c r="Z75" i="347"/>
  <c r="Z76" i="347"/>
  <c r="Z77" i="347"/>
  <c r="Z78" i="347"/>
  <c r="Z79" i="347"/>
  <c r="Z80" i="347"/>
  <c r="Z81" i="347"/>
  <c r="Z82" i="347"/>
  <c r="Z83" i="347"/>
  <c r="Z84" i="347"/>
  <c r="Z85" i="347"/>
  <c r="Z86" i="347"/>
  <c r="Z87" i="347"/>
  <c r="Z88" i="347"/>
  <c r="Z89" i="347"/>
  <c r="Z90" i="347"/>
  <c r="Z91" i="347"/>
  <c r="Z92" i="347"/>
  <c r="Z93" i="347"/>
  <c r="Z94" i="347"/>
  <c r="Z95" i="347"/>
  <c r="Z96" i="347"/>
  <c r="Z97" i="347"/>
  <c r="Z98" i="347"/>
  <c r="Z99" i="347"/>
  <c r="Z100" i="347"/>
  <c r="Z101" i="347"/>
  <c r="Z102" i="347"/>
  <c r="Z103" i="347"/>
  <c r="Z104" i="347"/>
  <c r="Z105" i="347"/>
  <c r="Z106" i="347"/>
  <c r="Z107" i="347"/>
  <c r="Z108" i="347"/>
  <c r="Z109" i="347"/>
  <c r="Z110" i="347"/>
  <c r="Z111" i="347"/>
  <c r="Z112" i="347"/>
  <c r="Z113" i="347"/>
  <c r="Z114" i="347"/>
  <c r="Z115" i="347"/>
  <c r="Z116" i="347"/>
  <c r="Z117" i="347"/>
  <c r="Z118" i="347"/>
  <c r="Z119" i="347"/>
  <c r="Z120" i="347"/>
  <c r="Z121" i="347"/>
  <c r="Z122" i="347"/>
  <c r="Z123" i="347"/>
  <c r="Z124" i="347"/>
  <c r="Z125" i="347"/>
  <c r="Z126" i="347"/>
  <c r="Z127" i="347"/>
  <c r="Z128" i="347"/>
  <c r="Z129" i="347"/>
  <c r="Z130" i="347"/>
  <c r="Z131" i="347"/>
  <c r="Z132" i="347"/>
  <c r="Z133" i="347"/>
  <c r="Z134" i="347"/>
  <c r="Z135" i="347"/>
  <c r="Z136" i="347"/>
  <c r="Z137" i="347"/>
  <c r="Z138" i="347"/>
  <c r="Z139" i="347"/>
  <c r="Z140" i="347"/>
  <c r="Z141" i="347"/>
  <c r="Z142" i="347"/>
  <c r="Z143" i="347"/>
  <c r="Z144" i="347"/>
  <c r="Z145" i="347"/>
  <c r="Z146" i="347"/>
  <c r="Z147" i="347"/>
  <c r="Z148" i="347"/>
  <c r="Z149" i="347"/>
  <c r="Z150" i="347"/>
  <c r="Z151" i="347"/>
  <c r="Z152" i="347"/>
  <c r="Z153" i="347"/>
  <c r="Z154" i="347"/>
  <c r="Z155" i="347"/>
  <c r="Z156" i="347"/>
  <c r="Z157" i="347"/>
  <c r="Z158" i="347"/>
  <c r="Z159" i="347"/>
  <c r="Z160" i="347"/>
  <c r="Z161" i="347"/>
  <c r="Z162" i="347"/>
  <c r="Z163" i="347"/>
  <c r="Z164" i="347"/>
  <c r="Z165" i="347"/>
  <c r="Z166" i="347"/>
  <c r="Z167" i="347"/>
  <c r="Z168" i="347"/>
  <c r="Z169" i="347"/>
  <c r="Z170" i="347"/>
  <c r="Z171" i="347"/>
  <c r="Z172" i="347"/>
  <c r="Z173" i="347"/>
  <c r="Z174" i="347"/>
  <c r="Z175" i="347"/>
  <c r="Z176" i="347"/>
  <c r="Z177" i="347"/>
  <c r="Z178" i="347"/>
  <c r="Z179" i="347"/>
  <c r="Z180" i="347"/>
  <c r="Z181" i="347"/>
  <c r="Z182" i="347"/>
  <c r="Z183" i="347"/>
  <c r="Z184" i="347"/>
  <c r="Z185" i="347"/>
  <c r="Z186" i="347"/>
  <c r="Z187" i="347"/>
  <c r="Z188" i="347"/>
  <c r="Z189" i="347"/>
  <c r="Z190" i="347"/>
  <c r="Z191" i="347"/>
  <c r="Z192" i="347"/>
  <c r="Z193" i="347"/>
  <c r="Z194" i="347"/>
  <c r="Z195" i="347"/>
  <c r="Z196" i="347"/>
  <c r="Z197" i="347"/>
  <c r="Z198" i="347"/>
  <c r="Z199" i="347"/>
  <c r="Z200" i="347"/>
  <c r="Z201" i="347"/>
  <c r="Z202" i="347"/>
  <c r="Z203" i="347"/>
  <c r="Z204" i="347"/>
  <c r="Z205" i="347"/>
  <c r="Z206" i="347"/>
  <c r="Z207" i="347"/>
  <c r="Z208" i="347"/>
  <c r="Z209" i="347"/>
  <c r="Z210" i="347"/>
  <c r="Z211" i="347"/>
  <c r="Z212" i="347"/>
  <c r="Z213" i="347"/>
  <c r="Z214" i="347"/>
  <c r="Z215" i="347"/>
  <c r="Z216" i="347"/>
  <c r="Z217" i="347"/>
  <c r="Z218" i="347"/>
  <c r="Z219" i="347"/>
  <c r="Z220" i="347"/>
  <c r="Z221" i="347"/>
  <c r="Z222" i="347"/>
  <c r="Z223" i="347"/>
  <c r="Z224" i="347"/>
  <c r="Z225" i="347"/>
  <c r="Z226" i="347"/>
  <c r="Z227" i="347"/>
  <c r="Z228" i="347"/>
  <c r="Z229" i="347"/>
  <c r="Z230" i="347"/>
  <c r="Z231" i="347"/>
  <c r="Z232" i="347"/>
  <c r="Z233" i="347"/>
  <c r="Z234" i="347"/>
  <c r="Z235" i="347"/>
  <c r="Z236" i="347"/>
  <c r="Z237" i="347"/>
  <c r="Z238" i="347"/>
  <c r="Z239" i="347"/>
  <c r="Z240" i="347"/>
  <c r="Z241" i="347"/>
  <c r="Y3" i="347"/>
  <c r="Y4" i="347"/>
  <c r="Y5" i="347"/>
  <c r="Y6" i="347"/>
  <c r="Y7" i="347"/>
  <c r="Y8" i="347"/>
  <c r="Y9" i="347"/>
  <c r="Y10" i="347"/>
  <c r="Y11" i="347"/>
  <c r="Y12" i="347"/>
  <c r="Y13" i="347"/>
  <c r="Y14" i="347"/>
  <c r="Y15" i="347"/>
  <c r="Y16" i="347"/>
  <c r="Y17" i="347"/>
  <c r="Y18" i="347"/>
  <c r="Y19" i="347"/>
  <c r="Y20" i="347"/>
  <c r="Y21" i="347"/>
  <c r="Y22" i="347"/>
  <c r="Y23" i="347"/>
  <c r="Y24" i="347"/>
  <c r="Y25" i="347"/>
  <c r="Y26" i="347"/>
  <c r="Y27" i="347"/>
  <c r="Y28" i="347"/>
  <c r="Y29" i="347"/>
  <c r="Y30" i="347"/>
  <c r="Y31" i="347"/>
  <c r="Y32" i="347"/>
  <c r="Y33" i="347"/>
  <c r="Y34" i="347"/>
  <c r="Y35" i="347"/>
  <c r="Y36" i="347"/>
  <c r="Y37" i="347"/>
  <c r="Y38" i="347"/>
  <c r="Y39" i="347"/>
  <c r="Y40" i="347"/>
  <c r="Y41" i="347"/>
  <c r="Y42" i="347"/>
  <c r="Y43" i="347"/>
  <c r="Y44" i="347"/>
  <c r="Y45" i="347"/>
  <c r="Y46" i="347"/>
  <c r="Y47" i="347"/>
  <c r="Y48" i="347"/>
  <c r="Y49" i="347"/>
  <c r="Y50" i="347"/>
  <c r="Y51" i="347"/>
  <c r="Y52" i="347"/>
  <c r="Y53" i="347"/>
  <c r="Y54" i="347"/>
  <c r="Y55" i="347"/>
  <c r="Y56" i="347"/>
  <c r="Y57" i="347"/>
  <c r="Y58" i="347"/>
  <c r="Y59" i="347"/>
  <c r="Y60" i="347"/>
  <c r="Y61" i="347"/>
  <c r="Y62" i="347"/>
  <c r="Y63" i="347"/>
  <c r="Y64" i="347"/>
  <c r="Y65" i="347"/>
  <c r="Y66" i="347"/>
  <c r="Y67" i="347"/>
  <c r="Y68" i="347"/>
  <c r="Y69" i="347"/>
  <c r="Y70" i="347"/>
  <c r="Y71" i="347"/>
  <c r="Y72" i="347"/>
  <c r="Y73" i="347"/>
  <c r="Y74" i="347"/>
  <c r="Y75" i="347"/>
  <c r="Y76" i="347"/>
  <c r="Y77" i="347"/>
  <c r="Y78" i="347"/>
  <c r="Y79" i="347"/>
  <c r="Y80" i="347"/>
  <c r="Y81" i="347"/>
  <c r="Y82" i="347"/>
  <c r="Y83" i="347"/>
  <c r="Y84" i="347"/>
  <c r="Y85" i="347"/>
  <c r="Y86" i="347"/>
  <c r="Y87" i="347"/>
  <c r="Y88" i="347"/>
  <c r="Y89" i="347"/>
  <c r="Y90" i="347"/>
  <c r="Y91" i="347"/>
  <c r="Y92" i="347"/>
  <c r="Y93" i="347"/>
  <c r="Y94" i="347"/>
  <c r="Y95" i="347"/>
  <c r="Y96" i="347"/>
  <c r="Y97" i="347"/>
  <c r="Y98" i="347"/>
  <c r="Y99" i="347"/>
  <c r="Y100" i="347"/>
  <c r="Y101" i="347"/>
  <c r="Y102" i="347"/>
  <c r="Y103" i="347"/>
  <c r="Y104" i="347"/>
  <c r="Y105" i="347"/>
  <c r="Y106" i="347"/>
  <c r="Y107" i="347"/>
  <c r="Y108" i="347"/>
  <c r="Y109" i="347"/>
  <c r="Y110" i="347"/>
  <c r="Y111" i="347"/>
  <c r="Y112" i="347"/>
  <c r="Y113" i="347"/>
  <c r="Y114" i="347"/>
  <c r="Y115" i="347"/>
  <c r="Y116" i="347"/>
  <c r="Y117" i="347"/>
  <c r="Y118" i="347"/>
  <c r="Y119" i="347"/>
  <c r="Y120" i="347"/>
  <c r="Y121" i="347"/>
  <c r="Y122" i="347"/>
  <c r="Y123" i="347"/>
  <c r="Y124" i="347"/>
  <c r="Y125" i="347"/>
  <c r="Y126" i="347"/>
  <c r="Y127" i="347"/>
  <c r="Y128" i="347"/>
  <c r="Y129" i="347"/>
  <c r="Y130" i="347"/>
  <c r="Y131" i="347"/>
  <c r="Y132" i="347"/>
  <c r="Y133" i="347"/>
  <c r="Y134" i="347"/>
  <c r="Y135" i="347"/>
  <c r="Y136" i="347"/>
  <c r="Y137" i="347"/>
  <c r="Y138" i="347"/>
  <c r="Y139" i="347"/>
  <c r="Y140" i="347"/>
  <c r="Y141" i="347"/>
  <c r="Y142" i="347"/>
  <c r="Y143" i="347"/>
  <c r="Y144" i="347"/>
  <c r="Y145" i="347"/>
  <c r="Y146" i="347"/>
  <c r="Y147" i="347"/>
  <c r="Y148" i="347"/>
  <c r="Y149" i="347"/>
  <c r="Y150" i="347"/>
  <c r="Y151" i="347"/>
  <c r="Y152" i="347"/>
  <c r="Y153" i="347"/>
  <c r="Y154" i="347"/>
  <c r="Y155" i="347"/>
  <c r="Y156" i="347"/>
  <c r="Y157" i="347"/>
  <c r="Y158" i="347"/>
  <c r="Y159" i="347"/>
  <c r="Y160" i="347"/>
  <c r="Y161" i="347"/>
  <c r="Y162" i="347"/>
  <c r="Y163" i="347"/>
  <c r="Y164" i="347"/>
  <c r="Y165" i="347"/>
  <c r="Y166" i="347"/>
  <c r="Y167" i="347"/>
  <c r="Y168" i="347"/>
  <c r="Y169" i="347"/>
  <c r="Y170" i="347"/>
  <c r="Y171" i="347"/>
  <c r="Y172" i="347"/>
  <c r="Y173" i="347"/>
  <c r="Y174" i="347"/>
  <c r="Y175" i="347"/>
  <c r="Y176" i="347"/>
  <c r="Y177" i="347"/>
  <c r="Y178" i="347"/>
  <c r="Y179" i="347"/>
  <c r="Y180" i="347"/>
  <c r="Y181" i="347"/>
  <c r="Y182" i="347"/>
  <c r="Y183" i="347"/>
  <c r="Y184" i="347"/>
  <c r="Y185" i="347"/>
  <c r="Y186" i="347"/>
  <c r="Y187" i="347"/>
  <c r="Y188" i="347"/>
  <c r="Y189" i="347"/>
  <c r="Y190" i="347"/>
  <c r="Y191" i="347"/>
  <c r="Y192" i="347"/>
  <c r="Y193" i="347"/>
  <c r="Y194" i="347"/>
  <c r="Y195" i="347"/>
  <c r="Y196" i="347"/>
  <c r="Y197" i="347"/>
  <c r="Y198" i="347"/>
  <c r="Y199" i="347"/>
  <c r="Y200" i="347"/>
  <c r="Y201" i="347"/>
  <c r="Y202" i="347"/>
  <c r="Y203" i="347"/>
  <c r="Y204" i="347"/>
  <c r="Y205" i="347"/>
  <c r="Y206" i="347"/>
  <c r="Y207" i="347"/>
  <c r="Y208" i="347"/>
  <c r="Y209" i="347"/>
  <c r="Y210" i="347"/>
  <c r="Y211" i="347"/>
  <c r="Y212" i="347"/>
  <c r="Y213" i="347"/>
  <c r="Y214" i="347"/>
  <c r="Y215" i="347"/>
  <c r="Y216" i="347"/>
  <c r="Y217" i="347"/>
  <c r="Y218" i="347"/>
  <c r="Y219" i="347"/>
  <c r="Y220" i="347"/>
  <c r="Y221" i="347"/>
  <c r="Y222" i="347"/>
  <c r="Y223" i="347"/>
  <c r="Y224" i="347"/>
  <c r="Y225" i="347"/>
  <c r="Y226" i="347"/>
  <c r="Y227" i="347"/>
  <c r="Y228" i="347"/>
  <c r="Y229" i="347"/>
  <c r="Y230" i="347"/>
  <c r="Y231" i="347"/>
  <c r="Y232" i="347"/>
  <c r="Y233" i="347"/>
  <c r="Y234" i="347"/>
  <c r="Y235" i="347"/>
  <c r="Y236" i="347"/>
  <c r="Y237" i="347"/>
  <c r="Y238" i="347"/>
  <c r="Y239" i="347"/>
  <c r="Y240" i="347"/>
  <c r="Y241" i="347"/>
  <c r="X3" i="347"/>
  <c r="X4" i="347"/>
  <c r="X5" i="347"/>
  <c r="X6" i="347"/>
  <c r="X7" i="347"/>
  <c r="X8" i="347"/>
  <c r="X9" i="347"/>
  <c r="X10" i="347"/>
  <c r="X11" i="347"/>
  <c r="X12" i="347"/>
  <c r="X13" i="347"/>
  <c r="X14" i="347"/>
  <c r="X15" i="347"/>
  <c r="X16" i="347"/>
  <c r="X17" i="347"/>
  <c r="X18" i="347"/>
  <c r="X19" i="347"/>
  <c r="X20" i="347"/>
  <c r="X21" i="347"/>
  <c r="X22" i="347"/>
  <c r="X23" i="347"/>
  <c r="X24" i="347"/>
  <c r="X25" i="347"/>
  <c r="X26" i="347"/>
  <c r="X27" i="347"/>
  <c r="X28" i="347"/>
  <c r="X29" i="347"/>
  <c r="X30" i="347"/>
  <c r="X31" i="347"/>
  <c r="X32" i="347"/>
  <c r="X33" i="347"/>
  <c r="X34" i="347"/>
  <c r="X35" i="347"/>
  <c r="X36" i="347"/>
  <c r="X37" i="347"/>
  <c r="X38" i="347"/>
  <c r="X39" i="347"/>
  <c r="X40" i="347"/>
  <c r="X41" i="347"/>
  <c r="X42" i="347"/>
  <c r="X43" i="347"/>
  <c r="X44" i="347"/>
  <c r="X45" i="347"/>
  <c r="X46" i="347"/>
  <c r="X47" i="347"/>
  <c r="X48" i="347"/>
  <c r="X49" i="347"/>
  <c r="X50" i="347"/>
  <c r="X51" i="347"/>
  <c r="X52" i="347"/>
  <c r="X53" i="347"/>
  <c r="X54" i="347"/>
  <c r="X55" i="347"/>
  <c r="X56" i="347"/>
  <c r="X57" i="347"/>
  <c r="X58" i="347"/>
  <c r="X59" i="347"/>
  <c r="X60" i="347"/>
  <c r="X61" i="347"/>
  <c r="X62" i="347"/>
  <c r="X63" i="347"/>
  <c r="X64" i="347"/>
  <c r="X65" i="347"/>
  <c r="X66" i="347"/>
  <c r="X67" i="347"/>
  <c r="X68" i="347"/>
  <c r="X69" i="347"/>
  <c r="X70" i="347"/>
  <c r="X71" i="347"/>
  <c r="X72" i="347"/>
  <c r="X73" i="347"/>
  <c r="X74" i="347"/>
  <c r="X75" i="347"/>
  <c r="X76" i="347"/>
  <c r="X77" i="347"/>
  <c r="X78" i="347"/>
  <c r="X79" i="347"/>
  <c r="X80" i="347"/>
  <c r="X81" i="347"/>
  <c r="X82" i="347"/>
  <c r="X83" i="347"/>
  <c r="X84" i="347"/>
  <c r="X85" i="347"/>
  <c r="X86" i="347"/>
  <c r="X87" i="347"/>
  <c r="X88" i="347"/>
  <c r="X89" i="347"/>
  <c r="X90" i="347"/>
  <c r="X91" i="347"/>
  <c r="X92" i="347"/>
  <c r="X93" i="347"/>
  <c r="X94" i="347"/>
  <c r="X95" i="347"/>
  <c r="X96" i="347"/>
  <c r="X97" i="347"/>
  <c r="X98" i="347"/>
  <c r="X99" i="347"/>
  <c r="X100" i="347"/>
  <c r="X101" i="347"/>
  <c r="X102" i="347"/>
  <c r="X103" i="347"/>
  <c r="X104" i="347"/>
  <c r="X105" i="347"/>
  <c r="X106" i="347"/>
  <c r="X107" i="347"/>
  <c r="X108" i="347"/>
  <c r="X109" i="347"/>
  <c r="X110" i="347"/>
  <c r="X111" i="347"/>
  <c r="X112" i="347"/>
  <c r="X113" i="347"/>
  <c r="X114" i="347"/>
  <c r="X115" i="347"/>
  <c r="X116" i="347"/>
  <c r="X117" i="347"/>
  <c r="X118" i="347"/>
  <c r="X119" i="347"/>
  <c r="X120" i="347"/>
  <c r="X121" i="347"/>
  <c r="X122" i="347"/>
  <c r="X123" i="347"/>
  <c r="X124" i="347"/>
  <c r="X125" i="347"/>
  <c r="X126" i="347"/>
  <c r="X127" i="347"/>
  <c r="X128" i="347"/>
  <c r="X129" i="347"/>
  <c r="X130" i="347"/>
  <c r="X131" i="347"/>
  <c r="X132" i="347"/>
  <c r="X133" i="347"/>
  <c r="X134" i="347"/>
  <c r="X135" i="347"/>
  <c r="X136" i="347"/>
  <c r="X137" i="347"/>
  <c r="X138" i="347"/>
  <c r="X139" i="347"/>
  <c r="X140" i="347"/>
  <c r="X141" i="347"/>
  <c r="X142" i="347"/>
  <c r="X143" i="347"/>
  <c r="X144" i="347"/>
  <c r="X145" i="347"/>
  <c r="X146" i="347"/>
  <c r="X147" i="347"/>
  <c r="X148" i="347"/>
  <c r="X149" i="347"/>
  <c r="X150" i="347"/>
  <c r="X151" i="347"/>
  <c r="X152" i="347"/>
  <c r="X153" i="347"/>
  <c r="X154" i="347"/>
  <c r="X155" i="347"/>
  <c r="X156" i="347"/>
  <c r="X157" i="347"/>
  <c r="X158" i="347"/>
  <c r="X159" i="347"/>
  <c r="X160" i="347"/>
  <c r="X161" i="347"/>
  <c r="X162" i="347"/>
  <c r="X163" i="347"/>
  <c r="X164" i="347"/>
  <c r="X165" i="347"/>
  <c r="X166" i="347"/>
  <c r="X167" i="347"/>
  <c r="X168" i="347"/>
  <c r="X169" i="347"/>
  <c r="X170" i="347"/>
  <c r="X171" i="347"/>
  <c r="X172" i="347"/>
  <c r="X173" i="347"/>
  <c r="X174" i="347"/>
  <c r="X175" i="347"/>
  <c r="X176" i="347"/>
  <c r="X177" i="347"/>
  <c r="X178" i="347"/>
  <c r="X179" i="347"/>
  <c r="X180" i="347"/>
  <c r="X181" i="347"/>
  <c r="X182" i="347"/>
  <c r="X183" i="347"/>
  <c r="X184" i="347"/>
  <c r="X185" i="347"/>
  <c r="X186" i="347"/>
  <c r="X187" i="347"/>
  <c r="X188" i="347"/>
  <c r="X189" i="347"/>
  <c r="X190" i="347"/>
  <c r="X191" i="347"/>
  <c r="X192" i="347"/>
  <c r="X193" i="347"/>
  <c r="X194" i="347"/>
  <c r="X195" i="347"/>
  <c r="X196" i="347"/>
  <c r="X197" i="347"/>
  <c r="X198" i="347"/>
  <c r="X199" i="347"/>
  <c r="X200" i="347"/>
  <c r="X201" i="347"/>
  <c r="X202" i="347"/>
  <c r="X203" i="347"/>
  <c r="X204" i="347"/>
  <c r="X205" i="347"/>
  <c r="X206" i="347"/>
  <c r="X207" i="347"/>
  <c r="X208" i="347"/>
  <c r="X209" i="347"/>
  <c r="X210" i="347"/>
  <c r="X211" i="347"/>
  <c r="X212" i="347"/>
  <c r="X213" i="347"/>
  <c r="X214" i="347"/>
  <c r="X215" i="347"/>
  <c r="X216" i="347"/>
  <c r="X217" i="347"/>
  <c r="X218" i="347"/>
  <c r="X219" i="347"/>
  <c r="X220" i="347"/>
  <c r="X221" i="347"/>
  <c r="X222" i="347"/>
  <c r="X223" i="347"/>
  <c r="X224" i="347"/>
  <c r="X225" i="347"/>
  <c r="X226" i="347"/>
  <c r="X227" i="347"/>
  <c r="X228" i="347"/>
  <c r="X229" i="347"/>
  <c r="X230" i="347"/>
  <c r="X231" i="347"/>
  <c r="X232" i="347"/>
  <c r="X233" i="347"/>
  <c r="X234" i="347"/>
  <c r="X235" i="347"/>
  <c r="X236" i="347"/>
  <c r="X237" i="347"/>
  <c r="X238" i="347"/>
  <c r="X239" i="347"/>
  <c r="X240" i="347"/>
  <c r="X241" i="347"/>
  <c r="W3" i="347"/>
  <c r="W4" i="347"/>
  <c r="W5" i="347"/>
  <c r="W6" i="347"/>
  <c r="W7" i="347"/>
  <c r="W8" i="347"/>
  <c r="W9" i="347"/>
  <c r="W10" i="347"/>
  <c r="W11" i="347"/>
  <c r="W12" i="347"/>
  <c r="W13" i="347"/>
  <c r="W14" i="347"/>
  <c r="W15" i="347"/>
  <c r="W16" i="347"/>
  <c r="W17" i="347"/>
  <c r="W18" i="347"/>
  <c r="W19" i="347"/>
  <c r="W20" i="347"/>
  <c r="W21" i="347"/>
  <c r="W22" i="347"/>
  <c r="W23" i="347"/>
  <c r="W24" i="347"/>
  <c r="W25" i="347"/>
  <c r="W26" i="347"/>
  <c r="W27" i="347"/>
  <c r="W28" i="347"/>
  <c r="W29" i="347"/>
  <c r="W30" i="347"/>
  <c r="W31" i="347"/>
  <c r="W32" i="347"/>
  <c r="W33" i="347"/>
  <c r="W34" i="347"/>
  <c r="W35" i="347"/>
  <c r="W36" i="347"/>
  <c r="W37" i="347"/>
  <c r="W38" i="347"/>
  <c r="W39" i="347"/>
  <c r="W40" i="347"/>
  <c r="W41" i="347"/>
  <c r="W42" i="347"/>
  <c r="W43" i="347"/>
  <c r="W44" i="347"/>
  <c r="W45" i="347"/>
  <c r="W46" i="347"/>
  <c r="W47" i="347"/>
  <c r="W48" i="347"/>
  <c r="W49" i="347"/>
  <c r="W50" i="347"/>
  <c r="W51" i="347"/>
  <c r="W52" i="347"/>
  <c r="W53" i="347"/>
  <c r="W54" i="347"/>
  <c r="W55" i="347"/>
  <c r="W56" i="347"/>
  <c r="W57" i="347"/>
  <c r="W58" i="347"/>
  <c r="W59" i="347"/>
  <c r="W60" i="347"/>
  <c r="W61" i="347"/>
  <c r="W62" i="347"/>
  <c r="W63" i="347"/>
  <c r="W64" i="347"/>
  <c r="W65" i="347"/>
  <c r="W66" i="347"/>
  <c r="W67" i="347"/>
  <c r="W68" i="347"/>
  <c r="W69" i="347"/>
  <c r="W70" i="347"/>
  <c r="W71" i="347"/>
  <c r="W72" i="347"/>
  <c r="W73" i="347"/>
  <c r="W74" i="347"/>
  <c r="W75" i="347"/>
  <c r="W76" i="347"/>
  <c r="W77" i="347"/>
  <c r="W78" i="347"/>
  <c r="W79" i="347"/>
  <c r="W80" i="347"/>
  <c r="W81" i="347"/>
  <c r="W82" i="347"/>
  <c r="W83" i="347"/>
  <c r="W84" i="347"/>
  <c r="W85" i="347"/>
  <c r="W86" i="347"/>
  <c r="W87" i="347"/>
  <c r="W88" i="347"/>
  <c r="W89" i="347"/>
  <c r="W90" i="347"/>
  <c r="W91" i="347"/>
  <c r="W92" i="347"/>
  <c r="W93" i="347"/>
  <c r="W94" i="347"/>
  <c r="W95" i="347"/>
  <c r="W96" i="347"/>
  <c r="W97" i="347"/>
  <c r="W98" i="347"/>
  <c r="W99" i="347"/>
  <c r="W100" i="347"/>
  <c r="W101" i="347"/>
  <c r="W102" i="347"/>
  <c r="W103" i="347"/>
  <c r="W104" i="347"/>
  <c r="W105" i="347"/>
  <c r="W106" i="347"/>
  <c r="W107" i="347"/>
  <c r="W108" i="347"/>
  <c r="W109" i="347"/>
  <c r="W110" i="347"/>
  <c r="W111" i="347"/>
  <c r="W112" i="347"/>
  <c r="W113" i="347"/>
  <c r="W114" i="347"/>
  <c r="W115" i="347"/>
  <c r="W116" i="347"/>
  <c r="W117" i="347"/>
  <c r="W118" i="347"/>
  <c r="W119" i="347"/>
  <c r="W120" i="347"/>
  <c r="W121" i="347"/>
  <c r="W122" i="347"/>
  <c r="W123" i="347"/>
  <c r="W124" i="347"/>
  <c r="W125" i="347"/>
  <c r="W126" i="347"/>
  <c r="W127" i="347"/>
  <c r="W128" i="347"/>
  <c r="W129" i="347"/>
  <c r="W130" i="347"/>
  <c r="W131" i="347"/>
  <c r="W132" i="347"/>
  <c r="W133" i="347"/>
  <c r="W134" i="347"/>
  <c r="W135" i="347"/>
  <c r="W136" i="347"/>
  <c r="W137" i="347"/>
  <c r="W138" i="347"/>
  <c r="W139" i="347"/>
  <c r="W140" i="347"/>
  <c r="W141" i="347"/>
  <c r="W142" i="347"/>
  <c r="W143" i="347"/>
  <c r="W144" i="347"/>
  <c r="W145" i="347"/>
  <c r="W146" i="347"/>
  <c r="W147" i="347"/>
  <c r="W148" i="347"/>
  <c r="W149" i="347"/>
  <c r="W150" i="347"/>
  <c r="W151" i="347"/>
  <c r="W152" i="347"/>
  <c r="W153" i="347"/>
  <c r="W154" i="347"/>
  <c r="W155" i="347"/>
  <c r="W156" i="347"/>
  <c r="W157" i="347"/>
  <c r="W158" i="347"/>
  <c r="W159" i="347"/>
  <c r="W160" i="347"/>
  <c r="W161" i="347"/>
  <c r="W162" i="347"/>
  <c r="W163" i="347"/>
  <c r="W164" i="347"/>
  <c r="W165" i="347"/>
  <c r="W166" i="347"/>
  <c r="W167" i="347"/>
  <c r="W168" i="347"/>
  <c r="W169" i="347"/>
  <c r="W170" i="347"/>
  <c r="W171" i="347"/>
  <c r="W172" i="347"/>
  <c r="W173" i="347"/>
  <c r="W174" i="347"/>
  <c r="W175" i="347"/>
  <c r="W176" i="347"/>
  <c r="W177" i="347"/>
  <c r="W178" i="347"/>
  <c r="W179" i="347"/>
  <c r="W180" i="347"/>
  <c r="W181" i="347"/>
  <c r="W182" i="347"/>
  <c r="W183" i="347"/>
  <c r="W184" i="347"/>
  <c r="W185" i="347"/>
  <c r="W186" i="347"/>
  <c r="W187" i="347"/>
  <c r="W188" i="347"/>
  <c r="W189" i="347"/>
  <c r="W190" i="347"/>
  <c r="W191" i="347"/>
  <c r="W192" i="347"/>
  <c r="W193" i="347"/>
  <c r="W194" i="347"/>
  <c r="W195" i="347"/>
  <c r="W196" i="347"/>
  <c r="W197" i="347"/>
  <c r="W198" i="347"/>
  <c r="W199" i="347"/>
  <c r="W200" i="347"/>
  <c r="W201" i="347"/>
  <c r="W202" i="347"/>
  <c r="W203" i="347"/>
  <c r="W204" i="347"/>
  <c r="W205" i="347"/>
  <c r="W206" i="347"/>
  <c r="W207" i="347"/>
  <c r="W208" i="347"/>
  <c r="W209" i="347"/>
  <c r="W210" i="347"/>
  <c r="W211" i="347"/>
  <c r="W212" i="347"/>
  <c r="W213" i="347"/>
  <c r="W214" i="347"/>
  <c r="W215" i="347"/>
  <c r="W216" i="347"/>
  <c r="W217" i="347"/>
  <c r="W218" i="347"/>
  <c r="W219" i="347"/>
  <c r="W220" i="347"/>
  <c r="W221" i="347"/>
  <c r="W222" i="347"/>
  <c r="W223" i="347"/>
  <c r="W224" i="347"/>
  <c r="W225" i="347"/>
  <c r="W226" i="347"/>
  <c r="W227" i="347"/>
  <c r="W228" i="347"/>
  <c r="W229" i="347"/>
  <c r="W230" i="347"/>
  <c r="W231" i="347"/>
  <c r="W232" i="347"/>
  <c r="W233" i="347"/>
  <c r="W234" i="347"/>
  <c r="W235" i="347"/>
  <c r="W236" i="347"/>
  <c r="W237" i="347"/>
  <c r="W238" i="347"/>
  <c r="W239" i="347"/>
  <c r="W240" i="347"/>
  <c r="W241" i="347"/>
  <c r="V3" i="347"/>
  <c r="V4" i="347"/>
  <c r="V5" i="347"/>
  <c r="V6" i="347"/>
  <c r="V7" i="347"/>
  <c r="V8" i="347"/>
  <c r="V9" i="347"/>
  <c r="V10" i="347"/>
  <c r="V11" i="347"/>
  <c r="V12" i="347"/>
  <c r="V13" i="347"/>
  <c r="V14" i="347"/>
  <c r="V15" i="347"/>
  <c r="V16" i="347"/>
  <c r="V17" i="347"/>
  <c r="V18" i="347"/>
  <c r="V19" i="347"/>
  <c r="V20" i="347"/>
  <c r="V21" i="347"/>
  <c r="V22" i="347"/>
  <c r="V23" i="347"/>
  <c r="V24" i="347"/>
  <c r="V25" i="347"/>
  <c r="V26" i="347"/>
  <c r="V27" i="347"/>
  <c r="V28" i="347"/>
  <c r="V29" i="347"/>
  <c r="V30" i="347"/>
  <c r="V31" i="347"/>
  <c r="V32" i="347"/>
  <c r="V33" i="347"/>
  <c r="V34" i="347"/>
  <c r="V35" i="347"/>
  <c r="V36" i="347"/>
  <c r="V37" i="347"/>
  <c r="V38" i="347"/>
  <c r="V39" i="347"/>
  <c r="V40" i="347"/>
  <c r="V41" i="347"/>
  <c r="V42" i="347"/>
  <c r="V43" i="347"/>
  <c r="V44" i="347"/>
  <c r="V45" i="347"/>
  <c r="V46" i="347"/>
  <c r="V47" i="347"/>
  <c r="V48" i="347"/>
  <c r="V49" i="347"/>
  <c r="V50" i="347"/>
  <c r="V51" i="347"/>
  <c r="V52" i="347"/>
  <c r="V53" i="347"/>
  <c r="V54" i="347"/>
  <c r="V55" i="347"/>
  <c r="V56" i="347"/>
  <c r="V57" i="347"/>
  <c r="V58" i="347"/>
  <c r="V59" i="347"/>
  <c r="V60" i="347"/>
  <c r="V61" i="347"/>
  <c r="V62" i="347"/>
  <c r="V63" i="347"/>
  <c r="V64" i="347"/>
  <c r="V65" i="347"/>
  <c r="V66" i="347"/>
  <c r="V67" i="347"/>
  <c r="V68" i="347"/>
  <c r="V69" i="347"/>
  <c r="V70" i="347"/>
  <c r="V71" i="347"/>
  <c r="V72" i="347"/>
  <c r="V73" i="347"/>
  <c r="V74" i="347"/>
  <c r="V75" i="347"/>
  <c r="V76" i="347"/>
  <c r="V77" i="347"/>
  <c r="V78" i="347"/>
  <c r="V79" i="347"/>
  <c r="V80" i="347"/>
  <c r="V81" i="347"/>
  <c r="V82" i="347"/>
  <c r="V83" i="347"/>
  <c r="V84" i="347"/>
  <c r="V85" i="347"/>
  <c r="V86" i="347"/>
  <c r="V87" i="347"/>
  <c r="V88" i="347"/>
  <c r="V89" i="347"/>
  <c r="V90" i="347"/>
  <c r="V91" i="347"/>
  <c r="V92" i="347"/>
  <c r="V93" i="347"/>
  <c r="V94" i="347"/>
  <c r="V95" i="347"/>
  <c r="V96" i="347"/>
  <c r="V97" i="347"/>
  <c r="V98" i="347"/>
  <c r="V99" i="347"/>
  <c r="V100" i="347"/>
  <c r="V101" i="347"/>
  <c r="V102" i="347"/>
  <c r="V103" i="347"/>
  <c r="V104" i="347"/>
  <c r="V105" i="347"/>
  <c r="V106" i="347"/>
  <c r="V107" i="347"/>
  <c r="V108" i="347"/>
  <c r="V109" i="347"/>
  <c r="V110" i="347"/>
  <c r="V111" i="347"/>
  <c r="V112" i="347"/>
  <c r="V113" i="347"/>
  <c r="V114" i="347"/>
  <c r="V115" i="347"/>
  <c r="V116" i="347"/>
  <c r="V117" i="347"/>
  <c r="V118" i="347"/>
  <c r="V119" i="347"/>
  <c r="V120" i="347"/>
  <c r="V121" i="347"/>
  <c r="V122" i="347"/>
  <c r="V123" i="347"/>
  <c r="V124" i="347"/>
  <c r="V125" i="347"/>
  <c r="V126" i="347"/>
  <c r="V127" i="347"/>
  <c r="V128" i="347"/>
  <c r="V129" i="347"/>
  <c r="V130" i="347"/>
  <c r="V131" i="347"/>
  <c r="V132" i="347"/>
  <c r="V133" i="347"/>
  <c r="V134" i="347"/>
  <c r="V135" i="347"/>
  <c r="V136" i="347"/>
  <c r="V137" i="347"/>
  <c r="V138" i="347"/>
  <c r="V139" i="347"/>
  <c r="V140" i="347"/>
  <c r="V141" i="347"/>
  <c r="V142" i="347"/>
  <c r="V143" i="347"/>
  <c r="V144" i="347"/>
  <c r="V145" i="347"/>
  <c r="V146" i="347"/>
  <c r="V147" i="347"/>
  <c r="V148" i="347"/>
  <c r="V149" i="347"/>
  <c r="V150" i="347"/>
  <c r="V151" i="347"/>
  <c r="V152" i="347"/>
  <c r="V153" i="347"/>
  <c r="V154" i="347"/>
  <c r="V155" i="347"/>
  <c r="V156" i="347"/>
  <c r="V157" i="347"/>
  <c r="V158" i="347"/>
  <c r="V159" i="347"/>
  <c r="V160" i="347"/>
  <c r="V161" i="347"/>
  <c r="V162" i="347"/>
  <c r="V163" i="347"/>
  <c r="V164" i="347"/>
  <c r="V165" i="347"/>
  <c r="V166" i="347"/>
  <c r="V167" i="347"/>
  <c r="V168" i="347"/>
  <c r="V169" i="347"/>
  <c r="V170" i="347"/>
  <c r="V171" i="347"/>
  <c r="V172" i="347"/>
  <c r="V173" i="347"/>
  <c r="V174" i="347"/>
  <c r="V175" i="347"/>
  <c r="V176" i="347"/>
  <c r="V177" i="347"/>
  <c r="V178" i="347"/>
  <c r="V179" i="347"/>
  <c r="V180" i="347"/>
  <c r="V181" i="347"/>
  <c r="V182" i="347"/>
  <c r="V183" i="347"/>
  <c r="V184" i="347"/>
  <c r="V185" i="347"/>
  <c r="V186" i="347"/>
  <c r="V187" i="347"/>
  <c r="V188" i="347"/>
  <c r="V189" i="347"/>
  <c r="V190" i="347"/>
  <c r="V191" i="347"/>
  <c r="V192" i="347"/>
  <c r="V193" i="347"/>
  <c r="V194" i="347"/>
  <c r="V195" i="347"/>
  <c r="V196" i="347"/>
  <c r="V197" i="347"/>
  <c r="V198" i="347"/>
  <c r="V199" i="347"/>
  <c r="V200" i="347"/>
  <c r="V201" i="347"/>
  <c r="V202" i="347"/>
  <c r="V203" i="347"/>
  <c r="V204" i="347"/>
  <c r="V205" i="347"/>
  <c r="V206" i="347"/>
  <c r="V207" i="347"/>
  <c r="V208" i="347"/>
  <c r="V209" i="347"/>
  <c r="V210" i="347"/>
  <c r="V211" i="347"/>
  <c r="V212" i="347"/>
  <c r="V213" i="347"/>
  <c r="V214" i="347"/>
  <c r="V215" i="347"/>
  <c r="V216" i="347"/>
  <c r="V217" i="347"/>
  <c r="V218" i="347"/>
  <c r="V219" i="347"/>
  <c r="V220" i="347"/>
  <c r="V221" i="347"/>
  <c r="V222" i="347"/>
  <c r="V223" i="347"/>
  <c r="V224" i="347"/>
  <c r="V225" i="347"/>
  <c r="V226" i="347"/>
  <c r="V227" i="347"/>
  <c r="V228" i="347"/>
  <c r="V229" i="347"/>
  <c r="V230" i="347"/>
  <c r="V231" i="347"/>
  <c r="V232" i="347"/>
  <c r="V233" i="347"/>
  <c r="V234" i="347"/>
  <c r="V235" i="347"/>
  <c r="V236" i="347"/>
  <c r="V237" i="347"/>
  <c r="V238" i="347"/>
  <c r="V239" i="347"/>
  <c r="V240" i="347"/>
  <c r="V241" i="347"/>
  <c r="U3" i="347"/>
  <c r="U4" i="347"/>
  <c r="U5" i="347"/>
  <c r="U6" i="347"/>
  <c r="U7" i="347"/>
  <c r="U8" i="347"/>
  <c r="U9" i="347"/>
  <c r="U10" i="347"/>
  <c r="U11" i="347"/>
  <c r="U12" i="347"/>
  <c r="U13" i="347"/>
  <c r="U14" i="347"/>
  <c r="U15" i="347"/>
  <c r="U16" i="347"/>
  <c r="U17" i="347"/>
  <c r="U18" i="347"/>
  <c r="U19" i="347"/>
  <c r="U20" i="347"/>
  <c r="U21" i="347"/>
  <c r="U22" i="347"/>
  <c r="U23" i="347"/>
  <c r="U24" i="347"/>
  <c r="U25" i="347"/>
  <c r="U26" i="347"/>
  <c r="U27" i="347"/>
  <c r="U28" i="347"/>
  <c r="U29" i="347"/>
  <c r="U30" i="347"/>
  <c r="U31" i="347"/>
  <c r="U32" i="347"/>
  <c r="U33" i="347"/>
  <c r="U34" i="347"/>
  <c r="U35" i="347"/>
  <c r="U36" i="347"/>
  <c r="U37" i="347"/>
  <c r="U38" i="347"/>
  <c r="U39" i="347"/>
  <c r="U40" i="347"/>
  <c r="U41" i="347"/>
  <c r="U42" i="347"/>
  <c r="U43" i="347"/>
  <c r="U44" i="347"/>
  <c r="U45" i="347"/>
  <c r="U46" i="347"/>
  <c r="U47" i="347"/>
  <c r="U48" i="347"/>
  <c r="U49" i="347"/>
  <c r="U50" i="347"/>
  <c r="U51" i="347"/>
  <c r="U52" i="347"/>
  <c r="U53" i="347"/>
  <c r="U54" i="347"/>
  <c r="U55" i="347"/>
  <c r="U56" i="347"/>
  <c r="U57" i="347"/>
  <c r="U58" i="347"/>
  <c r="U59" i="347"/>
  <c r="U60" i="347"/>
  <c r="U61" i="347"/>
  <c r="U62" i="347"/>
  <c r="U63" i="347"/>
  <c r="U64" i="347"/>
  <c r="U65" i="347"/>
  <c r="U66" i="347"/>
  <c r="U67" i="347"/>
  <c r="U68" i="347"/>
  <c r="U69" i="347"/>
  <c r="U70" i="347"/>
  <c r="U71" i="347"/>
  <c r="U72" i="347"/>
  <c r="U73" i="347"/>
  <c r="U74" i="347"/>
  <c r="U75" i="347"/>
  <c r="U76" i="347"/>
  <c r="U77" i="347"/>
  <c r="U78" i="347"/>
  <c r="U79" i="347"/>
  <c r="U80" i="347"/>
  <c r="U81" i="347"/>
  <c r="U82" i="347"/>
  <c r="U83" i="347"/>
  <c r="U84" i="347"/>
  <c r="U85" i="347"/>
  <c r="U86" i="347"/>
  <c r="U87" i="347"/>
  <c r="U88" i="347"/>
  <c r="U89" i="347"/>
  <c r="U90" i="347"/>
  <c r="U91" i="347"/>
  <c r="U92" i="347"/>
  <c r="U93" i="347"/>
  <c r="U94" i="347"/>
  <c r="U95" i="347"/>
  <c r="U96" i="347"/>
  <c r="U97" i="347"/>
  <c r="U98" i="347"/>
  <c r="U99" i="347"/>
  <c r="U100" i="347"/>
  <c r="U101" i="347"/>
  <c r="U102" i="347"/>
  <c r="U103" i="347"/>
  <c r="U104" i="347"/>
  <c r="U105" i="347"/>
  <c r="U106" i="347"/>
  <c r="U107" i="347"/>
  <c r="U108" i="347"/>
  <c r="U109" i="347"/>
  <c r="U110" i="347"/>
  <c r="U111" i="347"/>
  <c r="U112" i="347"/>
  <c r="U113" i="347"/>
  <c r="U114" i="347"/>
  <c r="U115" i="347"/>
  <c r="U116" i="347"/>
  <c r="U117" i="347"/>
  <c r="U118" i="347"/>
  <c r="U119" i="347"/>
  <c r="U120" i="347"/>
  <c r="U121" i="347"/>
  <c r="U122" i="347"/>
  <c r="U123" i="347"/>
  <c r="U124" i="347"/>
  <c r="U125" i="347"/>
  <c r="U126" i="347"/>
  <c r="U127" i="347"/>
  <c r="U128" i="347"/>
  <c r="U129" i="347"/>
  <c r="U130" i="347"/>
  <c r="U131" i="347"/>
  <c r="U132" i="347"/>
  <c r="U133" i="347"/>
  <c r="U134" i="347"/>
  <c r="U135" i="347"/>
  <c r="U136" i="347"/>
  <c r="U137" i="347"/>
  <c r="U138" i="347"/>
  <c r="U139" i="347"/>
  <c r="U140" i="347"/>
  <c r="U141" i="347"/>
  <c r="U142" i="347"/>
  <c r="U143" i="347"/>
  <c r="U144" i="347"/>
  <c r="U145" i="347"/>
  <c r="U146" i="347"/>
  <c r="U147" i="347"/>
  <c r="U148" i="347"/>
  <c r="U149" i="347"/>
  <c r="U150" i="347"/>
  <c r="U151" i="347"/>
  <c r="U152" i="347"/>
  <c r="U153" i="347"/>
  <c r="U154" i="347"/>
  <c r="U155" i="347"/>
  <c r="U156" i="347"/>
  <c r="U157" i="347"/>
  <c r="U158" i="347"/>
  <c r="U159" i="347"/>
  <c r="U160" i="347"/>
  <c r="U161" i="347"/>
  <c r="U162" i="347"/>
  <c r="U163" i="347"/>
  <c r="U164" i="347"/>
  <c r="U165" i="347"/>
  <c r="U166" i="347"/>
  <c r="U167" i="347"/>
  <c r="U168" i="347"/>
  <c r="U169" i="347"/>
  <c r="U170" i="347"/>
  <c r="U171" i="347"/>
  <c r="U172" i="347"/>
  <c r="U173" i="347"/>
  <c r="U174" i="347"/>
  <c r="U175" i="347"/>
  <c r="U176" i="347"/>
  <c r="U177" i="347"/>
  <c r="U178" i="347"/>
  <c r="U179" i="347"/>
  <c r="U180" i="347"/>
  <c r="U181" i="347"/>
  <c r="U182" i="347"/>
  <c r="U183" i="347"/>
  <c r="U184" i="347"/>
  <c r="U185" i="347"/>
  <c r="U186" i="347"/>
  <c r="U187" i="347"/>
  <c r="U188" i="347"/>
  <c r="U189" i="347"/>
  <c r="U190" i="347"/>
  <c r="U191" i="347"/>
  <c r="U192" i="347"/>
  <c r="U193" i="347"/>
  <c r="U194" i="347"/>
  <c r="U195" i="347"/>
  <c r="U196" i="347"/>
  <c r="U197" i="347"/>
  <c r="U198" i="347"/>
  <c r="U199" i="347"/>
  <c r="U200" i="347"/>
  <c r="U201" i="347"/>
  <c r="U202" i="347"/>
  <c r="U203" i="347"/>
  <c r="U204" i="347"/>
  <c r="U205" i="347"/>
  <c r="U206" i="347"/>
  <c r="U207" i="347"/>
  <c r="U208" i="347"/>
  <c r="U209" i="347"/>
  <c r="U210" i="347"/>
  <c r="U211" i="347"/>
  <c r="U212" i="347"/>
  <c r="U213" i="347"/>
  <c r="U214" i="347"/>
  <c r="U215" i="347"/>
  <c r="U216" i="347"/>
  <c r="U217" i="347"/>
  <c r="U218" i="347"/>
  <c r="U219" i="347"/>
  <c r="U220" i="347"/>
  <c r="U221" i="347"/>
  <c r="U222" i="347"/>
  <c r="U223" i="347"/>
  <c r="U224" i="347"/>
  <c r="U225" i="347"/>
  <c r="U226" i="347"/>
  <c r="U227" i="347"/>
  <c r="U228" i="347"/>
  <c r="U229" i="347"/>
  <c r="U230" i="347"/>
  <c r="U231" i="347"/>
  <c r="U232" i="347"/>
  <c r="U233" i="347"/>
  <c r="U234" i="347"/>
  <c r="U235" i="347"/>
  <c r="U236" i="347"/>
  <c r="U237" i="347"/>
  <c r="U238" i="347"/>
  <c r="U239" i="347"/>
  <c r="U240" i="347"/>
  <c r="U241" i="347"/>
  <c r="T3" i="347"/>
  <c r="T4" i="347"/>
  <c r="T5" i="347"/>
  <c r="T6" i="347"/>
  <c r="T7" i="347"/>
  <c r="T8" i="347"/>
  <c r="T9" i="347"/>
  <c r="T10" i="347"/>
  <c r="T11" i="347"/>
  <c r="T12" i="347"/>
  <c r="T13" i="347"/>
  <c r="T14" i="347"/>
  <c r="T15" i="347"/>
  <c r="T16" i="347"/>
  <c r="T17" i="347"/>
  <c r="T18" i="347"/>
  <c r="T19" i="347"/>
  <c r="T20" i="347"/>
  <c r="T21" i="347"/>
  <c r="T22" i="347"/>
  <c r="T23" i="347"/>
  <c r="T24" i="347"/>
  <c r="T25" i="347"/>
  <c r="T26" i="347"/>
  <c r="T27" i="347"/>
  <c r="T28" i="347"/>
  <c r="T29" i="347"/>
  <c r="T30" i="347"/>
  <c r="T31" i="347"/>
  <c r="T32" i="347"/>
  <c r="T33" i="347"/>
  <c r="T34" i="347"/>
  <c r="T35" i="347"/>
  <c r="T36" i="347"/>
  <c r="T37" i="347"/>
  <c r="T38" i="347"/>
  <c r="T39" i="347"/>
  <c r="T40" i="347"/>
  <c r="T41" i="347"/>
  <c r="T42" i="347"/>
  <c r="T43" i="347"/>
  <c r="T44" i="347"/>
  <c r="T45" i="347"/>
  <c r="T46" i="347"/>
  <c r="T47" i="347"/>
  <c r="T48" i="347"/>
  <c r="T49" i="347"/>
  <c r="T50" i="347"/>
  <c r="T51" i="347"/>
  <c r="T52" i="347"/>
  <c r="T53" i="347"/>
  <c r="T54" i="347"/>
  <c r="T55" i="347"/>
  <c r="T56" i="347"/>
  <c r="T57" i="347"/>
  <c r="T58" i="347"/>
  <c r="T59" i="347"/>
  <c r="T60" i="347"/>
  <c r="T61" i="347"/>
  <c r="T62" i="347"/>
  <c r="T63" i="347"/>
  <c r="T64" i="347"/>
  <c r="T65" i="347"/>
  <c r="T66" i="347"/>
  <c r="T67" i="347"/>
  <c r="T68" i="347"/>
  <c r="T69" i="347"/>
  <c r="T70" i="347"/>
  <c r="T71" i="347"/>
  <c r="T72" i="347"/>
  <c r="T73" i="347"/>
  <c r="T74" i="347"/>
  <c r="T75" i="347"/>
  <c r="T76" i="347"/>
  <c r="T77" i="347"/>
  <c r="T78" i="347"/>
  <c r="T79" i="347"/>
  <c r="T80" i="347"/>
  <c r="T81" i="347"/>
  <c r="T82" i="347"/>
  <c r="T83" i="347"/>
  <c r="T84" i="347"/>
  <c r="T85" i="347"/>
  <c r="T86" i="347"/>
  <c r="T87" i="347"/>
  <c r="T88" i="347"/>
  <c r="T89" i="347"/>
  <c r="T90" i="347"/>
  <c r="T91" i="347"/>
  <c r="T92" i="347"/>
  <c r="T93" i="347"/>
  <c r="T94" i="347"/>
  <c r="T95" i="347"/>
  <c r="T96" i="347"/>
  <c r="T97" i="347"/>
  <c r="T98" i="347"/>
  <c r="T99" i="347"/>
  <c r="T100" i="347"/>
  <c r="T101" i="347"/>
  <c r="T102" i="347"/>
  <c r="T103" i="347"/>
  <c r="T104" i="347"/>
  <c r="T105" i="347"/>
  <c r="T106" i="347"/>
  <c r="T107" i="347"/>
  <c r="T108" i="347"/>
  <c r="T109" i="347"/>
  <c r="T110" i="347"/>
  <c r="T111" i="347"/>
  <c r="T112" i="347"/>
  <c r="T113" i="347"/>
  <c r="T114" i="347"/>
  <c r="T115" i="347"/>
  <c r="T116" i="347"/>
  <c r="T117" i="347"/>
  <c r="T118" i="347"/>
  <c r="T119" i="347"/>
  <c r="T120" i="347"/>
  <c r="T121" i="347"/>
  <c r="T122" i="347"/>
  <c r="T123" i="347"/>
  <c r="T124" i="347"/>
  <c r="T125" i="347"/>
  <c r="T126" i="347"/>
  <c r="T127" i="347"/>
  <c r="T128" i="347"/>
  <c r="T129" i="347"/>
  <c r="T130" i="347"/>
  <c r="T131" i="347"/>
  <c r="T132" i="347"/>
  <c r="T133" i="347"/>
  <c r="T134" i="347"/>
  <c r="T135" i="347"/>
  <c r="T136" i="347"/>
  <c r="T137" i="347"/>
  <c r="T138" i="347"/>
  <c r="T139" i="347"/>
  <c r="T140" i="347"/>
  <c r="T141" i="347"/>
  <c r="T142" i="347"/>
  <c r="T143" i="347"/>
  <c r="T144" i="347"/>
  <c r="T145" i="347"/>
  <c r="T146" i="347"/>
  <c r="T147" i="347"/>
  <c r="T148" i="347"/>
  <c r="T149" i="347"/>
  <c r="T150" i="347"/>
  <c r="T151" i="347"/>
  <c r="T152" i="347"/>
  <c r="T153" i="347"/>
  <c r="T154" i="347"/>
  <c r="T155" i="347"/>
  <c r="T156" i="347"/>
  <c r="T157" i="347"/>
  <c r="T158" i="347"/>
  <c r="T159" i="347"/>
  <c r="T160" i="347"/>
  <c r="T161" i="347"/>
  <c r="T162" i="347"/>
  <c r="T163" i="347"/>
  <c r="T164" i="347"/>
  <c r="T165" i="347"/>
  <c r="T166" i="347"/>
  <c r="T167" i="347"/>
  <c r="T168" i="347"/>
  <c r="T169" i="347"/>
  <c r="T170" i="347"/>
  <c r="T171" i="347"/>
  <c r="T172" i="347"/>
  <c r="T173" i="347"/>
  <c r="T174" i="347"/>
  <c r="T175" i="347"/>
  <c r="T176" i="347"/>
  <c r="T177" i="347"/>
  <c r="T178" i="347"/>
  <c r="T179" i="347"/>
  <c r="T180" i="347"/>
  <c r="T181" i="347"/>
  <c r="T182" i="347"/>
  <c r="T183" i="347"/>
  <c r="T184" i="347"/>
  <c r="T185" i="347"/>
  <c r="T186" i="347"/>
  <c r="T187" i="347"/>
  <c r="T188" i="347"/>
  <c r="T189" i="347"/>
  <c r="T190" i="347"/>
  <c r="T191" i="347"/>
  <c r="T192" i="347"/>
  <c r="T193" i="347"/>
  <c r="T194" i="347"/>
  <c r="T195" i="347"/>
  <c r="T196" i="347"/>
  <c r="T197" i="347"/>
  <c r="T198" i="347"/>
  <c r="T199" i="347"/>
  <c r="T200" i="347"/>
  <c r="T201" i="347"/>
  <c r="T202" i="347"/>
  <c r="T203" i="347"/>
  <c r="T204" i="347"/>
  <c r="T205" i="347"/>
  <c r="T206" i="347"/>
  <c r="T207" i="347"/>
  <c r="T208" i="347"/>
  <c r="T209" i="347"/>
  <c r="T210" i="347"/>
  <c r="T211" i="347"/>
  <c r="T212" i="347"/>
  <c r="T213" i="347"/>
  <c r="T214" i="347"/>
  <c r="T215" i="347"/>
  <c r="T216" i="347"/>
  <c r="T217" i="347"/>
  <c r="T218" i="347"/>
  <c r="T219" i="347"/>
  <c r="T220" i="347"/>
  <c r="T221" i="347"/>
  <c r="T222" i="347"/>
  <c r="T223" i="347"/>
  <c r="T224" i="347"/>
  <c r="T225" i="347"/>
  <c r="T226" i="347"/>
  <c r="T227" i="347"/>
  <c r="T228" i="347"/>
  <c r="T229" i="347"/>
  <c r="T230" i="347"/>
  <c r="T231" i="347"/>
  <c r="T232" i="347"/>
  <c r="T233" i="347"/>
  <c r="T234" i="347"/>
  <c r="T235" i="347"/>
  <c r="T236" i="347"/>
  <c r="T237" i="347"/>
  <c r="T238" i="347"/>
  <c r="T239" i="347"/>
  <c r="T240" i="347"/>
  <c r="T241" i="347"/>
  <c r="X3" i="346"/>
  <c r="X4" i="346"/>
  <c r="X5" i="346"/>
  <c r="X6" i="346"/>
  <c r="X7" i="346"/>
  <c r="X8" i="346"/>
  <c r="X9" i="346"/>
  <c r="X10" i="346"/>
  <c r="X11" i="346"/>
  <c r="X12" i="346"/>
  <c r="X13" i="346"/>
  <c r="X14" i="346"/>
  <c r="X15" i="346"/>
  <c r="X16" i="346"/>
  <c r="X17" i="346"/>
  <c r="X18" i="346"/>
  <c r="W3" i="346"/>
  <c r="W4" i="346"/>
  <c r="W5" i="346"/>
  <c r="W6" i="346"/>
  <c r="W7" i="346"/>
  <c r="W8" i="346"/>
  <c r="W9" i="346"/>
  <c r="W10" i="346"/>
  <c r="W11" i="346"/>
  <c r="W12" i="346"/>
  <c r="W13" i="346"/>
  <c r="W14" i="346"/>
  <c r="W15" i="346"/>
  <c r="W16" i="346"/>
  <c r="W17" i="346"/>
  <c r="W18" i="346"/>
  <c r="V3" i="346"/>
  <c r="V4" i="346"/>
  <c r="V5" i="346"/>
  <c r="V6" i="346"/>
  <c r="V7" i="346"/>
  <c r="V8" i="346"/>
  <c r="V9" i="346"/>
  <c r="V10" i="346"/>
  <c r="V11" i="346"/>
  <c r="V12" i="346"/>
  <c r="V13" i="346"/>
  <c r="V14" i="346"/>
  <c r="V15" i="346"/>
  <c r="V16" i="346"/>
  <c r="V17" i="346"/>
  <c r="V18" i="346"/>
  <c r="U3" i="346"/>
  <c r="U4" i="346"/>
  <c r="U5" i="346"/>
  <c r="U6" i="346"/>
  <c r="U7" i="346"/>
  <c r="U8" i="346"/>
  <c r="U9" i="346"/>
  <c r="U10" i="346"/>
  <c r="U11" i="346"/>
  <c r="U12" i="346"/>
  <c r="U13" i="346"/>
  <c r="U14" i="346"/>
  <c r="U15" i="346"/>
  <c r="U16" i="346"/>
  <c r="U17" i="346"/>
  <c r="U18" i="346"/>
  <c r="T3" i="346"/>
  <c r="T4" i="346"/>
  <c r="T5" i="346"/>
  <c r="T6" i="346"/>
  <c r="T7" i="346"/>
  <c r="T8" i="346"/>
  <c r="T9" i="346"/>
  <c r="T10" i="346"/>
  <c r="T11" i="346"/>
  <c r="T12" i="346"/>
  <c r="T13" i="346"/>
  <c r="T14" i="346"/>
  <c r="T15" i="346"/>
  <c r="T16" i="346"/>
  <c r="T17" i="346"/>
  <c r="T18" i="346"/>
  <c r="S3" i="346"/>
  <c r="S4" i="346"/>
  <c r="S5" i="346"/>
  <c r="S6" i="346"/>
  <c r="S7" i="346"/>
  <c r="S8" i="346"/>
  <c r="S9" i="346"/>
  <c r="S10" i="346"/>
  <c r="S11" i="346"/>
  <c r="S12" i="346"/>
  <c r="S13" i="346"/>
  <c r="S14" i="346"/>
  <c r="S15" i="346"/>
  <c r="S16" i="346"/>
  <c r="S17" i="346"/>
  <c r="S18" i="346"/>
  <c r="R3" i="346"/>
  <c r="R4" i="346"/>
  <c r="R5" i="346"/>
  <c r="R6" i="346"/>
  <c r="R7" i="346"/>
  <c r="R8" i="346"/>
  <c r="R9" i="346"/>
  <c r="R10" i="346"/>
  <c r="R11" i="346"/>
  <c r="R12" i="346"/>
  <c r="R13" i="346"/>
  <c r="R14" i="346"/>
  <c r="R15" i="346"/>
  <c r="R16" i="346"/>
  <c r="R17" i="346"/>
  <c r="R18" i="346"/>
  <c r="Q3" i="346"/>
  <c r="Q4" i="346"/>
  <c r="Q5" i="346"/>
  <c r="Q6" i="346"/>
  <c r="Q7" i="346"/>
  <c r="Q8" i="346"/>
  <c r="Q9" i="346"/>
  <c r="Q10" i="346"/>
  <c r="Q11" i="346"/>
  <c r="Q12" i="346"/>
  <c r="Q13" i="346"/>
  <c r="Q14" i="346"/>
  <c r="Q15" i="346"/>
  <c r="Q16" i="346"/>
  <c r="Q17" i="346"/>
  <c r="Q18" i="346"/>
  <c r="P3" i="346"/>
  <c r="P4" i="346"/>
  <c r="P5" i="346"/>
  <c r="P6" i="346"/>
  <c r="P7" i="346"/>
  <c r="P8" i="346"/>
  <c r="P9" i="346"/>
  <c r="P10" i="346"/>
  <c r="P11" i="346"/>
  <c r="P12" i="346"/>
  <c r="P13" i="346"/>
  <c r="P14" i="346"/>
  <c r="P15" i="346"/>
  <c r="P16" i="346"/>
  <c r="P17" i="346"/>
  <c r="P18" i="346"/>
  <c r="O3" i="346"/>
  <c r="O4" i="346"/>
  <c r="O5" i="346"/>
  <c r="O6" i="346"/>
  <c r="O7" i="346"/>
  <c r="O8" i="346"/>
  <c r="O9" i="346"/>
  <c r="O10" i="346"/>
  <c r="O11" i="346"/>
  <c r="O12" i="346"/>
  <c r="O13" i="346"/>
  <c r="O14" i="346"/>
  <c r="O15" i="346"/>
  <c r="O16" i="346"/>
  <c r="O17" i="346"/>
  <c r="O18" i="346"/>
  <c r="AE203" i="347" l="1"/>
  <c r="AE239" i="347"/>
  <c r="AE227" i="347"/>
  <c r="AE215" i="347"/>
  <c r="AE191" i="347"/>
  <c r="AE179" i="347"/>
  <c r="AE167" i="347"/>
  <c r="AE155" i="347"/>
  <c r="AE143" i="347"/>
  <c r="AE131" i="347"/>
  <c r="AE119" i="347"/>
  <c r="AE107" i="347"/>
  <c r="AE95" i="347"/>
  <c r="AE83" i="347"/>
  <c r="AE71" i="347"/>
  <c r="AE59" i="347"/>
  <c r="AE47" i="347"/>
  <c r="AE35" i="347"/>
  <c r="AE23" i="347"/>
  <c r="AE11" i="347"/>
  <c r="AE142" i="347"/>
  <c r="AE130" i="347"/>
  <c r="AE118" i="347"/>
  <c r="AE106" i="347"/>
  <c r="AE94" i="347"/>
  <c r="AE82" i="347"/>
  <c r="AE70" i="347"/>
  <c r="AE58" i="347"/>
  <c r="AE46" i="347"/>
  <c r="AE34" i="347"/>
  <c r="AE22" i="347"/>
  <c r="AE10" i="347"/>
  <c r="AE178" i="347"/>
  <c r="AE154" i="347"/>
  <c r="AE214" i="347"/>
  <c r="AE226" i="347"/>
  <c r="AE190" i="347"/>
  <c r="AE238" i="347"/>
  <c r="AE166" i="347"/>
  <c r="AE202" i="347"/>
  <c r="AE237" i="347"/>
  <c r="AE225" i="347"/>
  <c r="AE213" i="347"/>
  <c r="AE201" i="347"/>
  <c r="AE189" i="347"/>
  <c r="AE177" i="347"/>
  <c r="AE165" i="347"/>
  <c r="AE153" i="347"/>
  <c r="AE141" i="347"/>
  <c r="AE129" i="347"/>
  <c r="AE117" i="347"/>
  <c r="AE105" i="347"/>
  <c r="AE93" i="347"/>
  <c r="AE81" i="347"/>
  <c r="AE69" i="347"/>
  <c r="AE57" i="347"/>
  <c r="AE45" i="347"/>
  <c r="AE33" i="347"/>
  <c r="AE21" i="347"/>
  <c r="AE9" i="347"/>
  <c r="AE236" i="347"/>
  <c r="AE224" i="347"/>
  <c r="AE212" i="347"/>
  <c r="AE200" i="347"/>
  <c r="AE188" i="347"/>
  <c r="AE176" i="347"/>
  <c r="AE164" i="347"/>
  <c r="AE152" i="347"/>
  <c r="AE140" i="347"/>
  <c r="AE128" i="347"/>
  <c r="AE116" i="347"/>
  <c r="AE104" i="347"/>
  <c r="AE92" i="347"/>
  <c r="AE80" i="347"/>
  <c r="AE68" i="347"/>
  <c r="AE56" i="347"/>
  <c r="AE44" i="347"/>
  <c r="AE32" i="347"/>
  <c r="AE20" i="347"/>
  <c r="AE8" i="347"/>
  <c r="AE235" i="347"/>
  <c r="AE223" i="347"/>
  <c r="AE211" i="347"/>
  <c r="AE199" i="347"/>
  <c r="AE187" i="347"/>
  <c r="AE175" i="347"/>
  <c r="AE163" i="347"/>
  <c r="AE151" i="347"/>
  <c r="AE139" i="347"/>
  <c r="AE127" i="347"/>
  <c r="AE115" i="347"/>
  <c r="AE103" i="347"/>
  <c r="AE91" i="347"/>
  <c r="AE79" i="347"/>
  <c r="AE67" i="347"/>
  <c r="AE55" i="347"/>
  <c r="AE43" i="347"/>
  <c r="AE31" i="347"/>
  <c r="AE19" i="347"/>
  <c r="AE7" i="347"/>
  <c r="AE234" i="347"/>
  <c r="AE222" i="347"/>
  <c r="AE210" i="347"/>
  <c r="AE198" i="347"/>
  <c r="AE186" i="347"/>
  <c r="AE174" i="347"/>
  <c r="AE162" i="347"/>
  <c r="AE150" i="347"/>
  <c r="AE138" i="347"/>
  <c r="AE126" i="347"/>
  <c r="AE114" i="347"/>
  <c r="AE102" i="347"/>
  <c r="AE90" i="347"/>
  <c r="AE78" i="347"/>
  <c r="AE66" i="347"/>
  <c r="AE54" i="347"/>
  <c r="AE42" i="347"/>
  <c r="AE30" i="347"/>
  <c r="AE18" i="347"/>
  <c r="AE6" i="347"/>
  <c r="AE233" i="347"/>
  <c r="AE221" i="347"/>
  <c r="AE209" i="347"/>
  <c r="AE197" i="347"/>
  <c r="AE185" i="347"/>
  <c r="AE173" i="347"/>
  <c r="AE161" i="347"/>
  <c r="AE149" i="347"/>
  <c r="AE137" i="347"/>
  <c r="AE125" i="347"/>
  <c r="AE113" i="347"/>
  <c r="AE101" i="347"/>
  <c r="AE89" i="347"/>
  <c r="AE77" i="347"/>
  <c r="AE65" i="347"/>
  <c r="AE53" i="347"/>
  <c r="AE41" i="347"/>
  <c r="AE29" i="347"/>
  <c r="AE17" i="347"/>
  <c r="AE5" i="347"/>
  <c r="AE232" i="347"/>
  <c r="AE220" i="347"/>
  <c r="AE208" i="347"/>
  <c r="AE196" i="347"/>
  <c r="AE184" i="347"/>
  <c r="AE172" i="347"/>
  <c r="AE160" i="347"/>
  <c r="AE148" i="347"/>
  <c r="AE136" i="347"/>
  <c r="AE124" i="347"/>
  <c r="AE112" i="347"/>
  <c r="AE100" i="347"/>
  <c r="AE88" i="347"/>
  <c r="AE76" i="347"/>
  <c r="AE64" i="347"/>
  <c r="AE52" i="347"/>
  <c r="AE40" i="347"/>
  <c r="AE28" i="347"/>
  <c r="AE16" i="347"/>
  <c r="AE4" i="347"/>
  <c r="AE231" i="347"/>
  <c r="AE219" i="347"/>
  <c r="AE207" i="347"/>
  <c r="AE195" i="347"/>
  <c r="AE183" i="347"/>
  <c r="AE171" i="347"/>
  <c r="AE159" i="347"/>
  <c r="AE147" i="347"/>
  <c r="AE135" i="347"/>
  <c r="AE123" i="347"/>
  <c r="AE111" i="347"/>
  <c r="AE99" i="347"/>
  <c r="AE87" i="347"/>
  <c r="AE75" i="347"/>
  <c r="AE63" i="347"/>
  <c r="AE51" i="347"/>
  <c r="AE39" i="347"/>
  <c r="AE27" i="347"/>
  <c r="AE15" i="347"/>
  <c r="AE3" i="347"/>
  <c r="AE230" i="347"/>
  <c r="AE218" i="347"/>
  <c r="AE206" i="347"/>
  <c r="AE194" i="347"/>
  <c r="AE182" i="347"/>
  <c r="AE170" i="347"/>
  <c r="AE158" i="347"/>
  <c r="AE146" i="347"/>
  <c r="AE134" i="347"/>
  <c r="AE241" i="347"/>
  <c r="AE229" i="347"/>
  <c r="AE217" i="347"/>
  <c r="AE205" i="347"/>
  <c r="AE193" i="347"/>
  <c r="AE181" i="347"/>
  <c r="AE169" i="347"/>
  <c r="AE157" i="347"/>
  <c r="AE145" i="347"/>
  <c r="AE133" i="347"/>
  <c r="AE121" i="347"/>
  <c r="AE109" i="347"/>
  <c r="AE97" i="347"/>
  <c r="AE85" i="347"/>
  <c r="AE73" i="347"/>
  <c r="AE240" i="347"/>
  <c r="AE228" i="347"/>
  <c r="AE216" i="347"/>
  <c r="AE204" i="347"/>
  <c r="AE192" i="347"/>
  <c r="AE180" i="347"/>
  <c r="AE168" i="347"/>
  <c r="AE156" i="347"/>
  <c r="AE144" i="347"/>
  <c r="AE132" i="347"/>
  <c r="AE120" i="347"/>
  <c r="AE108" i="347"/>
  <c r="AE96" i="347"/>
  <c r="AE84" i="347"/>
  <c r="AE72" i="347"/>
  <c r="AE60" i="347"/>
  <c r="AE48" i="347"/>
  <c r="AE36" i="347"/>
  <c r="AE24" i="347"/>
  <c r="AE12" i="347"/>
  <c r="AE122" i="347"/>
  <c r="AE110" i="347"/>
  <c r="AE98" i="347"/>
  <c r="AE86" i="347"/>
  <c r="AE74" i="347"/>
  <c r="AE62" i="347"/>
  <c r="AE50" i="347"/>
  <c r="AE38" i="347"/>
  <c r="AE26" i="347"/>
  <c r="AE14" i="347"/>
  <c r="AE61" i="347"/>
  <c r="AE49" i="347"/>
  <c r="AE37" i="347"/>
  <c r="AE25" i="347"/>
  <c r="AE13" i="347"/>
  <c r="Y3" i="346"/>
  <c r="Y14" i="346"/>
  <c r="Y13" i="346"/>
  <c r="Y12" i="346"/>
  <c r="Y11" i="346"/>
  <c r="Y10" i="346"/>
  <c r="Y9" i="346"/>
  <c r="Y8" i="346"/>
  <c r="Y7" i="346"/>
  <c r="Y18" i="346"/>
  <c r="Y6" i="346"/>
  <c r="Y17" i="346"/>
  <c r="Y5" i="346"/>
  <c r="Y16" i="346"/>
  <c r="Y4" i="346"/>
  <c r="Y15" i="346"/>
  <c r="C12" i="135" l="1"/>
  <c r="C2" i="135" s="1"/>
  <c r="C6" i="135"/>
  <c r="D12" i="128"/>
  <c r="C1" i="135" l="1"/>
  <c r="C3" i="135" s="1"/>
  <c r="D8" i="128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8EA583EA-D60A-4356-8484-7D03DA2982D0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621DB87B-A174-4FA1-8290-E6C294CA39C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2925FBBD-2604-459F-9304-3F5C27617D7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EABF33B9-A82C-4EB3-B420-952E3405D94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E6BB6D99-B66F-4DC9-882D-726E7BDD6494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F19CD9EA-0561-4931-B8B0-3459D466BB80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CB6A644B-48A7-4EF7-8AE5-6E28AE5A955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475C5F54-F79F-4BCA-BB72-8BB5D37D934A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F4C83810-2844-407E-BDE4-2BAA374BA88D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F8392421-8E36-400B-BE39-08FA31D1933A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E67B97D0-9168-4035-B87F-98A6B42C350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E1471F92-0B63-460B-851B-697CB7D94EA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A97E3C22-5393-4C1E-AC37-8C25431734A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72619258-5125-4607-8020-2F3D406A30F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2D49C83E-7048-4376-96C6-8708D764E91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7C456533-FA44-45AF-A78E-A8343AAF32AC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640C9C62-486F-44E4-A763-57924AF3EB4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3D1C1098-9916-4146-B0E7-921ADA5B25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487C1B26-4C3C-433D-B706-E3C3D4EE450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0B610F06-EDDA-4C1A-8C15-58BEA5C73E4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51C9E2A6-16E5-4E87-938C-B5F3A8729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629D7233-02D6-4BE5-A9B0-1DB1B0615E6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19ABB8BB-2485-4CE1-9302-46B73971ED88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<sst xmlns="http://schemas.openxmlformats.org/spreadsheetml/2006/main" count="3375" uniqueCount="286">
  <si>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</si>
  <si>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</si>
  <si>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</si>
  <si>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</si>
  <si>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</si>
  <si>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</si>
  <si>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</si>
  <si>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</si>
  <si>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</si>
  <si>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</si>
  <si>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</si>
  <si>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</si>
  <si>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</si>
  <si>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</si>
  <si>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</si>
  <si>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</si>
  <si>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</si>
  <si>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</si>
  <si>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</si>
  <si>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</si>
  <si>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</si>
  <si>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</si>
  <si>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</si>
  <si>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</si>
  <si>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</si>
  <si>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</si>
  <si>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</si>
  <si>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</si>
  <si>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</si>
  <si>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</si>
  <si>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</si>
  <si>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</si>
  <si>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</si>
  <si>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</si>
  <si>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</si>
  <si>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</si>
  <si>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</si>
  <si>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</si>
  <si>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</si>
  <si>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</si>
  <si>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</si>
  <si>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</si>
  <si>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</si>
  <si>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</si>
  <si>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</si>
  <si>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</si>
  <si>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</si>
  <si>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</si>
  <si>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</si>
  <si>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</si>
  <si>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</si>
  <si>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</si>
  <si>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</si>
  <si>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</si>
  <si>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</si>
  <si>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</si>
  <si>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</si>
  <si>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</si>
  <si>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</si>
  <si>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</si>
  <si>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</si>
  <si>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</si>
  <si>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</si>
  <si>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</si>
  <si>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</si>
  <si>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</si>
  <si>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</si>
  <si>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</si>
  <si>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</si>
  <si>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</si>
  <si>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</si>
  <si>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</si>
  <si>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</si>
  <si>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</si>
  <si>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</si>
  <si>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</si>
  <si>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</si>
  <si>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</si>
  <si>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</si>
  <si>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</si>
  <si>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</si>
  <si>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</si>
  <si>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</si>
  <si>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</si>
  <si>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</si>
  <si>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</si>
  <si>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</si>
  <si>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</si>
  <si>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</si>
  <si>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</si>
  <si>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</si>
  <si>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</si>
  <si>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</si>
  <si>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</si>
  <si>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</si>
  <si>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</si>
  <si>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</si>
  <si>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</si>
  <si>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</si>
  <si>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</si>
  <si>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</si>
  <si>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</si>
  <si>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</si>
  <si>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</si>
  <si>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</si>
  <si>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</si>
  <si>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</si>
  <si>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</si>
  <si>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</si>
  <si>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</si>
  <si>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</si>
  <si>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</si>
  <si>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</si>
  <si>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</si>
  <si>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</si>
  <si>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</si>
  <si>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</si>
  <si>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</si>
  <si>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</si>
  <si>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</si>
  <si>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</si>
  <si>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</si>
  <si>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</si>
  <si>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</si>
  <si>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</si>
  <si>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</si>
  <si>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</si>
  <si>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</si>
  <si>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</si>
  <si>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</si>
  <si>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</si>
  <si>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</si>
  <si>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</si>
  <si>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</si>
  <si>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</si>
  <si>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</si>
  <si>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</si>
  <si>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</si>
  <si>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</si>
  <si>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</si>
  <si>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</si>
  <si>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</si>
  <si>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</si>
  <si>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</si>
  <si>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</si>
  <si>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</si>
  <si>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</si>
  <si>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</si>
  <si>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</si>
  <si>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</si>
  <si>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</si>
  <si>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</si>
  <si>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</si>
  <si>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</si>
  <si>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</si>
  <si>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</si>
  <si>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</si>
  <si>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</si>
  <si>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</si>
  <si>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</si>
  <si>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</si>
  <si>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</si>
  <si>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</si>
  <si>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</si>
  <si>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</si>
  <si>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</si>
  <si>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</si>
  <si>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</si>
  <si>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</si>
  <si>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</si>
  <si>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VALIDASI 1</t>
  </si>
  <si>
    <t>T/F</t>
  </si>
  <si>
    <t>DATA YG WAJIB DICARI 2</t>
  </si>
  <si>
    <t>48211090</t>
  </si>
  <si>
    <t>WAREHOUSE STICKER</t>
  </si>
  <si>
    <t>TAPE</t>
  </si>
  <si>
    <t>HANGTAG EC-HG</t>
  </si>
  <si>
    <t>PRICE TAG</t>
  </si>
  <si>
    <t>ASSORT STICKER</t>
  </si>
  <si>
    <t>CARE LABEL NISHIMATSUYA</t>
  </si>
  <si>
    <t>CARTON BOX</t>
  </si>
  <si>
    <t>HANGER</t>
  </si>
  <si>
    <t>2024-06-19</t>
  </si>
  <si>
    <t>2024-07-25</t>
  </si>
  <si>
    <t>54011090</t>
  </si>
  <si>
    <t>236651</t>
  </si>
  <si>
    <t>58071000</t>
  </si>
  <si>
    <t>48192000</t>
  </si>
  <si>
    <t>39249090</t>
  </si>
  <si>
    <t>272291</t>
  </si>
  <si>
    <t>238382</t>
  </si>
  <si>
    <t>238380</t>
  </si>
  <si>
    <t>236645/236646/236647/236648/236649/236650</t>
  </si>
  <si>
    <t>225343/225342</t>
  </si>
  <si>
    <t>243240/245735/245736</t>
  </si>
  <si>
    <t>236740/236741/236742</t>
  </si>
  <si>
    <t>2024-05-07</t>
  </si>
  <si>
    <t>2024-05-14</t>
  </si>
  <si>
    <t>2024-05-27</t>
  </si>
  <si>
    <t>96062100</t>
  </si>
  <si>
    <t>289053/297653</t>
  </si>
  <si>
    <t>THREAD,SAMJIN@2500MT</t>
  </si>
  <si>
    <t>POLYBAG GRADE B, PE 0.035</t>
  </si>
  <si>
    <t>236645/236647/236648/236649/236646/236650</t>
  </si>
  <si>
    <t>ELASTIC, ART. 6700/06-25</t>
  </si>
  <si>
    <t>243240/245735/245736/245741/245742/245743/245745/252527/245744</t>
  </si>
  <si>
    <t>236740/236741/236742/236743/236744/236745/236747/236748/236746</t>
  </si>
  <si>
    <t>SHINY BUTTON, 2 HOLES</t>
  </si>
  <si>
    <t>239200/239201/239206/252520</t>
  </si>
  <si>
    <t>1MM ELASTIC THREAD</t>
  </si>
  <si>
    <t>TAGPIN CHINA 3 INCH</t>
  </si>
  <si>
    <t>238380/238381/238382</t>
  </si>
  <si>
    <t>BLOUSE SAMPLE</t>
  </si>
  <si>
    <t>2024-04-29</t>
  </si>
  <si>
    <t>2024-05-08</t>
  </si>
  <si>
    <t>2024-05-21</t>
  </si>
  <si>
    <t>2024-05-24</t>
  </si>
  <si>
    <t>2024-05-29</t>
  </si>
  <si>
    <t>2024-05-30</t>
  </si>
  <si>
    <t>2024-06-05</t>
  </si>
  <si>
    <t>2024-06-11</t>
  </si>
  <si>
    <t>2024-07-05</t>
  </si>
  <si>
    <t>39232990</t>
  </si>
  <si>
    <t>296279</t>
  </si>
  <si>
    <t>225343</t>
  </si>
  <si>
    <t>58062090</t>
  </si>
  <si>
    <t>264759</t>
  </si>
  <si>
    <t>49089000</t>
  </si>
  <si>
    <t>296527</t>
  </si>
  <si>
    <t>280409</t>
  </si>
  <si>
    <t>271792</t>
  </si>
  <si>
    <t>39262090</t>
  </si>
  <si>
    <t>294378</t>
  </si>
  <si>
    <t>60062200</t>
  </si>
  <si>
    <t>268593</t>
  </si>
  <si>
    <t>605859</t>
  </si>
  <si>
    <t>289053</t>
  </si>
  <si>
    <t>609412</t>
  </si>
  <si>
    <t>607598</t>
  </si>
  <si>
    <t>296767</t>
  </si>
  <si>
    <t>606604</t>
  </si>
  <si>
    <t>607002</t>
  </si>
  <si>
    <t>608340</t>
  </si>
  <si>
    <t>608808</t>
  </si>
  <si>
    <t>607949</t>
  </si>
  <si>
    <t>606523</t>
  </si>
  <si>
    <t>238381</t>
  </si>
  <si>
    <t>608192</t>
  </si>
  <si>
    <t>610020</t>
  </si>
  <si>
    <t>607852</t>
  </si>
  <si>
    <t>613526</t>
  </si>
  <si>
    <t>611704</t>
  </si>
  <si>
    <t>00026131560820240429000732</t>
  </si>
  <si>
    <t>00026131560820240611001235</t>
  </si>
  <si>
    <t>00026131560820240521001009</t>
  </si>
  <si>
    <t>00026131560820240508000903</t>
  </si>
  <si>
    <t>00026131560820240514000963</t>
  </si>
  <si>
    <t>00026131560820240530001105</t>
  </si>
  <si>
    <t>00026131560820240605001160</t>
  </si>
  <si>
    <t>236649/236646/236650/236647</t>
  </si>
  <si>
    <t>236647/236646/236650/236648/236649/236645</t>
  </si>
  <si>
    <t>00026131560820240527001064</t>
  </si>
  <si>
    <t>245735/245736/245741/245742/245743/245744</t>
  </si>
  <si>
    <t>245745/252527/245741/245742/245743/243240/245735/245736</t>
  </si>
  <si>
    <t>245741/245742/245743</t>
  </si>
  <si>
    <t>245736/245735/245744/245743/245742/245741</t>
  </si>
  <si>
    <t>236741/236742/236743/236744/236745/236746</t>
  </si>
  <si>
    <t>236747/236748/236743/236744/236745/236740/236741/236742</t>
  </si>
  <si>
    <t>236743/236744/236745</t>
  </si>
  <si>
    <t>236746/236745/236744/236743</t>
  </si>
  <si>
    <t>58079010</t>
  </si>
  <si>
    <t>239199/239200/239201/239202/239203/239204/239206/252520/239205</t>
  </si>
  <si>
    <t>239206/252520</t>
  </si>
  <si>
    <t>239201/239200</t>
  </si>
  <si>
    <t>279923/283799/288607/279972/280409/288778/288783/287460/288779</t>
  </si>
  <si>
    <t>00026131560820240507000895</t>
  </si>
  <si>
    <t>00026131560820240529001091</t>
  </si>
  <si>
    <t>238381/238380</t>
  </si>
  <si>
    <t>00026131560820240619001320</t>
  </si>
  <si>
    <t>243248/255308</t>
  </si>
  <si>
    <t>255308/243248</t>
  </si>
  <si>
    <t>00026131560820240524001055</t>
  </si>
  <si>
    <t>00026131560820240725001743</t>
  </si>
  <si>
    <t>00026131560820240705001528</t>
  </si>
  <si>
    <t>\\10.8.0.35\Bersama\path file\MACRO_RPA - Pembuatan Dokumen di CEISA 4.0\MACRO - Item Draft Barang - CEISA 4.0\backup macro lama\2024-08-27\New folder\00026231560820240826001244.xlsx</t>
  </si>
  <si>
    <t>\\10.8.0.35\Bersama\path file\MACRO_RPA - Pembuatan Dokumen di CEISA 4.0\MACRO - Item Draft Barang - CEISA 4.0\backup macro lama\2024-08-27\New folder\BC 262 24001042-1201- (45).xlsx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</si>
</sst>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/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6" t="s">
        <v>166</v>
      </c>
      <c r="I8" s="86"/>
      <c r="J8" s="86"/>
      <c r="K8" s="86"/>
      <c r="L8" s="86"/>
      <c r="M8" s="86"/>
    </row>
    <row r="9" spans="1:14" s="41" customFormat="1" ht="76.5" customHeight="1" x14ac:dyDescent="0.25">
      <c r="H9" s="86"/>
      <c r="I9" s="86"/>
      <c r="J9" s="86"/>
      <c r="K9" s="86"/>
      <c r="L9" s="86"/>
      <c r="M9" s="86"/>
    </row>
    <row r="10" spans="1:14" s="41" customFormat="1" x14ac:dyDescent="0.25">
      <c r="H10" s="86"/>
      <c r="I10" s="86"/>
      <c r="J10" s="86"/>
      <c r="K10" s="86"/>
      <c r="L10" s="86"/>
      <c r="M10" s="86"/>
    </row>
    <row r="11" spans="1:14" s="41" customFormat="1" x14ac:dyDescent="0.25">
      <c r="H11" s="86"/>
      <c r="I11" s="86"/>
      <c r="J11" s="86"/>
      <c r="K11" s="86"/>
      <c r="L11" s="86"/>
      <c r="M11" s="86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C7" sqref="C7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7" sqref="C7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284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2" t="s">
        <v>285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0</v>
      </c>
      <c r="B8" s="2"/>
      <c r="C8" s="8"/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9" t="s">
        <v>35</v>
      </c>
      <c r="B4" s="90"/>
      <c r="C4" s="90"/>
      <c r="D4" s="90"/>
      <c r="E4" s="90"/>
      <c r="F4" s="90"/>
      <c r="G4" s="90"/>
      <c r="H4" s="91"/>
      <c r="I4" s="89" t="s">
        <v>91</v>
      </c>
      <c r="J4" s="90"/>
      <c r="K4" s="90"/>
      <c r="L4" s="90"/>
      <c r="M4" s="91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9" t="s">
        <v>35</v>
      </c>
      <c r="B8" s="90"/>
      <c r="C8" s="90"/>
      <c r="D8" s="90"/>
      <c r="E8" s="90"/>
      <c r="F8" s="90"/>
      <c r="G8" s="90"/>
      <c r="H8" s="91"/>
      <c r="I8" s="89" t="s">
        <v>91</v>
      </c>
      <c r="J8" s="90"/>
      <c r="K8" s="90"/>
      <c r="L8" s="90"/>
      <c r="M8" s="91"/>
      <c r="N8" s="89" t="s">
        <v>92</v>
      </c>
      <c r="O8" s="91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9" t="s">
        <v>35</v>
      </c>
      <c r="B12" s="90"/>
      <c r="C12" s="90"/>
      <c r="D12" s="90"/>
      <c r="E12" s="90"/>
      <c r="F12" s="90"/>
      <c r="G12" s="90"/>
      <c r="H12" s="91"/>
      <c r="I12" s="89" t="s">
        <v>91</v>
      </c>
      <c r="J12" s="90"/>
      <c r="K12" s="90"/>
      <c r="L12" s="90"/>
      <c r="M12" s="91"/>
      <c r="N12" s="89" t="s">
        <v>92</v>
      </c>
      <c r="O12" s="90"/>
      <c r="P12" s="91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9" t="s">
        <v>100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91</v>
      </c>
      <c r="Q4" s="90"/>
      <c r="R4" s="90"/>
      <c r="S4" s="91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tabSelected="1"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E11" sqref="E11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7" t="s">
        <v>73</v>
      </c>
      <c r="B1" s="97"/>
      <c r="C1" s="26">
        <f>COUNTIF(C6:C16,TRUE)</f>
        <v>2</v>
      </c>
      <c r="D1" s="21"/>
      <c r="E1" s="22"/>
      <c r="F1" s="35"/>
    </row>
    <row r="2" spans="1:7" ht="15" customHeight="1" x14ac:dyDescent="0.25">
      <c r="A2" s="97" t="s">
        <v>74</v>
      </c>
      <c r="B2" s="97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8" t="s">
        <v>72</v>
      </c>
      <c r="B3" s="98"/>
      <c r="C3" s="24" t="b">
        <f>IF(C1=2,TRUE,FALSE)</f>
        <v>1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6" t="s">
        <v>124</v>
      </c>
      <c r="B6" s="96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COUNTA(BARANG!$A$3:$A$1048576)</f>
        <v>16</v>
      </c>
      <c r="E7" s="17"/>
      <c r="F7" s="16"/>
    </row>
    <row r="8" spans="1:7" x14ac:dyDescent="0.25">
      <c r="A8" s="14">
        <v>2</v>
      </c>
      <c r="B8" s="5" t="s">
        <v>127</v>
      </c>
      <c r="D8" s="67">
        <f>SUM(BARANG!$J$3:$J$1048576)</f>
        <v>3992.1</v>
      </c>
      <c r="E8" s="17"/>
      <c r="F8" s="16"/>
    </row>
    <row r="9" spans="1:7" x14ac:dyDescent="0.25">
      <c r="A9" s="14">
        <v>3</v>
      </c>
      <c r="B9" s="5" t="s">
        <v>128</v>
      </c>
      <c r="D9" s="67">
        <f>SUM(BARANG!$L$3:$L$1048576)</f>
        <v>7</v>
      </c>
      <c r="E9" s="17"/>
      <c r="F9" s="16"/>
    </row>
    <row r="10" spans="1:7" x14ac:dyDescent="0.25">
      <c r="A10" s="14">
        <v>4</v>
      </c>
      <c r="B10" s="5" t="s">
        <v>130</v>
      </c>
      <c r="D10" s="67">
        <f>SUM(BARANG!$M$3:$M$1048576)</f>
        <v>88459.520000000004</v>
      </c>
      <c r="E10" s="17"/>
      <c r="F10" s="16"/>
    </row>
    <row r="11" spans="1:7" x14ac:dyDescent="0.25">
      <c r="A11" s="14">
        <v>5</v>
      </c>
      <c r="B11" s="5" t="s">
        <v>129</v>
      </c>
      <c r="D11" s="67">
        <f>SUM(BARANG!$N$3:$N$1048576)</f>
        <v>3341.44</v>
      </c>
      <c r="E11" s="17"/>
      <c r="F11" s="16"/>
    </row>
    <row r="12" spans="1:7" x14ac:dyDescent="0.25">
      <c r="A12" s="96" t="s">
        <v>125</v>
      </c>
      <c r="B12" s="96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COUNTA(BAHANBAKU!$B$3:$B$1048576)</f>
        <v>239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>
        <f>SUM(BAHANBAKU!$Q$3:$Q$1048576)</f>
        <v>766199.95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B2D5-A1EB-4DEF-8FE3-C7849B9807D2}">
  <sheetPr codeName="Sheet5"/>
  <dimension ref="A1:Y1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63.7109375" style="11" bestFit="1" customWidth="1"/>
    <col min="4" max="4" width="25.8554687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4" width="8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9" t="s">
        <v>35</v>
      </c>
      <c r="B1" s="90"/>
      <c r="C1" s="90"/>
      <c r="D1" s="90"/>
      <c r="E1" s="90"/>
      <c r="F1" s="90"/>
      <c r="G1" s="90"/>
      <c r="H1" s="91"/>
      <c r="I1" s="89" t="s">
        <v>91</v>
      </c>
      <c r="J1" s="90"/>
      <c r="K1" s="90"/>
      <c r="L1" s="90"/>
      <c r="M1" s="91"/>
      <c r="N1" s="58" t="s">
        <v>92</v>
      </c>
      <c r="O1" s="94" t="s">
        <v>170</v>
      </c>
      <c r="P1" s="95"/>
      <c r="Q1" s="95"/>
      <c r="R1" s="95"/>
      <c r="S1" s="95"/>
      <c r="T1" s="95"/>
      <c r="U1" s="95"/>
      <c r="V1" s="95"/>
      <c r="W1" s="95"/>
      <c r="X1" s="95"/>
      <c r="Y1" s="95"/>
    </row>
    <row r="2" spans="1:25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85" t="s">
        <v>62</v>
      </c>
      <c r="P2" s="85" t="s">
        <v>63</v>
      </c>
      <c r="Q2" s="85" t="s">
        <v>58</v>
      </c>
      <c r="R2" s="85" t="s">
        <v>64</v>
      </c>
      <c r="S2" s="85" t="s">
        <v>65</v>
      </c>
      <c r="T2" s="85" t="s">
        <v>66</v>
      </c>
      <c r="U2" s="85" t="s">
        <v>67</v>
      </c>
      <c r="V2" s="85" t="s">
        <v>68</v>
      </c>
      <c r="W2" s="85" t="s">
        <v>69</v>
      </c>
      <c r="X2" s="85" t="s">
        <v>13</v>
      </c>
      <c r="Y2" s="85" t="s">
        <v>171</v>
      </c>
    </row>
    <row r="3" spans="1:25" x14ac:dyDescent="0.25">
      <c r="A3">
        <v>1</v>
      </c>
      <c r="B3" s="11" t="s">
        <v>167</v>
      </c>
      <c r="C3" s="11" t="s">
        <v>200</v>
      </c>
      <c r="D3" t="s">
        <v>201</v>
      </c>
      <c r="E3" t="s">
        <v>38</v>
      </c>
      <c r="F3" t="s">
        <v>38</v>
      </c>
      <c r="G3" t="s">
        <v>38</v>
      </c>
      <c r="H3" t="s">
        <v>38</v>
      </c>
      <c r="I3" t="s">
        <v>10</v>
      </c>
      <c r="J3">
        <v>152</v>
      </c>
      <c r="K3" t="s">
        <v>31</v>
      </c>
      <c r="L3">
        <v>7</v>
      </c>
      <c r="M3">
        <v>5528.72</v>
      </c>
      <c r="N3">
        <v>127.22</v>
      </c>
      <c r="O3" t="str">
        <f t="shared" ref="O3:O18" si="0">IF(OR(A3="",A3&lt;1),FALSE,IF(ISNUMBER(A3), IF(INT(A3) = A3, "-", FALSE), FALSE))</f>
        <v>-</v>
      </c>
      <c r="P3" t="str">
        <f t="shared" ref="P3:P18" si="1">IF(B3="",FALSE,"-")</f>
        <v>-</v>
      </c>
      <c r="Q3" t="str">
        <f t="shared" ref="Q3:Q18" si="2">IF(C3="",FALSE,"-")</f>
        <v>-</v>
      </c>
      <c r="R3" t="str">
        <f t="shared" ref="R3:R18" si="3">IF(D3="",FALSE,"-")</f>
        <v>-</v>
      </c>
      <c r="S3" t="str">
        <f>IF(_xlfn.IFNA(VLOOKUP(I3,Set_Ref!$B$6:$B$1048576,1,FALSE),"")&lt;&gt;"","-",FALSE)</f>
        <v>-</v>
      </c>
      <c r="T3" t="str">
        <f t="shared" ref="T3:T18" si="4">IF(OR(J3="",J3&lt;=0),FALSE,IF(ISNUMBER(J3),"-",FALSE))</f>
        <v>-</v>
      </c>
      <c r="U3" t="str">
        <f t="shared" ref="U3:U18" si="5">IF(ISTEXT(K3),  "-",FALSE)</f>
        <v>-</v>
      </c>
      <c r="V3" t="str">
        <f t="shared" ref="V3:V18" si="6">IF(OR(L3="",L3&lt;0),FALSE,IF(ISNUMBER(L3),"-",FALSE))</f>
        <v>-</v>
      </c>
      <c r="W3" t="str">
        <f t="shared" ref="W3:W18" si="7">IF(OR(M3="",M3&lt;0),FALSE,IF(ISNUMBER(M3),"-",FALSE))</f>
        <v>-</v>
      </c>
      <c r="X3" t="str">
        <f t="shared" ref="X3:X18" si="8">IF(OR(N3="",N3&lt;0),FALSE,IF(ISNUMBER(N3),"-",FALSE))</f>
        <v>-</v>
      </c>
      <c r="Y3" t="b">
        <f t="shared" ref="Y3:Y18" si="9">IF(COUNTIF($O$3:$X$3, "FALSE") &gt; 0, FALSE, TRUE)</f>
        <v>1</v>
      </c>
    </row>
    <row r="4" spans="1:25" x14ac:dyDescent="0.25">
      <c r="A4">
        <v>2</v>
      </c>
      <c r="B4" s="11" t="s">
        <v>222</v>
      </c>
      <c r="C4" s="11" t="s">
        <v>223</v>
      </c>
      <c r="D4" t="s">
        <v>202</v>
      </c>
      <c r="E4" t="s">
        <v>38</v>
      </c>
      <c r="F4" t="s">
        <v>38</v>
      </c>
      <c r="G4" t="s">
        <v>38</v>
      </c>
      <c r="H4" t="s">
        <v>38</v>
      </c>
      <c r="I4" t="s">
        <v>8</v>
      </c>
      <c r="J4">
        <v>1</v>
      </c>
      <c r="K4" t="s">
        <v>31</v>
      </c>
      <c r="L4">
        <v>0</v>
      </c>
      <c r="M4">
        <v>5528.72</v>
      </c>
      <c r="N4">
        <v>0.84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str">
        <f t="shared" si="6"/>
        <v>-</v>
      </c>
      <c r="W4" t="str">
        <f t="shared" si="7"/>
        <v>-</v>
      </c>
      <c r="X4" t="str">
        <f t="shared" si="8"/>
        <v>-</v>
      </c>
      <c r="Y4" t="b">
        <f t="shared" si="9"/>
        <v>1</v>
      </c>
    </row>
    <row r="5" spans="1:25" x14ac:dyDescent="0.25">
      <c r="A5">
        <v>3</v>
      </c>
      <c r="B5" s="11" t="s">
        <v>173</v>
      </c>
      <c r="C5" s="11" t="s">
        <v>203</v>
      </c>
      <c r="D5" t="s">
        <v>174</v>
      </c>
      <c r="E5" t="s">
        <v>38</v>
      </c>
      <c r="F5" t="s">
        <v>38</v>
      </c>
      <c r="G5" t="s">
        <v>38</v>
      </c>
      <c r="H5" t="s">
        <v>38</v>
      </c>
      <c r="I5" t="s">
        <v>8</v>
      </c>
      <c r="J5">
        <v>150</v>
      </c>
      <c r="K5" t="s">
        <v>31</v>
      </c>
      <c r="L5">
        <v>0</v>
      </c>
      <c r="M5">
        <v>5528.72</v>
      </c>
      <c r="N5">
        <v>125.55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4"/>
        <v>-</v>
      </c>
      <c r="U5" t="str">
        <f t="shared" si="5"/>
        <v>-</v>
      </c>
      <c r="V5" t="str">
        <f t="shared" si="6"/>
        <v>-</v>
      </c>
      <c r="W5" t="str">
        <f t="shared" si="7"/>
        <v>-</v>
      </c>
      <c r="X5" t="str">
        <f t="shared" si="8"/>
        <v>-</v>
      </c>
      <c r="Y5" t="b">
        <f t="shared" si="9"/>
        <v>1</v>
      </c>
    </row>
    <row r="6" spans="1:25" x14ac:dyDescent="0.25">
      <c r="A6">
        <v>4</v>
      </c>
      <c r="B6" s="11" t="s">
        <v>184</v>
      </c>
      <c r="C6" s="11" t="s">
        <v>224</v>
      </c>
      <c r="D6" t="s">
        <v>175</v>
      </c>
      <c r="E6" t="s">
        <v>38</v>
      </c>
      <c r="F6" t="s">
        <v>38</v>
      </c>
      <c r="G6" t="s">
        <v>38</v>
      </c>
      <c r="H6" t="s">
        <v>38</v>
      </c>
      <c r="I6" t="s">
        <v>31</v>
      </c>
      <c r="J6">
        <v>1</v>
      </c>
      <c r="K6" t="s">
        <v>31</v>
      </c>
      <c r="L6">
        <v>0</v>
      </c>
      <c r="M6">
        <v>5528.72</v>
      </c>
      <c r="N6">
        <v>0.84</v>
      </c>
      <c r="O6" t="str">
        <f t="shared" si="0"/>
        <v>-</v>
      </c>
      <c r="P6" t="str">
        <f t="shared" si="1"/>
        <v>-</v>
      </c>
      <c r="Q6" t="str">
        <f t="shared" si="2"/>
        <v>-</v>
      </c>
      <c r="R6" t="str">
        <f t="shared" si="3"/>
        <v>-</v>
      </c>
      <c r="S6" t="str">
        <f>IF(_xlfn.IFNA(VLOOKUP(I6,Set_Ref!$B$6:$B$1048576,1,FALSE),"")&lt;&gt;"","-",FALSE)</f>
        <v>-</v>
      </c>
      <c r="T6" t="str">
        <f t="shared" si="4"/>
        <v>-</v>
      </c>
      <c r="U6" t="str">
        <f t="shared" si="5"/>
        <v>-</v>
      </c>
      <c r="V6" t="str">
        <f t="shared" si="6"/>
        <v>-</v>
      </c>
      <c r="W6" t="str">
        <f t="shared" si="7"/>
        <v>-</v>
      </c>
      <c r="X6" t="str">
        <f t="shared" si="8"/>
        <v>-</v>
      </c>
      <c r="Y6" t="b">
        <f t="shared" si="9"/>
        <v>1</v>
      </c>
    </row>
    <row r="7" spans="1:25" x14ac:dyDescent="0.25">
      <c r="A7">
        <v>5</v>
      </c>
      <c r="B7" s="11" t="s">
        <v>225</v>
      </c>
      <c r="C7" s="11" t="s">
        <v>226</v>
      </c>
      <c r="D7" t="s">
        <v>204</v>
      </c>
      <c r="E7" t="s">
        <v>38</v>
      </c>
      <c r="F7" t="s">
        <v>38</v>
      </c>
      <c r="G7" t="s">
        <v>38</v>
      </c>
      <c r="H7" t="s">
        <v>38</v>
      </c>
      <c r="I7" t="s">
        <v>7</v>
      </c>
      <c r="J7">
        <v>150</v>
      </c>
      <c r="K7" t="s">
        <v>31</v>
      </c>
      <c r="L7">
        <v>0</v>
      </c>
      <c r="M7">
        <v>5528.72</v>
      </c>
      <c r="N7">
        <v>125.55</v>
      </c>
      <c r="O7" t="str">
        <f t="shared" si="0"/>
        <v>-</v>
      </c>
      <c r="P7" t="str">
        <f t="shared" si="1"/>
        <v>-</v>
      </c>
      <c r="Q7" t="str">
        <f t="shared" si="2"/>
        <v>-</v>
      </c>
      <c r="R7" t="str">
        <f t="shared" si="3"/>
        <v>-</v>
      </c>
      <c r="S7" t="str">
        <f>IF(_xlfn.IFNA(VLOOKUP(I7,Set_Ref!$B$6:$B$1048576,1,FALSE),"")&lt;&gt;"","-",FALSE)</f>
        <v>-</v>
      </c>
      <c r="T7" t="str">
        <f t="shared" si="4"/>
        <v>-</v>
      </c>
      <c r="U7" t="str">
        <f t="shared" si="5"/>
        <v>-</v>
      </c>
      <c r="V7" t="str">
        <f t="shared" si="6"/>
        <v>-</v>
      </c>
      <c r="W7" t="str">
        <f t="shared" si="7"/>
        <v>-</v>
      </c>
      <c r="X7" t="str">
        <f t="shared" si="8"/>
        <v>-</v>
      </c>
      <c r="Y7" t="b">
        <f t="shared" si="9"/>
        <v>1</v>
      </c>
    </row>
    <row r="8" spans="1:25" x14ac:dyDescent="0.25">
      <c r="A8">
        <v>6</v>
      </c>
      <c r="B8" s="11" t="s">
        <v>173</v>
      </c>
      <c r="C8" s="11" t="s">
        <v>205</v>
      </c>
      <c r="D8" t="s">
        <v>176</v>
      </c>
      <c r="E8" t="s">
        <v>38</v>
      </c>
      <c r="F8" t="s">
        <v>38</v>
      </c>
      <c r="G8" t="s">
        <v>38</v>
      </c>
      <c r="H8" t="s">
        <v>38</v>
      </c>
      <c r="I8" t="s">
        <v>8</v>
      </c>
      <c r="J8">
        <v>182</v>
      </c>
      <c r="K8" t="s">
        <v>31</v>
      </c>
      <c r="L8">
        <v>0</v>
      </c>
      <c r="M8">
        <v>5528.72</v>
      </c>
      <c r="N8">
        <v>152.33000000000001</v>
      </c>
      <c r="O8" t="str">
        <f t="shared" si="0"/>
        <v>-</v>
      </c>
      <c r="P8" t="str">
        <f t="shared" si="1"/>
        <v>-</v>
      </c>
      <c r="Q8" t="str">
        <f t="shared" si="2"/>
        <v>-</v>
      </c>
      <c r="R8" t="str">
        <f t="shared" si="3"/>
        <v>-</v>
      </c>
      <c r="S8" t="str">
        <f>IF(_xlfn.IFNA(VLOOKUP(I8,Set_Ref!$B$6:$B$1048576,1,FALSE),"")&lt;&gt;"","-",FALSE)</f>
        <v>-</v>
      </c>
      <c r="T8" t="str">
        <f t="shared" si="4"/>
        <v>-</v>
      </c>
      <c r="U8" t="str">
        <f t="shared" si="5"/>
        <v>-</v>
      </c>
      <c r="V8" t="str">
        <f t="shared" si="6"/>
        <v>-</v>
      </c>
      <c r="W8" t="str">
        <f t="shared" si="7"/>
        <v>-</v>
      </c>
      <c r="X8" t="str">
        <f t="shared" si="8"/>
        <v>-</v>
      </c>
      <c r="Y8" t="b">
        <f t="shared" si="9"/>
        <v>1</v>
      </c>
    </row>
    <row r="9" spans="1:25" x14ac:dyDescent="0.25">
      <c r="A9">
        <v>7</v>
      </c>
      <c r="B9" s="11" t="s">
        <v>173</v>
      </c>
      <c r="C9" s="11" t="s">
        <v>206</v>
      </c>
      <c r="D9" t="s">
        <v>177</v>
      </c>
      <c r="E9" t="s">
        <v>38</v>
      </c>
      <c r="F9" t="s">
        <v>38</v>
      </c>
      <c r="G9" t="s">
        <v>38</v>
      </c>
      <c r="H9" t="s">
        <v>38</v>
      </c>
      <c r="I9" t="s">
        <v>8</v>
      </c>
      <c r="J9">
        <v>546</v>
      </c>
      <c r="K9" t="s">
        <v>31</v>
      </c>
      <c r="L9">
        <v>0</v>
      </c>
      <c r="M9">
        <v>5528.72</v>
      </c>
      <c r="N9">
        <v>457</v>
      </c>
      <c r="O9" t="str">
        <f t="shared" si="0"/>
        <v>-</v>
      </c>
      <c r="P9" t="str">
        <f t="shared" si="1"/>
        <v>-</v>
      </c>
      <c r="Q9" t="str">
        <f t="shared" si="2"/>
        <v>-</v>
      </c>
      <c r="R9" t="str">
        <f t="shared" si="3"/>
        <v>-</v>
      </c>
      <c r="S9" t="str">
        <f>IF(_xlfn.IFNA(VLOOKUP(I9,Set_Ref!$B$6:$B$1048576,1,FALSE),"")&lt;&gt;"","-",FALSE)</f>
        <v>-</v>
      </c>
      <c r="T9" t="str">
        <f t="shared" si="4"/>
        <v>-</v>
      </c>
      <c r="U9" t="str">
        <f t="shared" si="5"/>
        <v>-</v>
      </c>
      <c r="V9" t="str">
        <f t="shared" si="6"/>
        <v>-</v>
      </c>
      <c r="W9" t="str">
        <f t="shared" si="7"/>
        <v>-</v>
      </c>
      <c r="X9" t="str">
        <f t="shared" si="8"/>
        <v>-</v>
      </c>
      <c r="Y9" t="b">
        <f t="shared" si="9"/>
        <v>1</v>
      </c>
    </row>
    <row r="10" spans="1:25" x14ac:dyDescent="0.25">
      <c r="A10">
        <v>8</v>
      </c>
      <c r="B10" s="11" t="s">
        <v>227</v>
      </c>
      <c r="C10" s="11" t="s">
        <v>185</v>
      </c>
      <c r="D10" t="s">
        <v>178</v>
      </c>
      <c r="E10" t="s">
        <v>38</v>
      </c>
      <c r="F10" t="s">
        <v>38</v>
      </c>
      <c r="G10" t="s">
        <v>38</v>
      </c>
      <c r="H10" t="s">
        <v>38</v>
      </c>
      <c r="I10" t="s">
        <v>8</v>
      </c>
      <c r="J10">
        <v>1</v>
      </c>
      <c r="K10" t="s">
        <v>31</v>
      </c>
      <c r="L10">
        <v>0</v>
      </c>
      <c r="M10">
        <v>5528.72</v>
      </c>
      <c r="N10">
        <v>0.84</v>
      </c>
      <c r="O10" t="str">
        <f t="shared" si="0"/>
        <v>-</v>
      </c>
      <c r="P10" t="str">
        <f t="shared" si="1"/>
        <v>-</v>
      </c>
      <c r="Q10" t="str">
        <f t="shared" si="2"/>
        <v>-</v>
      </c>
      <c r="R10" t="str">
        <f t="shared" si="3"/>
        <v>-</v>
      </c>
      <c r="S10" t="str">
        <f>IF(_xlfn.IFNA(VLOOKUP(I10,Set_Ref!$B$6:$B$1048576,1,FALSE),"")&lt;&gt;"","-",FALSE)</f>
        <v>-</v>
      </c>
      <c r="T10" t="str">
        <f t="shared" si="4"/>
        <v>-</v>
      </c>
      <c r="U10" t="str">
        <f t="shared" si="5"/>
        <v>-</v>
      </c>
      <c r="V10" t="str">
        <f t="shared" si="6"/>
        <v>-</v>
      </c>
      <c r="W10" t="str">
        <f t="shared" si="7"/>
        <v>-</v>
      </c>
      <c r="X10" t="str">
        <f t="shared" si="8"/>
        <v>-</v>
      </c>
      <c r="Y10" t="b">
        <f t="shared" si="9"/>
        <v>1</v>
      </c>
    </row>
    <row r="11" spans="1:25" x14ac:dyDescent="0.25">
      <c r="A11">
        <v>9</v>
      </c>
      <c r="B11" s="11" t="s">
        <v>199</v>
      </c>
      <c r="C11" s="11" t="s">
        <v>228</v>
      </c>
      <c r="D11" t="s">
        <v>207</v>
      </c>
      <c r="E11" t="s">
        <v>38</v>
      </c>
      <c r="F11" t="s">
        <v>38</v>
      </c>
      <c r="G11" t="s">
        <v>38</v>
      </c>
      <c r="H11" t="s">
        <v>38</v>
      </c>
      <c r="I11" t="s">
        <v>6</v>
      </c>
      <c r="J11">
        <v>1</v>
      </c>
      <c r="K11" t="s">
        <v>31</v>
      </c>
      <c r="L11">
        <v>0</v>
      </c>
      <c r="M11">
        <v>5528.72</v>
      </c>
      <c r="N11">
        <v>0.84</v>
      </c>
      <c r="O11" t="str">
        <f t="shared" si="0"/>
        <v>-</v>
      </c>
      <c r="P11" t="str">
        <f t="shared" si="1"/>
        <v>-</v>
      </c>
      <c r="Q11" t="str">
        <f t="shared" si="2"/>
        <v>-</v>
      </c>
      <c r="R11" t="str">
        <f t="shared" si="3"/>
        <v>-</v>
      </c>
      <c r="S11" t="str">
        <f>IF(_xlfn.IFNA(VLOOKUP(I11,Set_Ref!$B$6:$B$1048576,1,FALSE),"")&lt;&gt;"","-",FALSE)</f>
        <v>-</v>
      </c>
      <c r="T11" t="str">
        <f t="shared" si="4"/>
        <v>-</v>
      </c>
      <c r="U11" t="str">
        <f t="shared" si="5"/>
        <v>-</v>
      </c>
      <c r="V11" t="str">
        <f t="shared" si="6"/>
        <v>-</v>
      </c>
      <c r="W11" t="str">
        <f t="shared" si="7"/>
        <v>-</v>
      </c>
      <c r="X11" t="str">
        <f t="shared" si="8"/>
        <v>-</v>
      </c>
      <c r="Y11" t="b">
        <f t="shared" si="9"/>
        <v>1</v>
      </c>
    </row>
    <row r="12" spans="1:25" x14ac:dyDescent="0.25">
      <c r="A12">
        <v>10</v>
      </c>
      <c r="B12" s="11" t="s">
        <v>186</v>
      </c>
      <c r="C12" s="11" t="s">
        <v>208</v>
      </c>
      <c r="D12" t="s">
        <v>179</v>
      </c>
      <c r="E12" t="s">
        <v>38</v>
      </c>
      <c r="F12" t="s">
        <v>38</v>
      </c>
      <c r="G12" t="s">
        <v>38</v>
      </c>
      <c r="H12" t="s">
        <v>38</v>
      </c>
      <c r="I12" t="s">
        <v>8</v>
      </c>
      <c r="J12">
        <v>65</v>
      </c>
      <c r="K12" t="s">
        <v>31</v>
      </c>
      <c r="L12">
        <v>0</v>
      </c>
      <c r="M12">
        <v>5528.72</v>
      </c>
      <c r="N12">
        <v>54.41</v>
      </c>
      <c r="O12" t="str">
        <f t="shared" si="0"/>
        <v>-</v>
      </c>
      <c r="P12" t="str">
        <f t="shared" si="1"/>
        <v>-</v>
      </c>
      <c r="Q12" t="str">
        <f t="shared" si="2"/>
        <v>-</v>
      </c>
      <c r="R12" t="str">
        <f t="shared" si="3"/>
        <v>-</v>
      </c>
      <c r="S12" t="str">
        <f>IF(_xlfn.IFNA(VLOOKUP(I12,Set_Ref!$B$6:$B$1048576,1,FALSE),"")&lt;&gt;"","-",FALSE)</f>
        <v>-</v>
      </c>
      <c r="T12" t="str">
        <f t="shared" si="4"/>
        <v>-</v>
      </c>
      <c r="U12" t="str">
        <f t="shared" si="5"/>
        <v>-</v>
      </c>
      <c r="V12" t="str">
        <f t="shared" si="6"/>
        <v>-</v>
      </c>
      <c r="W12" t="str">
        <f t="shared" si="7"/>
        <v>-</v>
      </c>
      <c r="X12" t="str">
        <f t="shared" si="8"/>
        <v>-</v>
      </c>
      <c r="Y12" t="b">
        <f t="shared" si="9"/>
        <v>1</v>
      </c>
    </row>
    <row r="13" spans="1:25" x14ac:dyDescent="0.25">
      <c r="A13">
        <v>11</v>
      </c>
      <c r="B13" s="11" t="s">
        <v>167</v>
      </c>
      <c r="C13" s="11" t="s">
        <v>229</v>
      </c>
      <c r="D13" t="s">
        <v>165</v>
      </c>
      <c r="E13" t="s">
        <v>38</v>
      </c>
      <c r="F13" t="s">
        <v>38</v>
      </c>
      <c r="G13" t="s">
        <v>38</v>
      </c>
      <c r="H13" t="s">
        <v>38</v>
      </c>
      <c r="I13" t="s">
        <v>10</v>
      </c>
      <c r="J13">
        <v>1</v>
      </c>
      <c r="K13" t="s">
        <v>31</v>
      </c>
      <c r="L13">
        <v>0</v>
      </c>
      <c r="M13">
        <v>5528.72</v>
      </c>
      <c r="N13">
        <v>0.84</v>
      </c>
      <c r="O13" t="str">
        <f t="shared" si="0"/>
        <v>-</v>
      </c>
      <c r="P13" t="str">
        <f t="shared" si="1"/>
        <v>-</v>
      </c>
      <c r="Q13" t="str">
        <f t="shared" si="2"/>
        <v>-</v>
      </c>
      <c r="R13" t="str">
        <f t="shared" si="3"/>
        <v>-</v>
      </c>
      <c r="S13" t="str">
        <f>IF(_xlfn.IFNA(VLOOKUP(I13,Set_Ref!$B$6:$B$1048576,1,FALSE),"")&lt;&gt;"","-",FALSE)</f>
        <v>-</v>
      </c>
      <c r="T13" t="str">
        <f t="shared" si="4"/>
        <v>-</v>
      </c>
      <c r="U13" t="str">
        <f t="shared" si="5"/>
        <v>-</v>
      </c>
      <c r="V13" t="str">
        <f t="shared" si="6"/>
        <v>-</v>
      </c>
      <c r="W13" t="str">
        <f t="shared" si="7"/>
        <v>-</v>
      </c>
      <c r="X13" t="str">
        <f t="shared" si="8"/>
        <v>-</v>
      </c>
      <c r="Y13" t="b">
        <f t="shared" si="9"/>
        <v>1</v>
      </c>
    </row>
    <row r="14" spans="1:25" x14ac:dyDescent="0.25">
      <c r="A14">
        <v>12</v>
      </c>
      <c r="B14" s="11" t="s">
        <v>225</v>
      </c>
      <c r="C14" s="11" t="s">
        <v>230</v>
      </c>
      <c r="D14" t="s">
        <v>209</v>
      </c>
      <c r="E14" t="s">
        <v>38</v>
      </c>
      <c r="F14" t="s">
        <v>38</v>
      </c>
      <c r="G14" t="s">
        <v>38</v>
      </c>
      <c r="H14" t="s">
        <v>38</v>
      </c>
      <c r="I14" t="s">
        <v>19</v>
      </c>
      <c r="J14">
        <v>1</v>
      </c>
      <c r="K14" t="s">
        <v>31</v>
      </c>
      <c r="L14">
        <v>0</v>
      </c>
      <c r="M14">
        <v>5528.72</v>
      </c>
      <c r="N14">
        <v>0.84</v>
      </c>
      <c r="O14" t="str">
        <f t="shared" si="0"/>
        <v>-</v>
      </c>
      <c r="P14" t="str">
        <f t="shared" si="1"/>
        <v>-</v>
      </c>
      <c r="Q14" t="str">
        <f t="shared" si="2"/>
        <v>-</v>
      </c>
      <c r="R14" t="str">
        <f t="shared" si="3"/>
        <v>-</v>
      </c>
      <c r="S14" t="str">
        <f>IF(_xlfn.IFNA(VLOOKUP(I14,Set_Ref!$B$6:$B$1048576,1,FALSE),"")&lt;&gt;"","-",FALSE)</f>
        <v>-</v>
      </c>
      <c r="T14" t="str">
        <f t="shared" si="4"/>
        <v>-</v>
      </c>
      <c r="U14" t="str">
        <f t="shared" si="5"/>
        <v>-</v>
      </c>
      <c r="V14" t="str">
        <f t="shared" si="6"/>
        <v>-</v>
      </c>
      <c r="W14" t="str">
        <f t="shared" si="7"/>
        <v>-</v>
      </c>
      <c r="X14" t="str">
        <f t="shared" si="8"/>
        <v>-</v>
      </c>
      <c r="Y14" t="b">
        <f t="shared" si="9"/>
        <v>1</v>
      </c>
    </row>
    <row r="15" spans="1:25" x14ac:dyDescent="0.25">
      <c r="A15">
        <v>13</v>
      </c>
      <c r="B15" s="11" t="s">
        <v>231</v>
      </c>
      <c r="C15" s="11" t="s">
        <v>232</v>
      </c>
      <c r="D15" t="s">
        <v>210</v>
      </c>
      <c r="E15" t="s">
        <v>38</v>
      </c>
      <c r="F15" t="s">
        <v>38</v>
      </c>
      <c r="G15" t="s">
        <v>38</v>
      </c>
      <c r="H15" t="s">
        <v>38</v>
      </c>
      <c r="I15" t="s">
        <v>31</v>
      </c>
      <c r="J15">
        <v>0.1</v>
      </c>
      <c r="K15" t="s">
        <v>31</v>
      </c>
      <c r="L15">
        <v>0</v>
      </c>
      <c r="M15">
        <v>5528.72</v>
      </c>
      <c r="N15">
        <v>0.08</v>
      </c>
      <c r="O15" t="str">
        <f t="shared" si="0"/>
        <v>-</v>
      </c>
      <c r="P15" t="str">
        <f t="shared" si="1"/>
        <v>-</v>
      </c>
      <c r="Q15" t="str">
        <f t="shared" si="2"/>
        <v>-</v>
      </c>
      <c r="R15" t="str">
        <f t="shared" si="3"/>
        <v>-</v>
      </c>
      <c r="S15" t="str">
        <f>IF(_xlfn.IFNA(VLOOKUP(I15,Set_Ref!$B$6:$B$1048576,1,FALSE),"")&lt;&gt;"","-",FALSE)</f>
        <v>-</v>
      </c>
      <c r="T15" t="str">
        <f t="shared" si="4"/>
        <v>-</v>
      </c>
      <c r="U15" t="str">
        <f t="shared" si="5"/>
        <v>-</v>
      </c>
      <c r="V15" t="str">
        <f t="shared" si="6"/>
        <v>-</v>
      </c>
      <c r="W15" t="str">
        <f t="shared" si="7"/>
        <v>-</v>
      </c>
      <c r="X15" t="str">
        <f t="shared" si="8"/>
        <v>-</v>
      </c>
      <c r="Y15" t="b">
        <f t="shared" si="9"/>
        <v>1</v>
      </c>
    </row>
    <row r="16" spans="1:25" x14ac:dyDescent="0.25">
      <c r="A16">
        <v>14</v>
      </c>
      <c r="B16" s="11" t="s">
        <v>187</v>
      </c>
      <c r="C16" s="11" t="s">
        <v>211</v>
      </c>
      <c r="D16" t="s">
        <v>180</v>
      </c>
      <c r="E16" t="s">
        <v>38</v>
      </c>
      <c r="F16" t="s">
        <v>38</v>
      </c>
      <c r="G16" t="s">
        <v>38</v>
      </c>
      <c r="H16" t="s">
        <v>38</v>
      </c>
      <c r="I16" t="s">
        <v>8</v>
      </c>
      <c r="J16">
        <v>270</v>
      </c>
      <c r="K16" t="s">
        <v>31</v>
      </c>
      <c r="L16">
        <v>0</v>
      </c>
      <c r="M16">
        <v>5528.72</v>
      </c>
      <c r="N16">
        <v>225.99</v>
      </c>
      <c r="O16" t="str">
        <f t="shared" si="0"/>
        <v>-</v>
      </c>
      <c r="P16" t="str">
        <f t="shared" si="1"/>
        <v>-</v>
      </c>
      <c r="Q16" t="str">
        <f t="shared" si="2"/>
        <v>-</v>
      </c>
      <c r="R16" t="str">
        <f t="shared" si="3"/>
        <v>-</v>
      </c>
      <c r="S16" t="str">
        <f>IF(_xlfn.IFNA(VLOOKUP(I16,Set_Ref!$B$6:$B$1048576,1,FALSE),"")&lt;&gt;"","-",FALSE)</f>
        <v>-</v>
      </c>
      <c r="T16" t="str">
        <f t="shared" si="4"/>
        <v>-</v>
      </c>
      <c r="U16" t="str">
        <f t="shared" si="5"/>
        <v>-</v>
      </c>
      <c r="V16" t="str">
        <f t="shared" si="6"/>
        <v>-</v>
      </c>
      <c r="W16" t="str">
        <f t="shared" si="7"/>
        <v>-</v>
      </c>
      <c r="X16" t="str">
        <f t="shared" si="8"/>
        <v>-</v>
      </c>
      <c r="Y16" t="b">
        <f t="shared" si="9"/>
        <v>1</v>
      </c>
    </row>
    <row r="17" spans="1:25" x14ac:dyDescent="0.25">
      <c r="A17">
        <v>15</v>
      </c>
      <c r="B17" s="11" t="s">
        <v>188</v>
      </c>
      <c r="C17" s="11" t="s">
        <v>189</v>
      </c>
      <c r="D17" t="s">
        <v>181</v>
      </c>
      <c r="E17" t="s">
        <v>38</v>
      </c>
      <c r="F17" t="s">
        <v>38</v>
      </c>
      <c r="G17" t="s">
        <v>38</v>
      </c>
      <c r="H17" t="s">
        <v>38</v>
      </c>
      <c r="I17" t="s">
        <v>8</v>
      </c>
      <c r="J17">
        <v>2467</v>
      </c>
      <c r="K17" t="s">
        <v>31</v>
      </c>
      <c r="L17">
        <v>0</v>
      </c>
      <c r="M17">
        <v>5528.72</v>
      </c>
      <c r="N17">
        <v>2064.91</v>
      </c>
      <c r="O17" t="str">
        <f t="shared" si="0"/>
        <v>-</v>
      </c>
      <c r="P17" t="str">
        <f t="shared" si="1"/>
        <v>-</v>
      </c>
      <c r="Q17" t="str">
        <f t="shared" si="2"/>
        <v>-</v>
      </c>
      <c r="R17" t="str">
        <f t="shared" si="3"/>
        <v>-</v>
      </c>
      <c r="S17" t="str">
        <f>IF(_xlfn.IFNA(VLOOKUP(I17,Set_Ref!$B$6:$B$1048576,1,FALSE),"")&lt;&gt;"","-",FALSE)</f>
        <v>-</v>
      </c>
      <c r="T17" t="str">
        <f t="shared" si="4"/>
        <v>-</v>
      </c>
      <c r="U17" t="str">
        <f t="shared" si="5"/>
        <v>-</v>
      </c>
      <c r="V17" t="str">
        <f t="shared" si="6"/>
        <v>-</v>
      </c>
      <c r="W17" t="str">
        <f t="shared" si="7"/>
        <v>-</v>
      </c>
      <c r="X17" t="str">
        <f t="shared" si="8"/>
        <v>-</v>
      </c>
      <c r="Y17" t="b">
        <f t="shared" si="9"/>
        <v>1</v>
      </c>
    </row>
    <row r="18" spans="1:25" x14ac:dyDescent="0.25">
      <c r="A18">
        <v>16</v>
      </c>
      <c r="B18" s="11" t="s">
        <v>233</v>
      </c>
      <c r="C18" s="11" t="s">
        <v>234</v>
      </c>
      <c r="D18" t="s">
        <v>212</v>
      </c>
      <c r="E18" t="s">
        <v>38</v>
      </c>
      <c r="F18" t="s">
        <v>38</v>
      </c>
      <c r="G18" t="s">
        <v>38</v>
      </c>
      <c r="H18" t="s">
        <v>38</v>
      </c>
      <c r="I18" t="s">
        <v>8</v>
      </c>
      <c r="J18">
        <v>4</v>
      </c>
      <c r="K18" t="s">
        <v>31</v>
      </c>
      <c r="L18">
        <v>0</v>
      </c>
      <c r="M18">
        <v>5528.72</v>
      </c>
      <c r="N18">
        <v>3.36</v>
      </c>
      <c r="O18" t="str">
        <f t="shared" si="0"/>
        <v>-</v>
      </c>
      <c r="P18" t="str">
        <f t="shared" si="1"/>
        <v>-</v>
      </c>
      <c r="Q18" t="str">
        <f t="shared" si="2"/>
        <v>-</v>
      </c>
      <c r="R18" t="str">
        <f t="shared" si="3"/>
        <v>-</v>
      </c>
      <c r="S18" t="str">
        <f>IF(_xlfn.IFNA(VLOOKUP(I18,Set_Ref!$B$6:$B$1048576,1,FALSE),"")&lt;&gt;"","-",FALSE)</f>
        <v>-</v>
      </c>
      <c r="T18" t="str">
        <f t="shared" si="4"/>
        <v>-</v>
      </c>
      <c r="U18" t="str">
        <f t="shared" si="5"/>
        <v>-</v>
      </c>
      <c r="V18" t="str">
        <f t="shared" si="6"/>
        <v>-</v>
      </c>
      <c r="W18" t="str">
        <f t="shared" si="7"/>
        <v>-</v>
      </c>
      <c r="X18" t="str">
        <f t="shared" si="8"/>
        <v>-</v>
      </c>
      <c r="Y18" t="b">
        <f t="shared" si="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E7A08-7B4C-4544-88C2-1BB0423C5511}">
  <sheetPr codeName="Sheet9"/>
  <dimension ref="A1:AE241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P3" sqref="P3:S241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9" t="s">
        <v>100</v>
      </c>
      <c r="B1" s="90"/>
      <c r="C1" s="90"/>
      <c r="D1" s="90"/>
      <c r="E1" s="90"/>
      <c r="F1" s="90"/>
      <c r="G1" s="90"/>
      <c r="H1" s="91"/>
      <c r="I1" s="92"/>
      <c r="J1" s="92"/>
      <c r="K1" s="92"/>
      <c r="L1" s="92"/>
      <c r="M1" s="92"/>
      <c r="N1" s="92"/>
      <c r="O1" s="93"/>
      <c r="P1" s="89" t="s">
        <v>91</v>
      </c>
      <c r="Q1" s="90"/>
      <c r="R1" s="90"/>
      <c r="S1" s="91"/>
      <c r="T1" s="94" t="s">
        <v>170</v>
      </c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</row>
    <row r="2" spans="1:31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85" t="s">
        <v>62</v>
      </c>
      <c r="U2" s="85" t="s">
        <v>90</v>
      </c>
      <c r="V2" s="85" t="s">
        <v>47</v>
      </c>
      <c r="W2" s="85" t="s">
        <v>99</v>
      </c>
      <c r="X2" s="85" t="s">
        <v>85</v>
      </c>
      <c r="Y2" s="85" t="s">
        <v>86</v>
      </c>
      <c r="Z2" s="85" t="s">
        <v>63</v>
      </c>
      <c r="AA2" s="85" t="s">
        <v>58</v>
      </c>
      <c r="AB2" s="85" t="s">
        <v>65</v>
      </c>
      <c r="AC2" s="85" t="s">
        <v>66</v>
      </c>
      <c r="AD2" s="85" t="s">
        <v>172</v>
      </c>
      <c r="AE2" s="85" t="s">
        <v>171</v>
      </c>
    </row>
    <row r="3" spans="1:31" x14ac:dyDescent="0.25">
      <c r="A3">
        <v>1</v>
      </c>
      <c r="B3">
        <v>1</v>
      </c>
      <c r="C3">
        <v>261</v>
      </c>
      <c r="D3" s="11" t="s">
        <v>145</v>
      </c>
      <c r="E3" s="11" t="s">
        <v>235</v>
      </c>
      <c r="F3" s="11" t="s">
        <v>213</v>
      </c>
      <c r="G3" s="11" t="s">
        <v>252</v>
      </c>
      <c r="H3">
        <v>6</v>
      </c>
      <c r="I3" s="11" t="s">
        <v>167</v>
      </c>
      <c r="J3" s="11" t="s">
        <v>200</v>
      </c>
      <c r="K3" s="11" t="s">
        <v>201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10</v>
      </c>
      <c r="Q3">
        <v>221</v>
      </c>
      <c r="R3">
        <v>0</v>
      </c>
      <c r="S3">
        <v>0</v>
      </c>
      <c r="T3" t="str">
        <f t="shared" ref="T3:T66" si="0">IF(OR(A3="",A3&lt;1),FALSE,IF(ISNUMBER(A3), IF(INT(A3) = A3, "-", FALSE), FALSE))</f>
        <v>-</v>
      </c>
      <c r="U3" t="str">
        <f t="shared" ref="U3:U66" si="1">IF(OR(B3="",A3&lt;1),FALSE,IF(ISNUMBER(A3), IF(INT(A3) = A3, "-", FALSE), FALSE))</f>
        <v>-</v>
      </c>
      <c r="V3" t="str">
        <f t="shared" ref="V3:V66" si="2">IF(OR(C3="",C3="PilihSalasatu"),FALSE,"-")</f>
        <v>-</v>
      </c>
      <c r="W3" t="str">
        <f t="shared" ref="W3:W66" si="3">IF(D3="",FALSE,"-")</f>
        <v>-</v>
      </c>
      <c r="X3" t="str">
        <f t="shared" ref="X3:X66" si="4">IF(E3="",FALSE,"-")</f>
        <v>-</v>
      </c>
      <c r="Y3" t="str">
        <f t="shared" ref="Y3:Y66" si="5">IF(F3="",FALSE,"-")</f>
        <v>-</v>
      </c>
      <c r="Z3" t="str">
        <f t="shared" ref="Z3:Z66" si="6">IF(I3="",FALSE,"-")</f>
        <v>-</v>
      </c>
      <c r="AA3" t="str">
        <f t="shared" ref="AA3:AA66" si="7">IF(J3="",FALSE,"-")</f>
        <v>-</v>
      </c>
      <c r="AB3" t="str">
        <f>IF(_xlfn.IFNA(VLOOKUP(P3,Set_Ref!$B$6:$B$1048576,1,FALSE),"")&lt;&gt;"","-",FALSE)</f>
        <v>-</v>
      </c>
      <c r="AC3" t="str">
        <f t="shared" ref="AC3:AC66" si="8">IF(OR(Q3="",Q3&lt;=0),FALSE,IF(ISNUMBER(Q3),"-",FALSE))</f>
        <v>-</v>
      </c>
      <c r="AD3" t="str">
        <f t="shared" ref="AD3:AD66" si="9">IF(OR(G3="",H3="",I3="",K3=""),FALSE,"-")</f>
        <v>-</v>
      </c>
      <c r="AE3" t="b">
        <f t="shared" ref="AE3:AE66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145</v>
      </c>
      <c r="E4" s="11" t="s">
        <v>235</v>
      </c>
      <c r="F4" s="11" t="s">
        <v>213</v>
      </c>
      <c r="G4" s="11" t="s">
        <v>252</v>
      </c>
      <c r="H4">
        <v>6</v>
      </c>
      <c r="I4" s="11" t="s">
        <v>167</v>
      </c>
      <c r="J4" s="11" t="s">
        <v>200</v>
      </c>
      <c r="K4" s="11" t="s">
        <v>201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10</v>
      </c>
      <c r="Q4">
        <v>115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11" t="s">
        <v>145</v>
      </c>
      <c r="E5" s="11" t="s">
        <v>237</v>
      </c>
      <c r="F5" s="11" t="s">
        <v>220</v>
      </c>
      <c r="G5" s="11" t="s">
        <v>253</v>
      </c>
      <c r="H5">
        <v>5</v>
      </c>
      <c r="I5" s="11" t="s">
        <v>167</v>
      </c>
      <c r="J5" s="11" t="s">
        <v>236</v>
      </c>
      <c r="K5" s="11" t="s">
        <v>201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10</v>
      </c>
      <c r="Q5">
        <v>23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1</v>
      </c>
      <c r="B6">
        <v>4</v>
      </c>
      <c r="C6">
        <v>261</v>
      </c>
      <c r="D6" s="11" t="s">
        <v>145</v>
      </c>
      <c r="E6" s="11" t="s">
        <v>235</v>
      </c>
      <c r="F6" s="11" t="s">
        <v>213</v>
      </c>
      <c r="G6" s="11" t="s">
        <v>252</v>
      </c>
      <c r="H6">
        <v>6</v>
      </c>
      <c r="I6" s="11" t="s">
        <v>167</v>
      </c>
      <c r="J6" s="11" t="s">
        <v>200</v>
      </c>
      <c r="K6" s="11" t="s">
        <v>201</v>
      </c>
      <c r="L6" s="11" t="s">
        <v>38</v>
      </c>
      <c r="M6" s="11" t="s">
        <v>38</v>
      </c>
      <c r="N6" s="11" t="s">
        <v>38</v>
      </c>
      <c r="O6" s="11" t="s">
        <v>38</v>
      </c>
      <c r="P6" t="s">
        <v>10</v>
      </c>
      <c r="Q6">
        <v>221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1</v>
      </c>
      <c r="B7">
        <v>5</v>
      </c>
      <c r="C7">
        <v>261</v>
      </c>
      <c r="D7" s="11" t="s">
        <v>145</v>
      </c>
      <c r="E7" s="11" t="s">
        <v>237</v>
      </c>
      <c r="F7" s="11" t="s">
        <v>220</v>
      </c>
      <c r="G7" s="11" t="s">
        <v>253</v>
      </c>
      <c r="H7">
        <v>5</v>
      </c>
      <c r="I7" s="11" t="s">
        <v>167</v>
      </c>
      <c r="J7" s="11" t="s">
        <v>236</v>
      </c>
      <c r="K7" s="11" t="s">
        <v>201</v>
      </c>
      <c r="L7" s="11" t="s">
        <v>38</v>
      </c>
      <c r="M7" s="11" t="s">
        <v>38</v>
      </c>
      <c r="N7" s="11" t="s">
        <v>38</v>
      </c>
      <c r="O7" s="11" t="s">
        <v>38</v>
      </c>
      <c r="P7" t="s">
        <v>10</v>
      </c>
      <c r="Q7">
        <v>23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2</v>
      </c>
      <c r="B8">
        <v>1</v>
      </c>
      <c r="C8">
        <v>261</v>
      </c>
      <c r="D8" s="11" t="s">
        <v>145</v>
      </c>
      <c r="E8" s="11" t="s">
        <v>238</v>
      </c>
      <c r="F8" s="11" t="s">
        <v>215</v>
      </c>
      <c r="G8" s="11" t="s">
        <v>254</v>
      </c>
      <c r="H8">
        <v>5</v>
      </c>
      <c r="I8" s="11" t="s">
        <v>222</v>
      </c>
      <c r="J8" s="11" t="s">
        <v>239</v>
      </c>
      <c r="K8" s="11" t="s">
        <v>202</v>
      </c>
      <c r="L8" s="11" t="s">
        <v>38</v>
      </c>
      <c r="M8" s="11" t="s">
        <v>38</v>
      </c>
      <c r="N8" s="11" t="s">
        <v>38</v>
      </c>
      <c r="O8" s="11" t="s">
        <v>38</v>
      </c>
      <c r="P8" t="s">
        <v>8</v>
      </c>
      <c r="Q8">
        <v>1500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2</v>
      </c>
      <c r="B9">
        <v>2</v>
      </c>
      <c r="C9">
        <v>261</v>
      </c>
      <c r="D9" s="11" t="s">
        <v>145</v>
      </c>
      <c r="E9" s="11" t="s">
        <v>237</v>
      </c>
      <c r="F9" s="11" t="s">
        <v>220</v>
      </c>
      <c r="G9" s="11" t="s">
        <v>253</v>
      </c>
      <c r="H9">
        <v>6</v>
      </c>
      <c r="I9" s="11" t="s">
        <v>222</v>
      </c>
      <c r="J9" s="11" t="s">
        <v>223</v>
      </c>
      <c r="K9" s="11" t="s">
        <v>202</v>
      </c>
      <c r="L9" s="11" t="s">
        <v>38</v>
      </c>
      <c r="M9" s="11" t="s">
        <v>38</v>
      </c>
      <c r="N9" s="11" t="s">
        <v>38</v>
      </c>
      <c r="O9" s="11" t="s">
        <v>38</v>
      </c>
      <c r="P9" t="s">
        <v>8</v>
      </c>
      <c r="Q9">
        <v>6000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3</v>
      </c>
      <c r="B10">
        <v>1</v>
      </c>
      <c r="C10">
        <v>261</v>
      </c>
      <c r="D10" s="11" t="s">
        <v>145</v>
      </c>
      <c r="E10" s="11" t="s">
        <v>240</v>
      </c>
      <c r="F10" s="11" t="s">
        <v>214</v>
      </c>
      <c r="G10" s="11" t="s">
        <v>255</v>
      </c>
      <c r="H10">
        <v>2</v>
      </c>
      <c r="I10" s="11" t="s">
        <v>173</v>
      </c>
      <c r="J10" s="11" t="s">
        <v>192</v>
      </c>
      <c r="K10" s="11" t="s">
        <v>174</v>
      </c>
      <c r="L10" s="11" t="s">
        <v>38</v>
      </c>
      <c r="M10" s="11" t="s">
        <v>38</v>
      </c>
      <c r="N10" s="11" t="s">
        <v>38</v>
      </c>
      <c r="O10" s="11" t="s">
        <v>38</v>
      </c>
      <c r="P10" t="s">
        <v>8</v>
      </c>
      <c r="Q10">
        <v>32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3</v>
      </c>
      <c r="B11">
        <v>2</v>
      </c>
      <c r="C11">
        <v>261</v>
      </c>
      <c r="D11" s="11" t="s">
        <v>145</v>
      </c>
      <c r="E11" s="11" t="s">
        <v>240</v>
      </c>
      <c r="F11" s="11" t="s">
        <v>214</v>
      </c>
      <c r="G11" s="11" t="s">
        <v>255</v>
      </c>
      <c r="H11">
        <v>2</v>
      </c>
      <c r="I11" s="11" t="s">
        <v>173</v>
      </c>
      <c r="J11" s="11" t="s">
        <v>192</v>
      </c>
      <c r="K11" s="11" t="s">
        <v>174</v>
      </c>
      <c r="L11" s="11" t="s">
        <v>38</v>
      </c>
      <c r="M11" s="11" t="s">
        <v>38</v>
      </c>
      <c r="N11" s="11" t="s">
        <v>38</v>
      </c>
      <c r="O11" s="11" t="s">
        <v>38</v>
      </c>
      <c r="P11" t="s">
        <v>8</v>
      </c>
      <c r="Q11">
        <v>40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3</v>
      </c>
      <c r="B12">
        <v>3</v>
      </c>
      <c r="C12">
        <v>261</v>
      </c>
      <c r="D12" s="11" t="s">
        <v>145</v>
      </c>
      <c r="E12" s="11" t="s">
        <v>240</v>
      </c>
      <c r="F12" s="11" t="s">
        <v>214</v>
      </c>
      <c r="G12" s="11" t="s">
        <v>255</v>
      </c>
      <c r="H12">
        <v>2</v>
      </c>
      <c r="I12" s="11" t="s">
        <v>173</v>
      </c>
      <c r="J12" s="11" t="s">
        <v>192</v>
      </c>
      <c r="K12" s="11" t="s">
        <v>174</v>
      </c>
      <c r="L12" s="11" t="s">
        <v>38</v>
      </c>
      <c r="M12" s="11" t="s">
        <v>38</v>
      </c>
      <c r="N12" s="11" t="s">
        <v>38</v>
      </c>
      <c r="O12" s="11" t="s">
        <v>38</v>
      </c>
      <c r="P12" t="s">
        <v>8</v>
      </c>
      <c r="Q12">
        <v>42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3</v>
      </c>
      <c r="B13">
        <v>4</v>
      </c>
      <c r="C13">
        <v>261</v>
      </c>
      <c r="D13" s="11" t="s">
        <v>145</v>
      </c>
      <c r="E13" s="11" t="s">
        <v>240</v>
      </c>
      <c r="F13" s="11" t="s">
        <v>214</v>
      </c>
      <c r="G13" s="11" t="s">
        <v>255</v>
      </c>
      <c r="H13">
        <v>2</v>
      </c>
      <c r="I13" s="11" t="s">
        <v>173</v>
      </c>
      <c r="J13" s="11" t="s">
        <v>192</v>
      </c>
      <c r="K13" s="11" t="s">
        <v>174</v>
      </c>
      <c r="L13" s="11" t="s">
        <v>38</v>
      </c>
      <c r="M13" s="11" t="s">
        <v>38</v>
      </c>
      <c r="N13" s="11" t="s">
        <v>38</v>
      </c>
      <c r="O13" s="11" t="s">
        <v>38</v>
      </c>
      <c r="P13" t="s">
        <v>8</v>
      </c>
      <c r="Q13">
        <v>31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3</v>
      </c>
      <c r="B14">
        <v>5</v>
      </c>
      <c r="C14">
        <v>261</v>
      </c>
      <c r="D14" s="11" t="s">
        <v>145</v>
      </c>
      <c r="E14" s="11" t="s">
        <v>240</v>
      </c>
      <c r="F14" s="11" t="s">
        <v>214</v>
      </c>
      <c r="G14" s="11" t="s">
        <v>255</v>
      </c>
      <c r="H14">
        <v>2</v>
      </c>
      <c r="I14" s="11" t="s">
        <v>173</v>
      </c>
      <c r="J14" s="11" t="s">
        <v>192</v>
      </c>
      <c r="K14" s="11" t="s">
        <v>174</v>
      </c>
      <c r="L14" s="11" t="s">
        <v>38</v>
      </c>
      <c r="M14" s="11" t="s">
        <v>38</v>
      </c>
      <c r="N14" s="11" t="s">
        <v>38</v>
      </c>
      <c r="O14" s="11" t="s">
        <v>38</v>
      </c>
      <c r="P14" t="s">
        <v>8</v>
      </c>
      <c r="Q14">
        <v>27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3</v>
      </c>
      <c r="B15">
        <v>6</v>
      </c>
      <c r="C15">
        <v>261</v>
      </c>
      <c r="D15" s="11" t="s">
        <v>145</v>
      </c>
      <c r="E15" s="11" t="s">
        <v>240</v>
      </c>
      <c r="F15" s="11" t="s">
        <v>214</v>
      </c>
      <c r="G15" s="11" t="s">
        <v>255</v>
      </c>
      <c r="H15">
        <v>2</v>
      </c>
      <c r="I15" s="11" t="s">
        <v>173</v>
      </c>
      <c r="J15" s="11" t="s">
        <v>192</v>
      </c>
      <c r="K15" s="11" t="s">
        <v>174</v>
      </c>
      <c r="L15" s="11" t="s">
        <v>38</v>
      </c>
      <c r="M15" s="11" t="s">
        <v>38</v>
      </c>
      <c r="N15" s="11" t="s">
        <v>38</v>
      </c>
      <c r="O15" s="11" t="s">
        <v>38</v>
      </c>
      <c r="P15" t="s">
        <v>8</v>
      </c>
      <c r="Q15">
        <v>31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3</v>
      </c>
      <c r="B16">
        <v>7</v>
      </c>
      <c r="C16">
        <v>261</v>
      </c>
      <c r="D16" s="11" t="s">
        <v>145</v>
      </c>
      <c r="E16" s="11" t="s">
        <v>241</v>
      </c>
      <c r="F16" s="11" t="s">
        <v>197</v>
      </c>
      <c r="G16" s="11" t="s">
        <v>256</v>
      </c>
      <c r="H16">
        <v>4</v>
      </c>
      <c r="I16" s="11" t="s">
        <v>173</v>
      </c>
      <c r="J16" s="11" t="s">
        <v>192</v>
      </c>
      <c r="K16" s="11" t="s">
        <v>174</v>
      </c>
      <c r="L16" s="11" t="s">
        <v>38</v>
      </c>
      <c r="M16" s="11" t="s">
        <v>38</v>
      </c>
      <c r="N16" s="11" t="s">
        <v>38</v>
      </c>
      <c r="O16" s="11" t="s">
        <v>38</v>
      </c>
      <c r="P16" t="s">
        <v>8</v>
      </c>
      <c r="Q16">
        <v>39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  <row r="17" spans="1:31" x14ac:dyDescent="0.25">
      <c r="A17">
        <v>3</v>
      </c>
      <c r="B17">
        <v>8</v>
      </c>
      <c r="C17">
        <v>261</v>
      </c>
      <c r="D17" s="11" t="s">
        <v>145</v>
      </c>
      <c r="E17" s="11" t="s">
        <v>241</v>
      </c>
      <c r="F17" s="11" t="s">
        <v>197</v>
      </c>
      <c r="G17" s="11" t="s">
        <v>256</v>
      </c>
      <c r="H17">
        <v>4</v>
      </c>
      <c r="I17" s="11" t="s">
        <v>173</v>
      </c>
      <c r="J17" s="11" t="s">
        <v>192</v>
      </c>
      <c r="K17" s="11" t="s">
        <v>174</v>
      </c>
      <c r="L17" s="11" t="s">
        <v>38</v>
      </c>
      <c r="M17" s="11" t="s">
        <v>38</v>
      </c>
      <c r="N17" s="11" t="s">
        <v>38</v>
      </c>
      <c r="O17" s="11" t="s">
        <v>38</v>
      </c>
      <c r="P17" t="s">
        <v>8</v>
      </c>
      <c r="Q17">
        <v>40</v>
      </c>
      <c r="R17">
        <v>0</v>
      </c>
      <c r="S17">
        <v>0</v>
      </c>
      <c r="T17" t="str">
        <f t="shared" si="0"/>
        <v>-</v>
      </c>
      <c r="U17" t="str">
        <f t="shared" si="1"/>
        <v>-</v>
      </c>
      <c r="V17" t="str">
        <f t="shared" si="2"/>
        <v>-</v>
      </c>
      <c r="W17" t="str">
        <f t="shared" si="3"/>
        <v>-</v>
      </c>
      <c r="X17" t="str">
        <f t="shared" si="4"/>
        <v>-</v>
      </c>
      <c r="Y17" t="str">
        <f t="shared" si="5"/>
        <v>-</v>
      </c>
      <c r="Z17" t="str">
        <f t="shared" si="6"/>
        <v>-</v>
      </c>
      <c r="AA17" t="str">
        <f t="shared" si="7"/>
        <v>-</v>
      </c>
      <c r="AB17" t="str">
        <f>IF(_xlfn.IFNA(VLOOKUP(P17,Set_Ref!$B$6:$B$1048576,1,FALSE),"")&lt;&gt;"","-",FALSE)</f>
        <v>-</v>
      </c>
      <c r="AC17" t="str">
        <f t="shared" si="8"/>
        <v>-</v>
      </c>
      <c r="AD17" t="str">
        <f t="shared" si="9"/>
        <v>-</v>
      </c>
      <c r="AE17" t="b">
        <f t="shared" si="10"/>
        <v>1</v>
      </c>
    </row>
    <row r="18" spans="1:31" x14ac:dyDescent="0.25">
      <c r="A18">
        <v>3</v>
      </c>
      <c r="B18">
        <v>9</v>
      </c>
      <c r="C18">
        <v>261</v>
      </c>
      <c r="D18" s="11" t="s">
        <v>145</v>
      </c>
      <c r="E18" s="11" t="s">
        <v>241</v>
      </c>
      <c r="F18" s="11" t="s">
        <v>197</v>
      </c>
      <c r="G18" s="11" t="s">
        <v>256</v>
      </c>
      <c r="H18">
        <v>4</v>
      </c>
      <c r="I18" s="11" t="s">
        <v>173</v>
      </c>
      <c r="J18" s="11" t="s">
        <v>192</v>
      </c>
      <c r="K18" s="11" t="s">
        <v>174</v>
      </c>
      <c r="L18" s="11" t="s">
        <v>38</v>
      </c>
      <c r="M18" s="11" t="s">
        <v>38</v>
      </c>
      <c r="N18" s="11" t="s">
        <v>38</v>
      </c>
      <c r="O18" s="11" t="s">
        <v>38</v>
      </c>
      <c r="P18" t="s">
        <v>8</v>
      </c>
      <c r="Q18">
        <v>49</v>
      </c>
      <c r="R18">
        <v>0</v>
      </c>
      <c r="S18">
        <v>0</v>
      </c>
      <c r="T18" t="str">
        <f t="shared" si="0"/>
        <v>-</v>
      </c>
      <c r="U18" t="str">
        <f t="shared" si="1"/>
        <v>-</v>
      </c>
      <c r="V18" t="str">
        <f t="shared" si="2"/>
        <v>-</v>
      </c>
      <c r="W18" t="str">
        <f t="shared" si="3"/>
        <v>-</v>
      </c>
      <c r="X18" t="str">
        <f t="shared" si="4"/>
        <v>-</v>
      </c>
      <c r="Y18" t="str">
        <f t="shared" si="5"/>
        <v>-</v>
      </c>
      <c r="Z18" t="str">
        <f t="shared" si="6"/>
        <v>-</v>
      </c>
      <c r="AA18" t="str">
        <f t="shared" si="7"/>
        <v>-</v>
      </c>
      <c r="AB18" t="str">
        <f>IF(_xlfn.IFNA(VLOOKUP(P18,Set_Ref!$B$6:$B$1048576,1,FALSE),"")&lt;&gt;"","-",FALSE)</f>
        <v>-</v>
      </c>
      <c r="AC18" t="str">
        <f t="shared" si="8"/>
        <v>-</v>
      </c>
      <c r="AD18" t="str">
        <f t="shared" si="9"/>
        <v>-</v>
      </c>
      <c r="AE18" t="b">
        <f t="shared" si="10"/>
        <v>1</v>
      </c>
    </row>
    <row r="19" spans="1:31" x14ac:dyDescent="0.25">
      <c r="A19">
        <v>3</v>
      </c>
      <c r="B19">
        <v>10</v>
      </c>
      <c r="C19">
        <v>261</v>
      </c>
      <c r="D19" s="11" t="s">
        <v>145</v>
      </c>
      <c r="E19" s="11" t="s">
        <v>241</v>
      </c>
      <c r="F19" s="11" t="s">
        <v>197</v>
      </c>
      <c r="G19" s="11" t="s">
        <v>256</v>
      </c>
      <c r="H19">
        <v>4</v>
      </c>
      <c r="I19" s="11" t="s">
        <v>173</v>
      </c>
      <c r="J19" s="11" t="s">
        <v>192</v>
      </c>
      <c r="K19" s="11" t="s">
        <v>174</v>
      </c>
      <c r="L19" s="11" t="s">
        <v>38</v>
      </c>
      <c r="M19" s="11" t="s">
        <v>38</v>
      </c>
      <c r="N19" s="11" t="s">
        <v>38</v>
      </c>
      <c r="O19" s="11" t="s">
        <v>38</v>
      </c>
      <c r="P19" t="s">
        <v>8</v>
      </c>
      <c r="Q19">
        <v>56</v>
      </c>
      <c r="R19">
        <v>0</v>
      </c>
      <c r="S19">
        <v>0</v>
      </c>
      <c r="T19" t="str">
        <f t="shared" si="0"/>
        <v>-</v>
      </c>
      <c r="U19" t="str">
        <f t="shared" si="1"/>
        <v>-</v>
      </c>
      <c r="V19" t="str">
        <f t="shared" si="2"/>
        <v>-</v>
      </c>
      <c r="W19" t="str">
        <f t="shared" si="3"/>
        <v>-</v>
      </c>
      <c r="X19" t="str">
        <f t="shared" si="4"/>
        <v>-</v>
      </c>
      <c r="Y19" t="str">
        <f t="shared" si="5"/>
        <v>-</v>
      </c>
      <c r="Z19" t="str">
        <f t="shared" si="6"/>
        <v>-</v>
      </c>
      <c r="AA19" t="str">
        <f t="shared" si="7"/>
        <v>-</v>
      </c>
      <c r="AB19" t="str">
        <f>IF(_xlfn.IFNA(VLOOKUP(P19,Set_Ref!$B$6:$B$1048576,1,FALSE),"")&lt;&gt;"","-",FALSE)</f>
        <v>-</v>
      </c>
      <c r="AC19" t="str">
        <f t="shared" si="8"/>
        <v>-</v>
      </c>
      <c r="AD19" t="str">
        <f t="shared" si="9"/>
        <v>-</v>
      </c>
      <c r="AE19" t="b">
        <f t="shared" si="10"/>
        <v>1</v>
      </c>
    </row>
    <row r="20" spans="1:31" x14ac:dyDescent="0.25">
      <c r="A20">
        <v>3</v>
      </c>
      <c r="B20">
        <v>11</v>
      </c>
      <c r="C20">
        <v>261</v>
      </c>
      <c r="D20" s="11" t="s">
        <v>145</v>
      </c>
      <c r="E20" s="11" t="s">
        <v>241</v>
      </c>
      <c r="F20" s="11" t="s">
        <v>197</v>
      </c>
      <c r="G20" s="11" t="s">
        <v>256</v>
      </c>
      <c r="H20">
        <v>4</v>
      </c>
      <c r="I20" s="11" t="s">
        <v>173</v>
      </c>
      <c r="J20" s="11" t="s">
        <v>192</v>
      </c>
      <c r="K20" s="11" t="s">
        <v>174</v>
      </c>
      <c r="L20" s="11" t="s">
        <v>38</v>
      </c>
      <c r="M20" s="11" t="s">
        <v>38</v>
      </c>
      <c r="N20" s="11" t="s">
        <v>38</v>
      </c>
      <c r="O20" s="11" t="s">
        <v>38</v>
      </c>
      <c r="P20" t="s">
        <v>8</v>
      </c>
      <c r="Q20">
        <v>39</v>
      </c>
      <c r="R20">
        <v>0</v>
      </c>
      <c r="S20">
        <v>0</v>
      </c>
      <c r="T20" t="str">
        <f t="shared" si="0"/>
        <v>-</v>
      </c>
      <c r="U20" t="str">
        <f t="shared" si="1"/>
        <v>-</v>
      </c>
      <c r="V20" t="str">
        <f t="shared" si="2"/>
        <v>-</v>
      </c>
      <c r="W20" t="str">
        <f t="shared" si="3"/>
        <v>-</v>
      </c>
      <c r="X20" t="str">
        <f t="shared" si="4"/>
        <v>-</v>
      </c>
      <c r="Y20" t="str">
        <f t="shared" si="5"/>
        <v>-</v>
      </c>
      <c r="Z20" t="str">
        <f t="shared" si="6"/>
        <v>-</v>
      </c>
      <c r="AA20" t="str">
        <f t="shared" si="7"/>
        <v>-</v>
      </c>
      <c r="AB20" t="str">
        <f>IF(_xlfn.IFNA(VLOOKUP(P20,Set_Ref!$B$6:$B$1048576,1,FALSE),"")&lt;&gt;"","-",FALSE)</f>
        <v>-</v>
      </c>
      <c r="AC20" t="str">
        <f t="shared" si="8"/>
        <v>-</v>
      </c>
      <c r="AD20" t="str">
        <f t="shared" si="9"/>
        <v>-</v>
      </c>
      <c r="AE20" t="b">
        <f t="shared" si="10"/>
        <v>1</v>
      </c>
    </row>
    <row r="21" spans="1:31" x14ac:dyDescent="0.25">
      <c r="A21">
        <v>3</v>
      </c>
      <c r="B21">
        <v>12</v>
      </c>
      <c r="C21">
        <v>261</v>
      </c>
      <c r="D21" s="11" t="s">
        <v>145</v>
      </c>
      <c r="E21" s="11" t="s">
        <v>241</v>
      </c>
      <c r="F21" s="11" t="s">
        <v>197</v>
      </c>
      <c r="G21" s="11" t="s">
        <v>256</v>
      </c>
      <c r="H21">
        <v>4</v>
      </c>
      <c r="I21" s="11" t="s">
        <v>173</v>
      </c>
      <c r="J21" s="11" t="s">
        <v>192</v>
      </c>
      <c r="K21" s="11" t="s">
        <v>174</v>
      </c>
      <c r="L21" s="11" t="s">
        <v>38</v>
      </c>
      <c r="M21" s="11" t="s">
        <v>38</v>
      </c>
      <c r="N21" s="11" t="s">
        <v>38</v>
      </c>
      <c r="O21" s="11" t="s">
        <v>38</v>
      </c>
      <c r="P21" t="s">
        <v>8</v>
      </c>
      <c r="Q21">
        <v>31</v>
      </c>
      <c r="R21">
        <v>0</v>
      </c>
      <c r="S21">
        <v>0</v>
      </c>
      <c r="T21" t="str">
        <f t="shared" si="0"/>
        <v>-</v>
      </c>
      <c r="U21" t="str">
        <f t="shared" si="1"/>
        <v>-</v>
      </c>
      <c r="V21" t="str">
        <f t="shared" si="2"/>
        <v>-</v>
      </c>
      <c r="W21" t="str">
        <f t="shared" si="3"/>
        <v>-</v>
      </c>
      <c r="X21" t="str">
        <f t="shared" si="4"/>
        <v>-</v>
      </c>
      <c r="Y21" t="str">
        <f t="shared" si="5"/>
        <v>-</v>
      </c>
      <c r="Z21" t="str">
        <f t="shared" si="6"/>
        <v>-</v>
      </c>
      <c r="AA21" t="str">
        <f t="shared" si="7"/>
        <v>-</v>
      </c>
      <c r="AB21" t="str">
        <f>IF(_xlfn.IFNA(VLOOKUP(P21,Set_Ref!$B$6:$B$1048576,1,FALSE),"")&lt;&gt;"","-",FALSE)</f>
        <v>-</v>
      </c>
      <c r="AC21" t="str">
        <f t="shared" si="8"/>
        <v>-</v>
      </c>
      <c r="AD21" t="str">
        <f t="shared" si="9"/>
        <v>-</v>
      </c>
      <c r="AE21" t="b">
        <f t="shared" si="10"/>
        <v>1</v>
      </c>
    </row>
    <row r="22" spans="1:31" x14ac:dyDescent="0.25">
      <c r="A22">
        <v>3</v>
      </c>
      <c r="B22">
        <v>13</v>
      </c>
      <c r="C22">
        <v>261</v>
      </c>
      <c r="D22" s="11" t="s">
        <v>145</v>
      </c>
      <c r="E22" s="11" t="s">
        <v>238</v>
      </c>
      <c r="F22" s="11" t="s">
        <v>215</v>
      </c>
      <c r="G22" s="11" t="s">
        <v>254</v>
      </c>
      <c r="H22">
        <v>7</v>
      </c>
      <c r="I22" s="11" t="s">
        <v>173</v>
      </c>
      <c r="J22" s="11" t="s">
        <v>203</v>
      </c>
      <c r="K22" s="11" t="s">
        <v>174</v>
      </c>
      <c r="L22" s="11" t="s">
        <v>38</v>
      </c>
      <c r="M22" s="11" t="s">
        <v>38</v>
      </c>
      <c r="N22" s="11" t="s">
        <v>38</v>
      </c>
      <c r="O22" s="11" t="s">
        <v>38</v>
      </c>
      <c r="P22" t="s">
        <v>8</v>
      </c>
      <c r="Q22">
        <v>41</v>
      </c>
      <c r="R22">
        <v>0</v>
      </c>
      <c r="S22">
        <v>0</v>
      </c>
      <c r="T22" t="str">
        <f t="shared" si="0"/>
        <v>-</v>
      </c>
      <c r="U22" t="str">
        <f t="shared" si="1"/>
        <v>-</v>
      </c>
      <c r="V22" t="str">
        <f t="shared" si="2"/>
        <v>-</v>
      </c>
      <c r="W22" t="str">
        <f t="shared" si="3"/>
        <v>-</v>
      </c>
      <c r="X22" t="str">
        <f t="shared" si="4"/>
        <v>-</v>
      </c>
      <c r="Y22" t="str">
        <f t="shared" si="5"/>
        <v>-</v>
      </c>
      <c r="Z22" t="str">
        <f t="shared" si="6"/>
        <v>-</v>
      </c>
      <c r="AA22" t="str">
        <f t="shared" si="7"/>
        <v>-</v>
      </c>
      <c r="AB22" t="str">
        <f>IF(_xlfn.IFNA(VLOOKUP(P22,Set_Ref!$B$6:$B$1048576,1,FALSE),"")&lt;&gt;"","-",FALSE)</f>
        <v>-</v>
      </c>
      <c r="AC22" t="str">
        <f t="shared" si="8"/>
        <v>-</v>
      </c>
      <c r="AD22" t="str">
        <f t="shared" si="9"/>
        <v>-</v>
      </c>
      <c r="AE22" t="b">
        <f t="shared" si="10"/>
        <v>1</v>
      </c>
    </row>
    <row r="23" spans="1:31" x14ac:dyDescent="0.25">
      <c r="A23">
        <v>3</v>
      </c>
      <c r="B23">
        <v>14</v>
      </c>
      <c r="C23">
        <v>261</v>
      </c>
      <c r="D23" s="11" t="s">
        <v>145</v>
      </c>
      <c r="E23" s="11" t="s">
        <v>238</v>
      </c>
      <c r="F23" s="11" t="s">
        <v>215</v>
      </c>
      <c r="G23" s="11" t="s">
        <v>254</v>
      </c>
      <c r="H23">
        <v>7</v>
      </c>
      <c r="I23" s="11" t="s">
        <v>173</v>
      </c>
      <c r="J23" s="11" t="s">
        <v>203</v>
      </c>
      <c r="K23" s="11" t="s">
        <v>174</v>
      </c>
      <c r="L23" s="11" t="s">
        <v>38</v>
      </c>
      <c r="M23" s="11" t="s">
        <v>38</v>
      </c>
      <c r="N23" s="11" t="s">
        <v>38</v>
      </c>
      <c r="O23" s="11" t="s">
        <v>38</v>
      </c>
      <c r="P23" t="s">
        <v>8</v>
      </c>
      <c r="Q23">
        <v>67</v>
      </c>
      <c r="R23">
        <v>0</v>
      </c>
      <c r="S23">
        <v>0</v>
      </c>
      <c r="T23" t="str">
        <f t="shared" si="0"/>
        <v>-</v>
      </c>
      <c r="U23" t="str">
        <f t="shared" si="1"/>
        <v>-</v>
      </c>
      <c r="V23" t="str">
        <f t="shared" si="2"/>
        <v>-</v>
      </c>
      <c r="W23" t="str">
        <f t="shared" si="3"/>
        <v>-</v>
      </c>
      <c r="X23" t="str">
        <f t="shared" si="4"/>
        <v>-</v>
      </c>
      <c r="Y23" t="str">
        <f t="shared" si="5"/>
        <v>-</v>
      </c>
      <c r="Z23" t="str">
        <f t="shared" si="6"/>
        <v>-</v>
      </c>
      <c r="AA23" t="str">
        <f t="shared" si="7"/>
        <v>-</v>
      </c>
      <c r="AB23" t="str">
        <f>IF(_xlfn.IFNA(VLOOKUP(P23,Set_Ref!$B$6:$B$1048576,1,FALSE),"")&lt;&gt;"","-",FALSE)</f>
        <v>-</v>
      </c>
      <c r="AC23" t="str">
        <f t="shared" si="8"/>
        <v>-</v>
      </c>
      <c r="AD23" t="str">
        <f t="shared" si="9"/>
        <v>-</v>
      </c>
      <c r="AE23" t="b">
        <f t="shared" si="10"/>
        <v>1</v>
      </c>
    </row>
    <row r="24" spans="1:31" x14ac:dyDescent="0.25">
      <c r="A24">
        <v>3</v>
      </c>
      <c r="B24">
        <v>15</v>
      </c>
      <c r="C24">
        <v>261</v>
      </c>
      <c r="D24" s="11" t="s">
        <v>145</v>
      </c>
      <c r="E24" s="11" t="s">
        <v>238</v>
      </c>
      <c r="F24" s="11" t="s">
        <v>215</v>
      </c>
      <c r="G24" s="11" t="s">
        <v>254</v>
      </c>
      <c r="H24">
        <v>7</v>
      </c>
      <c r="I24" s="11" t="s">
        <v>173</v>
      </c>
      <c r="J24" s="11" t="s">
        <v>203</v>
      </c>
      <c r="K24" s="11" t="s">
        <v>174</v>
      </c>
      <c r="L24" s="11" t="s">
        <v>38</v>
      </c>
      <c r="M24" s="11" t="s">
        <v>38</v>
      </c>
      <c r="N24" s="11" t="s">
        <v>38</v>
      </c>
      <c r="O24" s="11" t="s">
        <v>38</v>
      </c>
      <c r="P24" t="s">
        <v>8</v>
      </c>
      <c r="Q24">
        <v>46</v>
      </c>
      <c r="R24">
        <v>0</v>
      </c>
      <c r="S24">
        <v>0</v>
      </c>
      <c r="T24" t="str">
        <f t="shared" si="0"/>
        <v>-</v>
      </c>
      <c r="U24" t="str">
        <f t="shared" si="1"/>
        <v>-</v>
      </c>
      <c r="V24" t="str">
        <f t="shared" si="2"/>
        <v>-</v>
      </c>
      <c r="W24" t="str">
        <f t="shared" si="3"/>
        <v>-</v>
      </c>
      <c r="X24" t="str">
        <f t="shared" si="4"/>
        <v>-</v>
      </c>
      <c r="Y24" t="str">
        <f t="shared" si="5"/>
        <v>-</v>
      </c>
      <c r="Z24" t="str">
        <f t="shared" si="6"/>
        <v>-</v>
      </c>
      <c r="AA24" t="str">
        <f t="shared" si="7"/>
        <v>-</v>
      </c>
      <c r="AB24" t="str">
        <f>IF(_xlfn.IFNA(VLOOKUP(P24,Set_Ref!$B$6:$B$1048576,1,FALSE),"")&lt;&gt;"","-",FALSE)</f>
        <v>-</v>
      </c>
      <c r="AC24" t="str">
        <f t="shared" si="8"/>
        <v>-</v>
      </c>
      <c r="AD24" t="str">
        <f t="shared" si="9"/>
        <v>-</v>
      </c>
      <c r="AE24" t="b">
        <f t="shared" si="10"/>
        <v>1</v>
      </c>
    </row>
    <row r="25" spans="1:31" x14ac:dyDescent="0.25">
      <c r="A25">
        <v>3</v>
      </c>
      <c r="B25">
        <v>16</v>
      </c>
      <c r="C25">
        <v>261</v>
      </c>
      <c r="D25" s="11" t="s">
        <v>145</v>
      </c>
      <c r="E25" s="11" t="s">
        <v>238</v>
      </c>
      <c r="F25" s="11" t="s">
        <v>215</v>
      </c>
      <c r="G25" s="11" t="s">
        <v>254</v>
      </c>
      <c r="H25">
        <v>7</v>
      </c>
      <c r="I25" s="11" t="s">
        <v>173</v>
      </c>
      <c r="J25" s="11" t="s">
        <v>203</v>
      </c>
      <c r="K25" s="11" t="s">
        <v>174</v>
      </c>
      <c r="L25" s="11" t="s">
        <v>38</v>
      </c>
      <c r="M25" s="11" t="s">
        <v>38</v>
      </c>
      <c r="N25" s="11" t="s">
        <v>38</v>
      </c>
      <c r="O25" s="11" t="s">
        <v>38</v>
      </c>
      <c r="P25" t="s">
        <v>8</v>
      </c>
      <c r="Q25">
        <v>43</v>
      </c>
      <c r="R25">
        <v>0</v>
      </c>
      <c r="S25">
        <v>0</v>
      </c>
      <c r="T25" t="str">
        <f t="shared" si="0"/>
        <v>-</v>
      </c>
      <c r="U25" t="str">
        <f t="shared" si="1"/>
        <v>-</v>
      </c>
      <c r="V25" t="str">
        <f t="shared" si="2"/>
        <v>-</v>
      </c>
      <c r="W25" t="str">
        <f t="shared" si="3"/>
        <v>-</v>
      </c>
      <c r="X25" t="str">
        <f t="shared" si="4"/>
        <v>-</v>
      </c>
      <c r="Y25" t="str">
        <f t="shared" si="5"/>
        <v>-</v>
      </c>
      <c r="Z25" t="str">
        <f t="shared" si="6"/>
        <v>-</v>
      </c>
      <c r="AA25" t="str">
        <f t="shared" si="7"/>
        <v>-</v>
      </c>
      <c r="AB25" t="str">
        <f>IF(_xlfn.IFNA(VLOOKUP(P25,Set_Ref!$B$6:$B$1048576,1,FALSE),"")&lt;&gt;"","-",FALSE)</f>
        <v>-</v>
      </c>
      <c r="AC25" t="str">
        <f t="shared" si="8"/>
        <v>-</v>
      </c>
      <c r="AD25" t="str">
        <f t="shared" si="9"/>
        <v>-</v>
      </c>
      <c r="AE25" t="b">
        <f t="shared" si="10"/>
        <v>1</v>
      </c>
    </row>
    <row r="26" spans="1:31" x14ac:dyDescent="0.25">
      <c r="A26">
        <v>3</v>
      </c>
      <c r="B26">
        <v>17</v>
      </c>
      <c r="C26">
        <v>261</v>
      </c>
      <c r="D26" s="11" t="s">
        <v>145</v>
      </c>
      <c r="E26" s="11" t="s">
        <v>238</v>
      </c>
      <c r="F26" s="11" t="s">
        <v>215</v>
      </c>
      <c r="G26" s="11" t="s">
        <v>254</v>
      </c>
      <c r="H26">
        <v>7</v>
      </c>
      <c r="I26" s="11" t="s">
        <v>173</v>
      </c>
      <c r="J26" s="11" t="s">
        <v>203</v>
      </c>
      <c r="K26" s="11" t="s">
        <v>174</v>
      </c>
      <c r="L26" s="11" t="s">
        <v>38</v>
      </c>
      <c r="M26" s="11" t="s">
        <v>38</v>
      </c>
      <c r="N26" s="11" t="s">
        <v>38</v>
      </c>
      <c r="O26" s="11" t="s">
        <v>38</v>
      </c>
      <c r="P26" t="s">
        <v>8</v>
      </c>
      <c r="Q26">
        <v>52</v>
      </c>
      <c r="R26">
        <v>0</v>
      </c>
      <c r="S26">
        <v>0</v>
      </c>
      <c r="T26" t="str">
        <f t="shared" si="0"/>
        <v>-</v>
      </c>
      <c r="U26" t="str">
        <f t="shared" si="1"/>
        <v>-</v>
      </c>
      <c r="V26" t="str">
        <f t="shared" si="2"/>
        <v>-</v>
      </c>
      <c r="W26" t="str">
        <f t="shared" si="3"/>
        <v>-</v>
      </c>
      <c r="X26" t="str">
        <f t="shared" si="4"/>
        <v>-</v>
      </c>
      <c r="Y26" t="str">
        <f t="shared" si="5"/>
        <v>-</v>
      </c>
      <c r="Z26" t="str">
        <f t="shared" si="6"/>
        <v>-</v>
      </c>
      <c r="AA26" t="str">
        <f t="shared" si="7"/>
        <v>-</v>
      </c>
      <c r="AB26" t="str">
        <f>IF(_xlfn.IFNA(VLOOKUP(P26,Set_Ref!$B$6:$B$1048576,1,FALSE),"")&lt;&gt;"","-",FALSE)</f>
        <v>-</v>
      </c>
      <c r="AC26" t="str">
        <f t="shared" si="8"/>
        <v>-</v>
      </c>
      <c r="AD26" t="str">
        <f t="shared" si="9"/>
        <v>-</v>
      </c>
      <c r="AE26" t="b">
        <f t="shared" si="10"/>
        <v>1</v>
      </c>
    </row>
    <row r="27" spans="1:31" x14ac:dyDescent="0.25">
      <c r="A27">
        <v>3</v>
      </c>
      <c r="B27">
        <v>18</v>
      </c>
      <c r="C27">
        <v>261</v>
      </c>
      <c r="D27" s="11" t="s">
        <v>145</v>
      </c>
      <c r="E27" s="11" t="s">
        <v>238</v>
      </c>
      <c r="F27" s="11" t="s">
        <v>215</v>
      </c>
      <c r="G27" s="11" t="s">
        <v>254</v>
      </c>
      <c r="H27">
        <v>7</v>
      </c>
      <c r="I27" s="11" t="s">
        <v>173</v>
      </c>
      <c r="J27" s="11" t="s">
        <v>203</v>
      </c>
      <c r="K27" s="11" t="s">
        <v>174</v>
      </c>
      <c r="L27" s="11" t="s">
        <v>38</v>
      </c>
      <c r="M27" s="11" t="s">
        <v>38</v>
      </c>
      <c r="N27" s="11" t="s">
        <v>38</v>
      </c>
      <c r="O27" s="11" t="s">
        <v>38</v>
      </c>
      <c r="P27" t="s">
        <v>8</v>
      </c>
      <c r="Q27">
        <v>48</v>
      </c>
      <c r="R27">
        <v>0</v>
      </c>
      <c r="S27">
        <v>0</v>
      </c>
      <c r="T27" t="str">
        <f t="shared" si="0"/>
        <v>-</v>
      </c>
      <c r="U27" t="str">
        <f t="shared" si="1"/>
        <v>-</v>
      </c>
      <c r="V27" t="str">
        <f t="shared" si="2"/>
        <v>-</v>
      </c>
      <c r="W27" t="str">
        <f t="shared" si="3"/>
        <v>-</v>
      </c>
      <c r="X27" t="str">
        <f t="shared" si="4"/>
        <v>-</v>
      </c>
      <c r="Y27" t="str">
        <f t="shared" si="5"/>
        <v>-</v>
      </c>
      <c r="Z27" t="str">
        <f t="shared" si="6"/>
        <v>-</v>
      </c>
      <c r="AA27" t="str">
        <f t="shared" si="7"/>
        <v>-</v>
      </c>
      <c r="AB27" t="str">
        <f>IF(_xlfn.IFNA(VLOOKUP(P27,Set_Ref!$B$6:$B$1048576,1,FALSE),"")&lt;&gt;"","-",FALSE)</f>
        <v>-</v>
      </c>
      <c r="AC27" t="str">
        <f t="shared" si="8"/>
        <v>-</v>
      </c>
      <c r="AD27" t="str">
        <f t="shared" si="9"/>
        <v>-</v>
      </c>
      <c r="AE27" t="b">
        <f t="shared" si="10"/>
        <v>1</v>
      </c>
    </row>
    <row r="28" spans="1:31" x14ac:dyDescent="0.25">
      <c r="A28">
        <v>3</v>
      </c>
      <c r="B28">
        <v>19</v>
      </c>
      <c r="C28">
        <v>261</v>
      </c>
      <c r="D28" s="11" t="s">
        <v>145</v>
      </c>
      <c r="E28" s="11" t="s">
        <v>242</v>
      </c>
      <c r="F28" s="11" t="s">
        <v>218</v>
      </c>
      <c r="G28" s="11" t="s">
        <v>257</v>
      </c>
      <c r="H28">
        <v>1</v>
      </c>
      <c r="I28" s="11" t="s">
        <v>173</v>
      </c>
      <c r="J28" s="11" t="s">
        <v>192</v>
      </c>
      <c r="K28" s="11" t="s">
        <v>174</v>
      </c>
      <c r="L28" s="11" t="s">
        <v>38</v>
      </c>
      <c r="M28" s="11" t="s">
        <v>38</v>
      </c>
      <c r="N28" s="11" t="s">
        <v>38</v>
      </c>
      <c r="O28" s="11" t="s">
        <v>38</v>
      </c>
      <c r="P28" t="s">
        <v>8</v>
      </c>
      <c r="Q28">
        <v>65</v>
      </c>
      <c r="R28">
        <v>0</v>
      </c>
      <c r="S28">
        <v>0</v>
      </c>
      <c r="T28" t="str">
        <f t="shared" si="0"/>
        <v>-</v>
      </c>
      <c r="U28" t="str">
        <f t="shared" si="1"/>
        <v>-</v>
      </c>
      <c r="V28" t="str">
        <f t="shared" si="2"/>
        <v>-</v>
      </c>
      <c r="W28" t="str">
        <f t="shared" si="3"/>
        <v>-</v>
      </c>
      <c r="X28" t="str">
        <f t="shared" si="4"/>
        <v>-</v>
      </c>
      <c r="Y28" t="str">
        <f t="shared" si="5"/>
        <v>-</v>
      </c>
      <c r="Z28" t="str">
        <f t="shared" si="6"/>
        <v>-</v>
      </c>
      <c r="AA28" t="str">
        <f t="shared" si="7"/>
        <v>-</v>
      </c>
      <c r="AB28" t="str">
        <f>IF(_xlfn.IFNA(VLOOKUP(P28,Set_Ref!$B$6:$B$1048576,1,FALSE),"")&lt;&gt;"","-",FALSE)</f>
        <v>-</v>
      </c>
      <c r="AC28" t="str">
        <f t="shared" si="8"/>
        <v>-</v>
      </c>
      <c r="AD28" t="str">
        <f t="shared" si="9"/>
        <v>-</v>
      </c>
      <c r="AE28" t="b">
        <f t="shared" si="10"/>
        <v>1</v>
      </c>
    </row>
    <row r="29" spans="1:31" x14ac:dyDescent="0.25">
      <c r="A29">
        <v>3</v>
      </c>
      <c r="B29">
        <v>20</v>
      </c>
      <c r="C29">
        <v>261</v>
      </c>
      <c r="D29" s="11" t="s">
        <v>145</v>
      </c>
      <c r="E29" s="11" t="s">
        <v>242</v>
      </c>
      <c r="F29" s="11" t="s">
        <v>218</v>
      </c>
      <c r="G29" s="11" t="s">
        <v>257</v>
      </c>
      <c r="H29">
        <v>1</v>
      </c>
      <c r="I29" s="11" t="s">
        <v>173</v>
      </c>
      <c r="J29" s="11" t="s">
        <v>192</v>
      </c>
      <c r="K29" s="11" t="s">
        <v>174</v>
      </c>
      <c r="L29" s="11" t="s">
        <v>38</v>
      </c>
      <c r="M29" s="11" t="s">
        <v>38</v>
      </c>
      <c r="N29" s="11" t="s">
        <v>38</v>
      </c>
      <c r="O29" s="11" t="s">
        <v>38</v>
      </c>
      <c r="P29" t="s">
        <v>8</v>
      </c>
      <c r="Q29">
        <v>92</v>
      </c>
      <c r="R29">
        <v>0</v>
      </c>
      <c r="S29">
        <v>0</v>
      </c>
      <c r="T29" t="str">
        <f t="shared" si="0"/>
        <v>-</v>
      </c>
      <c r="U29" t="str">
        <f t="shared" si="1"/>
        <v>-</v>
      </c>
      <c r="V29" t="str">
        <f t="shared" si="2"/>
        <v>-</v>
      </c>
      <c r="W29" t="str">
        <f t="shared" si="3"/>
        <v>-</v>
      </c>
      <c r="X29" t="str">
        <f t="shared" si="4"/>
        <v>-</v>
      </c>
      <c r="Y29" t="str">
        <f t="shared" si="5"/>
        <v>-</v>
      </c>
      <c r="Z29" t="str">
        <f t="shared" si="6"/>
        <v>-</v>
      </c>
      <c r="AA29" t="str">
        <f t="shared" si="7"/>
        <v>-</v>
      </c>
      <c r="AB29" t="str">
        <f>IF(_xlfn.IFNA(VLOOKUP(P29,Set_Ref!$B$6:$B$1048576,1,FALSE),"")&lt;&gt;"","-",FALSE)</f>
        <v>-</v>
      </c>
      <c r="AC29" t="str">
        <f t="shared" si="8"/>
        <v>-</v>
      </c>
      <c r="AD29" t="str">
        <f t="shared" si="9"/>
        <v>-</v>
      </c>
      <c r="AE29" t="b">
        <f t="shared" si="10"/>
        <v>1</v>
      </c>
    </row>
    <row r="30" spans="1:31" x14ac:dyDescent="0.25">
      <c r="A30">
        <v>3</v>
      </c>
      <c r="B30">
        <v>21</v>
      </c>
      <c r="C30">
        <v>261</v>
      </c>
      <c r="D30" s="11" t="s">
        <v>145</v>
      </c>
      <c r="E30" s="11" t="s">
        <v>242</v>
      </c>
      <c r="F30" s="11" t="s">
        <v>218</v>
      </c>
      <c r="G30" s="11" t="s">
        <v>257</v>
      </c>
      <c r="H30">
        <v>1</v>
      </c>
      <c r="I30" s="11" t="s">
        <v>173</v>
      </c>
      <c r="J30" s="11" t="s">
        <v>192</v>
      </c>
      <c r="K30" s="11" t="s">
        <v>174</v>
      </c>
      <c r="L30" s="11" t="s">
        <v>38</v>
      </c>
      <c r="M30" s="11" t="s">
        <v>38</v>
      </c>
      <c r="N30" s="11" t="s">
        <v>38</v>
      </c>
      <c r="O30" s="11" t="s">
        <v>38</v>
      </c>
      <c r="P30" t="s">
        <v>8</v>
      </c>
      <c r="Q30">
        <v>130</v>
      </c>
      <c r="R30">
        <v>0</v>
      </c>
      <c r="S30">
        <v>0</v>
      </c>
      <c r="T30" t="str">
        <f t="shared" si="0"/>
        <v>-</v>
      </c>
      <c r="U30" t="str">
        <f t="shared" si="1"/>
        <v>-</v>
      </c>
      <c r="V30" t="str">
        <f t="shared" si="2"/>
        <v>-</v>
      </c>
      <c r="W30" t="str">
        <f t="shared" si="3"/>
        <v>-</v>
      </c>
      <c r="X30" t="str">
        <f t="shared" si="4"/>
        <v>-</v>
      </c>
      <c r="Y30" t="str">
        <f t="shared" si="5"/>
        <v>-</v>
      </c>
      <c r="Z30" t="str">
        <f t="shared" si="6"/>
        <v>-</v>
      </c>
      <c r="AA30" t="str">
        <f t="shared" si="7"/>
        <v>-</v>
      </c>
      <c r="AB30" t="str">
        <f>IF(_xlfn.IFNA(VLOOKUP(P30,Set_Ref!$B$6:$B$1048576,1,FALSE),"")&lt;&gt;"","-",FALSE)</f>
        <v>-</v>
      </c>
      <c r="AC30" t="str">
        <f t="shared" si="8"/>
        <v>-</v>
      </c>
      <c r="AD30" t="str">
        <f t="shared" si="9"/>
        <v>-</v>
      </c>
      <c r="AE30" t="b">
        <f t="shared" si="10"/>
        <v>1</v>
      </c>
    </row>
    <row r="31" spans="1:31" x14ac:dyDescent="0.25">
      <c r="A31">
        <v>3</v>
      </c>
      <c r="B31">
        <v>22</v>
      </c>
      <c r="C31">
        <v>261</v>
      </c>
      <c r="D31" s="11" t="s">
        <v>145</v>
      </c>
      <c r="E31" s="11" t="s">
        <v>242</v>
      </c>
      <c r="F31" s="11" t="s">
        <v>218</v>
      </c>
      <c r="G31" s="11" t="s">
        <v>257</v>
      </c>
      <c r="H31">
        <v>1</v>
      </c>
      <c r="I31" s="11" t="s">
        <v>173</v>
      </c>
      <c r="J31" s="11" t="s">
        <v>192</v>
      </c>
      <c r="K31" s="11" t="s">
        <v>174</v>
      </c>
      <c r="L31" s="11" t="s">
        <v>38</v>
      </c>
      <c r="M31" s="11" t="s">
        <v>38</v>
      </c>
      <c r="N31" s="11" t="s">
        <v>38</v>
      </c>
      <c r="O31" s="11" t="s">
        <v>38</v>
      </c>
      <c r="P31" t="s">
        <v>8</v>
      </c>
      <c r="Q31">
        <v>70</v>
      </c>
      <c r="R31">
        <v>0</v>
      </c>
      <c r="S31">
        <v>0</v>
      </c>
      <c r="T31" t="str">
        <f t="shared" si="0"/>
        <v>-</v>
      </c>
      <c r="U31" t="str">
        <f t="shared" si="1"/>
        <v>-</v>
      </c>
      <c r="V31" t="str">
        <f t="shared" si="2"/>
        <v>-</v>
      </c>
      <c r="W31" t="str">
        <f t="shared" si="3"/>
        <v>-</v>
      </c>
      <c r="X31" t="str">
        <f t="shared" si="4"/>
        <v>-</v>
      </c>
      <c r="Y31" t="str">
        <f t="shared" si="5"/>
        <v>-</v>
      </c>
      <c r="Z31" t="str">
        <f t="shared" si="6"/>
        <v>-</v>
      </c>
      <c r="AA31" t="str">
        <f t="shared" si="7"/>
        <v>-</v>
      </c>
      <c r="AB31" t="str">
        <f>IF(_xlfn.IFNA(VLOOKUP(P31,Set_Ref!$B$6:$B$1048576,1,FALSE),"")&lt;&gt;"","-",FALSE)</f>
        <v>-</v>
      </c>
      <c r="AC31" t="str">
        <f t="shared" si="8"/>
        <v>-</v>
      </c>
      <c r="AD31" t="str">
        <f t="shared" si="9"/>
        <v>-</v>
      </c>
      <c r="AE31" t="b">
        <f t="shared" si="10"/>
        <v>1</v>
      </c>
    </row>
    <row r="32" spans="1:31" x14ac:dyDescent="0.25">
      <c r="A32">
        <v>3</v>
      </c>
      <c r="B32">
        <v>23</v>
      </c>
      <c r="C32">
        <v>261</v>
      </c>
      <c r="D32" s="11" t="s">
        <v>145</v>
      </c>
      <c r="E32" s="11" t="s">
        <v>242</v>
      </c>
      <c r="F32" s="11" t="s">
        <v>218</v>
      </c>
      <c r="G32" s="11" t="s">
        <v>257</v>
      </c>
      <c r="H32">
        <v>1</v>
      </c>
      <c r="I32" s="11" t="s">
        <v>173</v>
      </c>
      <c r="J32" s="11" t="s">
        <v>192</v>
      </c>
      <c r="K32" s="11" t="s">
        <v>174</v>
      </c>
      <c r="L32" s="11" t="s">
        <v>38</v>
      </c>
      <c r="M32" s="11" t="s">
        <v>38</v>
      </c>
      <c r="N32" s="11" t="s">
        <v>38</v>
      </c>
      <c r="O32" s="11" t="s">
        <v>38</v>
      </c>
      <c r="P32" t="s">
        <v>8</v>
      </c>
      <c r="Q32">
        <v>70</v>
      </c>
      <c r="R32">
        <v>0</v>
      </c>
      <c r="S32">
        <v>0</v>
      </c>
      <c r="T32" t="str">
        <f t="shared" si="0"/>
        <v>-</v>
      </c>
      <c r="U32" t="str">
        <f t="shared" si="1"/>
        <v>-</v>
      </c>
      <c r="V32" t="str">
        <f t="shared" si="2"/>
        <v>-</v>
      </c>
      <c r="W32" t="str">
        <f t="shared" si="3"/>
        <v>-</v>
      </c>
      <c r="X32" t="str">
        <f t="shared" si="4"/>
        <v>-</v>
      </c>
      <c r="Y32" t="str">
        <f t="shared" si="5"/>
        <v>-</v>
      </c>
      <c r="Z32" t="str">
        <f t="shared" si="6"/>
        <v>-</v>
      </c>
      <c r="AA32" t="str">
        <f t="shared" si="7"/>
        <v>-</v>
      </c>
      <c r="AB32" t="str">
        <f>IF(_xlfn.IFNA(VLOOKUP(P32,Set_Ref!$B$6:$B$1048576,1,FALSE),"")&lt;&gt;"","-",FALSE)</f>
        <v>-</v>
      </c>
      <c r="AC32" t="str">
        <f t="shared" si="8"/>
        <v>-</v>
      </c>
      <c r="AD32" t="str">
        <f t="shared" si="9"/>
        <v>-</v>
      </c>
      <c r="AE32" t="b">
        <f t="shared" si="10"/>
        <v>1</v>
      </c>
    </row>
    <row r="33" spans="1:31" x14ac:dyDescent="0.25">
      <c r="A33">
        <v>3</v>
      </c>
      <c r="B33">
        <v>24</v>
      </c>
      <c r="C33">
        <v>261</v>
      </c>
      <c r="D33" s="11" t="s">
        <v>145</v>
      </c>
      <c r="E33" s="11" t="s">
        <v>242</v>
      </c>
      <c r="F33" s="11" t="s">
        <v>218</v>
      </c>
      <c r="G33" s="11" t="s">
        <v>257</v>
      </c>
      <c r="H33">
        <v>1</v>
      </c>
      <c r="I33" s="11" t="s">
        <v>173</v>
      </c>
      <c r="J33" s="11" t="s">
        <v>192</v>
      </c>
      <c r="K33" s="11" t="s">
        <v>174</v>
      </c>
      <c r="L33" s="11" t="s">
        <v>38</v>
      </c>
      <c r="M33" s="11" t="s">
        <v>38</v>
      </c>
      <c r="N33" s="11" t="s">
        <v>38</v>
      </c>
      <c r="O33" s="11" t="s">
        <v>38</v>
      </c>
      <c r="P33" t="s">
        <v>8</v>
      </c>
      <c r="Q33">
        <v>86</v>
      </c>
      <c r="R33">
        <v>0</v>
      </c>
      <c r="S33">
        <v>0</v>
      </c>
      <c r="T33" t="str">
        <f t="shared" si="0"/>
        <v>-</v>
      </c>
      <c r="U33" t="str">
        <f t="shared" si="1"/>
        <v>-</v>
      </c>
      <c r="V33" t="str">
        <f t="shared" si="2"/>
        <v>-</v>
      </c>
      <c r="W33" t="str">
        <f t="shared" si="3"/>
        <v>-</v>
      </c>
      <c r="X33" t="str">
        <f t="shared" si="4"/>
        <v>-</v>
      </c>
      <c r="Y33" t="str">
        <f t="shared" si="5"/>
        <v>-</v>
      </c>
      <c r="Z33" t="str">
        <f t="shared" si="6"/>
        <v>-</v>
      </c>
      <c r="AA33" t="str">
        <f t="shared" si="7"/>
        <v>-</v>
      </c>
      <c r="AB33" t="str">
        <f>IF(_xlfn.IFNA(VLOOKUP(P33,Set_Ref!$B$6:$B$1048576,1,FALSE),"")&lt;&gt;"","-",FALSE)</f>
        <v>-</v>
      </c>
      <c r="AC33" t="str">
        <f t="shared" si="8"/>
        <v>-</v>
      </c>
      <c r="AD33" t="str">
        <f t="shared" si="9"/>
        <v>-</v>
      </c>
      <c r="AE33" t="b">
        <f t="shared" si="10"/>
        <v>1</v>
      </c>
    </row>
    <row r="34" spans="1:31" x14ac:dyDescent="0.25">
      <c r="A34">
        <v>3</v>
      </c>
      <c r="B34">
        <v>25</v>
      </c>
      <c r="C34">
        <v>261</v>
      </c>
      <c r="D34" s="11" t="s">
        <v>145</v>
      </c>
      <c r="E34" s="11" t="s">
        <v>243</v>
      </c>
      <c r="F34" s="11" t="s">
        <v>219</v>
      </c>
      <c r="G34" s="11" t="s">
        <v>258</v>
      </c>
      <c r="H34">
        <v>2</v>
      </c>
      <c r="I34" s="11" t="s">
        <v>173</v>
      </c>
      <c r="J34" s="11" t="s">
        <v>259</v>
      </c>
      <c r="K34" s="11" t="s">
        <v>174</v>
      </c>
      <c r="L34" s="11" t="s">
        <v>38</v>
      </c>
      <c r="M34" s="11" t="s">
        <v>38</v>
      </c>
      <c r="N34" s="11" t="s">
        <v>38</v>
      </c>
      <c r="O34" s="11" t="s">
        <v>38</v>
      </c>
      <c r="P34" t="s">
        <v>8</v>
      </c>
      <c r="Q34">
        <v>1</v>
      </c>
      <c r="R34">
        <v>0</v>
      </c>
      <c r="S34">
        <v>0</v>
      </c>
      <c r="T34" t="str">
        <f t="shared" si="0"/>
        <v>-</v>
      </c>
      <c r="U34" t="str">
        <f t="shared" si="1"/>
        <v>-</v>
      </c>
      <c r="V34" t="str">
        <f t="shared" si="2"/>
        <v>-</v>
      </c>
      <c r="W34" t="str">
        <f t="shared" si="3"/>
        <v>-</v>
      </c>
      <c r="X34" t="str">
        <f t="shared" si="4"/>
        <v>-</v>
      </c>
      <c r="Y34" t="str">
        <f t="shared" si="5"/>
        <v>-</v>
      </c>
      <c r="Z34" t="str">
        <f t="shared" si="6"/>
        <v>-</v>
      </c>
      <c r="AA34" t="str">
        <f t="shared" si="7"/>
        <v>-</v>
      </c>
      <c r="AB34" t="str">
        <f>IF(_xlfn.IFNA(VLOOKUP(P34,Set_Ref!$B$6:$B$1048576,1,FALSE),"")&lt;&gt;"","-",FALSE)</f>
        <v>-</v>
      </c>
      <c r="AC34" t="str">
        <f t="shared" si="8"/>
        <v>-</v>
      </c>
      <c r="AD34" t="str">
        <f t="shared" si="9"/>
        <v>-</v>
      </c>
      <c r="AE34" t="b">
        <f t="shared" si="10"/>
        <v>1</v>
      </c>
    </row>
    <row r="35" spans="1:31" x14ac:dyDescent="0.25">
      <c r="A35">
        <v>3</v>
      </c>
      <c r="B35">
        <v>26</v>
      </c>
      <c r="C35">
        <v>261</v>
      </c>
      <c r="D35" s="11" t="s">
        <v>145</v>
      </c>
      <c r="E35" s="11" t="s">
        <v>243</v>
      </c>
      <c r="F35" s="11" t="s">
        <v>219</v>
      </c>
      <c r="G35" s="11" t="s">
        <v>258</v>
      </c>
      <c r="H35">
        <v>2</v>
      </c>
      <c r="I35" s="11" t="s">
        <v>173</v>
      </c>
      <c r="J35" s="11" t="s">
        <v>259</v>
      </c>
      <c r="K35" s="11" t="s">
        <v>174</v>
      </c>
      <c r="L35" s="11" t="s">
        <v>38</v>
      </c>
      <c r="M35" s="11" t="s">
        <v>38</v>
      </c>
      <c r="N35" s="11" t="s">
        <v>38</v>
      </c>
      <c r="O35" s="11" t="s">
        <v>38</v>
      </c>
      <c r="P35" t="s">
        <v>8</v>
      </c>
      <c r="Q35">
        <v>1</v>
      </c>
      <c r="R35">
        <v>0</v>
      </c>
      <c r="S35">
        <v>0</v>
      </c>
      <c r="T35" t="str">
        <f t="shared" si="0"/>
        <v>-</v>
      </c>
      <c r="U35" t="str">
        <f t="shared" si="1"/>
        <v>-</v>
      </c>
      <c r="V35" t="str">
        <f t="shared" si="2"/>
        <v>-</v>
      </c>
      <c r="W35" t="str">
        <f t="shared" si="3"/>
        <v>-</v>
      </c>
      <c r="X35" t="str">
        <f t="shared" si="4"/>
        <v>-</v>
      </c>
      <c r="Y35" t="str">
        <f t="shared" si="5"/>
        <v>-</v>
      </c>
      <c r="Z35" t="str">
        <f t="shared" si="6"/>
        <v>-</v>
      </c>
      <c r="AA35" t="str">
        <f t="shared" si="7"/>
        <v>-</v>
      </c>
      <c r="AB35" t="str">
        <f>IF(_xlfn.IFNA(VLOOKUP(P35,Set_Ref!$B$6:$B$1048576,1,FALSE),"")&lt;&gt;"","-",FALSE)</f>
        <v>-</v>
      </c>
      <c r="AC35" t="str">
        <f t="shared" si="8"/>
        <v>-</v>
      </c>
      <c r="AD35" t="str">
        <f t="shared" si="9"/>
        <v>-</v>
      </c>
      <c r="AE35" t="b">
        <f t="shared" si="10"/>
        <v>1</v>
      </c>
    </row>
    <row r="36" spans="1:31" x14ac:dyDescent="0.25">
      <c r="A36">
        <v>3</v>
      </c>
      <c r="B36">
        <v>27</v>
      </c>
      <c r="C36">
        <v>261</v>
      </c>
      <c r="D36" s="11" t="s">
        <v>145</v>
      </c>
      <c r="E36" s="11" t="s">
        <v>243</v>
      </c>
      <c r="F36" s="11" t="s">
        <v>219</v>
      </c>
      <c r="G36" s="11" t="s">
        <v>258</v>
      </c>
      <c r="H36">
        <v>2</v>
      </c>
      <c r="I36" s="11" t="s">
        <v>173</v>
      </c>
      <c r="J36" s="11" t="s">
        <v>259</v>
      </c>
      <c r="K36" s="11" t="s">
        <v>174</v>
      </c>
      <c r="L36" s="11" t="s">
        <v>38</v>
      </c>
      <c r="M36" s="11" t="s">
        <v>38</v>
      </c>
      <c r="N36" s="11" t="s">
        <v>38</v>
      </c>
      <c r="O36" s="11" t="s">
        <v>38</v>
      </c>
      <c r="P36" t="s">
        <v>8</v>
      </c>
      <c r="Q36">
        <v>1</v>
      </c>
      <c r="R36">
        <v>0</v>
      </c>
      <c r="S36">
        <v>0</v>
      </c>
      <c r="T36" t="str">
        <f t="shared" si="0"/>
        <v>-</v>
      </c>
      <c r="U36" t="str">
        <f t="shared" si="1"/>
        <v>-</v>
      </c>
      <c r="V36" t="str">
        <f t="shared" si="2"/>
        <v>-</v>
      </c>
      <c r="W36" t="str">
        <f t="shared" si="3"/>
        <v>-</v>
      </c>
      <c r="X36" t="str">
        <f t="shared" si="4"/>
        <v>-</v>
      </c>
      <c r="Y36" t="str">
        <f t="shared" si="5"/>
        <v>-</v>
      </c>
      <c r="Z36" t="str">
        <f t="shared" si="6"/>
        <v>-</v>
      </c>
      <c r="AA36" t="str">
        <f t="shared" si="7"/>
        <v>-</v>
      </c>
      <c r="AB36" t="str">
        <f>IF(_xlfn.IFNA(VLOOKUP(P36,Set_Ref!$B$6:$B$1048576,1,FALSE),"")&lt;&gt;"","-",FALSE)</f>
        <v>-</v>
      </c>
      <c r="AC36" t="str">
        <f t="shared" si="8"/>
        <v>-</v>
      </c>
      <c r="AD36" t="str">
        <f t="shared" si="9"/>
        <v>-</v>
      </c>
      <c r="AE36" t="b">
        <f t="shared" si="10"/>
        <v>1</v>
      </c>
    </row>
    <row r="37" spans="1:31" x14ac:dyDescent="0.25">
      <c r="A37">
        <v>3</v>
      </c>
      <c r="B37">
        <v>28</v>
      </c>
      <c r="C37">
        <v>261</v>
      </c>
      <c r="D37" s="11" t="s">
        <v>145</v>
      </c>
      <c r="E37" s="11" t="s">
        <v>243</v>
      </c>
      <c r="F37" s="11" t="s">
        <v>219</v>
      </c>
      <c r="G37" s="11" t="s">
        <v>258</v>
      </c>
      <c r="H37">
        <v>2</v>
      </c>
      <c r="I37" s="11" t="s">
        <v>173</v>
      </c>
      <c r="J37" s="11" t="s">
        <v>259</v>
      </c>
      <c r="K37" s="11" t="s">
        <v>174</v>
      </c>
      <c r="L37" s="11" t="s">
        <v>38</v>
      </c>
      <c r="M37" s="11" t="s">
        <v>38</v>
      </c>
      <c r="N37" s="11" t="s">
        <v>38</v>
      </c>
      <c r="O37" s="11" t="s">
        <v>38</v>
      </c>
      <c r="P37" t="s">
        <v>8</v>
      </c>
      <c r="Q37">
        <v>4</v>
      </c>
      <c r="R37">
        <v>0</v>
      </c>
      <c r="S37">
        <v>0</v>
      </c>
      <c r="T37" t="str">
        <f t="shared" si="0"/>
        <v>-</v>
      </c>
      <c r="U37" t="str">
        <f t="shared" si="1"/>
        <v>-</v>
      </c>
      <c r="V37" t="str">
        <f t="shared" si="2"/>
        <v>-</v>
      </c>
      <c r="W37" t="str">
        <f t="shared" si="3"/>
        <v>-</v>
      </c>
      <c r="X37" t="str">
        <f t="shared" si="4"/>
        <v>-</v>
      </c>
      <c r="Y37" t="str">
        <f t="shared" si="5"/>
        <v>-</v>
      </c>
      <c r="Z37" t="str">
        <f t="shared" si="6"/>
        <v>-</v>
      </c>
      <c r="AA37" t="str">
        <f t="shared" si="7"/>
        <v>-</v>
      </c>
      <c r="AB37" t="str">
        <f>IF(_xlfn.IFNA(VLOOKUP(P37,Set_Ref!$B$6:$B$1048576,1,FALSE),"")&lt;&gt;"","-",FALSE)</f>
        <v>-</v>
      </c>
      <c r="AC37" t="str">
        <f t="shared" si="8"/>
        <v>-</v>
      </c>
      <c r="AD37" t="str">
        <f t="shared" si="9"/>
        <v>-</v>
      </c>
      <c r="AE37" t="b">
        <f t="shared" si="10"/>
        <v>1</v>
      </c>
    </row>
    <row r="38" spans="1:31" x14ac:dyDescent="0.25">
      <c r="A38">
        <v>3</v>
      </c>
      <c r="B38">
        <v>29</v>
      </c>
      <c r="C38">
        <v>261</v>
      </c>
      <c r="D38" s="11" t="s">
        <v>145</v>
      </c>
      <c r="E38" s="11" t="s">
        <v>237</v>
      </c>
      <c r="F38" s="11" t="s">
        <v>220</v>
      </c>
      <c r="G38" s="11" t="s">
        <v>253</v>
      </c>
      <c r="H38">
        <v>7</v>
      </c>
      <c r="I38" s="11" t="s">
        <v>173</v>
      </c>
      <c r="J38" s="11" t="s">
        <v>260</v>
      </c>
      <c r="K38" s="11" t="s">
        <v>174</v>
      </c>
      <c r="L38" s="11" t="s">
        <v>38</v>
      </c>
      <c r="M38" s="11" t="s">
        <v>38</v>
      </c>
      <c r="N38" s="11" t="s">
        <v>38</v>
      </c>
      <c r="O38" s="11" t="s">
        <v>38</v>
      </c>
      <c r="P38" t="s">
        <v>8</v>
      </c>
      <c r="Q38">
        <v>26</v>
      </c>
      <c r="R38">
        <v>0</v>
      </c>
      <c r="S38">
        <v>0</v>
      </c>
      <c r="T38" t="str">
        <f t="shared" si="0"/>
        <v>-</v>
      </c>
      <c r="U38" t="str">
        <f t="shared" si="1"/>
        <v>-</v>
      </c>
      <c r="V38" t="str">
        <f t="shared" si="2"/>
        <v>-</v>
      </c>
      <c r="W38" t="str">
        <f t="shared" si="3"/>
        <v>-</v>
      </c>
      <c r="X38" t="str">
        <f t="shared" si="4"/>
        <v>-</v>
      </c>
      <c r="Y38" t="str">
        <f t="shared" si="5"/>
        <v>-</v>
      </c>
      <c r="Z38" t="str">
        <f t="shared" si="6"/>
        <v>-</v>
      </c>
      <c r="AA38" t="str">
        <f t="shared" si="7"/>
        <v>-</v>
      </c>
      <c r="AB38" t="str">
        <f>IF(_xlfn.IFNA(VLOOKUP(P38,Set_Ref!$B$6:$B$1048576,1,FALSE),"")&lt;&gt;"","-",FALSE)</f>
        <v>-</v>
      </c>
      <c r="AC38" t="str">
        <f t="shared" si="8"/>
        <v>-</v>
      </c>
      <c r="AD38" t="str">
        <f t="shared" si="9"/>
        <v>-</v>
      </c>
      <c r="AE38" t="b">
        <f t="shared" si="10"/>
        <v>1</v>
      </c>
    </row>
    <row r="39" spans="1:31" x14ac:dyDescent="0.25">
      <c r="A39">
        <v>3</v>
      </c>
      <c r="B39">
        <v>30</v>
      </c>
      <c r="C39">
        <v>261</v>
      </c>
      <c r="D39" s="11" t="s">
        <v>145</v>
      </c>
      <c r="E39" s="11" t="s">
        <v>237</v>
      </c>
      <c r="F39" s="11" t="s">
        <v>220</v>
      </c>
      <c r="G39" s="11" t="s">
        <v>253</v>
      </c>
      <c r="H39">
        <v>7</v>
      </c>
      <c r="I39" s="11" t="s">
        <v>173</v>
      </c>
      <c r="J39" s="11" t="s">
        <v>260</v>
      </c>
      <c r="K39" s="11" t="s">
        <v>174</v>
      </c>
      <c r="L39" s="11" t="s">
        <v>38</v>
      </c>
      <c r="M39" s="11" t="s">
        <v>38</v>
      </c>
      <c r="N39" s="11" t="s">
        <v>38</v>
      </c>
      <c r="O39" s="11" t="s">
        <v>38</v>
      </c>
      <c r="P39" t="s">
        <v>8</v>
      </c>
      <c r="Q39">
        <v>38</v>
      </c>
      <c r="R39">
        <v>0</v>
      </c>
      <c r="S39">
        <v>0</v>
      </c>
      <c r="T39" t="str">
        <f t="shared" si="0"/>
        <v>-</v>
      </c>
      <c r="U39" t="str">
        <f t="shared" si="1"/>
        <v>-</v>
      </c>
      <c r="V39" t="str">
        <f t="shared" si="2"/>
        <v>-</v>
      </c>
      <c r="W39" t="str">
        <f t="shared" si="3"/>
        <v>-</v>
      </c>
      <c r="X39" t="str">
        <f t="shared" si="4"/>
        <v>-</v>
      </c>
      <c r="Y39" t="str">
        <f t="shared" si="5"/>
        <v>-</v>
      </c>
      <c r="Z39" t="str">
        <f t="shared" si="6"/>
        <v>-</v>
      </c>
      <c r="AA39" t="str">
        <f t="shared" si="7"/>
        <v>-</v>
      </c>
      <c r="AB39" t="str">
        <f>IF(_xlfn.IFNA(VLOOKUP(P39,Set_Ref!$B$6:$B$1048576,1,FALSE),"")&lt;&gt;"","-",FALSE)</f>
        <v>-</v>
      </c>
      <c r="AC39" t="str">
        <f t="shared" si="8"/>
        <v>-</v>
      </c>
      <c r="AD39" t="str">
        <f t="shared" si="9"/>
        <v>-</v>
      </c>
      <c r="AE39" t="b">
        <f t="shared" si="10"/>
        <v>1</v>
      </c>
    </row>
    <row r="40" spans="1:31" x14ac:dyDescent="0.25">
      <c r="A40">
        <v>3</v>
      </c>
      <c r="B40">
        <v>31</v>
      </c>
      <c r="C40">
        <v>261</v>
      </c>
      <c r="D40" s="11" t="s">
        <v>145</v>
      </c>
      <c r="E40" s="11" t="s">
        <v>237</v>
      </c>
      <c r="F40" s="11" t="s">
        <v>220</v>
      </c>
      <c r="G40" s="11" t="s">
        <v>253</v>
      </c>
      <c r="H40">
        <v>7</v>
      </c>
      <c r="I40" s="11" t="s">
        <v>173</v>
      </c>
      <c r="J40" s="11" t="s">
        <v>260</v>
      </c>
      <c r="K40" s="11" t="s">
        <v>174</v>
      </c>
      <c r="L40" s="11" t="s">
        <v>38</v>
      </c>
      <c r="M40" s="11" t="s">
        <v>38</v>
      </c>
      <c r="N40" s="11" t="s">
        <v>38</v>
      </c>
      <c r="O40" s="11" t="s">
        <v>38</v>
      </c>
      <c r="P40" t="s">
        <v>8</v>
      </c>
      <c r="Q40">
        <v>19</v>
      </c>
      <c r="R40">
        <v>0</v>
      </c>
      <c r="S40">
        <v>0</v>
      </c>
      <c r="T40" t="str">
        <f t="shared" si="0"/>
        <v>-</v>
      </c>
      <c r="U40" t="str">
        <f t="shared" si="1"/>
        <v>-</v>
      </c>
      <c r="V40" t="str">
        <f t="shared" si="2"/>
        <v>-</v>
      </c>
      <c r="W40" t="str">
        <f t="shared" si="3"/>
        <v>-</v>
      </c>
      <c r="X40" t="str">
        <f t="shared" si="4"/>
        <v>-</v>
      </c>
      <c r="Y40" t="str">
        <f t="shared" si="5"/>
        <v>-</v>
      </c>
      <c r="Z40" t="str">
        <f t="shared" si="6"/>
        <v>-</v>
      </c>
      <c r="AA40" t="str">
        <f t="shared" si="7"/>
        <v>-</v>
      </c>
      <c r="AB40" t="str">
        <f>IF(_xlfn.IFNA(VLOOKUP(P40,Set_Ref!$B$6:$B$1048576,1,FALSE),"")&lt;&gt;"","-",FALSE)</f>
        <v>-</v>
      </c>
      <c r="AC40" t="str">
        <f t="shared" si="8"/>
        <v>-</v>
      </c>
      <c r="AD40" t="str">
        <f t="shared" si="9"/>
        <v>-</v>
      </c>
      <c r="AE40" t="b">
        <f t="shared" si="10"/>
        <v>1</v>
      </c>
    </row>
    <row r="41" spans="1:31" x14ac:dyDescent="0.25">
      <c r="A41">
        <v>3</v>
      </c>
      <c r="B41">
        <v>32</v>
      </c>
      <c r="C41">
        <v>261</v>
      </c>
      <c r="D41" s="11" t="s">
        <v>145</v>
      </c>
      <c r="E41" s="11" t="s">
        <v>237</v>
      </c>
      <c r="F41" s="11" t="s">
        <v>220</v>
      </c>
      <c r="G41" s="11" t="s">
        <v>253</v>
      </c>
      <c r="H41">
        <v>7</v>
      </c>
      <c r="I41" s="11" t="s">
        <v>173</v>
      </c>
      <c r="J41" s="11" t="s">
        <v>260</v>
      </c>
      <c r="K41" s="11" t="s">
        <v>174</v>
      </c>
      <c r="L41" s="11" t="s">
        <v>38</v>
      </c>
      <c r="M41" s="11" t="s">
        <v>38</v>
      </c>
      <c r="N41" s="11" t="s">
        <v>38</v>
      </c>
      <c r="O41" s="11" t="s">
        <v>38</v>
      </c>
      <c r="P41" t="s">
        <v>8</v>
      </c>
      <c r="Q41">
        <v>22</v>
      </c>
      <c r="R41">
        <v>0</v>
      </c>
      <c r="S41">
        <v>0</v>
      </c>
      <c r="T41" t="str">
        <f t="shared" si="0"/>
        <v>-</v>
      </c>
      <c r="U41" t="str">
        <f t="shared" si="1"/>
        <v>-</v>
      </c>
      <c r="V41" t="str">
        <f t="shared" si="2"/>
        <v>-</v>
      </c>
      <c r="W41" t="str">
        <f t="shared" si="3"/>
        <v>-</v>
      </c>
      <c r="X41" t="str">
        <f t="shared" si="4"/>
        <v>-</v>
      </c>
      <c r="Y41" t="str">
        <f t="shared" si="5"/>
        <v>-</v>
      </c>
      <c r="Z41" t="str">
        <f t="shared" si="6"/>
        <v>-</v>
      </c>
      <c r="AA41" t="str">
        <f t="shared" si="7"/>
        <v>-</v>
      </c>
      <c r="AB41" t="str">
        <f>IF(_xlfn.IFNA(VLOOKUP(P41,Set_Ref!$B$6:$B$1048576,1,FALSE),"")&lt;&gt;"","-",FALSE)</f>
        <v>-</v>
      </c>
      <c r="AC41" t="str">
        <f t="shared" si="8"/>
        <v>-</v>
      </c>
      <c r="AD41" t="str">
        <f t="shared" si="9"/>
        <v>-</v>
      </c>
      <c r="AE41" t="b">
        <f t="shared" si="10"/>
        <v>1</v>
      </c>
    </row>
    <row r="42" spans="1:31" x14ac:dyDescent="0.25">
      <c r="A42">
        <v>3</v>
      </c>
      <c r="B42">
        <v>33</v>
      </c>
      <c r="C42">
        <v>261</v>
      </c>
      <c r="D42" s="11" t="s">
        <v>145</v>
      </c>
      <c r="E42" s="11" t="s">
        <v>237</v>
      </c>
      <c r="F42" s="11" t="s">
        <v>220</v>
      </c>
      <c r="G42" s="11" t="s">
        <v>253</v>
      </c>
      <c r="H42">
        <v>7</v>
      </c>
      <c r="I42" s="11" t="s">
        <v>173</v>
      </c>
      <c r="J42" s="11" t="s">
        <v>260</v>
      </c>
      <c r="K42" s="11" t="s">
        <v>174</v>
      </c>
      <c r="L42" s="11" t="s">
        <v>38</v>
      </c>
      <c r="M42" s="11" t="s">
        <v>38</v>
      </c>
      <c r="N42" s="11" t="s">
        <v>38</v>
      </c>
      <c r="O42" s="11" t="s">
        <v>38</v>
      </c>
      <c r="P42" t="s">
        <v>8</v>
      </c>
      <c r="Q42">
        <v>15</v>
      </c>
      <c r="R42">
        <v>0</v>
      </c>
      <c r="S42">
        <v>0</v>
      </c>
      <c r="T42" t="str">
        <f t="shared" si="0"/>
        <v>-</v>
      </c>
      <c r="U42" t="str">
        <f t="shared" si="1"/>
        <v>-</v>
      </c>
      <c r="V42" t="str">
        <f t="shared" si="2"/>
        <v>-</v>
      </c>
      <c r="W42" t="str">
        <f t="shared" si="3"/>
        <v>-</v>
      </c>
      <c r="X42" t="str">
        <f t="shared" si="4"/>
        <v>-</v>
      </c>
      <c r="Y42" t="str">
        <f t="shared" si="5"/>
        <v>-</v>
      </c>
      <c r="Z42" t="str">
        <f t="shared" si="6"/>
        <v>-</v>
      </c>
      <c r="AA42" t="str">
        <f t="shared" si="7"/>
        <v>-</v>
      </c>
      <c r="AB42" t="str">
        <f>IF(_xlfn.IFNA(VLOOKUP(P42,Set_Ref!$B$6:$B$1048576,1,FALSE),"")&lt;&gt;"","-",FALSE)</f>
        <v>-</v>
      </c>
      <c r="AC42" t="str">
        <f t="shared" si="8"/>
        <v>-</v>
      </c>
      <c r="AD42" t="str">
        <f t="shared" si="9"/>
        <v>-</v>
      </c>
      <c r="AE42" t="b">
        <f t="shared" si="10"/>
        <v>1</v>
      </c>
    </row>
    <row r="43" spans="1:31" x14ac:dyDescent="0.25">
      <c r="A43">
        <v>3</v>
      </c>
      <c r="B43">
        <v>34</v>
      </c>
      <c r="C43">
        <v>261</v>
      </c>
      <c r="D43" s="11" t="s">
        <v>145</v>
      </c>
      <c r="E43" s="11" t="s">
        <v>237</v>
      </c>
      <c r="F43" s="11" t="s">
        <v>220</v>
      </c>
      <c r="G43" s="11" t="s">
        <v>253</v>
      </c>
      <c r="H43">
        <v>7</v>
      </c>
      <c r="I43" s="11" t="s">
        <v>173</v>
      </c>
      <c r="J43" s="11" t="s">
        <v>260</v>
      </c>
      <c r="K43" s="11" t="s">
        <v>174</v>
      </c>
      <c r="L43" s="11" t="s">
        <v>38</v>
      </c>
      <c r="M43" s="11" t="s">
        <v>38</v>
      </c>
      <c r="N43" s="11" t="s">
        <v>38</v>
      </c>
      <c r="O43" s="11" t="s">
        <v>38</v>
      </c>
      <c r="P43" t="s">
        <v>8</v>
      </c>
      <c r="Q43">
        <v>30</v>
      </c>
      <c r="R43">
        <v>0</v>
      </c>
      <c r="S43">
        <v>0</v>
      </c>
      <c r="T43" t="str">
        <f t="shared" si="0"/>
        <v>-</v>
      </c>
      <c r="U43" t="str">
        <f t="shared" si="1"/>
        <v>-</v>
      </c>
      <c r="V43" t="str">
        <f t="shared" si="2"/>
        <v>-</v>
      </c>
      <c r="W43" t="str">
        <f t="shared" si="3"/>
        <v>-</v>
      </c>
      <c r="X43" t="str">
        <f t="shared" si="4"/>
        <v>-</v>
      </c>
      <c r="Y43" t="str">
        <f t="shared" si="5"/>
        <v>-</v>
      </c>
      <c r="Z43" t="str">
        <f t="shared" si="6"/>
        <v>-</v>
      </c>
      <c r="AA43" t="str">
        <f t="shared" si="7"/>
        <v>-</v>
      </c>
      <c r="AB43" t="str">
        <f>IF(_xlfn.IFNA(VLOOKUP(P43,Set_Ref!$B$6:$B$1048576,1,FALSE),"")&lt;&gt;"","-",FALSE)</f>
        <v>-</v>
      </c>
      <c r="AC43" t="str">
        <f t="shared" si="8"/>
        <v>-</v>
      </c>
      <c r="AD43" t="str">
        <f t="shared" si="9"/>
        <v>-</v>
      </c>
      <c r="AE43" t="b">
        <f t="shared" si="10"/>
        <v>1</v>
      </c>
    </row>
    <row r="44" spans="1:31" x14ac:dyDescent="0.25">
      <c r="A44">
        <v>3</v>
      </c>
      <c r="B44">
        <v>35</v>
      </c>
      <c r="C44">
        <v>261</v>
      </c>
      <c r="D44" s="11" t="s">
        <v>145</v>
      </c>
      <c r="E44" s="11" t="s">
        <v>240</v>
      </c>
      <c r="F44" s="11" t="s">
        <v>214</v>
      </c>
      <c r="G44" s="11" t="s">
        <v>255</v>
      </c>
      <c r="H44">
        <v>2</v>
      </c>
      <c r="I44" s="11" t="s">
        <v>173</v>
      </c>
      <c r="J44" s="11" t="s">
        <v>192</v>
      </c>
      <c r="K44" s="11" t="s">
        <v>174</v>
      </c>
      <c r="L44" s="11" t="s">
        <v>38</v>
      </c>
      <c r="M44" s="11" t="s">
        <v>38</v>
      </c>
      <c r="N44" s="11" t="s">
        <v>38</v>
      </c>
      <c r="O44" s="11" t="s">
        <v>38</v>
      </c>
      <c r="P44" t="s">
        <v>8</v>
      </c>
      <c r="Q44">
        <v>32</v>
      </c>
      <c r="R44">
        <v>0</v>
      </c>
      <c r="S44">
        <v>0</v>
      </c>
      <c r="T44" t="str">
        <f t="shared" si="0"/>
        <v>-</v>
      </c>
      <c r="U44" t="str">
        <f t="shared" si="1"/>
        <v>-</v>
      </c>
      <c r="V44" t="str">
        <f t="shared" si="2"/>
        <v>-</v>
      </c>
      <c r="W44" t="str">
        <f t="shared" si="3"/>
        <v>-</v>
      </c>
      <c r="X44" t="str">
        <f t="shared" si="4"/>
        <v>-</v>
      </c>
      <c r="Y44" t="str">
        <f t="shared" si="5"/>
        <v>-</v>
      </c>
      <c r="Z44" t="str">
        <f t="shared" si="6"/>
        <v>-</v>
      </c>
      <c r="AA44" t="str">
        <f t="shared" si="7"/>
        <v>-</v>
      </c>
      <c r="AB44" t="str">
        <f>IF(_xlfn.IFNA(VLOOKUP(P44,Set_Ref!$B$6:$B$1048576,1,FALSE),"")&lt;&gt;"","-",FALSE)</f>
        <v>-</v>
      </c>
      <c r="AC44" t="str">
        <f t="shared" si="8"/>
        <v>-</v>
      </c>
      <c r="AD44" t="str">
        <f t="shared" si="9"/>
        <v>-</v>
      </c>
      <c r="AE44" t="b">
        <f t="shared" si="10"/>
        <v>1</v>
      </c>
    </row>
    <row r="45" spans="1:31" x14ac:dyDescent="0.25">
      <c r="A45">
        <v>3</v>
      </c>
      <c r="B45">
        <v>36</v>
      </c>
      <c r="C45">
        <v>261</v>
      </c>
      <c r="D45" s="11" t="s">
        <v>145</v>
      </c>
      <c r="E45" s="11" t="s">
        <v>240</v>
      </c>
      <c r="F45" s="11" t="s">
        <v>214</v>
      </c>
      <c r="G45" s="11" t="s">
        <v>255</v>
      </c>
      <c r="H45">
        <v>2</v>
      </c>
      <c r="I45" s="11" t="s">
        <v>173</v>
      </c>
      <c r="J45" s="11" t="s">
        <v>192</v>
      </c>
      <c r="K45" s="11" t="s">
        <v>174</v>
      </c>
      <c r="L45" s="11" t="s">
        <v>38</v>
      </c>
      <c r="M45" s="11" t="s">
        <v>38</v>
      </c>
      <c r="N45" s="11" t="s">
        <v>38</v>
      </c>
      <c r="O45" s="11" t="s">
        <v>38</v>
      </c>
      <c r="P45" t="s">
        <v>8</v>
      </c>
      <c r="Q45">
        <v>40</v>
      </c>
      <c r="R45">
        <v>0</v>
      </c>
      <c r="S45">
        <v>0</v>
      </c>
      <c r="T45" t="str">
        <f t="shared" si="0"/>
        <v>-</v>
      </c>
      <c r="U45" t="str">
        <f t="shared" si="1"/>
        <v>-</v>
      </c>
      <c r="V45" t="str">
        <f t="shared" si="2"/>
        <v>-</v>
      </c>
      <c r="W45" t="str">
        <f t="shared" si="3"/>
        <v>-</v>
      </c>
      <c r="X45" t="str">
        <f t="shared" si="4"/>
        <v>-</v>
      </c>
      <c r="Y45" t="str">
        <f t="shared" si="5"/>
        <v>-</v>
      </c>
      <c r="Z45" t="str">
        <f t="shared" si="6"/>
        <v>-</v>
      </c>
      <c r="AA45" t="str">
        <f t="shared" si="7"/>
        <v>-</v>
      </c>
      <c r="AB45" t="str">
        <f>IF(_xlfn.IFNA(VLOOKUP(P45,Set_Ref!$B$6:$B$1048576,1,FALSE),"")&lt;&gt;"","-",FALSE)</f>
        <v>-</v>
      </c>
      <c r="AC45" t="str">
        <f t="shared" si="8"/>
        <v>-</v>
      </c>
      <c r="AD45" t="str">
        <f t="shared" si="9"/>
        <v>-</v>
      </c>
      <c r="AE45" t="b">
        <f t="shared" si="10"/>
        <v>1</v>
      </c>
    </row>
    <row r="46" spans="1:31" x14ac:dyDescent="0.25">
      <c r="A46">
        <v>3</v>
      </c>
      <c r="B46">
        <v>37</v>
      </c>
      <c r="C46">
        <v>261</v>
      </c>
      <c r="D46" s="11" t="s">
        <v>145</v>
      </c>
      <c r="E46" s="11" t="s">
        <v>240</v>
      </c>
      <c r="F46" s="11" t="s">
        <v>214</v>
      </c>
      <c r="G46" s="11" t="s">
        <v>255</v>
      </c>
      <c r="H46">
        <v>2</v>
      </c>
      <c r="I46" s="11" t="s">
        <v>173</v>
      </c>
      <c r="J46" s="11" t="s">
        <v>192</v>
      </c>
      <c r="K46" s="11" t="s">
        <v>174</v>
      </c>
      <c r="L46" s="11" t="s">
        <v>38</v>
      </c>
      <c r="M46" s="11" t="s">
        <v>38</v>
      </c>
      <c r="N46" s="11" t="s">
        <v>38</v>
      </c>
      <c r="O46" s="11" t="s">
        <v>38</v>
      </c>
      <c r="P46" t="s">
        <v>8</v>
      </c>
      <c r="Q46">
        <v>42</v>
      </c>
      <c r="R46">
        <v>0</v>
      </c>
      <c r="S46">
        <v>0</v>
      </c>
      <c r="T46" t="str">
        <f t="shared" si="0"/>
        <v>-</v>
      </c>
      <c r="U46" t="str">
        <f t="shared" si="1"/>
        <v>-</v>
      </c>
      <c r="V46" t="str">
        <f t="shared" si="2"/>
        <v>-</v>
      </c>
      <c r="W46" t="str">
        <f t="shared" si="3"/>
        <v>-</v>
      </c>
      <c r="X46" t="str">
        <f t="shared" si="4"/>
        <v>-</v>
      </c>
      <c r="Y46" t="str">
        <f t="shared" si="5"/>
        <v>-</v>
      </c>
      <c r="Z46" t="str">
        <f t="shared" si="6"/>
        <v>-</v>
      </c>
      <c r="AA46" t="str">
        <f t="shared" si="7"/>
        <v>-</v>
      </c>
      <c r="AB46" t="str">
        <f>IF(_xlfn.IFNA(VLOOKUP(P46,Set_Ref!$B$6:$B$1048576,1,FALSE),"")&lt;&gt;"","-",FALSE)</f>
        <v>-</v>
      </c>
      <c r="AC46" t="str">
        <f t="shared" si="8"/>
        <v>-</v>
      </c>
      <c r="AD46" t="str">
        <f t="shared" si="9"/>
        <v>-</v>
      </c>
      <c r="AE46" t="b">
        <f t="shared" si="10"/>
        <v>1</v>
      </c>
    </row>
    <row r="47" spans="1:31" x14ac:dyDescent="0.25">
      <c r="A47">
        <v>3</v>
      </c>
      <c r="B47">
        <v>38</v>
      </c>
      <c r="C47">
        <v>261</v>
      </c>
      <c r="D47" s="11" t="s">
        <v>145</v>
      </c>
      <c r="E47" s="11" t="s">
        <v>240</v>
      </c>
      <c r="F47" s="11" t="s">
        <v>214</v>
      </c>
      <c r="G47" s="11" t="s">
        <v>255</v>
      </c>
      <c r="H47">
        <v>2</v>
      </c>
      <c r="I47" s="11" t="s">
        <v>173</v>
      </c>
      <c r="J47" s="11" t="s">
        <v>192</v>
      </c>
      <c r="K47" s="11" t="s">
        <v>174</v>
      </c>
      <c r="L47" s="11" t="s">
        <v>38</v>
      </c>
      <c r="M47" s="11" t="s">
        <v>38</v>
      </c>
      <c r="N47" s="11" t="s">
        <v>38</v>
      </c>
      <c r="O47" s="11" t="s">
        <v>38</v>
      </c>
      <c r="P47" t="s">
        <v>8</v>
      </c>
      <c r="Q47">
        <v>31</v>
      </c>
      <c r="R47">
        <v>0</v>
      </c>
      <c r="S47">
        <v>0</v>
      </c>
      <c r="T47" t="str">
        <f t="shared" si="0"/>
        <v>-</v>
      </c>
      <c r="U47" t="str">
        <f t="shared" si="1"/>
        <v>-</v>
      </c>
      <c r="V47" t="str">
        <f t="shared" si="2"/>
        <v>-</v>
      </c>
      <c r="W47" t="str">
        <f t="shared" si="3"/>
        <v>-</v>
      </c>
      <c r="X47" t="str">
        <f t="shared" si="4"/>
        <v>-</v>
      </c>
      <c r="Y47" t="str">
        <f t="shared" si="5"/>
        <v>-</v>
      </c>
      <c r="Z47" t="str">
        <f t="shared" si="6"/>
        <v>-</v>
      </c>
      <c r="AA47" t="str">
        <f t="shared" si="7"/>
        <v>-</v>
      </c>
      <c r="AB47" t="str">
        <f>IF(_xlfn.IFNA(VLOOKUP(P47,Set_Ref!$B$6:$B$1048576,1,FALSE),"")&lt;&gt;"","-",FALSE)</f>
        <v>-</v>
      </c>
      <c r="AC47" t="str">
        <f t="shared" si="8"/>
        <v>-</v>
      </c>
      <c r="AD47" t="str">
        <f t="shared" si="9"/>
        <v>-</v>
      </c>
      <c r="AE47" t="b">
        <f t="shared" si="10"/>
        <v>1</v>
      </c>
    </row>
    <row r="48" spans="1:31" x14ac:dyDescent="0.25">
      <c r="A48">
        <v>3</v>
      </c>
      <c r="B48">
        <v>39</v>
      </c>
      <c r="C48">
        <v>261</v>
      </c>
      <c r="D48" s="11" t="s">
        <v>145</v>
      </c>
      <c r="E48" s="11" t="s">
        <v>240</v>
      </c>
      <c r="F48" s="11" t="s">
        <v>214</v>
      </c>
      <c r="G48" s="11" t="s">
        <v>255</v>
      </c>
      <c r="H48">
        <v>2</v>
      </c>
      <c r="I48" s="11" t="s">
        <v>173</v>
      </c>
      <c r="J48" s="11" t="s">
        <v>192</v>
      </c>
      <c r="K48" s="11" t="s">
        <v>174</v>
      </c>
      <c r="L48" s="11" t="s">
        <v>38</v>
      </c>
      <c r="M48" s="11" t="s">
        <v>38</v>
      </c>
      <c r="N48" s="11" t="s">
        <v>38</v>
      </c>
      <c r="O48" s="11" t="s">
        <v>38</v>
      </c>
      <c r="P48" t="s">
        <v>8</v>
      </c>
      <c r="Q48">
        <v>27</v>
      </c>
      <c r="R48">
        <v>0</v>
      </c>
      <c r="S48">
        <v>0</v>
      </c>
      <c r="T48" t="str">
        <f t="shared" si="0"/>
        <v>-</v>
      </c>
      <c r="U48" t="str">
        <f t="shared" si="1"/>
        <v>-</v>
      </c>
      <c r="V48" t="str">
        <f t="shared" si="2"/>
        <v>-</v>
      </c>
      <c r="W48" t="str">
        <f t="shared" si="3"/>
        <v>-</v>
      </c>
      <c r="X48" t="str">
        <f t="shared" si="4"/>
        <v>-</v>
      </c>
      <c r="Y48" t="str">
        <f t="shared" si="5"/>
        <v>-</v>
      </c>
      <c r="Z48" t="str">
        <f t="shared" si="6"/>
        <v>-</v>
      </c>
      <c r="AA48" t="str">
        <f t="shared" si="7"/>
        <v>-</v>
      </c>
      <c r="AB48" t="str">
        <f>IF(_xlfn.IFNA(VLOOKUP(P48,Set_Ref!$B$6:$B$1048576,1,FALSE),"")&lt;&gt;"","-",FALSE)</f>
        <v>-</v>
      </c>
      <c r="AC48" t="str">
        <f t="shared" si="8"/>
        <v>-</v>
      </c>
      <c r="AD48" t="str">
        <f t="shared" si="9"/>
        <v>-</v>
      </c>
      <c r="AE48" t="b">
        <f t="shared" si="10"/>
        <v>1</v>
      </c>
    </row>
    <row r="49" spans="1:31" x14ac:dyDescent="0.25">
      <c r="A49">
        <v>3</v>
      </c>
      <c r="B49">
        <v>40</v>
      </c>
      <c r="C49">
        <v>261</v>
      </c>
      <c r="D49" s="11" t="s">
        <v>145</v>
      </c>
      <c r="E49" s="11" t="s">
        <v>241</v>
      </c>
      <c r="F49" s="11" t="s">
        <v>197</v>
      </c>
      <c r="G49" s="11" t="s">
        <v>256</v>
      </c>
      <c r="H49">
        <v>4</v>
      </c>
      <c r="I49" s="11" t="s">
        <v>173</v>
      </c>
      <c r="J49" s="11" t="s">
        <v>192</v>
      </c>
      <c r="K49" s="11" t="s">
        <v>174</v>
      </c>
      <c r="L49" s="11" t="s">
        <v>38</v>
      </c>
      <c r="M49" s="11" t="s">
        <v>38</v>
      </c>
      <c r="N49" s="11" t="s">
        <v>38</v>
      </c>
      <c r="O49" s="11" t="s">
        <v>38</v>
      </c>
      <c r="P49" t="s">
        <v>8</v>
      </c>
      <c r="Q49">
        <v>40</v>
      </c>
      <c r="R49">
        <v>0</v>
      </c>
      <c r="S49">
        <v>0</v>
      </c>
      <c r="T49" t="str">
        <f t="shared" si="0"/>
        <v>-</v>
      </c>
      <c r="U49" t="str">
        <f t="shared" si="1"/>
        <v>-</v>
      </c>
      <c r="V49" t="str">
        <f t="shared" si="2"/>
        <v>-</v>
      </c>
      <c r="W49" t="str">
        <f t="shared" si="3"/>
        <v>-</v>
      </c>
      <c r="X49" t="str">
        <f t="shared" si="4"/>
        <v>-</v>
      </c>
      <c r="Y49" t="str">
        <f t="shared" si="5"/>
        <v>-</v>
      </c>
      <c r="Z49" t="str">
        <f t="shared" si="6"/>
        <v>-</v>
      </c>
      <c r="AA49" t="str">
        <f t="shared" si="7"/>
        <v>-</v>
      </c>
      <c r="AB49" t="str">
        <f>IF(_xlfn.IFNA(VLOOKUP(P49,Set_Ref!$B$6:$B$1048576,1,FALSE),"")&lt;&gt;"","-",FALSE)</f>
        <v>-</v>
      </c>
      <c r="AC49" t="str">
        <f t="shared" si="8"/>
        <v>-</v>
      </c>
      <c r="AD49" t="str">
        <f t="shared" si="9"/>
        <v>-</v>
      </c>
      <c r="AE49" t="b">
        <f t="shared" si="10"/>
        <v>1</v>
      </c>
    </row>
    <row r="50" spans="1:31" x14ac:dyDescent="0.25">
      <c r="A50">
        <v>3</v>
      </c>
      <c r="B50">
        <v>41</v>
      </c>
      <c r="C50">
        <v>261</v>
      </c>
      <c r="D50" s="11" t="s">
        <v>145</v>
      </c>
      <c r="E50" s="11" t="s">
        <v>241</v>
      </c>
      <c r="F50" s="11" t="s">
        <v>197</v>
      </c>
      <c r="G50" s="11" t="s">
        <v>256</v>
      </c>
      <c r="H50">
        <v>4</v>
      </c>
      <c r="I50" s="11" t="s">
        <v>173</v>
      </c>
      <c r="J50" s="11" t="s">
        <v>192</v>
      </c>
      <c r="K50" s="11" t="s">
        <v>174</v>
      </c>
      <c r="L50" s="11" t="s">
        <v>38</v>
      </c>
      <c r="M50" s="11" t="s">
        <v>38</v>
      </c>
      <c r="N50" s="11" t="s">
        <v>38</v>
      </c>
      <c r="O50" s="11" t="s">
        <v>38</v>
      </c>
      <c r="P50" t="s">
        <v>8</v>
      </c>
      <c r="Q50">
        <v>49</v>
      </c>
      <c r="R50">
        <v>0</v>
      </c>
      <c r="S50">
        <v>0</v>
      </c>
      <c r="T50" t="str">
        <f t="shared" si="0"/>
        <v>-</v>
      </c>
      <c r="U50" t="str">
        <f t="shared" si="1"/>
        <v>-</v>
      </c>
      <c r="V50" t="str">
        <f t="shared" si="2"/>
        <v>-</v>
      </c>
      <c r="W50" t="str">
        <f t="shared" si="3"/>
        <v>-</v>
      </c>
      <c r="X50" t="str">
        <f t="shared" si="4"/>
        <v>-</v>
      </c>
      <c r="Y50" t="str">
        <f t="shared" si="5"/>
        <v>-</v>
      </c>
      <c r="Z50" t="str">
        <f t="shared" si="6"/>
        <v>-</v>
      </c>
      <c r="AA50" t="str">
        <f t="shared" si="7"/>
        <v>-</v>
      </c>
      <c r="AB50" t="str">
        <f>IF(_xlfn.IFNA(VLOOKUP(P50,Set_Ref!$B$6:$B$1048576,1,FALSE),"")&lt;&gt;"","-",FALSE)</f>
        <v>-</v>
      </c>
      <c r="AC50" t="str">
        <f t="shared" si="8"/>
        <v>-</v>
      </c>
      <c r="AD50" t="str">
        <f t="shared" si="9"/>
        <v>-</v>
      </c>
      <c r="AE50" t="b">
        <f t="shared" si="10"/>
        <v>1</v>
      </c>
    </row>
    <row r="51" spans="1:31" x14ac:dyDescent="0.25">
      <c r="A51">
        <v>3</v>
      </c>
      <c r="B51">
        <v>42</v>
      </c>
      <c r="C51">
        <v>261</v>
      </c>
      <c r="D51" s="11" t="s">
        <v>145</v>
      </c>
      <c r="E51" s="11" t="s">
        <v>241</v>
      </c>
      <c r="F51" s="11" t="s">
        <v>197</v>
      </c>
      <c r="G51" s="11" t="s">
        <v>256</v>
      </c>
      <c r="H51">
        <v>4</v>
      </c>
      <c r="I51" s="11" t="s">
        <v>173</v>
      </c>
      <c r="J51" s="11" t="s">
        <v>192</v>
      </c>
      <c r="K51" s="11" t="s">
        <v>174</v>
      </c>
      <c r="L51" s="11" t="s">
        <v>38</v>
      </c>
      <c r="M51" s="11" t="s">
        <v>38</v>
      </c>
      <c r="N51" s="11" t="s">
        <v>38</v>
      </c>
      <c r="O51" s="11" t="s">
        <v>38</v>
      </c>
      <c r="P51" t="s">
        <v>8</v>
      </c>
      <c r="Q51">
        <v>56</v>
      </c>
      <c r="R51">
        <v>0</v>
      </c>
      <c r="S51">
        <v>0</v>
      </c>
      <c r="T51" t="str">
        <f t="shared" si="0"/>
        <v>-</v>
      </c>
      <c r="U51" t="str">
        <f t="shared" si="1"/>
        <v>-</v>
      </c>
      <c r="V51" t="str">
        <f t="shared" si="2"/>
        <v>-</v>
      </c>
      <c r="W51" t="str">
        <f t="shared" si="3"/>
        <v>-</v>
      </c>
      <c r="X51" t="str">
        <f t="shared" si="4"/>
        <v>-</v>
      </c>
      <c r="Y51" t="str">
        <f t="shared" si="5"/>
        <v>-</v>
      </c>
      <c r="Z51" t="str">
        <f t="shared" si="6"/>
        <v>-</v>
      </c>
      <c r="AA51" t="str">
        <f t="shared" si="7"/>
        <v>-</v>
      </c>
      <c r="AB51" t="str">
        <f>IF(_xlfn.IFNA(VLOOKUP(P51,Set_Ref!$B$6:$B$1048576,1,FALSE),"")&lt;&gt;"","-",FALSE)</f>
        <v>-</v>
      </c>
      <c r="AC51" t="str">
        <f t="shared" si="8"/>
        <v>-</v>
      </c>
      <c r="AD51" t="str">
        <f t="shared" si="9"/>
        <v>-</v>
      </c>
      <c r="AE51" t="b">
        <f t="shared" si="10"/>
        <v>1</v>
      </c>
    </row>
    <row r="52" spans="1:31" x14ac:dyDescent="0.25">
      <c r="A52">
        <v>3</v>
      </c>
      <c r="B52">
        <v>43</v>
      </c>
      <c r="C52">
        <v>261</v>
      </c>
      <c r="D52" s="11" t="s">
        <v>145</v>
      </c>
      <c r="E52" s="11" t="s">
        <v>241</v>
      </c>
      <c r="F52" s="11" t="s">
        <v>197</v>
      </c>
      <c r="G52" s="11" t="s">
        <v>256</v>
      </c>
      <c r="H52">
        <v>4</v>
      </c>
      <c r="I52" s="11" t="s">
        <v>173</v>
      </c>
      <c r="J52" s="11" t="s">
        <v>192</v>
      </c>
      <c r="K52" s="11" t="s">
        <v>174</v>
      </c>
      <c r="L52" s="11" t="s">
        <v>38</v>
      </c>
      <c r="M52" s="11" t="s">
        <v>38</v>
      </c>
      <c r="N52" s="11" t="s">
        <v>38</v>
      </c>
      <c r="O52" s="11" t="s">
        <v>38</v>
      </c>
      <c r="P52" t="s">
        <v>8</v>
      </c>
      <c r="Q52">
        <v>39</v>
      </c>
      <c r="R52">
        <v>0</v>
      </c>
      <c r="S52">
        <v>0</v>
      </c>
      <c r="T52" t="str">
        <f t="shared" si="0"/>
        <v>-</v>
      </c>
      <c r="U52" t="str">
        <f t="shared" si="1"/>
        <v>-</v>
      </c>
      <c r="V52" t="str">
        <f t="shared" si="2"/>
        <v>-</v>
      </c>
      <c r="W52" t="str">
        <f t="shared" si="3"/>
        <v>-</v>
      </c>
      <c r="X52" t="str">
        <f t="shared" si="4"/>
        <v>-</v>
      </c>
      <c r="Y52" t="str">
        <f t="shared" si="5"/>
        <v>-</v>
      </c>
      <c r="Z52" t="str">
        <f t="shared" si="6"/>
        <v>-</v>
      </c>
      <c r="AA52" t="str">
        <f t="shared" si="7"/>
        <v>-</v>
      </c>
      <c r="AB52" t="str">
        <f>IF(_xlfn.IFNA(VLOOKUP(P52,Set_Ref!$B$6:$B$1048576,1,FALSE),"")&lt;&gt;"","-",FALSE)</f>
        <v>-</v>
      </c>
      <c r="AC52" t="str">
        <f t="shared" si="8"/>
        <v>-</v>
      </c>
      <c r="AD52" t="str">
        <f t="shared" si="9"/>
        <v>-</v>
      </c>
      <c r="AE52" t="b">
        <f t="shared" si="10"/>
        <v>1</v>
      </c>
    </row>
    <row r="53" spans="1:31" x14ac:dyDescent="0.25">
      <c r="A53">
        <v>3</v>
      </c>
      <c r="B53">
        <v>44</v>
      </c>
      <c r="C53">
        <v>261</v>
      </c>
      <c r="D53" s="11" t="s">
        <v>145</v>
      </c>
      <c r="E53" s="11" t="s">
        <v>241</v>
      </c>
      <c r="F53" s="11" t="s">
        <v>197</v>
      </c>
      <c r="G53" s="11" t="s">
        <v>256</v>
      </c>
      <c r="H53">
        <v>4</v>
      </c>
      <c r="I53" s="11" t="s">
        <v>173</v>
      </c>
      <c r="J53" s="11" t="s">
        <v>192</v>
      </c>
      <c r="K53" s="11" t="s">
        <v>174</v>
      </c>
      <c r="L53" s="11" t="s">
        <v>38</v>
      </c>
      <c r="M53" s="11" t="s">
        <v>38</v>
      </c>
      <c r="N53" s="11" t="s">
        <v>38</v>
      </c>
      <c r="O53" s="11" t="s">
        <v>38</v>
      </c>
      <c r="P53" t="s">
        <v>8</v>
      </c>
      <c r="Q53">
        <v>31</v>
      </c>
      <c r="R53">
        <v>0</v>
      </c>
      <c r="S53">
        <v>0</v>
      </c>
      <c r="T53" t="str">
        <f t="shared" si="0"/>
        <v>-</v>
      </c>
      <c r="U53" t="str">
        <f t="shared" si="1"/>
        <v>-</v>
      </c>
      <c r="V53" t="str">
        <f t="shared" si="2"/>
        <v>-</v>
      </c>
      <c r="W53" t="str">
        <f t="shared" si="3"/>
        <v>-</v>
      </c>
      <c r="X53" t="str">
        <f t="shared" si="4"/>
        <v>-</v>
      </c>
      <c r="Y53" t="str">
        <f t="shared" si="5"/>
        <v>-</v>
      </c>
      <c r="Z53" t="str">
        <f t="shared" si="6"/>
        <v>-</v>
      </c>
      <c r="AA53" t="str">
        <f t="shared" si="7"/>
        <v>-</v>
      </c>
      <c r="AB53" t="str">
        <f>IF(_xlfn.IFNA(VLOOKUP(P53,Set_Ref!$B$6:$B$1048576,1,FALSE),"")&lt;&gt;"","-",FALSE)</f>
        <v>-</v>
      </c>
      <c r="AC53" t="str">
        <f t="shared" si="8"/>
        <v>-</v>
      </c>
      <c r="AD53" t="str">
        <f t="shared" si="9"/>
        <v>-</v>
      </c>
      <c r="AE53" t="b">
        <f t="shared" si="10"/>
        <v>1</v>
      </c>
    </row>
    <row r="54" spans="1:31" x14ac:dyDescent="0.25">
      <c r="A54">
        <v>3</v>
      </c>
      <c r="B54">
        <v>45</v>
      </c>
      <c r="C54">
        <v>261</v>
      </c>
      <c r="D54" s="11" t="s">
        <v>145</v>
      </c>
      <c r="E54" s="11" t="s">
        <v>238</v>
      </c>
      <c r="F54" s="11" t="s">
        <v>215</v>
      </c>
      <c r="G54" s="11" t="s">
        <v>254</v>
      </c>
      <c r="H54">
        <v>7</v>
      </c>
      <c r="I54" s="11" t="s">
        <v>173</v>
      </c>
      <c r="J54" s="11" t="s">
        <v>203</v>
      </c>
      <c r="K54" s="11" t="s">
        <v>174</v>
      </c>
      <c r="L54" s="11" t="s">
        <v>38</v>
      </c>
      <c r="M54" s="11" t="s">
        <v>38</v>
      </c>
      <c r="N54" s="11" t="s">
        <v>38</v>
      </c>
      <c r="O54" s="11" t="s">
        <v>38</v>
      </c>
      <c r="P54" t="s">
        <v>8</v>
      </c>
      <c r="Q54">
        <v>41</v>
      </c>
      <c r="R54">
        <v>0</v>
      </c>
      <c r="S54">
        <v>0</v>
      </c>
      <c r="T54" t="str">
        <f t="shared" si="0"/>
        <v>-</v>
      </c>
      <c r="U54" t="str">
        <f t="shared" si="1"/>
        <v>-</v>
      </c>
      <c r="V54" t="str">
        <f t="shared" si="2"/>
        <v>-</v>
      </c>
      <c r="W54" t="str">
        <f t="shared" si="3"/>
        <v>-</v>
      </c>
      <c r="X54" t="str">
        <f t="shared" si="4"/>
        <v>-</v>
      </c>
      <c r="Y54" t="str">
        <f t="shared" si="5"/>
        <v>-</v>
      </c>
      <c r="Z54" t="str">
        <f t="shared" si="6"/>
        <v>-</v>
      </c>
      <c r="AA54" t="str">
        <f t="shared" si="7"/>
        <v>-</v>
      </c>
      <c r="AB54" t="str">
        <f>IF(_xlfn.IFNA(VLOOKUP(P54,Set_Ref!$B$6:$B$1048576,1,FALSE),"")&lt;&gt;"","-",FALSE)</f>
        <v>-</v>
      </c>
      <c r="AC54" t="str">
        <f t="shared" si="8"/>
        <v>-</v>
      </c>
      <c r="AD54" t="str">
        <f t="shared" si="9"/>
        <v>-</v>
      </c>
      <c r="AE54" t="b">
        <f t="shared" si="10"/>
        <v>1</v>
      </c>
    </row>
    <row r="55" spans="1:31" x14ac:dyDescent="0.25">
      <c r="A55">
        <v>3</v>
      </c>
      <c r="B55">
        <v>46</v>
      </c>
      <c r="C55">
        <v>261</v>
      </c>
      <c r="D55" s="11" t="s">
        <v>145</v>
      </c>
      <c r="E55" s="11" t="s">
        <v>238</v>
      </c>
      <c r="F55" s="11" t="s">
        <v>215</v>
      </c>
      <c r="G55" s="11" t="s">
        <v>254</v>
      </c>
      <c r="H55">
        <v>7</v>
      </c>
      <c r="I55" s="11" t="s">
        <v>173</v>
      </c>
      <c r="J55" s="11" t="s">
        <v>203</v>
      </c>
      <c r="K55" s="11" t="s">
        <v>174</v>
      </c>
      <c r="L55" s="11" t="s">
        <v>38</v>
      </c>
      <c r="M55" s="11" t="s">
        <v>38</v>
      </c>
      <c r="N55" s="11" t="s">
        <v>38</v>
      </c>
      <c r="O55" s="11" t="s">
        <v>38</v>
      </c>
      <c r="P55" t="s">
        <v>8</v>
      </c>
      <c r="Q55">
        <v>67</v>
      </c>
      <c r="R55">
        <v>0</v>
      </c>
      <c r="S55">
        <v>0</v>
      </c>
      <c r="T55" t="str">
        <f t="shared" si="0"/>
        <v>-</v>
      </c>
      <c r="U55" t="str">
        <f t="shared" si="1"/>
        <v>-</v>
      </c>
      <c r="V55" t="str">
        <f t="shared" si="2"/>
        <v>-</v>
      </c>
      <c r="W55" t="str">
        <f t="shared" si="3"/>
        <v>-</v>
      </c>
      <c r="X55" t="str">
        <f t="shared" si="4"/>
        <v>-</v>
      </c>
      <c r="Y55" t="str">
        <f t="shared" si="5"/>
        <v>-</v>
      </c>
      <c r="Z55" t="str">
        <f t="shared" si="6"/>
        <v>-</v>
      </c>
      <c r="AA55" t="str">
        <f t="shared" si="7"/>
        <v>-</v>
      </c>
      <c r="AB55" t="str">
        <f>IF(_xlfn.IFNA(VLOOKUP(P55,Set_Ref!$B$6:$B$1048576,1,FALSE),"")&lt;&gt;"","-",FALSE)</f>
        <v>-</v>
      </c>
      <c r="AC55" t="str">
        <f t="shared" si="8"/>
        <v>-</v>
      </c>
      <c r="AD55" t="str">
        <f t="shared" si="9"/>
        <v>-</v>
      </c>
      <c r="AE55" t="b">
        <f t="shared" si="10"/>
        <v>1</v>
      </c>
    </row>
    <row r="56" spans="1:31" x14ac:dyDescent="0.25">
      <c r="A56">
        <v>3</v>
      </c>
      <c r="B56">
        <v>47</v>
      </c>
      <c r="C56">
        <v>261</v>
      </c>
      <c r="D56" s="11" t="s">
        <v>145</v>
      </c>
      <c r="E56" s="11" t="s">
        <v>238</v>
      </c>
      <c r="F56" s="11" t="s">
        <v>215</v>
      </c>
      <c r="G56" s="11" t="s">
        <v>254</v>
      </c>
      <c r="H56">
        <v>7</v>
      </c>
      <c r="I56" s="11" t="s">
        <v>173</v>
      </c>
      <c r="J56" s="11" t="s">
        <v>203</v>
      </c>
      <c r="K56" s="11" t="s">
        <v>174</v>
      </c>
      <c r="L56" s="11" t="s">
        <v>38</v>
      </c>
      <c r="M56" s="11" t="s">
        <v>38</v>
      </c>
      <c r="N56" s="11" t="s">
        <v>38</v>
      </c>
      <c r="O56" s="11" t="s">
        <v>38</v>
      </c>
      <c r="P56" t="s">
        <v>8</v>
      </c>
      <c r="Q56">
        <v>46</v>
      </c>
      <c r="R56">
        <v>0</v>
      </c>
      <c r="S56">
        <v>0</v>
      </c>
      <c r="T56" t="str">
        <f t="shared" si="0"/>
        <v>-</v>
      </c>
      <c r="U56" t="str">
        <f t="shared" si="1"/>
        <v>-</v>
      </c>
      <c r="V56" t="str">
        <f t="shared" si="2"/>
        <v>-</v>
      </c>
      <c r="W56" t="str">
        <f t="shared" si="3"/>
        <v>-</v>
      </c>
      <c r="X56" t="str">
        <f t="shared" si="4"/>
        <v>-</v>
      </c>
      <c r="Y56" t="str">
        <f t="shared" si="5"/>
        <v>-</v>
      </c>
      <c r="Z56" t="str">
        <f t="shared" si="6"/>
        <v>-</v>
      </c>
      <c r="AA56" t="str">
        <f t="shared" si="7"/>
        <v>-</v>
      </c>
      <c r="AB56" t="str">
        <f>IF(_xlfn.IFNA(VLOOKUP(P56,Set_Ref!$B$6:$B$1048576,1,FALSE),"")&lt;&gt;"","-",FALSE)</f>
        <v>-</v>
      </c>
      <c r="AC56" t="str">
        <f t="shared" si="8"/>
        <v>-</v>
      </c>
      <c r="AD56" t="str">
        <f t="shared" si="9"/>
        <v>-</v>
      </c>
      <c r="AE56" t="b">
        <f t="shared" si="10"/>
        <v>1</v>
      </c>
    </row>
    <row r="57" spans="1:31" x14ac:dyDescent="0.25">
      <c r="A57">
        <v>3</v>
      </c>
      <c r="B57">
        <v>48</v>
      </c>
      <c r="C57">
        <v>261</v>
      </c>
      <c r="D57" s="11" t="s">
        <v>145</v>
      </c>
      <c r="E57" s="11" t="s">
        <v>238</v>
      </c>
      <c r="F57" s="11" t="s">
        <v>215</v>
      </c>
      <c r="G57" s="11" t="s">
        <v>254</v>
      </c>
      <c r="H57">
        <v>7</v>
      </c>
      <c r="I57" s="11" t="s">
        <v>173</v>
      </c>
      <c r="J57" s="11" t="s">
        <v>203</v>
      </c>
      <c r="K57" s="11" t="s">
        <v>174</v>
      </c>
      <c r="L57" s="11" t="s">
        <v>38</v>
      </c>
      <c r="M57" s="11" t="s">
        <v>38</v>
      </c>
      <c r="N57" s="11" t="s">
        <v>38</v>
      </c>
      <c r="O57" s="11" t="s">
        <v>38</v>
      </c>
      <c r="P57" t="s">
        <v>8</v>
      </c>
      <c r="Q57">
        <v>43</v>
      </c>
      <c r="R57">
        <v>0</v>
      </c>
      <c r="S57">
        <v>0</v>
      </c>
      <c r="T57" t="str">
        <f t="shared" si="0"/>
        <v>-</v>
      </c>
      <c r="U57" t="str">
        <f t="shared" si="1"/>
        <v>-</v>
      </c>
      <c r="V57" t="str">
        <f t="shared" si="2"/>
        <v>-</v>
      </c>
      <c r="W57" t="str">
        <f t="shared" si="3"/>
        <v>-</v>
      </c>
      <c r="X57" t="str">
        <f t="shared" si="4"/>
        <v>-</v>
      </c>
      <c r="Y57" t="str">
        <f t="shared" si="5"/>
        <v>-</v>
      </c>
      <c r="Z57" t="str">
        <f t="shared" si="6"/>
        <v>-</v>
      </c>
      <c r="AA57" t="str">
        <f t="shared" si="7"/>
        <v>-</v>
      </c>
      <c r="AB57" t="str">
        <f>IF(_xlfn.IFNA(VLOOKUP(P57,Set_Ref!$B$6:$B$1048576,1,FALSE),"")&lt;&gt;"","-",FALSE)</f>
        <v>-</v>
      </c>
      <c r="AC57" t="str">
        <f t="shared" si="8"/>
        <v>-</v>
      </c>
      <c r="AD57" t="str">
        <f t="shared" si="9"/>
        <v>-</v>
      </c>
      <c r="AE57" t="b">
        <f t="shared" si="10"/>
        <v>1</v>
      </c>
    </row>
    <row r="58" spans="1:31" x14ac:dyDescent="0.25">
      <c r="A58">
        <v>3</v>
      </c>
      <c r="B58">
        <v>49</v>
      </c>
      <c r="C58">
        <v>261</v>
      </c>
      <c r="D58" s="11" t="s">
        <v>145</v>
      </c>
      <c r="E58" s="11" t="s">
        <v>238</v>
      </c>
      <c r="F58" s="11" t="s">
        <v>215</v>
      </c>
      <c r="G58" s="11" t="s">
        <v>254</v>
      </c>
      <c r="H58">
        <v>7</v>
      </c>
      <c r="I58" s="11" t="s">
        <v>173</v>
      </c>
      <c r="J58" s="11" t="s">
        <v>203</v>
      </c>
      <c r="K58" s="11" t="s">
        <v>174</v>
      </c>
      <c r="L58" s="11" t="s">
        <v>38</v>
      </c>
      <c r="M58" s="11" t="s">
        <v>38</v>
      </c>
      <c r="N58" s="11" t="s">
        <v>38</v>
      </c>
      <c r="O58" s="11" t="s">
        <v>38</v>
      </c>
      <c r="P58" t="s">
        <v>8</v>
      </c>
      <c r="Q58">
        <v>52</v>
      </c>
      <c r="R58">
        <v>0</v>
      </c>
      <c r="S58">
        <v>0</v>
      </c>
      <c r="T58" t="str">
        <f t="shared" si="0"/>
        <v>-</v>
      </c>
      <c r="U58" t="str">
        <f t="shared" si="1"/>
        <v>-</v>
      </c>
      <c r="V58" t="str">
        <f t="shared" si="2"/>
        <v>-</v>
      </c>
      <c r="W58" t="str">
        <f t="shared" si="3"/>
        <v>-</v>
      </c>
      <c r="X58" t="str">
        <f t="shared" si="4"/>
        <v>-</v>
      </c>
      <c r="Y58" t="str">
        <f t="shared" si="5"/>
        <v>-</v>
      </c>
      <c r="Z58" t="str">
        <f t="shared" si="6"/>
        <v>-</v>
      </c>
      <c r="AA58" t="str">
        <f t="shared" si="7"/>
        <v>-</v>
      </c>
      <c r="AB58" t="str">
        <f>IF(_xlfn.IFNA(VLOOKUP(P58,Set_Ref!$B$6:$B$1048576,1,FALSE),"")&lt;&gt;"","-",FALSE)</f>
        <v>-</v>
      </c>
      <c r="AC58" t="str">
        <f t="shared" si="8"/>
        <v>-</v>
      </c>
      <c r="AD58" t="str">
        <f t="shared" si="9"/>
        <v>-</v>
      </c>
      <c r="AE58" t="b">
        <f t="shared" si="10"/>
        <v>1</v>
      </c>
    </row>
    <row r="59" spans="1:31" x14ac:dyDescent="0.25">
      <c r="A59">
        <v>3</v>
      </c>
      <c r="B59">
        <v>50</v>
      </c>
      <c r="C59">
        <v>261</v>
      </c>
      <c r="D59" s="11" t="s">
        <v>145</v>
      </c>
      <c r="E59" s="11" t="s">
        <v>242</v>
      </c>
      <c r="F59" s="11" t="s">
        <v>218</v>
      </c>
      <c r="G59" s="11" t="s">
        <v>257</v>
      </c>
      <c r="H59">
        <v>1</v>
      </c>
      <c r="I59" s="11" t="s">
        <v>173</v>
      </c>
      <c r="J59" s="11" t="s">
        <v>192</v>
      </c>
      <c r="K59" s="11" t="s">
        <v>174</v>
      </c>
      <c r="L59" s="11" t="s">
        <v>38</v>
      </c>
      <c r="M59" s="11" t="s">
        <v>38</v>
      </c>
      <c r="N59" s="11" t="s">
        <v>38</v>
      </c>
      <c r="O59" s="11" t="s">
        <v>38</v>
      </c>
      <c r="P59" t="s">
        <v>8</v>
      </c>
      <c r="Q59">
        <v>65</v>
      </c>
      <c r="R59">
        <v>0</v>
      </c>
      <c r="S59">
        <v>0</v>
      </c>
      <c r="T59" t="str">
        <f t="shared" si="0"/>
        <v>-</v>
      </c>
      <c r="U59" t="str">
        <f t="shared" si="1"/>
        <v>-</v>
      </c>
      <c r="V59" t="str">
        <f t="shared" si="2"/>
        <v>-</v>
      </c>
      <c r="W59" t="str">
        <f t="shared" si="3"/>
        <v>-</v>
      </c>
      <c r="X59" t="str">
        <f t="shared" si="4"/>
        <v>-</v>
      </c>
      <c r="Y59" t="str">
        <f t="shared" si="5"/>
        <v>-</v>
      </c>
      <c r="Z59" t="str">
        <f t="shared" si="6"/>
        <v>-</v>
      </c>
      <c r="AA59" t="str">
        <f t="shared" si="7"/>
        <v>-</v>
      </c>
      <c r="AB59" t="str">
        <f>IF(_xlfn.IFNA(VLOOKUP(P59,Set_Ref!$B$6:$B$1048576,1,FALSE),"")&lt;&gt;"","-",FALSE)</f>
        <v>-</v>
      </c>
      <c r="AC59" t="str">
        <f t="shared" si="8"/>
        <v>-</v>
      </c>
      <c r="AD59" t="str">
        <f t="shared" si="9"/>
        <v>-</v>
      </c>
      <c r="AE59" t="b">
        <f t="shared" si="10"/>
        <v>1</v>
      </c>
    </row>
    <row r="60" spans="1:31" x14ac:dyDescent="0.25">
      <c r="A60">
        <v>3</v>
      </c>
      <c r="B60">
        <v>51</v>
      </c>
      <c r="C60">
        <v>261</v>
      </c>
      <c r="D60" s="11" t="s">
        <v>145</v>
      </c>
      <c r="E60" s="11" t="s">
        <v>242</v>
      </c>
      <c r="F60" s="11" t="s">
        <v>218</v>
      </c>
      <c r="G60" s="11" t="s">
        <v>257</v>
      </c>
      <c r="H60">
        <v>1</v>
      </c>
      <c r="I60" s="11" t="s">
        <v>173</v>
      </c>
      <c r="J60" s="11" t="s">
        <v>192</v>
      </c>
      <c r="K60" s="11" t="s">
        <v>174</v>
      </c>
      <c r="L60" s="11" t="s">
        <v>38</v>
      </c>
      <c r="M60" s="11" t="s">
        <v>38</v>
      </c>
      <c r="N60" s="11" t="s">
        <v>38</v>
      </c>
      <c r="O60" s="11" t="s">
        <v>38</v>
      </c>
      <c r="P60" t="s">
        <v>8</v>
      </c>
      <c r="Q60">
        <v>92</v>
      </c>
      <c r="R60">
        <v>0</v>
      </c>
      <c r="S60">
        <v>0</v>
      </c>
      <c r="T60" t="str">
        <f t="shared" si="0"/>
        <v>-</v>
      </c>
      <c r="U60" t="str">
        <f t="shared" si="1"/>
        <v>-</v>
      </c>
      <c r="V60" t="str">
        <f t="shared" si="2"/>
        <v>-</v>
      </c>
      <c r="W60" t="str">
        <f t="shared" si="3"/>
        <v>-</v>
      </c>
      <c r="X60" t="str">
        <f t="shared" si="4"/>
        <v>-</v>
      </c>
      <c r="Y60" t="str">
        <f t="shared" si="5"/>
        <v>-</v>
      </c>
      <c r="Z60" t="str">
        <f t="shared" si="6"/>
        <v>-</v>
      </c>
      <c r="AA60" t="str">
        <f t="shared" si="7"/>
        <v>-</v>
      </c>
      <c r="AB60" t="str">
        <f>IF(_xlfn.IFNA(VLOOKUP(P60,Set_Ref!$B$6:$B$1048576,1,FALSE),"")&lt;&gt;"","-",FALSE)</f>
        <v>-</v>
      </c>
      <c r="AC60" t="str">
        <f t="shared" si="8"/>
        <v>-</v>
      </c>
      <c r="AD60" t="str">
        <f t="shared" si="9"/>
        <v>-</v>
      </c>
      <c r="AE60" t="b">
        <f t="shared" si="10"/>
        <v>1</v>
      </c>
    </row>
    <row r="61" spans="1:31" x14ac:dyDescent="0.25">
      <c r="A61">
        <v>3</v>
      </c>
      <c r="B61">
        <v>52</v>
      </c>
      <c r="C61">
        <v>261</v>
      </c>
      <c r="D61" s="11" t="s">
        <v>145</v>
      </c>
      <c r="E61" s="11" t="s">
        <v>242</v>
      </c>
      <c r="F61" s="11" t="s">
        <v>218</v>
      </c>
      <c r="G61" s="11" t="s">
        <v>257</v>
      </c>
      <c r="H61">
        <v>1</v>
      </c>
      <c r="I61" s="11" t="s">
        <v>173</v>
      </c>
      <c r="J61" s="11" t="s">
        <v>192</v>
      </c>
      <c r="K61" s="11" t="s">
        <v>174</v>
      </c>
      <c r="L61" s="11" t="s">
        <v>38</v>
      </c>
      <c r="M61" s="11" t="s">
        <v>38</v>
      </c>
      <c r="N61" s="11" t="s">
        <v>38</v>
      </c>
      <c r="O61" s="11" t="s">
        <v>38</v>
      </c>
      <c r="P61" t="s">
        <v>8</v>
      </c>
      <c r="Q61">
        <v>130</v>
      </c>
      <c r="R61">
        <v>0</v>
      </c>
      <c r="S61">
        <v>0</v>
      </c>
      <c r="T61" t="str">
        <f t="shared" si="0"/>
        <v>-</v>
      </c>
      <c r="U61" t="str">
        <f t="shared" si="1"/>
        <v>-</v>
      </c>
      <c r="V61" t="str">
        <f t="shared" si="2"/>
        <v>-</v>
      </c>
      <c r="W61" t="str">
        <f t="shared" si="3"/>
        <v>-</v>
      </c>
      <c r="X61" t="str">
        <f t="shared" si="4"/>
        <v>-</v>
      </c>
      <c r="Y61" t="str">
        <f t="shared" si="5"/>
        <v>-</v>
      </c>
      <c r="Z61" t="str">
        <f t="shared" si="6"/>
        <v>-</v>
      </c>
      <c r="AA61" t="str">
        <f t="shared" si="7"/>
        <v>-</v>
      </c>
      <c r="AB61" t="str">
        <f>IF(_xlfn.IFNA(VLOOKUP(P61,Set_Ref!$B$6:$B$1048576,1,FALSE),"")&lt;&gt;"","-",FALSE)</f>
        <v>-</v>
      </c>
      <c r="AC61" t="str">
        <f t="shared" si="8"/>
        <v>-</v>
      </c>
      <c r="AD61" t="str">
        <f t="shared" si="9"/>
        <v>-</v>
      </c>
      <c r="AE61" t="b">
        <f t="shared" si="10"/>
        <v>1</v>
      </c>
    </row>
    <row r="62" spans="1:31" x14ac:dyDescent="0.25">
      <c r="A62">
        <v>3</v>
      </c>
      <c r="B62">
        <v>53</v>
      </c>
      <c r="C62">
        <v>261</v>
      </c>
      <c r="D62" s="11" t="s">
        <v>145</v>
      </c>
      <c r="E62" s="11" t="s">
        <v>242</v>
      </c>
      <c r="F62" s="11" t="s">
        <v>218</v>
      </c>
      <c r="G62" s="11" t="s">
        <v>257</v>
      </c>
      <c r="H62">
        <v>1</v>
      </c>
      <c r="I62" s="11" t="s">
        <v>173</v>
      </c>
      <c r="J62" s="11" t="s">
        <v>192</v>
      </c>
      <c r="K62" s="11" t="s">
        <v>174</v>
      </c>
      <c r="L62" s="11" t="s">
        <v>38</v>
      </c>
      <c r="M62" s="11" t="s">
        <v>38</v>
      </c>
      <c r="N62" s="11" t="s">
        <v>38</v>
      </c>
      <c r="O62" s="11" t="s">
        <v>38</v>
      </c>
      <c r="P62" t="s">
        <v>8</v>
      </c>
      <c r="Q62">
        <v>70</v>
      </c>
      <c r="R62">
        <v>0</v>
      </c>
      <c r="S62">
        <v>0</v>
      </c>
      <c r="T62" t="str">
        <f t="shared" si="0"/>
        <v>-</v>
      </c>
      <c r="U62" t="str">
        <f t="shared" si="1"/>
        <v>-</v>
      </c>
      <c r="V62" t="str">
        <f t="shared" si="2"/>
        <v>-</v>
      </c>
      <c r="W62" t="str">
        <f t="shared" si="3"/>
        <v>-</v>
      </c>
      <c r="X62" t="str">
        <f t="shared" si="4"/>
        <v>-</v>
      </c>
      <c r="Y62" t="str">
        <f t="shared" si="5"/>
        <v>-</v>
      </c>
      <c r="Z62" t="str">
        <f t="shared" si="6"/>
        <v>-</v>
      </c>
      <c r="AA62" t="str">
        <f t="shared" si="7"/>
        <v>-</v>
      </c>
      <c r="AB62" t="str">
        <f>IF(_xlfn.IFNA(VLOOKUP(P62,Set_Ref!$B$6:$B$1048576,1,FALSE),"")&lt;&gt;"","-",FALSE)</f>
        <v>-</v>
      </c>
      <c r="AC62" t="str">
        <f t="shared" si="8"/>
        <v>-</v>
      </c>
      <c r="AD62" t="str">
        <f t="shared" si="9"/>
        <v>-</v>
      </c>
      <c r="AE62" t="b">
        <f t="shared" si="10"/>
        <v>1</v>
      </c>
    </row>
    <row r="63" spans="1:31" x14ac:dyDescent="0.25">
      <c r="A63">
        <v>3</v>
      </c>
      <c r="B63">
        <v>54</v>
      </c>
      <c r="C63">
        <v>261</v>
      </c>
      <c r="D63" s="11" t="s">
        <v>145</v>
      </c>
      <c r="E63" s="11" t="s">
        <v>242</v>
      </c>
      <c r="F63" s="11" t="s">
        <v>218</v>
      </c>
      <c r="G63" s="11" t="s">
        <v>257</v>
      </c>
      <c r="H63">
        <v>1</v>
      </c>
      <c r="I63" s="11" t="s">
        <v>173</v>
      </c>
      <c r="J63" s="11" t="s">
        <v>192</v>
      </c>
      <c r="K63" s="11" t="s">
        <v>174</v>
      </c>
      <c r="L63" s="11" t="s">
        <v>38</v>
      </c>
      <c r="M63" s="11" t="s">
        <v>38</v>
      </c>
      <c r="N63" s="11" t="s">
        <v>38</v>
      </c>
      <c r="O63" s="11" t="s">
        <v>38</v>
      </c>
      <c r="P63" t="s">
        <v>8</v>
      </c>
      <c r="Q63">
        <v>70</v>
      </c>
      <c r="R63">
        <v>0</v>
      </c>
      <c r="S63">
        <v>0</v>
      </c>
      <c r="T63" t="str">
        <f t="shared" si="0"/>
        <v>-</v>
      </c>
      <c r="U63" t="str">
        <f t="shared" si="1"/>
        <v>-</v>
      </c>
      <c r="V63" t="str">
        <f t="shared" si="2"/>
        <v>-</v>
      </c>
      <c r="W63" t="str">
        <f t="shared" si="3"/>
        <v>-</v>
      </c>
      <c r="X63" t="str">
        <f t="shared" si="4"/>
        <v>-</v>
      </c>
      <c r="Y63" t="str">
        <f t="shared" si="5"/>
        <v>-</v>
      </c>
      <c r="Z63" t="str">
        <f t="shared" si="6"/>
        <v>-</v>
      </c>
      <c r="AA63" t="str">
        <f t="shared" si="7"/>
        <v>-</v>
      </c>
      <c r="AB63" t="str">
        <f>IF(_xlfn.IFNA(VLOOKUP(P63,Set_Ref!$B$6:$B$1048576,1,FALSE),"")&lt;&gt;"","-",FALSE)</f>
        <v>-</v>
      </c>
      <c r="AC63" t="str">
        <f t="shared" si="8"/>
        <v>-</v>
      </c>
      <c r="AD63" t="str">
        <f t="shared" si="9"/>
        <v>-</v>
      </c>
      <c r="AE63" t="b">
        <f t="shared" si="10"/>
        <v>1</v>
      </c>
    </row>
    <row r="64" spans="1:31" x14ac:dyDescent="0.25">
      <c r="A64">
        <v>3</v>
      </c>
      <c r="B64">
        <v>55</v>
      </c>
      <c r="C64">
        <v>261</v>
      </c>
      <c r="D64" s="11" t="s">
        <v>145</v>
      </c>
      <c r="E64" s="11" t="s">
        <v>243</v>
      </c>
      <c r="F64" s="11" t="s">
        <v>219</v>
      </c>
      <c r="G64" s="11" t="s">
        <v>258</v>
      </c>
      <c r="H64">
        <v>2</v>
      </c>
      <c r="I64" s="11" t="s">
        <v>173</v>
      </c>
      <c r="J64" s="11" t="s">
        <v>259</v>
      </c>
      <c r="K64" s="11" t="s">
        <v>174</v>
      </c>
      <c r="L64" s="11" t="s">
        <v>38</v>
      </c>
      <c r="M64" s="11" t="s">
        <v>38</v>
      </c>
      <c r="N64" s="11" t="s">
        <v>38</v>
      </c>
      <c r="O64" s="11" t="s">
        <v>38</v>
      </c>
      <c r="P64" t="s">
        <v>8</v>
      </c>
      <c r="Q64">
        <v>1</v>
      </c>
      <c r="R64">
        <v>0</v>
      </c>
      <c r="S64">
        <v>0</v>
      </c>
      <c r="T64" t="str">
        <f t="shared" si="0"/>
        <v>-</v>
      </c>
      <c r="U64" t="str">
        <f t="shared" si="1"/>
        <v>-</v>
      </c>
      <c r="V64" t="str">
        <f t="shared" si="2"/>
        <v>-</v>
      </c>
      <c r="W64" t="str">
        <f t="shared" si="3"/>
        <v>-</v>
      </c>
      <c r="X64" t="str">
        <f t="shared" si="4"/>
        <v>-</v>
      </c>
      <c r="Y64" t="str">
        <f t="shared" si="5"/>
        <v>-</v>
      </c>
      <c r="Z64" t="str">
        <f t="shared" si="6"/>
        <v>-</v>
      </c>
      <c r="AA64" t="str">
        <f t="shared" si="7"/>
        <v>-</v>
      </c>
      <c r="AB64" t="str">
        <f>IF(_xlfn.IFNA(VLOOKUP(P64,Set_Ref!$B$6:$B$1048576,1,FALSE),"")&lt;&gt;"","-",FALSE)</f>
        <v>-</v>
      </c>
      <c r="AC64" t="str">
        <f t="shared" si="8"/>
        <v>-</v>
      </c>
      <c r="AD64" t="str">
        <f t="shared" si="9"/>
        <v>-</v>
      </c>
      <c r="AE64" t="b">
        <f t="shared" si="10"/>
        <v>1</v>
      </c>
    </row>
    <row r="65" spans="1:31" x14ac:dyDescent="0.25">
      <c r="A65">
        <v>3</v>
      </c>
      <c r="B65">
        <v>56</v>
      </c>
      <c r="C65">
        <v>261</v>
      </c>
      <c r="D65" s="11" t="s">
        <v>145</v>
      </c>
      <c r="E65" s="11" t="s">
        <v>243</v>
      </c>
      <c r="F65" s="11" t="s">
        <v>219</v>
      </c>
      <c r="G65" s="11" t="s">
        <v>258</v>
      </c>
      <c r="H65">
        <v>2</v>
      </c>
      <c r="I65" s="11" t="s">
        <v>173</v>
      </c>
      <c r="J65" s="11" t="s">
        <v>259</v>
      </c>
      <c r="K65" s="11" t="s">
        <v>174</v>
      </c>
      <c r="L65" s="11" t="s">
        <v>38</v>
      </c>
      <c r="M65" s="11" t="s">
        <v>38</v>
      </c>
      <c r="N65" s="11" t="s">
        <v>38</v>
      </c>
      <c r="O65" s="11" t="s">
        <v>38</v>
      </c>
      <c r="P65" t="s">
        <v>8</v>
      </c>
      <c r="Q65">
        <v>1</v>
      </c>
      <c r="R65">
        <v>0</v>
      </c>
      <c r="S65">
        <v>0</v>
      </c>
      <c r="T65" t="str">
        <f t="shared" si="0"/>
        <v>-</v>
      </c>
      <c r="U65" t="str">
        <f t="shared" si="1"/>
        <v>-</v>
      </c>
      <c r="V65" t="str">
        <f t="shared" si="2"/>
        <v>-</v>
      </c>
      <c r="W65" t="str">
        <f t="shared" si="3"/>
        <v>-</v>
      </c>
      <c r="X65" t="str">
        <f t="shared" si="4"/>
        <v>-</v>
      </c>
      <c r="Y65" t="str">
        <f t="shared" si="5"/>
        <v>-</v>
      </c>
      <c r="Z65" t="str">
        <f t="shared" si="6"/>
        <v>-</v>
      </c>
      <c r="AA65" t="str">
        <f t="shared" si="7"/>
        <v>-</v>
      </c>
      <c r="AB65" t="str">
        <f>IF(_xlfn.IFNA(VLOOKUP(P65,Set_Ref!$B$6:$B$1048576,1,FALSE),"")&lt;&gt;"","-",FALSE)</f>
        <v>-</v>
      </c>
      <c r="AC65" t="str">
        <f t="shared" si="8"/>
        <v>-</v>
      </c>
      <c r="AD65" t="str">
        <f t="shared" si="9"/>
        <v>-</v>
      </c>
      <c r="AE65" t="b">
        <f t="shared" si="10"/>
        <v>1</v>
      </c>
    </row>
    <row r="66" spans="1:31" x14ac:dyDescent="0.25">
      <c r="A66">
        <v>3</v>
      </c>
      <c r="B66">
        <v>57</v>
      </c>
      <c r="C66">
        <v>261</v>
      </c>
      <c r="D66" s="11" t="s">
        <v>145</v>
      </c>
      <c r="E66" s="11" t="s">
        <v>243</v>
      </c>
      <c r="F66" s="11" t="s">
        <v>219</v>
      </c>
      <c r="G66" s="11" t="s">
        <v>258</v>
      </c>
      <c r="H66">
        <v>2</v>
      </c>
      <c r="I66" s="11" t="s">
        <v>173</v>
      </c>
      <c r="J66" s="11" t="s">
        <v>259</v>
      </c>
      <c r="K66" s="11" t="s">
        <v>174</v>
      </c>
      <c r="L66" s="11" t="s">
        <v>38</v>
      </c>
      <c r="M66" s="11" t="s">
        <v>38</v>
      </c>
      <c r="N66" s="11" t="s">
        <v>38</v>
      </c>
      <c r="O66" s="11" t="s">
        <v>38</v>
      </c>
      <c r="P66" t="s">
        <v>8</v>
      </c>
      <c r="Q66">
        <v>4</v>
      </c>
      <c r="R66">
        <v>0</v>
      </c>
      <c r="S66">
        <v>0</v>
      </c>
      <c r="T66" t="str">
        <f t="shared" si="0"/>
        <v>-</v>
      </c>
      <c r="U66" t="str">
        <f t="shared" si="1"/>
        <v>-</v>
      </c>
      <c r="V66" t="str">
        <f t="shared" si="2"/>
        <v>-</v>
      </c>
      <c r="W66" t="str">
        <f t="shared" si="3"/>
        <v>-</v>
      </c>
      <c r="X66" t="str">
        <f t="shared" si="4"/>
        <v>-</v>
      </c>
      <c r="Y66" t="str">
        <f t="shared" si="5"/>
        <v>-</v>
      </c>
      <c r="Z66" t="str">
        <f t="shared" si="6"/>
        <v>-</v>
      </c>
      <c r="AA66" t="str">
        <f t="shared" si="7"/>
        <v>-</v>
      </c>
      <c r="AB66" t="str">
        <f>IF(_xlfn.IFNA(VLOOKUP(P66,Set_Ref!$B$6:$B$1048576,1,FALSE),"")&lt;&gt;"","-",FALSE)</f>
        <v>-</v>
      </c>
      <c r="AC66" t="str">
        <f t="shared" si="8"/>
        <v>-</v>
      </c>
      <c r="AD66" t="str">
        <f t="shared" si="9"/>
        <v>-</v>
      </c>
      <c r="AE66" t="b">
        <f t="shared" si="10"/>
        <v>1</v>
      </c>
    </row>
    <row r="67" spans="1:31" x14ac:dyDescent="0.25">
      <c r="A67">
        <v>3</v>
      </c>
      <c r="B67">
        <v>58</v>
      </c>
      <c r="C67">
        <v>261</v>
      </c>
      <c r="D67" s="11" t="s">
        <v>145</v>
      </c>
      <c r="E67" s="11" t="s">
        <v>237</v>
      </c>
      <c r="F67" s="11" t="s">
        <v>220</v>
      </c>
      <c r="G67" s="11" t="s">
        <v>253</v>
      </c>
      <c r="H67">
        <v>7</v>
      </c>
      <c r="I67" s="11" t="s">
        <v>173</v>
      </c>
      <c r="J67" s="11" t="s">
        <v>260</v>
      </c>
      <c r="K67" s="11" t="s">
        <v>174</v>
      </c>
      <c r="L67" s="11" t="s">
        <v>38</v>
      </c>
      <c r="M67" s="11" t="s">
        <v>38</v>
      </c>
      <c r="N67" s="11" t="s">
        <v>38</v>
      </c>
      <c r="O67" s="11" t="s">
        <v>38</v>
      </c>
      <c r="P67" t="s">
        <v>8</v>
      </c>
      <c r="Q67">
        <v>26</v>
      </c>
      <c r="R67">
        <v>0</v>
      </c>
      <c r="S67">
        <v>0</v>
      </c>
      <c r="T67" t="str">
        <f t="shared" ref="T67:T130" si="11">IF(OR(A67="",A67&lt;1),FALSE,IF(ISNUMBER(A67), IF(INT(A67) = A67, "-", FALSE), FALSE))</f>
        <v>-</v>
      </c>
      <c r="U67" t="str">
        <f t="shared" ref="U67:U130" si="12">IF(OR(B67="",A67&lt;1),FALSE,IF(ISNUMBER(A67), IF(INT(A67) = A67, "-", FALSE), FALSE))</f>
        <v>-</v>
      </c>
      <c r="V67" t="str">
        <f t="shared" ref="V67:V130" si="13">IF(OR(C67="",C67="PilihSalasatu"),FALSE,"-")</f>
        <v>-</v>
      </c>
      <c r="W67" t="str">
        <f t="shared" ref="W67:W130" si="14">IF(D67="",FALSE,"-")</f>
        <v>-</v>
      </c>
      <c r="X67" t="str">
        <f t="shared" ref="X67:X130" si="15">IF(E67="",FALSE,"-")</f>
        <v>-</v>
      </c>
      <c r="Y67" t="str">
        <f t="shared" ref="Y67:Y130" si="16">IF(F67="",FALSE,"-")</f>
        <v>-</v>
      </c>
      <c r="Z67" t="str">
        <f t="shared" ref="Z67:Z130" si="17">IF(I67="",FALSE,"-")</f>
        <v>-</v>
      </c>
      <c r="AA67" t="str">
        <f t="shared" ref="AA67:AA130" si="18">IF(J67="",FALSE,"-")</f>
        <v>-</v>
      </c>
      <c r="AB67" t="str">
        <f>IF(_xlfn.IFNA(VLOOKUP(P67,Set_Ref!$B$6:$B$1048576,1,FALSE),"")&lt;&gt;"","-",FALSE)</f>
        <v>-</v>
      </c>
      <c r="AC67" t="str">
        <f t="shared" ref="AC67:AC130" si="19">IF(OR(Q67="",Q67&lt;=0),FALSE,IF(ISNUMBER(Q67),"-",FALSE))</f>
        <v>-</v>
      </c>
      <c r="AD67" t="str">
        <f t="shared" ref="AD67:AD130" si="20">IF(OR(G67="",H67="",I67="",K67=""),FALSE,"-")</f>
        <v>-</v>
      </c>
      <c r="AE67" t="b">
        <f t="shared" ref="AE67:AE130" si="21">IF(COUNTIF(T67:AD67, "FALSE") &gt; 0, FALSE, TRUE)</f>
        <v>1</v>
      </c>
    </row>
    <row r="68" spans="1:31" x14ac:dyDescent="0.25">
      <c r="A68">
        <v>3</v>
      </c>
      <c r="B68">
        <v>59</v>
      </c>
      <c r="C68">
        <v>261</v>
      </c>
      <c r="D68" s="11" t="s">
        <v>145</v>
      </c>
      <c r="E68" s="11" t="s">
        <v>237</v>
      </c>
      <c r="F68" s="11" t="s">
        <v>220</v>
      </c>
      <c r="G68" s="11" t="s">
        <v>253</v>
      </c>
      <c r="H68">
        <v>7</v>
      </c>
      <c r="I68" s="11" t="s">
        <v>173</v>
      </c>
      <c r="J68" s="11" t="s">
        <v>260</v>
      </c>
      <c r="K68" s="11" t="s">
        <v>174</v>
      </c>
      <c r="L68" s="11" t="s">
        <v>38</v>
      </c>
      <c r="M68" s="11" t="s">
        <v>38</v>
      </c>
      <c r="N68" s="11" t="s">
        <v>38</v>
      </c>
      <c r="O68" s="11" t="s">
        <v>38</v>
      </c>
      <c r="P68" t="s">
        <v>8</v>
      </c>
      <c r="Q68">
        <v>38</v>
      </c>
      <c r="R68">
        <v>0</v>
      </c>
      <c r="S68">
        <v>0</v>
      </c>
      <c r="T68" t="str">
        <f t="shared" si="11"/>
        <v>-</v>
      </c>
      <c r="U68" t="str">
        <f t="shared" si="12"/>
        <v>-</v>
      </c>
      <c r="V68" t="str">
        <f t="shared" si="13"/>
        <v>-</v>
      </c>
      <c r="W68" t="str">
        <f t="shared" si="14"/>
        <v>-</v>
      </c>
      <c r="X68" t="str">
        <f t="shared" si="15"/>
        <v>-</v>
      </c>
      <c r="Y68" t="str">
        <f t="shared" si="16"/>
        <v>-</v>
      </c>
      <c r="Z68" t="str">
        <f t="shared" si="17"/>
        <v>-</v>
      </c>
      <c r="AA68" t="str">
        <f t="shared" si="18"/>
        <v>-</v>
      </c>
      <c r="AB68" t="str">
        <f>IF(_xlfn.IFNA(VLOOKUP(P68,Set_Ref!$B$6:$B$1048576,1,FALSE),"")&lt;&gt;"","-",FALSE)</f>
        <v>-</v>
      </c>
      <c r="AC68" t="str">
        <f t="shared" si="19"/>
        <v>-</v>
      </c>
      <c r="AD68" t="str">
        <f t="shared" si="20"/>
        <v>-</v>
      </c>
      <c r="AE68" t="b">
        <f t="shared" si="21"/>
        <v>1</v>
      </c>
    </row>
    <row r="69" spans="1:31" x14ac:dyDescent="0.25">
      <c r="A69">
        <v>3</v>
      </c>
      <c r="B69">
        <v>60</v>
      </c>
      <c r="C69">
        <v>261</v>
      </c>
      <c r="D69" s="11" t="s">
        <v>145</v>
      </c>
      <c r="E69" s="11" t="s">
        <v>237</v>
      </c>
      <c r="F69" s="11" t="s">
        <v>220</v>
      </c>
      <c r="G69" s="11" t="s">
        <v>253</v>
      </c>
      <c r="H69">
        <v>7</v>
      </c>
      <c r="I69" s="11" t="s">
        <v>173</v>
      </c>
      <c r="J69" s="11" t="s">
        <v>260</v>
      </c>
      <c r="K69" s="11" t="s">
        <v>174</v>
      </c>
      <c r="L69" s="11" t="s">
        <v>38</v>
      </c>
      <c r="M69" s="11" t="s">
        <v>38</v>
      </c>
      <c r="N69" s="11" t="s">
        <v>38</v>
      </c>
      <c r="O69" s="11" t="s">
        <v>38</v>
      </c>
      <c r="P69" t="s">
        <v>8</v>
      </c>
      <c r="Q69">
        <v>22</v>
      </c>
      <c r="R69">
        <v>0</v>
      </c>
      <c r="S69">
        <v>0</v>
      </c>
      <c r="T69" t="str">
        <f t="shared" si="11"/>
        <v>-</v>
      </c>
      <c r="U69" t="str">
        <f t="shared" si="12"/>
        <v>-</v>
      </c>
      <c r="V69" t="str">
        <f t="shared" si="13"/>
        <v>-</v>
      </c>
      <c r="W69" t="str">
        <f t="shared" si="14"/>
        <v>-</v>
      </c>
      <c r="X69" t="str">
        <f t="shared" si="15"/>
        <v>-</v>
      </c>
      <c r="Y69" t="str">
        <f t="shared" si="16"/>
        <v>-</v>
      </c>
      <c r="Z69" t="str">
        <f t="shared" si="17"/>
        <v>-</v>
      </c>
      <c r="AA69" t="str">
        <f t="shared" si="18"/>
        <v>-</v>
      </c>
      <c r="AB69" t="str">
        <f>IF(_xlfn.IFNA(VLOOKUP(P69,Set_Ref!$B$6:$B$1048576,1,FALSE),"")&lt;&gt;"","-",FALSE)</f>
        <v>-</v>
      </c>
      <c r="AC69" t="str">
        <f t="shared" si="19"/>
        <v>-</v>
      </c>
      <c r="AD69" t="str">
        <f t="shared" si="20"/>
        <v>-</v>
      </c>
      <c r="AE69" t="b">
        <f t="shared" si="21"/>
        <v>1</v>
      </c>
    </row>
    <row r="70" spans="1:31" x14ac:dyDescent="0.25">
      <c r="A70">
        <v>3</v>
      </c>
      <c r="B70">
        <v>61</v>
      </c>
      <c r="C70">
        <v>261</v>
      </c>
      <c r="D70" s="11" t="s">
        <v>145</v>
      </c>
      <c r="E70" s="11" t="s">
        <v>237</v>
      </c>
      <c r="F70" s="11" t="s">
        <v>220</v>
      </c>
      <c r="G70" s="11" t="s">
        <v>253</v>
      </c>
      <c r="H70">
        <v>7</v>
      </c>
      <c r="I70" s="11" t="s">
        <v>173</v>
      </c>
      <c r="J70" s="11" t="s">
        <v>260</v>
      </c>
      <c r="K70" s="11" t="s">
        <v>174</v>
      </c>
      <c r="L70" s="11" t="s">
        <v>38</v>
      </c>
      <c r="M70" s="11" t="s">
        <v>38</v>
      </c>
      <c r="N70" s="11" t="s">
        <v>38</v>
      </c>
      <c r="O70" s="11" t="s">
        <v>38</v>
      </c>
      <c r="P70" t="s">
        <v>8</v>
      </c>
      <c r="Q70">
        <v>15</v>
      </c>
      <c r="R70">
        <v>0</v>
      </c>
      <c r="S70">
        <v>0</v>
      </c>
      <c r="T70" t="str">
        <f t="shared" si="11"/>
        <v>-</v>
      </c>
      <c r="U70" t="str">
        <f t="shared" si="12"/>
        <v>-</v>
      </c>
      <c r="V70" t="str">
        <f t="shared" si="13"/>
        <v>-</v>
      </c>
      <c r="W70" t="str">
        <f t="shared" si="14"/>
        <v>-</v>
      </c>
      <c r="X70" t="str">
        <f t="shared" si="15"/>
        <v>-</v>
      </c>
      <c r="Y70" t="str">
        <f t="shared" si="16"/>
        <v>-</v>
      </c>
      <c r="Z70" t="str">
        <f t="shared" si="17"/>
        <v>-</v>
      </c>
      <c r="AA70" t="str">
        <f t="shared" si="18"/>
        <v>-</v>
      </c>
      <c r="AB70" t="str">
        <f>IF(_xlfn.IFNA(VLOOKUP(P70,Set_Ref!$B$6:$B$1048576,1,FALSE),"")&lt;&gt;"","-",FALSE)</f>
        <v>-</v>
      </c>
      <c r="AC70" t="str">
        <f t="shared" si="19"/>
        <v>-</v>
      </c>
      <c r="AD70" t="str">
        <f t="shared" si="20"/>
        <v>-</v>
      </c>
      <c r="AE70" t="b">
        <f t="shared" si="21"/>
        <v>1</v>
      </c>
    </row>
    <row r="71" spans="1:31" x14ac:dyDescent="0.25">
      <c r="A71">
        <v>3</v>
      </c>
      <c r="B71">
        <v>62</v>
      </c>
      <c r="C71">
        <v>261</v>
      </c>
      <c r="D71" s="11" t="s">
        <v>145</v>
      </c>
      <c r="E71" s="11" t="s">
        <v>237</v>
      </c>
      <c r="F71" s="11" t="s">
        <v>220</v>
      </c>
      <c r="G71" s="11" t="s">
        <v>253</v>
      </c>
      <c r="H71">
        <v>7</v>
      </c>
      <c r="I71" s="11" t="s">
        <v>173</v>
      </c>
      <c r="J71" s="11" t="s">
        <v>260</v>
      </c>
      <c r="K71" s="11" t="s">
        <v>174</v>
      </c>
      <c r="L71" s="11" t="s">
        <v>38</v>
      </c>
      <c r="M71" s="11" t="s">
        <v>38</v>
      </c>
      <c r="N71" s="11" t="s">
        <v>38</v>
      </c>
      <c r="O71" s="11" t="s">
        <v>38</v>
      </c>
      <c r="P71" t="s">
        <v>8</v>
      </c>
      <c r="Q71">
        <v>30</v>
      </c>
      <c r="R71">
        <v>0</v>
      </c>
      <c r="S71">
        <v>0</v>
      </c>
      <c r="T71" t="str">
        <f t="shared" si="11"/>
        <v>-</v>
      </c>
      <c r="U71" t="str">
        <f t="shared" si="12"/>
        <v>-</v>
      </c>
      <c r="V71" t="str">
        <f t="shared" si="13"/>
        <v>-</v>
      </c>
      <c r="W71" t="str">
        <f t="shared" si="14"/>
        <v>-</v>
      </c>
      <c r="X71" t="str">
        <f t="shared" si="15"/>
        <v>-</v>
      </c>
      <c r="Y71" t="str">
        <f t="shared" si="16"/>
        <v>-</v>
      </c>
      <c r="Z71" t="str">
        <f t="shared" si="17"/>
        <v>-</v>
      </c>
      <c r="AA71" t="str">
        <f t="shared" si="18"/>
        <v>-</v>
      </c>
      <c r="AB71" t="str">
        <f>IF(_xlfn.IFNA(VLOOKUP(P71,Set_Ref!$B$6:$B$1048576,1,FALSE),"")&lt;&gt;"","-",FALSE)</f>
        <v>-</v>
      </c>
      <c r="AC71" t="str">
        <f t="shared" si="19"/>
        <v>-</v>
      </c>
      <c r="AD71" t="str">
        <f t="shared" si="20"/>
        <v>-</v>
      </c>
      <c r="AE71" t="b">
        <f t="shared" si="21"/>
        <v>1</v>
      </c>
    </row>
    <row r="72" spans="1:31" x14ac:dyDescent="0.25">
      <c r="A72">
        <v>4</v>
      </c>
      <c r="B72">
        <v>1</v>
      </c>
      <c r="C72">
        <v>261</v>
      </c>
      <c r="D72" s="11" t="s">
        <v>145</v>
      </c>
      <c r="E72" s="11" t="s">
        <v>235</v>
      </c>
      <c r="F72" s="11" t="s">
        <v>213</v>
      </c>
      <c r="G72" s="11" t="s">
        <v>252</v>
      </c>
      <c r="H72">
        <v>8</v>
      </c>
      <c r="I72" s="11" t="s">
        <v>184</v>
      </c>
      <c r="J72" s="11" t="s">
        <v>193</v>
      </c>
      <c r="K72" s="11" t="s">
        <v>175</v>
      </c>
      <c r="L72" s="11" t="s">
        <v>38</v>
      </c>
      <c r="M72" s="11" t="s">
        <v>38</v>
      </c>
      <c r="N72" s="11" t="s">
        <v>38</v>
      </c>
      <c r="O72" s="11" t="s">
        <v>38</v>
      </c>
      <c r="P72" t="s">
        <v>31</v>
      </c>
      <c r="Q72">
        <v>21.54</v>
      </c>
      <c r="R72">
        <v>0</v>
      </c>
      <c r="S72">
        <v>0</v>
      </c>
      <c r="T72" t="str">
        <f t="shared" si="11"/>
        <v>-</v>
      </c>
      <c r="U72" t="str">
        <f t="shared" si="12"/>
        <v>-</v>
      </c>
      <c r="V72" t="str">
        <f t="shared" si="13"/>
        <v>-</v>
      </c>
      <c r="W72" t="str">
        <f t="shared" si="14"/>
        <v>-</v>
      </c>
      <c r="X72" t="str">
        <f t="shared" si="15"/>
        <v>-</v>
      </c>
      <c r="Y72" t="str">
        <f t="shared" si="16"/>
        <v>-</v>
      </c>
      <c r="Z72" t="str">
        <f t="shared" si="17"/>
        <v>-</v>
      </c>
      <c r="AA72" t="str">
        <f t="shared" si="18"/>
        <v>-</v>
      </c>
      <c r="AB72" t="str">
        <f>IF(_xlfn.IFNA(VLOOKUP(P72,Set_Ref!$B$6:$B$1048576,1,FALSE),"")&lt;&gt;"","-",FALSE)</f>
        <v>-</v>
      </c>
      <c r="AC72" t="str">
        <f t="shared" si="19"/>
        <v>-</v>
      </c>
      <c r="AD72" t="str">
        <f t="shared" si="20"/>
        <v>-</v>
      </c>
      <c r="AE72" t="b">
        <f t="shared" si="21"/>
        <v>1</v>
      </c>
    </row>
    <row r="73" spans="1:31" x14ac:dyDescent="0.25">
      <c r="A73">
        <v>4</v>
      </c>
      <c r="B73">
        <v>2</v>
      </c>
      <c r="C73">
        <v>261</v>
      </c>
      <c r="D73" s="11" t="s">
        <v>145</v>
      </c>
      <c r="E73" s="11" t="s">
        <v>235</v>
      </c>
      <c r="F73" s="11" t="s">
        <v>213</v>
      </c>
      <c r="G73" s="11" t="s">
        <v>252</v>
      </c>
      <c r="H73">
        <v>8</v>
      </c>
      <c r="I73" s="11" t="s">
        <v>184</v>
      </c>
      <c r="J73" s="11" t="s">
        <v>193</v>
      </c>
      <c r="K73" s="11" t="s">
        <v>175</v>
      </c>
      <c r="L73" s="11" t="s">
        <v>38</v>
      </c>
      <c r="M73" s="11" t="s">
        <v>38</v>
      </c>
      <c r="N73" s="11" t="s">
        <v>38</v>
      </c>
      <c r="O73" s="11" t="s">
        <v>38</v>
      </c>
      <c r="P73" t="s">
        <v>31</v>
      </c>
      <c r="Q73">
        <v>16</v>
      </c>
      <c r="R73">
        <v>0</v>
      </c>
      <c r="S73">
        <v>0</v>
      </c>
      <c r="T73" t="str">
        <f t="shared" si="11"/>
        <v>-</v>
      </c>
      <c r="U73" t="str">
        <f t="shared" si="12"/>
        <v>-</v>
      </c>
      <c r="V73" t="str">
        <f t="shared" si="13"/>
        <v>-</v>
      </c>
      <c r="W73" t="str">
        <f t="shared" si="14"/>
        <v>-</v>
      </c>
      <c r="X73" t="str">
        <f t="shared" si="15"/>
        <v>-</v>
      </c>
      <c r="Y73" t="str">
        <f t="shared" si="16"/>
        <v>-</v>
      </c>
      <c r="Z73" t="str">
        <f t="shared" si="17"/>
        <v>-</v>
      </c>
      <c r="AA73" t="str">
        <f t="shared" si="18"/>
        <v>-</v>
      </c>
      <c r="AB73" t="str">
        <f>IF(_xlfn.IFNA(VLOOKUP(P73,Set_Ref!$B$6:$B$1048576,1,FALSE),"")&lt;&gt;"","-",FALSE)</f>
        <v>-</v>
      </c>
      <c r="AC73" t="str">
        <f t="shared" si="19"/>
        <v>-</v>
      </c>
      <c r="AD73" t="str">
        <f t="shared" si="20"/>
        <v>-</v>
      </c>
      <c r="AE73" t="b">
        <f t="shared" si="21"/>
        <v>1</v>
      </c>
    </row>
    <row r="74" spans="1:31" x14ac:dyDescent="0.25">
      <c r="A74">
        <v>4</v>
      </c>
      <c r="B74">
        <v>3</v>
      </c>
      <c r="C74">
        <v>261</v>
      </c>
      <c r="D74" s="11" t="s">
        <v>145</v>
      </c>
      <c r="E74" s="11" t="s">
        <v>244</v>
      </c>
      <c r="F74" s="11" t="s">
        <v>198</v>
      </c>
      <c r="G74" s="11" t="s">
        <v>261</v>
      </c>
      <c r="H74">
        <v>3</v>
      </c>
      <c r="I74" s="11" t="s">
        <v>184</v>
      </c>
      <c r="J74" s="11" t="s">
        <v>224</v>
      </c>
      <c r="K74" s="11" t="s">
        <v>175</v>
      </c>
      <c r="L74" s="11" t="s">
        <v>38</v>
      </c>
      <c r="M74" s="11" t="s">
        <v>38</v>
      </c>
      <c r="N74" s="11" t="s">
        <v>38</v>
      </c>
      <c r="O74" s="11" t="s">
        <v>38</v>
      </c>
      <c r="P74" t="s">
        <v>31</v>
      </c>
      <c r="Q74">
        <v>1.48</v>
      </c>
      <c r="R74">
        <v>0</v>
      </c>
      <c r="S74">
        <v>0</v>
      </c>
      <c r="T74" t="str">
        <f t="shared" si="11"/>
        <v>-</v>
      </c>
      <c r="U74" t="str">
        <f t="shared" si="12"/>
        <v>-</v>
      </c>
      <c r="V74" t="str">
        <f t="shared" si="13"/>
        <v>-</v>
      </c>
      <c r="W74" t="str">
        <f t="shared" si="14"/>
        <v>-</v>
      </c>
      <c r="X74" t="str">
        <f t="shared" si="15"/>
        <v>-</v>
      </c>
      <c r="Y74" t="str">
        <f t="shared" si="16"/>
        <v>-</v>
      </c>
      <c r="Z74" t="str">
        <f t="shared" si="17"/>
        <v>-</v>
      </c>
      <c r="AA74" t="str">
        <f t="shared" si="18"/>
        <v>-</v>
      </c>
      <c r="AB74" t="str">
        <f>IF(_xlfn.IFNA(VLOOKUP(P74,Set_Ref!$B$6:$B$1048576,1,FALSE),"")&lt;&gt;"","-",FALSE)</f>
        <v>-</v>
      </c>
      <c r="AC74" t="str">
        <f t="shared" si="19"/>
        <v>-</v>
      </c>
      <c r="AD74" t="str">
        <f t="shared" si="20"/>
        <v>-</v>
      </c>
      <c r="AE74" t="b">
        <f t="shared" si="21"/>
        <v>1</v>
      </c>
    </row>
    <row r="75" spans="1:31" x14ac:dyDescent="0.25">
      <c r="A75">
        <v>5</v>
      </c>
      <c r="B75">
        <v>1</v>
      </c>
      <c r="C75">
        <v>261</v>
      </c>
      <c r="D75" s="11" t="s">
        <v>145</v>
      </c>
      <c r="E75" s="11" t="s">
        <v>235</v>
      </c>
      <c r="F75" s="11" t="s">
        <v>213</v>
      </c>
      <c r="G75" s="11" t="s">
        <v>252</v>
      </c>
      <c r="H75">
        <v>9</v>
      </c>
      <c r="I75" s="11" t="s">
        <v>225</v>
      </c>
      <c r="J75" s="11" t="s">
        <v>226</v>
      </c>
      <c r="K75" s="11" t="s">
        <v>204</v>
      </c>
      <c r="L75" s="11" t="s">
        <v>38</v>
      </c>
      <c r="M75" s="11" t="s">
        <v>38</v>
      </c>
      <c r="N75" s="11" t="s">
        <v>38</v>
      </c>
      <c r="O75" s="11" t="s">
        <v>38</v>
      </c>
      <c r="P75" t="s">
        <v>7</v>
      </c>
      <c r="Q75">
        <v>4743</v>
      </c>
      <c r="R75">
        <v>0</v>
      </c>
      <c r="S75">
        <v>0</v>
      </c>
      <c r="T75" t="str">
        <f t="shared" si="11"/>
        <v>-</v>
      </c>
      <c r="U75" t="str">
        <f t="shared" si="12"/>
        <v>-</v>
      </c>
      <c r="V75" t="str">
        <f t="shared" si="13"/>
        <v>-</v>
      </c>
      <c r="W75" t="str">
        <f t="shared" si="14"/>
        <v>-</v>
      </c>
      <c r="X75" t="str">
        <f t="shared" si="15"/>
        <v>-</v>
      </c>
      <c r="Y75" t="str">
        <f t="shared" si="16"/>
        <v>-</v>
      </c>
      <c r="Z75" t="str">
        <f t="shared" si="17"/>
        <v>-</v>
      </c>
      <c r="AA75" t="str">
        <f t="shared" si="18"/>
        <v>-</v>
      </c>
      <c r="AB75" t="str">
        <f>IF(_xlfn.IFNA(VLOOKUP(P75,Set_Ref!$B$6:$B$1048576,1,FALSE),"")&lt;&gt;"","-",FALSE)</f>
        <v>-</v>
      </c>
      <c r="AC75" t="str">
        <f t="shared" si="19"/>
        <v>-</v>
      </c>
      <c r="AD75" t="str">
        <f t="shared" si="20"/>
        <v>-</v>
      </c>
      <c r="AE75" t="b">
        <f t="shared" si="21"/>
        <v>1</v>
      </c>
    </row>
    <row r="76" spans="1:31" x14ac:dyDescent="0.25">
      <c r="A76">
        <v>6</v>
      </c>
      <c r="B76">
        <v>1</v>
      </c>
      <c r="C76">
        <v>261</v>
      </c>
      <c r="D76" s="11" t="s">
        <v>145</v>
      </c>
      <c r="E76" s="11" t="s">
        <v>240</v>
      </c>
      <c r="F76" s="11" t="s">
        <v>214</v>
      </c>
      <c r="G76" s="11" t="s">
        <v>255</v>
      </c>
      <c r="H76">
        <v>3</v>
      </c>
      <c r="I76" s="11" t="s">
        <v>173</v>
      </c>
      <c r="J76" s="11" t="s">
        <v>262</v>
      </c>
      <c r="K76" s="11" t="s">
        <v>176</v>
      </c>
      <c r="L76" s="11" t="s">
        <v>38</v>
      </c>
      <c r="M76" s="11" t="s">
        <v>38</v>
      </c>
      <c r="N76" s="11" t="s">
        <v>38</v>
      </c>
      <c r="O76" s="11" t="s">
        <v>38</v>
      </c>
      <c r="P76" t="s">
        <v>8</v>
      </c>
      <c r="Q76">
        <v>1400</v>
      </c>
      <c r="R76">
        <v>0</v>
      </c>
      <c r="S76">
        <v>0</v>
      </c>
      <c r="T76" t="str">
        <f t="shared" si="11"/>
        <v>-</v>
      </c>
      <c r="U76" t="str">
        <f t="shared" si="12"/>
        <v>-</v>
      </c>
      <c r="V76" t="str">
        <f t="shared" si="13"/>
        <v>-</v>
      </c>
      <c r="W76" t="str">
        <f t="shared" si="14"/>
        <v>-</v>
      </c>
      <c r="X76" t="str">
        <f t="shared" si="15"/>
        <v>-</v>
      </c>
      <c r="Y76" t="str">
        <f t="shared" si="16"/>
        <v>-</v>
      </c>
      <c r="Z76" t="str">
        <f t="shared" si="17"/>
        <v>-</v>
      </c>
      <c r="AA76" t="str">
        <f t="shared" si="18"/>
        <v>-</v>
      </c>
      <c r="AB76" t="str">
        <f>IF(_xlfn.IFNA(VLOOKUP(P76,Set_Ref!$B$6:$B$1048576,1,FALSE),"")&lt;&gt;"","-",FALSE)</f>
        <v>-</v>
      </c>
      <c r="AC76" t="str">
        <f t="shared" si="19"/>
        <v>-</v>
      </c>
      <c r="AD76" t="str">
        <f t="shared" si="20"/>
        <v>-</v>
      </c>
      <c r="AE76" t="b">
        <f t="shared" si="21"/>
        <v>1</v>
      </c>
    </row>
    <row r="77" spans="1:31" x14ac:dyDescent="0.25">
      <c r="A77">
        <v>6</v>
      </c>
      <c r="B77">
        <v>2</v>
      </c>
      <c r="C77">
        <v>261</v>
      </c>
      <c r="D77" s="11" t="s">
        <v>145</v>
      </c>
      <c r="E77" s="11" t="s">
        <v>240</v>
      </c>
      <c r="F77" s="11" t="s">
        <v>214</v>
      </c>
      <c r="G77" s="11" t="s">
        <v>255</v>
      </c>
      <c r="H77">
        <v>3</v>
      </c>
      <c r="I77" s="11" t="s">
        <v>173</v>
      </c>
      <c r="J77" s="11" t="s">
        <v>262</v>
      </c>
      <c r="K77" s="11" t="s">
        <v>176</v>
      </c>
      <c r="L77" s="11" t="s">
        <v>38</v>
      </c>
      <c r="M77" s="11" t="s">
        <v>38</v>
      </c>
      <c r="N77" s="11" t="s">
        <v>38</v>
      </c>
      <c r="O77" s="11" t="s">
        <v>38</v>
      </c>
      <c r="P77" t="s">
        <v>8</v>
      </c>
      <c r="Q77">
        <v>1600</v>
      </c>
      <c r="R77">
        <v>0</v>
      </c>
      <c r="S77">
        <v>0</v>
      </c>
      <c r="T77" t="str">
        <f t="shared" si="11"/>
        <v>-</v>
      </c>
      <c r="U77" t="str">
        <f t="shared" si="12"/>
        <v>-</v>
      </c>
      <c r="V77" t="str">
        <f t="shared" si="13"/>
        <v>-</v>
      </c>
      <c r="W77" t="str">
        <f t="shared" si="14"/>
        <v>-</v>
      </c>
      <c r="X77" t="str">
        <f t="shared" si="15"/>
        <v>-</v>
      </c>
      <c r="Y77" t="str">
        <f t="shared" si="16"/>
        <v>-</v>
      </c>
      <c r="Z77" t="str">
        <f t="shared" si="17"/>
        <v>-</v>
      </c>
      <c r="AA77" t="str">
        <f t="shared" si="18"/>
        <v>-</v>
      </c>
      <c r="AB77" t="str">
        <f>IF(_xlfn.IFNA(VLOOKUP(P77,Set_Ref!$B$6:$B$1048576,1,FALSE),"")&lt;&gt;"","-",FALSE)</f>
        <v>-</v>
      </c>
      <c r="AC77" t="str">
        <f t="shared" si="19"/>
        <v>-</v>
      </c>
      <c r="AD77" t="str">
        <f t="shared" si="20"/>
        <v>-</v>
      </c>
      <c r="AE77" t="b">
        <f t="shared" si="21"/>
        <v>1</v>
      </c>
    </row>
    <row r="78" spans="1:31" x14ac:dyDescent="0.25">
      <c r="A78">
        <v>6</v>
      </c>
      <c r="B78">
        <v>3</v>
      </c>
      <c r="C78">
        <v>261</v>
      </c>
      <c r="D78" s="11" t="s">
        <v>145</v>
      </c>
      <c r="E78" s="11" t="s">
        <v>240</v>
      </c>
      <c r="F78" s="11" t="s">
        <v>214</v>
      </c>
      <c r="G78" s="11" t="s">
        <v>255</v>
      </c>
      <c r="H78">
        <v>3</v>
      </c>
      <c r="I78" s="11" t="s">
        <v>173</v>
      </c>
      <c r="J78" s="11" t="s">
        <v>262</v>
      </c>
      <c r="K78" s="11" t="s">
        <v>176</v>
      </c>
      <c r="L78" s="11" t="s">
        <v>38</v>
      </c>
      <c r="M78" s="11" t="s">
        <v>38</v>
      </c>
      <c r="N78" s="11" t="s">
        <v>38</v>
      </c>
      <c r="O78" s="11" t="s">
        <v>38</v>
      </c>
      <c r="P78" t="s">
        <v>8</v>
      </c>
      <c r="Q78">
        <v>1400</v>
      </c>
      <c r="R78">
        <v>0</v>
      </c>
      <c r="S78">
        <v>0</v>
      </c>
      <c r="T78" t="str">
        <f t="shared" si="11"/>
        <v>-</v>
      </c>
      <c r="U78" t="str">
        <f t="shared" si="12"/>
        <v>-</v>
      </c>
      <c r="V78" t="str">
        <f t="shared" si="13"/>
        <v>-</v>
      </c>
      <c r="W78" t="str">
        <f t="shared" si="14"/>
        <v>-</v>
      </c>
      <c r="X78" t="str">
        <f t="shared" si="15"/>
        <v>-</v>
      </c>
      <c r="Y78" t="str">
        <f t="shared" si="16"/>
        <v>-</v>
      </c>
      <c r="Z78" t="str">
        <f t="shared" si="17"/>
        <v>-</v>
      </c>
      <c r="AA78" t="str">
        <f t="shared" si="18"/>
        <v>-</v>
      </c>
      <c r="AB78" t="str">
        <f>IF(_xlfn.IFNA(VLOOKUP(P78,Set_Ref!$B$6:$B$1048576,1,FALSE),"")&lt;&gt;"","-",FALSE)</f>
        <v>-</v>
      </c>
      <c r="AC78" t="str">
        <f t="shared" si="19"/>
        <v>-</v>
      </c>
      <c r="AD78" t="str">
        <f t="shared" si="20"/>
        <v>-</v>
      </c>
      <c r="AE78" t="b">
        <f t="shared" si="21"/>
        <v>1</v>
      </c>
    </row>
    <row r="79" spans="1:31" x14ac:dyDescent="0.25">
      <c r="A79">
        <v>6</v>
      </c>
      <c r="B79">
        <v>4</v>
      </c>
      <c r="C79">
        <v>261</v>
      </c>
      <c r="D79" s="11" t="s">
        <v>145</v>
      </c>
      <c r="E79" s="11" t="s">
        <v>240</v>
      </c>
      <c r="F79" s="11" t="s">
        <v>214</v>
      </c>
      <c r="G79" s="11" t="s">
        <v>255</v>
      </c>
      <c r="H79">
        <v>3</v>
      </c>
      <c r="I79" s="11" t="s">
        <v>173</v>
      </c>
      <c r="J79" s="11" t="s">
        <v>262</v>
      </c>
      <c r="K79" s="11" t="s">
        <v>176</v>
      </c>
      <c r="L79" s="11" t="s">
        <v>38</v>
      </c>
      <c r="M79" s="11" t="s">
        <v>38</v>
      </c>
      <c r="N79" s="11" t="s">
        <v>38</v>
      </c>
      <c r="O79" s="11" t="s">
        <v>38</v>
      </c>
      <c r="P79" t="s">
        <v>8</v>
      </c>
      <c r="Q79">
        <v>2500</v>
      </c>
      <c r="R79">
        <v>0</v>
      </c>
      <c r="S79">
        <v>0</v>
      </c>
      <c r="T79" t="str">
        <f t="shared" si="11"/>
        <v>-</v>
      </c>
      <c r="U79" t="str">
        <f t="shared" si="12"/>
        <v>-</v>
      </c>
      <c r="V79" t="str">
        <f t="shared" si="13"/>
        <v>-</v>
      </c>
      <c r="W79" t="str">
        <f t="shared" si="14"/>
        <v>-</v>
      </c>
      <c r="X79" t="str">
        <f t="shared" si="15"/>
        <v>-</v>
      </c>
      <c r="Y79" t="str">
        <f t="shared" si="16"/>
        <v>-</v>
      </c>
      <c r="Z79" t="str">
        <f t="shared" si="17"/>
        <v>-</v>
      </c>
      <c r="AA79" t="str">
        <f t="shared" si="18"/>
        <v>-</v>
      </c>
      <c r="AB79" t="str">
        <f>IF(_xlfn.IFNA(VLOOKUP(P79,Set_Ref!$B$6:$B$1048576,1,FALSE),"")&lt;&gt;"","-",FALSE)</f>
        <v>-</v>
      </c>
      <c r="AC79" t="str">
        <f t="shared" si="19"/>
        <v>-</v>
      </c>
      <c r="AD79" t="str">
        <f t="shared" si="20"/>
        <v>-</v>
      </c>
      <c r="AE79" t="b">
        <f t="shared" si="21"/>
        <v>1</v>
      </c>
    </row>
    <row r="80" spans="1:31" x14ac:dyDescent="0.25">
      <c r="A80">
        <v>6</v>
      </c>
      <c r="B80">
        <v>5</v>
      </c>
      <c r="C80">
        <v>261</v>
      </c>
      <c r="D80" s="11" t="s">
        <v>145</v>
      </c>
      <c r="E80" s="11" t="s">
        <v>240</v>
      </c>
      <c r="F80" s="11" t="s">
        <v>214</v>
      </c>
      <c r="G80" s="11" t="s">
        <v>255</v>
      </c>
      <c r="H80">
        <v>3</v>
      </c>
      <c r="I80" s="11" t="s">
        <v>173</v>
      </c>
      <c r="J80" s="11" t="s">
        <v>262</v>
      </c>
      <c r="K80" s="11" t="s">
        <v>176</v>
      </c>
      <c r="L80" s="11" t="s">
        <v>38</v>
      </c>
      <c r="M80" s="11" t="s">
        <v>38</v>
      </c>
      <c r="N80" s="11" t="s">
        <v>38</v>
      </c>
      <c r="O80" s="11" t="s">
        <v>38</v>
      </c>
      <c r="P80" t="s">
        <v>8</v>
      </c>
      <c r="Q80">
        <v>2900</v>
      </c>
      <c r="R80">
        <v>0</v>
      </c>
      <c r="S80">
        <v>0</v>
      </c>
      <c r="T80" t="str">
        <f t="shared" si="11"/>
        <v>-</v>
      </c>
      <c r="U80" t="str">
        <f t="shared" si="12"/>
        <v>-</v>
      </c>
      <c r="V80" t="str">
        <f t="shared" si="13"/>
        <v>-</v>
      </c>
      <c r="W80" t="str">
        <f t="shared" si="14"/>
        <v>-</v>
      </c>
      <c r="X80" t="str">
        <f t="shared" si="15"/>
        <v>-</v>
      </c>
      <c r="Y80" t="str">
        <f t="shared" si="16"/>
        <v>-</v>
      </c>
      <c r="Z80" t="str">
        <f t="shared" si="17"/>
        <v>-</v>
      </c>
      <c r="AA80" t="str">
        <f t="shared" si="18"/>
        <v>-</v>
      </c>
      <c r="AB80" t="str">
        <f>IF(_xlfn.IFNA(VLOOKUP(P80,Set_Ref!$B$6:$B$1048576,1,FALSE),"")&lt;&gt;"","-",FALSE)</f>
        <v>-</v>
      </c>
      <c r="AC80" t="str">
        <f t="shared" si="19"/>
        <v>-</v>
      </c>
      <c r="AD80" t="str">
        <f t="shared" si="20"/>
        <v>-</v>
      </c>
      <c r="AE80" t="b">
        <f t="shared" si="21"/>
        <v>1</v>
      </c>
    </row>
    <row r="81" spans="1:31" x14ac:dyDescent="0.25">
      <c r="A81">
        <v>6</v>
      </c>
      <c r="B81">
        <v>6</v>
      </c>
      <c r="C81">
        <v>261</v>
      </c>
      <c r="D81" s="11" t="s">
        <v>145</v>
      </c>
      <c r="E81" s="11" t="s">
        <v>240</v>
      </c>
      <c r="F81" s="11" t="s">
        <v>214</v>
      </c>
      <c r="G81" s="11" t="s">
        <v>255</v>
      </c>
      <c r="H81">
        <v>3</v>
      </c>
      <c r="I81" s="11" t="s">
        <v>173</v>
      </c>
      <c r="J81" s="11" t="s">
        <v>262</v>
      </c>
      <c r="K81" s="11" t="s">
        <v>176</v>
      </c>
      <c r="L81" s="11" t="s">
        <v>38</v>
      </c>
      <c r="M81" s="11" t="s">
        <v>38</v>
      </c>
      <c r="N81" s="11" t="s">
        <v>38</v>
      </c>
      <c r="O81" s="11" t="s">
        <v>38</v>
      </c>
      <c r="P81" t="s">
        <v>8</v>
      </c>
      <c r="Q81">
        <v>3200</v>
      </c>
      <c r="R81">
        <v>0</v>
      </c>
      <c r="S81">
        <v>0</v>
      </c>
      <c r="T81" t="str">
        <f t="shared" si="11"/>
        <v>-</v>
      </c>
      <c r="U81" t="str">
        <f t="shared" si="12"/>
        <v>-</v>
      </c>
      <c r="V81" t="str">
        <f t="shared" si="13"/>
        <v>-</v>
      </c>
      <c r="W81" t="str">
        <f t="shared" si="14"/>
        <v>-</v>
      </c>
      <c r="X81" t="str">
        <f t="shared" si="15"/>
        <v>-</v>
      </c>
      <c r="Y81" t="str">
        <f t="shared" si="16"/>
        <v>-</v>
      </c>
      <c r="Z81" t="str">
        <f t="shared" si="17"/>
        <v>-</v>
      </c>
      <c r="AA81" t="str">
        <f t="shared" si="18"/>
        <v>-</v>
      </c>
      <c r="AB81" t="str">
        <f>IF(_xlfn.IFNA(VLOOKUP(P81,Set_Ref!$B$6:$B$1048576,1,FALSE),"")&lt;&gt;"","-",FALSE)</f>
        <v>-</v>
      </c>
      <c r="AC81" t="str">
        <f t="shared" si="19"/>
        <v>-</v>
      </c>
      <c r="AD81" t="str">
        <f t="shared" si="20"/>
        <v>-</v>
      </c>
      <c r="AE81" t="b">
        <f t="shared" si="21"/>
        <v>1</v>
      </c>
    </row>
    <row r="82" spans="1:31" x14ac:dyDescent="0.25">
      <c r="A82">
        <v>6</v>
      </c>
      <c r="B82">
        <v>7</v>
      </c>
      <c r="C82">
        <v>261</v>
      </c>
      <c r="D82" s="11" t="s">
        <v>145</v>
      </c>
      <c r="E82" s="11" t="s">
        <v>241</v>
      </c>
      <c r="F82" s="11" t="s">
        <v>197</v>
      </c>
      <c r="G82" s="11" t="s">
        <v>256</v>
      </c>
      <c r="H82">
        <v>9</v>
      </c>
      <c r="I82" s="11" t="s">
        <v>173</v>
      </c>
      <c r="J82" s="11" t="s">
        <v>263</v>
      </c>
      <c r="K82" s="11" t="s">
        <v>176</v>
      </c>
      <c r="L82" s="11" t="s">
        <v>38</v>
      </c>
      <c r="M82" s="11" t="s">
        <v>38</v>
      </c>
      <c r="N82" s="11" t="s">
        <v>38</v>
      </c>
      <c r="O82" s="11" t="s">
        <v>38</v>
      </c>
      <c r="P82" t="s">
        <v>8</v>
      </c>
      <c r="Q82">
        <v>2121</v>
      </c>
      <c r="R82">
        <v>0</v>
      </c>
      <c r="S82">
        <v>0</v>
      </c>
      <c r="T82" t="str">
        <f t="shared" si="11"/>
        <v>-</v>
      </c>
      <c r="U82" t="str">
        <f t="shared" si="12"/>
        <v>-</v>
      </c>
      <c r="V82" t="str">
        <f t="shared" si="13"/>
        <v>-</v>
      </c>
      <c r="W82" t="str">
        <f t="shared" si="14"/>
        <v>-</v>
      </c>
      <c r="X82" t="str">
        <f t="shared" si="15"/>
        <v>-</v>
      </c>
      <c r="Y82" t="str">
        <f t="shared" si="16"/>
        <v>-</v>
      </c>
      <c r="Z82" t="str">
        <f t="shared" si="17"/>
        <v>-</v>
      </c>
      <c r="AA82" t="str">
        <f t="shared" si="18"/>
        <v>-</v>
      </c>
      <c r="AB82" t="str">
        <f>IF(_xlfn.IFNA(VLOOKUP(P82,Set_Ref!$B$6:$B$1048576,1,FALSE),"")&lt;&gt;"","-",FALSE)</f>
        <v>-</v>
      </c>
      <c r="AC82" t="str">
        <f t="shared" si="19"/>
        <v>-</v>
      </c>
      <c r="AD82" t="str">
        <f t="shared" si="20"/>
        <v>-</v>
      </c>
      <c r="AE82" t="b">
        <f t="shared" si="21"/>
        <v>1</v>
      </c>
    </row>
    <row r="83" spans="1:31" x14ac:dyDescent="0.25">
      <c r="A83">
        <v>6</v>
      </c>
      <c r="B83">
        <v>8</v>
      </c>
      <c r="C83">
        <v>261</v>
      </c>
      <c r="D83" s="11" t="s">
        <v>145</v>
      </c>
      <c r="E83" s="11" t="s">
        <v>241</v>
      </c>
      <c r="F83" s="11" t="s">
        <v>197</v>
      </c>
      <c r="G83" s="11" t="s">
        <v>256</v>
      </c>
      <c r="H83">
        <v>9</v>
      </c>
      <c r="I83" s="11" t="s">
        <v>173</v>
      </c>
      <c r="J83" s="11" t="s">
        <v>263</v>
      </c>
      <c r="K83" s="11" t="s">
        <v>176</v>
      </c>
      <c r="L83" s="11" t="s">
        <v>38</v>
      </c>
      <c r="M83" s="11" t="s">
        <v>38</v>
      </c>
      <c r="N83" s="11" t="s">
        <v>38</v>
      </c>
      <c r="O83" s="11" t="s">
        <v>38</v>
      </c>
      <c r="P83" t="s">
        <v>8</v>
      </c>
      <c r="Q83">
        <v>1414</v>
      </c>
      <c r="R83">
        <v>0</v>
      </c>
      <c r="S83">
        <v>0</v>
      </c>
      <c r="T83" t="str">
        <f t="shared" si="11"/>
        <v>-</v>
      </c>
      <c r="U83" t="str">
        <f t="shared" si="12"/>
        <v>-</v>
      </c>
      <c r="V83" t="str">
        <f t="shared" si="13"/>
        <v>-</v>
      </c>
      <c r="W83" t="str">
        <f t="shared" si="14"/>
        <v>-</v>
      </c>
      <c r="X83" t="str">
        <f t="shared" si="15"/>
        <v>-</v>
      </c>
      <c r="Y83" t="str">
        <f t="shared" si="16"/>
        <v>-</v>
      </c>
      <c r="Z83" t="str">
        <f t="shared" si="17"/>
        <v>-</v>
      </c>
      <c r="AA83" t="str">
        <f t="shared" si="18"/>
        <v>-</v>
      </c>
      <c r="AB83" t="str">
        <f>IF(_xlfn.IFNA(VLOOKUP(P83,Set_Ref!$B$6:$B$1048576,1,FALSE),"")&lt;&gt;"","-",FALSE)</f>
        <v>-</v>
      </c>
      <c r="AC83" t="str">
        <f t="shared" si="19"/>
        <v>-</v>
      </c>
      <c r="AD83" t="str">
        <f t="shared" si="20"/>
        <v>-</v>
      </c>
      <c r="AE83" t="b">
        <f t="shared" si="21"/>
        <v>1</v>
      </c>
    </row>
    <row r="84" spans="1:31" x14ac:dyDescent="0.25">
      <c r="A84">
        <v>6</v>
      </c>
      <c r="B84">
        <v>9</v>
      </c>
      <c r="C84">
        <v>261</v>
      </c>
      <c r="D84" s="11" t="s">
        <v>145</v>
      </c>
      <c r="E84" s="11" t="s">
        <v>241</v>
      </c>
      <c r="F84" s="11" t="s">
        <v>197</v>
      </c>
      <c r="G84" s="11" t="s">
        <v>256</v>
      </c>
      <c r="H84">
        <v>9</v>
      </c>
      <c r="I84" s="11" t="s">
        <v>173</v>
      </c>
      <c r="J84" s="11" t="s">
        <v>263</v>
      </c>
      <c r="K84" s="11" t="s">
        <v>176</v>
      </c>
      <c r="L84" s="11" t="s">
        <v>38</v>
      </c>
      <c r="M84" s="11" t="s">
        <v>38</v>
      </c>
      <c r="N84" s="11" t="s">
        <v>38</v>
      </c>
      <c r="O84" s="11" t="s">
        <v>38</v>
      </c>
      <c r="P84" t="s">
        <v>8</v>
      </c>
      <c r="Q84">
        <v>1414</v>
      </c>
      <c r="R84">
        <v>0</v>
      </c>
      <c r="S84">
        <v>0</v>
      </c>
      <c r="T84" t="str">
        <f t="shared" si="11"/>
        <v>-</v>
      </c>
      <c r="U84" t="str">
        <f t="shared" si="12"/>
        <v>-</v>
      </c>
      <c r="V84" t="str">
        <f t="shared" si="13"/>
        <v>-</v>
      </c>
      <c r="W84" t="str">
        <f t="shared" si="14"/>
        <v>-</v>
      </c>
      <c r="X84" t="str">
        <f t="shared" si="15"/>
        <v>-</v>
      </c>
      <c r="Y84" t="str">
        <f t="shared" si="16"/>
        <v>-</v>
      </c>
      <c r="Z84" t="str">
        <f t="shared" si="17"/>
        <v>-</v>
      </c>
      <c r="AA84" t="str">
        <f t="shared" si="18"/>
        <v>-</v>
      </c>
      <c r="AB84" t="str">
        <f>IF(_xlfn.IFNA(VLOOKUP(P84,Set_Ref!$B$6:$B$1048576,1,FALSE),"")&lt;&gt;"","-",FALSE)</f>
        <v>-</v>
      </c>
      <c r="AC84" t="str">
        <f t="shared" si="19"/>
        <v>-</v>
      </c>
      <c r="AD84" t="str">
        <f t="shared" si="20"/>
        <v>-</v>
      </c>
      <c r="AE84" t="b">
        <f t="shared" si="21"/>
        <v>1</v>
      </c>
    </row>
    <row r="85" spans="1:31" x14ac:dyDescent="0.25">
      <c r="A85">
        <v>6</v>
      </c>
      <c r="B85">
        <v>10</v>
      </c>
      <c r="C85">
        <v>261</v>
      </c>
      <c r="D85" s="11" t="s">
        <v>145</v>
      </c>
      <c r="E85" s="11" t="s">
        <v>241</v>
      </c>
      <c r="F85" s="11" t="s">
        <v>197</v>
      </c>
      <c r="G85" s="11" t="s">
        <v>256</v>
      </c>
      <c r="H85">
        <v>9</v>
      </c>
      <c r="I85" s="11" t="s">
        <v>173</v>
      </c>
      <c r="J85" s="11" t="s">
        <v>263</v>
      </c>
      <c r="K85" s="11" t="s">
        <v>176</v>
      </c>
      <c r="L85" s="11" t="s">
        <v>38</v>
      </c>
      <c r="M85" s="11" t="s">
        <v>38</v>
      </c>
      <c r="N85" s="11" t="s">
        <v>38</v>
      </c>
      <c r="O85" s="11" t="s">
        <v>38</v>
      </c>
      <c r="P85" t="s">
        <v>8</v>
      </c>
      <c r="Q85">
        <v>2222</v>
      </c>
      <c r="R85">
        <v>0</v>
      </c>
      <c r="S85">
        <v>0</v>
      </c>
      <c r="T85" t="str">
        <f t="shared" si="11"/>
        <v>-</v>
      </c>
      <c r="U85" t="str">
        <f t="shared" si="12"/>
        <v>-</v>
      </c>
      <c r="V85" t="str">
        <f t="shared" si="13"/>
        <v>-</v>
      </c>
      <c r="W85" t="str">
        <f t="shared" si="14"/>
        <v>-</v>
      </c>
      <c r="X85" t="str">
        <f t="shared" si="15"/>
        <v>-</v>
      </c>
      <c r="Y85" t="str">
        <f t="shared" si="16"/>
        <v>-</v>
      </c>
      <c r="Z85" t="str">
        <f t="shared" si="17"/>
        <v>-</v>
      </c>
      <c r="AA85" t="str">
        <f t="shared" si="18"/>
        <v>-</v>
      </c>
      <c r="AB85" t="str">
        <f>IF(_xlfn.IFNA(VLOOKUP(P85,Set_Ref!$B$6:$B$1048576,1,FALSE),"")&lt;&gt;"","-",FALSE)</f>
        <v>-</v>
      </c>
      <c r="AC85" t="str">
        <f t="shared" si="19"/>
        <v>-</v>
      </c>
      <c r="AD85" t="str">
        <f t="shared" si="20"/>
        <v>-</v>
      </c>
      <c r="AE85" t="b">
        <f t="shared" si="21"/>
        <v>1</v>
      </c>
    </row>
    <row r="86" spans="1:31" x14ac:dyDescent="0.25">
      <c r="A86">
        <v>6</v>
      </c>
      <c r="B86">
        <v>11</v>
      </c>
      <c r="C86">
        <v>261</v>
      </c>
      <c r="D86" s="11" t="s">
        <v>145</v>
      </c>
      <c r="E86" s="11" t="s">
        <v>241</v>
      </c>
      <c r="F86" s="11" t="s">
        <v>197</v>
      </c>
      <c r="G86" s="11" t="s">
        <v>256</v>
      </c>
      <c r="H86">
        <v>9</v>
      </c>
      <c r="I86" s="11" t="s">
        <v>173</v>
      </c>
      <c r="J86" s="11" t="s">
        <v>263</v>
      </c>
      <c r="K86" s="11" t="s">
        <v>176</v>
      </c>
      <c r="L86" s="11" t="s">
        <v>38</v>
      </c>
      <c r="M86" s="11" t="s">
        <v>38</v>
      </c>
      <c r="N86" s="11" t="s">
        <v>38</v>
      </c>
      <c r="O86" s="11" t="s">
        <v>38</v>
      </c>
      <c r="P86" t="s">
        <v>8</v>
      </c>
      <c r="Q86">
        <v>2929</v>
      </c>
      <c r="R86">
        <v>0</v>
      </c>
      <c r="S86">
        <v>0</v>
      </c>
      <c r="T86" t="str">
        <f t="shared" si="11"/>
        <v>-</v>
      </c>
      <c r="U86" t="str">
        <f t="shared" si="12"/>
        <v>-</v>
      </c>
      <c r="V86" t="str">
        <f t="shared" si="13"/>
        <v>-</v>
      </c>
      <c r="W86" t="str">
        <f t="shared" si="14"/>
        <v>-</v>
      </c>
      <c r="X86" t="str">
        <f t="shared" si="15"/>
        <v>-</v>
      </c>
      <c r="Y86" t="str">
        <f t="shared" si="16"/>
        <v>-</v>
      </c>
      <c r="Z86" t="str">
        <f t="shared" si="17"/>
        <v>-</v>
      </c>
      <c r="AA86" t="str">
        <f t="shared" si="18"/>
        <v>-</v>
      </c>
      <c r="AB86" t="str">
        <f>IF(_xlfn.IFNA(VLOOKUP(P86,Set_Ref!$B$6:$B$1048576,1,FALSE),"")&lt;&gt;"","-",FALSE)</f>
        <v>-</v>
      </c>
      <c r="AC86" t="str">
        <f t="shared" si="19"/>
        <v>-</v>
      </c>
      <c r="AD86" t="str">
        <f t="shared" si="20"/>
        <v>-</v>
      </c>
      <c r="AE86" t="b">
        <f t="shared" si="21"/>
        <v>1</v>
      </c>
    </row>
    <row r="87" spans="1:31" x14ac:dyDescent="0.25">
      <c r="A87">
        <v>6</v>
      </c>
      <c r="B87">
        <v>12</v>
      </c>
      <c r="C87">
        <v>261</v>
      </c>
      <c r="D87" s="11" t="s">
        <v>145</v>
      </c>
      <c r="E87" s="11" t="s">
        <v>241</v>
      </c>
      <c r="F87" s="11" t="s">
        <v>197</v>
      </c>
      <c r="G87" s="11" t="s">
        <v>256</v>
      </c>
      <c r="H87">
        <v>9</v>
      </c>
      <c r="I87" s="11" t="s">
        <v>173</v>
      </c>
      <c r="J87" s="11" t="s">
        <v>263</v>
      </c>
      <c r="K87" s="11" t="s">
        <v>176</v>
      </c>
      <c r="L87" s="11" t="s">
        <v>38</v>
      </c>
      <c r="M87" s="11" t="s">
        <v>38</v>
      </c>
      <c r="N87" s="11" t="s">
        <v>38</v>
      </c>
      <c r="O87" s="11" t="s">
        <v>38</v>
      </c>
      <c r="P87" t="s">
        <v>8</v>
      </c>
      <c r="Q87">
        <v>1616</v>
      </c>
      <c r="R87">
        <v>0</v>
      </c>
      <c r="S87">
        <v>0</v>
      </c>
      <c r="T87" t="str">
        <f t="shared" si="11"/>
        <v>-</v>
      </c>
      <c r="U87" t="str">
        <f t="shared" si="12"/>
        <v>-</v>
      </c>
      <c r="V87" t="str">
        <f t="shared" si="13"/>
        <v>-</v>
      </c>
      <c r="W87" t="str">
        <f t="shared" si="14"/>
        <v>-</v>
      </c>
      <c r="X87" t="str">
        <f t="shared" si="15"/>
        <v>-</v>
      </c>
      <c r="Y87" t="str">
        <f t="shared" si="16"/>
        <v>-</v>
      </c>
      <c r="Z87" t="str">
        <f t="shared" si="17"/>
        <v>-</v>
      </c>
      <c r="AA87" t="str">
        <f t="shared" si="18"/>
        <v>-</v>
      </c>
      <c r="AB87" t="str">
        <f>IF(_xlfn.IFNA(VLOOKUP(P87,Set_Ref!$B$6:$B$1048576,1,FALSE),"")&lt;&gt;"","-",FALSE)</f>
        <v>-</v>
      </c>
      <c r="AC87" t="str">
        <f t="shared" si="19"/>
        <v>-</v>
      </c>
      <c r="AD87" t="str">
        <f t="shared" si="20"/>
        <v>-</v>
      </c>
      <c r="AE87" t="b">
        <f t="shared" si="21"/>
        <v>1</v>
      </c>
    </row>
    <row r="88" spans="1:31" x14ac:dyDescent="0.25">
      <c r="A88">
        <v>6</v>
      </c>
      <c r="B88">
        <v>13</v>
      </c>
      <c r="C88">
        <v>261</v>
      </c>
      <c r="D88" s="11" t="s">
        <v>145</v>
      </c>
      <c r="E88" s="11" t="s">
        <v>241</v>
      </c>
      <c r="F88" s="11" t="s">
        <v>197</v>
      </c>
      <c r="G88" s="11" t="s">
        <v>256</v>
      </c>
      <c r="H88">
        <v>9</v>
      </c>
      <c r="I88" s="11" t="s">
        <v>173</v>
      </c>
      <c r="J88" s="11" t="s">
        <v>263</v>
      </c>
      <c r="K88" s="11" t="s">
        <v>176</v>
      </c>
      <c r="L88" s="11" t="s">
        <v>38</v>
      </c>
      <c r="M88" s="11" t="s">
        <v>38</v>
      </c>
      <c r="N88" s="11" t="s">
        <v>38</v>
      </c>
      <c r="O88" s="11" t="s">
        <v>38</v>
      </c>
      <c r="P88" t="s">
        <v>8</v>
      </c>
      <c r="Q88">
        <v>1818</v>
      </c>
      <c r="R88">
        <v>0</v>
      </c>
      <c r="S88">
        <v>0</v>
      </c>
      <c r="T88" t="str">
        <f t="shared" si="11"/>
        <v>-</v>
      </c>
      <c r="U88" t="str">
        <f t="shared" si="12"/>
        <v>-</v>
      </c>
      <c r="V88" t="str">
        <f t="shared" si="13"/>
        <v>-</v>
      </c>
      <c r="W88" t="str">
        <f t="shared" si="14"/>
        <v>-</v>
      </c>
      <c r="X88" t="str">
        <f t="shared" si="15"/>
        <v>-</v>
      </c>
      <c r="Y88" t="str">
        <f t="shared" si="16"/>
        <v>-</v>
      </c>
      <c r="Z88" t="str">
        <f t="shared" si="17"/>
        <v>-</v>
      </c>
      <c r="AA88" t="str">
        <f t="shared" si="18"/>
        <v>-</v>
      </c>
      <c r="AB88" t="str">
        <f>IF(_xlfn.IFNA(VLOOKUP(P88,Set_Ref!$B$6:$B$1048576,1,FALSE),"")&lt;&gt;"","-",FALSE)</f>
        <v>-</v>
      </c>
      <c r="AC88" t="str">
        <f t="shared" si="19"/>
        <v>-</v>
      </c>
      <c r="AD88" t="str">
        <f t="shared" si="20"/>
        <v>-</v>
      </c>
      <c r="AE88" t="b">
        <f t="shared" si="21"/>
        <v>1</v>
      </c>
    </row>
    <row r="89" spans="1:31" x14ac:dyDescent="0.25">
      <c r="A89">
        <v>6</v>
      </c>
      <c r="B89">
        <v>14</v>
      </c>
      <c r="C89">
        <v>261</v>
      </c>
      <c r="D89" s="11" t="s">
        <v>145</v>
      </c>
      <c r="E89" s="11" t="s">
        <v>241</v>
      </c>
      <c r="F89" s="11" t="s">
        <v>197</v>
      </c>
      <c r="G89" s="11" t="s">
        <v>256</v>
      </c>
      <c r="H89">
        <v>9</v>
      </c>
      <c r="I89" s="11" t="s">
        <v>173</v>
      </c>
      <c r="J89" s="11" t="s">
        <v>263</v>
      </c>
      <c r="K89" s="11" t="s">
        <v>176</v>
      </c>
      <c r="L89" s="11" t="s">
        <v>38</v>
      </c>
      <c r="M89" s="11" t="s">
        <v>38</v>
      </c>
      <c r="N89" s="11" t="s">
        <v>38</v>
      </c>
      <c r="O89" s="11" t="s">
        <v>38</v>
      </c>
      <c r="P89" t="s">
        <v>8</v>
      </c>
      <c r="Q89">
        <v>1616</v>
      </c>
      <c r="R89">
        <v>0</v>
      </c>
      <c r="S89">
        <v>0</v>
      </c>
      <c r="T89" t="str">
        <f t="shared" si="11"/>
        <v>-</v>
      </c>
      <c r="U89" t="str">
        <f t="shared" si="12"/>
        <v>-</v>
      </c>
      <c r="V89" t="str">
        <f t="shared" si="13"/>
        <v>-</v>
      </c>
      <c r="W89" t="str">
        <f t="shared" si="14"/>
        <v>-</v>
      </c>
      <c r="X89" t="str">
        <f t="shared" si="15"/>
        <v>-</v>
      </c>
      <c r="Y89" t="str">
        <f t="shared" si="16"/>
        <v>-</v>
      </c>
      <c r="Z89" t="str">
        <f t="shared" si="17"/>
        <v>-</v>
      </c>
      <c r="AA89" t="str">
        <f t="shared" si="18"/>
        <v>-</v>
      </c>
      <c r="AB89" t="str">
        <f>IF(_xlfn.IFNA(VLOOKUP(P89,Set_Ref!$B$6:$B$1048576,1,FALSE),"")&lt;&gt;"","-",FALSE)</f>
        <v>-</v>
      </c>
      <c r="AC89" t="str">
        <f t="shared" si="19"/>
        <v>-</v>
      </c>
      <c r="AD89" t="str">
        <f t="shared" si="20"/>
        <v>-</v>
      </c>
      <c r="AE89" t="b">
        <f t="shared" si="21"/>
        <v>1</v>
      </c>
    </row>
    <row r="90" spans="1:31" x14ac:dyDescent="0.25">
      <c r="A90">
        <v>6</v>
      </c>
      <c r="B90">
        <v>15</v>
      </c>
      <c r="C90">
        <v>261</v>
      </c>
      <c r="D90" s="11" t="s">
        <v>145</v>
      </c>
      <c r="E90" s="11" t="s">
        <v>238</v>
      </c>
      <c r="F90" s="11" t="s">
        <v>215</v>
      </c>
      <c r="G90" s="11" t="s">
        <v>254</v>
      </c>
      <c r="H90">
        <v>1</v>
      </c>
      <c r="I90" s="11" t="s">
        <v>173</v>
      </c>
      <c r="J90" s="11" t="s">
        <v>264</v>
      </c>
      <c r="K90" s="11" t="s">
        <v>176</v>
      </c>
      <c r="L90" s="11" t="s">
        <v>38</v>
      </c>
      <c r="M90" s="11" t="s">
        <v>38</v>
      </c>
      <c r="N90" s="11" t="s">
        <v>38</v>
      </c>
      <c r="O90" s="11" t="s">
        <v>38</v>
      </c>
      <c r="P90" t="s">
        <v>8</v>
      </c>
      <c r="Q90">
        <v>12310</v>
      </c>
      <c r="R90">
        <v>0</v>
      </c>
      <c r="S90">
        <v>0</v>
      </c>
      <c r="T90" t="str">
        <f t="shared" si="11"/>
        <v>-</v>
      </c>
      <c r="U90" t="str">
        <f t="shared" si="12"/>
        <v>-</v>
      </c>
      <c r="V90" t="str">
        <f t="shared" si="13"/>
        <v>-</v>
      </c>
      <c r="W90" t="str">
        <f t="shared" si="14"/>
        <v>-</v>
      </c>
      <c r="X90" t="str">
        <f t="shared" si="15"/>
        <v>-</v>
      </c>
      <c r="Y90" t="str">
        <f t="shared" si="16"/>
        <v>-</v>
      </c>
      <c r="Z90" t="str">
        <f t="shared" si="17"/>
        <v>-</v>
      </c>
      <c r="AA90" t="str">
        <f t="shared" si="18"/>
        <v>-</v>
      </c>
      <c r="AB90" t="str">
        <f>IF(_xlfn.IFNA(VLOOKUP(P90,Set_Ref!$B$6:$B$1048576,1,FALSE),"")&lt;&gt;"","-",FALSE)</f>
        <v>-</v>
      </c>
      <c r="AC90" t="str">
        <f t="shared" si="19"/>
        <v>-</v>
      </c>
      <c r="AD90" t="str">
        <f t="shared" si="20"/>
        <v>-</v>
      </c>
      <c r="AE90" t="b">
        <f t="shared" si="21"/>
        <v>1</v>
      </c>
    </row>
    <row r="91" spans="1:31" x14ac:dyDescent="0.25">
      <c r="A91">
        <v>6</v>
      </c>
      <c r="B91">
        <v>16</v>
      </c>
      <c r="C91">
        <v>261</v>
      </c>
      <c r="D91" s="11" t="s">
        <v>145</v>
      </c>
      <c r="E91" s="11" t="s">
        <v>238</v>
      </c>
      <c r="F91" s="11" t="s">
        <v>215</v>
      </c>
      <c r="G91" s="11" t="s">
        <v>254</v>
      </c>
      <c r="H91">
        <v>1</v>
      </c>
      <c r="I91" s="11" t="s">
        <v>173</v>
      </c>
      <c r="J91" s="11" t="s">
        <v>264</v>
      </c>
      <c r="K91" s="11" t="s">
        <v>176</v>
      </c>
      <c r="L91" s="11" t="s">
        <v>38</v>
      </c>
      <c r="M91" s="11" t="s">
        <v>38</v>
      </c>
      <c r="N91" s="11" t="s">
        <v>38</v>
      </c>
      <c r="O91" s="11" t="s">
        <v>38</v>
      </c>
      <c r="P91" t="s">
        <v>8</v>
      </c>
      <c r="Q91">
        <v>12332</v>
      </c>
      <c r="R91">
        <v>0</v>
      </c>
      <c r="S91">
        <v>0</v>
      </c>
      <c r="T91" t="str">
        <f t="shared" si="11"/>
        <v>-</v>
      </c>
      <c r="U91" t="str">
        <f t="shared" si="12"/>
        <v>-</v>
      </c>
      <c r="V91" t="str">
        <f t="shared" si="13"/>
        <v>-</v>
      </c>
      <c r="W91" t="str">
        <f t="shared" si="14"/>
        <v>-</v>
      </c>
      <c r="X91" t="str">
        <f t="shared" si="15"/>
        <v>-</v>
      </c>
      <c r="Y91" t="str">
        <f t="shared" si="16"/>
        <v>-</v>
      </c>
      <c r="Z91" t="str">
        <f t="shared" si="17"/>
        <v>-</v>
      </c>
      <c r="AA91" t="str">
        <f t="shared" si="18"/>
        <v>-</v>
      </c>
      <c r="AB91" t="str">
        <f>IF(_xlfn.IFNA(VLOOKUP(P91,Set_Ref!$B$6:$B$1048576,1,FALSE),"")&lt;&gt;"","-",FALSE)</f>
        <v>-</v>
      </c>
      <c r="AC91" t="str">
        <f t="shared" si="19"/>
        <v>-</v>
      </c>
      <c r="AD91" t="str">
        <f t="shared" si="20"/>
        <v>-</v>
      </c>
      <c r="AE91" t="b">
        <f t="shared" si="21"/>
        <v>1</v>
      </c>
    </row>
    <row r="92" spans="1:31" x14ac:dyDescent="0.25">
      <c r="A92">
        <v>6</v>
      </c>
      <c r="B92">
        <v>17</v>
      </c>
      <c r="C92">
        <v>261</v>
      </c>
      <c r="D92" s="11" t="s">
        <v>145</v>
      </c>
      <c r="E92" s="11" t="s">
        <v>238</v>
      </c>
      <c r="F92" s="11" t="s">
        <v>215</v>
      </c>
      <c r="G92" s="11" t="s">
        <v>254</v>
      </c>
      <c r="H92">
        <v>1</v>
      </c>
      <c r="I92" s="11" t="s">
        <v>173</v>
      </c>
      <c r="J92" s="11" t="s">
        <v>264</v>
      </c>
      <c r="K92" s="11" t="s">
        <v>176</v>
      </c>
      <c r="L92" s="11" t="s">
        <v>38</v>
      </c>
      <c r="M92" s="11" t="s">
        <v>38</v>
      </c>
      <c r="N92" s="11" t="s">
        <v>38</v>
      </c>
      <c r="O92" s="11" t="s">
        <v>38</v>
      </c>
      <c r="P92" t="s">
        <v>8</v>
      </c>
      <c r="Q92">
        <v>10758</v>
      </c>
      <c r="R92">
        <v>0</v>
      </c>
      <c r="S92">
        <v>0</v>
      </c>
      <c r="T92" t="str">
        <f t="shared" si="11"/>
        <v>-</v>
      </c>
      <c r="U92" t="str">
        <f t="shared" si="12"/>
        <v>-</v>
      </c>
      <c r="V92" t="str">
        <f t="shared" si="13"/>
        <v>-</v>
      </c>
      <c r="W92" t="str">
        <f t="shared" si="14"/>
        <v>-</v>
      </c>
      <c r="X92" t="str">
        <f t="shared" si="15"/>
        <v>-</v>
      </c>
      <c r="Y92" t="str">
        <f t="shared" si="16"/>
        <v>-</v>
      </c>
      <c r="Z92" t="str">
        <f t="shared" si="17"/>
        <v>-</v>
      </c>
      <c r="AA92" t="str">
        <f t="shared" si="18"/>
        <v>-</v>
      </c>
      <c r="AB92" t="str">
        <f>IF(_xlfn.IFNA(VLOOKUP(P92,Set_Ref!$B$6:$B$1048576,1,FALSE),"")&lt;&gt;"","-",FALSE)</f>
        <v>-</v>
      </c>
      <c r="AC92" t="str">
        <f t="shared" si="19"/>
        <v>-</v>
      </c>
      <c r="AD92" t="str">
        <f t="shared" si="20"/>
        <v>-</v>
      </c>
      <c r="AE92" t="b">
        <f t="shared" si="21"/>
        <v>1</v>
      </c>
    </row>
    <row r="93" spans="1:31" x14ac:dyDescent="0.25">
      <c r="A93">
        <v>6</v>
      </c>
      <c r="B93">
        <v>18</v>
      </c>
      <c r="C93">
        <v>261</v>
      </c>
      <c r="D93" s="11" t="s">
        <v>145</v>
      </c>
      <c r="E93" s="11" t="s">
        <v>242</v>
      </c>
      <c r="F93" s="11" t="s">
        <v>218</v>
      </c>
      <c r="G93" s="11" t="s">
        <v>257</v>
      </c>
      <c r="H93">
        <v>2</v>
      </c>
      <c r="I93" s="11" t="s">
        <v>173</v>
      </c>
      <c r="J93" s="11" t="s">
        <v>194</v>
      </c>
      <c r="K93" s="11" t="s">
        <v>176</v>
      </c>
      <c r="L93" s="11" t="s">
        <v>38</v>
      </c>
      <c r="M93" s="11" t="s">
        <v>38</v>
      </c>
      <c r="N93" s="11" t="s">
        <v>38</v>
      </c>
      <c r="O93" s="11" t="s">
        <v>38</v>
      </c>
      <c r="P93" t="s">
        <v>8</v>
      </c>
      <c r="Q93">
        <v>16916</v>
      </c>
      <c r="R93">
        <v>0</v>
      </c>
      <c r="S93">
        <v>0</v>
      </c>
      <c r="T93" t="str">
        <f t="shared" si="11"/>
        <v>-</v>
      </c>
      <c r="U93" t="str">
        <f t="shared" si="12"/>
        <v>-</v>
      </c>
      <c r="V93" t="str">
        <f t="shared" si="13"/>
        <v>-</v>
      </c>
      <c r="W93" t="str">
        <f t="shared" si="14"/>
        <v>-</v>
      </c>
      <c r="X93" t="str">
        <f t="shared" si="15"/>
        <v>-</v>
      </c>
      <c r="Y93" t="str">
        <f t="shared" si="16"/>
        <v>-</v>
      </c>
      <c r="Z93" t="str">
        <f t="shared" si="17"/>
        <v>-</v>
      </c>
      <c r="AA93" t="str">
        <f t="shared" si="18"/>
        <v>-</v>
      </c>
      <c r="AB93" t="str">
        <f>IF(_xlfn.IFNA(VLOOKUP(P93,Set_Ref!$B$6:$B$1048576,1,FALSE),"")&lt;&gt;"","-",FALSE)</f>
        <v>-</v>
      </c>
      <c r="AC93" t="str">
        <f t="shared" si="19"/>
        <v>-</v>
      </c>
      <c r="AD93" t="str">
        <f t="shared" si="20"/>
        <v>-</v>
      </c>
      <c r="AE93" t="b">
        <f t="shared" si="21"/>
        <v>1</v>
      </c>
    </row>
    <row r="94" spans="1:31" x14ac:dyDescent="0.25">
      <c r="A94">
        <v>6</v>
      </c>
      <c r="B94">
        <v>19</v>
      </c>
      <c r="C94">
        <v>261</v>
      </c>
      <c r="D94" s="11" t="s">
        <v>145</v>
      </c>
      <c r="E94" s="11" t="s">
        <v>242</v>
      </c>
      <c r="F94" s="11" t="s">
        <v>218</v>
      </c>
      <c r="G94" s="11" t="s">
        <v>257</v>
      </c>
      <c r="H94">
        <v>2</v>
      </c>
      <c r="I94" s="11" t="s">
        <v>173</v>
      </c>
      <c r="J94" s="11" t="s">
        <v>194</v>
      </c>
      <c r="K94" s="11" t="s">
        <v>176</v>
      </c>
      <c r="L94" s="11" t="s">
        <v>38</v>
      </c>
      <c r="M94" s="11" t="s">
        <v>38</v>
      </c>
      <c r="N94" s="11" t="s">
        <v>38</v>
      </c>
      <c r="O94" s="11" t="s">
        <v>38</v>
      </c>
      <c r="P94" t="s">
        <v>8</v>
      </c>
      <c r="Q94">
        <v>16408</v>
      </c>
      <c r="R94">
        <v>0</v>
      </c>
      <c r="S94">
        <v>0</v>
      </c>
      <c r="T94" t="str">
        <f t="shared" si="11"/>
        <v>-</v>
      </c>
      <c r="U94" t="str">
        <f t="shared" si="12"/>
        <v>-</v>
      </c>
      <c r="V94" t="str">
        <f t="shared" si="13"/>
        <v>-</v>
      </c>
      <c r="W94" t="str">
        <f t="shared" si="14"/>
        <v>-</v>
      </c>
      <c r="X94" t="str">
        <f t="shared" si="15"/>
        <v>-</v>
      </c>
      <c r="Y94" t="str">
        <f t="shared" si="16"/>
        <v>-</v>
      </c>
      <c r="Z94" t="str">
        <f t="shared" si="17"/>
        <v>-</v>
      </c>
      <c r="AA94" t="str">
        <f t="shared" si="18"/>
        <v>-</v>
      </c>
      <c r="AB94" t="str">
        <f>IF(_xlfn.IFNA(VLOOKUP(P94,Set_Ref!$B$6:$B$1048576,1,FALSE),"")&lt;&gt;"","-",FALSE)</f>
        <v>-</v>
      </c>
      <c r="AC94" t="str">
        <f t="shared" si="19"/>
        <v>-</v>
      </c>
      <c r="AD94" t="str">
        <f t="shared" si="20"/>
        <v>-</v>
      </c>
      <c r="AE94" t="b">
        <f t="shared" si="21"/>
        <v>1</v>
      </c>
    </row>
    <row r="95" spans="1:31" x14ac:dyDescent="0.25">
      <c r="A95">
        <v>6</v>
      </c>
      <c r="B95">
        <v>20</v>
      </c>
      <c r="C95">
        <v>261</v>
      </c>
      <c r="D95" s="11" t="s">
        <v>145</v>
      </c>
      <c r="E95" s="11" t="s">
        <v>242</v>
      </c>
      <c r="F95" s="11" t="s">
        <v>218</v>
      </c>
      <c r="G95" s="11" t="s">
        <v>257</v>
      </c>
      <c r="H95">
        <v>2</v>
      </c>
      <c r="I95" s="11" t="s">
        <v>173</v>
      </c>
      <c r="J95" s="11" t="s">
        <v>194</v>
      </c>
      <c r="K95" s="11" t="s">
        <v>176</v>
      </c>
      <c r="L95" s="11" t="s">
        <v>38</v>
      </c>
      <c r="M95" s="11" t="s">
        <v>38</v>
      </c>
      <c r="N95" s="11" t="s">
        <v>38</v>
      </c>
      <c r="O95" s="11" t="s">
        <v>38</v>
      </c>
      <c r="P95" t="s">
        <v>8</v>
      </c>
      <c r="Q95">
        <v>16876</v>
      </c>
      <c r="R95">
        <v>0</v>
      </c>
      <c r="S95">
        <v>0</v>
      </c>
      <c r="T95" t="str">
        <f t="shared" si="11"/>
        <v>-</v>
      </c>
      <c r="U95" t="str">
        <f t="shared" si="12"/>
        <v>-</v>
      </c>
      <c r="V95" t="str">
        <f t="shared" si="13"/>
        <v>-</v>
      </c>
      <c r="W95" t="str">
        <f t="shared" si="14"/>
        <v>-</v>
      </c>
      <c r="X95" t="str">
        <f t="shared" si="15"/>
        <v>-</v>
      </c>
      <c r="Y95" t="str">
        <f t="shared" si="16"/>
        <v>-</v>
      </c>
      <c r="Z95" t="str">
        <f t="shared" si="17"/>
        <v>-</v>
      </c>
      <c r="AA95" t="str">
        <f t="shared" si="18"/>
        <v>-</v>
      </c>
      <c r="AB95" t="str">
        <f>IF(_xlfn.IFNA(VLOOKUP(P95,Set_Ref!$B$6:$B$1048576,1,FALSE),"")&lt;&gt;"","-",FALSE)</f>
        <v>-</v>
      </c>
      <c r="AC95" t="str">
        <f t="shared" si="19"/>
        <v>-</v>
      </c>
      <c r="AD95" t="str">
        <f t="shared" si="20"/>
        <v>-</v>
      </c>
      <c r="AE95" t="b">
        <f t="shared" si="21"/>
        <v>1</v>
      </c>
    </row>
    <row r="96" spans="1:31" x14ac:dyDescent="0.25">
      <c r="A96">
        <v>6</v>
      </c>
      <c r="B96">
        <v>21</v>
      </c>
      <c r="C96">
        <v>261</v>
      </c>
      <c r="D96" s="11" t="s">
        <v>145</v>
      </c>
      <c r="E96" s="11" t="s">
        <v>237</v>
      </c>
      <c r="F96" s="11" t="s">
        <v>220</v>
      </c>
      <c r="G96" s="11" t="s">
        <v>253</v>
      </c>
      <c r="H96">
        <v>2</v>
      </c>
      <c r="I96" s="11" t="s">
        <v>173</v>
      </c>
      <c r="J96" s="11" t="s">
        <v>265</v>
      </c>
      <c r="K96" s="11" t="s">
        <v>176</v>
      </c>
      <c r="L96" s="11" t="s">
        <v>38</v>
      </c>
      <c r="M96" s="11" t="s">
        <v>38</v>
      </c>
      <c r="N96" s="11" t="s">
        <v>38</v>
      </c>
      <c r="O96" s="11" t="s">
        <v>38</v>
      </c>
      <c r="P96" t="s">
        <v>8</v>
      </c>
      <c r="Q96">
        <v>16</v>
      </c>
      <c r="R96">
        <v>0</v>
      </c>
      <c r="S96">
        <v>0</v>
      </c>
      <c r="T96" t="str">
        <f t="shared" si="11"/>
        <v>-</v>
      </c>
      <c r="U96" t="str">
        <f t="shared" si="12"/>
        <v>-</v>
      </c>
      <c r="V96" t="str">
        <f t="shared" si="13"/>
        <v>-</v>
      </c>
      <c r="W96" t="str">
        <f t="shared" si="14"/>
        <v>-</v>
      </c>
      <c r="X96" t="str">
        <f t="shared" si="15"/>
        <v>-</v>
      </c>
      <c r="Y96" t="str">
        <f t="shared" si="16"/>
        <v>-</v>
      </c>
      <c r="Z96" t="str">
        <f t="shared" si="17"/>
        <v>-</v>
      </c>
      <c r="AA96" t="str">
        <f t="shared" si="18"/>
        <v>-</v>
      </c>
      <c r="AB96" t="str">
        <f>IF(_xlfn.IFNA(VLOOKUP(P96,Set_Ref!$B$6:$B$1048576,1,FALSE),"")&lt;&gt;"","-",FALSE)</f>
        <v>-</v>
      </c>
      <c r="AC96" t="str">
        <f t="shared" si="19"/>
        <v>-</v>
      </c>
      <c r="AD96" t="str">
        <f t="shared" si="20"/>
        <v>-</v>
      </c>
      <c r="AE96" t="b">
        <f t="shared" si="21"/>
        <v>1</v>
      </c>
    </row>
    <row r="97" spans="1:31" x14ac:dyDescent="0.25">
      <c r="A97">
        <v>6</v>
      </c>
      <c r="B97">
        <v>22</v>
      </c>
      <c r="C97">
        <v>261</v>
      </c>
      <c r="D97" s="11" t="s">
        <v>145</v>
      </c>
      <c r="E97" s="11" t="s">
        <v>237</v>
      </c>
      <c r="F97" s="11" t="s">
        <v>220</v>
      </c>
      <c r="G97" s="11" t="s">
        <v>253</v>
      </c>
      <c r="H97">
        <v>2</v>
      </c>
      <c r="I97" s="11" t="s">
        <v>173</v>
      </c>
      <c r="J97" s="11" t="s">
        <v>265</v>
      </c>
      <c r="K97" s="11" t="s">
        <v>176</v>
      </c>
      <c r="L97" s="11" t="s">
        <v>38</v>
      </c>
      <c r="M97" s="11" t="s">
        <v>38</v>
      </c>
      <c r="N97" s="11" t="s">
        <v>38</v>
      </c>
      <c r="O97" s="11" t="s">
        <v>38</v>
      </c>
      <c r="P97" t="s">
        <v>8</v>
      </c>
      <c r="Q97">
        <v>14</v>
      </c>
      <c r="R97">
        <v>0</v>
      </c>
      <c r="S97">
        <v>0</v>
      </c>
      <c r="T97" t="str">
        <f t="shared" si="11"/>
        <v>-</v>
      </c>
      <c r="U97" t="str">
        <f t="shared" si="12"/>
        <v>-</v>
      </c>
      <c r="V97" t="str">
        <f t="shared" si="13"/>
        <v>-</v>
      </c>
      <c r="W97" t="str">
        <f t="shared" si="14"/>
        <v>-</v>
      </c>
      <c r="X97" t="str">
        <f t="shared" si="15"/>
        <v>-</v>
      </c>
      <c r="Y97" t="str">
        <f t="shared" si="16"/>
        <v>-</v>
      </c>
      <c r="Z97" t="str">
        <f t="shared" si="17"/>
        <v>-</v>
      </c>
      <c r="AA97" t="str">
        <f t="shared" si="18"/>
        <v>-</v>
      </c>
      <c r="AB97" t="str">
        <f>IF(_xlfn.IFNA(VLOOKUP(P97,Set_Ref!$B$6:$B$1048576,1,FALSE),"")&lt;&gt;"","-",FALSE)</f>
        <v>-</v>
      </c>
      <c r="AC97" t="str">
        <f t="shared" si="19"/>
        <v>-</v>
      </c>
      <c r="AD97" t="str">
        <f t="shared" si="20"/>
        <v>-</v>
      </c>
      <c r="AE97" t="b">
        <f t="shared" si="21"/>
        <v>1</v>
      </c>
    </row>
    <row r="98" spans="1:31" x14ac:dyDescent="0.25">
      <c r="A98">
        <v>6</v>
      </c>
      <c r="B98">
        <v>23</v>
      </c>
      <c r="C98">
        <v>261</v>
      </c>
      <c r="D98" s="11" t="s">
        <v>145</v>
      </c>
      <c r="E98" s="11" t="s">
        <v>237</v>
      </c>
      <c r="F98" s="11" t="s">
        <v>220</v>
      </c>
      <c r="G98" s="11" t="s">
        <v>253</v>
      </c>
      <c r="H98">
        <v>2</v>
      </c>
      <c r="I98" s="11" t="s">
        <v>173</v>
      </c>
      <c r="J98" s="11" t="s">
        <v>265</v>
      </c>
      <c r="K98" s="11" t="s">
        <v>176</v>
      </c>
      <c r="L98" s="11" t="s">
        <v>38</v>
      </c>
      <c r="M98" s="11" t="s">
        <v>38</v>
      </c>
      <c r="N98" s="11" t="s">
        <v>38</v>
      </c>
      <c r="O98" s="11" t="s">
        <v>38</v>
      </c>
      <c r="P98" t="s">
        <v>8</v>
      </c>
      <c r="Q98">
        <v>32</v>
      </c>
      <c r="R98">
        <v>0</v>
      </c>
      <c r="S98">
        <v>0</v>
      </c>
      <c r="T98" t="str">
        <f t="shared" si="11"/>
        <v>-</v>
      </c>
      <c r="U98" t="str">
        <f t="shared" si="12"/>
        <v>-</v>
      </c>
      <c r="V98" t="str">
        <f t="shared" si="13"/>
        <v>-</v>
      </c>
      <c r="W98" t="str">
        <f t="shared" si="14"/>
        <v>-</v>
      </c>
      <c r="X98" t="str">
        <f t="shared" si="15"/>
        <v>-</v>
      </c>
      <c r="Y98" t="str">
        <f t="shared" si="16"/>
        <v>-</v>
      </c>
      <c r="Z98" t="str">
        <f t="shared" si="17"/>
        <v>-</v>
      </c>
      <c r="AA98" t="str">
        <f t="shared" si="18"/>
        <v>-</v>
      </c>
      <c r="AB98" t="str">
        <f>IF(_xlfn.IFNA(VLOOKUP(P98,Set_Ref!$B$6:$B$1048576,1,FALSE),"")&lt;&gt;"","-",FALSE)</f>
        <v>-</v>
      </c>
      <c r="AC98" t="str">
        <f t="shared" si="19"/>
        <v>-</v>
      </c>
      <c r="AD98" t="str">
        <f t="shared" si="20"/>
        <v>-</v>
      </c>
      <c r="AE98" t="b">
        <f t="shared" si="21"/>
        <v>1</v>
      </c>
    </row>
    <row r="99" spans="1:31" x14ac:dyDescent="0.25">
      <c r="A99">
        <v>6</v>
      </c>
      <c r="B99">
        <v>24</v>
      </c>
      <c r="C99">
        <v>261</v>
      </c>
      <c r="D99" s="11" t="s">
        <v>145</v>
      </c>
      <c r="E99" s="11" t="s">
        <v>237</v>
      </c>
      <c r="F99" s="11" t="s">
        <v>220</v>
      </c>
      <c r="G99" s="11" t="s">
        <v>253</v>
      </c>
      <c r="H99">
        <v>2</v>
      </c>
      <c r="I99" s="11" t="s">
        <v>173</v>
      </c>
      <c r="J99" s="11" t="s">
        <v>265</v>
      </c>
      <c r="K99" s="11" t="s">
        <v>176</v>
      </c>
      <c r="L99" s="11" t="s">
        <v>38</v>
      </c>
      <c r="M99" s="11" t="s">
        <v>38</v>
      </c>
      <c r="N99" s="11" t="s">
        <v>38</v>
      </c>
      <c r="O99" s="11" t="s">
        <v>38</v>
      </c>
      <c r="P99" t="s">
        <v>8</v>
      </c>
      <c r="Q99">
        <v>29</v>
      </c>
      <c r="R99">
        <v>0</v>
      </c>
      <c r="S99">
        <v>0</v>
      </c>
      <c r="T99" t="str">
        <f t="shared" si="11"/>
        <v>-</v>
      </c>
      <c r="U99" t="str">
        <f t="shared" si="12"/>
        <v>-</v>
      </c>
      <c r="V99" t="str">
        <f t="shared" si="13"/>
        <v>-</v>
      </c>
      <c r="W99" t="str">
        <f t="shared" si="14"/>
        <v>-</v>
      </c>
      <c r="X99" t="str">
        <f t="shared" si="15"/>
        <v>-</v>
      </c>
      <c r="Y99" t="str">
        <f t="shared" si="16"/>
        <v>-</v>
      </c>
      <c r="Z99" t="str">
        <f t="shared" si="17"/>
        <v>-</v>
      </c>
      <c r="AA99" t="str">
        <f t="shared" si="18"/>
        <v>-</v>
      </c>
      <c r="AB99" t="str">
        <f>IF(_xlfn.IFNA(VLOOKUP(P99,Set_Ref!$B$6:$B$1048576,1,FALSE),"")&lt;&gt;"","-",FALSE)</f>
        <v>-</v>
      </c>
      <c r="AC99" t="str">
        <f t="shared" si="19"/>
        <v>-</v>
      </c>
      <c r="AD99" t="str">
        <f t="shared" si="20"/>
        <v>-</v>
      </c>
      <c r="AE99" t="b">
        <f t="shared" si="21"/>
        <v>1</v>
      </c>
    </row>
    <row r="100" spans="1:31" x14ac:dyDescent="0.25">
      <c r="A100">
        <v>6</v>
      </c>
      <c r="B100">
        <v>25</v>
      </c>
      <c r="C100">
        <v>261</v>
      </c>
      <c r="D100" s="11" t="s">
        <v>145</v>
      </c>
      <c r="E100" s="11" t="s">
        <v>237</v>
      </c>
      <c r="F100" s="11" t="s">
        <v>220</v>
      </c>
      <c r="G100" s="11" t="s">
        <v>253</v>
      </c>
      <c r="H100">
        <v>2</v>
      </c>
      <c r="I100" s="11" t="s">
        <v>173</v>
      </c>
      <c r="J100" s="11" t="s">
        <v>265</v>
      </c>
      <c r="K100" s="11" t="s">
        <v>176</v>
      </c>
      <c r="L100" s="11" t="s">
        <v>38</v>
      </c>
      <c r="M100" s="11" t="s">
        <v>38</v>
      </c>
      <c r="N100" s="11" t="s">
        <v>38</v>
      </c>
      <c r="O100" s="11" t="s">
        <v>38</v>
      </c>
      <c r="P100" t="s">
        <v>8</v>
      </c>
      <c r="Q100">
        <v>25</v>
      </c>
      <c r="R100">
        <v>0</v>
      </c>
      <c r="S100">
        <v>0</v>
      </c>
      <c r="T100" t="str">
        <f t="shared" si="11"/>
        <v>-</v>
      </c>
      <c r="U100" t="str">
        <f t="shared" si="12"/>
        <v>-</v>
      </c>
      <c r="V100" t="str">
        <f t="shared" si="13"/>
        <v>-</v>
      </c>
      <c r="W100" t="str">
        <f t="shared" si="14"/>
        <v>-</v>
      </c>
      <c r="X100" t="str">
        <f t="shared" si="15"/>
        <v>-</v>
      </c>
      <c r="Y100" t="str">
        <f t="shared" si="16"/>
        <v>-</v>
      </c>
      <c r="Z100" t="str">
        <f t="shared" si="17"/>
        <v>-</v>
      </c>
      <c r="AA100" t="str">
        <f t="shared" si="18"/>
        <v>-</v>
      </c>
      <c r="AB100" t="str">
        <f>IF(_xlfn.IFNA(VLOOKUP(P100,Set_Ref!$B$6:$B$1048576,1,FALSE),"")&lt;&gt;"","-",FALSE)</f>
        <v>-</v>
      </c>
      <c r="AC100" t="str">
        <f t="shared" si="19"/>
        <v>-</v>
      </c>
      <c r="AD100" t="str">
        <f t="shared" si="20"/>
        <v>-</v>
      </c>
      <c r="AE100" t="b">
        <f t="shared" si="21"/>
        <v>1</v>
      </c>
    </row>
    <row r="101" spans="1:31" x14ac:dyDescent="0.25">
      <c r="A101">
        <v>6</v>
      </c>
      <c r="B101">
        <v>26</v>
      </c>
      <c r="C101">
        <v>261</v>
      </c>
      <c r="D101" s="11" t="s">
        <v>145</v>
      </c>
      <c r="E101" s="11" t="s">
        <v>237</v>
      </c>
      <c r="F101" s="11" t="s">
        <v>220</v>
      </c>
      <c r="G101" s="11" t="s">
        <v>253</v>
      </c>
      <c r="H101">
        <v>2</v>
      </c>
      <c r="I101" s="11" t="s">
        <v>173</v>
      </c>
      <c r="J101" s="11" t="s">
        <v>265</v>
      </c>
      <c r="K101" s="11" t="s">
        <v>176</v>
      </c>
      <c r="L101" s="11" t="s">
        <v>38</v>
      </c>
      <c r="M101" s="11" t="s">
        <v>38</v>
      </c>
      <c r="N101" s="11" t="s">
        <v>38</v>
      </c>
      <c r="O101" s="11" t="s">
        <v>38</v>
      </c>
      <c r="P101" t="s">
        <v>8</v>
      </c>
      <c r="Q101">
        <v>14</v>
      </c>
      <c r="R101">
        <v>0</v>
      </c>
      <c r="S101">
        <v>0</v>
      </c>
      <c r="T101" t="str">
        <f t="shared" si="11"/>
        <v>-</v>
      </c>
      <c r="U101" t="str">
        <f t="shared" si="12"/>
        <v>-</v>
      </c>
      <c r="V101" t="str">
        <f t="shared" si="13"/>
        <v>-</v>
      </c>
      <c r="W101" t="str">
        <f t="shared" si="14"/>
        <v>-</v>
      </c>
      <c r="X101" t="str">
        <f t="shared" si="15"/>
        <v>-</v>
      </c>
      <c r="Y101" t="str">
        <f t="shared" si="16"/>
        <v>-</v>
      </c>
      <c r="Z101" t="str">
        <f t="shared" si="17"/>
        <v>-</v>
      </c>
      <c r="AA101" t="str">
        <f t="shared" si="18"/>
        <v>-</v>
      </c>
      <c r="AB101" t="str">
        <f>IF(_xlfn.IFNA(VLOOKUP(P101,Set_Ref!$B$6:$B$1048576,1,FALSE),"")&lt;&gt;"","-",FALSE)</f>
        <v>-</v>
      </c>
      <c r="AC101" t="str">
        <f t="shared" si="19"/>
        <v>-</v>
      </c>
      <c r="AD101" t="str">
        <f t="shared" si="20"/>
        <v>-</v>
      </c>
      <c r="AE101" t="b">
        <f t="shared" si="21"/>
        <v>1</v>
      </c>
    </row>
    <row r="102" spans="1:31" x14ac:dyDescent="0.25">
      <c r="A102">
        <v>6</v>
      </c>
      <c r="B102">
        <v>27</v>
      </c>
      <c r="C102">
        <v>261</v>
      </c>
      <c r="D102" s="11" t="s">
        <v>145</v>
      </c>
      <c r="E102" s="11" t="s">
        <v>240</v>
      </c>
      <c r="F102" s="11" t="s">
        <v>214</v>
      </c>
      <c r="G102" s="11" t="s">
        <v>255</v>
      </c>
      <c r="H102">
        <v>3</v>
      </c>
      <c r="I102" s="11" t="s">
        <v>173</v>
      </c>
      <c r="J102" s="11" t="s">
        <v>262</v>
      </c>
      <c r="K102" s="11" t="s">
        <v>176</v>
      </c>
      <c r="L102" s="11" t="s">
        <v>38</v>
      </c>
      <c r="M102" s="11" t="s">
        <v>38</v>
      </c>
      <c r="N102" s="11" t="s">
        <v>38</v>
      </c>
      <c r="O102" s="11" t="s">
        <v>38</v>
      </c>
      <c r="P102" t="s">
        <v>8</v>
      </c>
      <c r="Q102">
        <v>1400</v>
      </c>
      <c r="R102">
        <v>0</v>
      </c>
      <c r="S102">
        <v>0</v>
      </c>
      <c r="T102" t="str">
        <f t="shared" si="11"/>
        <v>-</v>
      </c>
      <c r="U102" t="str">
        <f t="shared" si="12"/>
        <v>-</v>
      </c>
      <c r="V102" t="str">
        <f t="shared" si="13"/>
        <v>-</v>
      </c>
      <c r="W102" t="str">
        <f t="shared" si="14"/>
        <v>-</v>
      </c>
      <c r="X102" t="str">
        <f t="shared" si="15"/>
        <v>-</v>
      </c>
      <c r="Y102" t="str">
        <f t="shared" si="16"/>
        <v>-</v>
      </c>
      <c r="Z102" t="str">
        <f t="shared" si="17"/>
        <v>-</v>
      </c>
      <c r="AA102" t="str">
        <f t="shared" si="18"/>
        <v>-</v>
      </c>
      <c r="AB102" t="str">
        <f>IF(_xlfn.IFNA(VLOOKUP(P102,Set_Ref!$B$6:$B$1048576,1,FALSE),"")&lt;&gt;"","-",FALSE)</f>
        <v>-</v>
      </c>
      <c r="AC102" t="str">
        <f t="shared" si="19"/>
        <v>-</v>
      </c>
      <c r="AD102" t="str">
        <f t="shared" si="20"/>
        <v>-</v>
      </c>
      <c r="AE102" t="b">
        <f t="shared" si="21"/>
        <v>1</v>
      </c>
    </row>
    <row r="103" spans="1:31" x14ac:dyDescent="0.25">
      <c r="A103">
        <v>6</v>
      </c>
      <c r="B103">
        <v>28</v>
      </c>
      <c r="C103">
        <v>261</v>
      </c>
      <c r="D103" s="11" t="s">
        <v>145</v>
      </c>
      <c r="E103" s="11" t="s">
        <v>240</v>
      </c>
      <c r="F103" s="11" t="s">
        <v>214</v>
      </c>
      <c r="G103" s="11" t="s">
        <v>255</v>
      </c>
      <c r="H103">
        <v>3</v>
      </c>
      <c r="I103" s="11" t="s">
        <v>173</v>
      </c>
      <c r="J103" s="11" t="s">
        <v>262</v>
      </c>
      <c r="K103" s="11" t="s">
        <v>176</v>
      </c>
      <c r="L103" s="11" t="s">
        <v>38</v>
      </c>
      <c r="M103" s="11" t="s">
        <v>38</v>
      </c>
      <c r="N103" s="11" t="s">
        <v>38</v>
      </c>
      <c r="O103" s="11" t="s">
        <v>38</v>
      </c>
      <c r="P103" t="s">
        <v>8</v>
      </c>
      <c r="Q103">
        <v>1600</v>
      </c>
      <c r="R103">
        <v>0</v>
      </c>
      <c r="S103">
        <v>0</v>
      </c>
      <c r="T103" t="str">
        <f t="shared" si="11"/>
        <v>-</v>
      </c>
      <c r="U103" t="str">
        <f t="shared" si="12"/>
        <v>-</v>
      </c>
      <c r="V103" t="str">
        <f t="shared" si="13"/>
        <v>-</v>
      </c>
      <c r="W103" t="str">
        <f t="shared" si="14"/>
        <v>-</v>
      </c>
      <c r="X103" t="str">
        <f t="shared" si="15"/>
        <v>-</v>
      </c>
      <c r="Y103" t="str">
        <f t="shared" si="16"/>
        <v>-</v>
      </c>
      <c r="Z103" t="str">
        <f t="shared" si="17"/>
        <v>-</v>
      </c>
      <c r="AA103" t="str">
        <f t="shared" si="18"/>
        <v>-</v>
      </c>
      <c r="AB103" t="str">
        <f>IF(_xlfn.IFNA(VLOOKUP(P103,Set_Ref!$B$6:$B$1048576,1,FALSE),"")&lt;&gt;"","-",FALSE)</f>
        <v>-</v>
      </c>
      <c r="AC103" t="str">
        <f t="shared" si="19"/>
        <v>-</v>
      </c>
      <c r="AD103" t="str">
        <f t="shared" si="20"/>
        <v>-</v>
      </c>
      <c r="AE103" t="b">
        <f t="shared" si="21"/>
        <v>1</v>
      </c>
    </row>
    <row r="104" spans="1:31" x14ac:dyDescent="0.25">
      <c r="A104">
        <v>6</v>
      </c>
      <c r="B104">
        <v>29</v>
      </c>
      <c r="C104">
        <v>261</v>
      </c>
      <c r="D104" s="11" t="s">
        <v>145</v>
      </c>
      <c r="E104" s="11" t="s">
        <v>240</v>
      </c>
      <c r="F104" s="11" t="s">
        <v>214</v>
      </c>
      <c r="G104" s="11" t="s">
        <v>255</v>
      </c>
      <c r="H104">
        <v>3</v>
      </c>
      <c r="I104" s="11" t="s">
        <v>173</v>
      </c>
      <c r="J104" s="11" t="s">
        <v>262</v>
      </c>
      <c r="K104" s="11" t="s">
        <v>176</v>
      </c>
      <c r="L104" s="11" t="s">
        <v>38</v>
      </c>
      <c r="M104" s="11" t="s">
        <v>38</v>
      </c>
      <c r="N104" s="11" t="s">
        <v>38</v>
      </c>
      <c r="O104" s="11" t="s">
        <v>38</v>
      </c>
      <c r="P104" t="s">
        <v>8</v>
      </c>
      <c r="Q104">
        <v>1400</v>
      </c>
      <c r="R104">
        <v>0</v>
      </c>
      <c r="S104">
        <v>0</v>
      </c>
      <c r="T104" t="str">
        <f t="shared" si="11"/>
        <v>-</v>
      </c>
      <c r="U104" t="str">
        <f t="shared" si="12"/>
        <v>-</v>
      </c>
      <c r="V104" t="str">
        <f t="shared" si="13"/>
        <v>-</v>
      </c>
      <c r="W104" t="str">
        <f t="shared" si="14"/>
        <v>-</v>
      </c>
      <c r="X104" t="str">
        <f t="shared" si="15"/>
        <v>-</v>
      </c>
      <c r="Y104" t="str">
        <f t="shared" si="16"/>
        <v>-</v>
      </c>
      <c r="Z104" t="str">
        <f t="shared" si="17"/>
        <v>-</v>
      </c>
      <c r="AA104" t="str">
        <f t="shared" si="18"/>
        <v>-</v>
      </c>
      <c r="AB104" t="str">
        <f>IF(_xlfn.IFNA(VLOOKUP(P104,Set_Ref!$B$6:$B$1048576,1,FALSE),"")&lt;&gt;"","-",FALSE)</f>
        <v>-</v>
      </c>
      <c r="AC104" t="str">
        <f t="shared" si="19"/>
        <v>-</v>
      </c>
      <c r="AD104" t="str">
        <f t="shared" si="20"/>
        <v>-</v>
      </c>
      <c r="AE104" t="b">
        <f t="shared" si="21"/>
        <v>1</v>
      </c>
    </row>
    <row r="105" spans="1:31" x14ac:dyDescent="0.25">
      <c r="A105">
        <v>6</v>
      </c>
      <c r="B105">
        <v>30</v>
      </c>
      <c r="C105">
        <v>261</v>
      </c>
      <c r="D105" s="11" t="s">
        <v>145</v>
      </c>
      <c r="E105" s="11" t="s">
        <v>240</v>
      </c>
      <c r="F105" s="11" t="s">
        <v>214</v>
      </c>
      <c r="G105" s="11" t="s">
        <v>255</v>
      </c>
      <c r="H105">
        <v>3</v>
      </c>
      <c r="I105" s="11" t="s">
        <v>173</v>
      </c>
      <c r="J105" s="11" t="s">
        <v>262</v>
      </c>
      <c r="K105" s="11" t="s">
        <v>176</v>
      </c>
      <c r="L105" s="11" t="s">
        <v>38</v>
      </c>
      <c r="M105" s="11" t="s">
        <v>38</v>
      </c>
      <c r="N105" s="11" t="s">
        <v>38</v>
      </c>
      <c r="O105" s="11" t="s">
        <v>38</v>
      </c>
      <c r="P105" t="s">
        <v>8</v>
      </c>
      <c r="Q105">
        <v>2500</v>
      </c>
      <c r="R105">
        <v>0</v>
      </c>
      <c r="S105">
        <v>0</v>
      </c>
      <c r="T105" t="str">
        <f t="shared" si="11"/>
        <v>-</v>
      </c>
      <c r="U105" t="str">
        <f t="shared" si="12"/>
        <v>-</v>
      </c>
      <c r="V105" t="str">
        <f t="shared" si="13"/>
        <v>-</v>
      </c>
      <c r="W105" t="str">
        <f t="shared" si="14"/>
        <v>-</v>
      </c>
      <c r="X105" t="str">
        <f t="shared" si="15"/>
        <v>-</v>
      </c>
      <c r="Y105" t="str">
        <f t="shared" si="16"/>
        <v>-</v>
      </c>
      <c r="Z105" t="str">
        <f t="shared" si="17"/>
        <v>-</v>
      </c>
      <c r="AA105" t="str">
        <f t="shared" si="18"/>
        <v>-</v>
      </c>
      <c r="AB105" t="str">
        <f>IF(_xlfn.IFNA(VLOOKUP(P105,Set_Ref!$B$6:$B$1048576,1,FALSE),"")&lt;&gt;"","-",FALSE)</f>
        <v>-</v>
      </c>
      <c r="AC105" t="str">
        <f t="shared" si="19"/>
        <v>-</v>
      </c>
      <c r="AD105" t="str">
        <f t="shared" si="20"/>
        <v>-</v>
      </c>
      <c r="AE105" t="b">
        <f t="shared" si="21"/>
        <v>1</v>
      </c>
    </row>
    <row r="106" spans="1:31" x14ac:dyDescent="0.25">
      <c r="A106">
        <v>6</v>
      </c>
      <c r="B106">
        <v>31</v>
      </c>
      <c r="C106">
        <v>261</v>
      </c>
      <c r="D106" s="11" t="s">
        <v>145</v>
      </c>
      <c r="E106" s="11" t="s">
        <v>240</v>
      </c>
      <c r="F106" s="11" t="s">
        <v>214</v>
      </c>
      <c r="G106" s="11" t="s">
        <v>255</v>
      </c>
      <c r="H106">
        <v>3</v>
      </c>
      <c r="I106" s="11" t="s">
        <v>173</v>
      </c>
      <c r="J106" s="11" t="s">
        <v>262</v>
      </c>
      <c r="K106" s="11" t="s">
        <v>176</v>
      </c>
      <c r="L106" s="11" t="s">
        <v>38</v>
      </c>
      <c r="M106" s="11" t="s">
        <v>38</v>
      </c>
      <c r="N106" s="11" t="s">
        <v>38</v>
      </c>
      <c r="O106" s="11" t="s">
        <v>38</v>
      </c>
      <c r="P106" t="s">
        <v>8</v>
      </c>
      <c r="Q106">
        <v>2900</v>
      </c>
      <c r="R106">
        <v>0</v>
      </c>
      <c r="S106">
        <v>0</v>
      </c>
      <c r="T106" t="str">
        <f t="shared" si="11"/>
        <v>-</v>
      </c>
      <c r="U106" t="str">
        <f t="shared" si="12"/>
        <v>-</v>
      </c>
      <c r="V106" t="str">
        <f t="shared" si="13"/>
        <v>-</v>
      </c>
      <c r="W106" t="str">
        <f t="shared" si="14"/>
        <v>-</v>
      </c>
      <c r="X106" t="str">
        <f t="shared" si="15"/>
        <v>-</v>
      </c>
      <c r="Y106" t="str">
        <f t="shared" si="16"/>
        <v>-</v>
      </c>
      <c r="Z106" t="str">
        <f t="shared" si="17"/>
        <v>-</v>
      </c>
      <c r="AA106" t="str">
        <f t="shared" si="18"/>
        <v>-</v>
      </c>
      <c r="AB106" t="str">
        <f>IF(_xlfn.IFNA(VLOOKUP(P106,Set_Ref!$B$6:$B$1048576,1,FALSE),"")&lt;&gt;"","-",FALSE)</f>
        <v>-</v>
      </c>
      <c r="AC106" t="str">
        <f t="shared" si="19"/>
        <v>-</v>
      </c>
      <c r="AD106" t="str">
        <f t="shared" si="20"/>
        <v>-</v>
      </c>
      <c r="AE106" t="b">
        <f t="shared" si="21"/>
        <v>1</v>
      </c>
    </row>
    <row r="107" spans="1:31" x14ac:dyDescent="0.25">
      <c r="A107">
        <v>6</v>
      </c>
      <c r="B107">
        <v>32</v>
      </c>
      <c r="C107">
        <v>261</v>
      </c>
      <c r="D107" s="11" t="s">
        <v>145</v>
      </c>
      <c r="E107" s="11" t="s">
        <v>241</v>
      </c>
      <c r="F107" s="11" t="s">
        <v>197</v>
      </c>
      <c r="G107" s="11" t="s">
        <v>256</v>
      </c>
      <c r="H107">
        <v>9</v>
      </c>
      <c r="I107" s="11" t="s">
        <v>173</v>
      </c>
      <c r="J107" s="11" t="s">
        <v>263</v>
      </c>
      <c r="K107" s="11" t="s">
        <v>176</v>
      </c>
      <c r="L107" s="11" t="s">
        <v>38</v>
      </c>
      <c r="M107" s="11" t="s">
        <v>38</v>
      </c>
      <c r="N107" s="11" t="s">
        <v>38</v>
      </c>
      <c r="O107" s="11" t="s">
        <v>38</v>
      </c>
      <c r="P107" t="s">
        <v>8</v>
      </c>
      <c r="Q107">
        <v>2121</v>
      </c>
      <c r="R107">
        <v>0</v>
      </c>
      <c r="S107">
        <v>0</v>
      </c>
      <c r="T107" t="str">
        <f t="shared" si="11"/>
        <v>-</v>
      </c>
      <c r="U107" t="str">
        <f t="shared" si="12"/>
        <v>-</v>
      </c>
      <c r="V107" t="str">
        <f t="shared" si="13"/>
        <v>-</v>
      </c>
      <c r="W107" t="str">
        <f t="shared" si="14"/>
        <v>-</v>
      </c>
      <c r="X107" t="str">
        <f t="shared" si="15"/>
        <v>-</v>
      </c>
      <c r="Y107" t="str">
        <f t="shared" si="16"/>
        <v>-</v>
      </c>
      <c r="Z107" t="str">
        <f t="shared" si="17"/>
        <v>-</v>
      </c>
      <c r="AA107" t="str">
        <f t="shared" si="18"/>
        <v>-</v>
      </c>
      <c r="AB107" t="str">
        <f>IF(_xlfn.IFNA(VLOOKUP(P107,Set_Ref!$B$6:$B$1048576,1,FALSE),"")&lt;&gt;"","-",FALSE)</f>
        <v>-</v>
      </c>
      <c r="AC107" t="str">
        <f t="shared" si="19"/>
        <v>-</v>
      </c>
      <c r="AD107" t="str">
        <f t="shared" si="20"/>
        <v>-</v>
      </c>
      <c r="AE107" t="b">
        <f t="shared" si="21"/>
        <v>1</v>
      </c>
    </row>
    <row r="108" spans="1:31" x14ac:dyDescent="0.25">
      <c r="A108">
        <v>6</v>
      </c>
      <c r="B108">
        <v>33</v>
      </c>
      <c r="C108">
        <v>261</v>
      </c>
      <c r="D108" s="11" t="s">
        <v>145</v>
      </c>
      <c r="E108" s="11" t="s">
        <v>241</v>
      </c>
      <c r="F108" s="11" t="s">
        <v>197</v>
      </c>
      <c r="G108" s="11" t="s">
        <v>256</v>
      </c>
      <c r="H108">
        <v>9</v>
      </c>
      <c r="I108" s="11" t="s">
        <v>173</v>
      </c>
      <c r="J108" s="11" t="s">
        <v>263</v>
      </c>
      <c r="K108" s="11" t="s">
        <v>176</v>
      </c>
      <c r="L108" s="11" t="s">
        <v>38</v>
      </c>
      <c r="M108" s="11" t="s">
        <v>38</v>
      </c>
      <c r="N108" s="11" t="s">
        <v>38</v>
      </c>
      <c r="O108" s="11" t="s">
        <v>38</v>
      </c>
      <c r="P108" t="s">
        <v>8</v>
      </c>
      <c r="Q108">
        <v>1414</v>
      </c>
      <c r="R108">
        <v>0</v>
      </c>
      <c r="S108">
        <v>0</v>
      </c>
      <c r="T108" t="str">
        <f t="shared" si="11"/>
        <v>-</v>
      </c>
      <c r="U108" t="str">
        <f t="shared" si="12"/>
        <v>-</v>
      </c>
      <c r="V108" t="str">
        <f t="shared" si="13"/>
        <v>-</v>
      </c>
      <c r="W108" t="str">
        <f t="shared" si="14"/>
        <v>-</v>
      </c>
      <c r="X108" t="str">
        <f t="shared" si="15"/>
        <v>-</v>
      </c>
      <c r="Y108" t="str">
        <f t="shared" si="16"/>
        <v>-</v>
      </c>
      <c r="Z108" t="str">
        <f t="shared" si="17"/>
        <v>-</v>
      </c>
      <c r="AA108" t="str">
        <f t="shared" si="18"/>
        <v>-</v>
      </c>
      <c r="AB108" t="str">
        <f>IF(_xlfn.IFNA(VLOOKUP(P108,Set_Ref!$B$6:$B$1048576,1,FALSE),"")&lt;&gt;"","-",FALSE)</f>
        <v>-</v>
      </c>
      <c r="AC108" t="str">
        <f t="shared" si="19"/>
        <v>-</v>
      </c>
      <c r="AD108" t="str">
        <f t="shared" si="20"/>
        <v>-</v>
      </c>
      <c r="AE108" t="b">
        <f t="shared" si="21"/>
        <v>1</v>
      </c>
    </row>
    <row r="109" spans="1:31" x14ac:dyDescent="0.25">
      <c r="A109">
        <v>6</v>
      </c>
      <c r="B109">
        <v>34</v>
      </c>
      <c r="C109">
        <v>261</v>
      </c>
      <c r="D109" s="11" t="s">
        <v>145</v>
      </c>
      <c r="E109" s="11" t="s">
        <v>241</v>
      </c>
      <c r="F109" s="11" t="s">
        <v>197</v>
      </c>
      <c r="G109" s="11" t="s">
        <v>256</v>
      </c>
      <c r="H109">
        <v>9</v>
      </c>
      <c r="I109" s="11" t="s">
        <v>173</v>
      </c>
      <c r="J109" s="11" t="s">
        <v>263</v>
      </c>
      <c r="K109" s="11" t="s">
        <v>176</v>
      </c>
      <c r="L109" s="11" t="s">
        <v>38</v>
      </c>
      <c r="M109" s="11" t="s">
        <v>38</v>
      </c>
      <c r="N109" s="11" t="s">
        <v>38</v>
      </c>
      <c r="O109" s="11" t="s">
        <v>38</v>
      </c>
      <c r="P109" t="s">
        <v>8</v>
      </c>
      <c r="Q109">
        <v>1414</v>
      </c>
      <c r="R109">
        <v>0</v>
      </c>
      <c r="S109">
        <v>0</v>
      </c>
      <c r="T109" t="str">
        <f t="shared" si="11"/>
        <v>-</v>
      </c>
      <c r="U109" t="str">
        <f t="shared" si="12"/>
        <v>-</v>
      </c>
      <c r="V109" t="str">
        <f t="shared" si="13"/>
        <v>-</v>
      </c>
      <c r="W109" t="str">
        <f t="shared" si="14"/>
        <v>-</v>
      </c>
      <c r="X109" t="str">
        <f t="shared" si="15"/>
        <v>-</v>
      </c>
      <c r="Y109" t="str">
        <f t="shared" si="16"/>
        <v>-</v>
      </c>
      <c r="Z109" t="str">
        <f t="shared" si="17"/>
        <v>-</v>
      </c>
      <c r="AA109" t="str">
        <f t="shared" si="18"/>
        <v>-</v>
      </c>
      <c r="AB109" t="str">
        <f>IF(_xlfn.IFNA(VLOOKUP(P109,Set_Ref!$B$6:$B$1048576,1,FALSE),"")&lt;&gt;"","-",FALSE)</f>
        <v>-</v>
      </c>
      <c r="AC109" t="str">
        <f t="shared" si="19"/>
        <v>-</v>
      </c>
      <c r="AD109" t="str">
        <f t="shared" si="20"/>
        <v>-</v>
      </c>
      <c r="AE109" t="b">
        <f t="shared" si="21"/>
        <v>1</v>
      </c>
    </row>
    <row r="110" spans="1:31" x14ac:dyDescent="0.25">
      <c r="A110">
        <v>6</v>
      </c>
      <c r="B110">
        <v>35</v>
      </c>
      <c r="C110">
        <v>261</v>
      </c>
      <c r="D110" s="11" t="s">
        <v>145</v>
      </c>
      <c r="E110" s="11" t="s">
        <v>241</v>
      </c>
      <c r="F110" s="11" t="s">
        <v>197</v>
      </c>
      <c r="G110" s="11" t="s">
        <v>256</v>
      </c>
      <c r="H110">
        <v>9</v>
      </c>
      <c r="I110" s="11" t="s">
        <v>173</v>
      </c>
      <c r="J110" s="11" t="s">
        <v>263</v>
      </c>
      <c r="K110" s="11" t="s">
        <v>176</v>
      </c>
      <c r="L110" s="11" t="s">
        <v>38</v>
      </c>
      <c r="M110" s="11" t="s">
        <v>38</v>
      </c>
      <c r="N110" s="11" t="s">
        <v>38</v>
      </c>
      <c r="O110" s="11" t="s">
        <v>38</v>
      </c>
      <c r="P110" t="s">
        <v>8</v>
      </c>
      <c r="Q110">
        <v>2222</v>
      </c>
      <c r="R110">
        <v>0</v>
      </c>
      <c r="S110">
        <v>0</v>
      </c>
      <c r="T110" t="str">
        <f t="shared" si="11"/>
        <v>-</v>
      </c>
      <c r="U110" t="str">
        <f t="shared" si="12"/>
        <v>-</v>
      </c>
      <c r="V110" t="str">
        <f t="shared" si="13"/>
        <v>-</v>
      </c>
      <c r="W110" t="str">
        <f t="shared" si="14"/>
        <v>-</v>
      </c>
      <c r="X110" t="str">
        <f t="shared" si="15"/>
        <v>-</v>
      </c>
      <c r="Y110" t="str">
        <f t="shared" si="16"/>
        <v>-</v>
      </c>
      <c r="Z110" t="str">
        <f t="shared" si="17"/>
        <v>-</v>
      </c>
      <c r="AA110" t="str">
        <f t="shared" si="18"/>
        <v>-</v>
      </c>
      <c r="AB110" t="str">
        <f>IF(_xlfn.IFNA(VLOOKUP(P110,Set_Ref!$B$6:$B$1048576,1,FALSE),"")&lt;&gt;"","-",FALSE)</f>
        <v>-</v>
      </c>
      <c r="AC110" t="str">
        <f t="shared" si="19"/>
        <v>-</v>
      </c>
      <c r="AD110" t="str">
        <f t="shared" si="20"/>
        <v>-</v>
      </c>
      <c r="AE110" t="b">
        <f t="shared" si="21"/>
        <v>1</v>
      </c>
    </row>
    <row r="111" spans="1:31" x14ac:dyDescent="0.25">
      <c r="A111">
        <v>6</v>
      </c>
      <c r="B111">
        <v>36</v>
      </c>
      <c r="C111">
        <v>261</v>
      </c>
      <c r="D111" s="11" t="s">
        <v>145</v>
      </c>
      <c r="E111" s="11" t="s">
        <v>241</v>
      </c>
      <c r="F111" s="11" t="s">
        <v>197</v>
      </c>
      <c r="G111" s="11" t="s">
        <v>256</v>
      </c>
      <c r="H111">
        <v>9</v>
      </c>
      <c r="I111" s="11" t="s">
        <v>173</v>
      </c>
      <c r="J111" s="11" t="s">
        <v>263</v>
      </c>
      <c r="K111" s="11" t="s">
        <v>176</v>
      </c>
      <c r="L111" s="11" t="s">
        <v>38</v>
      </c>
      <c r="M111" s="11" t="s">
        <v>38</v>
      </c>
      <c r="N111" s="11" t="s">
        <v>38</v>
      </c>
      <c r="O111" s="11" t="s">
        <v>38</v>
      </c>
      <c r="P111" t="s">
        <v>8</v>
      </c>
      <c r="Q111">
        <v>2929</v>
      </c>
      <c r="R111">
        <v>0</v>
      </c>
      <c r="S111">
        <v>0</v>
      </c>
      <c r="T111" t="str">
        <f t="shared" si="11"/>
        <v>-</v>
      </c>
      <c r="U111" t="str">
        <f t="shared" si="12"/>
        <v>-</v>
      </c>
      <c r="V111" t="str">
        <f t="shared" si="13"/>
        <v>-</v>
      </c>
      <c r="W111" t="str">
        <f t="shared" si="14"/>
        <v>-</v>
      </c>
      <c r="X111" t="str">
        <f t="shared" si="15"/>
        <v>-</v>
      </c>
      <c r="Y111" t="str">
        <f t="shared" si="16"/>
        <v>-</v>
      </c>
      <c r="Z111" t="str">
        <f t="shared" si="17"/>
        <v>-</v>
      </c>
      <c r="AA111" t="str">
        <f t="shared" si="18"/>
        <v>-</v>
      </c>
      <c r="AB111" t="str">
        <f>IF(_xlfn.IFNA(VLOOKUP(P111,Set_Ref!$B$6:$B$1048576,1,FALSE),"")&lt;&gt;"","-",FALSE)</f>
        <v>-</v>
      </c>
      <c r="AC111" t="str">
        <f t="shared" si="19"/>
        <v>-</v>
      </c>
      <c r="AD111" t="str">
        <f t="shared" si="20"/>
        <v>-</v>
      </c>
      <c r="AE111" t="b">
        <f t="shared" si="21"/>
        <v>1</v>
      </c>
    </row>
    <row r="112" spans="1:31" x14ac:dyDescent="0.25">
      <c r="A112">
        <v>6</v>
      </c>
      <c r="B112">
        <v>37</v>
      </c>
      <c r="C112">
        <v>261</v>
      </c>
      <c r="D112" s="11" t="s">
        <v>145</v>
      </c>
      <c r="E112" s="11" t="s">
        <v>241</v>
      </c>
      <c r="F112" s="11" t="s">
        <v>197</v>
      </c>
      <c r="G112" s="11" t="s">
        <v>256</v>
      </c>
      <c r="H112">
        <v>9</v>
      </c>
      <c r="I112" s="11" t="s">
        <v>173</v>
      </c>
      <c r="J112" s="11" t="s">
        <v>263</v>
      </c>
      <c r="K112" s="11" t="s">
        <v>176</v>
      </c>
      <c r="L112" s="11" t="s">
        <v>38</v>
      </c>
      <c r="M112" s="11" t="s">
        <v>38</v>
      </c>
      <c r="N112" s="11" t="s">
        <v>38</v>
      </c>
      <c r="O112" s="11" t="s">
        <v>38</v>
      </c>
      <c r="P112" t="s">
        <v>8</v>
      </c>
      <c r="Q112">
        <v>1616</v>
      </c>
      <c r="R112">
        <v>0</v>
      </c>
      <c r="S112">
        <v>0</v>
      </c>
      <c r="T112" t="str">
        <f t="shared" si="11"/>
        <v>-</v>
      </c>
      <c r="U112" t="str">
        <f t="shared" si="12"/>
        <v>-</v>
      </c>
      <c r="V112" t="str">
        <f t="shared" si="13"/>
        <v>-</v>
      </c>
      <c r="W112" t="str">
        <f t="shared" si="14"/>
        <v>-</v>
      </c>
      <c r="X112" t="str">
        <f t="shared" si="15"/>
        <v>-</v>
      </c>
      <c r="Y112" t="str">
        <f t="shared" si="16"/>
        <v>-</v>
      </c>
      <c r="Z112" t="str">
        <f t="shared" si="17"/>
        <v>-</v>
      </c>
      <c r="AA112" t="str">
        <f t="shared" si="18"/>
        <v>-</v>
      </c>
      <c r="AB112" t="str">
        <f>IF(_xlfn.IFNA(VLOOKUP(P112,Set_Ref!$B$6:$B$1048576,1,FALSE),"")&lt;&gt;"","-",FALSE)</f>
        <v>-</v>
      </c>
      <c r="AC112" t="str">
        <f t="shared" si="19"/>
        <v>-</v>
      </c>
      <c r="AD112" t="str">
        <f t="shared" si="20"/>
        <v>-</v>
      </c>
      <c r="AE112" t="b">
        <f t="shared" si="21"/>
        <v>1</v>
      </c>
    </row>
    <row r="113" spans="1:31" x14ac:dyDescent="0.25">
      <c r="A113">
        <v>6</v>
      </c>
      <c r="B113">
        <v>38</v>
      </c>
      <c r="C113">
        <v>261</v>
      </c>
      <c r="D113" s="11" t="s">
        <v>145</v>
      </c>
      <c r="E113" s="11" t="s">
        <v>241</v>
      </c>
      <c r="F113" s="11" t="s">
        <v>197</v>
      </c>
      <c r="G113" s="11" t="s">
        <v>256</v>
      </c>
      <c r="H113">
        <v>9</v>
      </c>
      <c r="I113" s="11" t="s">
        <v>173</v>
      </c>
      <c r="J113" s="11" t="s">
        <v>263</v>
      </c>
      <c r="K113" s="11" t="s">
        <v>176</v>
      </c>
      <c r="L113" s="11" t="s">
        <v>38</v>
      </c>
      <c r="M113" s="11" t="s">
        <v>38</v>
      </c>
      <c r="N113" s="11" t="s">
        <v>38</v>
      </c>
      <c r="O113" s="11" t="s">
        <v>38</v>
      </c>
      <c r="P113" t="s">
        <v>8</v>
      </c>
      <c r="Q113">
        <v>1818</v>
      </c>
      <c r="R113">
        <v>0</v>
      </c>
      <c r="S113">
        <v>0</v>
      </c>
      <c r="T113" t="str">
        <f t="shared" si="11"/>
        <v>-</v>
      </c>
      <c r="U113" t="str">
        <f t="shared" si="12"/>
        <v>-</v>
      </c>
      <c r="V113" t="str">
        <f t="shared" si="13"/>
        <v>-</v>
      </c>
      <c r="W113" t="str">
        <f t="shared" si="14"/>
        <v>-</v>
      </c>
      <c r="X113" t="str">
        <f t="shared" si="15"/>
        <v>-</v>
      </c>
      <c r="Y113" t="str">
        <f t="shared" si="16"/>
        <v>-</v>
      </c>
      <c r="Z113" t="str">
        <f t="shared" si="17"/>
        <v>-</v>
      </c>
      <c r="AA113" t="str">
        <f t="shared" si="18"/>
        <v>-</v>
      </c>
      <c r="AB113" t="str">
        <f>IF(_xlfn.IFNA(VLOOKUP(P113,Set_Ref!$B$6:$B$1048576,1,FALSE),"")&lt;&gt;"","-",FALSE)</f>
        <v>-</v>
      </c>
      <c r="AC113" t="str">
        <f t="shared" si="19"/>
        <v>-</v>
      </c>
      <c r="AD113" t="str">
        <f t="shared" si="20"/>
        <v>-</v>
      </c>
      <c r="AE113" t="b">
        <f t="shared" si="21"/>
        <v>1</v>
      </c>
    </row>
    <row r="114" spans="1:31" x14ac:dyDescent="0.25">
      <c r="A114">
        <v>6</v>
      </c>
      <c r="B114">
        <v>39</v>
      </c>
      <c r="C114">
        <v>261</v>
      </c>
      <c r="D114" s="11" t="s">
        <v>145</v>
      </c>
      <c r="E114" s="11" t="s">
        <v>241</v>
      </c>
      <c r="F114" s="11" t="s">
        <v>197</v>
      </c>
      <c r="G114" s="11" t="s">
        <v>256</v>
      </c>
      <c r="H114">
        <v>9</v>
      </c>
      <c r="I114" s="11" t="s">
        <v>173</v>
      </c>
      <c r="J114" s="11" t="s">
        <v>263</v>
      </c>
      <c r="K114" s="11" t="s">
        <v>176</v>
      </c>
      <c r="L114" s="11" t="s">
        <v>38</v>
      </c>
      <c r="M114" s="11" t="s">
        <v>38</v>
      </c>
      <c r="N114" s="11" t="s">
        <v>38</v>
      </c>
      <c r="O114" s="11" t="s">
        <v>38</v>
      </c>
      <c r="P114" t="s">
        <v>8</v>
      </c>
      <c r="Q114">
        <v>1616</v>
      </c>
      <c r="R114">
        <v>0</v>
      </c>
      <c r="S114">
        <v>0</v>
      </c>
      <c r="T114" t="str">
        <f t="shared" si="11"/>
        <v>-</v>
      </c>
      <c r="U114" t="str">
        <f t="shared" si="12"/>
        <v>-</v>
      </c>
      <c r="V114" t="str">
        <f t="shared" si="13"/>
        <v>-</v>
      </c>
      <c r="W114" t="str">
        <f t="shared" si="14"/>
        <v>-</v>
      </c>
      <c r="X114" t="str">
        <f t="shared" si="15"/>
        <v>-</v>
      </c>
      <c r="Y114" t="str">
        <f t="shared" si="16"/>
        <v>-</v>
      </c>
      <c r="Z114" t="str">
        <f t="shared" si="17"/>
        <v>-</v>
      </c>
      <c r="AA114" t="str">
        <f t="shared" si="18"/>
        <v>-</v>
      </c>
      <c r="AB114" t="str">
        <f>IF(_xlfn.IFNA(VLOOKUP(P114,Set_Ref!$B$6:$B$1048576,1,FALSE),"")&lt;&gt;"","-",FALSE)</f>
        <v>-</v>
      </c>
      <c r="AC114" t="str">
        <f t="shared" si="19"/>
        <v>-</v>
      </c>
      <c r="AD114" t="str">
        <f t="shared" si="20"/>
        <v>-</v>
      </c>
      <c r="AE114" t="b">
        <f t="shared" si="21"/>
        <v>1</v>
      </c>
    </row>
    <row r="115" spans="1:31" x14ac:dyDescent="0.25">
      <c r="A115">
        <v>6</v>
      </c>
      <c r="B115">
        <v>40</v>
      </c>
      <c r="C115">
        <v>261</v>
      </c>
      <c r="D115" s="11" t="s">
        <v>145</v>
      </c>
      <c r="E115" s="11" t="s">
        <v>238</v>
      </c>
      <c r="F115" s="11" t="s">
        <v>215</v>
      </c>
      <c r="G115" s="11" t="s">
        <v>254</v>
      </c>
      <c r="H115">
        <v>1</v>
      </c>
      <c r="I115" s="11" t="s">
        <v>173</v>
      </c>
      <c r="J115" s="11" t="s">
        <v>264</v>
      </c>
      <c r="K115" s="11" t="s">
        <v>176</v>
      </c>
      <c r="L115" s="11" t="s">
        <v>38</v>
      </c>
      <c r="M115" s="11" t="s">
        <v>38</v>
      </c>
      <c r="N115" s="11" t="s">
        <v>38</v>
      </c>
      <c r="O115" s="11" t="s">
        <v>38</v>
      </c>
      <c r="P115" t="s">
        <v>8</v>
      </c>
      <c r="Q115">
        <v>12310</v>
      </c>
      <c r="R115">
        <v>0</v>
      </c>
      <c r="S115">
        <v>0</v>
      </c>
      <c r="T115" t="str">
        <f t="shared" si="11"/>
        <v>-</v>
      </c>
      <c r="U115" t="str">
        <f t="shared" si="12"/>
        <v>-</v>
      </c>
      <c r="V115" t="str">
        <f t="shared" si="13"/>
        <v>-</v>
      </c>
      <c r="W115" t="str">
        <f t="shared" si="14"/>
        <v>-</v>
      </c>
      <c r="X115" t="str">
        <f t="shared" si="15"/>
        <v>-</v>
      </c>
      <c r="Y115" t="str">
        <f t="shared" si="16"/>
        <v>-</v>
      </c>
      <c r="Z115" t="str">
        <f t="shared" si="17"/>
        <v>-</v>
      </c>
      <c r="AA115" t="str">
        <f t="shared" si="18"/>
        <v>-</v>
      </c>
      <c r="AB115" t="str">
        <f>IF(_xlfn.IFNA(VLOOKUP(P115,Set_Ref!$B$6:$B$1048576,1,FALSE),"")&lt;&gt;"","-",FALSE)</f>
        <v>-</v>
      </c>
      <c r="AC115" t="str">
        <f t="shared" si="19"/>
        <v>-</v>
      </c>
      <c r="AD115" t="str">
        <f t="shared" si="20"/>
        <v>-</v>
      </c>
      <c r="AE115" t="b">
        <f t="shared" si="21"/>
        <v>1</v>
      </c>
    </row>
    <row r="116" spans="1:31" x14ac:dyDescent="0.25">
      <c r="A116">
        <v>6</v>
      </c>
      <c r="B116">
        <v>41</v>
      </c>
      <c r="C116">
        <v>261</v>
      </c>
      <c r="D116" s="11" t="s">
        <v>145</v>
      </c>
      <c r="E116" s="11" t="s">
        <v>238</v>
      </c>
      <c r="F116" s="11" t="s">
        <v>215</v>
      </c>
      <c r="G116" s="11" t="s">
        <v>254</v>
      </c>
      <c r="H116">
        <v>1</v>
      </c>
      <c r="I116" s="11" t="s">
        <v>173</v>
      </c>
      <c r="J116" s="11" t="s">
        <v>264</v>
      </c>
      <c r="K116" s="11" t="s">
        <v>176</v>
      </c>
      <c r="L116" s="11" t="s">
        <v>38</v>
      </c>
      <c r="M116" s="11" t="s">
        <v>38</v>
      </c>
      <c r="N116" s="11" t="s">
        <v>38</v>
      </c>
      <c r="O116" s="11" t="s">
        <v>38</v>
      </c>
      <c r="P116" t="s">
        <v>8</v>
      </c>
      <c r="Q116">
        <v>12332</v>
      </c>
      <c r="R116">
        <v>0</v>
      </c>
      <c r="S116">
        <v>0</v>
      </c>
      <c r="T116" t="str">
        <f t="shared" si="11"/>
        <v>-</v>
      </c>
      <c r="U116" t="str">
        <f t="shared" si="12"/>
        <v>-</v>
      </c>
      <c r="V116" t="str">
        <f t="shared" si="13"/>
        <v>-</v>
      </c>
      <c r="W116" t="str">
        <f t="shared" si="14"/>
        <v>-</v>
      </c>
      <c r="X116" t="str">
        <f t="shared" si="15"/>
        <v>-</v>
      </c>
      <c r="Y116" t="str">
        <f t="shared" si="16"/>
        <v>-</v>
      </c>
      <c r="Z116" t="str">
        <f t="shared" si="17"/>
        <v>-</v>
      </c>
      <c r="AA116" t="str">
        <f t="shared" si="18"/>
        <v>-</v>
      </c>
      <c r="AB116" t="str">
        <f>IF(_xlfn.IFNA(VLOOKUP(P116,Set_Ref!$B$6:$B$1048576,1,FALSE),"")&lt;&gt;"","-",FALSE)</f>
        <v>-</v>
      </c>
      <c r="AC116" t="str">
        <f t="shared" si="19"/>
        <v>-</v>
      </c>
      <c r="AD116" t="str">
        <f t="shared" si="20"/>
        <v>-</v>
      </c>
      <c r="AE116" t="b">
        <f t="shared" si="21"/>
        <v>1</v>
      </c>
    </row>
    <row r="117" spans="1:31" x14ac:dyDescent="0.25">
      <c r="A117">
        <v>6</v>
      </c>
      <c r="B117">
        <v>42</v>
      </c>
      <c r="C117">
        <v>261</v>
      </c>
      <c r="D117" s="11" t="s">
        <v>145</v>
      </c>
      <c r="E117" s="11" t="s">
        <v>238</v>
      </c>
      <c r="F117" s="11" t="s">
        <v>215</v>
      </c>
      <c r="G117" s="11" t="s">
        <v>254</v>
      </c>
      <c r="H117">
        <v>1</v>
      </c>
      <c r="I117" s="11" t="s">
        <v>173</v>
      </c>
      <c r="J117" s="11" t="s">
        <v>264</v>
      </c>
      <c r="K117" s="11" t="s">
        <v>176</v>
      </c>
      <c r="L117" s="11" t="s">
        <v>38</v>
      </c>
      <c r="M117" s="11" t="s">
        <v>38</v>
      </c>
      <c r="N117" s="11" t="s">
        <v>38</v>
      </c>
      <c r="O117" s="11" t="s">
        <v>38</v>
      </c>
      <c r="P117" t="s">
        <v>8</v>
      </c>
      <c r="Q117">
        <v>10758</v>
      </c>
      <c r="R117">
        <v>0</v>
      </c>
      <c r="S117">
        <v>0</v>
      </c>
      <c r="T117" t="str">
        <f t="shared" si="11"/>
        <v>-</v>
      </c>
      <c r="U117" t="str">
        <f t="shared" si="12"/>
        <v>-</v>
      </c>
      <c r="V117" t="str">
        <f t="shared" si="13"/>
        <v>-</v>
      </c>
      <c r="W117" t="str">
        <f t="shared" si="14"/>
        <v>-</v>
      </c>
      <c r="X117" t="str">
        <f t="shared" si="15"/>
        <v>-</v>
      </c>
      <c r="Y117" t="str">
        <f t="shared" si="16"/>
        <v>-</v>
      </c>
      <c r="Z117" t="str">
        <f t="shared" si="17"/>
        <v>-</v>
      </c>
      <c r="AA117" t="str">
        <f t="shared" si="18"/>
        <v>-</v>
      </c>
      <c r="AB117" t="str">
        <f>IF(_xlfn.IFNA(VLOOKUP(P117,Set_Ref!$B$6:$B$1048576,1,FALSE),"")&lt;&gt;"","-",FALSE)</f>
        <v>-</v>
      </c>
      <c r="AC117" t="str">
        <f t="shared" si="19"/>
        <v>-</v>
      </c>
      <c r="AD117" t="str">
        <f t="shared" si="20"/>
        <v>-</v>
      </c>
      <c r="AE117" t="b">
        <f t="shared" si="21"/>
        <v>1</v>
      </c>
    </row>
    <row r="118" spans="1:31" x14ac:dyDescent="0.25">
      <c r="A118">
        <v>6</v>
      </c>
      <c r="B118">
        <v>43</v>
      </c>
      <c r="C118">
        <v>261</v>
      </c>
      <c r="D118" s="11" t="s">
        <v>145</v>
      </c>
      <c r="E118" s="11" t="s">
        <v>242</v>
      </c>
      <c r="F118" s="11" t="s">
        <v>218</v>
      </c>
      <c r="G118" s="11" t="s">
        <v>257</v>
      </c>
      <c r="H118">
        <v>2</v>
      </c>
      <c r="I118" s="11" t="s">
        <v>173</v>
      </c>
      <c r="J118" s="11" t="s">
        <v>194</v>
      </c>
      <c r="K118" s="11" t="s">
        <v>176</v>
      </c>
      <c r="L118" s="11" t="s">
        <v>38</v>
      </c>
      <c r="M118" s="11" t="s">
        <v>38</v>
      </c>
      <c r="N118" s="11" t="s">
        <v>38</v>
      </c>
      <c r="O118" s="11" t="s">
        <v>38</v>
      </c>
      <c r="P118" t="s">
        <v>8</v>
      </c>
      <c r="Q118">
        <v>16916</v>
      </c>
      <c r="R118">
        <v>0</v>
      </c>
      <c r="S118">
        <v>0</v>
      </c>
      <c r="T118" t="str">
        <f t="shared" si="11"/>
        <v>-</v>
      </c>
      <c r="U118" t="str">
        <f t="shared" si="12"/>
        <v>-</v>
      </c>
      <c r="V118" t="str">
        <f t="shared" si="13"/>
        <v>-</v>
      </c>
      <c r="W118" t="str">
        <f t="shared" si="14"/>
        <v>-</v>
      </c>
      <c r="X118" t="str">
        <f t="shared" si="15"/>
        <v>-</v>
      </c>
      <c r="Y118" t="str">
        <f t="shared" si="16"/>
        <v>-</v>
      </c>
      <c r="Z118" t="str">
        <f t="shared" si="17"/>
        <v>-</v>
      </c>
      <c r="AA118" t="str">
        <f t="shared" si="18"/>
        <v>-</v>
      </c>
      <c r="AB118" t="str">
        <f>IF(_xlfn.IFNA(VLOOKUP(P118,Set_Ref!$B$6:$B$1048576,1,FALSE),"")&lt;&gt;"","-",FALSE)</f>
        <v>-</v>
      </c>
      <c r="AC118" t="str">
        <f t="shared" si="19"/>
        <v>-</v>
      </c>
      <c r="AD118" t="str">
        <f t="shared" si="20"/>
        <v>-</v>
      </c>
      <c r="AE118" t="b">
        <f t="shared" si="21"/>
        <v>1</v>
      </c>
    </row>
    <row r="119" spans="1:31" x14ac:dyDescent="0.25">
      <c r="A119">
        <v>6</v>
      </c>
      <c r="B119">
        <v>44</v>
      </c>
      <c r="C119">
        <v>261</v>
      </c>
      <c r="D119" s="11" t="s">
        <v>145</v>
      </c>
      <c r="E119" s="11" t="s">
        <v>242</v>
      </c>
      <c r="F119" s="11" t="s">
        <v>218</v>
      </c>
      <c r="G119" s="11" t="s">
        <v>257</v>
      </c>
      <c r="H119">
        <v>2</v>
      </c>
      <c r="I119" s="11" t="s">
        <v>173</v>
      </c>
      <c r="J119" s="11" t="s">
        <v>194</v>
      </c>
      <c r="K119" s="11" t="s">
        <v>176</v>
      </c>
      <c r="L119" s="11" t="s">
        <v>38</v>
      </c>
      <c r="M119" s="11" t="s">
        <v>38</v>
      </c>
      <c r="N119" s="11" t="s">
        <v>38</v>
      </c>
      <c r="O119" s="11" t="s">
        <v>38</v>
      </c>
      <c r="P119" t="s">
        <v>8</v>
      </c>
      <c r="Q119">
        <v>16408</v>
      </c>
      <c r="R119">
        <v>0</v>
      </c>
      <c r="S119">
        <v>0</v>
      </c>
      <c r="T119" t="str">
        <f t="shared" si="11"/>
        <v>-</v>
      </c>
      <c r="U119" t="str">
        <f t="shared" si="12"/>
        <v>-</v>
      </c>
      <c r="V119" t="str">
        <f t="shared" si="13"/>
        <v>-</v>
      </c>
      <c r="W119" t="str">
        <f t="shared" si="14"/>
        <v>-</v>
      </c>
      <c r="X119" t="str">
        <f t="shared" si="15"/>
        <v>-</v>
      </c>
      <c r="Y119" t="str">
        <f t="shared" si="16"/>
        <v>-</v>
      </c>
      <c r="Z119" t="str">
        <f t="shared" si="17"/>
        <v>-</v>
      </c>
      <c r="AA119" t="str">
        <f t="shared" si="18"/>
        <v>-</v>
      </c>
      <c r="AB119" t="str">
        <f>IF(_xlfn.IFNA(VLOOKUP(P119,Set_Ref!$B$6:$B$1048576,1,FALSE),"")&lt;&gt;"","-",FALSE)</f>
        <v>-</v>
      </c>
      <c r="AC119" t="str">
        <f t="shared" si="19"/>
        <v>-</v>
      </c>
      <c r="AD119" t="str">
        <f t="shared" si="20"/>
        <v>-</v>
      </c>
      <c r="AE119" t="b">
        <f t="shared" si="21"/>
        <v>1</v>
      </c>
    </row>
    <row r="120" spans="1:31" x14ac:dyDescent="0.25">
      <c r="A120">
        <v>6</v>
      </c>
      <c r="B120">
        <v>45</v>
      </c>
      <c r="C120">
        <v>261</v>
      </c>
      <c r="D120" s="11" t="s">
        <v>145</v>
      </c>
      <c r="E120" s="11" t="s">
        <v>242</v>
      </c>
      <c r="F120" s="11" t="s">
        <v>218</v>
      </c>
      <c r="G120" s="11" t="s">
        <v>257</v>
      </c>
      <c r="H120">
        <v>2</v>
      </c>
      <c r="I120" s="11" t="s">
        <v>173</v>
      </c>
      <c r="J120" s="11" t="s">
        <v>194</v>
      </c>
      <c r="K120" s="11" t="s">
        <v>176</v>
      </c>
      <c r="L120" s="11" t="s">
        <v>38</v>
      </c>
      <c r="M120" s="11" t="s">
        <v>38</v>
      </c>
      <c r="N120" s="11" t="s">
        <v>38</v>
      </c>
      <c r="O120" s="11" t="s">
        <v>38</v>
      </c>
      <c r="P120" t="s">
        <v>8</v>
      </c>
      <c r="Q120">
        <v>16876</v>
      </c>
      <c r="R120">
        <v>0</v>
      </c>
      <c r="S120">
        <v>0</v>
      </c>
      <c r="T120" t="str">
        <f t="shared" si="11"/>
        <v>-</v>
      </c>
      <c r="U120" t="str">
        <f t="shared" si="12"/>
        <v>-</v>
      </c>
      <c r="V120" t="str">
        <f t="shared" si="13"/>
        <v>-</v>
      </c>
      <c r="W120" t="str">
        <f t="shared" si="14"/>
        <v>-</v>
      </c>
      <c r="X120" t="str">
        <f t="shared" si="15"/>
        <v>-</v>
      </c>
      <c r="Y120" t="str">
        <f t="shared" si="16"/>
        <v>-</v>
      </c>
      <c r="Z120" t="str">
        <f t="shared" si="17"/>
        <v>-</v>
      </c>
      <c r="AA120" t="str">
        <f t="shared" si="18"/>
        <v>-</v>
      </c>
      <c r="AB120" t="str">
        <f>IF(_xlfn.IFNA(VLOOKUP(P120,Set_Ref!$B$6:$B$1048576,1,FALSE),"")&lt;&gt;"","-",FALSE)</f>
        <v>-</v>
      </c>
      <c r="AC120" t="str">
        <f t="shared" si="19"/>
        <v>-</v>
      </c>
      <c r="AD120" t="str">
        <f t="shared" si="20"/>
        <v>-</v>
      </c>
      <c r="AE120" t="b">
        <f t="shared" si="21"/>
        <v>1</v>
      </c>
    </row>
    <row r="121" spans="1:31" x14ac:dyDescent="0.25">
      <c r="A121">
        <v>6</v>
      </c>
      <c r="B121">
        <v>46</v>
      </c>
      <c r="C121">
        <v>261</v>
      </c>
      <c r="D121" s="11" t="s">
        <v>145</v>
      </c>
      <c r="E121" s="11" t="s">
        <v>237</v>
      </c>
      <c r="F121" s="11" t="s">
        <v>220</v>
      </c>
      <c r="G121" s="11" t="s">
        <v>253</v>
      </c>
      <c r="H121">
        <v>2</v>
      </c>
      <c r="I121" s="11" t="s">
        <v>173</v>
      </c>
      <c r="J121" s="11" t="s">
        <v>265</v>
      </c>
      <c r="K121" s="11" t="s">
        <v>176</v>
      </c>
      <c r="L121" s="11" t="s">
        <v>38</v>
      </c>
      <c r="M121" s="11" t="s">
        <v>38</v>
      </c>
      <c r="N121" s="11" t="s">
        <v>38</v>
      </c>
      <c r="O121" s="11" t="s">
        <v>38</v>
      </c>
      <c r="P121" t="s">
        <v>8</v>
      </c>
      <c r="Q121">
        <v>16</v>
      </c>
      <c r="R121">
        <v>0</v>
      </c>
      <c r="S121">
        <v>0</v>
      </c>
      <c r="T121" t="str">
        <f t="shared" si="11"/>
        <v>-</v>
      </c>
      <c r="U121" t="str">
        <f t="shared" si="12"/>
        <v>-</v>
      </c>
      <c r="V121" t="str">
        <f t="shared" si="13"/>
        <v>-</v>
      </c>
      <c r="W121" t="str">
        <f t="shared" si="14"/>
        <v>-</v>
      </c>
      <c r="X121" t="str">
        <f t="shared" si="15"/>
        <v>-</v>
      </c>
      <c r="Y121" t="str">
        <f t="shared" si="16"/>
        <v>-</v>
      </c>
      <c r="Z121" t="str">
        <f t="shared" si="17"/>
        <v>-</v>
      </c>
      <c r="AA121" t="str">
        <f t="shared" si="18"/>
        <v>-</v>
      </c>
      <c r="AB121" t="str">
        <f>IF(_xlfn.IFNA(VLOOKUP(P121,Set_Ref!$B$6:$B$1048576,1,FALSE),"")&lt;&gt;"","-",FALSE)</f>
        <v>-</v>
      </c>
      <c r="AC121" t="str">
        <f t="shared" si="19"/>
        <v>-</v>
      </c>
      <c r="AD121" t="str">
        <f t="shared" si="20"/>
        <v>-</v>
      </c>
      <c r="AE121" t="b">
        <f t="shared" si="21"/>
        <v>1</v>
      </c>
    </row>
    <row r="122" spans="1:31" x14ac:dyDescent="0.25">
      <c r="A122">
        <v>6</v>
      </c>
      <c r="B122">
        <v>47</v>
      </c>
      <c r="C122">
        <v>261</v>
      </c>
      <c r="D122" s="11" t="s">
        <v>145</v>
      </c>
      <c r="E122" s="11" t="s">
        <v>237</v>
      </c>
      <c r="F122" s="11" t="s">
        <v>220</v>
      </c>
      <c r="G122" s="11" t="s">
        <v>253</v>
      </c>
      <c r="H122">
        <v>2</v>
      </c>
      <c r="I122" s="11" t="s">
        <v>173</v>
      </c>
      <c r="J122" s="11" t="s">
        <v>265</v>
      </c>
      <c r="K122" s="11" t="s">
        <v>176</v>
      </c>
      <c r="L122" s="11" t="s">
        <v>38</v>
      </c>
      <c r="M122" s="11" t="s">
        <v>38</v>
      </c>
      <c r="N122" s="11" t="s">
        <v>38</v>
      </c>
      <c r="O122" s="11" t="s">
        <v>38</v>
      </c>
      <c r="P122" t="s">
        <v>8</v>
      </c>
      <c r="Q122">
        <v>14</v>
      </c>
      <c r="R122">
        <v>0</v>
      </c>
      <c r="S122">
        <v>0</v>
      </c>
      <c r="T122" t="str">
        <f t="shared" si="11"/>
        <v>-</v>
      </c>
      <c r="U122" t="str">
        <f t="shared" si="12"/>
        <v>-</v>
      </c>
      <c r="V122" t="str">
        <f t="shared" si="13"/>
        <v>-</v>
      </c>
      <c r="W122" t="str">
        <f t="shared" si="14"/>
        <v>-</v>
      </c>
      <c r="X122" t="str">
        <f t="shared" si="15"/>
        <v>-</v>
      </c>
      <c r="Y122" t="str">
        <f t="shared" si="16"/>
        <v>-</v>
      </c>
      <c r="Z122" t="str">
        <f t="shared" si="17"/>
        <v>-</v>
      </c>
      <c r="AA122" t="str">
        <f t="shared" si="18"/>
        <v>-</v>
      </c>
      <c r="AB122" t="str">
        <f>IF(_xlfn.IFNA(VLOOKUP(P122,Set_Ref!$B$6:$B$1048576,1,FALSE),"")&lt;&gt;"","-",FALSE)</f>
        <v>-</v>
      </c>
      <c r="AC122" t="str">
        <f t="shared" si="19"/>
        <v>-</v>
      </c>
      <c r="AD122" t="str">
        <f t="shared" si="20"/>
        <v>-</v>
      </c>
      <c r="AE122" t="b">
        <f t="shared" si="21"/>
        <v>1</v>
      </c>
    </row>
    <row r="123" spans="1:31" x14ac:dyDescent="0.25">
      <c r="A123">
        <v>6</v>
      </c>
      <c r="B123">
        <v>48</v>
      </c>
      <c r="C123">
        <v>261</v>
      </c>
      <c r="D123" s="11" t="s">
        <v>145</v>
      </c>
      <c r="E123" s="11" t="s">
        <v>237</v>
      </c>
      <c r="F123" s="11" t="s">
        <v>220</v>
      </c>
      <c r="G123" s="11" t="s">
        <v>253</v>
      </c>
      <c r="H123">
        <v>2</v>
      </c>
      <c r="I123" s="11" t="s">
        <v>173</v>
      </c>
      <c r="J123" s="11" t="s">
        <v>265</v>
      </c>
      <c r="K123" s="11" t="s">
        <v>176</v>
      </c>
      <c r="L123" s="11" t="s">
        <v>38</v>
      </c>
      <c r="M123" s="11" t="s">
        <v>38</v>
      </c>
      <c r="N123" s="11" t="s">
        <v>38</v>
      </c>
      <c r="O123" s="11" t="s">
        <v>38</v>
      </c>
      <c r="P123" t="s">
        <v>8</v>
      </c>
      <c r="Q123">
        <v>29</v>
      </c>
      <c r="R123">
        <v>0</v>
      </c>
      <c r="S123">
        <v>0</v>
      </c>
      <c r="T123" t="str">
        <f t="shared" si="11"/>
        <v>-</v>
      </c>
      <c r="U123" t="str">
        <f t="shared" si="12"/>
        <v>-</v>
      </c>
      <c r="V123" t="str">
        <f t="shared" si="13"/>
        <v>-</v>
      </c>
      <c r="W123" t="str">
        <f t="shared" si="14"/>
        <v>-</v>
      </c>
      <c r="X123" t="str">
        <f t="shared" si="15"/>
        <v>-</v>
      </c>
      <c r="Y123" t="str">
        <f t="shared" si="16"/>
        <v>-</v>
      </c>
      <c r="Z123" t="str">
        <f t="shared" si="17"/>
        <v>-</v>
      </c>
      <c r="AA123" t="str">
        <f t="shared" si="18"/>
        <v>-</v>
      </c>
      <c r="AB123" t="str">
        <f>IF(_xlfn.IFNA(VLOOKUP(P123,Set_Ref!$B$6:$B$1048576,1,FALSE),"")&lt;&gt;"","-",FALSE)</f>
        <v>-</v>
      </c>
      <c r="AC123" t="str">
        <f t="shared" si="19"/>
        <v>-</v>
      </c>
      <c r="AD123" t="str">
        <f t="shared" si="20"/>
        <v>-</v>
      </c>
      <c r="AE123" t="b">
        <f t="shared" si="21"/>
        <v>1</v>
      </c>
    </row>
    <row r="124" spans="1:31" x14ac:dyDescent="0.25">
      <c r="A124">
        <v>6</v>
      </c>
      <c r="B124">
        <v>49</v>
      </c>
      <c r="C124">
        <v>261</v>
      </c>
      <c r="D124" s="11" t="s">
        <v>145</v>
      </c>
      <c r="E124" s="11" t="s">
        <v>237</v>
      </c>
      <c r="F124" s="11" t="s">
        <v>220</v>
      </c>
      <c r="G124" s="11" t="s">
        <v>253</v>
      </c>
      <c r="H124">
        <v>2</v>
      </c>
      <c r="I124" s="11" t="s">
        <v>173</v>
      </c>
      <c r="J124" s="11" t="s">
        <v>265</v>
      </c>
      <c r="K124" s="11" t="s">
        <v>176</v>
      </c>
      <c r="L124" s="11" t="s">
        <v>38</v>
      </c>
      <c r="M124" s="11" t="s">
        <v>38</v>
      </c>
      <c r="N124" s="11" t="s">
        <v>38</v>
      </c>
      <c r="O124" s="11" t="s">
        <v>38</v>
      </c>
      <c r="P124" t="s">
        <v>8</v>
      </c>
      <c r="Q124">
        <v>25</v>
      </c>
      <c r="R124">
        <v>0</v>
      </c>
      <c r="S124">
        <v>0</v>
      </c>
      <c r="T124" t="str">
        <f t="shared" si="11"/>
        <v>-</v>
      </c>
      <c r="U124" t="str">
        <f t="shared" si="12"/>
        <v>-</v>
      </c>
      <c r="V124" t="str">
        <f t="shared" si="13"/>
        <v>-</v>
      </c>
      <c r="W124" t="str">
        <f t="shared" si="14"/>
        <v>-</v>
      </c>
      <c r="X124" t="str">
        <f t="shared" si="15"/>
        <v>-</v>
      </c>
      <c r="Y124" t="str">
        <f t="shared" si="16"/>
        <v>-</v>
      </c>
      <c r="Z124" t="str">
        <f t="shared" si="17"/>
        <v>-</v>
      </c>
      <c r="AA124" t="str">
        <f t="shared" si="18"/>
        <v>-</v>
      </c>
      <c r="AB124" t="str">
        <f>IF(_xlfn.IFNA(VLOOKUP(P124,Set_Ref!$B$6:$B$1048576,1,FALSE),"")&lt;&gt;"","-",FALSE)</f>
        <v>-</v>
      </c>
      <c r="AC124" t="str">
        <f t="shared" si="19"/>
        <v>-</v>
      </c>
      <c r="AD124" t="str">
        <f t="shared" si="20"/>
        <v>-</v>
      </c>
      <c r="AE124" t="b">
        <f t="shared" si="21"/>
        <v>1</v>
      </c>
    </row>
    <row r="125" spans="1:31" x14ac:dyDescent="0.25">
      <c r="A125">
        <v>6</v>
      </c>
      <c r="B125">
        <v>50</v>
      </c>
      <c r="C125">
        <v>261</v>
      </c>
      <c r="D125" s="11" t="s">
        <v>145</v>
      </c>
      <c r="E125" s="11" t="s">
        <v>237</v>
      </c>
      <c r="F125" s="11" t="s">
        <v>220</v>
      </c>
      <c r="G125" s="11" t="s">
        <v>253</v>
      </c>
      <c r="H125">
        <v>2</v>
      </c>
      <c r="I125" s="11" t="s">
        <v>173</v>
      </c>
      <c r="J125" s="11" t="s">
        <v>265</v>
      </c>
      <c r="K125" s="11" t="s">
        <v>176</v>
      </c>
      <c r="L125" s="11" t="s">
        <v>38</v>
      </c>
      <c r="M125" s="11" t="s">
        <v>38</v>
      </c>
      <c r="N125" s="11" t="s">
        <v>38</v>
      </c>
      <c r="O125" s="11" t="s">
        <v>38</v>
      </c>
      <c r="P125" t="s">
        <v>8</v>
      </c>
      <c r="Q125">
        <v>14</v>
      </c>
      <c r="R125">
        <v>0</v>
      </c>
      <c r="S125">
        <v>0</v>
      </c>
      <c r="T125" t="str">
        <f t="shared" si="11"/>
        <v>-</v>
      </c>
      <c r="U125" t="str">
        <f t="shared" si="12"/>
        <v>-</v>
      </c>
      <c r="V125" t="str">
        <f t="shared" si="13"/>
        <v>-</v>
      </c>
      <c r="W125" t="str">
        <f t="shared" si="14"/>
        <v>-</v>
      </c>
      <c r="X125" t="str">
        <f t="shared" si="15"/>
        <v>-</v>
      </c>
      <c r="Y125" t="str">
        <f t="shared" si="16"/>
        <v>-</v>
      </c>
      <c r="Z125" t="str">
        <f t="shared" si="17"/>
        <v>-</v>
      </c>
      <c r="AA125" t="str">
        <f t="shared" si="18"/>
        <v>-</v>
      </c>
      <c r="AB125" t="str">
        <f>IF(_xlfn.IFNA(VLOOKUP(P125,Set_Ref!$B$6:$B$1048576,1,FALSE),"")&lt;&gt;"","-",FALSE)</f>
        <v>-</v>
      </c>
      <c r="AC125" t="str">
        <f t="shared" si="19"/>
        <v>-</v>
      </c>
      <c r="AD125" t="str">
        <f t="shared" si="20"/>
        <v>-</v>
      </c>
      <c r="AE125" t="b">
        <f t="shared" si="21"/>
        <v>1</v>
      </c>
    </row>
    <row r="126" spans="1:31" x14ac:dyDescent="0.25">
      <c r="A126">
        <v>7</v>
      </c>
      <c r="B126">
        <v>1</v>
      </c>
      <c r="C126">
        <v>261</v>
      </c>
      <c r="D126" s="11" t="s">
        <v>145</v>
      </c>
      <c r="E126" s="11" t="s">
        <v>240</v>
      </c>
      <c r="F126" s="11" t="s">
        <v>214</v>
      </c>
      <c r="G126" s="11" t="s">
        <v>255</v>
      </c>
      <c r="H126">
        <v>5</v>
      </c>
      <c r="I126" s="11" t="s">
        <v>173</v>
      </c>
      <c r="J126" s="11" t="s">
        <v>266</v>
      </c>
      <c r="K126" s="11" t="s">
        <v>177</v>
      </c>
      <c r="L126" s="11" t="s">
        <v>38</v>
      </c>
      <c r="M126" s="11" t="s">
        <v>38</v>
      </c>
      <c r="N126" s="11" t="s">
        <v>38</v>
      </c>
      <c r="O126" s="11" t="s">
        <v>38</v>
      </c>
      <c r="P126" t="s">
        <v>8</v>
      </c>
      <c r="Q126">
        <v>1400</v>
      </c>
      <c r="R126">
        <v>0</v>
      </c>
      <c r="S126">
        <v>0</v>
      </c>
      <c r="T126" t="str">
        <f t="shared" si="11"/>
        <v>-</v>
      </c>
      <c r="U126" t="str">
        <f t="shared" si="12"/>
        <v>-</v>
      </c>
      <c r="V126" t="str">
        <f t="shared" si="13"/>
        <v>-</v>
      </c>
      <c r="W126" t="str">
        <f t="shared" si="14"/>
        <v>-</v>
      </c>
      <c r="X126" t="str">
        <f t="shared" si="15"/>
        <v>-</v>
      </c>
      <c r="Y126" t="str">
        <f t="shared" si="16"/>
        <v>-</v>
      </c>
      <c r="Z126" t="str">
        <f t="shared" si="17"/>
        <v>-</v>
      </c>
      <c r="AA126" t="str">
        <f t="shared" si="18"/>
        <v>-</v>
      </c>
      <c r="AB126" t="str">
        <f>IF(_xlfn.IFNA(VLOOKUP(P126,Set_Ref!$B$6:$B$1048576,1,FALSE),"")&lt;&gt;"","-",FALSE)</f>
        <v>-</v>
      </c>
      <c r="AC126" t="str">
        <f t="shared" si="19"/>
        <v>-</v>
      </c>
      <c r="AD126" t="str">
        <f t="shared" si="20"/>
        <v>-</v>
      </c>
      <c r="AE126" t="b">
        <f t="shared" si="21"/>
        <v>1</v>
      </c>
    </row>
    <row r="127" spans="1:31" x14ac:dyDescent="0.25">
      <c r="A127">
        <v>7</v>
      </c>
      <c r="B127">
        <v>2</v>
      </c>
      <c r="C127">
        <v>261</v>
      </c>
      <c r="D127" s="11" t="s">
        <v>145</v>
      </c>
      <c r="E127" s="11" t="s">
        <v>240</v>
      </c>
      <c r="F127" s="11" t="s">
        <v>214</v>
      </c>
      <c r="G127" s="11" t="s">
        <v>255</v>
      </c>
      <c r="H127">
        <v>5</v>
      </c>
      <c r="I127" s="11" t="s">
        <v>173</v>
      </c>
      <c r="J127" s="11" t="s">
        <v>266</v>
      </c>
      <c r="K127" s="11" t="s">
        <v>177</v>
      </c>
      <c r="L127" s="11" t="s">
        <v>38</v>
      </c>
      <c r="M127" s="11" t="s">
        <v>38</v>
      </c>
      <c r="N127" s="11" t="s">
        <v>38</v>
      </c>
      <c r="O127" s="11" t="s">
        <v>38</v>
      </c>
      <c r="P127" t="s">
        <v>8</v>
      </c>
      <c r="Q127">
        <v>1600</v>
      </c>
      <c r="R127">
        <v>0</v>
      </c>
      <c r="S127">
        <v>0</v>
      </c>
      <c r="T127" t="str">
        <f t="shared" si="11"/>
        <v>-</v>
      </c>
      <c r="U127" t="str">
        <f t="shared" si="12"/>
        <v>-</v>
      </c>
      <c r="V127" t="str">
        <f t="shared" si="13"/>
        <v>-</v>
      </c>
      <c r="W127" t="str">
        <f t="shared" si="14"/>
        <v>-</v>
      </c>
      <c r="X127" t="str">
        <f t="shared" si="15"/>
        <v>-</v>
      </c>
      <c r="Y127" t="str">
        <f t="shared" si="16"/>
        <v>-</v>
      </c>
      <c r="Z127" t="str">
        <f t="shared" si="17"/>
        <v>-</v>
      </c>
      <c r="AA127" t="str">
        <f t="shared" si="18"/>
        <v>-</v>
      </c>
      <c r="AB127" t="str">
        <f>IF(_xlfn.IFNA(VLOOKUP(P127,Set_Ref!$B$6:$B$1048576,1,FALSE),"")&lt;&gt;"","-",FALSE)</f>
        <v>-</v>
      </c>
      <c r="AC127" t="str">
        <f t="shared" si="19"/>
        <v>-</v>
      </c>
      <c r="AD127" t="str">
        <f t="shared" si="20"/>
        <v>-</v>
      </c>
      <c r="AE127" t="b">
        <f t="shared" si="21"/>
        <v>1</v>
      </c>
    </row>
    <row r="128" spans="1:31" x14ac:dyDescent="0.25">
      <c r="A128">
        <v>7</v>
      </c>
      <c r="B128">
        <v>3</v>
      </c>
      <c r="C128">
        <v>261</v>
      </c>
      <c r="D128" s="11" t="s">
        <v>145</v>
      </c>
      <c r="E128" s="11" t="s">
        <v>240</v>
      </c>
      <c r="F128" s="11" t="s">
        <v>214</v>
      </c>
      <c r="G128" s="11" t="s">
        <v>255</v>
      </c>
      <c r="H128">
        <v>5</v>
      </c>
      <c r="I128" s="11" t="s">
        <v>173</v>
      </c>
      <c r="J128" s="11" t="s">
        <v>266</v>
      </c>
      <c r="K128" s="11" t="s">
        <v>177</v>
      </c>
      <c r="L128" s="11" t="s">
        <v>38</v>
      </c>
      <c r="M128" s="11" t="s">
        <v>38</v>
      </c>
      <c r="N128" s="11" t="s">
        <v>38</v>
      </c>
      <c r="O128" s="11" t="s">
        <v>38</v>
      </c>
      <c r="P128" t="s">
        <v>8</v>
      </c>
      <c r="Q128">
        <v>1400</v>
      </c>
      <c r="R128">
        <v>0</v>
      </c>
      <c r="S128">
        <v>0</v>
      </c>
      <c r="T128" t="str">
        <f t="shared" si="11"/>
        <v>-</v>
      </c>
      <c r="U128" t="str">
        <f t="shared" si="12"/>
        <v>-</v>
      </c>
      <c r="V128" t="str">
        <f t="shared" si="13"/>
        <v>-</v>
      </c>
      <c r="W128" t="str">
        <f t="shared" si="14"/>
        <v>-</v>
      </c>
      <c r="X128" t="str">
        <f t="shared" si="15"/>
        <v>-</v>
      </c>
      <c r="Y128" t="str">
        <f t="shared" si="16"/>
        <v>-</v>
      </c>
      <c r="Z128" t="str">
        <f t="shared" si="17"/>
        <v>-</v>
      </c>
      <c r="AA128" t="str">
        <f t="shared" si="18"/>
        <v>-</v>
      </c>
      <c r="AB128" t="str">
        <f>IF(_xlfn.IFNA(VLOOKUP(P128,Set_Ref!$B$6:$B$1048576,1,FALSE),"")&lt;&gt;"","-",FALSE)</f>
        <v>-</v>
      </c>
      <c r="AC128" t="str">
        <f t="shared" si="19"/>
        <v>-</v>
      </c>
      <c r="AD128" t="str">
        <f t="shared" si="20"/>
        <v>-</v>
      </c>
      <c r="AE128" t="b">
        <f t="shared" si="21"/>
        <v>1</v>
      </c>
    </row>
    <row r="129" spans="1:31" x14ac:dyDescent="0.25">
      <c r="A129">
        <v>7</v>
      </c>
      <c r="B129">
        <v>4</v>
      </c>
      <c r="C129">
        <v>261</v>
      </c>
      <c r="D129" s="11" t="s">
        <v>145</v>
      </c>
      <c r="E129" s="11" t="s">
        <v>240</v>
      </c>
      <c r="F129" s="11" t="s">
        <v>214</v>
      </c>
      <c r="G129" s="11" t="s">
        <v>255</v>
      </c>
      <c r="H129">
        <v>5</v>
      </c>
      <c r="I129" s="11" t="s">
        <v>173</v>
      </c>
      <c r="J129" s="11" t="s">
        <v>266</v>
      </c>
      <c r="K129" s="11" t="s">
        <v>177</v>
      </c>
      <c r="L129" s="11" t="s">
        <v>38</v>
      </c>
      <c r="M129" s="11" t="s">
        <v>38</v>
      </c>
      <c r="N129" s="11" t="s">
        <v>38</v>
      </c>
      <c r="O129" s="11" t="s">
        <v>38</v>
      </c>
      <c r="P129" t="s">
        <v>8</v>
      </c>
      <c r="Q129">
        <v>2500</v>
      </c>
      <c r="R129">
        <v>0</v>
      </c>
      <c r="S129">
        <v>0</v>
      </c>
      <c r="T129" t="str">
        <f t="shared" si="11"/>
        <v>-</v>
      </c>
      <c r="U129" t="str">
        <f t="shared" si="12"/>
        <v>-</v>
      </c>
      <c r="V129" t="str">
        <f t="shared" si="13"/>
        <v>-</v>
      </c>
      <c r="W129" t="str">
        <f t="shared" si="14"/>
        <v>-</v>
      </c>
      <c r="X129" t="str">
        <f t="shared" si="15"/>
        <v>-</v>
      </c>
      <c r="Y129" t="str">
        <f t="shared" si="16"/>
        <v>-</v>
      </c>
      <c r="Z129" t="str">
        <f t="shared" si="17"/>
        <v>-</v>
      </c>
      <c r="AA129" t="str">
        <f t="shared" si="18"/>
        <v>-</v>
      </c>
      <c r="AB129" t="str">
        <f>IF(_xlfn.IFNA(VLOOKUP(P129,Set_Ref!$B$6:$B$1048576,1,FALSE),"")&lt;&gt;"","-",FALSE)</f>
        <v>-</v>
      </c>
      <c r="AC129" t="str">
        <f t="shared" si="19"/>
        <v>-</v>
      </c>
      <c r="AD129" t="str">
        <f t="shared" si="20"/>
        <v>-</v>
      </c>
      <c r="AE129" t="b">
        <f t="shared" si="21"/>
        <v>1</v>
      </c>
    </row>
    <row r="130" spans="1:31" x14ac:dyDescent="0.25">
      <c r="A130">
        <v>7</v>
      </c>
      <c r="B130">
        <v>5</v>
      </c>
      <c r="C130">
        <v>261</v>
      </c>
      <c r="D130" s="11" t="s">
        <v>145</v>
      </c>
      <c r="E130" s="11" t="s">
        <v>240</v>
      </c>
      <c r="F130" s="11" t="s">
        <v>214</v>
      </c>
      <c r="G130" s="11" t="s">
        <v>255</v>
      </c>
      <c r="H130">
        <v>5</v>
      </c>
      <c r="I130" s="11" t="s">
        <v>173</v>
      </c>
      <c r="J130" s="11" t="s">
        <v>266</v>
      </c>
      <c r="K130" s="11" t="s">
        <v>177</v>
      </c>
      <c r="L130" s="11" t="s">
        <v>38</v>
      </c>
      <c r="M130" s="11" t="s">
        <v>38</v>
      </c>
      <c r="N130" s="11" t="s">
        <v>38</v>
      </c>
      <c r="O130" s="11" t="s">
        <v>38</v>
      </c>
      <c r="P130" t="s">
        <v>8</v>
      </c>
      <c r="Q130">
        <v>2900</v>
      </c>
      <c r="R130">
        <v>0</v>
      </c>
      <c r="S130">
        <v>0</v>
      </c>
      <c r="T130" t="str">
        <f t="shared" si="11"/>
        <v>-</v>
      </c>
      <c r="U130" t="str">
        <f t="shared" si="12"/>
        <v>-</v>
      </c>
      <c r="V130" t="str">
        <f t="shared" si="13"/>
        <v>-</v>
      </c>
      <c r="W130" t="str">
        <f t="shared" si="14"/>
        <v>-</v>
      </c>
      <c r="X130" t="str">
        <f t="shared" si="15"/>
        <v>-</v>
      </c>
      <c r="Y130" t="str">
        <f t="shared" si="16"/>
        <v>-</v>
      </c>
      <c r="Z130" t="str">
        <f t="shared" si="17"/>
        <v>-</v>
      </c>
      <c r="AA130" t="str">
        <f t="shared" si="18"/>
        <v>-</v>
      </c>
      <c r="AB130" t="str">
        <f>IF(_xlfn.IFNA(VLOOKUP(P130,Set_Ref!$B$6:$B$1048576,1,FALSE),"")&lt;&gt;"","-",FALSE)</f>
        <v>-</v>
      </c>
      <c r="AC130" t="str">
        <f t="shared" si="19"/>
        <v>-</v>
      </c>
      <c r="AD130" t="str">
        <f t="shared" si="20"/>
        <v>-</v>
      </c>
      <c r="AE130" t="b">
        <f t="shared" si="21"/>
        <v>1</v>
      </c>
    </row>
    <row r="131" spans="1:31" x14ac:dyDescent="0.25">
      <c r="A131">
        <v>7</v>
      </c>
      <c r="B131">
        <v>6</v>
      </c>
      <c r="C131">
        <v>261</v>
      </c>
      <c r="D131" s="11" t="s">
        <v>145</v>
      </c>
      <c r="E131" s="11" t="s">
        <v>240</v>
      </c>
      <c r="F131" s="11" t="s">
        <v>214</v>
      </c>
      <c r="G131" s="11" t="s">
        <v>255</v>
      </c>
      <c r="H131">
        <v>5</v>
      </c>
      <c r="I131" s="11" t="s">
        <v>173</v>
      </c>
      <c r="J131" s="11" t="s">
        <v>266</v>
      </c>
      <c r="K131" s="11" t="s">
        <v>177</v>
      </c>
      <c r="L131" s="11" t="s">
        <v>38</v>
      </c>
      <c r="M131" s="11" t="s">
        <v>38</v>
      </c>
      <c r="N131" s="11" t="s">
        <v>38</v>
      </c>
      <c r="O131" s="11" t="s">
        <v>38</v>
      </c>
      <c r="P131" t="s">
        <v>8</v>
      </c>
      <c r="Q131">
        <v>3200</v>
      </c>
      <c r="R131">
        <v>0</v>
      </c>
      <c r="S131">
        <v>0</v>
      </c>
      <c r="T131" t="str">
        <f t="shared" ref="T131:T194" si="22">IF(OR(A131="",A131&lt;1),FALSE,IF(ISNUMBER(A131), IF(INT(A131) = A131, "-", FALSE), FALSE))</f>
        <v>-</v>
      </c>
      <c r="U131" t="str">
        <f t="shared" ref="U131:U194" si="23">IF(OR(B131="",A131&lt;1),FALSE,IF(ISNUMBER(A131), IF(INT(A131) = A131, "-", FALSE), FALSE))</f>
        <v>-</v>
      </c>
      <c r="V131" t="str">
        <f t="shared" ref="V131:V194" si="24">IF(OR(C131="",C131="PilihSalasatu"),FALSE,"-")</f>
        <v>-</v>
      </c>
      <c r="W131" t="str">
        <f t="shared" ref="W131:W194" si="25">IF(D131="",FALSE,"-")</f>
        <v>-</v>
      </c>
      <c r="X131" t="str">
        <f t="shared" ref="X131:X194" si="26">IF(E131="",FALSE,"-")</f>
        <v>-</v>
      </c>
      <c r="Y131" t="str">
        <f t="shared" ref="Y131:Y194" si="27">IF(F131="",FALSE,"-")</f>
        <v>-</v>
      </c>
      <c r="Z131" t="str">
        <f t="shared" ref="Z131:Z194" si="28">IF(I131="",FALSE,"-")</f>
        <v>-</v>
      </c>
      <c r="AA131" t="str">
        <f t="shared" ref="AA131:AA194" si="29">IF(J131="",FALSE,"-")</f>
        <v>-</v>
      </c>
      <c r="AB131" t="str">
        <f>IF(_xlfn.IFNA(VLOOKUP(P131,Set_Ref!$B$6:$B$1048576,1,FALSE),"")&lt;&gt;"","-",FALSE)</f>
        <v>-</v>
      </c>
      <c r="AC131" t="str">
        <f t="shared" ref="AC131:AC194" si="30">IF(OR(Q131="",Q131&lt;=0),FALSE,IF(ISNUMBER(Q131),"-",FALSE))</f>
        <v>-</v>
      </c>
      <c r="AD131" t="str">
        <f t="shared" ref="AD131:AD194" si="31">IF(OR(G131="",H131="",I131="",K131=""),FALSE,"-")</f>
        <v>-</v>
      </c>
      <c r="AE131" t="b">
        <f t="shared" ref="AE131:AE194" si="32">IF(COUNTIF(T131:AD131, "FALSE") &gt; 0, FALSE, TRUE)</f>
        <v>1</v>
      </c>
    </row>
    <row r="132" spans="1:31" x14ac:dyDescent="0.25">
      <c r="A132">
        <v>7</v>
      </c>
      <c r="B132">
        <v>7</v>
      </c>
      <c r="C132">
        <v>261</v>
      </c>
      <c r="D132" s="11" t="s">
        <v>145</v>
      </c>
      <c r="E132" s="11" t="s">
        <v>241</v>
      </c>
      <c r="F132" s="11" t="s">
        <v>197</v>
      </c>
      <c r="G132" s="11" t="s">
        <v>256</v>
      </c>
      <c r="H132">
        <v>6</v>
      </c>
      <c r="I132" s="11" t="s">
        <v>173</v>
      </c>
      <c r="J132" s="11" t="s">
        <v>267</v>
      </c>
      <c r="K132" s="11" t="s">
        <v>177</v>
      </c>
      <c r="L132" s="11" t="s">
        <v>38</v>
      </c>
      <c r="M132" s="11" t="s">
        <v>38</v>
      </c>
      <c r="N132" s="11" t="s">
        <v>38</v>
      </c>
      <c r="O132" s="11" t="s">
        <v>38</v>
      </c>
      <c r="P132" t="s">
        <v>8</v>
      </c>
      <c r="Q132">
        <v>2163</v>
      </c>
      <c r="R132">
        <v>0</v>
      </c>
      <c r="S132">
        <v>0</v>
      </c>
      <c r="T132" t="str">
        <f t="shared" si="22"/>
        <v>-</v>
      </c>
      <c r="U132" t="str">
        <f t="shared" si="23"/>
        <v>-</v>
      </c>
      <c r="V132" t="str">
        <f t="shared" si="24"/>
        <v>-</v>
      </c>
      <c r="W132" t="str">
        <f t="shared" si="25"/>
        <v>-</v>
      </c>
      <c r="X132" t="str">
        <f t="shared" si="26"/>
        <v>-</v>
      </c>
      <c r="Y132" t="str">
        <f t="shared" si="27"/>
        <v>-</v>
      </c>
      <c r="Z132" t="str">
        <f t="shared" si="28"/>
        <v>-</v>
      </c>
      <c r="AA132" t="str">
        <f t="shared" si="29"/>
        <v>-</v>
      </c>
      <c r="AB132" t="str">
        <f>IF(_xlfn.IFNA(VLOOKUP(P132,Set_Ref!$B$6:$B$1048576,1,FALSE),"")&lt;&gt;"","-",FALSE)</f>
        <v>-</v>
      </c>
      <c r="AC132" t="str">
        <f t="shared" si="30"/>
        <v>-</v>
      </c>
      <c r="AD132" t="str">
        <f t="shared" si="31"/>
        <v>-</v>
      </c>
      <c r="AE132" t="b">
        <f t="shared" si="32"/>
        <v>1</v>
      </c>
    </row>
    <row r="133" spans="1:31" x14ac:dyDescent="0.25">
      <c r="A133">
        <v>7</v>
      </c>
      <c r="B133">
        <v>8</v>
      </c>
      <c r="C133">
        <v>261</v>
      </c>
      <c r="D133" s="11" t="s">
        <v>145</v>
      </c>
      <c r="E133" s="11" t="s">
        <v>241</v>
      </c>
      <c r="F133" s="11" t="s">
        <v>197</v>
      </c>
      <c r="G133" s="11" t="s">
        <v>256</v>
      </c>
      <c r="H133">
        <v>6</v>
      </c>
      <c r="I133" s="11" t="s">
        <v>173</v>
      </c>
      <c r="J133" s="11" t="s">
        <v>267</v>
      </c>
      <c r="K133" s="11" t="s">
        <v>177</v>
      </c>
      <c r="L133" s="11" t="s">
        <v>38</v>
      </c>
      <c r="M133" s="11" t="s">
        <v>38</v>
      </c>
      <c r="N133" s="11" t="s">
        <v>38</v>
      </c>
      <c r="O133" s="11" t="s">
        <v>38</v>
      </c>
      <c r="P133" t="s">
        <v>8</v>
      </c>
      <c r="Q133">
        <v>1442</v>
      </c>
      <c r="R133">
        <v>0</v>
      </c>
      <c r="S133">
        <v>0</v>
      </c>
      <c r="T133" t="str">
        <f t="shared" si="22"/>
        <v>-</v>
      </c>
      <c r="U133" t="str">
        <f t="shared" si="23"/>
        <v>-</v>
      </c>
      <c r="V133" t="str">
        <f t="shared" si="24"/>
        <v>-</v>
      </c>
      <c r="W133" t="str">
        <f t="shared" si="25"/>
        <v>-</v>
      </c>
      <c r="X133" t="str">
        <f t="shared" si="26"/>
        <v>-</v>
      </c>
      <c r="Y133" t="str">
        <f t="shared" si="27"/>
        <v>-</v>
      </c>
      <c r="Z133" t="str">
        <f t="shared" si="28"/>
        <v>-</v>
      </c>
      <c r="AA133" t="str">
        <f t="shared" si="29"/>
        <v>-</v>
      </c>
      <c r="AB133" t="str">
        <f>IF(_xlfn.IFNA(VLOOKUP(P133,Set_Ref!$B$6:$B$1048576,1,FALSE),"")&lt;&gt;"","-",FALSE)</f>
        <v>-</v>
      </c>
      <c r="AC133" t="str">
        <f t="shared" si="30"/>
        <v>-</v>
      </c>
      <c r="AD133" t="str">
        <f t="shared" si="31"/>
        <v>-</v>
      </c>
      <c r="AE133" t="b">
        <f t="shared" si="32"/>
        <v>1</v>
      </c>
    </row>
    <row r="134" spans="1:31" x14ac:dyDescent="0.25">
      <c r="A134">
        <v>7</v>
      </c>
      <c r="B134">
        <v>9</v>
      </c>
      <c r="C134">
        <v>261</v>
      </c>
      <c r="D134" s="11" t="s">
        <v>145</v>
      </c>
      <c r="E134" s="11" t="s">
        <v>241</v>
      </c>
      <c r="F134" s="11" t="s">
        <v>197</v>
      </c>
      <c r="G134" s="11" t="s">
        <v>256</v>
      </c>
      <c r="H134">
        <v>6</v>
      </c>
      <c r="I134" s="11" t="s">
        <v>173</v>
      </c>
      <c r="J134" s="11" t="s">
        <v>267</v>
      </c>
      <c r="K134" s="11" t="s">
        <v>177</v>
      </c>
      <c r="L134" s="11" t="s">
        <v>38</v>
      </c>
      <c r="M134" s="11" t="s">
        <v>38</v>
      </c>
      <c r="N134" s="11" t="s">
        <v>38</v>
      </c>
      <c r="O134" s="11" t="s">
        <v>38</v>
      </c>
      <c r="P134" t="s">
        <v>8</v>
      </c>
      <c r="Q134">
        <v>1442</v>
      </c>
      <c r="R134">
        <v>0</v>
      </c>
      <c r="S134">
        <v>0</v>
      </c>
      <c r="T134" t="str">
        <f t="shared" si="22"/>
        <v>-</v>
      </c>
      <c r="U134" t="str">
        <f t="shared" si="23"/>
        <v>-</v>
      </c>
      <c r="V134" t="str">
        <f t="shared" si="24"/>
        <v>-</v>
      </c>
      <c r="W134" t="str">
        <f t="shared" si="25"/>
        <v>-</v>
      </c>
      <c r="X134" t="str">
        <f t="shared" si="26"/>
        <v>-</v>
      </c>
      <c r="Y134" t="str">
        <f t="shared" si="27"/>
        <v>-</v>
      </c>
      <c r="Z134" t="str">
        <f t="shared" si="28"/>
        <v>-</v>
      </c>
      <c r="AA134" t="str">
        <f t="shared" si="29"/>
        <v>-</v>
      </c>
      <c r="AB134" t="str">
        <f>IF(_xlfn.IFNA(VLOOKUP(P134,Set_Ref!$B$6:$B$1048576,1,FALSE),"")&lt;&gt;"","-",FALSE)</f>
        <v>-</v>
      </c>
      <c r="AC134" t="str">
        <f t="shared" si="30"/>
        <v>-</v>
      </c>
      <c r="AD134" t="str">
        <f t="shared" si="31"/>
        <v>-</v>
      </c>
      <c r="AE134" t="b">
        <f t="shared" si="32"/>
        <v>1</v>
      </c>
    </row>
    <row r="135" spans="1:31" x14ac:dyDescent="0.25">
      <c r="A135">
        <v>7</v>
      </c>
      <c r="B135">
        <v>10</v>
      </c>
      <c r="C135">
        <v>261</v>
      </c>
      <c r="D135" s="11" t="s">
        <v>145</v>
      </c>
      <c r="E135" s="11" t="s">
        <v>241</v>
      </c>
      <c r="F135" s="11" t="s">
        <v>197</v>
      </c>
      <c r="G135" s="11" t="s">
        <v>256</v>
      </c>
      <c r="H135">
        <v>6</v>
      </c>
      <c r="I135" s="11" t="s">
        <v>173</v>
      </c>
      <c r="J135" s="11" t="s">
        <v>267</v>
      </c>
      <c r="K135" s="11" t="s">
        <v>177</v>
      </c>
      <c r="L135" s="11" t="s">
        <v>38</v>
      </c>
      <c r="M135" s="11" t="s">
        <v>38</v>
      </c>
      <c r="N135" s="11" t="s">
        <v>38</v>
      </c>
      <c r="O135" s="11" t="s">
        <v>38</v>
      </c>
      <c r="P135" t="s">
        <v>8</v>
      </c>
      <c r="Q135">
        <v>2266</v>
      </c>
      <c r="R135">
        <v>0</v>
      </c>
      <c r="S135">
        <v>0</v>
      </c>
      <c r="T135" t="str">
        <f t="shared" si="22"/>
        <v>-</v>
      </c>
      <c r="U135" t="str">
        <f t="shared" si="23"/>
        <v>-</v>
      </c>
      <c r="V135" t="str">
        <f t="shared" si="24"/>
        <v>-</v>
      </c>
      <c r="W135" t="str">
        <f t="shared" si="25"/>
        <v>-</v>
      </c>
      <c r="X135" t="str">
        <f t="shared" si="26"/>
        <v>-</v>
      </c>
      <c r="Y135" t="str">
        <f t="shared" si="27"/>
        <v>-</v>
      </c>
      <c r="Z135" t="str">
        <f t="shared" si="28"/>
        <v>-</v>
      </c>
      <c r="AA135" t="str">
        <f t="shared" si="29"/>
        <v>-</v>
      </c>
      <c r="AB135" t="str">
        <f>IF(_xlfn.IFNA(VLOOKUP(P135,Set_Ref!$B$6:$B$1048576,1,FALSE),"")&lt;&gt;"","-",FALSE)</f>
        <v>-</v>
      </c>
      <c r="AC135" t="str">
        <f t="shared" si="30"/>
        <v>-</v>
      </c>
      <c r="AD135" t="str">
        <f t="shared" si="31"/>
        <v>-</v>
      </c>
      <c r="AE135" t="b">
        <f t="shared" si="32"/>
        <v>1</v>
      </c>
    </row>
    <row r="136" spans="1:31" x14ac:dyDescent="0.25">
      <c r="A136">
        <v>7</v>
      </c>
      <c r="B136">
        <v>11</v>
      </c>
      <c r="C136">
        <v>261</v>
      </c>
      <c r="D136" s="11" t="s">
        <v>145</v>
      </c>
      <c r="E136" s="11" t="s">
        <v>241</v>
      </c>
      <c r="F136" s="11" t="s">
        <v>197</v>
      </c>
      <c r="G136" s="11" t="s">
        <v>256</v>
      </c>
      <c r="H136">
        <v>6</v>
      </c>
      <c r="I136" s="11" t="s">
        <v>173</v>
      </c>
      <c r="J136" s="11" t="s">
        <v>267</v>
      </c>
      <c r="K136" s="11" t="s">
        <v>177</v>
      </c>
      <c r="L136" s="11" t="s">
        <v>38</v>
      </c>
      <c r="M136" s="11" t="s">
        <v>38</v>
      </c>
      <c r="N136" s="11" t="s">
        <v>38</v>
      </c>
      <c r="O136" s="11" t="s">
        <v>38</v>
      </c>
      <c r="P136" t="s">
        <v>8</v>
      </c>
      <c r="Q136">
        <v>2987</v>
      </c>
      <c r="R136">
        <v>0</v>
      </c>
      <c r="S136">
        <v>0</v>
      </c>
      <c r="T136" t="str">
        <f t="shared" si="22"/>
        <v>-</v>
      </c>
      <c r="U136" t="str">
        <f t="shared" si="23"/>
        <v>-</v>
      </c>
      <c r="V136" t="str">
        <f t="shared" si="24"/>
        <v>-</v>
      </c>
      <c r="W136" t="str">
        <f t="shared" si="25"/>
        <v>-</v>
      </c>
      <c r="X136" t="str">
        <f t="shared" si="26"/>
        <v>-</v>
      </c>
      <c r="Y136" t="str">
        <f t="shared" si="27"/>
        <v>-</v>
      </c>
      <c r="Z136" t="str">
        <f t="shared" si="28"/>
        <v>-</v>
      </c>
      <c r="AA136" t="str">
        <f t="shared" si="29"/>
        <v>-</v>
      </c>
      <c r="AB136" t="str">
        <f>IF(_xlfn.IFNA(VLOOKUP(P136,Set_Ref!$B$6:$B$1048576,1,FALSE),"")&lt;&gt;"","-",FALSE)</f>
        <v>-</v>
      </c>
      <c r="AC136" t="str">
        <f t="shared" si="30"/>
        <v>-</v>
      </c>
      <c r="AD136" t="str">
        <f t="shared" si="31"/>
        <v>-</v>
      </c>
      <c r="AE136" t="b">
        <f t="shared" si="32"/>
        <v>1</v>
      </c>
    </row>
    <row r="137" spans="1:31" x14ac:dyDescent="0.25">
      <c r="A137">
        <v>7</v>
      </c>
      <c r="B137">
        <v>12</v>
      </c>
      <c r="C137">
        <v>261</v>
      </c>
      <c r="D137" s="11" t="s">
        <v>145</v>
      </c>
      <c r="E137" s="11" t="s">
        <v>241</v>
      </c>
      <c r="F137" s="11" t="s">
        <v>197</v>
      </c>
      <c r="G137" s="11" t="s">
        <v>256</v>
      </c>
      <c r="H137">
        <v>6</v>
      </c>
      <c r="I137" s="11" t="s">
        <v>173</v>
      </c>
      <c r="J137" s="11" t="s">
        <v>267</v>
      </c>
      <c r="K137" s="11" t="s">
        <v>177</v>
      </c>
      <c r="L137" s="11" t="s">
        <v>38</v>
      </c>
      <c r="M137" s="11" t="s">
        <v>38</v>
      </c>
      <c r="N137" s="11" t="s">
        <v>38</v>
      </c>
      <c r="O137" s="11" t="s">
        <v>38</v>
      </c>
      <c r="P137" t="s">
        <v>8</v>
      </c>
      <c r="Q137">
        <v>1648</v>
      </c>
      <c r="R137">
        <v>0</v>
      </c>
      <c r="S137">
        <v>0</v>
      </c>
      <c r="T137" t="str">
        <f t="shared" si="22"/>
        <v>-</v>
      </c>
      <c r="U137" t="str">
        <f t="shared" si="23"/>
        <v>-</v>
      </c>
      <c r="V137" t="str">
        <f t="shared" si="24"/>
        <v>-</v>
      </c>
      <c r="W137" t="str">
        <f t="shared" si="25"/>
        <v>-</v>
      </c>
      <c r="X137" t="str">
        <f t="shared" si="26"/>
        <v>-</v>
      </c>
      <c r="Y137" t="str">
        <f t="shared" si="27"/>
        <v>-</v>
      </c>
      <c r="Z137" t="str">
        <f t="shared" si="28"/>
        <v>-</v>
      </c>
      <c r="AA137" t="str">
        <f t="shared" si="29"/>
        <v>-</v>
      </c>
      <c r="AB137" t="str">
        <f>IF(_xlfn.IFNA(VLOOKUP(P137,Set_Ref!$B$6:$B$1048576,1,FALSE),"")&lt;&gt;"","-",FALSE)</f>
        <v>-</v>
      </c>
      <c r="AC137" t="str">
        <f t="shared" si="30"/>
        <v>-</v>
      </c>
      <c r="AD137" t="str">
        <f t="shared" si="31"/>
        <v>-</v>
      </c>
      <c r="AE137" t="b">
        <f t="shared" si="32"/>
        <v>1</v>
      </c>
    </row>
    <row r="138" spans="1:31" x14ac:dyDescent="0.25">
      <c r="A138">
        <v>7</v>
      </c>
      <c r="B138">
        <v>13</v>
      </c>
      <c r="C138">
        <v>261</v>
      </c>
      <c r="D138" s="11" t="s">
        <v>145</v>
      </c>
      <c r="E138" s="11" t="s">
        <v>241</v>
      </c>
      <c r="F138" s="11" t="s">
        <v>197</v>
      </c>
      <c r="G138" s="11" t="s">
        <v>256</v>
      </c>
      <c r="H138">
        <v>6</v>
      </c>
      <c r="I138" s="11" t="s">
        <v>173</v>
      </c>
      <c r="J138" s="11" t="s">
        <v>267</v>
      </c>
      <c r="K138" s="11" t="s">
        <v>177</v>
      </c>
      <c r="L138" s="11" t="s">
        <v>38</v>
      </c>
      <c r="M138" s="11" t="s">
        <v>38</v>
      </c>
      <c r="N138" s="11" t="s">
        <v>38</v>
      </c>
      <c r="O138" s="11" t="s">
        <v>38</v>
      </c>
      <c r="P138" t="s">
        <v>8</v>
      </c>
      <c r="Q138">
        <v>1854</v>
      </c>
      <c r="R138">
        <v>0</v>
      </c>
      <c r="S138">
        <v>0</v>
      </c>
      <c r="T138" t="str">
        <f t="shared" si="22"/>
        <v>-</v>
      </c>
      <c r="U138" t="str">
        <f t="shared" si="23"/>
        <v>-</v>
      </c>
      <c r="V138" t="str">
        <f t="shared" si="24"/>
        <v>-</v>
      </c>
      <c r="W138" t="str">
        <f t="shared" si="25"/>
        <v>-</v>
      </c>
      <c r="X138" t="str">
        <f t="shared" si="26"/>
        <v>-</v>
      </c>
      <c r="Y138" t="str">
        <f t="shared" si="27"/>
        <v>-</v>
      </c>
      <c r="Z138" t="str">
        <f t="shared" si="28"/>
        <v>-</v>
      </c>
      <c r="AA138" t="str">
        <f t="shared" si="29"/>
        <v>-</v>
      </c>
      <c r="AB138" t="str">
        <f>IF(_xlfn.IFNA(VLOOKUP(P138,Set_Ref!$B$6:$B$1048576,1,FALSE),"")&lt;&gt;"","-",FALSE)</f>
        <v>-</v>
      </c>
      <c r="AC138" t="str">
        <f t="shared" si="30"/>
        <v>-</v>
      </c>
      <c r="AD138" t="str">
        <f t="shared" si="31"/>
        <v>-</v>
      </c>
      <c r="AE138" t="b">
        <f t="shared" si="32"/>
        <v>1</v>
      </c>
    </row>
    <row r="139" spans="1:31" x14ac:dyDescent="0.25">
      <c r="A139">
        <v>7</v>
      </c>
      <c r="B139">
        <v>14</v>
      </c>
      <c r="C139">
        <v>261</v>
      </c>
      <c r="D139" s="11" t="s">
        <v>145</v>
      </c>
      <c r="E139" s="11" t="s">
        <v>241</v>
      </c>
      <c r="F139" s="11" t="s">
        <v>197</v>
      </c>
      <c r="G139" s="11" t="s">
        <v>256</v>
      </c>
      <c r="H139">
        <v>6</v>
      </c>
      <c r="I139" s="11" t="s">
        <v>173</v>
      </c>
      <c r="J139" s="11" t="s">
        <v>267</v>
      </c>
      <c r="K139" s="11" t="s">
        <v>177</v>
      </c>
      <c r="L139" s="11" t="s">
        <v>38</v>
      </c>
      <c r="M139" s="11" t="s">
        <v>38</v>
      </c>
      <c r="N139" s="11" t="s">
        <v>38</v>
      </c>
      <c r="O139" s="11" t="s">
        <v>38</v>
      </c>
      <c r="P139" t="s">
        <v>8</v>
      </c>
      <c r="Q139">
        <v>1648</v>
      </c>
      <c r="R139">
        <v>0</v>
      </c>
      <c r="S139">
        <v>0</v>
      </c>
      <c r="T139" t="str">
        <f t="shared" si="22"/>
        <v>-</v>
      </c>
      <c r="U139" t="str">
        <f t="shared" si="23"/>
        <v>-</v>
      </c>
      <c r="V139" t="str">
        <f t="shared" si="24"/>
        <v>-</v>
      </c>
      <c r="W139" t="str">
        <f t="shared" si="25"/>
        <v>-</v>
      </c>
      <c r="X139" t="str">
        <f t="shared" si="26"/>
        <v>-</v>
      </c>
      <c r="Y139" t="str">
        <f t="shared" si="27"/>
        <v>-</v>
      </c>
      <c r="Z139" t="str">
        <f t="shared" si="28"/>
        <v>-</v>
      </c>
      <c r="AA139" t="str">
        <f t="shared" si="29"/>
        <v>-</v>
      </c>
      <c r="AB139" t="str">
        <f>IF(_xlfn.IFNA(VLOOKUP(P139,Set_Ref!$B$6:$B$1048576,1,FALSE),"")&lt;&gt;"","-",FALSE)</f>
        <v>-</v>
      </c>
      <c r="AC139" t="str">
        <f t="shared" si="30"/>
        <v>-</v>
      </c>
      <c r="AD139" t="str">
        <f t="shared" si="31"/>
        <v>-</v>
      </c>
      <c r="AE139" t="b">
        <f t="shared" si="32"/>
        <v>1</v>
      </c>
    </row>
    <row r="140" spans="1:31" x14ac:dyDescent="0.25">
      <c r="A140">
        <v>7</v>
      </c>
      <c r="B140">
        <v>15</v>
      </c>
      <c r="C140">
        <v>261</v>
      </c>
      <c r="D140" s="11" t="s">
        <v>145</v>
      </c>
      <c r="E140" s="11" t="s">
        <v>238</v>
      </c>
      <c r="F140" s="11" t="s">
        <v>215</v>
      </c>
      <c r="G140" s="11" t="s">
        <v>254</v>
      </c>
      <c r="H140">
        <v>3</v>
      </c>
      <c r="I140" s="11" t="s">
        <v>173</v>
      </c>
      <c r="J140" s="11" t="s">
        <v>268</v>
      </c>
      <c r="K140" s="11" t="s">
        <v>177</v>
      </c>
      <c r="L140" s="11" t="s">
        <v>38</v>
      </c>
      <c r="M140" s="11" t="s">
        <v>38</v>
      </c>
      <c r="N140" s="11" t="s">
        <v>38</v>
      </c>
      <c r="O140" s="11" t="s">
        <v>38</v>
      </c>
      <c r="P140" t="s">
        <v>8</v>
      </c>
      <c r="Q140">
        <v>12360</v>
      </c>
      <c r="R140">
        <v>0</v>
      </c>
      <c r="S140">
        <v>0</v>
      </c>
      <c r="T140" t="str">
        <f t="shared" si="22"/>
        <v>-</v>
      </c>
      <c r="U140" t="str">
        <f t="shared" si="23"/>
        <v>-</v>
      </c>
      <c r="V140" t="str">
        <f t="shared" si="24"/>
        <v>-</v>
      </c>
      <c r="W140" t="str">
        <f t="shared" si="25"/>
        <v>-</v>
      </c>
      <c r="X140" t="str">
        <f t="shared" si="26"/>
        <v>-</v>
      </c>
      <c r="Y140" t="str">
        <f t="shared" si="27"/>
        <v>-</v>
      </c>
      <c r="Z140" t="str">
        <f t="shared" si="28"/>
        <v>-</v>
      </c>
      <c r="AA140" t="str">
        <f t="shared" si="29"/>
        <v>-</v>
      </c>
      <c r="AB140" t="str">
        <f>IF(_xlfn.IFNA(VLOOKUP(P140,Set_Ref!$B$6:$B$1048576,1,FALSE),"")&lt;&gt;"","-",FALSE)</f>
        <v>-</v>
      </c>
      <c r="AC140" t="str">
        <f t="shared" si="30"/>
        <v>-</v>
      </c>
      <c r="AD140" t="str">
        <f t="shared" si="31"/>
        <v>-</v>
      </c>
      <c r="AE140" t="b">
        <f t="shared" si="32"/>
        <v>1</v>
      </c>
    </row>
    <row r="141" spans="1:31" x14ac:dyDescent="0.25">
      <c r="A141">
        <v>7</v>
      </c>
      <c r="B141">
        <v>16</v>
      </c>
      <c r="C141">
        <v>261</v>
      </c>
      <c r="D141" s="11" t="s">
        <v>145</v>
      </c>
      <c r="E141" s="11" t="s">
        <v>238</v>
      </c>
      <c r="F141" s="11" t="s">
        <v>215</v>
      </c>
      <c r="G141" s="11" t="s">
        <v>254</v>
      </c>
      <c r="H141">
        <v>3</v>
      </c>
      <c r="I141" s="11" t="s">
        <v>173</v>
      </c>
      <c r="J141" s="11" t="s">
        <v>268</v>
      </c>
      <c r="K141" s="11" t="s">
        <v>177</v>
      </c>
      <c r="L141" s="11" t="s">
        <v>38</v>
      </c>
      <c r="M141" s="11" t="s">
        <v>38</v>
      </c>
      <c r="N141" s="11" t="s">
        <v>38</v>
      </c>
      <c r="O141" s="11" t="s">
        <v>38</v>
      </c>
      <c r="P141" t="s">
        <v>8</v>
      </c>
      <c r="Q141">
        <v>11254</v>
      </c>
      <c r="R141">
        <v>0</v>
      </c>
      <c r="S141">
        <v>0</v>
      </c>
      <c r="T141" t="str">
        <f t="shared" si="22"/>
        <v>-</v>
      </c>
      <c r="U141" t="str">
        <f t="shared" si="23"/>
        <v>-</v>
      </c>
      <c r="V141" t="str">
        <f t="shared" si="24"/>
        <v>-</v>
      </c>
      <c r="W141" t="str">
        <f t="shared" si="25"/>
        <v>-</v>
      </c>
      <c r="X141" t="str">
        <f t="shared" si="26"/>
        <v>-</v>
      </c>
      <c r="Y141" t="str">
        <f t="shared" si="27"/>
        <v>-</v>
      </c>
      <c r="Z141" t="str">
        <f t="shared" si="28"/>
        <v>-</v>
      </c>
      <c r="AA141" t="str">
        <f t="shared" si="29"/>
        <v>-</v>
      </c>
      <c r="AB141" t="str">
        <f>IF(_xlfn.IFNA(VLOOKUP(P141,Set_Ref!$B$6:$B$1048576,1,FALSE),"")&lt;&gt;"","-",FALSE)</f>
        <v>-</v>
      </c>
      <c r="AC141" t="str">
        <f t="shared" si="30"/>
        <v>-</v>
      </c>
      <c r="AD141" t="str">
        <f t="shared" si="31"/>
        <v>-</v>
      </c>
      <c r="AE141" t="b">
        <f t="shared" si="32"/>
        <v>1</v>
      </c>
    </row>
    <row r="142" spans="1:31" x14ac:dyDescent="0.25">
      <c r="A142">
        <v>7</v>
      </c>
      <c r="B142">
        <v>17</v>
      </c>
      <c r="C142">
        <v>261</v>
      </c>
      <c r="D142" s="11" t="s">
        <v>145</v>
      </c>
      <c r="E142" s="11" t="s">
        <v>238</v>
      </c>
      <c r="F142" s="11" t="s">
        <v>215</v>
      </c>
      <c r="G142" s="11" t="s">
        <v>254</v>
      </c>
      <c r="H142">
        <v>3</v>
      </c>
      <c r="I142" s="11" t="s">
        <v>173</v>
      </c>
      <c r="J142" s="11" t="s">
        <v>268</v>
      </c>
      <c r="K142" s="11" t="s">
        <v>177</v>
      </c>
      <c r="L142" s="11" t="s">
        <v>38</v>
      </c>
      <c r="M142" s="11" t="s">
        <v>38</v>
      </c>
      <c r="N142" s="11" t="s">
        <v>38</v>
      </c>
      <c r="O142" s="11" t="s">
        <v>38</v>
      </c>
      <c r="P142" t="s">
        <v>8</v>
      </c>
      <c r="Q142">
        <v>10815</v>
      </c>
      <c r="R142">
        <v>0</v>
      </c>
      <c r="S142">
        <v>0</v>
      </c>
      <c r="T142" t="str">
        <f t="shared" si="22"/>
        <v>-</v>
      </c>
      <c r="U142" t="str">
        <f t="shared" si="23"/>
        <v>-</v>
      </c>
      <c r="V142" t="str">
        <f t="shared" si="24"/>
        <v>-</v>
      </c>
      <c r="W142" t="str">
        <f t="shared" si="25"/>
        <v>-</v>
      </c>
      <c r="X142" t="str">
        <f t="shared" si="26"/>
        <v>-</v>
      </c>
      <c r="Y142" t="str">
        <f t="shared" si="27"/>
        <v>-</v>
      </c>
      <c r="Z142" t="str">
        <f t="shared" si="28"/>
        <v>-</v>
      </c>
      <c r="AA142" t="str">
        <f t="shared" si="29"/>
        <v>-</v>
      </c>
      <c r="AB142" t="str">
        <f>IF(_xlfn.IFNA(VLOOKUP(P142,Set_Ref!$B$6:$B$1048576,1,FALSE),"")&lt;&gt;"","-",FALSE)</f>
        <v>-</v>
      </c>
      <c r="AC142" t="str">
        <f t="shared" si="30"/>
        <v>-</v>
      </c>
      <c r="AD142" t="str">
        <f t="shared" si="31"/>
        <v>-</v>
      </c>
      <c r="AE142" t="b">
        <f t="shared" si="32"/>
        <v>1</v>
      </c>
    </row>
    <row r="143" spans="1:31" x14ac:dyDescent="0.25">
      <c r="A143">
        <v>7</v>
      </c>
      <c r="B143">
        <v>18</v>
      </c>
      <c r="C143">
        <v>261</v>
      </c>
      <c r="D143" s="11" t="s">
        <v>145</v>
      </c>
      <c r="E143" s="11" t="s">
        <v>242</v>
      </c>
      <c r="F143" s="11" t="s">
        <v>218</v>
      </c>
      <c r="G143" s="11" t="s">
        <v>257</v>
      </c>
      <c r="H143">
        <v>6</v>
      </c>
      <c r="I143" s="11" t="s">
        <v>173</v>
      </c>
      <c r="J143" s="11" t="s">
        <v>195</v>
      </c>
      <c r="K143" s="11" t="s">
        <v>177</v>
      </c>
      <c r="L143" s="11" t="s">
        <v>38</v>
      </c>
      <c r="M143" s="11" t="s">
        <v>38</v>
      </c>
      <c r="N143" s="11" t="s">
        <v>38</v>
      </c>
      <c r="O143" s="11" t="s">
        <v>38</v>
      </c>
      <c r="P143" t="s">
        <v>8</v>
      </c>
      <c r="Q143">
        <v>18000</v>
      </c>
      <c r="R143">
        <v>0</v>
      </c>
      <c r="S143">
        <v>0</v>
      </c>
      <c r="T143" t="str">
        <f t="shared" si="22"/>
        <v>-</v>
      </c>
      <c r="U143" t="str">
        <f t="shared" si="23"/>
        <v>-</v>
      </c>
      <c r="V143" t="str">
        <f t="shared" si="24"/>
        <v>-</v>
      </c>
      <c r="W143" t="str">
        <f t="shared" si="25"/>
        <v>-</v>
      </c>
      <c r="X143" t="str">
        <f t="shared" si="26"/>
        <v>-</v>
      </c>
      <c r="Y143" t="str">
        <f t="shared" si="27"/>
        <v>-</v>
      </c>
      <c r="Z143" t="str">
        <f t="shared" si="28"/>
        <v>-</v>
      </c>
      <c r="AA143" t="str">
        <f t="shared" si="29"/>
        <v>-</v>
      </c>
      <c r="AB143" t="str">
        <f>IF(_xlfn.IFNA(VLOOKUP(P143,Set_Ref!$B$6:$B$1048576,1,FALSE),"")&lt;&gt;"","-",FALSE)</f>
        <v>-</v>
      </c>
      <c r="AC143" t="str">
        <f t="shared" si="30"/>
        <v>-</v>
      </c>
      <c r="AD143" t="str">
        <f t="shared" si="31"/>
        <v>-</v>
      </c>
      <c r="AE143" t="b">
        <f t="shared" si="32"/>
        <v>1</v>
      </c>
    </row>
    <row r="144" spans="1:31" x14ac:dyDescent="0.25">
      <c r="A144">
        <v>7</v>
      </c>
      <c r="B144">
        <v>19</v>
      </c>
      <c r="C144">
        <v>261</v>
      </c>
      <c r="D144" s="11" t="s">
        <v>145</v>
      </c>
      <c r="E144" s="11" t="s">
        <v>242</v>
      </c>
      <c r="F144" s="11" t="s">
        <v>218</v>
      </c>
      <c r="G144" s="11" t="s">
        <v>257</v>
      </c>
      <c r="H144">
        <v>6</v>
      </c>
      <c r="I144" s="11" t="s">
        <v>173</v>
      </c>
      <c r="J144" s="11" t="s">
        <v>195</v>
      </c>
      <c r="K144" s="11" t="s">
        <v>177</v>
      </c>
      <c r="L144" s="11" t="s">
        <v>38</v>
      </c>
      <c r="M144" s="11" t="s">
        <v>38</v>
      </c>
      <c r="N144" s="11" t="s">
        <v>38</v>
      </c>
      <c r="O144" s="11" t="s">
        <v>38</v>
      </c>
      <c r="P144" t="s">
        <v>8</v>
      </c>
      <c r="Q144">
        <v>18000</v>
      </c>
      <c r="R144">
        <v>0</v>
      </c>
      <c r="S144">
        <v>0</v>
      </c>
      <c r="T144" t="str">
        <f t="shared" si="22"/>
        <v>-</v>
      </c>
      <c r="U144" t="str">
        <f t="shared" si="23"/>
        <v>-</v>
      </c>
      <c r="V144" t="str">
        <f t="shared" si="24"/>
        <v>-</v>
      </c>
      <c r="W144" t="str">
        <f t="shared" si="25"/>
        <v>-</v>
      </c>
      <c r="X144" t="str">
        <f t="shared" si="26"/>
        <v>-</v>
      </c>
      <c r="Y144" t="str">
        <f t="shared" si="27"/>
        <v>-</v>
      </c>
      <c r="Z144" t="str">
        <f t="shared" si="28"/>
        <v>-</v>
      </c>
      <c r="AA144" t="str">
        <f t="shared" si="29"/>
        <v>-</v>
      </c>
      <c r="AB144" t="str">
        <f>IF(_xlfn.IFNA(VLOOKUP(P144,Set_Ref!$B$6:$B$1048576,1,FALSE),"")&lt;&gt;"","-",FALSE)</f>
        <v>-</v>
      </c>
      <c r="AC144" t="str">
        <f t="shared" si="30"/>
        <v>-</v>
      </c>
      <c r="AD144" t="str">
        <f t="shared" si="31"/>
        <v>-</v>
      </c>
      <c r="AE144" t="b">
        <f t="shared" si="32"/>
        <v>1</v>
      </c>
    </row>
    <row r="145" spans="1:31" x14ac:dyDescent="0.25">
      <c r="A145">
        <v>7</v>
      </c>
      <c r="B145">
        <v>20</v>
      </c>
      <c r="C145">
        <v>261</v>
      </c>
      <c r="D145" s="11" t="s">
        <v>145</v>
      </c>
      <c r="E145" s="11" t="s">
        <v>242</v>
      </c>
      <c r="F145" s="11" t="s">
        <v>218</v>
      </c>
      <c r="G145" s="11" t="s">
        <v>257</v>
      </c>
      <c r="H145">
        <v>6</v>
      </c>
      <c r="I145" s="11" t="s">
        <v>173</v>
      </c>
      <c r="J145" s="11" t="s">
        <v>195</v>
      </c>
      <c r="K145" s="11" t="s">
        <v>177</v>
      </c>
      <c r="L145" s="11" t="s">
        <v>38</v>
      </c>
      <c r="M145" s="11" t="s">
        <v>38</v>
      </c>
      <c r="N145" s="11" t="s">
        <v>38</v>
      </c>
      <c r="O145" s="11" t="s">
        <v>38</v>
      </c>
      <c r="P145" t="s">
        <v>8</v>
      </c>
      <c r="Q145">
        <v>18000</v>
      </c>
      <c r="R145">
        <v>0</v>
      </c>
      <c r="S145">
        <v>0</v>
      </c>
      <c r="T145" t="str">
        <f t="shared" si="22"/>
        <v>-</v>
      </c>
      <c r="U145" t="str">
        <f t="shared" si="23"/>
        <v>-</v>
      </c>
      <c r="V145" t="str">
        <f t="shared" si="24"/>
        <v>-</v>
      </c>
      <c r="W145" t="str">
        <f t="shared" si="25"/>
        <v>-</v>
      </c>
      <c r="X145" t="str">
        <f t="shared" si="26"/>
        <v>-</v>
      </c>
      <c r="Y145" t="str">
        <f t="shared" si="27"/>
        <v>-</v>
      </c>
      <c r="Z145" t="str">
        <f t="shared" si="28"/>
        <v>-</v>
      </c>
      <c r="AA145" t="str">
        <f t="shared" si="29"/>
        <v>-</v>
      </c>
      <c r="AB145" t="str">
        <f>IF(_xlfn.IFNA(VLOOKUP(P145,Set_Ref!$B$6:$B$1048576,1,FALSE),"")&lt;&gt;"","-",FALSE)</f>
        <v>-</v>
      </c>
      <c r="AC145" t="str">
        <f t="shared" si="30"/>
        <v>-</v>
      </c>
      <c r="AD145" t="str">
        <f t="shared" si="31"/>
        <v>-</v>
      </c>
      <c r="AE145" t="b">
        <f t="shared" si="32"/>
        <v>1</v>
      </c>
    </row>
    <row r="146" spans="1:31" x14ac:dyDescent="0.25">
      <c r="A146">
        <v>7</v>
      </c>
      <c r="B146">
        <v>21</v>
      </c>
      <c r="C146">
        <v>261</v>
      </c>
      <c r="D146" s="11" t="s">
        <v>145</v>
      </c>
      <c r="E146" s="11" t="s">
        <v>237</v>
      </c>
      <c r="F146" s="11" t="s">
        <v>220</v>
      </c>
      <c r="G146" s="11" t="s">
        <v>253</v>
      </c>
      <c r="H146">
        <v>4</v>
      </c>
      <c r="I146" s="11" t="s">
        <v>173</v>
      </c>
      <c r="J146" s="11" t="s">
        <v>269</v>
      </c>
      <c r="K146" s="11" t="s">
        <v>177</v>
      </c>
      <c r="L146" s="11" t="s">
        <v>38</v>
      </c>
      <c r="M146" s="11" t="s">
        <v>38</v>
      </c>
      <c r="N146" s="11" t="s">
        <v>38</v>
      </c>
      <c r="O146" s="11" t="s">
        <v>38</v>
      </c>
      <c r="P146" t="s">
        <v>8</v>
      </c>
      <c r="Q146">
        <v>96</v>
      </c>
      <c r="R146">
        <v>0</v>
      </c>
      <c r="S146">
        <v>0</v>
      </c>
      <c r="T146" t="str">
        <f t="shared" si="22"/>
        <v>-</v>
      </c>
      <c r="U146" t="str">
        <f t="shared" si="23"/>
        <v>-</v>
      </c>
      <c r="V146" t="str">
        <f t="shared" si="24"/>
        <v>-</v>
      </c>
      <c r="W146" t="str">
        <f t="shared" si="25"/>
        <v>-</v>
      </c>
      <c r="X146" t="str">
        <f t="shared" si="26"/>
        <v>-</v>
      </c>
      <c r="Y146" t="str">
        <f t="shared" si="27"/>
        <v>-</v>
      </c>
      <c r="Z146" t="str">
        <f t="shared" si="28"/>
        <v>-</v>
      </c>
      <c r="AA146" t="str">
        <f t="shared" si="29"/>
        <v>-</v>
      </c>
      <c r="AB146" t="str">
        <f>IF(_xlfn.IFNA(VLOOKUP(P146,Set_Ref!$B$6:$B$1048576,1,FALSE),"")&lt;&gt;"","-",FALSE)</f>
        <v>-</v>
      </c>
      <c r="AC146" t="str">
        <f t="shared" si="30"/>
        <v>-</v>
      </c>
      <c r="AD146" t="str">
        <f t="shared" si="31"/>
        <v>-</v>
      </c>
      <c r="AE146" t="b">
        <f t="shared" si="32"/>
        <v>1</v>
      </c>
    </row>
    <row r="147" spans="1:31" x14ac:dyDescent="0.25">
      <c r="A147">
        <v>7</v>
      </c>
      <c r="B147">
        <v>22</v>
      </c>
      <c r="C147">
        <v>261</v>
      </c>
      <c r="D147" s="11" t="s">
        <v>145</v>
      </c>
      <c r="E147" s="11" t="s">
        <v>237</v>
      </c>
      <c r="F147" s="11" t="s">
        <v>220</v>
      </c>
      <c r="G147" s="11" t="s">
        <v>253</v>
      </c>
      <c r="H147">
        <v>4</v>
      </c>
      <c r="I147" s="11" t="s">
        <v>173</v>
      </c>
      <c r="J147" s="11" t="s">
        <v>269</v>
      </c>
      <c r="K147" s="11" t="s">
        <v>177</v>
      </c>
      <c r="L147" s="11" t="s">
        <v>38</v>
      </c>
      <c r="M147" s="11" t="s">
        <v>38</v>
      </c>
      <c r="N147" s="11" t="s">
        <v>38</v>
      </c>
      <c r="O147" s="11" t="s">
        <v>38</v>
      </c>
      <c r="P147" t="s">
        <v>8</v>
      </c>
      <c r="Q147">
        <v>87</v>
      </c>
      <c r="R147">
        <v>0</v>
      </c>
      <c r="S147">
        <v>0</v>
      </c>
      <c r="T147" t="str">
        <f t="shared" si="22"/>
        <v>-</v>
      </c>
      <c r="U147" t="str">
        <f t="shared" si="23"/>
        <v>-</v>
      </c>
      <c r="V147" t="str">
        <f t="shared" si="24"/>
        <v>-</v>
      </c>
      <c r="W147" t="str">
        <f t="shared" si="25"/>
        <v>-</v>
      </c>
      <c r="X147" t="str">
        <f t="shared" si="26"/>
        <v>-</v>
      </c>
      <c r="Y147" t="str">
        <f t="shared" si="27"/>
        <v>-</v>
      </c>
      <c r="Z147" t="str">
        <f t="shared" si="28"/>
        <v>-</v>
      </c>
      <c r="AA147" t="str">
        <f t="shared" si="29"/>
        <v>-</v>
      </c>
      <c r="AB147" t="str">
        <f>IF(_xlfn.IFNA(VLOOKUP(P147,Set_Ref!$B$6:$B$1048576,1,FALSE),"")&lt;&gt;"","-",FALSE)</f>
        <v>-</v>
      </c>
      <c r="AC147" t="str">
        <f t="shared" si="30"/>
        <v>-</v>
      </c>
      <c r="AD147" t="str">
        <f t="shared" si="31"/>
        <v>-</v>
      </c>
      <c r="AE147" t="b">
        <f t="shared" si="32"/>
        <v>1</v>
      </c>
    </row>
    <row r="148" spans="1:31" x14ac:dyDescent="0.25">
      <c r="A148">
        <v>7</v>
      </c>
      <c r="B148">
        <v>23</v>
      </c>
      <c r="C148">
        <v>261</v>
      </c>
      <c r="D148" s="11" t="s">
        <v>145</v>
      </c>
      <c r="E148" s="11" t="s">
        <v>237</v>
      </c>
      <c r="F148" s="11" t="s">
        <v>220</v>
      </c>
      <c r="G148" s="11" t="s">
        <v>253</v>
      </c>
      <c r="H148">
        <v>4</v>
      </c>
      <c r="I148" s="11" t="s">
        <v>173</v>
      </c>
      <c r="J148" s="11" t="s">
        <v>269</v>
      </c>
      <c r="K148" s="11" t="s">
        <v>177</v>
      </c>
      <c r="L148" s="11" t="s">
        <v>38</v>
      </c>
      <c r="M148" s="11" t="s">
        <v>38</v>
      </c>
      <c r="N148" s="11" t="s">
        <v>38</v>
      </c>
      <c r="O148" s="11" t="s">
        <v>38</v>
      </c>
      <c r="P148" t="s">
        <v>8</v>
      </c>
      <c r="Q148">
        <v>75</v>
      </c>
      <c r="R148">
        <v>0</v>
      </c>
      <c r="S148">
        <v>0</v>
      </c>
      <c r="T148" t="str">
        <f t="shared" si="22"/>
        <v>-</v>
      </c>
      <c r="U148" t="str">
        <f t="shared" si="23"/>
        <v>-</v>
      </c>
      <c r="V148" t="str">
        <f t="shared" si="24"/>
        <v>-</v>
      </c>
      <c r="W148" t="str">
        <f t="shared" si="25"/>
        <v>-</v>
      </c>
      <c r="X148" t="str">
        <f t="shared" si="26"/>
        <v>-</v>
      </c>
      <c r="Y148" t="str">
        <f t="shared" si="27"/>
        <v>-</v>
      </c>
      <c r="Z148" t="str">
        <f t="shared" si="28"/>
        <v>-</v>
      </c>
      <c r="AA148" t="str">
        <f t="shared" si="29"/>
        <v>-</v>
      </c>
      <c r="AB148" t="str">
        <f>IF(_xlfn.IFNA(VLOOKUP(P148,Set_Ref!$B$6:$B$1048576,1,FALSE),"")&lt;&gt;"","-",FALSE)</f>
        <v>-</v>
      </c>
      <c r="AC148" t="str">
        <f t="shared" si="30"/>
        <v>-</v>
      </c>
      <c r="AD148" t="str">
        <f t="shared" si="31"/>
        <v>-</v>
      </c>
      <c r="AE148" t="b">
        <f t="shared" si="32"/>
        <v>1</v>
      </c>
    </row>
    <row r="149" spans="1:31" x14ac:dyDescent="0.25">
      <c r="A149">
        <v>7</v>
      </c>
      <c r="B149">
        <v>24</v>
      </c>
      <c r="C149">
        <v>261</v>
      </c>
      <c r="D149" s="11" t="s">
        <v>145</v>
      </c>
      <c r="E149" s="11" t="s">
        <v>237</v>
      </c>
      <c r="F149" s="11" t="s">
        <v>220</v>
      </c>
      <c r="G149" s="11" t="s">
        <v>253</v>
      </c>
      <c r="H149">
        <v>4</v>
      </c>
      <c r="I149" s="11" t="s">
        <v>173</v>
      </c>
      <c r="J149" s="11" t="s">
        <v>269</v>
      </c>
      <c r="K149" s="11" t="s">
        <v>177</v>
      </c>
      <c r="L149" s="11" t="s">
        <v>38</v>
      </c>
      <c r="M149" s="11" t="s">
        <v>38</v>
      </c>
      <c r="N149" s="11" t="s">
        <v>38</v>
      </c>
      <c r="O149" s="11" t="s">
        <v>38</v>
      </c>
      <c r="P149" t="s">
        <v>8</v>
      </c>
      <c r="Q149">
        <v>42</v>
      </c>
      <c r="R149">
        <v>0</v>
      </c>
      <c r="S149">
        <v>0</v>
      </c>
      <c r="T149" t="str">
        <f t="shared" si="22"/>
        <v>-</v>
      </c>
      <c r="U149" t="str">
        <f t="shared" si="23"/>
        <v>-</v>
      </c>
      <c r="V149" t="str">
        <f t="shared" si="24"/>
        <v>-</v>
      </c>
      <c r="W149" t="str">
        <f t="shared" si="25"/>
        <v>-</v>
      </c>
      <c r="X149" t="str">
        <f t="shared" si="26"/>
        <v>-</v>
      </c>
      <c r="Y149" t="str">
        <f t="shared" si="27"/>
        <v>-</v>
      </c>
      <c r="Z149" t="str">
        <f t="shared" si="28"/>
        <v>-</v>
      </c>
      <c r="AA149" t="str">
        <f t="shared" si="29"/>
        <v>-</v>
      </c>
      <c r="AB149" t="str">
        <f>IF(_xlfn.IFNA(VLOOKUP(P149,Set_Ref!$B$6:$B$1048576,1,FALSE),"")&lt;&gt;"","-",FALSE)</f>
        <v>-</v>
      </c>
      <c r="AC149" t="str">
        <f t="shared" si="30"/>
        <v>-</v>
      </c>
      <c r="AD149" t="str">
        <f t="shared" si="31"/>
        <v>-</v>
      </c>
      <c r="AE149" t="b">
        <f t="shared" si="32"/>
        <v>1</v>
      </c>
    </row>
    <row r="150" spans="1:31" x14ac:dyDescent="0.25">
      <c r="A150">
        <v>7</v>
      </c>
      <c r="B150">
        <v>25</v>
      </c>
      <c r="C150">
        <v>261</v>
      </c>
      <c r="D150" s="11" t="s">
        <v>145</v>
      </c>
      <c r="E150" s="11" t="s">
        <v>240</v>
      </c>
      <c r="F150" s="11" t="s">
        <v>214</v>
      </c>
      <c r="G150" s="11" t="s">
        <v>255</v>
      </c>
      <c r="H150">
        <v>5</v>
      </c>
      <c r="I150" s="11" t="s">
        <v>173</v>
      </c>
      <c r="J150" s="11" t="s">
        <v>266</v>
      </c>
      <c r="K150" s="11" t="s">
        <v>177</v>
      </c>
      <c r="L150" s="11" t="s">
        <v>38</v>
      </c>
      <c r="M150" s="11" t="s">
        <v>38</v>
      </c>
      <c r="N150" s="11" t="s">
        <v>38</v>
      </c>
      <c r="O150" s="11" t="s">
        <v>38</v>
      </c>
      <c r="P150" t="s">
        <v>8</v>
      </c>
      <c r="Q150">
        <v>1400</v>
      </c>
      <c r="R150">
        <v>0</v>
      </c>
      <c r="S150">
        <v>0</v>
      </c>
      <c r="T150" t="str">
        <f t="shared" si="22"/>
        <v>-</v>
      </c>
      <c r="U150" t="str">
        <f t="shared" si="23"/>
        <v>-</v>
      </c>
      <c r="V150" t="str">
        <f t="shared" si="24"/>
        <v>-</v>
      </c>
      <c r="W150" t="str">
        <f t="shared" si="25"/>
        <v>-</v>
      </c>
      <c r="X150" t="str">
        <f t="shared" si="26"/>
        <v>-</v>
      </c>
      <c r="Y150" t="str">
        <f t="shared" si="27"/>
        <v>-</v>
      </c>
      <c r="Z150" t="str">
        <f t="shared" si="28"/>
        <v>-</v>
      </c>
      <c r="AA150" t="str">
        <f t="shared" si="29"/>
        <v>-</v>
      </c>
      <c r="AB150" t="str">
        <f>IF(_xlfn.IFNA(VLOOKUP(P150,Set_Ref!$B$6:$B$1048576,1,FALSE),"")&lt;&gt;"","-",FALSE)</f>
        <v>-</v>
      </c>
      <c r="AC150" t="str">
        <f t="shared" si="30"/>
        <v>-</v>
      </c>
      <c r="AD150" t="str">
        <f t="shared" si="31"/>
        <v>-</v>
      </c>
      <c r="AE150" t="b">
        <f t="shared" si="32"/>
        <v>1</v>
      </c>
    </row>
    <row r="151" spans="1:31" x14ac:dyDescent="0.25">
      <c r="A151">
        <v>7</v>
      </c>
      <c r="B151">
        <v>26</v>
      </c>
      <c r="C151">
        <v>261</v>
      </c>
      <c r="D151" s="11" t="s">
        <v>145</v>
      </c>
      <c r="E151" s="11" t="s">
        <v>240</v>
      </c>
      <c r="F151" s="11" t="s">
        <v>214</v>
      </c>
      <c r="G151" s="11" t="s">
        <v>255</v>
      </c>
      <c r="H151">
        <v>5</v>
      </c>
      <c r="I151" s="11" t="s">
        <v>173</v>
      </c>
      <c r="J151" s="11" t="s">
        <v>266</v>
      </c>
      <c r="K151" s="11" t="s">
        <v>177</v>
      </c>
      <c r="L151" s="11" t="s">
        <v>38</v>
      </c>
      <c r="M151" s="11" t="s">
        <v>38</v>
      </c>
      <c r="N151" s="11" t="s">
        <v>38</v>
      </c>
      <c r="O151" s="11" t="s">
        <v>38</v>
      </c>
      <c r="P151" t="s">
        <v>8</v>
      </c>
      <c r="Q151">
        <v>1600</v>
      </c>
      <c r="R151">
        <v>0</v>
      </c>
      <c r="S151">
        <v>0</v>
      </c>
      <c r="T151" t="str">
        <f t="shared" si="22"/>
        <v>-</v>
      </c>
      <c r="U151" t="str">
        <f t="shared" si="23"/>
        <v>-</v>
      </c>
      <c r="V151" t="str">
        <f t="shared" si="24"/>
        <v>-</v>
      </c>
      <c r="W151" t="str">
        <f t="shared" si="25"/>
        <v>-</v>
      </c>
      <c r="X151" t="str">
        <f t="shared" si="26"/>
        <v>-</v>
      </c>
      <c r="Y151" t="str">
        <f t="shared" si="27"/>
        <v>-</v>
      </c>
      <c r="Z151" t="str">
        <f t="shared" si="28"/>
        <v>-</v>
      </c>
      <c r="AA151" t="str">
        <f t="shared" si="29"/>
        <v>-</v>
      </c>
      <c r="AB151" t="str">
        <f>IF(_xlfn.IFNA(VLOOKUP(P151,Set_Ref!$B$6:$B$1048576,1,FALSE),"")&lt;&gt;"","-",FALSE)</f>
        <v>-</v>
      </c>
      <c r="AC151" t="str">
        <f t="shared" si="30"/>
        <v>-</v>
      </c>
      <c r="AD151" t="str">
        <f t="shared" si="31"/>
        <v>-</v>
      </c>
      <c r="AE151" t="b">
        <f t="shared" si="32"/>
        <v>1</v>
      </c>
    </row>
    <row r="152" spans="1:31" x14ac:dyDescent="0.25">
      <c r="A152">
        <v>7</v>
      </c>
      <c r="B152">
        <v>27</v>
      </c>
      <c r="C152">
        <v>261</v>
      </c>
      <c r="D152" s="11" t="s">
        <v>145</v>
      </c>
      <c r="E152" s="11" t="s">
        <v>240</v>
      </c>
      <c r="F152" s="11" t="s">
        <v>214</v>
      </c>
      <c r="G152" s="11" t="s">
        <v>255</v>
      </c>
      <c r="H152">
        <v>5</v>
      </c>
      <c r="I152" s="11" t="s">
        <v>173</v>
      </c>
      <c r="J152" s="11" t="s">
        <v>266</v>
      </c>
      <c r="K152" s="11" t="s">
        <v>177</v>
      </c>
      <c r="L152" s="11" t="s">
        <v>38</v>
      </c>
      <c r="M152" s="11" t="s">
        <v>38</v>
      </c>
      <c r="N152" s="11" t="s">
        <v>38</v>
      </c>
      <c r="O152" s="11" t="s">
        <v>38</v>
      </c>
      <c r="P152" t="s">
        <v>8</v>
      </c>
      <c r="Q152">
        <v>1400</v>
      </c>
      <c r="R152">
        <v>0</v>
      </c>
      <c r="S152">
        <v>0</v>
      </c>
      <c r="T152" t="str">
        <f t="shared" si="22"/>
        <v>-</v>
      </c>
      <c r="U152" t="str">
        <f t="shared" si="23"/>
        <v>-</v>
      </c>
      <c r="V152" t="str">
        <f t="shared" si="24"/>
        <v>-</v>
      </c>
      <c r="W152" t="str">
        <f t="shared" si="25"/>
        <v>-</v>
      </c>
      <c r="X152" t="str">
        <f t="shared" si="26"/>
        <v>-</v>
      </c>
      <c r="Y152" t="str">
        <f t="shared" si="27"/>
        <v>-</v>
      </c>
      <c r="Z152" t="str">
        <f t="shared" si="28"/>
        <v>-</v>
      </c>
      <c r="AA152" t="str">
        <f t="shared" si="29"/>
        <v>-</v>
      </c>
      <c r="AB152" t="str">
        <f>IF(_xlfn.IFNA(VLOOKUP(P152,Set_Ref!$B$6:$B$1048576,1,FALSE),"")&lt;&gt;"","-",FALSE)</f>
        <v>-</v>
      </c>
      <c r="AC152" t="str">
        <f t="shared" si="30"/>
        <v>-</v>
      </c>
      <c r="AD152" t="str">
        <f t="shared" si="31"/>
        <v>-</v>
      </c>
      <c r="AE152" t="b">
        <f t="shared" si="32"/>
        <v>1</v>
      </c>
    </row>
    <row r="153" spans="1:31" x14ac:dyDescent="0.25">
      <c r="A153">
        <v>7</v>
      </c>
      <c r="B153">
        <v>28</v>
      </c>
      <c r="C153">
        <v>261</v>
      </c>
      <c r="D153" s="11" t="s">
        <v>145</v>
      </c>
      <c r="E153" s="11" t="s">
        <v>240</v>
      </c>
      <c r="F153" s="11" t="s">
        <v>214</v>
      </c>
      <c r="G153" s="11" t="s">
        <v>255</v>
      </c>
      <c r="H153">
        <v>5</v>
      </c>
      <c r="I153" s="11" t="s">
        <v>173</v>
      </c>
      <c r="J153" s="11" t="s">
        <v>266</v>
      </c>
      <c r="K153" s="11" t="s">
        <v>177</v>
      </c>
      <c r="L153" s="11" t="s">
        <v>38</v>
      </c>
      <c r="M153" s="11" t="s">
        <v>38</v>
      </c>
      <c r="N153" s="11" t="s">
        <v>38</v>
      </c>
      <c r="O153" s="11" t="s">
        <v>38</v>
      </c>
      <c r="P153" t="s">
        <v>8</v>
      </c>
      <c r="Q153">
        <v>2500</v>
      </c>
      <c r="R153">
        <v>0</v>
      </c>
      <c r="S153">
        <v>0</v>
      </c>
      <c r="T153" t="str">
        <f t="shared" si="22"/>
        <v>-</v>
      </c>
      <c r="U153" t="str">
        <f t="shared" si="23"/>
        <v>-</v>
      </c>
      <c r="V153" t="str">
        <f t="shared" si="24"/>
        <v>-</v>
      </c>
      <c r="W153" t="str">
        <f t="shared" si="25"/>
        <v>-</v>
      </c>
      <c r="X153" t="str">
        <f t="shared" si="26"/>
        <v>-</v>
      </c>
      <c r="Y153" t="str">
        <f t="shared" si="27"/>
        <v>-</v>
      </c>
      <c r="Z153" t="str">
        <f t="shared" si="28"/>
        <v>-</v>
      </c>
      <c r="AA153" t="str">
        <f t="shared" si="29"/>
        <v>-</v>
      </c>
      <c r="AB153" t="str">
        <f>IF(_xlfn.IFNA(VLOOKUP(P153,Set_Ref!$B$6:$B$1048576,1,FALSE),"")&lt;&gt;"","-",FALSE)</f>
        <v>-</v>
      </c>
      <c r="AC153" t="str">
        <f t="shared" si="30"/>
        <v>-</v>
      </c>
      <c r="AD153" t="str">
        <f t="shared" si="31"/>
        <v>-</v>
      </c>
      <c r="AE153" t="b">
        <f t="shared" si="32"/>
        <v>1</v>
      </c>
    </row>
    <row r="154" spans="1:31" x14ac:dyDescent="0.25">
      <c r="A154">
        <v>7</v>
      </c>
      <c r="B154">
        <v>29</v>
      </c>
      <c r="C154">
        <v>261</v>
      </c>
      <c r="D154" s="11" t="s">
        <v>145</v>
      </c>
      <c r="E154" s="11" t="s">
        <v>240</v>
      </c>
      <c r="F154" s="11" t="s">
        <v>214</v>
      </c>
      <c r="G154" s="11" t="s">
        <v>255</v>
      </c>
      <c r="H154">
        <v>5</v>
      </c>
      <c r="I154" s="11" t="s">
        <v>173</v>
      </c>
      <c r="J154" s="11" t="s">
        <v>266</v>
      </c>
      <c r="K154" s="11" t="s">
        <v>177</v>
      </c>
      <c r="L154" s="11" t="s">
        <v>38</v>
      </c>
      <c r="M154" s="11" t="s">
        <v>38</v>
      </c>
      <c r="N154" s="11" t="s">
        <v>38</v>
      </c>
      <c r="O154" s="11" t="s">
        <v>38</v>
      </c>
      <c r="P154" t="s">
        <v>8</v>
      </c>
      <c r="Q154">
        <v>2900</v>
      </c>
      <c r="R154">
        <v>0</v>
      </c>
      <c r="S154">
        <v>0</v>
      </c>
      <c r="T154" t="str">
        <f t="shared" si="22"/>
        <v>-</v>
      </c>
      <c r="U154" t="str">
        <f t="shared" si="23"/>
        <v>-</v>
      </c>
      <c r="V154" t="str">
        <f t="shared" si="24"/>
        <v>-</v>
      </c>
      <c r="W154" t="str">
        <f t="shared" si="25"/>
        <v>-</v>
      </c>
      <c r="X154" t="str">
        <f t="shared" si="26"/>
        <v>-</v>
      </c>
      <c r="Y154" t="str">
        <f t="shared" si="27"/>
        <v>-</v>
      </c>
      <c r="Z154" t="str">
        <f t="shared" si="28"/>
        <v>-</v>
      </c>
      <c r="AA154" t="str">
        <f t="shared" si="29"/>
        <v>-</v>
      </c>
      <c r="AB154" t="str">
        <f>IF(_xlfn.IFNA(VLOOKUP(P154,Set_Ref!$B$6:$B$1048576,1,FALSE),"")&lt;&gt;"","-",FALSE)</f>
        <v>-</v>
      </c>
      <c r="AC154" t="str">
        <f t="shared" si="30"/>
        <v>-</v>
      </c>
      <c r="AD154" t="str">
        <f t="shared" si="31"/>
        <v>-</v>
      </c>
      <c r="AE154" t="b">
        <f t="shared" si="32"/>
        <v>1</v>
      </c>
    </row>
    <row r="155" spans="1:31" x14ac:dyDescent="0.25">
      <c r="A155">
        <v>7</v>
      </c>
      <c r="B155">
        <v>30</v>
      </c>
      <c r="C155">
        <v>261</v>
      </c>
      <c r="D155" s="11" t="s">
        <v>145</v>
      </c>
      <c r="E155" s="11" t="s">
        <v>241</v>
      </c>
      <c r="F155" s="11" t="s">
        <v>197</v>
      </c>
      <c r="G155" s="11" t="s">
        <v>256</v>
      </c>
      <c r="H155">
        <v>6</v>
      </c>
      <c r="I155" s="11" t="s">
        <v>173</v>
      </c>
      <c r="J155" s="11" t="s">
        <v>267</v>
      </c>
      <c r="K155" s="11" t="s">
        <v>177</v>
      </c>
      <c r="L155" s="11" t="s">
        <v>38</v>
      </c>
      <c r="M155" s="11" t="s">
        <v>38</v>
      </c>
      <c r="N155" s="11" t="s">
        <v>38</v>
      </c>
      <c r="O155" s="11" t="s">
        <v>38</v>
      </c>
      <c r="P155" t="s">
        <v>8</v>
      </c>
      <c r="Q155">
        <v>2163</v>
      </c>
      <c r="R155">
        <v>0</v>
      </c>
      <c r="S155">
        <v>0</v>
      </c>
      <c r="T155" t="str">
        <f t="shared" si="22"/>
        <v>-</v>
      </c>
      <c r="U155" t="str">
        <f t="shared" si="23"/>
        <v>-</v>
      </c>
      <c r="V155" t="str">
        <f t="shared" si="24"/>
        <v>-</v>
      </c>
      <c r="W155" t="str">
        <f t="shared" si="25"/>
        <v>-</v>
      </c>
      <c r="X155" t="str">
        <f t="shared" si="26"/>
        <v>-</v>
      </c>
      <c r="Y155" t="str">
        <f t="shared" si="27"/>
        <v>-</v>
      </c>
      <c r="Z155" t="str">
        <f t="shared" si="28"/>
        <v>-</v>
      </c>
      <c r="AA155" t="str">
        <f t="shared" si="29"/>
        <v>-</v>
      </c>
      <c r="AB155" t="str">
        <f>IF(_xlfn.IFNA(VLOOKUP(P155,Set_Ref!$B$6:$B$1048576,1,FALSE),"")&lt;&gt;"","-",FALSE)</f>
        <v>-</v>
      </c>
      <c r="AC155" t="str">
        <f t="shared" si="30"/>
        <v>-</v>
      </c>
      <c r="AD155" t="str">
        <f t="shared" si="31"/>
        <v>-</v>
      </c>
      <c r="AE155" t="b">
        <f t="shared" si="32"/>
        <v>1</v>
      </c>
    </row>
    <row r="156" spans="1:31" x14ac:dyDescent="0.25">
      <c r="A156">
        <v>7</v>
      </c>
      <c r="B156">
        <v>31</v>
      </c>
      <c r="C156">
        <v>261</v>
      </c>
      <c r="D156" s="11" t="s">
        <v>145</v>
      </c>
      <c r="E156" s="11" t="s">
        <v>241</v>
      </c>
      <c r="F156" s="11" t="s">
        <v>197</v>
      </c>
      <c r="G156" s="11" t="s">
        <v>256</v>
      </c>
      <c r="H156">
        <v>6</v>
      </c>
      <c r="I156" s="11" t="s">
        <v>173</v>
      </c>
      <c r="J156" s="11" t="s">
        <v>267</v>
      </c>
      <c r="K156" s="11" t="s">
        <v>177</v>
      </c>
      <c r="L156" s="11" t="s">
        <v>38</v>
      </c>
      <c r="M156" s="11" t="s">
        <v>38</v>
      </c>
      <c r="N156" s="11" t="s">
        <v>38</v>
      </c>
      <c r="O156" s="11" t="s">
        <v>38</v>
      </c>
      <c r="P156" t="s">
        <v>8</v>
      </c>
      <c r="Q156">
        <v>1442</v>
      </c>
      <c r="R156">
        <v>0</v>
      </c>
      <c r="S156">
        <v>0</v>
      </c>
      <c r="T156" t="str">
        <f t="shared" si="22"/>
        <v>-</v>
      </c>
      <c r="U156" t="str">
        <f t="shared" si="23"/>
        <v>-</v>
      </c>
      <c r="V156" t="str">
        <f t="shared" si="24"/>
        <v>-</v>
      </c>
      <c r="W156" t="str">
        <f t="shared" si="25"/>
        <v>-</v>
      </c>
      <c r="X156" t="str">
        <f t="shared" si="26"/>
        <v>-</v>
      </c>
      <c r="Y156" t="str">
        <f t="shared" si="27"/>
        <v>-</v>
      </c>
      <c r="Z156" t="str">
        <f t="shared" si="28"/>
        <v>-</v>
      </c>
      <c r="AA156" t="str">
        <f t="shared" si="29"/>
        <v>-</v>
      </c>
      <c r="AB156" t="str">
        <f>IF(_xlfn.IFNA(VLOOKUP(P156,Set_Ref!$B$6:$B$1048576,1,FALSE),"")&lt;&gt;"","-",FALSE)</f>
        <v>-</v>
      </c>
      <c r="AC156" t="str">
        <f t="shared" si="30"/>
        <v>-</v>
      </c>
      <c r="AD156" t="str">
        <f t="shared" si="31"/>
        <v>-</v>
      </c>
      <c r="AE156" t="b">
        <f t="shared" si="32"/>
        <v>1</v>
      </c>
    </row>
    <row r="157" spans="1:31" x14ac:dyDescent="0.25">
      <c r="A157">
        <v>7</v>
      </c>
      <c r="B157">
        <v>32</v>
      </c>
      <c r="C157">
        <v>261</v>
      </c>
      <c r="D157" s="11" t="s">
        <v>145</v>
      </c>
      <c r="E157" s="11" t="s">
        <v>241</v>
      </c>
      <c r="F157" s="11" t="s">
        <v>197</v>
      </c>
      <c r="G157" s="11" t="s">
        <v>256</v>
      </c>
      <c r="H157">
        <v>6</v>
      </c>
      <c r="I157" s="11" t="s">
        <v>173</v>
      </c>
      <c r="J157" s="11" t="s">
        <v>267</v>
      </c>
      <c r="K157" s="11" t="s">
        <v>177</v>
      </c>
      <c r="L157" s="11" t="s">
        <v>38</v>
      </c>
      <c r="M157" s="11" t="s">
        <v>38</v>
      </c>
      <c r="N157" s="11" t="s">
        <v>38</v>
      </c>
      <c r="O157" s="11" t="s">
        <v>38</v>
      </c>
      <c r="P157" t="s">
        <v>8</v>
      </c>
      <c r="Q157">
        <v>1442</v>
      </c>
      <c r="R157">
        <v>0</v>
      </c>
      <c r="S157">
        <v>0</v>
      </c>
      <c r="T157" t="str">
        <f t="shared" si="22"/>
        <v>-</v>
      </c>
      <c r="U157" t="str">
        <f t="shared" si="23"/>
        <v>-</v>
      </c>
      <c r="V157" t="str">
        <f t="shared" si="24"/>
        <v>-</v>
      </c>
      <c r="W157" t="str">
        <f t="shared" si="25"/>
        <v>-</v>
      </c>
      <c r="X157" t="str">
        <f t="shared" si="26"/>
        <v>-</v>
      </c>
      <c r="Y157" t="str">
        <f t="shared" si="27"/>
        <v>-</v>
      </c>
      <c r="Z157" t="str">
        <f t="shared" si="28"/>
        <v>-</v>
      </c>
      <c r="AA157" t="str">
        <f t="shared" si="29"/>
        <v>-</v>
      </c>
      <c r="AB157" t="str">
        <f>IF(_xlfn.IFNA(VLOOKUP(P157,Set_Ref!$B$6:$B$1048576,1,FALSE),"")&lt;&gt;"","-",FALSE)</f>
        <v>-</v>
      </c>
      <c r="AC157" t="str">
        <f t="shared" si="30"/>
        <v>-</v>
      </c>
      <c r="AD157" t="str">
        <f t="shared" si="31"/>
        <v>-</v>
      </c>
      <c r="AE157" t="b">
        <f t="shared" si="32"/>
        <v>1</v>
      </c>
    </row>
    <row r="158" spans="1:31" x14ac:dyDescent="0.25">
      <c r="A158">
        <v>7</v>
      </c>
      <c r="B158">
        <v>33</v>
      </c>
      <c r="C158">
        <v>261</v>
      </c>
      <c r="D158" s="11" t="s">
        <v>145</v>
      </c>
      <c r="E158" s="11" t="s">
        <v>241</v>
      </c>
      <c r="F158" s="11" t="s">
        <v>197</v>
      </c>
      <c r="G158" s="11" t="s">
        <v>256</v>
      </c>
      <c r="H158">
        <v>6</v>
      </c>
      <c r="I158" s="11" t="s">
        <v>173</v>
      </c>
      <c r="J158" s="11" t="s">
        <v>267</v>
      </c>
      <c r="K158" s="11" t="s">
        <v>177</v>
      </c>
      <c r="L158" s="11" t="s">
        <v>38</v>
      </c>
      <c r="M158" s="11" t="s">
        <v>38</v>
      </c>
      <c r="N158" s="11" t="s">
        <v>38</v>
      </c>
      <c r="O158" s="11" t="s">
        <v>38</v>
      </c>
      <c r="P158" t="s">
        <v>8</v>
      </c>
      <c r="Q158">
        <v>2266</v>
      </c>
      <c r="R158">
        <v>0</v>
      </c>
      <c r="S158">
        <v>0</v>
      </c>
      <c r="T158" t="str">
        <f t="shared" si="22"/>
        <v>-</v>
      </c>
      <c r="U158" t="str">
        <f t="shared" si="23"/>
        <v>-</v>
      </c>
      <c r="V158" t="str">
        <f t="shared" si="24"/>
        <v>-</v>
      </c>
      <c r="W158" t="str">
        <f t="shared" si="25"/>
        <v>-</v>
      </c>
      <c r="X158" t="str">
        <f t="shared" si="26"/>
        <v>-</v>
      </c>
      <c r="Y158" t="str">
        <f t="shared" si="27"/>
        <v>-</v>
      </c>
      <c r="Z158" t="str">
        <f t="shared" si="28"/>
        <v>-</v>
      </c>
      <c r="AA158" t="str">
        <f t="shared" si="29"/>
        <v>-</v>
      </c>
      <c r="AB158" t="str">
        <f>IF(_xlfn.IFNA(VLOOKUP(P158,Set_Ref!$B$6:$B$1048576,1,FALSE),"")&lt;&gt;"","-",FALSE)</f>
        <v>-</v>
      </c>
      <c r="AC158" t="str">
        <f t="shared" si="30"/>
        <v>-</v>
      </c>
      <c r="AD158" t="str">
        <f t="shared" si="31"/>
        <v>-</v>
      </c>
      <c r="AE158" t="b">
        <f t="shared" si="32"/>
        <v>1</v>
      </c>
    </row>
    <row r="159" spans="1:31" x14ac:dyDescent="0.25">
      <c r="A159">
        <v>7</v>
      </c>
      <c r="B159">
        <v>34</v>
      </c>
      <c r="C159">
        <v>261</v>
      </c>
      <c r="D159" s="11" t="s">
        <v>145</v>
      </c>
      <c r="E159" s="11" t="s">
        <v>241</v>
      </c>
      <c r="F159" s="11" t="s">
        <v>197</v>
      </c>
      <c r="G159" s="11" t="s">
        <v>256</v>
      </c>
      <c r="H159">
        <v>6</v>
      </c>
      <c r="I159" s="11" t="s">
        <v>173</v>
      </c>
      <c r="J159" s="11" t="s">
        <v>267</v>
      </c>
      <c r="K159" s="11" t="s">
        <v>177</v>
      </c>
      <c r="L159" s="11" t="s">
        <v>38</v>
      </c>
      <c r="M159" s="11" t="s">
        <v>38</v>
      </c>
      <c r="N159" s="11" t="s">
        <v>38</v>
      </c>
      <c r="O159" s="11" t="s">
        <v>38</v>
      </c>
      <c r="P159" t="s">
        <v>8</v>
      </c>
      <c r="Q159">
        <v>2987</v>
      </c>
      <c r="R159">
        <v>0</v>
      </c>
      <c r="S159">
        <v>0</v>
      </c>
      <c r="T159" t="str">
        <f t="shared" si="22"/>
        <v>-</v>
      </c>
      <c r="U159" t="str">
        <f t="shared" si="23"/>
        <v>-</v>
      </c>
      <c r="V159" t="str">
        <f t="shared" si="24"/>
        <v>-</v>
      </c>
      <c r="W159" t="str">
        <f t="shared" si="25"/>
        <v>-</v>
      </c>
      <c r="X159" t="str">
        <f t="shared" si="26"/>
        <v>-</v>
      </c>
      <c r="Y159" t="str">
        <f t="shared" si="27"/>
        <v>-</v>
      </c>
      <c r="Z159" t="str">
        <f t="shared" si="28"/>
        <v>-</v>
      </c>
      <c r="AA159" t="str">
        <f t="shared" si="29"/>
        <v>-</v>
      </c>
      <c r="AB159" t="str">
        <f>IF(_xlfn.IFNA(VLOOKUP(P159,Set_Ref!$B$6:$B$1048576,1,FALSE),"")&lt;&gt;"","-",FALSE)</f>
        <v>-</v>
      </c>
      <c r="AC159" t="str">
        <f t="shared" si="30"/>
        <v>-</v>
      </c>
      <c r="AD159" t="str">
        <f t="shared" si="31"/>
        <v>-</v>
      </c>
      <c r="AE159" t="b">
        <f t="shared" si="32"/>
        <v>1</v>
      </c>
    </row>
    <row r="160" spans="1:31" x14ac:dyDescent="0.25">
      <c r="A160">
        <v>7</v>
      </c>
      <c r="B160">
        <v>35</v>
      </c>
      <c r="C160">
        <v>261</v>
      </c>
      <c r="D160" s="11" t="s">
        <v>145</v>
      </c>
      <c r="E160" s="11" t="s">
        <v>241</v>
      </c>
      <c r="F160" s="11" t="s">
        <v>197</v>
      </c>
      <c r="G160" s="11" t="s">
        <v>256</v>
      </c>
      <c r="H160">
        <v>6</v>
      </c>
      <c r="I160" s="11" t="s">
        <v>173</v>
      </c>
      <c r="J160" s="11" t="s">
        <v>267</v>
      </c>
      <c r="K160" s="11" t="s">
        <v>177</v>
      </c>
      <c r="L160" s="11" t="s">
        <v>38</v>
      </c>
      <c r="M160" s="11" t="s">
        <v>38</v>
      </c>
      <c r="N160" s="11" t="s">
        <v>38</v>
      </c>
      <c r="O160" s="11" t="s">
        <v>38</v>
      </c>
      <c r="P160" t="s">
        <v>8</v>
      </c>
      <c r="Q160">
        <v>1648</v>
      </c>
      <c r="R160">
        <v>0</v>
      </c>
      <c r="S160">
        <v>0</v>
      </c>
      <c r="T160" t="str">
        <f t="shared" si="22"/>
        <v>-</v>
      </c>
      <c r="U160" t="str">
        <f t="shared" si="23"/>
        <v>-</v>
      </c>
      <c r="V160" t="str">
        <f t="shared" si="24"/>
        <v>-</v>
      </c>
      <c r="W160" t="str">
        <f t="shared" si="25"/>
        <v>-</v>
      </c>
      <c r="X160" t="str">
        <f t="shared" si="26"/>
        <v>-</v>
      </c>
      <c r="Y160" t="str">
        <f t="shared" si="27"/>
        <v>-</v>
      </c>
      <c r="Z160" t="str">
        <f t="shared" si="28"/>
        <v>-</v>
      </c>
      <c r="AA160" t="str">
        <f t="shared" si="29"/>
        <v>-</v>
      </c>
      <c r="AB160" t="str">
        <f>IF(_xlfn.IFNA(VLOOKUP(P160,Set_Ref!$B$6:$B$1048576,1,FALSE),"")&lt;&gt;"","-",FALSE)</f>
        <v>-</v>
      </c>
      <c r="AC160" t="str">
        <f t="shared" si="30"/>
        <v>-</v>
      </c>
      <c r="AD160" t="str">
        <f t="shared" si="31"/>
        <v>-</v>
      </c>
      <c r="AE160" t="b">
        <f t="shared" si="32"/>
        <v>1</v>
      </c>
    </row>
    <row r="161" spans="1:31" x14ac:dyDescent="0.25">
      <c r="A161">
        <v>7</v>
      </c>
      <c r="B161">
        <v>36</v>
      </c>
      <c r="C161">
        <v>261</v>
      </c>
      <c r="D161" s="11" t="s">
        <v>145</v>
      </c>
      <c r="E161" s="11" t="s">
        <v>241</v>
      </c>
      <c r="F161" s="11" t="s">
        <v>197</v>
      </c>
      <c r="G161" s="11" t="s">
        <v>256</v>
      </c>
      <c r="H161">
        <v>6</v>
      </c>
      <c r="I161" s="11" t="s">
        <v>173</v>
      </c>
      <c r="J161" s="11" t="s">
        <v>267</v>
      </c>
      <c r="K161" s="11" t="s">
        <v>177</v>
      </c>
      <c r="L161" s="11" t="s">
        <v>38</v>
      </c>
      <c r="M161" s="11" t="s">
        <v>38</v>
      </c>
      <c r="N161" s="11" t="s">
        <v>38</v>
      </c>
      <c r="O161" s="11" t="s">
        <v>38</v>
      </c>
      <c r="P161" t="s">
        <v>8</v>
      </c>
      <c r="Q161">
        <v>1854</v>
      </c>
      <c r="R161">
        <v>0</v>
      </c>
      <c r="S161">
        <v>0</v>
      </c>
      <c r="T161" t="str">
        <f t="shared" si="22"/>
        <v>-</v>
      </c>
      <c r="U161" t="str">
        <f t="shared" si="23"/>
        <v>-</v>
      </c>
      <c r="V161" t="str">
        <f t="shared" si="24"/>
        <v>-</v>
      </c>
      <c r="W161" t="str">
        <f t="shared" si="25"/>
        <v>-</v>
      </c>
      <c r="X161" t="str">
        <f t="shared" si="26"/>
        <v>-</v>
      </c>
      <c r="Y161" t="str">
        <f t="shared" si="27"/>
        <v>-</v>
      </c>
      <c r="Z161" t="str">
        <f t="shared" si="28"/>
        <v>-</v>
      </c>
      <c r="AA161" t="str">
        <f t="shared" si="29"/>
        <v>-</v>
      </c>
      <c r="AB161" t="str">
        <f>IF(_xlfn.IFNA(VLOOKUP(P161,Set_Ref!$B$6:$B$1048576,1,FALSE),"")&lt;&gt;"","-",FALSE)</f>
        <v>-</v>
      </c>
      <c r="AC161" t="str">
        <f t="shared" si="30"/>
        <v>-</v>
      </c>
      <c r="AD161" t="str">
        <f t="shared" si="31"/>
        <v>-</v>
      </c>
      <c r="AE161" t="b">
        <f t="shared" si="32"/>
        <v>1</v>
      </c>
    </row>
    <row r="162" spans="1:31" x14ac:dyDescent="0.25">
      <c r="A162">
        <v>7</v>
      </c>
      <c r="B162">
        <v>37</v>
      </c>
      <c r="C162">
        <v>261</v>
      </c>
      <c r="D162" s="11" t="s">
        <v>145</v>
      </c>
      <c r="E162" s="11" t="s">
        <v>241</v>
      </c>
      <c r="F162" s="11" t="s">
        <v>197</v>
      </c>
      <c r="G162" s="11" t="s">
        <v>256</v>
      </c>
      <c r="H162">
        <v>6</v>
      </c>
      <c r="I162" s="11" t="s">
        <v>173</v>
      </c>
      <c r="J162" s="11" t="s">
        <v>267</v>
      </c>
      <c r="K162" s="11" t="s">
        <v>177</v>
      </c>
      <c r="L162" s="11" t="s">
        <v>38</v>
      </c>
      <c r="M162" s="11" t="s">
        <v>38</v>
      </c>
      <c r="N162" s="11" t="s">
        <v>38</v>
      </c>
      <c r="O162" s="11" t="s">
        <v>38</v>
      </c>
      <c r="P162" t="s">
        <v>8</v>
      </c>
      <c r="Q162">
        <v>1648</v>
      </c>
      <c r="R162">
        <v>0</v>
      </c>
      <c r="S162">
        <v>0</v>
      </c>
      <c r="T162" t="str">
        <f t="shared" si="22"/>
        <v>-</v>
      </c>
      <c r="U162" t="str">
        <f t="shared" si="23"/>
        <v>-</v>
      </c>
      <c r="V162" t="str">
        <f t="shared" si="24"/>
        <v>-</v>
      </c>
      <c r="W162" t="str">
        <f t="shared" si="25"/>
        <v>-</v>
      </c>
      <c r="X162" t="str">
        <f t="shared" si="26"/>
        <v>-</v>
      </c>
      <c r="Y162" t="str">
        <f t="shared" si="27"/>
        <v>-</v>
      </c>
      <c r="Z162" t="str">
        <f t="shared" si="28"/>
        <v>-</v>
      </c>
      <c r="AA162" t="str">
        <f t="shared" si="29"/>
        <v>-</v>
      </c>
      <c r="AB162" t="str">
        <f>IF(_xlfn.IFNA(VLOOKUP(P162,Set_Ref!$B$6:$B$1048576,1,FALSE),"")&lt;&gt;"","-",FALSE)</f>
        <v>-</v>
      </c>
      <c r="AC162" t="str">
        <f t="shared" si="30"/>
        <v>-</v>
      </c>
      <c r="AD162" t="str">
        <f t="shared" si="31"/>
        <v>-</v>
      </c>
      <c r="AE162" t="b">
        <f t="shared" si="32"/>
        <v>1</v>
      </c>
    </row>
    <row r="163" spans="1:31" x14ac:dyDescent="0.25">
      <c r="A163">
        <v>7</v>
      </c>
      <c r="B163">
        <v>38</v>
      </c>
      <c r="C163">
        <v>261</v>
      </c>
      <c r="D163" s="11" t="s">
        <v>145</v>
      </c>
      <c r="E163" s="11" t="s">
        <v>238</v>
      </c>
      <c r="F163" s="11" t="s">
        <v>215</v>
      </c>
      <c r="G163" s="11" t="s">
        <v>254</v>
      </c>
      <c r="H163">
        <v>3</v>
      </c>
      <c r="I163" s="11" t="s">
        <v>173</v>
      </c>
      <c r="J163" s="11" t="s">
        <v>268</v>
      </c>
      <c r="K163" s="11" t="s">
        <v>177</v>
      </c>
      <c r="L163" s="11" t="s">
        <v>38</v>
      </c>
      <c r="M163" s="11" t="s">
        <v>38</v>
      </c>
      <c r="N163" s="11" t="s">
        <v>38</v>
      </c>
      <c r="O163" s="11" t="s">
        <v>38</v>
      </c>
      <c r="P163" t="s">
        <v>8</v>
      </c>
      <c r="Q163">
        <v>12360</v>
      </c>
      <c r="R163">
        <v>0</v>
      </c>
      <c r="S163">
        <v>0</v>
      </c>
      <c r="T163" t="str">
        <f t="shared" si="22"/>
        <v>-</v>
      </c>
      <c r="U163" t="str">
        <f t="shared" si="23"/>
        <v>-</v>
      </c>
      <c r="V163" t="str">
        <f t="shared" si="24"/>
        <v>-</v>
      </c>
      <c r="W163" t="str">
        <f t="shared" si="25"/>
        <v>-</v>
      </c>
      <c r="X163" t="str">
        <f t="shared" si="26"/>
        <v>-</v>
      </c>
      <c r="Y163" t="str">
        <f t="shared" si="27"/>
        <v>-</v>
      </c>
      <c r="Z163" t="str">
        <f t="shared" si="28"/>
        <v>-</v>
      </c>
      <c r="AA163" t="str">
        <f t="shared" si="29"/>
        <v>-</v>
      </c>
      <c r="AB163" t="str">
        <f>IF(_xlfn.IFNA(VLOOKUP(P163,Set_Ref!$B$6:$B$1048576,1,FALSE),"")&lt;&gt;"","-",FALSE)</f>
        <v>-</v>
      </c>
      <c r="AC163" t="str">
        <f t="shared" si="30"/>
        <v>-</v>
      </c>
      <c r="AD163" t="str">
        <f t="shared" si="31"/>
        <v>-</v>
      </c>
      <c r="AE163" t="b">
        <f t="shared" si="32"/>
        <v>1</v>
      </c>
    </row>
    <row r="164" spans="1:31" x14ac:dyDescent="0.25">
      <c r="A164">
        <v>7</v>
      </c>
      <c r="B164">
        <v>39</v>
      </c>
      <c r="C164">
        <v>261</v>
      </c>
      <c r="D164" s="11" t="s">
        <v>145</v>
      </c>
      <c r="E164" s="11" t="s">
        <v>238</v>
      </c>
      <c r="F164" s="11" t="s">
        <v>215</v>
      </c>
      <c r="G164" s="11" t="s">
        <v>254</v>
      </c>
      <c r="H164">
        <v>3</v>
      </c>
      <c r="I164" s="11" t="s">
        <v>173</v>
      </c>
      <c r="J164" s="11" t="s">
        <v>268</v>
      </c>
      <c r="K164" s="11" t="s">
        <v>177</v>
      </c>
      <c r="L164" s="11" t="s">
        <v>38</v>
      </c>
      <c r="M164" s="11" t="s">
        <v>38</v>
      </c>
      <c r="N164" s="11" t="s">
        <v>38</v>
      </c>
      <c r="O164" s="11" t="s">
        <v>38</v>
      </c>
      <c r="P164" t="s">
        <v>8</v>
      </c>
      <c r="Q164">
        <v>11254</v>
      </c>
      <c r="R164">
        <v>0</v>
      </c>
      <c r="S164">
        <v>0</v>
      </c>
      <c r="T164" t="str">
        <f t="shared" si="22"/>
        <v>-</v>
      </c>
      <c r="U164" t="str">
        <f t="shared" si="23"/>
        <v>-</v>
      </c>
      <c r="V164" t="str">
        <f t="shared" si="24"/>
        <v>-</v>
      </c>
      <c r="W164" t="str">
        <f t="shared" si="25"/>
        <v>-</v>
      </c>
      <c r="X164" t="str">
        <f t="shared" si="26"/>
        <v>-</v>
      </c>
      <c r="Y164" t="str">
        <f t="shared" si="27"/>
        <v>-</v>
      </c>
      <c r="Z164" t="str">
        <f t="shared" si="28"/>
        <v>-</v>
      </c>
      <c r="AA164" t="str">
        <f t="shared" si="29"/>
        <v>-</v>
      </c>
      <c r="AB164" t="str">
        <f>IF(_xlfn.IFNA(VLOOKUP(P164,Set_Ref!$B$6:$B$1048576,1,FALSE),"")&lt;&gt;"","-",FALSE)</f>
        <v>-</v>
      </c>
      <c r="AC164" t="str">
        <f t="shared" si="30"/>
        <v>-</v>
      </c>
      <c r="AD164" t="str">
        <f t="shared" si="31"/>
        <v>-</v>
      </c>
      <c r="AE164" t="b">
        <f t="shared" si="32"/>
        <v>1</v>
      </c>
    </row>
    <row r="165" spans="1:31" x14ac:dyDescent="0.25">
      <c r="A165">
        <v>7</v>
      </c>
      <c r="B165">
        <v>40</v>
      </c>
      <c r="C165">
        <v>261</v>
      </c>
      <c r="D165" s="11" t="s">
        <v>145</v>
      </c>
      <c r="E165" s="11" t="s">
        <v>238</v>
      </c>
      <c r="F165" s="11" t="s">
        <v>215</v>
      </c>
      <c r="G165" s="11" t="s">
        <v>254</v>
      </c>
      <c r="H165">
        <v>3</v>
      </c>
      <c r="I165" s="11" t="s">
        <v>173</v>
      </c>
      <c r="J165" s="11" t="s">
        <v>268</v>
      </c>
      <c r="K165" s="11" t="s">
        <v>177</v>
      </c>
      <c r="L165" s="11" t="s">
        <v>38</v>
      </c>
      <c r="M165" s="11" t="s">
        <v>38</v>
      </c>
      <c r="N165" s="11" t="s">
        <v>38</v>
      </c>
      <c r="O165" s="11" t="s">
        <v>38</v>
      </c>
      <c r="P165" t="s">
        <v>8</v>
      </c>
      <c r="Q165">
        <v>10815</v>
      </c>
      <c r="R165">
        <v>0</v>
      </c>
      <c r="S165">
        <v>0</v>
      </c>
      <c r="T165" t="str">
        <f t="shared" si="22"/>
        <v>-</v>
      </c>
      <c r="U165" t="str">
        <f t="shared" si="23"/>
        <v>-</v>
      </c>
      <c r="V165" t="str">
        <f t="shared" si="24"/>
        <v>-</v>
      </c>
      <c r="W165" t="str">
        <f t="shared" si="25"/>
        <v>-</v>
      </c>
      <c r="X165" t="str">
        <f t="shared" si="26"/>
        <v>-</v>
      </c>
      <c r="Y165" t="str">
        <f t="shared" si="27"/>
        <v>-</v>
      </c>
      <c r="Z165" t="str">
        <f t="shared" si="28"/>
        <v>-</v>
      </c>
      <c r="AA165" t="str">
        <f t="shared" si="29"/>
        <v>-</v>
      </c>
      <c r="AB165" t="str">
        <f>IF(_xlfn.IFNA(VLOOKUP(P165,Set_Ref!$B$6:$B$1048576,1,FALSE),"")&lt;&gt;"","-",FALSE)</f>
        <v>-</v>
      </c>
      <c r="AC165" t="str">
        <f t="shared" si="30"/>
        <v>-</v>
      </c>
      <c r="AD165" t="str">
        <f t="shared" si="31"/>
        <v>-</v>
      </c>
      <c r="AE165" t="b">
        <f t="shared" si="32"/>
        <v>1</v>
      </c>
    </row>
    <row r="166" spans="1:31" x14ac:dyDescent="0.25">
      <c r="A166">
        <v>7</v>
      </c>
      <c r="B166">
        <v>41</v>
      </c>
      <c r="C166">
        <v>261</v>
      </c>
      <c r="D166" s="11" t="s">
        <v>145</v>
      </c>
      <c r="E166" s="11" t="s">
        <v>242</v>
      </c>
      <c r="F166" s="11" t="s">
        <v>218</v>
      </c>
      <c r="G166" s="11" t="s">
        <v>257</v>
      </c>
      <c r="H166">
        <v>6</v>
      </c>
      <c r="I166" s="11" t="s">
        <v>173</v>
      </c>
      <c r="J166" s="11" t="s">
        <v>195</v>
      </c>
      <c r="K166" s="11" t="s">
        <v>177</v>
      </c>
      <c r="L166" s="11" t="s">
        <v>38</v>
      </c>
      <c r="M166" s="11" t="s">
        <v>38</v>
      </c>
      <c r="N166" s="11" t="s">
        <v>38</v>
      </c>
      <c r="O166" s="11" t="s">
        <v>38</v>
      </c>
      <c r="P166" t="s">
        <v>8</v>
      </c>
      <c r="Q166">
        <v>18000</v>
      </c>
      <c r="R166">
        <v>0</v>
      </c>
      <c r="S166">
        <v>0</v>
      </c>
      <c r="T166" t="str">
        <f t="shared" si="22"/>
        <v>-</v>
      </c>
      <c r="U166" t="str">
        <f t="shared" si="23"/>
        <v>-</v>
      </c>
      <c r="V166" t="str">
        <f t="shared" si="24"/>
        <v>-</v>
      </c>
      <c r="W166" t="str">
        <f t="shared" si="25"/>
        <v>-</v>
      </c>
      <c r="X166" t="str">
        <f t="shared" si="26"/>
        <v>-</v>
      </c>
      <c r="Y166" t="str">
        <f t="shared" si="27"/>
        <v>-</v>
      </c>
      <c r="Z166" t="str">
        <f t="shared" si="28"/>
        <v>-</v>
      </c>
      <c r="AA166" t="str">
        <f t="shared" si="29"/>
        <v>-</v>
      </c>
      <c r="AB166" t="str">
        <f>IF(_xlfn.IFNA(VLOOKUP(P166,Set_Ref!$B$6:$B$1048576,1,FALSE),"")&lt;&gt;"","-",FALSE)</f>
        <v>-</v>
      </c>
      <c r="AC166" t="str">
        <f t="shared" si="30"/>
        <v>-</v>
      </c>
      <c r="AD166" t="str">
        <f t="shared" si="31"/>
        <v>-</v>
      </c>
      <c r="AE166" t="b">
        <f t="shared" si="32"/>
        <v>1</v>
      </c>
    </row>
    <row r="167" spans="1:31" x14ac:dyDescent="0.25">
      <c r="A167">
        <v>7</v>
      </c>
      <c r="B167">
        <v>42</v>
      </c>
      <c r="C167">
        <v>261</v>
      </c>
      <c r="D167" s="11" t="s">
        <v>145</v>
      </c>
      <c r="E167" s="11" t="s">
        <v>242</v>
      </c>
      <c r="F167" s="11" t="s">
        <v>218</v>
      </c>
      <c r="G167" s="11" t="s">
        <v>257</v>
      </c>
      <c r="H167">
        <v>6</v>
      </c>
      <c r="I167" s="11" t="s">
        <v>173</v>
      </c>
      <c r="J167" s="11" t="s">
        <v>195</v>
      </c>
      <c r="K167" s="11" t="s">
        <v>177</v>
      </c>
      <c r="L167" s="11" t="s">
        <v>38</v>
      </c>
      <c r="M167" s="11" t="s">
        <v>38</v>
      </c>
      <c r="N167" s="11" t="s">
        <v>38</v>
      </c>
      <c r="O167" s="11" t="s">
        <v>38</v>
      </c>
      <c r="P167" t="s">
        <v>8</v>
      </c>
      <c r="Q167">
        <v>18000</v>
      </c>
      <c r="R167">
        <v>0</v>
      </c>
      <c r="S167">
        <v>0</v>
      </c>
      <c r="T167" t="str">
        <f t="shared" si="22"/>
        <v>-</v>
      </c>
      <c r="U167" t="str">
        <f t="shared" si="23"/>
        <v>-</v>
      </c>
      <c r="V167" t="str">
        <f t="shared" si="24"/>
        <v>-</v>
      </c>
      <c r="W167" t="str">
        <f t="shared" si="25"/>
        <v>-</v>
      </c>
      <c r="X167" t="str">
        <f t="shared" si="26"/>
        <v>-</v>
      </c>
      <c r="Y167" t="str">
        <f t="shared" si="27"/>
        <v>-</v>
      </c>
      <c r="Z167" t="str">
        <f t="shared" si="28"/>
        <v>-</v>
      </c>
      <c r="AA167" t="str">
        <f t="shared" si="29"/>
        <v>-</v>
      </c>
      <c r="AB167" t="str">
        <f>IF(_xlfn.IFNA(VLOOKUP(P167,Set_Ref!$B$6:$B$1048576,1,FALSE),"")&lt;&gt;"","-",FALSE)</f>
        <v>-</v>
      </c>
      <c r="AC167" t="str">
        <f t="shared" si="30"/>
        <v>-</v>
      </c>
      <c r="AD167" t="str">
        <f t="shared" si="31"/>
        <v>-</v>
      </c>
      <c r="AE167" t="b">
        <f t="shared" si="32"/>
        <v>1</v>
      </c>
    </row>
    <row r="168" spans="1:31" x14ac:dyDescent="0.25">
      <c r="A168">
        <v>7</v>
      </c>
      <c r="B168">
        <v>43</v>
      </c>
      <c r="C168">
        <v>261</v>
      </c>
      <c r="D168" s="11" t="s">
        <v>145</v>
      </c>
      <c r="E168" s="11" t="s">
        <v>242</v>
      </c>
      <c r="F168" s="11" t="s">
        <v>218</v>
      </c>
      <c r="G168" s="11" t="s">
        <v>257</v>
      </c>
      <c r="H168">
        <v>6</v>
      </c>
      <c r="I168" s="11" t="s">
        <v>173</v>
      </c>
      <c r="J168" s="11" t="s">
        <v>195</v>
      </c>
      <c r="K168" s="11" t="s">
        <v>177</v>
      </c>
      <c r="L168" s="11" t="s">
        <v>38</v>
      </c>
      <c r="M168" s="11" t="s">
        <v>38</v>
      </c>
      <c r="N168" s="11" t="s">
        <v>38</v>
      </c>
      <c r="O168" s="11" t="s">
        <v>38</v>
      </c>
      <c r="P168" t="s">
        <v>8</v>
      </c>
      <c r="Q168">
        <v>18000</v>
      </c>
      <c r="R168">
        <v>0</v>
      </c>
      <c r="S168">
        <v>0</v>
      </c>
      <c r="T168" t="str">
        <f t="shared" si="22"/>
        <v>-</v>
      </c>
      <c r="U168" t="str">
        <f t="shared" si="23"/>
        <v>-</v>
      </c>
      <c r="V168" t="str">
        <f t="shared" si="24"/>
        <v>-</v>
      </c>
      <c r="W168" t="str">
        <f t="shared" si="25"/>
        <v>-</v>
      </c>
      <c r="X168" t="str">
        <f t="shared" si="26"/>
        <v>-</v>
      </c>
      <c r="Y168" t="str">
        <f t="shared" si="27"/>
        <v>-</v>
      </c>
      <c r="Z168" t="str">
        <f t="shared" si="28"/>
        <v>-</v>
      </c>
      <c r="AA168" t="str">
        <f t="shared" si="29"/>
        <v>-</v>
      </c>
      <c r="AB168" t="str">
        <f>IF(_xlfn.IFNA(VLOOKUP(P168,Set_Ref!$B$6:$B$1048576,1,FALSE),"")&lt;&gt;"","-",FALSE)</f>
        <v>-</v>
      </c>
      <c r="AC168" t="str">
        <f t="shared" si="30"/>
        <v>-</v>
      </c>
      <c r="AD168" t="str">
        <f t="shared" si="31"/>
        <v>-</v>
      </c>
      <c r="AE168" t="b">
        <f t="shared" si="32"/>
        <v>1</v>
      </c>
    </row>
    <row r="169" spans="1:31" x14ac:dyDescent="0.25">
      <c r="A169">
        <v>7</v>
      </c>
      <c r="B169">
        <v>44</v>
      </c>
      <c r="C169">
        <v>261</v>
      </c>
      <c r="D169" s="11" t="s">
        <v>145</v>
      </c>
      <c r="E169" s="11" t="s">
        <v>237</v>
      </c>
      <c r="F169" s="11" t="s">
        <v>220</v>
      </c>
      <c r="G169" s="11" t="s">
        <v>253</v>
      </c>
      <c r="H169">
        <v>4</v>
      </c>
      <c r="I169" s="11" t="s">
        <v>173</v>
      </c>
      <c r="J169" s="11" t="s">
        <v>269</v>
      </c>
      <c r="K169" s="11" t="s">
        <v>177</v>
      </c>
      <c r="L169" s="11" t="s">
        <v>38</v>
      </c>
      <c r="M169" s="11" t="s">
        <v>38</v>
      </c>
      <c r="N169" s="11" t="s">
        <v>38</v>
      </c>
      <c r="O169" s="11" t="s">
        <v>38</v>
      </c>
      <c r="P169" t="s">
        <v>8</v>
      </c>
      <c r="Q169">
        <v>87</v>
      </c>
      <c r="R169">
        <v>0</v>
      </c>
      <c r="S169">
        <v>0</v>
      </c>
      <c r="T169" t="str">
        <f t="shared" si="22"/>
        <v>-</v>
      </c>
      <c r="U169" t="str">
        <f t="shared" si="23"/>
        <v>-</v>
      </c>
      <c r="V169" t="str">
        <f t="shared" si="24"/>
        <v>-</v>
      </c>
      <c r="W169" t="str">
        <f t="shared" si="25"/>
        <v>-</v>
      </c>
      <c r="X169" t="str">
        <f t="shared" si="26"/>
        <v>-</v>
      </c>
      <c r="Y169" t="str">
        <f t="shared" si="27"/>
        <v>-</v>
      </c>
      <c r="Z169" t="str">
        <f t="shared" si="28"/>
        <v>-</v>
      </c>
      <c r="AA169" t="str">
        <f t="shared" si="29"/>
        <v>-</v>
      </c>
      <c r="AB169" t="str">
        <f>IF(_xlfn.IFNA(VLOOKUP(P169,Set_Ref!$B$6:$B$1048576,1,FALSE),"")&lt;&gt;"","-",FALSE)</f>
        <v>-</v>
      </c>
      <c r="AC169" t="str">
        <f t="shared" si="30"/>
        <v>-</v>
      </c>
      <c r="AD169" t="str">
        <f t="shared" si="31"/>
        <v>-</v>
      </c>
      <c r="AE169" t="b">
        <f t="shared" si="32"/>
        <v>1</v>
      </c>
    </row>
    <row r="170" spans="1:31" x14ac:dyDescent="0.25">
      <c r="A170">
        <v>7</v>
      </c>
      <c r="B170">
        <v>45</v>
      </c>
      <c r="C170">
        <v>261</v>
      </c>
      <c r="D170" s="11" t="s">
        <v>145</v>
      </c>
      <c r="E170" s="11" t="s">
        <v>237</v>
      </c>
      <c r="F170" s="11" t="s">
        <v>220</v>
      </c>
      <c r="G170" s="11" t="s">
        <v>253</v>
      </c>
      <c r="H170">
        <v>4</v>
      </c>
      <c r="I170" s="11" t="s">
        <v>173</v>
      </c>
      <c r="J170" s="11" t="s">
        <v>269</v>
      </c>
      <c r="K170" s="11" t="s">
        <v>177</v>
      </c>
      <c r="L170" s="11" t="s">
        <v>38</v>
      </c>
      <c r="M170" s="11" t="s">
        <v>38</v>
      </c>
      <c r="N170" s="11" t="s">
        <v>38</v>
      </c>
      <c r="O170" s="11" t="s">
        <v>38</v>
      </c>
      <c r="P170" t="s">
        <v>8</v>
      </c>
      <c r="Q170">
        <v>75</v>
      </c>
      <c r="R170">
        <v>0</v>
      </c>
      <c r="S170">
        <v>0</v>
      </c>
      <c r="T170" t="str">
        <f t="shared" si="22"/>
        <v>-</v>
      </c>
      <c r="U170" t="str">
        <f t="shared" si="23"/>
        <v>-</v>
      </c>
      <c r="V170" t="str">
        <f t="shared" si="24"/>
        <v>-</v>
      </c>
      <c r="W170" t="str">
        <f t="shared" si="25"/>
        <v>-</v>
      </c>
      <c r="X170" t="str">
        <f t="shared" si="26"/>
        <v>-</v>
      </c>
      <c r="Y170" t="str">
        <f t="shared" si="27"/>
        <v>-</v>
      </c>
      <c r="Z170" t="str">
        <f t="shared" si="28"/>
        <v>-</v>
      </c>
      <c r="AA170" t="str">
        <f t="shared" si="29"/>
        <v>-</v>
      </c>
      <c r="AB170" t="str">
        <f>IF(_xlfn.IFNA(VLOOKUP(P170,Set_Ref!$B$6:$B$1048576,1,FALSE),"")&lt;&gt;"","-",FALSE)</f>
        <v>-</v>
      </c>
      <c r="AC170" t="str">
        <f t="shared" si="30"/>
        <v>-</v>
      </c>
      <c r="AD170" t="str">
        <f t="shared" si="31"/>
        <v>-</v>
      </c>
      <c r="AE170" t="b">
        <f t="shared" si="32"/>
        <v>1</v>
      </c>
    </row>
    <row r="171" spans="1:31" x14ac:dyDescent="0.25">
      <c r="A171">
        <v>7</v>
      </c>
      <c r="B171">
        <v>46</v>
      </c>
      <c r="C171">
        <v>261</v>
      </c>
      <c r="D171" s="11" t="s">
        <v>145</v>
      </c>
      <c r="E171" s="11" t="s">
        <v>237</v>
      </c>
      <c r="F171" s="11" t="s">
        <v>220</v>
      </c>
      <c r="G171" s="11" t="s">
        <v>253</v>
      </c>
      <c r="H171">
        <v>4</v>
      </c>
      <c r="I171" s="11" t="s">
        <v>173</v>
      </c>
      <c r="J171" s="11" t="s">
        <v>269</v>
      </c>
      <c r="K171" s="11" t="s">
        <v>177</v>
      </c>
      <c r="L171" s="11" t="s">
        <v>38</v>
      </c>
      <c r="M171" s="11" t="s">
        <v>38</v>
      </c>
      <c r="N171" s="11" t="s">
        <v>38</v>
      </c>
      <c r="O171" s="11" t="s">
        <v>38</v>
      </c>
      <c r="P171" t="s">
        <v>8</v>
      </c>
      <c r="Q171">
        <v>42</v>
      </c>
      <c r="R171">
        <v>0</v>
      </c>
      <c r="S171">
        <v>0</v>
      </c>
      <c r="T171" t="str">
        <f t="shared" si="22"/>
        <v>-</v>
      </c>
      <c r="U171" t="str">
        <f t="shared" si="23"/>
        <v>-</v>
      </c>
      <c r="V171" t="str">
        <f t="shared" si="24"/>
        <v>-</v>
      </c>
      <c r="W171" t="str">
        <f t="shared" si="25"/>
        <v>-</v>
      </c>
      <c r="X171" t="str">
        <f t="shared" si="26"/>
        <v>-</v>
      </c>
      <c r="Y171" t="str">
        <f t="shared" si="27"/>
        <v>-</v>
      </c>
      <c r="Z171" t="str">
        <f t="shared" si="28"/>
        <v>-</v>
      </c>
      <c r="AA171" t="str">
        <f t="shared" si="29"/>
        <v>-</v>
      </c>
      <c r="AB171" t="str">
        <f>IF(_xlfn.IFNA(VLOOKUP(P171,Set_Ref!$B$6:$B$1048576,1,FALSE),"")&lt;&gt;"","-",FALSE)</f>
        <v>-</v>
      </c>
      <c r="AC171" t="str">
        <f t="shared" si="30"/>
        <v>-</v>
      </c>
      <c r="AD171" t="str">
        <f t="shared" si="31"/>
        <v>-</v>
      </c>
      <c r="AE171" t="b">
        <f t="shared" si="32"/>
        <v>1</v>
      </c>
    </row>
    <row r="172" spans="1:31" x14ac:dyDescent="0.25">
      <c r="A172">
        <v>8</v>
      </c>
      <c r="B172">
        <v>1</v>
      </c>
      <c r="C172">
        <v>261</v>
      </c>
      <c r="D172" s="11" t="s">
        <v>145</v>
      </c>
      <c r="E172" s="11" t="s">
        <v>240</v>
      </c>
      <c r="F172" s="11" t="s">
        <v>214</v>
      </c>
      <c r="G172" s="11" t="s">
        <v>255</v>
      </c>
      <c r="H172">
        <v>8</v>
      </c>
      <c r="I172" s="11" t="s">
        <v>227</v>
      </c>
      <c r="J172" s="11" t="s">
        <v>185</v>
      </c>
      <c r="K172" s="11" t="s">
        <v>178</v>
      </c>
      <c r="L172" s="11" t="s">
        <v>38</v>
      </c>
      <c r="M172" s="11" t="s">
        <v>38</v>
      </c>
      <c r="N172" s="11" t="s">
        <v>38</v>
      </c>
      <c r="O172" s="11" t="s">
        <v>38</v>
      </c>
      <c r="P172" t="s">
        <v>8</v>
      </c>
      <c r="Q172">
        <v>2678</v>
      </c>
      <c r="R172">
        <v>0</v>
      </c>
      <c r="S172">
        <v>0</v>
      </c>
      <c r="T172" t="str">
        <f t="shared" si="22"/>
        <v>-</v>
      </c>
      <c r="U172" t="str">
        <f t="shared" si="23"/>
        <v>-</v>
      </c>
      <c r="V172" t="str">
        <f t="shared" si="24"/>
        <v>-</v>
      </c>
      <c r="W172" t="str">
        <f t="shared" si="25"/>
        <v>-</v>
      </c>
      <c r="X172" t="str">
        <f t="shared" si="26"/>
        <v>-</v>
      </c>
      <c r="Y172" t="str">
        <f t="shared" si="27"/>
        <v>-</v>
      </c>
      <c r="Z172" t="str">
        <f t="shared" si="28"/>
        <v>-</v>
      </c>
      <c r="AA172" t="str">
        <f t="shared" si="29"/>
        <v>-</v>
      </c>
      <c r="AB172" t="str">
        <f>IF(_xlfn.IFNA(VLOOKUP(P172,Set_Ref!$B$6:$B$1048576,1,FALSE),"")&lt;&gt;"","-",FALSE)</f>
        <v>-</v>
      </c>
      <c r="AC172" t="str">
        <f t="shared" si="30"/>
        <v>-</v>
      </c>
      <c r="AD172" t="str">
        <f t="shared" si="31"/>
        <v>-</v>
      </c>
      <c r="AE172" t="b">
        <f t="shared" si="32"/>
        <v>1</v>
      </c>
    </row>
    <row r="173" spans="1:31" x14ac:dyDescent="0.25">
      <c r="A173">
        <v>8</v>
      </c>
      <c r="B173">
        <v>2</v>
      </c>
      <c r="C173">
        <v>261</v>
      </c>
      <c r="D173" s="11" t="s">
        <v>145</v>
      </c>
      <c r="E173" s="11" t="s">
        <v>241</v>
      </c>
      <c r="F173" s="11" t="s">
        <v>197</v>
      </c>
      <c r="G173" s="11" t="s">
        <v>256</v>
      </c>
      <c r="H173">
        <v>5</v>
      </c>
      <c r="I173" s="11" t="s">
        <v>227</v>
      </c>
      <c r="J173" s="11" t="s">
        <v>185</v>
      </c>
      <c r="K173" s="11" t="s">
        <v>178</v>
      </c>
      <c r="L173" s="11" t="s">
        <v>38</v>
      </c>
      <c r="M173" s="11" t="s">
        <v>38</v>
      </c>
      <c r="N173" s="11" t="s">
        <v>38</v>
      </c>
      <c r="O173" s="11" t="s">
        <v>38</v>
      </c>
      <c r="P173" t="s">
        <v>8</v>
      </c>
      <c r="Q173">
        <v>4223</v>
      </c>
      <c r="R173">
        <v>0</v>
      </c>
      <c r="S173">
        <v>0</v>
      </c>
      <c r="T173" t="str">
        <f t="shared" si="22"/>
        <v>-</v>
      </c>
      <c r="U173" t="str">
        <f t="shared" si="23"/>
        <v>-</v>
      </c>
      <c r="V173" t="str">
        <f t="shared" si="24"/>
        <v>-</v>
      </c>
      <c r="W173" t="str">
        <f t="shared" si="25"/>
        <v>-</v>
      </c>
      <c r="X173" t="str">
        <f t="shared" si="26"/>
        <v>-</v>
      </c>
      <c r="Y173" t="str">
        <f t="shared" si="27"/>
        <v>-</v>
      </c>
      <c r="Z173" t="str">
        <f t="shared" si="28"/>
        <v>-</v>
      </c>
      <c r="AA173" t="str">
        <f t="shared" si="29"/>
        <v>-</v>
      </c>
      <c r="AB173" t="str">
        <f>IF(_xlfn.IFNA(VLOOKUP(P173,Set_Ref!$B$6:$B$1048576,1,FALSE),"")&lt;&gt;"","-",FALSE)</f>
        <v>-</v>
      </c>
      <c r="AC173" t="str">
        <f t="shared" si="30"/>
        <v>-</v>
      </c>
      <c r="AD173" t="str">
        <f t="shared" si="31"/>
        <v>-</v>
      </c>
      <c r="AE173" t="b">
        <f t="shared" si="32"/>
        <v>1</v>
      </c>
    </row>
    <row r="174" spans="1:31" x14ac:dyDescent="0.25">
      <c r="A174">
        <v>8</v>
      </c>
      <c r="B174">
        <v>3</v>
      </c>
      <c r="C174">
        <v>261</v>
      </c>
      <c r="D174" s="11" t="s">
        <v>145</v>
      </c>
      <c r="E174" s="11" t="s">
        <v>238</v>
      </c>
      <c r="F174" s="11" t="s">
        <v>215</v>
      </c>
      <c r="G174" s="11" t="s">
        <v>254</v>
      </c>
      <c r="H174">
        <v>9</v>
      </c>
      <c r="I174" s="11" t="s">
        <v>227</v>
      </c>
      <c r="J174" s="11" t="s">
        <v>185</v>
      </c>
      <c r="K174" s="11" t="s">
        <v>178</v>
      </c>
      <c r="L174" s="11" t="s">
        <v>38</v>
      </c>
      <c r="M174" s="11" t="s">
        <v>38</v>
      </c>
      <c r="N174" s="11" t="s">
        <v>38</v>
      </c>
      <c r="O174" s="11" t="s">
        <v>38</v>
      </c>
      <c r="P174" t="s">
        <v>8</v>
      </c>
      <c r="Q174">
        <v>90</v>
      </c>
      <c r="R174">
        <v>0</v>
      </c>
      <c r="S174">
        <v>0</v>
      </c>
      <c r="T174" t="str">
        <f t="shared" si="22"/>
        <v>-</v>
      </c>
      <c r="U174" t="str">
        <f t="shared" si="23"/>
        <v>-</v>
      </c>
      <c r="V174" t="str">
        <f t="shared" si="24"/>
        <v>-</v>
      </c>
      <c r="W174" t="str">
        <f t="shared" si="25"/>
        <v>-</v>
      </c>
      <c r="X174" t="str">
        <f t="shared" si="26"/>
        <v>-</v>
      </c>
      <c r="Y174" t="str">
        <f t="shared" si="27"/>
        <v>-</v>
      </c>
      <c r="Z174" t="str">
        <f t="shared" si="28"/>
        <v>-</v>
      </c>
      <c r="AA174" t="str">
        <f t="shared" si="29"/>
        <v>-</v>
      </c>
      <c r="AB174" t="str">
        <f>IF(_xlfn.IFNA(VLOOKUP(P174,Set_Ref!$B$6:$B$1048576,1,FALSE),"")&lt;&gt;"","-",FALSE)</f>
        <v>-</v>
      </c>
      <c r="AC174" t="str">
        <f t="shared" si="30"/>
        <v>-</v>
      </c>
      <c r="AD174" t="str">
        <f t="shared" si="31"/>
        <v>-</v>
      </c>
      <c r="AE174" t="b">
        <f t="shared" si="32"/>
        <v>1</v>
      </c>
    </row>
    <row r="175" spans="1:31" x14ac:dyDescent="0.25">
      <c r="A175">
        <v>8</v>
      </c>
      <c r="B175">
        <v>4</v>
      </c>
      <c r="C175">
        <v>261</v>
      </c>
      <c r="D175" s="11" t="s">
        <v>145</v>
      </c>
      <c r="E175" s="11" t="s">
        <v>242</v>
      </c>
      <c r="F175" s="11" t="s">
        <v>218</v>
      </c>
      <c r="G175" s="11" t="s">
        <v>257</v>
      </c>
      <c r="H175">
        <v>8</v>
      </c>
      <c r="I175" s="11" t="s">
        <v>227</v>
      </c>
      <c r="J175" s="11" t="s">
        <v>185</v>
      </c>
      <c r="K175" s="11" t="s">
        <v>178</v>
      </c>
      <c r="L175" s="11" t="s">
        <v>38</v>
      </c>
      <c r="M175" s="11" t="s">
        <v>38</v>
      </c>
      <c r="N175" s="11" t="s">
        <v>38</v>
      </c>
      <c r="O175" s="11" t="s">
        <v>38</v>
      </c>
      <c r="P175" t="s">
        <v>8</v>
      </c>
      <c r="Q175">
        <v>2498</v>
      </c>
      <c r="R175">
        <v>0</v>
      </c>
      <c r="S175">
        <v>0</v>
      </c>
      <c r="T175" t="str">
        <f t="shared" si="22"/>
        <v>-</v>
      </c>
      <c r="U175" t="str">
        <f t="shared" si="23"/>
        <v>-</v>
      </c>
      <c r="V175" t="str">
        <f t="shared" si="24"/>
        <v>-</v>
      </c>
      <c r="W175" t="str">
        <f t="shared" si="25"/>
        <v>-</v>
      </c>
      <c r="X175" t="str">
        <f t="shared" si="26"/>
        <v>-</v>
      </c>
      <c r="Y175" t="str">
        <f t="shared" si="27"/>
        <v>-</v>
      </c>
      <c r="Z175" t="str">
        <f t="shared" si="28"/>
        <v>-</v>
      </c>
      <c r="AA175" t="str">
        <f t="shared" si="29"/>
        <v>-</v>
      </c>
      <c r="AB175" t="str">
        <f>IF(_xlfn.IFNA(VLOOKUP(P175,Set_Ref!$B$6:$B$1048576,1,FALSE),"")&lt;&gt;"","-",FALSE)</f>
        <v>-</v>
      </c>
      <c r="AC175" t="str">
        <f t="shared" si="30"/>
        <v>-</v>
      </c>
      <c r="AD175" t="str">
        <f t="shared" si="31"/>
        <v>-</v>
      </c>
      <c r="AE175" t="b">
        <f t="shared" si="32"/>
        <v>1</v>
      </c>
    </row>
    <row r="176" spans="1:31" x14ac:dyDescent="0.25">
      <c r="A176">
        <v>8</v>
      </c>
      <c r="B176">
        <v>5</v>
      </c>
      <c r="C176">
        <v>261</v>
      </c>
      <c r="D176" s="11" t="s">
        <v>145</v>
      </c>
      <c r="E176" s="11" t="s">
        <v>243</v>
      </c>
      <c r="F176" s="11" t="s">
        <v>219</v>
      </c>
      <c r="G176" s="11" t="s">
        <v>258</v>
      </c>
      <c r="H176">
        <v>3</v>
      </c>
      <c r="I176" s="11" t="s">
        <v>227</v>
      </c>
      <c r="J176" s="11" t="s">
        <v>185</v>
      </c>
      <c r="K176" s="11" t="s">
        <v>178</v>
      </c>
      <c r="L176" s="11" t="s">
        <v>38</v>
      </c>
      <c r="M176" s="11" t="s">
        <v>38</v>
      </c>
      <c r="N176" s="11" t="s">
        <v>38</v>
      </c>
      <c r="O176" s="11" t="s">
        <v>38</v>
      </c>
      <c r="P176" t="s">
        <v>8</v>
      </c>
      <c r="Q176">
        <v>68</v>
      </c>
      <c r="R176">
        <v>0</v>
      </c>
      <c r="S176">
        <v>0</v>
      </c>
      <c r="T176" t="str">
        <f t="shared" si="22"/>
        <v>-</v>
      </c>
      <c r="U176" t="str">
        <f t="shared" si="23"/>
        <v>-</v>
      </c>
      <c r="V176" t="str">
        <f t="shared" si="24"/>
        <v>-</v>
      </c>
      <c r="W176" t="str">
        <f t="shared" si="25"/>
        <v>-</v>
      </c>
      <c r="X176" t="str">
        <f t="shared" si="26"/>
        <v>-</v>
      </c>
      <c r="Y176" t="str">
        <f t="shared" si="27"/>
        <v>-</v>
      </c>
      <c r="Z176" t="str">
        <f t="shared" si="28"/>
        <v>-</v>
      </c>
      <c r="AA176" t="str">
        <f t="shared" si="29"/>
        <v>-</v>
      </c>
      <c r="AB176" t="str">
        <f>IF(_xlfn.IFNA(VLOOKUP(P176,Set_Ref!$B$6:$B$1048576,1,FALSE),"")&lt;&gt;"","-",FALSE)</f>
        <v>-</v>
      </c>
      <c r="AC176" t="str">
        <f t="shared" si="30"/>
        <v>-</v>
      </c>
      <c r="AD176" t="str">
        <f t="shared" si="31"/>
        <v>-</v>
      </c>
      <c r="AE176" t="b">
        <f t="shared" si="32"/>
        <v>1</v>
      </c>
    </row>
    <row r="177" spans="1:31" x14ac:dyDescent="0.25">
      <c r="A177">
        <v>9</v>
      </c>
      <c r="B177">
        <v>1</v>
      </c>
      <c r="C177">
        <v>261</v>
      </c>
      <c r="D177" s="11" t="s">
        <v>145</v>
      </c>
      <c r="E177" s="11" t="s">
        <v>235</v>
      </c>
      <c r="F177" s="11" t="s">
        <v>213</v>
      </c>
      <c r="G177" s="11" t="s">
        <v>252</v>
      </c>
      <c r="H177">
        <v>10</v>
      </c>
      <c r="I177" s="11" t="s">
        <v>199</v>
      </c>
      <c r="J177" s="11" t="s">
        <v>228</v>
      </c>
      <c r="K177" s="11" t="s">
        <v>207</v>
      </c>
      <c r="L177" s="11" t="s">
        <v>38</v>
      </c>
      <c r="M177" s="11" t="s">
        <v>38</v>
      </c>
      <c r="N177" s="11" t="s">
        <v>38</v>
      </c>
      <c r="O177" s="11" t="s">
        <v>38</v>
      </c>
      <c r="P177" t="s">
        <v>6</v>
      </c>
      <c r="Q177">
        <v>574.79999999999995</v>
      </c>
      <c r="R177">
        <v>0</v>
      </c>
      <c r="S177">
        <v>0</v>
      </c>
      <c r="T177" t="str">
        <f t="shared" si="22"/>
        <v>-</v>
      </c>
      <c r="U177" t="str">
        <f t="shared" si="23"/>
        <v>-</v>
      </c>
      <c r="V177" t="str">
        <f t="shared" si="24"/>
        <v>-</v>
      </c>
      <c r="W177" t="str">
        <f t="shared" si="25"/>
        <v>-</v>
      </c>
      <c r="X177" t="str">
        <f t="shared" si="26"/>
        <v>-</v>
      </c>
      <c r="Y177" t="str">
        <f t="shared" si="27"/>
        <v>-</v>
      </c>
      <c r="Z177" t="str">
        <f t="shared" si="28"/>
        <v>-</v>
      </c>
      <c r="AA177" t="str">
        <f t="shared" si="29"/>
        <v>-</v>
      </c>
      <c r="AB177" t="str">
        <f>IF(_xlfn.IFNA(VLOOKUP(P177,Set_Ref!$B$6:$B$1048576,1,FALSE),"")&lt;&gt;"","-",FALSE)</f>
        <v>-</v>
      </c>
      <c r="AC177" t="str">
        <f t="shared" si="30"/>
        <v>-</v>
      </c>
      <c r="AD177" t="str">
        <f t="shared" si="31"/>
        <v>-</v>
      </c>
      <c r="AE177" t="b">
        <f t="shared" si="32"/>
        <v>1</v>
      </c>
    </row>
    <row r="178" spans="1:31" x14ac:dyDescent="0.25">
      <c r="A178">
        <v>9</v>
      </c>
      <c r="B178">
        <v>2</v>
      </c>
      <c r="C178">
        <v>261</v>
      </c>
      <c r="D178" s="11" t="s">
        <v>145</v>
      </c>
      <c r="E178" s="11" t="s">
        <v>240</v>
      </c>
      <c r="F178" s="11" t="s">
        <v>214</v>
      </c>
      <c r="G178" s="11" t="s">
        <v>255</v>
      </c>
      <c r="H178">
        <v>1</v>
      </c>
      <c r="I178" s="11" t="s">
        <v>199</v>
      </c>
      <c r="J178" s="11" t="s">
        <v>228</v>
      </c>
      <c r="K178" s="11" t="s">
        <v>207</v>
      </c>
      <c r="L178" s="11" t="s">
        <v>38</v>
      </c>
      <c r="M178" s="11" t="s">
        <v>38</v>
      </c>
      <c r="N178" s="11" t="s">
        <v>38</v>
      </c>
      <c r="O178" s="11" t="s">
        <v>38</v>
      </c>
      <c r="P178" t="s">
        <v>6</v>
      </c>
      <c r="Q178">
        <v>1.6</v>
      </c>
      <c r="R178">
        <v>0</v>
      </c>
      <c r="S178">
        <v>0</v>
      </c>
      <c r="T178" t="str">
        <f t="shared" si="22"/>
        <v>-</v>
      </c>
      <c r="U178" t="str">
        <f t="shared" si="23"/>
        <v>-</v>
      </c>
      <c r="V178" t="str">
        <f t="shared" si="24"/>
        <v>-</v>
      </c>
      <c r="W178" t="str">
        <f t="shared" si="25"/>
        <v>-</v>
      </c>
      <c r="X178" t="str">
        <f t="shared" si="26"/>
        <v>-</v>
      </c>
      <c r="Y178" t="str">
        <f t="shared" si="27"/>
        <v>-</v>
      </c>
      <c r="Z178" t="str">
        <f t="shared" si="28"/>
        <v>-</v>
      </c>
      <c r="AA178" t="str">
        <f t="shared" si="29"/>
        <v>-</v>
      </c>
      <c r="AB178" t="str">
        <f>IF(_xlfn.IFNA(VLOOKUP(P178,Set_Ref!$B$6:$B$1048576,1,FALSE),"")&lt;&gt;"","-",FALSE)</f>
        <v>-</v>
      </c>
      <c r="AC178" t="str">
        <f t="shared" si="30"/>
        <v>-</v>
      </c>
      <c r="AD178" t="str">
        <f t="shared" si="31"/>
        <v>-</v>
      </c>
      <c r="AE178" t="b">
        <f t="shared" si="32"/>
        <v>1</v>
      </c>
    </row>
    <row r="179" spans="1:31" x14ac:dyDescent="0.25">
      <c r="A179">
        <v>10</v>
      </c>
      <c r="B179">
        <v>1</v>
      </c>
      <c r="C179">
        <v>261</v>
      </c>
      <c r="D179" s="55" t="s">
        <v>145</v>
      </c>
      <c r="E179" s="11" t="s">
        <v>235</v>
      </c>
      <c r="F179" s="11" t="s">
        <v>213</v>
      </c>
      <c r="G179" s="11" t="s">
        <v>252</v>
      </c>
      <c r="H179">
        <v>1</v>
      </c>
      <c r="I179" s="11" t="s">
        <v>270</v>
      </c>
      <c r="J179" s="11" t="s">
        <v>271</v>
      </c>
      <c r="K179" s="11" t="s">
        <v>179</v>
      </c>
      <c r="L179" s="11" t="s">
        <v>38</v>
      </c>
      <c r="M179" s="11" t="s">
        <v>38</v>
      </c>
      <c r="N179" s="11" t="s">
        <v>38</v>
      </c>
      <c r="O179" s="11" t="s">
        <v>38</v>
      </c>
      <c r="P179" t="s">
        <v>8</v>
      </c>
      <c r="Q179">
        <v>19600</v>
      </c>
      <c r="R179">
        <v>0</v>
      </c>
      <c r="S179">
        <v>0</v>
      </c>
      <c r="T179" t="str">
        <f t="shared" si="22"/>
        <v>-</v>
      </c>
      <c r="U179" t="str">
        <f t="shared" si="23"/>
        <v>-</v>
      </c>
      <c r="V179" t="str">
        <f t="shared" si="24"/>
        <v>-</v>
      </c>
      <c r="W179" t="str">
        <f t="shared" si="25"/>
        <v>-</v>
      </c>
      <c r="X179" t="str">
        <f t="shared" si="26"/>
        <v>-</v>
      </c>
      <c r="Y179" t="str">
        <f t="shared" si="27"/>
        <v>-</v>
      </c>
      <c r="Z179" t="str">
        <f t="shared" si="28"/>
        <v>-</v>
      </c>
      <c r="AA179" t="str">
        <f t="shared" si="29"/>
        <v>-</v>
      </c>
      <c r="AB179" t="str">
        <f>IF(_xlfn.IFNA(VLOOKUP(P179,Set_Ref!$B$6:$B$1048576,1,FALSE),"")&lt;&gt;"","-",FALSE)</f>
        <v>-</v>
      </c>
      <c r="AC179" t="str">
        <f t="shared" si="30"/>
        <v>-</v>
      </c>
      <c r="AD179" t="str">
        <f t="shared" si="31"/>
        <v>-</v>
      </c>
      <c r="AE179" t="b">
        <f t="shared" si="32"/>
        <v>1</v>
      </c>
    </row>
    <row r="180" spans="1:31" x14ac:dyDescent="0.25">
      <c r="A180">
        <v>10</v>
      </c>
      <c r="B180">
        <v>2</v>
      </c>
      <c r="C180">
        <v>261</v>
      </c>
      <c r="D180" s="11" t="s">
        <v>145</v>
      </c>
      <c r="E180" s="11" t="s">
        <v>235</v>
      </c>
      <c r="F180" s="11" t="s">
        <v>213</v>
      </c>
      <c r="G180" s="11" t="s">
        <v>252</v>
      </c>
      <c r="H180">
        <v>1</v>
      </c>
      <c r="I180" s="11" t="s">
        <v>270</v>
      </c>
      <c r="J180" s="11" t="s">
        <v>271</v>
      </c>
      <c r="K180" s="11" t="s">
        <v>179</v>
      </c>
      <c r="L180" s="11" t="s">
        <v>38</v>
      </c>
      <c r="M180" s="11" t="s">
        <v>38</v>
      </c>
      <c r="N180" s="11" t="s">
        <v>38</v>
      </c>
      <c r="O180" s="11" t="s">
        <v>38</v>
      </c>
      <c r="P180" t="s">
        <v>8</v>
      </c>
      <c r="Q180">
        <v>21200</v>
      </c>
      <c r="R180">
        <v>0</v>
      </c>
      <c r="S180">
        <v>0</v>
      </c>
      <c r="T180" t="str">
        <f t="shared" si="22"/>
        <v>-</v>
      </c>
      <c r="U180" t="str">
        <f t="shared" si="23"/>
        <v>-</v>
      </c>
      <c r="V180" t="str">
        <f t="shared" si="24"/>
        <v>-</v>
      </c>
      <c r="W180" t="str">
        <f t="shared" si="25"/>
        <v>-</v>
      </c>
      <c r="X180" t="str">
        <f t="shared" si="26"/>
        <v>-</v>
      </c>
      <c r="Y180" t="str">
        <f t="shared" si="27"/>
        <v>-</v>
      </c>
      <c r="Z180" t="str">
        <f t="shared" si="28"/>
        <v>-</v>
      </c>
      <c r="AA180" t="str">
        <f t="shared" si="29"/>
        <v>-</v>
      </c>
      <c r="AB180" t="str">
        <f>IF(_xlfn.IFNA(VLOOKUP(P180,Set_Ref!$B$6:$B$1048576,1,FALSE),"")&lt;&gt;"","-",FALSE)</f>
        <v>-</v>
      </c>
      <c r="AC180" t="str">
        <f t="shared" si="30"/>
        <v>-</v>
      </c>
      <c r="AD180" t="str">
        <f t="shared" si="31"/>
        <v>-</v>
      </c>
      <c r="AE180" t="b">
        <f t="shared" si="32"/>
        <v>1</v>
      </c>
    </row>
    <row r="181" spans="1:31" x14ac:dyDescent="0.25">
      <c r="A181">
        <v>10</v>
      </c>
      <c r="B181">
        <v>3</v>
      </c>
      <c r="C181">
        <v>261</v>
      </c>
      <c r="D181" s="11" t="s">
        <v>145</v>
      </c>
      <c r="E181" s="11" t="s">
        <v>235</v>
      </c>
      <c r="F181" s="11" t="s">
        <v>213</v>
      </c>
      <c r="G181" s="11" t="s">
        <v>252</v>
      </c>
      <c r="H181">
        <v>1</v>
      </c>
      <c r="I181" s="11" t="s">
        <v>270</v>
      </c>
      <c r="J181" s="11" t="s">
        <v>271</v>
      </c>
      <c r="K181" s="11" t="s">
        <v>179</v>
      </c>
      <c r="L181" s="11" t="s">
        <v>38</v>
      </c>
      <c r="M181" s="11" t="s">
        <v>38</v>
      </c>
      <c r="N181" s="11" t="s">
        <v>38</v>
      </c>
      <c r="O181" s="11" t="s">
        <v>38</v>
      </c>
      <c r="P181" t="s">
        <v>8</v>
      </c>
      <c r="Q181">
        <v>21200</v>
      </c>
      <c r="R181">
        <v>0</v>
      </c>
      <c r="S181">
        <v>0</v>
      </c>
      <c r="T181" t="str">
        <f t="shared" si="22"/>
        <v>-</v>
      </c>
      <c r="U181" t="str">
        <f t="shared" si="23"/>
        <v>-</v>
      </c>
      <c r="V181" t="str">
        <f t="shared" si="24"/>
        <v>-</v>
      </c>
      <c r="W181" t="str">
        <f t="shared" si="25"/>
        <v>-</v>
      </c>
      <c r="X181" t="str">
        <f t="shared" si="26"/>
        <v>-</v>
      </c>
      <c r="Y181" t="str">
        <f t="shared" si="27"/>
        <v>-</v>
      </c>
      <c r="Z181" t="str">
        <f t="shared" si="28"/>
        <v>-</v>
      </c>
      <c r="AA181" t="str">
        <f t="shared" si="29"/>
        <v>-</v>
      </c>
      <c r="AB181" t="str">
        <f>IF(_xlfn.IFNA(VLOOKUP(P181,Set_Ref!$B$6:$B$1048576,1,FALSE),"")&lt;&gt;"","-",FALSE)</f>
        <v>-</v>
      </c>
      <c r="AC181" t="str">
        <f t="shared" si="30"/>
        <v>-</v>
      </c>
      <c r="AD181" t="str">
        <f t="shared" si="31"/>
        <v>-</v>
      </c>
      <c r="AE181" t="b">
        <f t="shared" si="32"/>
        <v>1</v>
      </c>
    </row>
    <row r="182" spans="1:31" x14ac:dyDescent="0.25">
      <c r="A182">
        <v>10</v>
      </c>
      <c r="B182">
        <v>4</v>
      </c>
      <c r="C182">
        <v>261</v>
      </c>
      <c r="D182" s="11" t="s">
        <v>145</v>
      </c>
      <c r="E182" s="11" t="s">
        <v>235</v>
      </c>
      <c r="F182" s="11" t="s">
        <v>213</v>
      </c>
      <c r="G182" s="11" t="s">
        <v>252</v>
      </c>
      <c r="H182">
        <v>1</v>
      </c>
      <c r="I182" s="11" t="s">
        <v>270</v>
      </c>
      <c r="J182" s="11" t="s">
        <v>271</v>
      </c>
      <c r="K182" s="11" t="s">
        <v>179</v>
      </c>
      <c r="L182" s="11" t="s">
        <v>38</v>
      </c>
      <c r="M182" s="11" t="s">
        <v>38</v>
      </c>
      <c r="N182" s="11" t="s">
        <v>38</v>
      </c>
      <c r="O182" s="11" t="s">
        <v>38</v>
      </c>
      <c r="P182" t="s">
        <v>8</v>
      </c>
      <c r="Q182">
        <v>14800</v>
      </c>
      <c r="R182">
        <v>0</v>
      </c>
      <c r="S182">
        <v>0</v>
      </c>
      <c r="T182" t="str">
        <f t="shared" si="22"/>
        <v>-</v>
      </c>
      <c r="U182" t="str">
        <f t="shared" si="23"/>
        <v>-</v>
      </c>
      <c r="V182" t="str">
        <f t="shared" si="24"/>
        <v>-</v>
      </c>
      <c r="W182" t="str">
        <f t="shared" si="25"/>
        <v>-</v>
      </c>
      <c r="X182" t="str">
        <f t="shared" si="26"/>
        <v>-</v>
      </c>
      <c r="Y182" t="str">
        <f t="shared" si="27"/>
        <v>-</v>
      </c>
      <c r="Z182" t="str">
        <f t="shared" si="28"/>
        <v>-</v>
      </c>
      <c r="AA182" t="str">
        <f t="shared" si="29"/>
        <v>-</v>
      </c>
      <c r="AB182" t="str">
        <f>IF(_xlfn.IFNA(VLOOKUP(P182,Set_Ref!$B$6:$B$1048576,1,FALSE),"")&lt;&gt;"","-",FALSE)</f>
        <v>-</v>
      </c>
      <c r="AC182" t="str">
        <f t="shared" si="30"/>
        <v>-</v>
      </c>
      <c r="AD182" t="str">
        <f t="shared" si="31"/>
        <v>-</v>
      </c>
      <c r="AE182" t="b">
        <f t="shared" si="32"/>
        <v>1</v>
      </c>
    </row>
    <row r="183" spans="1:31" x14ac:dyDescent="0.25">
      <c r="A183">
        <v>10</v>
      </c>
      <c r="B183">
        <v>5</v>
      </c>
      <c r="C183">
        <v>261</v>
      </c>
      <c r="D183" s="11" t="s">
        <v>145</v>
      </c>
      <c r="E183" s="11" t="s">
        <v>235</v>
      </c>
      <c r="F183" s="11" t="s">
        <v>213</v>
      </c>
      <c r="G183" s="11" t="s">
        <v>252</v>
      </c>
      <c r="H183">
        <v>1</v>
      </c>
      <c r="I183" s="11" t="s">
        <v>270</v>
      </c>
      <c r="J183" s="11" t="s">
        <v>271</v>
      </c>
      <c r="K183" s="11" t="s">
        <v>179</v>
      </c>
      <c r="L183" s="11" t="s">
        <v>38</v>
      </c>
      <c r="M183" s="11" t="s">
        <v>38</v>
      </c>
      <c r="N183" s="11" t="s">
        <v>38</v>
      </c>
      <c r="O183" s="11" t="s">
        <v>38</v>
      </c>
      <c r="P183" t="s">
        <v>8</v>
      </c>
      <c r="Q183">
        <v>16700</v>
      </c>
      <c r="R183">
        <v>0</v>
      </c>
      <c r="S183">
        <v>0</v>
      </c>
      <c r="T183" t="str">
        <f t="shared" si="22"/>
        <v>-</v>
      </c>
      <c r="U183" t="str">
        <f t="shared" si="23"/>
        <v>-</v>
      </c>
      <c r="V183" t="str">
        <f t="shared" si="24"/>
        <v>-</v>
      </c>
      <c r="W183" t="str">
        <f t="shared" si="25"/>
        <v>-</v>
      </c>
      <c r="X183" t="str">
        <f t="shared" si="26"/>
        <v>-</v>
      </c>
      <c r="Y183" t="str">
        <f t="shared" si="27"/>
        <v>-</v>
      </c>
      <c r="Z183" t="str">
        <f t="shared" si="28"/>
        <v>-</v>
      </c>
      <c r="AA183" t="str">
        <f t="shared" si="29"/>
        <v>-</v>
      </c>
      <c r="AB183" t="str">
        <f>IF(_xlfn.IFNA(VLOOKUP(P183,Set_Ref!$B$6:$B$1048576,1,FALSE),"")&lt;&gt;"","-",FALSE)</f>
        <v>-</v>
      </c>
      <c r="AC183" t="str">
        <f t="shared" si="30"/>
        <v>-</v>
      </c>
      <c r="AD183" t="str">
        <f t="shared" si="31"/>
        <v>-</v>
      </c>
      <c r="AE183" t="b">
        <f t="shared" si="32"/>
        <v>1</v>
      </c>
    </row>
    <row r="184" spans="1:31" x14ac:dyDescent="0.25">
      <c r="A184">
        <v>10</v>
      </c>
      <c r="B184">
        <v>6</v>
      </c>
      <c r="C184">
        <v>261</v>
      </c>
      <c r="D184" s="11" t="s">
        <v>145</v>
      </c>
      <c r="E184" s="11" t="s">
        <v>235</v>
      </c>
      <c r="F184" s="11" t="s">
        <v>213</v>
      </c>
      <c r="G184" s="11" t="s">
        <v>252</v>
      </c>
      <c r="H184">
        <v>1</v>
      </c>
      <c r="I184" s="11" t="s">
        <v>270</v>
      </c>
      <c r="J184" s="11" t="s">
        <v>271</v>
      </c>
      <c r="K184" s="11" t="s">
        <v>179</v>
      </c>
      <c r="L184" s="11" t="s">
        <v>38</v>
      </c>
      <c r="M184" s="11" t="s">
        <v>38</v>
      </c>
      <c r="N184" s="11" t="s">
        <v>38</v>
      </c>
      <c r="O184" s="11" t="s">
        <v>38</v>
      </c>
      <c r="P184" t="s">
        <v>8</v>
      </c>
      <c r="Q184">
        <v>16300</v>
      </c>
      <c r="R184">
        <v>0</v>
      </c>
      <c r="S184">
        <v>0</v>
      </c>
      <c r="T184" t="str">
        <f t="shared" si="22"/>
        <v>-</v>
      </c>
      <c r="U184" t="str">
        <f t="shared" si="23"/>
        <v>-</v>
      </c>
      <c r="V184" t="str">
        <f t="shared" si="24"/>
        <v>-</v>
      </c>
      <c r="W184" t="str">
        <f t="shared" si="25"/>
        <v>-</v>
      </c>
      <c r="X184" t="str">
        <f t="shared" si="26"/>
        <v>-</v>
      </c>
      <c r="Y184" t="str">
        <f t="shared" si="27"/>
        <v>-</v>
      </c>
      <c r="Z184" t="str">
        <f t="shared" si="28"/>
        <v>-</v>
      </c>
      <c r="AA184" t="str">
        <f t="shared" si="29"/>
        <v>-</v>
      </c>
      <c r="AB184" t="str">
        <f>IF(_xlfn.IFNA(VLOOKUP(P184,Set_Ref!$B$6:$B$1048576,1,FALSE),"")&lt;&gt;"","-",FALSE)</f>
        <v>-</v>
      </c>
      <c r="AC184" t="str">
        <f t="shared" si="30"/>
        <v>-</v>
      </c>
      <c r="AD184" t="str">
        <f t="shared" si="31"/>
        <v>-</v>
      </c>
      <c r="AE184" t="b">
        <f t="shared" si="32"/>
        <v>1</v>
      </c>
    </row>
    <row r="185" spans="1:31" x14ac:dyDescent="0.25">
      <c r="A185">
        <v>10</v>
      </c>
      <c r="B185">
        <v>7</v>
      </c>
      <c r="C185">
        <v>261</v>
      </c>
      <c r="D185" s="11" t="s">
        <v>145</v>
      </c>
      <c r="E185" s="11" t="s">
        <v>235</v>
      </c>
      <c r="F185" s="11" t="s">
        <v>213</v>
      </c>
      <c r="G185" s="11" t="s">
        <v>252</v>
      </c>
      <c r="H185">
        <v>1</v>
      </c>
      <c r="I185" s="11" t="s">
        <v>270</v>
      </c>
      <c r="J185" s="11" t="s">
        <v>271</v>
      </c>
      <c r="K185" s="11" t="s">
        <v>179</v>
      </c>
      <c r="L185" s="11" t="s">
        <v>38</v>
      </c>
      <c r="M185" s="11" t="s">
        <v>38</v>
      </c>
      <c r="N185" s="11" t="s">
        <v>38</v>
      </c>
      <c r="O185" s="11" t="s">
        <v>38</v>
      </c>
      <c r="P185" t="s">
        <v>8</v>
      </c>
      <c r="Q185">
        <v>2100</v>
      </c>
      <c r="R185">
        <v>0</v>
      </c>
      <c r="S185">
        <v>0</v>
      </c>
      <c r="T185" t="str">
        <f t="shared" si="22"/>
        <v>-</v>
      </c>
      <c r="U185" t="str">
        <f t="shared" si="23"/>
        <v>-</v>
      </c>
      <c r="V185" t="str">
        <f t="shared" si="24"/>
        <v>-</v>
      </c>
      <c r="W185" t="str">
        <f t="shared" si="25"/>
        <v>-</v>
      </c>
      <c r="X185" t="str">
        <f t="shared" si="26"/>
        <v>-</v>
      </c>
      <c r="Y185" t="str">
        <f t="shared" si="27"/>
        <v>-</v>
      </c>
      <c r="Z185" t="str">
        <f t="shared" si="28"/>
        <v>-</v>
      </c>
      <c r="AA185" t="str">
        <f t="shared" si="29"/>
        <v>-</v>
      </c>
      <c r="AB185" t="str">
        <f>IF(_xlfn.IFNA(VLOOKUP(P185,Set_Ref!$B$6:$B$1048576,1,FALSE),"")&lt;&gt;"","-",FALSE)</f>
        <v>-</v>
      </c>
      <c r="AC185" t="str">
        <f t="shared" si="30"/>
        <v>-</v>
      </c>
      <c r="AD185" t="str">
        <f t="shared" si="31"/>
        <v>-</v>
      </c>
      <c r="AE185" t="b">
        <f t="shared" si="32"/>
        <v>1</v>
      </c>
    </row>
    <row r="186" spans="1:31" x14ac:dyDescent="0.25">
      <c r="A186">
        <v>10</v>
      </c>
      <c r="B186">
        <v>8</v>
      </c>
      <c r="C186">
        <v>261</v>
      </c>
      <c r="D186" s="11" t="s">
        <v>145</v>
      </c>
      <c r="E186" s="11" t="s">
        <v>235</v>
      </c>
      <c r="F186" s="11" t="s">
        <v>213</v>
      </c>
      <c r="G186" s="11" t="s">
        <v>252</v>
      </c>
      <c r="H186">
        <v>1</v>
      </c>
      <c r="I186" s="11" t="s">
        <v>270</v>
      </c>
      <c r="J186" s="11" t="s">
        <v>271</v>
      </c>
      <c r="K186" s="11" t="s">
        <v>179</v>
      </c>
      <c r="L186" s="11" t="s">
        <v>38</v>
      </c>
      <c r="M186" s="11" t="s">
        <v>38</v>
      </c>
      <c r="N186" s="11" t="s">
        <v>38</v>
      </c>
      <c r="O186" s="11" t="s">
        <v>38</v>
      </c>
      <c r="P186" t="s">
        <v>8</v>
      </c>
      <c r="Q186">
        <v>1400</v>
      </c>
      <c r="R186">
        <v>0</v>
      </c>
      <c r="S186">
        <v>0</v>
      </c>
      <c r="T186" t="str">
        <f t="shared" si="22"/>
        <v>-</v>
      </c>
      <c r="U186" t="str">
        <f t="shared" si="23"/>
        <v>-</v>
      </c>
      <c r="V186" t="str">
        <f t="shared" si="24"/>
        <v>-</v>
      </c>
      <c r="W186" t="str">
        <f t="shared" si="25"/>
        <v>-</v>
      </c>
      <c r="X186" t="str">
        <f t="shared" si="26"/>
        <v>-</v>
      </c>
      <c r="Y186" t="str">
        <f t="shared" si="27"/>
        <v>-</v>
      </c>
      <c r="Z186" t="str">
        <f t="shared" si="28"/>
        <v>-</v>
      </c>
      <c r="AA186" t="str">
        <f t="shared" si="29"/>
        <v>-</v>
      </c>
      <c r="AB186" t="str">
        <f>IF(_xlfn.IFNA(VLOOKUP(P186,Set_Ref!$B$6:$B$1048576,1,FALSE),"")&lt;&gt;"","-",FALSE)</f>
        <v>-</v>
      </c>
      <c r="AC186" t="str">
        <f t="shared" si="30"/>
        <v>-</v>
      </c>
      <c r="AD186" t="str">
        <f t="shared" si="31"/>
        <v>-</v>
      </c>
      <c r="AE186" t="b">
        <f t="shared" si="32"/>
        <v>1</v>
      </c>
    </row>
    <row r="187" spans="1:31" x14ac:dyDescent="0.25">
      <c r="A187">
        <v>10</v>
      </c>
      <c r="B187">
        <v>9</v>
      </c>
      <c r="C187">
        <v>261</v>
      </c>
      <c r="D187" s="11" t="s">
        <v>145</v>
      </c>
      <c r="E187" s="11" t="s">
        <v>235</v>
      </c>
      <c r="F187" s="11" t="s">
        <v>213</v>
      </c>
      <c r="G187" s="11" t="s">
        <v>252</v>
      </c>
      <c r="H187">
        <v>1</v>
      </c>
      <c r="I187" s="11" t="s">
        <v>270</v>
      </c>
      <c r="J187" s="11" t="s">
        <v>271</v>
      </c>
      <c r="K187" s="11" t="s">
        <v>179</v>
      </c>
      <c r="L187" s="11" t="s">
        <v>38</v>
      </c>
      <c r="M187" s="11" t="s">
        <v>38</v>
      </c>
      <c r="N187" s="11" t="s">
        <v>38</v>
      </c>
      <c r="O187" s="11" t="s">
        <v>38</v>
      </c>
      <c r="P187" t="s">
        <v>8</v>
      </c>
      <c r="Q187">
        <v>3200</v>
      </c>
      <c r="R187">
        <v>0</v>
      </c>
      <c r="S187">
        <v>0</v>
      </c>
      <c r="T187" t="str">
        <f t="shared" si="22"/>
        <v>-</v>
      </c>
      <c r="U187" t="str">
        <f t="shared" si="23"/>
        <v>-</v>
      </c>
      <c r="V187" t="str">
        <f t="shared" si="24"/>
        <v>-</v>
      </c>
      <c r="W187" t="str">
        <f t="shared" si="25"/>
        <v>-</v>
      </c>
      <c r="X187" t="str">
        <f t="shared" si="26"/>
        <v>-</v>
      </c>
      <c r="Y187" t="str">
        <f t="shared" si="27"/>
        <v>-</v>
      </c>
      <c r="Z187" t="str">
        <f t="shared" si="28"/>
        <v>-</v>
      </c>
      <c r="AA187" t="str">
        <f t="shared" si="29"/>
        <v>-</v>
      </c>
      <c r="AB187" t="str">
        <f>IF(_xlfn.IFNA(VLOOKUP(P187,Set_Ref!$B$6:$B$1048576,1,FALSE),"")&lt;&gt;"","-",FALSE)</f>
        <v>-</v>
      </c>
      <c r="AC187" t="str">
        <f t="shared" si="30"/>
        <v>-</v>
      </c>
      <c r="AD187" t="str">
        <f t="shared" si="31"/>
        <v>-</v>
      </c>
      <c r="AE187" t="b">
        <f t="shared" si="32"/>
        <v>1</v>
      </c>
    </row>
    <row r="188" spans="1:31" x14ac:dyDescent="0.25">
      <c r="A188">
        <v>10</v>
      </c>
      <c r="B188">
        <v>10</v>
      </c>
      <c r="C188">
        <v>261</v>
      </c>
      <c r="D188" s="11" t="s">
        <v>145</v>
      </c>
      <c r="E188" s="11" t="s">
        <v>241</v>
      </c>
      <c r="F188" s="11" t="s">
        <v>197</v>
      </c>
      <c r="G188" s="11" t="s">
        <v>256</v>
      </c>
      <c r="H188">
        <v>1</v>
      </c>
      <c r="I188" s="11" t="s">
        <v>270</v>
      </c>
      <c r="J188" s="11" t="s">
        <v>272</v>
      </c>
      <c r="K188" s="11" t="s">
        <v>179</v>
      </c>
      <c r="L188" s="11" t="s">
        <v>38</v>
      </c>
      <c r="M188" s="11" t="s">
        <v>38</v>
      </c>
      <c r="N188" s="11" t="s">
        <v>38</v>
      </c>
      <c r="O188" s="11" t="s">
        <v>38</v>
      </c>
      <c r="P188" t="s">
        <v>8</v>
      </c>
      <c r="Q188">
        <v>21</v>
      </c>
      <c r="R188">
        <v>0</v>
      </c>
      <c r="S188">
        <v>0</v>
      </c>
      <c r="T188" t="str">
        <f t="shared" si="22"/>
        <v>-</v>
      </c>
      <c r="U188" t="str">
        <f t="shared" si="23"/>
        <v>-</v>
      </c>
      <c r="V188" t="str">
        <f t="shared" si="24"/>
        <v>-</v>
      </c>
      <c r="W188" t="str">
        <f t="shared" si="25"/>
        <v>-</v>
      </c>
      <c r="X188" t="str">
        <f t="shared" si="26"/>
        <v>-</v>
      </c>
      <c r="Y188" t="str">
        <f t="shared" si="27"/>
        <v>-</v>
      </c>
      <c r="Z188" t="str">
        <f t="shared" si="28"/>
        <v>-</v>
      </c>
      <c r="AA188" t="str">
        <f t="shared" si="29"/>
        <v>-</v>
      </c>
      <c r="AB188" t="str">
        <f>IF(_xlfn.IFNA(VLOOKUP(P188,Set_Ref!$B$6:$B$1048576,1,FALSE),"")&lt;&gt;"","-",FALSE)</f>
        <v>-</v>
      </c>
      <c r="AC188" t="str">
        <f t="shared" si="30"/>
        <v>-</v>
      </c>
      <c r="AD188" t="str">
        <f t="shared" si="31"/>
        <v>-</v>
      </c>
      <c r="AE188" t="b">
        <f t="shared" si="32"/>
        <v>1</v>
      </c>
    </row>
    <row r="189" spans="1:31" x14ac:dyDescent="0.25">
      <c r="A189">
        <v>10</v>
      </c>
      <c r="B189">
        <v>11</v>
      </c>
      <c r="C189">
        <v>261</v>
      </c>
      <c r="D189" s="11" t="s">
        <v>145</v>
      </c>
      <c r="E189" s="11" t="s">
        <v>241</v>
      </c>
      <c r="F189" s="11" t="s">
        <v>197</v>
      </c>
      <c r="G189" s="11" t="s">
        <v>256</v>
      </c>
      <c r="H189">
        <v>1</v>
      </c>
      <c r="I189" s="11" t="s">
        <v>270</v>
      </c>
      <c r="J189" s="11" t="s">
        <v>272</v>
      </c>
      <c r="K189" s="11" t="s">
        <v>179</v>
      </c>
      <c r="L189" s="11" t="s">
        <v>38</v>
      </c>
      <c r="M189" s="11" t="s">
        <v>38</v>
      </c>
      <c r="N189" s="11" t="s">
        <v>38</v>
      </c>
      <c r="O189" s="11" t="s">
        <v>38</v>
      </c>
      <c r="P189" t="s">
        <v>8</v>
      </c>
      <c r="Q189">
        <v>14</v>
      </c>
      <c r="R189">
        <v>0</v>
      </c>
      <c r="S189">
        <v>0</v>
      </c>
      <c r="T189" t="str">
        <f t="shared" si="22"/>
        <v>-</v>
      </c>
      <c r="U189" t="str">
        <f t="shared" si="23"/>
        <v>-</v>
      </c>
      <c r="V189" t="str">
        <f t="shared" si="24"/>
        <v>-</v>
      </c>
      <c r="W189" t="str">
        <f t="shared" si="25"/>
        <v>-</v>
      </c>
      <c r="X189" t="str">
        <f t="shared" si="26"/>
        <v>-</v>
      </c>
      <c r="Y189" t="str">
        <f t="shared" si="27"/>
        <v>-</v>
      </c>
      <c r="Z189" t="str">
        <f t="shared" si="28"/>
        <v>-</v>
      </c>
      <c r="AA189" t="str">
        <f t="shared" si="29"/>
        <v>-</v>
      </c>
      <c r="AB189" t="str">
        <f>IF(_xlfn.IFNA(VLOOKUP(P189,Set_Ref!$B$6:$B$1048576,1,FALSE),"")&lt;&gt;"","-",FALSE)</f>
        <v>-</v>
      </c>
      <c r="AC189" t="str">
        <f t="shared" si="30"/>
        <v>-</v>
      </c>
      <c r="AD189" t="str">
        <f t="shared" si="31"/>
        <v>-</v>
      </c>
      <c r="AE189" t="b">
        <f t="shared" si="32"/>
        <v>1</v>
      </c>
    </row>
    <row r="190" spans="1:31" x14ac:dyDescent="0.25">
      <c r="A190">
        <v>10</v>
      </c>
      <c r="B190">
        <v>12</v>
      </c>
      <c r="C190">
        <v>261</v>
      </c>
      <c r="D190" s="11" t="s">
        <v>145</v>
      </c>
      <c r="E190" s="11" t="s">
        <v>237</v>
      </c>
      <c r="F190" s="11" t="s">
        <v>220</v>
      </c>
      <c r="G190" s="11" t="s">
        <v>253</v>
      </c>
      <c r="H190">
        <v>3</v>
      </c>
      <c r="I190" s="11" t="s">
        <v>186</v>
      </c>
      <c r="J190" s="11" t="s">
        <v>273</v>
      </c>
      <c r="K190" s="11" t="s">
        <v>179</v>
      </c>
      <c r="L190" s="11" t="s">
        <v>38</v>
      </c>
      <c r="M190" s="11" t="s">
        <v>38</v>
      </c>
      <c r="N190" s="11" t="s">
        <v>38</v>
      </c>
      <c r="O190" s="11" t="s">
        <v>38</v>
      </c>
      <c r="P190" t="s">
        <v>8</v>
      </c>
      <c r="Q190">
        <v>16</v>
      </c>
      <c r="R190">
        <v>0</v>
      </c>
      <c r="S190">
        <v>0</v>
      </c>
      <c r="T190" t="str">
        <f t="shared" si="22"/>
        <v>-</v>
      </c>
      <c r="U190" t="str">
        <f t="shared" si="23"/>
        <v>-</v>
      </c>
      <c r="V190" t="str">
        <f t="shared" si="24"/>
        <v>-</v>
      </c>
      <c r="W190" t="str">
        <f t="shared" si="25"/>
        <v>-</v>
      </c>
      <c r="X190" t="str">
        <f t="shared" si="26"/>
        <v>-</v>
      </c>
      <c r="Y190" t="str">
        <f t="shared" si="27"/>
        <v>-</v>
      </c>
      <c r="Z190" t="str">
        <f t="shared" si="28"/>
        <v>-</v>
      </c>
      <c r="AA190" t="str">
        <f t="shared" si="29"/>
        <v>-</v>
      </c>
      <c r="AB190" t="str">
        <f>IF(_xlfn.IFNA(VLOOKUP(P190,Set_Ref!$B$6:$B$1048576,1,FALSE),"")&lt;&gt;"","-",FALSE)</f>
        <v>-</v>
      </c>
      <c r="AC190" t="str">
        <f t="shared" si="30"/>
        <v>-</v>
      </c>
      <c r="AD190" t="str">
        <f t="shared" si="31"/>
        <v>-</v>
      </c>
      <c r="AE190" t="b">
        <f t="shared" si="32"/>
        <v>1</v>
      </c>
    </row>
    <row r="191" spans="1:31" x14ac:dyDescent="0.25">
      <c r="A191">
        <v>10</v>
      </c>
      <c r="B191">
        <v>13</v>
      </c>
      <c r="C191">
        <v>261</v>
      </c>
      <c r="D191" s="11" t="s">
        <v>145</v>
      </c>
      <c r="E191" s="11" t="s">
        <v>237</v>
      </c>
      <c r="F191" s="11" t="s">
        <v>220</v>
      </c>
      <c r="G191" s="11" t="s">
        <v>253</v>
      </c>
      <c r="H191">
        <v>3</v>
      </c>
      <c r="I191" s="11" t="s">
        <v>186</v>
      </c>
      <c r="J191" s="11" t="s">
        <v>273</v>
      </c>
      <c r="K191" s="11" t="s">
        <v>179</v>
      </c>
      <c r="L191" s="11" t="s">
        <v>38</v>
      </c>
      <c r="M191" s="11" t="s">
        <v>38</v>
      </c>
      <c r="N191" s="11" t="s">
        <v>38</v>
      </c>
      <c r="O191" s="11" t="s">
        <v>38</v>
      </c>
      <c r="P191" t="s">
        <v>8</v>
      </c>
      <c r="Q191">
        <v>14</v>
      </c>
      <c r="R191">
        <v>0</v>
      </c>
      <c r="S191">
        <v>0</v>
      </c>
      <c r="T191" t="str">
        <f t="shared" si="22"/>
        <v>-</v>
      </c>
      <c r="U191" t="str">
        <f t="shared" si="23"/>
        <v>-</v>
      </c>
      <c r="V191" t="str">
        <f t="shared" si="24"/>
        <v>-</v>
      </c>
      <c r="W191" t="str">
        <f t="shared" si="25"/>
        <v>-</v>
      </c>
      <c r="X191" t="str">
        <f t="shared" si="26"/>
        <v>-</v>
      </c>
      <c r="Y191" t="str">
        <f t="shared" si="27"/>
        <v>-</v>
      </c>
      <c r="Z191" t="str">
        <f t="shared" si="28"/>
        <v>-</v>
      </c>
      <c r="AA191" t="str">
        <f t="shared" si="29"/>
        <v>-</v>
      </c>
      <c r="AB191" t="str">
        <f>IF(_xlfn.IFNA(VLOOKUP(P191,Set_Ref!$B$6:$B$1048576,1,FALSE),"")&lt;&gt;"","-",FALSE)</f>
        <v>-</v>
      </c>
      <c r="AC191" t="str">
        <f t="shared" si="30"/>
        <v>-</v>
      </c>
      <c r="AD191" t="str">
        <f t="shared" si="31"/>
        <v>-</v>
      </c>
      <c r="AE191" t="b">
        <f t="shared" si="32"/>
        <v>1</v>
      </c>
    </row>
    <row r="192" spans="1:31" x14ac:dyDescent="0.25">
      <c r="A192">
        <v>10</v>
      </c>
      <c r="B192">
        <v>14</v>
      </c>
      <c r="C192">
        <v>261</v>
      </c>
      <c r="D192" s="11" t="s">
        <v>145</v>
      </c>
      <c r="E192" s="11" t="s">
        <v>235</v>
      </c>
      <c r="F192" s="11" t="s">
        <v>213</v>
      </c>
      <c r="G192" s="11" t="s">
        <v>252</v>
      </c>
      <c r="H192">
        <v>1</v>
      </c>
      <c r="I192" s="11" t="s">
        <v>270</v>
      </c>
      <c r="J192" s="11" t="s">
        <v>271</v>
      </c>
      <c r="K192" s="11" t="s">
        <v>179</v>
      </c>
      <c r="L192" s="11" t="s">
        <v>38</v>
      </c>
      <c r="M192" s="11" t="s">
        <v>38</v>
      </c>
      <c r="N192" s="11" t="s">
        <v>38</v>
      </c>
      <c r="O192" s="11" t="s">
        <v>38</v>
      </c>
      <c r="P192" t="s">
        <v>8</v>
      </c>
      <c r="Q192">
        <v>21200</v>
      </c>
      <c r="R192">
        <v>0</v>
      </c>
      <c r="S192">
        <v>0</v>
      </c>
      <c r="T192" t="str">
        <f t="shared" si="22"/>
        <v>-</v>
      </c>
      <c r="U192" t="str">
        <f t="shared" si="23"/>
        <v>-</v>
      </c>
      <c r="V192" t="str">
        <f t="shared" si="24"/>
        <v>-</v>
      </c>
      <c r="W192" t="str">
        <f t="shared" si="25"/>
        <v>-</v>
      </c>
      <c r="X192" t="str">
        <f t="shared" si="26"/>
        <v>-</v>
      </c>
      <c r="Y192" t="str">
        <f t="shared" si="27"/>
        <v>-</v>
      </c>
      <c r="Z192" t="str">
        <f t="shared" si="28"/>
        <v>-</v>
      </c>
      <c r="AA192" t="str">
        <f t="shared" si="29"/>
        <v>-</v>
      </c>
      <c r="AB192" t="str">
        <f>IF(_xlfn.IFNA(VLOOKUP(P192,Set_Ref!$B$6:$B$1048576,1,FALSE),"")&lt;&gt;"","-",FALSE)</f>
        <v>-</v>
      </c>
      <c r="AC192" t="str">
        <f t="shared" si="30"/>
        <v>-</v>
      </c>
      <c r="AD192" t="str">
        <f t="shared" si="31"/>
        <v>-</v>
      </c>
      <c r="AE192" t="b">
        <f t="shared" si="32"/>
        <v>1</v>
      </c>
    </row>
    <row r="193" spans="1:31" x14ac:dyDescent="0.25">
      <c r="A193">
        <v>10</v>
      </c>
      <c r="B193">
        <v>15</v>
      </c>
      <c r="C193">
        <v>261</v>
      </c>
      <c r="D193" s="11" t="s">
        <v>145</v>
      </c>
      <c r="E193" s="11" t="s">
        <v>235</v>
      </c>
      <c r="F193" s="11" t="s">
        <v>213</v>
      </c>
      <c r="G193" s="11" t="s">
        <v>252</v>
      </c>
      <c r="H193">
        <v>1</v>
      </c>
      <c r="I193" s="11" t="s">
        <v>270</v>
      </c>
      <c r="J193" s="11" t="s">
        <v>271</v>
      </c>
      <c r="K193" s="11" t="s">
        <v>179</v>
      </c>
      <c r="L193" s="11" t="s">
        <v>38</v>
      </c>
      <c r="M193" s="11" t="s">
        <v>38</v>
      </c>
      <c r="N193" s="11" t="s">
        <v>38</v>
      </c>
      <c r="O193" s="11" t="s">
        <v>38</v>
      </c>
      <c r="P193" t="s">
        <v>8</v>
      </c>
      <c r="Q193">
        <v>21200</v>
      </c>
      <c r="R193">
        <v>0</v>
      </c>
      <c r="S193">
        <v>0</v>
      </c>
      <c r="T193" t="str">
        <f t="shared" si="22"/>
        <v>-</v>
      </c>
      <c r="U193" t="str">
        <f t="shared" si="23"/>
        <v>-</v>
      </c>
      <c r="V193" t="str">
        <f t="shared" si="24"/>
        <v>-</v>
      </c>
      <c r="W193" t="str">
        <f t="shared" si="25"/>
        <v>-</v>
      </c>
      <c r="X193" t="str">
        <f t="shared" si="26"/>
        <v>-</v>
      </c>
      <c r="Y193" t="str">
        <f t="shared" si="27"/>
        <v>-</v>
      </c>
      <c r="Z193" t="str">
        <f t="shared" si="28"/>
        <v>-</v>
      </c>
      <c r="AA193" t="str">
        <f t="shared" si="29"/>
        <v>-</v>
      </c>
      <c r="AB193" t="str">
        <f>IF(_xlfn.IFNA(VLOOKUP(P193,Set_Ref!$B$6:$B$1048576,1,FALSE),"")&lt;&gt;"","-",FALSE)</f>
        <v>-</v>
      </c>
      <c r="AC193" t="str">
        <f t="shared" si="30"/>
        <v>-</v>
      </c>
      <c r="AD193" t="str">
        <f t="shared" si="31"/>
        <v>-</v>
      </c>
      <c r="AE193" t="b">
        <f t="shared" si="32"/>
        <v>1</v>
      </c>
    </row>
    <row r="194" spans="1:31" x14ac:dyDescent="0.25">
      <c r="A194">
        <v>10</v>
      </c>
      <c r="B194">
        <v>16</v>
      </c>
      <c r="C194">
        <v>261</v>
      </c>
      <c r="D194" s="11" t="s">
        <v>145</v>
      </c>
      <c r="E194" s="11" t="s">
        <v>235</v>
      </c>
      <c r="F194" s="11" t="s">
        <v>213</v>
      </c>
      <c r="G194" s="11" t="s">
        <v>252</v>
      </c>
      <c r="H194">
        <v>1</v>
      </c>
      <c r="I194" s="11" t="s">
        <v>270</v>
      </c>
      <c r="J194" s="11" t="s">
        <v>271</v>
      </c>
      <c r="K194" s="11" t="s">
        <v>179</v>
      </c>
      <c r="L194" s="11" t="s">
        <v>38</v>
      </c>
      <c r="M194" s="11" t="s">
        <v>38</v>
      </c>
      <c r="N194" s="11" t="s">
        <v>38</v>
      </c>
      <c r="O194" s="11" t="s">
        <v>38</v>
      </c>
      <c r="P194" t="s">
        <v>8</v>
      </c>
      <c r="Q194">
        <v>2100</v>
      </c>
      <c r="R194">
        <v>0</v>
      </c>
      <c r="S194">
        <v>0</v>
      </c>
      <c r="T194" t="str">
        <f t="shared" si="22"/>
        <v>-</v>
      </c>
      <c r="U194" t="str">
        <f t="shared" si="23"/>
        <v>-</v>
      </c>
      <c r="V194" t="str">
        <f t="shared" si="24"/>
        <v>-</v>
      </c>
      <c r="W194" t="str">
        <f t="shared" si="25"/>
        <v>-</v>
      </c>
      <c r="X194" t="str">
        <f t="shared" si="26"/>
        <v>-</v>
      </c>
      <c r="Y194" t="str">
        <f t="shared" si="27"/>
        <v>-</v>
      </c>
      <c r="Z194" t="str">
        <f t="shared" si="28"/>
        <v>-</v>
      </c>
      <c r="AA194" t="str">
        <f t="shared" si="29"/>
        <v>-</v>
      </c>
      <c r="AB194" t="str">
        <f>IF(_xlfn.IFNA(VLOOKUP(P194,Set_Ref!$B$6:$B$1048576,1,FALSE),"")&lt;&gt;"","-",FALSE)</f>
        <v>-</v>
      </c>
      <c r="AC194" t="str">
        <f t="shared" si="30"/>
        <v>-</v>
      </c>
      <c r="AD194" t="str">
        <f t="shared" si="31"/>
        <v>-</v>
      </c>
      <c r="AE194" t="b">
        <f t="shared" si="32"/>
        <v>1</v>
      </c>
    </row>
    <row r="195" spans="1:31" x14ac:dyDescent="0.25">
      <c r="A195">
        <v>10</v>
      </c>
      <c r="B195">
        <v>17</v>
      </c>
      <c r="C195">
        <v>261</v>
      </c>
      <c r="D195" s="11" t="s">
        <v>145</v>
      </c>
      <c r="E195" s="11" t="s">
        <v>241</v>
      </c>
      <c r="F195" s="11" t="s">
        <v>197</v>
      </c>
      <c r="G195" s="11" t="s">
        <v>256</v>
      </c>
      <c r="H195">
        <v>1</v>
      </c>
      <c r="I195" s="11" t="s">
        <v>270</v>
      </c>
      <c r="J195" s="11" t="s">
        <v>272</v>
      </c>
      <c r="K195" s="11" t="s">
        <v>179</v>
      </c>
      <c r="L195" s="11" t="s">
        <v>38</v>
      </c>
      <c r="M195" s="11" t="s">
        <v>38</v>
      </c>
      <c r="N195" s="11" t="s">
        <v>38</v>
      </c>
      <c r="O195" s="11" t="s">
        <v>38</v>
      </c>
      <c r="P195" t="s">
        <v>8</v>
      </c>
      <c r="Q195">
        <v>21</v>
      </c>
      <c r="R195">
        <v>0</v>
      </c>
      <c r="S195">
        <v>0</v>
      </c>
      <c r="T195" t="str">
        <f t="shared" ref="T195:T241" si="33">IF(OR(A195="",A195&lt;1),FALSE,IF(ISNUMBER(A195), IF(INT(A195) = A195, "-", FALSE), FALSE))</f>
        <v>-</v>
      </c>
      <c r="U195" t="str">
        <f t="shared" ref="U195:U241" si="34">IF(OR(B195="",A195&lt;1),FALSE,IF(ISNUMBER(A195), IF(INT(A195) = A195, "-", FALSE), FALSE))</f>
        <v>-</v>
      </c>
      <c r="V195" t="str">
        <f t="shared" ref="V195:V241" si="35">IF(OR(C195="",C195="PilihSalasatu"),FALSE,"-")</f>
        <v>-</v>
      </c>
      <c r="W195" t="str">
        <f t="shared" ref="W195:W241" si="36">IF(D195="",FALSE,"-")</f>
        <v>-</v>
      </c>
      <c r="X195" t="str">
        <f t="shared" ref="X195:X241" si="37">IF(E195="",FALSE,"-")</f>
        <v>-</v>
      </c>
      <c r="Y195" t="str">
        <f t="shared" ref="Y195:Y241" si="38">IF(F195="",FALSE,"-")</f>
        <v>-</v>
      </c>
      <c r="Z195" t="str">
        <f t="shared" ref="Z195:Z241" si="39">IF(I195="",FALSE,"-")</f>
        <v>-</v>
      </c>
      <c r="AA195" t="str">
        <f t="shared" ref="AA195:AA241" si="40">IF(J195="",FALSE,"-")</f>
        <v>-</v>
      </c>
      <c r="AB195" t="str">
        <f>IF(_xlfn.IFNA(VLOOKUP(P195,Set_Ref!$B$6:$B$1048576,1,FALSE),"")&lt;&gt;"","-",FALSE)</f>
        <v>-</v>
      </c>
      <c r="AC195" t="str">
        <f t="shared" ref="AC195:AC241" si="41">IF(OR(Q195="",Q195&lt;=0),FALSE,IF(ISNUMBER(Q195),"-",FALSE))</f>
        <v>-</v>
      </c>
      <c r="AD195" t="str">
        <f t="shared" ref="AD195:AD241" si="42">IF(OR(G195="",H195="",I195="",K195=""),FALSE,"-")</f>
        <v>-</v>
      </c>
      <c r="AE195" t="b">
        <f t="shared" ref="AE195:AE258" si="43">IF(COUNTIF(T195:AD195, "FALSE") &gt; 0, FALSE, TRUE)</f>
        <v>1</v>
      </c>
    </row>
    <row r="196" spans="1:31" x14ac:dyDescent="0.25">
      <c r="A196">
        <v>10</v>
      </c>
      <c r="B196">
        <v>18</v>
      </c>
      <c r="C196">
        <v>261</v>
      </c>
      <c r="D196" s="11" t="s">
        <v>145</v>
      </c>
      <c r="E196" s="11" t="s">
        <v>237</v>
      </c>
      <c r="F196" s="11" t="s">
        <v>220</v>
      </c>
      <c r="G196" s="11" t="s">
        <v>253</v>
      </c>
      <c r="H196">
        <v>3</v>
      </c>
      <c r="I196" s="11" t="s">
        <v>186</v>
      </c>
      <c r="J196" s="11" t="s">
        <v>273</v>
      </c>
      <c r="K196" s="11" t="s">
        <v>179</v>
      </c>
      <c r="L196" s="11" t="s">
        <v>38</v>
      </c>
      <c r="M196" s="11" t="s">
        <v>38</v>
      </c>
      <c r="N196" s="11" t="s">
        <v>38</v>
      </c>
      <c r="O196" s="11" t="s">
        <v>38</v>
      </c>
      <c r="P196" t="s">
        <v>8</v>
      </c>
      <c r="Q196">
        <v>16</v>
      </c>
      <c r="R196">
        <v>0</v>
      </c>
      <c r="S196">
        <v>0</v>
      </c>
      <c r="T196" t="str">
        <f t="shared" si="33"/>
        <v>-</v>
      </c>
      <c r="U196" t="str">
        <f t="shared" si="34"/>
        <v>-</v>
      </c>
      <c r="V196" t="str">
        <f t="shared" si="35"/>
        <v>-</v>
      </c>
      <c r="W196" t="str">
        <f t="shared" si="36"/>
        <v>-</v>
      </c>
      <c r="X196" t="str">
        <f t="shared" si="37"/>
        <v>-</v>
      </c>
      <c r="Y196" t="str">
        <f t="shared" si="38"/>
        <v>-</v>
      </c>
      <c r="Z196" t="str">
        <f t="shared" si="39"/>
        <v>-</v>
      </c>
      <c r="AA196" t="str">
        <f t="shared" si="40"/>
        <v>-</v>
      </c>
      <c r="AB196" t="str">
        <f>IF(_xlfn.IFNA(VLOOKUP(P196,Set_Ref!$B$6:$B$1048576,1,FALSE),"")&lt;&gt;"","-",FALSE)</f>
        <v>-</v>
      </c>
      <c r="AC196" t="str">
        <f t="shared" si="41"/>
        <v>-</v>
      </c>
      <c r="AD196" t="str">
        <f t="shared" si="42"/>
        <v>-</v>
      </c>
      <c r="AE196" t="b">
        <f t="shared" si="43"/>
        <v>1</v>
      </c>
    </row>
    <row r="197" spans="1:31" x14ac:dyDescent="0.25">
      <c r="A197">
        <v>10</v>
      </c>
      <c r="B197">
        <v>19</v>
      </c>
      <c r="C197">
        <v>261</v>
      </c>
      <c r="D197" s="11" t="s">
        <v>145</v>
      </c>
      <c r="E197" s="11" t="s">
        <v>237</v>
      </c>
      <c r="F197" s="11" t="s">
        <v>220</v>
      </c>
      <c r="G197" s="11" t="s">
        <v>253</v>
      </c>
      <c r="H197">
        <v>3</v>
      </c>
      <c r="I197" s="11" t="s">
        <v>186</v>
      </c>
      <c r="J197" s="11" t="s">
        <v>273</v>
      </c>
      <c r="K197" s="11" t="s">
        <v>179</v>
      </c>
      <c r="L197" s="11" t="s">
        <v>38</v>
      </c>
      <c r="M197" s="11" t="s">
        <v>38</v>
      </c>
      <c r="N197" s="11" t="s">
        <v>38</v>
      </c>
      <c r="O197" s="11" t="s">
        <v>38</v>
      </c>
      <c r="P197" t="s">
        <v>8</v>
      </c>
      <c r="Q197">
        <v>14</v>
      </c>
      <c r="R197">
        <v>0</v>
      </c>
      <c r="S197">
        <v>0</v>
      </c>
      <c r="T197" t="str">
        <f t="shared" si="33"/>
        <v>-</v>
      </c>
      <c r="U197" t="str">
        <f t="shared" si="34"/>
        <v>-</v>
      </c>
      <c r="V197" t="str">
        <f t="shared" si="35"/>
        <v>-</v>
      </c>
      <c r="W197" t="str">
        <f t="shared" si="36"/>
        <v>-</v>
      </c>
      <c r="X197" t="str">
        <f t="shared" si="37"/>
        <v>-</v>
      </c>
      <c r="Y197" t="str">
        <f t="shared" si="38"/>
        <v>-</v>
      </c>
      <c r="Z197" t="str">
        <f t="shared" si="39"/>
        <v>-</v>
      </c>
      <c r="AA197" t="str">
        <f t="shared" si="40"/>
        <v>-</v>
      </c>
      <c r="AB197" t="str">
        <f>IF(_xlfn.IFNA(VLOOKUP(P197,Set_Ref!$B$6:$B$1048576,1,FALSE),"")&lt;&gt;"","-",FALSE)</f>
        <v>-</v>
      </c>
      <c r="AC197" t="str">
        <f t="shared" si="41"/>
        <v>-</v>
      </c>
      <c r="AD197" t="str">
        <f t="shared" si="42"/>
        <v>-</v>
      </c>
      <c r="AE197" t="b">
        <f t="shared" si="43"/>
        <v>1</v>
      </c>
    </row>
    <row r="198" spans="1:31" x14ac:dyDescent="0.25">
      <c r="A198">
        <v>11</v>
      </c>
      <c r="B198">
        <v>1</v>
      </c>
      <c r="C198">
        <v>261</v>
      </c>
      <c r="D198" s="11" t="s">
        <v>145</v>
      </c>
      <c r="E198" s="11" t="s">
        <v>235</v>
      </c>
      <c r="F198" s="11" t="s">
        <v>213</v>
      </c>
      <c r="G198" s="11" t="s">
        <v>252</v>
      </c>
      <c r="H198">
        <v>5</v>
      </c>
      <c r="I198" s="11" t="s">
        <v>167</v>
      </c>
      <c r="J198" s="11" t="s">
        <v>274</v>
      </c>
      <c r="K198" s="11" t="s">
        <v>165</v>
      </c>
      <c r="L198" s="11" t="s">
        <v>38</v>
      </c>
      <c r="M198" s="11" t="s">
        <v>38</v>
      </c>
      <c r="N198" s="11" t="s">
        <v>38</v>
      </c>
      <c r="O198" s="11" t="s">
        <v>38</v>
      </c>
      <c r="P198" t="s">
        <v>10</v>
      </c>
      <c r="Q198">
        <v>16</v>
      </c>
      <c r="R198">
        <v>0</v>
      </c>
      <c r="S198">
        <v>0</v>
      </c>
      <c r="T198" t="str">
        <f t="shared" si="33"/>
        <v>-</v>
      </c>
      <c r="U198" t="str">
        <f t="shared" si="34"/>
        <v>-</v>
      </c>
      <c r="V198" t="str">
        <f t="shared" si="35"/>
        <v>-</v>
      </c>
      <c r="W198" t="str">
        <f t="shared" si="36"/>
        <v>-</v>
      </c>
      <c r="X198" t="str">
        <f t="shared" si="37"/>
        <v>-</v>
      </c>
      <c r="Y198" t="str">
        <f t="shared" si="38"/>
        <v>-</v>
      </c>
      <c r="Z198" t="str">
        <f t="shared" si="39"/>
        <v>-</v>
      </c>
      <c r="AA198" t="str">
        <f t="shared" si="40"/>
        <v>-</v>
      </c>
      <c r="AB198" t="str">
        <f>IF(_xlfn.IFNA(VLOOKUP(P198,Set_Ref!$B$6:$B$1048576,1,FALSE),"")&lt;&gt;"","-",FALSE)</f>
        <v>-</v>
      </c>
      <c r="AC198" t="str">
        <f t="shared" si="41"/>
        <v>-</v>
      </c>
      <c r="AD198" t="str">
        <f t="shared" si="42"/>
        <v>-</v>
      </c>
      <c r="AE198" t="b">
        <f t="shared" si="43"/>
        <v>1</v>
      </c>
    </row>
    <row r="199" spans="1:31" x14ac:dyDescent="0.25">
      <c r="A199">
        <v>11</v>
      </c>
      <c r="B199">
        <v>2</v>
      </c>
      <c r="C199">
        <v>261</v>
      </c>
      <c r="D199" s="11" t="s">
        <v>145</v>
      </c>
      <c r="E199" s="11" t="s">
        <v>235</v>
      </c>
      <c r="F199" s="11" t="s">
        <v>213</v>
      </c>
      <c r="G199" s="11" t="s">
        <v>252</v>
      </c>
      <c r="H199">
        <v>5</v>
      </c>
      <c r="I199" s="11" t="s">
        <v>167</v>
      </c>
      <c r="J199" s="11" t="s">
        <v>274</v>
      </c>
      <c r="K199" s="11" t="s">
        <v>165</v>
      </c>
      <c r="L199" s="11" t="s">
        <v>38</v>
      </c>
      <c r="M199" s="11" t="s">
        <v>38</v>
      </c>
      <c r="N199" s="11" t="s">
        <v>38</v>
      </c>
      <c r="O199" s="11" t="s">
        <v>38</v>
      </c>
      <c r="P199" t="s">
        <v>10</v>
      </c>
      <c r="Q199">
        <v>435</v>
      </c>
      <c r="R199">
        <v>0</v>
      </c>
      <c r="S199">
        <v>0</v>
      </c>
      <c r="T199" t="str">
        <f t="shared" si="33"/>
        <v>-</v>
      </c>
      <c r="U199" t="str">
        <f t="shared" si="34"/>
        <v>-</v>
      </c>
      <c r="V199" t="str">
        <f t="shared" si="35"/>
        <v>-</v>
      </c>
      <c r="W199" t="str">
        <f t="shared" si="36"/>
        <v>-</v>
      </c>
      <c r="X199" t="str">
        <f t="shared" si="37"/>
        <v>-</v>
      </c>
      <c r="Y199" t="str">
        <f t="shared" si="38"/>
        <v>-</v>
      </c>
      <c r="Z199" t="str">
        <f t="shared" si="39"/>
        <v>-</v>
      </c>
      <c r="AA199" t="str">
        <f t="shared" si="40"/>
        <v>-</v>
      </c>
      <c r="AB199" t="str">
        <f>IF(_xlfn.IFNA(VLOOKUP(P199,Set_Ref!$B$6:$B$1048576,1,FALSE),"")&lt;&gt;"","-",FALSE)</f>
        <v>-</v>
      </c>
      <c r="AC199" t="str">
        <f t="shared" si="41"/>
        <v>-</v>
      </c>
      <c r="AD199" t="str">
        <f t="shared" si="42"/>
        <v>-</v>
      </c>
      <c r="AE199" t="b">
        <f t="shared" si="43"/>
        <v>1</v>
      </c>
    </row>
    <row r="200" spans="1:31" x14ac:dyDescent="0.25">
      <c r="A200">
        <v>11</v>
      </c>
      <c r="B200">
        <v>3</v>
      </c>
      <c r="C200">
        <v>261</v>
      </c>
      <c r="D200" s="11" t="s">
        <v>145</v>
      </c>
      <c r="E200" s="11" t="s">
        <v>235</v>
      </c>
      <c r="F200" s="11" t="s">
        <v>213</v>
      </c>
      <c r="G200" s="11" t="s">
        <v>252</v>
      </c>
      <c r="H200">
        <v>5</v>
      </c>
      <c r="I200" s="11" t="s">
        <v>167</v>
      </c>
      <c r="J200" s="11" t="s">
        <v>274</v>
      </c>
      <c r="K200" s="11" t="s">
        <v>165</v>
      </c>
      <c r="L200" s="11" t="s">
        <v>38</v>
      </c>
      <c r="M200" s="11" t="s">
        <v>38</v>
      </c>
      <c r="N200" s="11" t="s">
        <v>38</v>
      </c>
      <c r="O200" s="11" t="s">
        <v>38</v>
      </c>
      <c r="P200" t="s">
        <v>10</v>
      </c>
      <c r="Q200">
        <v>217</v>
      </c>
      <c r="R200">
        <v>0</v>
      </c>
      <c r="S200">
        <v>0</v>
      </c>
      <c r="T200" t="str">
        <f t="shared" si="33"/>
        <v>-</v>
      </c>
      <c r="U200" t="str">
        <f t="shared" si="34"/>
        <v>-</v>
      </c>
      <c r="V200" t="str">
        <f t="shared" si="35"/>
        <v>-</v>
      </c>
      <c r="W200" t="str">
        <f t="shared" si="36"/>
        <v>-</v>
      </c>
      <c r="X200" t="str">
        <f t="shared" si="37"/>
        <v>-</v>
      </c>
      <c r="Y200" t="str">
        <f t="shared" si="38"/>
        <v>-</v>
      </c>
      <c r="Z200" t="str">
        <f t="shared" si="39"/>
        <v>-</v>
      </c>
      <c r="AA200" t="str">
        <f t="shared" si="40"/>
        <v>-</v>
      </c>
      <c r="AB200" t="str">
        <f>IF(_xlfn.IFNA(VLOOKUP(P200,Set_Ref!$B$6:$B$1048576,1,FALSE),"")&lt;&gt;"","-",FALSE)</f>
        <v>-</v>
      </c>
      <c r="AC200" t="str">
        <f t="shared" si="41"/>
        <v>-</v>
      </c>
      <c r="AD200" t="str">
        <f t="shared" si="42"/>
        <v>-</v>
      </c>
      <c r="AE200" t="b">
        <f t="shared" si="43"/>
        <v>1</v>
      </c>
    </row>
    <row r="201" spans="1:31" x14ac:dyDescent="0.25">
      <c r="A201">
        <v>11</v>
      </c>
      <c r="B201">
        <v>4</v>
      </c>
      <c r="C201">
        <v>261</v>
      </c>
      <c r="D201" s="11" t="s">
        <v>145</v>
      </c>
      <c r="E201" s="11" t="s">
        <v>235</v>
      </c>
      <c r="F201" s="11" t="s">
        <v>213</v>
      </c>
      <c r="G201" s="11" t="s">
        <v>252</v>
      </c>
      <c r="H201">
        <v>5</v>
      </c>
      <c r="I201" s="11" t="s">
        <v>167</v>
      </c>
      <c r="J201" s="11" t="s">
        <v>274</v>
      </c>
      <c r="K201" s="11" t="s">
        <v>165</v>
      </c>
      <c r="L201" s="11" t="s">
        <v>38</v>
      </c>
      <c r="M201" s="11" t="s">
        <v>38</v>
      </c>
      <c r="N201" s="11" t="s">
        <v>38</v>
      </c>
      <c r="O201" s="11" t="s">
        <v>38</v>
      </c>
      <c r="P201" t="s">
        <v>10</v>
      </c>
      <c r="Q201">
        <v>431</v>
      </c>
      <c r="R201">
        <v>0</v>
      </c>
      <c r="S201">
        <v>0</v>
      </c>
      <c r="T201" t="str">
        <f t="shared" si="33"/>
        <v>-</v>
      </c>
      <c r="U201" t="str">
        <f t="shared" si="34"/>
        <v>-</v>
      </c>
      <c r="V201" t="str">
        <f t="shared" si="35"/>
        <v>-</v>
      </c>
      <c r="W201" t="str">
        <f t="shared" si="36"/>
        <v>-</v>
      </c>
      <c r="X201" t="str">
        <f t="shared" si="37"/>
        <v>-</v>
      </c>
      <c r="Y201" t="str">
        <f t="shared" si="38"/>
        <v>-</v>
      </c>
      <c r="Z201" t="str">
        <f t="shared" si="39"/>
        <v>-</v>
      </c>
      <c r="AA201" t="str">
        <f t="shared" si="40"/>
        <v>-</v>
      </c>
      <c r="AB201" t="str">
        <f>IF(_xlfn.IFNA(VLOOKUP(P201,Set_Ref!$B$6:$B$1048576,1,FALSE),"")&lt;&gt;"","-",FALSE)</f>
        <v>-</v>
      </c>
      <c r="AC201" t="str">
        <f t="shared" si="41"/>
        <v>-</v>
      </c>
      <c r="AD201" t="str">
        <f t="shared" si="42"/>
        <v>-</v>
      </c>
      <c r="AE201" t="b">
        <f t="shared" si="43"/>
        <v>1</v>
      </c>
    </row>
    <row r="202" spans="1:31" x14ac:dyDescent="0.25">
      <c r="A202">
        <v>11</v>
      </c>
      <c r="B202">
        <v>5</v>
      </c>
      <c r="C202">
        <v>261</v>
      </c>
      <c r="D202" s="11" t="s">
        <v>145</v>
      </c>
      <c r="E202" s="11" t="s">
        <v>235</v>
      </c>
      <c r="F202" s="11" t="s">
        <v>213</v>
      </c>
      <c r="G202" s="11" t="s">
        <v>252</v>
      </c>
      <c r="H202">
        <v>5</v>
      </c>
      <c r="I202" s="11" t="s">
        <v>167</v>
      </c>
      <c r="J202" s="11" t="s">
        <v>274</v>
      </c>
      <c r="K202" s="11" t="s">
        <v>165</v>
      </c>
      <c r="L202" s="11" t="s">
        <v>38</v>
      </c>
      <c r="M202" s="11" t="s">
        <v>38</v>
      </c>
      <c r="N202" s="11" t="s">
        <v>38</v>
      </c>
      <c r="O202" s="11" t="s">
        <v>38</v>
      </c>
      <c r="P202" t="s">
        <v>10</v>
      </c>
      <c r="Q202">
        <v>582</v>
      </c>
      <c r="R202">
        <v>0</v>
      </c>
      <c r="S202">
        <v>0</v>
      </c>
      <c r="T202" t="str">
        <f t="shared" si="33"/>
        <v>-</v>
      </c>
      <c r="U202" t="str">
        <f t="shared" si="34"/>
        <v>-</v>
      </c>
      <c r="V202" t="str">
        <f t="shared" si="35"/>
        <v>-</v>
      </c>
      <c r="W202" t="str">
        <f t="shared" si="36"/>
        <v>-</v>
      </c>
      <c r="X202" t="str">
        <f t="shared" si="37"/>
        <v>-</v>
      </c>
      <c r="Y202" t="str">
        <f t="shared" si="38"/>
        <v>-</v>
      </c>
      <c r="Z202" t="str">
        <f t="shared" si="39"/>
        <v>-</v>
      </c>
      <c r="AA202" t="str">
        <f t="shared" si="40"/>
        <v>-</v>
      </c>
      <c r="AB202" t="str">
        <f>IF(_xlfn.IFNA(VLOOKUP(P202,Set_Ref!$B$6:$B$1048576,1,FALSE),"")&lt;&gt;"","-",FALSE)</f>
        <v>-</v>
      </c>
      <c r="AC202" t="str">
        <f t="shared" si="41"/>
        <v>-</v>
      </c>
      <c r="AD202" t="str">
        <f t="shared" si="42"/>
        <v>-</v>
      </c>
      <c r="AE202" t="b">
        <f t="shared" si="43"/>
        <v>1</v>
      </c>
    </row>
    <row r="203" spans="1:31" x14ac:dyDescent="0.25">
      <c r="A203">
        <v>11</v>
      </c>
      <c r="B203">
        <v>6</v>
      </c>
      <c r="C203">
        <v>261</v>
      </c>
      <c r="D203" s="11" t="s">
        <v>145</v>
      </c>
      <c r="E203" s="11" t="s">
        <v>235</v>
      </c>
      <c r="F203" s="11" t="s">
        <v>213</v>
      </c>
      <c r="G203" s="11" t="s">
        <v>252</v>
      </c>
      <c r="H203">
        <v>5</v>
      </c>
      <c r="I203" s="11" t="s">
        <v>167</v>
      </c>
      <c r="J203" s="11" t="s">
        <v>274</v>
      </c>
      <c r="K203" s="11" t="s">
        <v>165</v>
      </c>
      <c r="L203" s="11" t="s">
        <v>38</v>
      </c>
      <c r="M203" s="11" t="s">
        <v>38</v>
      </c>
      <c r="N203" s="11" t="s">
        <v>38</v>
      </c>
      <c r="O203" s="11" t="s">
        <v>38</v>
      </c>
      <c r="P203" t="s">
        <v>10</v>
      </c>
      <c r="Q203">
        <v>48</v>
      </c>
      <c r="R203">
        <v>0</v>
      </c>
      <c r="S203">
        <v>0</v>
      </c>
      <c r="T203" t="str">
        <f t="shared" si="33"/>
        <v>-</v>
      </c>
      <c r="U203" t="str">
        <f t="shared" si="34"/>
        <v>-</v>
      </c>
      <c r="V203" t="str">
        <f t="shared" si="35"/>
        <v>-</v>
      </c>
      <c r="W203" t="str">
        <f t="shared" si="36"/>
        <v>-</v>
      </c>
      <c r="X203" t="str">
        <f t="shared" si="37"/>
        <v>-</v>
      </c>
      <c r="Y203" t="str">
        <f t="shared" si="38"/>
        <v>-</v>
      </c>
      <c r="Z203" t="str">
        <f t="shared" si="39"/>
        <v>-</v>
      </c>
      <c r="AA203" t="str">
        <f t="shared" si="40"/>
        <v>-</v>
      </c>
      <c r="AB203" t="str">
        <f>IF(_xlfn.IFNA(VLOOKUP(P203,Set_Ref!$B$6:$B$1048576,1,FALSE),"")&lt;&gt;"","-",FALSE)</f>
        <v>-</v>
      </c>
      <c r="AC203" t="str">
        <f t="shared" si="41"/>
        <v>-</v>
      </c>
      <c r="AD203" t="str">
        <f t="shared" si="42"/>
        <v>-</v>
      </c>
      <c r="AE203" t="b">
        <f t="shared" si="43"/>
        <v>1</v>
      </c>
    </row>
    <row r="204" spans="1:31" x14ac:dyDescent="0.25">
      <c r="A204">
        <v>11</v>
      </c>
      <c r="B204">
        <v>7</v>
      </c>
      <c r="C204">
        <v>261</v>
      </c>
      <c r="D204" s="11" t="s">
        <v>145</v>
      </c>
      <c r="E204" s="11" t="s">
        <v>235</v>
      </c>
      <c r="F204" s="11" t="s">
        <v>213</v>
      </c>
      <c r="G204" s="11" t="s">
        <v>252</v>
      </c>
      <c r="H204">
        <v>5</v>
      </c>
      <c r="I204" s="11" t="s">
        <v>167</v>
      </c>
      <c r="J204" s="11" t="s">
        <v>274</v>
      </c>
      <c r="K204" s="11" t="s">
        <v>165</v>
      </c>
      <c r="L204" s="11" t="s">
        <v>38</v>
      </c>
      <c r="M204" s="11" t="s">
        <v>38</v>
      </c>
      <c r="N204" s="11" t="s">
        <v>38</v>
      </c>
      <c r="O204" s="11" t="s">
        <v>38</v>
      </c>
      <c r="P204" t="s">
        <v>10</v>
      </c>
      <c r="Q204">
        <v>48</v>
      </c>
      <c r="R204">
        <v>0</v>
      </c>
      <c r="S204">
        <v>0</v>
      </c>
      <c r="T204" t="str">
        <f t="shared" si="33"/>
        <v>-</v>
      </c>
      <c r="U204" t="str">
        <f t="shared" si="34"/>
        <v>-</v>
      </c>
      <c r="V204" t="str">
        <f t="shared" si="35"/>
        <v>-</v>
      </c>
      <c r="W204" t="str">
        <f t="shared" si="36"/>
        <v>-</v>
      </c>
      <c r="X204" t="str">
        <f t="shared" si="37"/>
        <v>-</v>
      </c>
      <c r="Y204" t="str">
        <f t="shared" si="38"/>
        <v>-</v>
      </c>
      <c r="Z204" t="str">
        <f t="shared" si="39"/>
        <v>-</v>
      </c>
      <c r="AA204" t="str">
        <f t="shared" si="40"/>
        <v>-</v>
      </c>
      <c r="AB204" t="str">
        <f>IF(_xlfn.IFNA(VLOOKUP(P204,Set_Ref!$B$6:$B$1048576,1,FALSE),"")&lt;&gt;"","-",FALSE)</f>
        <v>-</v>
      </c>
      <c r="AC204" t="str">
        <f t="shared" si="41"/>
        <v>-</v>
      </c>
      <c r="AD204" t="str">
        <f t="shared" si="42"/>
        <v>-</v>
      </c>
      <c r="AE204" t="b">
        <f t="shared" si="43"/>
        <v>1</v>
      </c>
    </row>
    <row r="205" spans="1:31" x14ac:dyDescent="0.25">
      <c r="A205">
        <v>11</v>
      </c>
      <c r="B205">
        <v>8</v>
      </c>
      <c r="C205">
        <v>261</v>
      </c>
      <c r="D205" s="11" t="s">
        <v>145</v>
      </c>
      <c r="E205" s="11" t="s">
        <v>235</v>
      </c>
      <c r="F205" s="11" t="s">
        <v>213</v>
      </c>
      <c r="G205" s="11" t="s">
        <v>252</v>
      </c>
      <c r="H205">
        <v>5</v>
      </c>
      <c r="I205" s="11" t="s">
        <v>167</v>
      </c>
      <c r="J205" s="11" t="s">
        <v>274</v>
      </c>
      <c r="K205" s="11" t="s">
        <v>165</v>
      </c>
      <c r="L205" s="11" t="s">
        <v>38</v>
      </c>
      <c r="M205" s="11" t="s">
        <v>38</v>
      </c>
      <c r="N205" s="11" t="s">
        <v>38</v>
      </c>
      <c r="O205" s="11" t="s">
        <v>38</v>
      </c>
      <c r="P205" t="s">
        <v>10</v>
      </c>
      <c r="Q205">
        <v>143</v>
      </c>
      <c r="R205">
        <v>0</v>
      </c>
      <c r="S205">
        <v>0</v>
      </c>
      <c r="T205" t="str">
        <f t="shared" si="33"/>
        <v>-</v>
      </c>
      <c r="U205" t="str">
        <f t="shared" si="34"/>
        <v>-</v>
      </c>
      <c r="V205" t="str">
        <f t="shared" si="35"/>
        <v>-</v>
      </c>
      <c r="W205" t="str">
        <f t="shared" si="36"/>
        <v>-</v>
      </c>
      <c r="X205" t="str">
        <f t="shared" si="37"/>
        <v>-</v>
      </c>
      <c r="Y205" t="str">
        <f t="shared" si="38"/>
        <v>-</v>
      </c>
      <c r="Z205" t="str">
        <f t="shared" si="39"/>
        <v>-</v>
      </c>
      <c r="AA205" t="str">
        <f t="shared" si="40"/>
        <v>-</v>
      </c>
      <c r="AB205" t="str">
        <f>IF(_xlfn.IFNA(VLOOKUP(P205,Set_Ref!$B$6:$B$1048576,1,FALSE),"")&lt;&gt;"","-",FALSE)</f>
        <v>-</v>
      </c>
      <c r="AC205" t="str">
        <f t="shared" si="41"/>
        <v>-</v>
      </c>
      <c r="AD205" t="str">
        <f t="shared" si="42"/>
        <v>-</v>
      </c>
      <c r="AE205" t="b">
        <f t="shared" si="43"/>
        <v>1</v>
      </c>
    </row>
    <row r="206" spans="1:31" x14ac:dyDescent="0.25">
      <c r="A206">
        <v>11</v>
      </c>
      <c r="B206">
        <v>9</v>
      </c>
      <c r="C206">
        <v>261</v>
      </c>
      <c r="D206" s="11" t="s">
        <v>145</v>
      </c>
      <c r="E206" s="11" t="s">
        <v>235</v>
      </c>
      <c r="F206" s="11" t="s">
        <v>213</v>
      </c>
      <c r="G206" s="11" t="s">
        <v>252</v>
      </c>
      <c r="H206">
        <v>5</v>
      </c>
      <c r="I206" s="11" t="s">
        <v>167</v>
      </c>
      <c r="J206" s="11" t="s">
        <v>274</v>
      </c>
      <c r="K206" s="11" t="s">
        <v>165</v>
      </c>
      <c r="L206" s="11" t="s">
        <v>38</v>
      </c>
      <c r="M206" s="11" t="s">
        <v>38</v>
      </c>
      <c r="N206" s="11" t="s">
        <v>38</v>
      </c>
      <c r="O206" s="11" t="s">
        <v>38</v>
      </c>
      <c r="P206" t="s">
        <v>10</v>
      </c>
      <c r="Q206">
        <v>127</v>
      </c>
      <c r="R206">
        <v>0</v>
      </c>
      <c r="S206">
        <v>0</v>
      </c>
      <c r="T206" t="str">
        <f t="shared" si="33"/>
        <v>-</v>
      </c>
      <c r="U206" t="str">
        <f t="shared" si="34"/>
        <v>-</v>
      </c>
      <c r="V206" t="str">
        <f t="shared" si="35"/>
        <v>-</v>
      </c>
      <c r="W206" t="str">
        <f t="shared" si="36"/>
        <v>-</v>
      </c>
      <c r="X206" t="str">
        <f t="shared" si="37"/>
        <v>-</v>
      </c>
      <c r="Y206" t="str">
        <f t="shared" si="38"/>
        <v>-</v>
      </c>
      <c r="Z206" t="str">
        <f t="shared" si="39"/>
        <v>-</v>
      </c>
      <c r="AA206" t="str">
        <f t="shared" si="40"/>
        <v>-</v>
      </c>
      <c r="AB206" t="str">
        <f>IF(_xlfn.IFNA(VLOOKUP(P206,Set_Ref!$B$6:$B$1048576,1,FALSE),"")&lt;&gt;"","-",FALSE)</f>
        <v>-</v>
      </c>
      <c r="AC206" t="str">
        <f t="shared" si="41"/>
        <v>-</v>
      </c>
      <c r="AD206" t="str">
        <f t="shared" si="42"/>
        <v>-</v>
      </c>
      <c r="AE206" t="b">
        <f t="shared" si="43"/>
        <v>1</v>
      </c>
    </row>
    <row r="207" spans="1:31" x14ac:dyDescent="0.25">
      <c r="A207">
        <v>11</v>
      </c>
      <c r="B207">
        <v>10</v>
      </c>
      <c r="C207">
        <v>261</v>
      </c>
      <c r="D207" s="11" t="s">
        <v>145</v>
      </c>
      <c r="E207" s="11" t="s">
        <v>241</v>
      </c>
      <c r="F207" s="11" t="s">
        <v>197</v>
      </c>
      <c r="G207" s="11" t="s">
        <v>256</v>
      </c>
      <c r="H207">
        <v>3</v>
      </c>
      <c r="I207" s="11" t="s">
        <v>167</v>
      </c>
      <c r="J207" s="11" t="s">
        <v>229</v>
      </c>
      <c r="K207" s="11" t="s">
        <v>165</v>
      </c>
      <c r="L207" s="11" t="s">
        <v>38</v>
      </c>
      <c r="M207" s="11" t="s">
        <v>38</v>
      </c>
      <c r="N207" s="11" t="s">
        <v>38</v>
      </c>
      <c r="O207" s="11" t="s">
        <v>38</v>
      </c>
      <c r="P207" t="s">
        <v>10</v>
      </c>
      <c r="Q207">
        <v>1</v>
      </c>
      <c r="R207">
        <v>0</v>
      </c>
      <c r="S207">
        <v>0</v>
      </c>
      <c r="T207" t="str">
        <f t="shared" si="33"/>
        <v>-</v>
      </c>
      <c r="U207" t="str">
        <f t="shared" si="34"/>
        <v>-</v>
      </c>
      <c r="V207" t="str">
        <f t="shared" si="35"/>
        <v>-</v>
      </c>
      <c r="W207" t="str">
        <f t="shared" si="36"/>
        <v>-</v>
      </c>
      <c r="X207" t="str">
        <f t="shared" si="37"/>
        <v>-</v>
      </c>
      <c r="Y207" t="str">
        <f t="shared" si="38"/>
        <v>-</v>
      </c>
      <c r="Z207" t="str">
        <f t="shared" si="39"/>
        <v>-</v>
      </c>
      <c r="AA207" t="str">
        <f t="shared" si="40"/>
        <v>-</v>
      </c>
      <c r="AB207" t="str">
        <f>IF(_xlfn.IFNA(VLOOKUP(P207,Set_Ref!$B$6:$B$1048576,1,FALSE),"")&lt;&gt;"","-",FALSE)</f>
        <v>-</v>
      </c>
      <c r="AC207" t="str">
        <f t="shared" si="41"/>
        <v>-</v>
      </c>
      <c r="AD207" t="str">
        <f t="shared" si="42"/>
        <v>-</v>
      </c>
      <c r="AE207" t="b">
        <f t="shared" si="43"/>
        <v>1</v>
      </c>
    </row>
    <row r="208" spans="1:31" x14ac:dyDescent="0.25">
      <c r="A208">
        <v>12</v>
      </c>
      <c r="B208">
        <v>1</v>
      </c>
      <c r="C208">
        <v>261</v>
      </c>
      <c r="D208" s="11" t="s">
        <v>145</v>
      </c>
      <c r="E208" s="11" t="s">
        <v>245</v>
      </c>
      <c r="F208" s="11" t="s">
        <v>196</v>
      </c>
      <c r="G208" s="11" t="s">
        <v>275</v>
      </c>
      <c r="H208">
        <v>1</v>
      </c>
      <c r="I208" s="11" t="s">
        <v>225</v>
      </c>
      <c r="J208" s="11" t="s">
        <v>230</v>
      </c>
      <c r="K208" s="11" t="s">
        <v>209</v>
      </c>
      <c r="L208" s="11" t="s">
        <v>38</v>
      </c>
      <c r="M208" s="11" t="s">
        <v>38</v>
      </c>
      <c r="N208" s="11" t="s">
        <v>38</v>
      </c>
      <c r="O208" s="11" t="s">
        <v>38</v>
      </c>
      <c r="P208" t="s">
        <v>19</v>
      </c>
      <c r="Q208">
        <v>1.1499999999999999</v>
      </c>
      <c r="R208">
        <v>0</v>
      </c>
      <c r="S208">
        <v>0</v>
      </c>
      <c r="T208" t="str">
        <f t="shared" si="33"/>
        <v>-</v>
      </c>
      <c r="U208" t="str">
        <f t="shared" si="34"/>
        <v>-</v>
      </c>
      <c r="V208" t="str">
        <f t="shared" si="35"/>
        <v>-</v>
      </c>
      <c r="W208" t="str">
        <f t="shared" si="36"/>
        <v>-</v>
      </c>
      <c r="X208" t="str">
        <f t="shared" si="37"/>
        <v>-</v>
      </c>
      <c r="Y208" t="str">
        <f t="shared" si="38"/>
        <v>-</v>
      </c>
      <c r="Z208" t="str">
        <f t="shared" si="39"/>
        <v>-</v>
      </c>
      <c r="AA208" t="str">
        <f t="shared" si="40"/>
        <v>-</v>
      </c>
      <c r="AB208" t="str">
        <f>IF(_xlfn.IFNA(VLOOKUP(P208,Set_Ref!$B$6:$B$1048576,1,FALSE),"")&lt;&gt;"","-",FALSE)</f>
        <v>-</v>
      </c>
      <c r="AC208" t="str">
        <f t="shared" si="41"/>
        <v>-</v>
      </c>
      <c r="AD208" t="str">
        <f t="shared" si="42"/>
        <v>-</v>
      </c>
      <c r="AE208" t="b">
        <f t="shared" si="43"/>
        <v>1</v>
      </c>
    </row>
    <row r="209" spans="1:31" x14ac:dyDescent="0.25">
      <c r="A209">
        <v>12</v>
      </c>
      <c r="B209">
        <v>2</v>
      </c>
      <c r="C209">
        <v>261</v>
      </c>
      <c r="D209" s="11" t="s">
        <v>145</v>
      </c>
      <c r="E209" s="11" t="s">
        <v>241</v>
      </c>
      <c r="F209" s="11" t="s">
        <v>197</v>
      </c>
      <c r="G209" s="11" t="s">
        <v>256</v>
      </c>
      <c r="H209">
        <v>2</v>
      </c>
      <c r="I209" s="11" t="s">
        <v>225</v>
      </c>
      <c r="J209" s="11" t="s">
        <v>230</v>
      </c>
      <c r="K209" s="11" t="s">
        <v>209</v>
      </c>
      <c r="L209" s="11" t="s">
        <v>38</v>
      </c>
      <c r="M209" s="11" t="s">
        <v>38</v>
      </c>
      <c r="N209" s="11" t="s">
        <v>38</v>
      </c>
      <c r="O209" s="11" t="s">
        <v>38</v>
      </c>
      <c r="P209" t="s">
        <v>19</v>
      </c>
      <c r="Q209">
        <v>0.28000000000000003</v>
      </c>
      <c r="R209">
        <v>0</v>
      </c>
      <c r="S209">
        <v>0</v>
      </c>
      <c r="T209" t="str">
        <f t="shared" si="33"/>
        <v>-</v>
      </c>
      <c r="U209" t="str">
        <f t="shared" si="34"/>
        <v>-</v>
      </c>
      <c r="V209" t="str">
        <f t="shared" si="35"/>
        <v>-</v>
      </c>
      <c r="W209" t="str">
        <f t="shared" si="36"/>
        <v>-</v>
      </c>
      <c r="X209" t="str">
        <f t="shared" si="37"/>
        <v>-</v>
      </c>
      <c r="Y209" t="str">
        <f t="shared" si="38"/>
        <v>-</v>
      </c>
      <c r="Z209" t="str">
        <f t="shared" si="39"/>
        <v>-</v>
      </c>
      <c r="AA209" t="str">
        <f t="shared" si="40"/>
        <v>-</v>
      </c>
      <c r="AB209" t="str">
        <f>IF(_xlfn.IFNA(VLOOKUP(P209,Set_Ref!$B$6:$B$1048576,1,FALSE),"")&lt;&gt;"","-",FALSE)</f>
        <v>-</v>
      </c>
      <c r="AC209" t="str">
        <f t="shared" si="41"/>
        <v>-</v>
      </c>
      <c r="AD209" t="str">
        <f t="shared" si="42"/>
        <v>-</v>
      </c>
      <c r="AE209" t="b">
        <f t="shared" si="43"/>
        <v>1</v>
      </c>
    </row>
    <row r="210" spans="1:31" x14ac:dyDescent="0.25">
      <c r="A210">
        <v>13</v>
      </c>
      <c r="B210">
        <v>1</v>
      </c>
      <c r="C210">
        <v>261</v>
      </c>
      <c r="D210" s="11" t="s">
        <v>145</v>
      </c>
      <c r="E210" s="11" t="s">
        <v>240</v>
      </c>
      <c r="F210" s="11" t="s">
        <v>214</v>
      </c>
      <c r="G210" s="11" t="s">
        <v>255</v>
      </c>
      <c r="H210">
        <v>4</v>
      </c>
      <c r="I210" s="11" t="s">
        <v>231</v>
      </c>
      <c r="J210" s="11" t="s">
        <v>232</v>
      </c>
      <c r="K210" s="11" t="s">
        <v>210</v>
      </c>
      <c r="L210" s="11" t="s">
        <v>38</v>
      </c>
      <c r="M210" s="11" t="s">
        <v>38</v>
      </c>
      <c r="N210" s="11" t="s">
        <v>38</v>
      </c>
      <c r="O210" s="11" t="s">
        <v>38</v>
      </c>
      <c r="P210" t="s">
        <v>31</v>
      </c>
      <c r="Q210">
        <v>2.6</v>
      </c>
      <c r="R210">
        <v>0</v>
      </c>
      <c r="S210">
        <v>0</v>
      </c>
      <c r="T210" t="str">
        <f t="shared" si="33"/>
        <v>-</v>
      </c>
      <c r="U210" t="str">
        <f t="shared" si="34"/>
        <v>-</v>
      </c>
      <c r="V210" t="str">
        <f t="shared" si="35"/>
        <v>-</v>
      </c>
      <c r="W210" t="str">
        <f t="shared" si="36"/>
        <v>-</v>
      </c>
      <c r="X210" t="str">
        <f t="shared" si="37"/>
        <v>-</v>
      </c>
      <c r="Y210" t="str">
        <f t="shared" si="38"/>
        <v>-</v>
      </c>
      <c r="Z210" t="str">
        <f t="shared" si="39"/>
        <v>-</v>
      </c>
      <c r="AA210" t="str">
        <f t="shared" si="40"/>
        <v>-</v>
      </c>
      <c r="AB210" t="str">
        <f>IF(_xlfn.IFNA(VLOOKUP(P210,Set_Ref!$B$6:$B$1048576,1,FALSE),"")&lt;&gt;"","-",FALSE)</f>
        <v>-</v>
      </c>
      <c r="AC210" t="str">
        <f t="shared" si="41"/>
        <v>-</v>
      </c>
      <c r="AD210" t="str">
        <f t="shared" si="42"/>
        <v>-</v>
      </c>
      <c r="AE210" t="b">
        <f t="shared" si="43"/>
        <v>1</v>
      </c>
    </row>
    <row r="211" spans="1:31" x14ac:dyDescent="0.25">
      <c r="A211">
        <v>13</v>
      </c>
      <c r="B211">
        <v>2</v>
      </c>
      <c r="C211">
        <v>261</v>
      </c>
      <c r="D211" s="11" t="s">
        <v>145</v>
      </c>
      <c r="E211" s="11" t="s">
        <v>241</v>
      </c>
      <c r="F211" s="11" t="s">
        <v>197</v>
      </c>
      <c r="G211" s="11" t="s">
        <v>256</v>
      </c>
      <c r="H211">
        <v>12</v>
      </c>
      <c r="I211" s="11" t="s">
        <v>231</v>
      </c>
      <c r="J211" s="11" t="s">
        <v>232</v>
      </c>
      <c r="K211" s="11" t="s">
        <v>210</v>
      </c>
      <c r="L211" s="11" t="s">
        <v>38</v>
      </c>
      <c r="M211" s="11" t="s">
        <v>38</v>
      </c>
      <c r="N211" s="11" t="s">
        <v>38</v>
      </c>
      <c r="O211" s="11" t="s">
        <v>38</v>
      </c>
      <c r="P211" t="s">
        <v>31</v>
      </c>
      <c r="Q211">
        <v>2.7</v>
      </c>
      <c r="R211">
        <v>0</v>
      </c>
      <c r="S211">
        <v>0</v>
      </c>
      <c r="T211" t="str">
        <f t="shared" si="33"/>
        <v>-</v>
      </c>
      <c r="U211" t="str">
        <f t="shared" si="34"/>
        <v>-</v>
      </c>
      <c r="V211" t="str">
        <f t="shared" si="35"/>
        <v>-</v>
      </c>
      <c r="W211" t="str">
        <f t="shared" si="36"/>
        <v>-</v>
      </c>
      <c r="X211" t="str">
        <f t="shared" si="37"/>
        <v>-</v>
      </c>
      <c r="Y211" t="str">
        <f t="shared" si="38"/>
        <v>-</v>
      </c>
      <c r="Z211" t="str">
        <f t="shared" si="39"/>
        <v>-</v>
      </c>
      <c r="AA211" t="str">
        <f t="shared" si="40"/>
        <v>-</v>
      </c>
      <c r="AB211" t="str">
        <f>IF(_xlfn.IFNA(VLOOKUP(P211,Set_Ref!$B$6:$B$1048576,1,FALSE),"")&lt;&gt;"","-",FALSE)</f>
        <v>-</v>
      </c>
      <c r="AC211" t="str">
        <f t="shared" si="41"/>
        <v>-</v>
      </c>
      <c r="AD211" t="str">
        <f t="shared" si="42"/>
        <v>-</v>
      </c>
      <c r="AE211" t="b">
        <f t="shared" si="43"/>
        <v>1</v>
      </c>
    </row>
    <row r="212" spans="1:31" x14ac:dyDescent="0.25">
      <c r="A212">
        <v>13</v>
      </c>
      <c r="B212">
        <v>3</v>
      </c>
      <c r="C212">
        <v>261</v>
      </c>
      <c r="D212" s="11" t="s">
        <v>145</v>
      </c>
      <c r="E212" s="11" t="s">
        <v>238</v>
      </c>
      <c r="F212" s="11" t="s">
        <v>215</v>
      </c>
      <c r="G212" s="11" t="s">
        <v>254</v>
      </c>
      <c r="H212">
        <v>2</v>
      </c>
      <c r="I212" s="11" t="s">
        <v>231</v>
      </c>
      <c r="J212" s="11" t="s">
        <v>232</v>
      </c>
      <c r="K212" s="11" t="s">
        <v>210</v>
      </c>
      <c r="L212" s="11" t="s">
        <v>38</v>
      </c>
      <c r="M212" s="11" t="s">
        <v>38</v>
      </c>
      <c r="N212" s="11" t="s">
        <v>38</v>
      </c>
      <c r="O212" s="11" t="s">
        <v>38</v>
      </c>
      <c r="P212" t="s">
        <v>31</v>
      </c>
      <c r="Q212">
        <v>7</v>
      </c>
      <c r="R212">
        <v>0</v>
      </c>
      <c r="S212">
        <v>0</v>
      </c>
      <c r="T212" t="str">
        <f t="shared" si="33"/>
        <v>-</v>
      </c>
      <c r="U212" t="str">
        <f t="shared" si="34"/>
        <v>-</v>
      </c>
      <c r="V212" t="str">
        <f t="shared" si="35"/>
        <v>-</v>
      </c>
      <c r="W212" t="str">
        <f t="shared" si="36"/>
        <v>-</v>
      </c>
      <c r="X212" t="str">
        <f t="shared" si="37"/>
        <v>-</v>
      </c>
      <c r="Y212" t="str">
        <f t="shared" si="38"/>
        <v>-</v>
      </c>
      <c r="Z212" t="str">
        <f t="shared" si="39"/>
        <v>-</v>
      </c>
      <c r="AA212" t="str">
        <f t="shared" si="40"/>
        <v>-</v>
      </c>
      <c r="AB212" t="str">
        <f>IF(_xlfn.IFNA(VLOOKUP(P212,Set_Ref!$B$6:$B$1048576,1,FALSE),"")&lt;&gt;"","-",FALSE)</f>
        <v>-</v>
      </c>
      <c r="AC212" t="str">
        <f t="shared" si="41"/>
        <v>-</v>
      </c>
      <c r="AD212" t="str">
        <f t="shared" si="42"/>
        <v>-</v>
      </c>
      <c r="AE212" t="b">
        <f t="shared" si="43"/>
        <v>1</v>
      </c>
    </row>
    <row r="213" spans="1:31" x14ac:dyDescent="0.25">
      <c r="A213">
        <v>13</v>
      </c>
      <c r="B213">
        <v>4</v>
      </c>
      <c r="C213">
        <v>261</v>
      </c>
      <c r="D213" s="11" t="s">
        <v>145</v>
      </c>
      <c r="E213" s="11" t="s">
        <v>242</v>
      </c>
      <c r="F213" s="11" t="s">
        <v>218</v>
      </c>
      <c r="G213" s="11" t="s">
        <v>257</v>
      </c>
      <c r="H213">
        <v>4</v>
      </c>
      <c r="I213" s="11" t="s">
        <v>231</v>
      </c>
      <c r="J213" s="11" t="s">
        <v>232</v>
      </c>
      <c r="K213" s="11" t="s">
        <v>210</v>
      </c>
      <c r="L213" s="11" t="s">
        <v>38</v>
      </c>
      <c r="M213" s="11" t="s">
        <v>38</v>
      </c>
      <c r="N213" s="11" t="s">
        <v>38</v>
      </c>
      <c r="O213" s="11" t="s">
        <v>38</v>
      </c>
      <c r="P213" t="s">
        <v>31</v>
      </c>
      <c r="Q213">
        <v>10.8</v>
      </c>
      <c r="R213">
        <v>0</v>
      </c>
      <c r="S213">
        <v>0</v>
      </c>
      <c r="T213" t="str">
        <f t="shared" si="33"/>
        <v>-</v>
      </c>
      <c r="U213" t="str">
        <f t="shared" si="34"/>
        <v>-</v>
      </c>
      <c r="V213" t="str">
        <f t="shared" si="35"/>
        <v>-</v>
      </c>
      <c r="W213" t="str">
        <f t="shared" si="36"/>
        <v>-</v>
      </c>
      <c r="X213" t="str">
        <f t="shared" si="37"/>
        <v>-</v>
      </c>
      <c r="Y213" t="str">
        <f t="shared" si="38"/>
        <v>-</v>
      </c>
      <c r="Z213" t="str">
        <f t="shared" si="39"/>
        <v>-</v>
      </c>
      <c r="AA213" t="str">
        <f t="shared" si="40"/>
        <v>-</v>
      </c>
      <c r="AB213" t="str">
        <f>IF(_xlfn.IFNA(VLOOKUP(P213,Set_Ref!$B$6:$B$1048576,1,FALSE),"")&lt;&gt;"","-",FALSE)</f>
        <v>-</v>
      </c>
      <c r="AC213" t="str">
        <f t="shared" si="41"/>
        <v>-</v>
      </c>
      <c r="AD213" t="str">
        <f t="shared" si="42"/>
        <v>-</v>
      </c>
      <c r="AE213" t="b">
        <f t="shared" si="43"/>
        <v>1</v>
      </c>
    </row>
    <row r="214" spans="1:31" x14ac:dyDescent="0.25">
      <c r="A214">
        <v>14</v>
      </c>
      <c r="B214">
        <v>1</v>
      </c>
      <c r="C214">
        <v>261</v>
      </c>
      <c r="D214" s="11" t="s">
        <v>145</v>
      </c>
      <c r="E214" s="11" t="s">
        <v>240</v>
      </c>
      <c r="F214" s="11" t="s">
        <v>214</v>
      </c>
      <c r="G214" s="11" t="s">
        <v>255</v>
      </c>
      <c r="H214">
        <v>10</v>
      </c>
      <c r="I214" s="11" t="s">
        <v>187</v>
      </c>
      <c r="J214" s="11" t="s">
        <v>190</v>
      </c>
      <c r="K214" s="11" t="s">
        <v>180</v>
      </c>
      <c r="L214" s="11" t="s">
        <v>38</v>
      </c>
      <c r="M214" s="11" t="s">
        <v>38</v>
      </c>
      <c r="N214" s="11" t="s">
        <v>38</v>
      </c>
      <c r="O214" s="11" t="s">
        <v>38</v>
      </c>
      <c r="P214" t="s">
        <v>8</v>
      </c>
      <c r="Q214">
        <v>4</v>
      </c>
      <c r="R214">
        <v>0</v>
      </c>
      <c r="S214">
        <v>0</v>
      </c>
      <c r="T214" t="str">
        <f t="shared" si="33"/>
        <v>-</v>
      </c>
      <c r="U214" t="str">
        <f t="shared" si="34"/>
        <v>-</v>
      </c>
      <c r="V214" t="str">
        <f t="shared" si="35"/>
        <v>-</v>
      </c>
      <c r="W214" t="str">
        <f t="shared" si="36"/>
        <v>-</v>
      </c>
      <c r="X214" t="str">
        <f t="shared" si="37"/>
        <v>-</v>
      </c>
      <c r="Y214" t="str">
        <f t="shared" si="38"/>
        <v>-</v>
      </c>
      <c r="Z214" t="str">
        <f t="shared" si="39"/>
        <v>-</v>
      </c>
      <c r="AA214" t="str">
        <f t="shared" si="40"/>
        <v>-</v>
      </c>
      <c r="AB214" t="str">
        <f>IF(_xlfn.IFNA(VLOOKUP(P214,Set_Ref!$B$6:$B$1048576,1,FALSE),"")&lt;&gt;"","-",FALSE)</f>
        <v>-</v>
      </c>
      <c r="AC214" t="str">
        <f t="shared" si="41"/>
        <v>-</v>
      </c>
      <c r="AD214" t="str">
        <f t="shared" si="42"/>
        <v>-</v>
      </c>
      <c r="AE214" t="b">
        <f t="shared" si="43"/>
        <v>1</v>
      </c>
    </row>
    <row r="215" spans="1:31" x14ac:dyDescent="0.25">
      <c r="A215">
        <v>14</v>
      </c>
      <c r="B215">
        <v>2</v>
      </c>
      <c r="C215">
        <v>261</v>
      </c>
      <c r="D215" s="11" t="s">
        <v>145</v>
      </c>
      <c r="E215" s="11" t="s">
        <v>241</v>
      </c>
      <c r="F215" s="11" t="s">
        <v>197</v>
      </c>
      <c r="G215" s="11" t="s">
        <v>256</v>
      </c>
      <c r="H215">
        <v>7</v>
      </c>
      <c r="I215" s="11" t="s">
        <v>187</v>
      </c>
      <c r="J215" s="11" t="s">
        <v>190</v>
      </c>
      <c r="K215" s="11" t="s">
        <v>180</v>
      </c>
      <c r="L215" s="11" t="s">
        <v>38</v>
      </c>
      <c r="M215" s="11" t="s">
        <v>38</v>
      </c>
      <c r="N215" s="11" t="s">
        <v>38</v>
      </c>
      <c r="O215" s="11" t="s">
        <v>38</v>
      </c>
      <c r="P215" t="s">
        <v>8</v>
      </c>
      <c r="Q215">
        <v>12</v>
      </c>
      <c r="R215">
        <v>0</v>
      </c>
      <c r="S215">
        <v>0</v>
      </c>
      <c r="T215" t="str">
        <f t="shared" si="33"/>
        <v>-</v>
      </c>
      <c r="U215" t="str">
        <f t="shared" si="34"/>
        <v>-</v>
      </c>
      <c r="V215" t="str">
        <f t="shared" si="35"/>
        <v>-</v>
      </c>
      <c r="W215" t="str">
        <f t="shared" si="36"/>
        <v>-</v>
      </c>
      <c r="X215" t="str">
        <f t="shared" si="37"/>
        <v>-</v>
      </c>
      <c r="Y215" t="str">
        <f t="shared" si="38"/>
        <v>-</v>
      </c>
      <c r="Z215" t="str">
        <f t="shared" si="39"/>
        <v>-</v>
      </c>
      <c r="AA215" t="str">
        <f t="shared" si="40"/>
        <v>-</v>
      </c>
      <c r="AB215" t="str">
        <f>IF(_xlfn.IFNA(VLOOKUP(P215,Set_Ref!$B$6:$B$1048576,1,FALSE),"")&lt;&gt;"","-",FALSE)</f>
        <v>-</v>
      </c>
      <c r="AC215" t="str">
        <f t="shared" si="41"/>
        <v>-</v>
      </c>
      <c r="AD215" t="str">
        <f t="shared" si="42"/>
        <v>-</v>
      </c>
      <c r="AE215" t="b">
        <f t="shared" si="43"/>
        <v>1</v>
      </c>
    </row>
    <row r="216" spans="1:31" x14ac:dyDescent="0.25">
      <c r="A216">
        <v>14</v>
      </c>
      <c r="B216">
        <v>3</v>
      </c>
      <c r="C216">
        <v>261</v>
      </c>
      <c r="D216" s="11" t="s">
        <v>145</v>
      </c>
      <c r="E216" s="11" t="s">
        <v>238</v>
      </c>
      <c r="F216" s="11" t="s">
        <v>215</v>
      </c>
      <c r="G216" s="11" t="s">
        <v>254</v>
      </c>
      <c r="H216">
        <v>6</v>
      </c>
      <c r="I216" s="11" t="s">
        <v>187</v>
      </c>
      <c r="J216" s="11" t="s">
        <v>211</v>
      </c>
      <c r="K216" s="11" t="s">
        <v>180</v>
      </c>
      <c r="L216" s="11" t="s">
        <v>38</v>
      </c>
      <c r="M216" s="11" t="s">
        <v>38</v>
      </c>
      <c r="N216" s="11" t="s">
        <v>38</v>
      </c>
      <c r="O216" s="11" t="s">
        <v>38</v>
      </c>
      <c r="P216" t="s">
        <v>8</v>
      </c>
      <c r="Q216">
        <v>317</v>
      </c>
      <c r="R216">
        <v>0</v>
      </c>
      <c r="S216">
        <v>0</v>
      </c>
      <c r="T216" t="str">
        <f t="shared" si="33"/>
        <v>-</v>
      </c>
      <c r="U216" t="str">
        <f t="shared" si="34"/>
        <v>-</v>
      </c>
      <c r="V216" t="str">
        <f t="shared" si="35"/>
        <v>-</v>
      </c>
      <c r="W216" t="str">
        <f t="shared" si="36"/>
        <v>-</v>
      </c>
      <c r="X216" t="str">
        <f t="shared" si="37"/>
        <v>-</v>
      </c>
      <c r="Y216" t="str">
        <f t="shared" si="38"/>
        <v>-</v>
      </c>
      <c r="Z216" t="str">
        <f t="shared" si="39"/>
        <v>-</v>
      </c>
      <c r="AA216" t="str">
        <f t="shared" si="40"/>
        <v>-</v>
      </c>
      <c r="AB216" t="str">
        <f>IF(_xlfn.IFNA(VLOOKUP(P216,Set_Ref!$B$6:$B$1048576,1,FALSE),"")&lt;&gt;"","-",FALSE)</f>
        <v>-</v>
      </c>
      <c r="AC216" t="str">
        <f t="shared" si="41"/>
        <v>-</v>
      </c>
      <c r="AD216" t="str">
        <f t="shared" si="42"/>
        <v>-</v>
      </c>
      <c r="AE216" t="b">
        <f t="shared" si="43"/>
        <v>1</v>
      </c>
    </row>
    <row r="217" spans="1:31" x14ac:dyDescent="0.25">
      <c r="A217">
        <v>14</v>
      </c>
      <c r="B217">
        <v>4</v>
      </c>
      <c r="C217">
        <v>261</v>
      </c>
      <c r="D217" s="11" t="s">
        <v>145</v>
      </c>
      <c r="E217" s="11" t="s">
        <v>238</v>
      </c>
      <c r="F217" s="11" t="s">
        <v>215</v>
      </c>
      <c r="G217" s="11" t="s">
        <v>254</v>
      </c>
      <c r="H217">
        <v>6</v>
      </c>
      <c r="I217" s="11" t="s">
        <v>187</v>
      </c>
      <c r="J217" s="11" t="s">
        <v>211</v>
      </c>
      <c r="K217" s="11" t="s">
        <v>180</v>
      </c>
      <c r="L217" s="11" t="s">
        <v>38</v>
      </c>
      <c r="M217" s="11" t="s">
        <v>38</v>
      </c>
      <c r="N217" s="11" t="s">
        <v>38</v>
      </c>
      <c r="O217" s="11" t="s">
        <v>38</v>
      </c>
      <c r="P217" t="s">
        <v>8</v>
      </c>
      <c r="Q217">
        <v>11</v>
      </c>
      <c r="R217">
        <v>0</v>
      </c>
      <c r="S217">
        <v>0</v>
      </c>
      <c r="T217" t="str">
        <f t="shared" si="33"/>
        <v>-</v>
      </c>
      <c r="U217" t="str">
        <f t="shared" si="34"/>
        <v>-</v>
      </c>
      <c r="V217" t="str">
        <f t="shared" si="35"/>
        <v>-</v>
      </c>
      <c r="W217" t="str">
        <f t="shared" si="36"/>
        <v>-</v>
      </c>
      <c r="X217" t="str">
        <f t="shared" si="37"/>
        <v>-</v>
      </c>
      <c r="Y217" t="str">
        <f t="shared" si="38"/>
        <v>-</v>
      </c>
      <c r="Z217" t="str">
        <f t="shared" si="39"/>
        <v>-</v>
      </c>
      <c r="AA217" t="str">
        <f t="shared" si="40"/>
        <v>-</v>
      </c>
      <c r="AB217" t="str">
        <f>IF(_xlfn.IFNA(VLOOKUP(P217,Set_Ref!$B$6:$B$1048576,1,FALSE),"")&lt;&gt;"","-",FALSE)</f>
        <v>-</v>
      </c>
      <c r="AC217" t="str">
        <f t="shared" si="41"/>
        <v>-</v>
      </c>
      <c r="AD217" t="str">
        <f t="shared" si="42"/>
        <v>-</v>
      </c>
      <c r="AE217" t="b">
        <f t="shared" si="43"/>
        <v>1</v>
      </c>
    </row>
    <row r="218" spans="1:31" x14ac:dyDescent="0.25">
      <c r="A218">
        <v>14</v>
      </c>
      <c r="B218">
        <v>5</v>
      </c>
      <c r="C218">
        <v>261</v>
      </c>
      <c r="D218" s="11" t="s">
        <v>145</v>
      </c>
      <c r="E218" s="11" t="s">
        <v>238</v>
      </c>
      <c r="F218" s="11" t="s">
        <v>215</v>
      </c>
      <c r="G218" s="11" t="s">
        <v>254</v>
      </c>
      <c r="H218">
        <v>6</v>
      </c>
      <c r="I218" s="11" t="s">
        <v>187</v>
      </c>
      <c r="J218" s="11" t="s">
        <v>211</v>
      </c>
      <c r="K218" s="11" t="s">
        <v>180</v>
      </c>
      <c r="L218" s="11" t="s">
        <v>38</v>
      </c>
      <c r="M218" s="11" t="s">
        <v>38</v>
      </c>
      <c r="N218" s="11" t="s">
        <v>38</v>
      </c>
      <c r="O218" s="11" t="s">
        <v>38</v>
      </c>
      <c r="P218" t="s">
        <v>8</v>
      </c>
      <c r="Q218">
        <v>8</v>
      </c>
      <c r="R218">
        <v>0</v>
      </c>
      <c r="S218">
        <v>0</v>
      </c>
      <c r="T218" t="str">
        <f t="shared" si="33"/>
        <v>-</v>
      </c>
      <c r="U218" t="str">
        <f t="shared" si="34"/>
        <v>-</v>
      </c>
      <c r="V218" t="str">
        <f t="shared" si="35"/>
        <v>-</v>
      </c>
      <c r="W218" t="str">
        <f t="shared" si="36"/>
        <v>-</v>
      </c>
      <c r="X218" t="str">
        <f t="shared" si="37"/>
        <v>-</v>
      </c>
      <c r="Y218" t="str">
        <f t="shared" si="38"/>
        <v>-</v>
      </c>
      <c r="Z218" t="str">
        <f t="shared" si="39"/>
        <v>-</v>
      </c>
      <c r="AA218" t="str">
        <f t="shared" si="40"/>
        <v>-</v>
      </c>
      <c r="AB218" t="str">
        <f>IF(_xlfn.IFNA(VLOOKUP(P218,Set_Ref!$B$6:$B$1048576,1,FALSE),"")&lt;&gt;"","-",FALSE)</f>
        <v>-</v>
      </c>
      <c r="AC218" t="str">
        <f t="shared" si="41"/>
        <v>-</v>
      </c>
      <c r="AD218" t="str">
        <f t="shared" si="42"/>
        <v>-</v>
      </c>
      <c r="AE218" t="b">
        <f t="shared" si="43"/>
        <v>1</v>
      </c>
    </row>
    <row r="219" spans="1:31" x14ac:dyDescent="0.25">
      <c r="A219">
        <v>14</v>
      </c>
      <c r="B219">
        <v>6</v>
      </c>
      <c r="C219">
        <v>261</v>
      </c>
      <c r="D219" s="11" t="s">
        <v>145</v>
      </c>
      <c r="E219" s="11" t="s">
        <v>247</v>
      </c>
      <c r="F219" s="11" t="s">
        <v>217</v>
      </c>
      <c r="G219" s="11" t="s">
        <v>276</v>
      </c>
      <c r="H219">
        <v>1</v>
      </c>
      <c r="I219" s="11" t="s">
        <v>187</v>
      </c>
      <c r="J219" s="11" t="s">
        <v>191</v>
      </c>
      <c r="K219" s="11" t="s">
        <v>180</v>
      </c>
      <c r="L219" s="11" t="s">
        <v>38</v>
      </c>
      <c r="M219" s="11" t="s">
        <v>38</v>
      </c>
      <c r="N219" s="11" t="s">
        <v>38</v>
      </c>
      <c r="O219" s="11" t="s">
        <v>38</v>
      </c>
      <c r="P219" t="s">
        <v>8</v>
      </c>
      <c r="Q219">
        <v>256</v>
      </c>
      <c r="R219">
        <v>0</v>
      </c>
      <c r="S219">
        <v>0</v>
      </c>
      <c r="T219" t="str">
        <f t="shared" si="33"/>
        <v>-</v>
      </c>
      <c r="U219" t="str">
        <f t="shared" si="34"/>
        <v>-</v>
      </c>
      <c r="V219" t="str">
        <f t="shared" si="35"/>
        <v>-</v>
      </c>
      <c r="W219" t="str">
        <f t="shared" si="36"/>
        <v>-</v>
      </c>
      <c r="X219" t="str">
        <f t="shared" si="37"/>
        <v>-</v>
      </c>
      <c r="Y219" t="str">
        <f t="shared" si="38"/>
        <v>-</v>
      </c>
      <c r="Z219" t="str">
        <f t="shared" si="39"/>
        <v>-</v>
      </c>
      <c r="AA219" t="str">
        <f t="shared" si="40"/>
        <v>-</v>
      </c>
      <c r="AB219" t="str">
        <f>IF(_xlfn.IFNA(VLOOKUP(P219,Set_Ref!$B$6:$B$1048576,1,FALSE),"")&lt;&gt;"","-",FALSE)</f>
        <v>-</v>
      </c>
      <c r="AC219" t="str">
        <f t="shared" si="41"/>
        <v>-</v>
      </c>
      <c r="AD219" t="str">
        <f t="shared" si="42"/>
        <v>-</v>
      </c>
      <c r="AE219" t="b">
        <f t="shared" si="43"/>
        <v>1</v>
      </c>
    </row>
    <row r="220" spans="1:31" x14ac:dyDescent="0.25">
      <c r="A220">
        <v>14</v>
      </c>
      <c r="B220">
        <v>7</v>
      </c>
      <c r="C220">
        <v>261</v>
      </c>
      <c r="D220" s="11" t="s">
        <v>145</v>
      </c>
      <c r="E220" s="11" t="s">
        <v>243</v>
      </c>
      <c r="F220" s="11" t="s">
        <v>219</v>
      </c>
      <c r="G220" s="11" t="s">
        <v>258</v>
      </c>
      <c r="H220">
        <v>1</v>
      </c>
      <c r="I220" s="11" t="s">
        <v>187</v>
      </c>
      <c r="J220" s="11" t="s">
        <v>191</v>
      </c>
      <c r="K220" s="11" t="s">
        <v>180</v>
      </c>
      <c r="L220" s="11" t="s">
        <v>38</v>
      </c>
      <c r="M220" s="11" t="s">
        <v>38</v>
      </c>
      <c r="N220" s="11" t="s">
        <v>38</v>
      </c>
      <c r="O220" s="11" t="s">
        <v>38</v>
      </c>
      <c r="P220" t="s">
        <v>8</v>
      </c>
      <c r="Q220">
        <v>388</v>
      </c>
      <c r="R220">
        <v>0</v>
      </c>
      <c r="S220">
        <v>0</v>
      </c>
      <c r="T220" t="str">
        <f t="shared" si="33"/>
        <v>-</v>
      </c>
      <c r="U220" t="str">
        <f t="shared" si="34"/>
        <v>-</v>
      </c>
      <c r="V220" t="str">
        <f t="shared" si="35"/>
        <v>-</v>
      </c>
      <c r="W220" t="str">
        <f t="shared" si="36"/>
        <v>-</v>
      </c>
      <c r="X220" t="str">
        <f t="shared" si="37"/>
        <v>-</v>
      </c>
      <c r="Y220" t="str">
        <f t="shared" si="38"/>
        <v>-</v>
      </c>
      <c r="Z220" t="str">
        <f t="shared" si="39"/>
        <v>-</v>
      </c>
      <c r="AA220" t="str">
        <f t="shared" si="40"/>
        <v>-</v>
      </c>
      <c r="AB220" t="str">
        <f>IF(_xlfn.IFNA(VLOOKUP(P220,Set_Ref!$B$6:$B$1048576,1,FALSE),"")&lt;&gt;"","-",FALSE)</f>
        <v>-</v>
      </c>
      <c r="AC220" t="str">
        <f t="shared" si="41"/>
        <v>-</v>
      </c>
      <c r="AD220" t="str">
        <f t="shared" si="42"/>
        <v>-</v>
      </c>
      <c r="AE220" t="b">
        <f t="shared" si="43"/>
        <v>1</v>
      </c>
    </row>
    <row r="221" spans="1:31" x14ac:dyDescent="0.25">
      <c r="A221">
        <v>14</v>
      </c>
      <c r="B221">
        <v>8</v>
      </c>
      <c r="C221">
        <v>261</v>
      </c>
      <c r="D221" s="11" t="s">
        <v>145</v>
      </c>
      <c r="E221" s="11" t="s">
        <v>237</v>
      </c>
      <c r="F221" s="11" t="s">
        <v>220</v>
      </c>
      <c r="G221" s="11" t="s">
        <v>253</v>
      </c>
      <c r="H221">
        <v>1</v>
      </c>
      <c r="I221" s="11" t="s">
        <v>187</v>
      </c>
      <c r="J221" s="11" t="s">
        <v>277</v>
      </c>
      <c r="K221" s="11" t="s">
        <v>180</v>
      </c>
      <c r="L221" s="11" t="s">
        <v>38</v>
      </c>
      <c r="M221" s="11" t="s">
        <v>38</v>
      </c>
      <c r="N221" s="11" t="s">
        <v>38</v>
      </c>
      <c r="O221" s="11" t="s">
        <v>38</v>
      </c>
      <c r="P221" t="s">
        <v>8</v>
      </c>
      <c r="Q221">
        <v>44</v>
      </c>
      <c r="R221">
        <v>0</v>
      </c>
      <c r="S221">
        <v>0</v>
      </c>
      <c r="T221" t="str">
        <f t="shared" si="33"/>
        <v>-</v>
      </c>
      <c r="U221" t="str">
        <f t="shared" si="34"/>
        <v>-</v>
      </c>
      <c r="V221" t="str">
        <f t="shared" si="35"/>
        <v>-</v>
      </c>
      <c r="W221" t="str">
        <f t="shared" si="36"/>
        <v>-</v>
      </c>
      <c r="X221" t="str">
        <f t="shared" si="37"/>
        <v>-</v>
      </c>
      <c r="Y221" t="str">
        <f t="shared" si="38"/>
        <v>-</v>
      </c>
      <c r="Z221" t="str">
        <f t="shared" si="39"/>
        <v>-</v>
      </c>
      <c r="AA221" t="str">
        <f t="shared" si="40"/>
        <v>-</v>
      </c>
      <c r="AB221" t="str">
        <f>IF(_xlfn.IFNA(VLOOKUP(P221,Set_Ref!$B$6:$B$1048576,1,FALSE),"")&lt;&gt;"","-",FALSE)</f>
        <v>-</v>
      </c>
      <c r="AC221" t="str">
        <f t="shared" si="41"/>
        <v>-</v>
      </c>
      <c r="AD221" t="str">
        <f t="shared" si="42"/>
        <v>-</v>
      </c>
      <c r="AE221" t="b">
        <f t="shared" si="43"/>
        <v>1</v>
      </c>
    </row>
    <row r="222" spans="1:31" x14ac:dyDescent="0.25">
      <c r="A222">
        <v>14</v>
      </c>
      <c r="B222">
        <v>9</v>
      </c>
      <c r="C222">
        <v>261</v>
      </c>
      <c r="D222" s="11" t="s">
        <v>145</v>
      </c>
      <c r="E222" s="11" t="s">
        <v>237</v>
      </c>
      <c r="F222" s="11" t="s">
        <v>220</v>
      </c>
      <c r="G222" s="11" t="s">
        <v>253</v>
      </c>
      <c r="H222">
        <v>1</v>
      </c>
      <c r="I222" s="11" t="s">
        <v>187</v>
      </c>
      <c r="J222" s="11" t="s">
        <v>277</v>
      </c>
      <c r="K222" s="11" t="s">
        <v>180</v>
      </c>
      <c r="L222" s="11" t="s">
        <v>38</v>
      </c>
      <c r="M222" s="11" t="s">
        <v>38</v>
      </c>
      <c r="N222" s="11" t="s">
        <v>38</v>
      </c>
      <c r="O222" s="11" t="s">
        <v>38</v>
      </c>
      <c r="P222" t="s">
        <v>8</v>
      </c>
      <c r="Q222">
        <v>356</v>
      </c>
      <c r="R222">
        <v>0</v>
      </c>
      <c r="S222">
        <v>0</v>
      </c>
      <c r="T222" t="str">
        <f t="shared" si="33"/>
        <v>-</v>
      </c>
      <c r="U222" t="str">
        <f t="shared" si="34"/>
        <v>-</v>
      </c>
      <c r="V222" t="str">
        <f t="shared" si="35"/>
        <v>-</v>
      </c>
      <c r="W222" t="str">
        <f t="shared" si="36"/>
        <v>-</v>
      </c>
      <c r="X222" t="str">
        <f t="shared" si="37"/>
        <v>-</v>
      </c>
      <c r="Y222" t="str">
        <f t="shared" si="38"/>
        <v>-</v>
      </c>
      <c r="Z222" t="str">
        <f t="shared" si="39"/>
        <v>-</v>
      </c>
      <c r="AA222" t="str">
        <f t="shared" si="40"/>
        <v>-</v>
      </c>
      <c r="AB222" t="str">
        <f>IF(_xlfn.IFNA(VLOOKUP(P222,Set_Ref!$B$6:$B$1048576,1,FALSE),"")&lt;&gt;"","-",FALSE)</f>
        <v>-</v>
      </c>
      <c r="AC222" t="str">
        <f t="shared" si="41"/>
        <v>-</v>
      </c>
      <c r="AD222" t="str">
        <f t="shared" si="42"/>
        <v>-</v>
      </c>
      <c r="AE222" t="b">
        <f t="shared" si="43"/>
        <v>1</v>
      </c>
    </row>
    <row r="223" spans="1:31" x14ac:dyDescent="0.25">
      <c r="A223">
        <v>14</v>
      </c>
      <c r="B223">
        <v>10</v>
      </c>
      <c r="C223">
        <v>261</v>
      </c>
      <c r="D223" s="11" t="s">
        <v>145</v>
      </c>
      <c r="E223" s="11" t="s">
        <v>248</v>
      </c>
      <c r="F223" s="11" t="s">
        <v>182</v>
      </c>
      <c r="G223" s="11" t="s">
        <v>278</v>
      </c>
      <c r="H223">
        <v>1</v>
      </c>
      <c r="I223" s="11" t="s">
        <v>187</v>
      </c>
      <c r="J223" s="11" t="s">
        <v>246</v>
      </c>
      <c r="K223" s="11" t="s">
        <v>180</v>
      </c>
      <c r="L223" s="11" t="s">
        <v>38</v>
      </c>
      <c r="M223" s="11" t="s">
        <v>38</v>
      </c>
      <c r="N223" s="11" t="s">
        <v>38</v>
      </c>
      <c r="O223" s="11" t="s">
        <v>38</v>
      </c>
      <c r="P223" t="s">
        <v>8</v>
      </c>
      <c r="Q223">
        <v>8</v>
      </c>
      <c r="R223">
        <v>0</v>
      </c>
      <c r="S223">
        <v>0</v>
      </c>
      <c r="T223" t="str">
        <f t="shared" si="33"/>
        <v>-</v>
      </c>
      <c r="U223" t="str">
        <f t="shared" si="34"/>
        <v>-</v>
      </c>
      <c r="V223" t="str">
        <f t="shared" si="35"/>
        <v>-</v>
      </c>
      <c r="W223" t="str">
        <f t="shared" si="36"/>
        <v>-</v>
      </c>
      <c r="X223" t="str">
        <f t="shared" si="37"/>
        <v>-</v>
      </c>
      <c r="Y223" t="str">
        <f t="shared" si="38"/>
        <v>-</v>
      </c>
      <c r="Z223" t="str">
        <f t="shared" si="39"/>
        <v>-</v>
      </c>
      <c r="AA223" t="str">
        <f t="shared" si="40"/>
        <v>-</v>
      </c>
      <c r="AB223" t="str">
        <f>IF(_xlfn.IFNA(VLOOKUP(P223,Set_Ref!$B$6:$B$1048576,1,FALSE),"")&lt;&gt;"","-",FALSE)</f>
        <v>-</v>
      </c>
      <c r="AC223" t="str">
        <f t="shared" si="41"/>
        <v>-</v>
      </c>
      <c r="AD223" t="str">
        <f t="shared" si="42"/>
        <v>-</v>
      </c>
      <c r="AE223" t="b">
        <f t="shared" si="43"/>
        <v>1</v>
      </c>
    </row>
    <row r="224" spans="1:31" x14ac:dyDescent="0.25">
      <c r="A224">
        <v>14</v>
      </c>
      <c r="B224">
        <v>11</v>
      </c>
      <c r="C224">
        <v>261</v>
      </c>
      <c r="D224" s="11" t="s">
        <v>145</v>
      </c>
      <c r="E224" s="11" t="s">
        <v>240</v>
      </c>
      <c r="F224" s="11" t="s">
        <v>214</v>
      </c>
      <c r="G224" s="11" t="s">
        <v>255</v>
      </c>
      <c r="H224">
        <v>10</v>
      </c>
      <c r="I224" s="11" t="s">
        <v>187</v>
      </c>
      <c r="J224" s="11" t="s">
        <v>190</v>
      </c>
      <c r="K224" s="11" t="s">
        <v>180</v>
      </c>
      <c r="L224" s="11" t="s">
        <v>38</v>
      </c>
      <c r="M224" s="11" t="s">
        <v>38</v>
      </c>
      <c r="N224" s="11" t="s">
        <v>38</v>
      </c>
      <c r="O224" s="11" t="s">
        <v>38</v>
      </c>
      <c r="P224" t="s">
        <v>8</v>
      </c>
      <c r="Q224">
        <v>4</v>
      </c>
      <c r="R224">
        <v>0</v>
      </c>
      <c r="S224">
        <v>0</v>
      </c>
      <c r="T224" t="str">
        <f t="shared" si="33"/>
        <v>-</v>
      </c>
      <c r="U224" t="str">
        <f t="shared" si="34"/>
        <v>-</v>
      </c>
      <c r="V224" t="str">
        <f t="shared" si="35"/>
        <v>-</v>
      </c>
      <c r="W224" t="str">
        <f t="shared" si="36"/>
        <v>-</v>
      </c>
      <c r="X224" t="str">
        <f t="shared" si="37"/>
        <v>-</v>
      </c>
      <c r="Y224" t="str">
        <f t="shared" si="38"/>
        <v>-</v>
      </c>
      <c r="Z224" t="str">
        <f t="shared" si="39"/>
        <v>-</v>
      </c>
      <c r="AA224" t="str">
        <f t="shared" si="40"/>
        <v>-</v>
      </c>
      <c r="AB224" t="str">
        <f>IF(_xlfn.IFNA(VLOOKUP(P224,Set_Ref!$B$6:$B$1048576,1,FALSE),"")&lt;&gt;"","-",FALSE)</f>
        <v>-</v>
      </c>
      <c r="AC224" t="str">
        <f t="shared" si="41"/>
        <v>-</v>
      </c>
      <c r="AD224" t="str">
        <f t="shared" si="42"/>
        <v>-</v>
      </c>
      <c r="AE224" t="b">
        <f t="shared" si="43"/>
        <v>1</v>
      </c>
    </row>
    <row r="225" spans="1:31" x14ac:dyDescent="0.25">
      <c r="A225">
        <v>14</v>
      </c>
      <c r="B225">
        <v>12</v>
      </c>
      <c r="C225">
        <v>261</v>
      </c>
      <c r="D225" s="11" t="s">
        <v>145</v>
      </c>
      <c r="E225" s="11" t="s">
        <v>241</v>
      </c>
      <c r="F225" s="11" t="s">
        <v>197</v>
      </c>
      <c r="G225" s="11" t="s">
        <v>256</v>
      </c>
      <c r="H225">
        <v>7</v>
      </c>
      <c r="I225" s="11" t="s">
        <v>187</v>
      </c>
      <c r="J225" s="11" t="s">
        <v>190</v>
      </c>
      <c r="K225" s="11" t="s">
        <v>180</v>
      </c>
      <c r="L225" s="11" t="s">
        <v>38</v>
      </c>
      <c r="M225" s="11" t="s">
        <v>38</v>
      </c>
      <c r="N225" s="11" t="s">
        <v>38</v>
      </c>
      <c r="O225" s="11" t="s">
        <v>38</v>
      </c>
      <c r="P225" t="s">
        <v>8</v>
      </c>
      <c r="Q225">
        <v>12</v>
      </c>
      <c r="R225">
        <v>0</v>
      </c>
      <c r="S225">
        <v>0</v>
      </c>
      <c r="T225" t="str">
        <f t="shared" si="33"/>
        <v>-</v>
      </c>
      <c r="U225" t="str">
        <f t="shared" si="34"/>
        <v>-</v>
      </c>
      <c r="V225" t="str">
        <f t="shared" si="35"/>
        <v>-</v>
      </c>
      <c r="W225" t="str">
        <f t="shared" si="36"/>
        <v>-</v>
      </c>
      <c r="X225" t="str">
        <f t="shared" si="37"/>
        <v>-</v>
      </c>
      <c r="Y225" t="str">
        <f t="shared" si="38"/>
        <v>-</v>
      </c>
      <c r="Z225" t="str">
        <f t="shared" si="39"/>
        <v>-</v>
      </c>
      <c r="AA225" t="str">
        <f t="shared" si="40"/>
        <v>-</v>
      </c>
      <c r="AB225" t="str">
        <f>IF(_xlfn.IFNA(VLOOKUP(P225,Set_Ref!$B$6:$B$1048576,1,FALSE),"")&lt;&gt;"","-",FALSE)</f>
        <v>-</v>
      </c>
      <c r="AC225" t="str">
        <f t="shared" si="41"/>
        <v>-</v>
      </c>
      <c r="AD225" t="str">
        <f t="shared" si="42"/>
        <v>-</v>
      </c>
      <c r="AE225" t="b">
        <f t="shared" si="43"/>
        <v>1</v>
      </c>
    </row>
    <row r="226" spans="1:31" x14ac:dyDescent="0.25">
      <c r="A226">
        <v>14</v>
      </c>
      <c r="B226">
        <v>13</v>
      </c>
      <c r="C226">
        <v>261</v>
      </c>
      <c r="D226" s="11" t="s">
        <v>145</v>
      </c>
      <c r="E226" s="11" t="s">
        <v>238</v>
      </c>
      <c r="F226" s="11" t="s">
        <v>215</v>
      </c>
      <c r="G226" s="11" t="s">
        <v>254</v>
      </c>
      <c r="H226">
        <v>6</v>
      </c>
      <c r="I226" s="11" t="s">
        <v>187</v>
      </c>
      <c r="J226" s="11" t="s">
        <v>211</v>
      </c>
      <c r="K226" s="11" t="s">
        <v>180</v>
      </c>
      <c r="L226" s="11" t="s">
        <v>38</v>
      </c>
      <c r="M226" s="11" t="s">
        <v>38</v>
      </c>
      <c r="N226" s="11" t="s">
        <v>38</v>
      </c>
      <c r="O226" s="11" t="s">
        <v>38</v>
      </c>
      <c r="P226" t="s">
        <v>8</v>
      </c>
      <c r="Q226">
        <v>317</v>
      </c>
      <c r="R226">
        <v>0</v>
      </c>
      <c r="S226">
        <v>0</v>
      </c>
      <c r="T226" t="str">
        <f t="shared" si="33"/>
        <v>-</v>
      </c>
      <c r="U226" t="str">
        <f t="shared" si="34"/>
        <v>-</v>
      </c>
      <c r="V226" t="str">
        <f t="shared" si="35"/>
        <v>-</v>
      </c>
      <c r="W226" t="str">
        <f t="shared" si="36"/>
        <v>-</v>
      </c>
      <c r="X226" t="str">
        <f t="shared" si="37"/>
        <v>-</v>
      </c>
      <c r="Y226" t="str">
        <f t="shared" si="38"/>
        <v>-</v>
      </c>
      <c r="Z226" t="str">
        <f t="shared" si="39"/>
        <v>-</v>
      </c>
      <c r="AA226" t="str">
        <f t="shared" si="40"/>
        <v>-</v>
      </c>
      <c r="AB226" t="str">
        <f>IF(_xlfn.IFNA(VLOOKUP(P226,Set_Ref!$B$6:$B$1048576,1,FALSE),"")&lt;&gt;"","-",FALSE)</f>
        <v>-</v>
      </c>
      <c r="AC226" t="str">
        <f t="shared" si="41"/>
        <v>-</v>
      </c>
      <c r="AD226" t="str">
        <f t="shared" si="42"/>
        <v>-</v>
      </c>
      <c r="AE226" t="b">
        <f t="shared" si="43"/>
        <v>1</v>
      </c>
    </row>
    <row r="227" spans="1:31" x14ac:dyDescent="0.25">
      <c r="A227">
        <v>14</v>
      </c>
      <c r="B227">
        <v>14</v>
      </c>
      <c r="C227">
        <v>261</v>
      </c>
      <c r="D227" s="11" t="s">
        <v>145</v>
      </c>
      <c r="E227" s="11" t="s">
        <v>238</v>
      </c>
      <c r="F227" s="11" t="s">
        <v>215</v>
      </c>
      <c r="G227" s="11" t="s">
        <v>254</v>
      </c>
      <c r="H227">
        <v>6</v>
      </c>
      <c r="I227" s="11" t="s">
        <v>187</v>
      </c>
      <c r="J227" s="11" t="s">
        <v>211</v>
      </c>
      <c r="K227" s="11" t="s">
        <v>180</v>
      </c>
      <c r="L227" s="11" t="s">
        <v>38</v>
      </c>
      <c r="M227" s="11" t="s">
        <v>38</v>
      </c>
      <c r="N227" s="11" t="s">
        <v>38</v>
      </c>
      <c r="O227" s="11" t="s">
        <v>38</v>
      </c>
      <c r="P227" t="s">
        <v>8</v>
      </c>
      <c r="Q227">
        <v>11</v>
      </c>
      <c r="R227">
        <v>0</v>
      </c>
      <c r="S227">
        <v>0</v>
      </c>
      <c r="T227" t="str">
        <f t="shared" si="33"/>
        <v>-</v>
      </c>
      <c r="U227" t="str">
        <f t="shared" si="34"/>
        <v>-</v>
      </c>
      <c r="V227" t="str">
        <f t="shared" si="35"/>
        <v>-</v>
      </c>
      <c r="W227" t="str">
        <f t="shared" si="36"/>
        <v>-</v>
      </c>
      <c r="X227" t="str">
        <f t="shared" si="37"/>
        <v>-</v>
      </c>
      <c r="Y227" t="str">
        <f t="shared" si="38"/>
        <v>-</v>
      </c>
      <c r="Z227" t="str">
        <f t="shared" si="39"/>
        <v>-</v>
      </c>
      <c r="AA227" t="str">
        <f t="shared" si="40"/>
        <v>-</v>
      </c>
      <c r="AB227" t="str">
        <f>IF(_xlfn.IFNA(VLOOKUP(P227,Set_Ref!$B$6:$B$1048576,1,FALSE),"")&lt;&gt;"","-",FALSE)</f>
        <v>-</v>
      </c>
      <c r="AC227" t="str">
        <f t="shared" si="41"/>
        <v>-</v>
      </c>
      <c r="AD227" t="str">
        <f t="shared" si="42"/>
        <v>-</v>
      </c>
      <c r="AE227" t="b">
        <f t="shared" si="43"/>
        <v>1</v>
      </c>
    </row>
    <row r="228" spans="1:31" x14ac:dyDescent="0.25">
      <c r="A228">
        <v>14</v>
      </c>
      <c r="B228">
        <v>15</v>
      </c>
      <c r="C228">
        <v>261</v>
      </c>
      <c r="D228" s="11" t="s">
        <v>145</v>
      </c>
      <c r="E228" s="11" t="s">
        <v>238</v>
      </c>
      <c r="F228" s="11" t="s">
        <v>215</v>
      </c>
      <c r="G228" s="11" t="s">
        <v>254</v>
      </c>
      <c r="H228">
        <v>6</v>
      </c>
      <c r="I228" s="11" t="s">
        <v>187</v>
      </c>
      <c r="J228" s="11" t="s">
        <v>211</v>
      </c>
      <c r="K228" s="11" t="s">
        <v>180</v>
      </c>
      <c r="L228" s="11" t="s">
        <v>38</v>
      </c>
      <c r="M228" s="11" t="s">
        <v>38</v>
      </c>
      <c r="N228" s="11" t="s">
        <v>38</v>
      </c>
      <c r="O228" s="11" t="s">
        <v>38</v>
      </c>
      <c r="P228" t="s">
        <v>8</v>
      </c>
      <c r="Q228">
        <v>8</v>
      </c>
      <c r="R228">
        <v>0</v>
      </c>
      <c r="S228">
        <v>0</v>
      </c>
      <c r="T228" t="str">
        <f t="shared" si="33"/>
        <v>-</v>
      </c>
      <c r="U228" t="str">
        <f t="shared" si="34"/>
        <v>-</v>
      </c>
      <c r="V228" t="str">
        <f t="shared" si="35"/>
        <v>-</v>
      </c>
      <c r="W228" t="str">
        <f t="shared" si="36"/>
        <v>-</v>
      </c>
      <c r="X228" t="str">
        <f t="shared" si="37"/>
        <v>-</v>
      </c>
      <c r="Y228" t="str">
        <f t="shared" si="38"/>
        <v>-</v>
      </c>
      <c r="Z228" t="str">
        <f t="shared" si="39"/>
        <v>-</v>
      </c>
      <c r="AA228" t="str">
        <f t="shared" si="40"/>
        <v>-</v>
      </c>
      <c r="AB228" t="str">
        <f>IF(_xlfn.IFNA(VLOOKUP(P228,Set_Ref!$B$6:$B$1048576,1,FALSE),"")&lt;&gt;"","-",FALSE)</f>
        <v>-</v>
      </c>
      <c r="AC228" t="str">
        <f t="shared" si="41"/>
        <v>-</v>
      </c>
      <c r="AD228" t="str">
        <f t="shared" si="42"/>
        <v>-</v>
      </c>
      <c r="AE228" t="b">
        <f t="shared" si="43"/>
        <v>1</v>
      </c>
    </row>
    <row r="229" spans="1:31" x14ac:dyDescent="0.25">
      <c r="A229">
        <v>14</v>
      </c>
      <c r="B229">
        <v>16</v>
      </c>
      <c r="C229">
        <v>261</v>
      </c>
      <c r="D229" s="11" t="s">
        <v>145</v>
      </c>
      <c r="E229" s="11" t="s">
        <v>247</v>
      </c>
      <c r="F229" s="11" t="s">
        <v>217</v>
      </c>
      <c r="G229" s="11" t="s">
        <v>276</v>
      </c>
      <c r="H229">
        <v>1</v>
      </c>
      <c r="I229" s="11" t="s">
        <v>187</v>
      </c>
      <c r="J229" s="11" t="s">
        <v>191</v>
      </c>
      <c r="K229" s="11" t="s">
        <v>180</v>
      </c>
      <c r="L229" s="11" t="s">
        <v>38</v>
      </c>
      <c r="M229" s="11" t="s">
        <v>38</v>
      </c>
      <c r="N229" s="11" t="s">
        <v>38</v>
      </c>
      <c r="O229" s="11" t="s">
        <v>38</v>
      </c>
      <c r="P229" t="s">
        <v>8</v>
      </c>
      <c r="Q229">
        <v>256</v>
      </c>
      <c r="R229">
        <v>0</v>
      </c>
      <c r="S229">
        <v>0</v>
      </c>
      <c r="T229" t="str">
        <f t="shared" si="33"/>
        <v>-</v>
      </c>
      <c r="U229" t="str">
        <f t="shared" si="34"/>
        <v>-</v>
      </c>
      <c r="V229" t="str">
        <f t="shared" si="35"/>
        <v>-</v>
      </c>
      <c r="W229" t="str">
        <f t="shared" si="36"/>
        <v>-</v>
      </c>
      <c r="X229" t="str">
        <f t="shared" si="37"/>
        <v>-</v>
      </c>
      <c r="Y229" t="str">
        <f t="shared" si="38"/>
        <v>-</v>
      </c>
      <c r="Z229" t="str">
        <f t="shared" si="39"/>
        <v>-</v>
      </c>
      <c r="AA229" t="str">
        <f t="shared" si="40"/>
        <v>-</v>
      </c>
      <c r="AB229" t="str">
        <f>IF(_xlfn.IFNA(VLOOKUP(P229,Set_Ref!$B$6:$B$1048576,1,FALSE),"")&lt;&gt;"","-",FALSE)</f>
        <v>-</v>
      </c>
      <c r="AC229" t="str">
        <f t="shared" si="41"/>
        <v>-</v>
      </c>
      <c r="AD229" t="str">
        <f t="shared" si="42"/>
        <v>-</v>
      </c>
      <c r="AE229" t="b">
        <f t="shared" si="43"/>
        <v>1</v>
      </c>
    </row>
    <row r="230" spans="1:31" x14ac:dyDescent="0.25">
      <c r="A230">
        <v>14</v>
      </c>
      <c r="B230">
        <v>17</v>
      </c>
      <c r="C230">
        <v>261</v>
      </c>
      <c r="D230" s="11" t="s">
        <v>145</v>
      </c>
      <c r="E230" s="11" t="s">
        <v>243</v>
      </c>
      <c r="F230" s="11" t="s">
        <v>219</v>
      </c>
      <c r="G230" s="11" t="s">
        <v>258</v>
      </c>
      <c r="H230">
        <v>1</v>
      </c>
      <c r="I230" s="11" t="s">
        <v>187</v>
      </c>
      <c r="J230" s="11" t="s">
        <v>191</v>
      </c>
      <c r="K230" s="11" t="s">
        <v>180</v>
      </c>
      <c r="L230" s="11" t="s">
        <v>38</v>
      </c>
      <c r="M230" s="11" t="s">
        <v>38</v>
      </c>
      <c r="N230" s="11" t="s">
        <v>38</v>
      </c>
      <c r="O230" s="11" t="s">
        <v>38</v>
      </c>
      <c r="P230" t="s">
        <v>8</v>
      </c>
      <c r="Q230">
        <v>388</v>
      </c>
      <c r="R230">
        <v>0</v>
      </c>
      <c r="S230">
        <v>0</v>
      </c>
      <c r="T230" t="str">
        <f t="shared" si="33"/>
        <v>-</v>
      </c>
      <c r="U230" t="str">
        <f t="shared" si="34"/>
        <v>-</v>
      </c>
      <c r="V230" t="str">
        <f t="shared" si="35"/>
        <v>-</v>
      </c>
      <c r="W230" t="str">
        <f t="shared" si="36"/>
        <v>-</v>
      </c>
      <c r="X230" t="str">
        <f t="shared" si="37"/>
        <v>-</v>
      </c>
      <c r="Y230" t="str">
        <f t="shared" si="38"/>
        <v>-</v>
      </c>
      <c r="Z230" t="str">
        <f t="shared" si="39"/>
        <v>-</v>
      </c>
      <c r="AA230" t="str">
        <f t="shared" si="40"/>
        <v>-</v>
      </c>
      <c r="AB230" t="str">
        <f>IF(_xlfn.IFNA(VLOOKUP(P230,Set_Ref!$B$6:$B$1048576,1,FALSE),"")&lt;&gt;"","-",FALSE)</f>
        <v>-</v>
      </c>
      <c r="AC230" t="str">
        <f t="shared" si="41"/>
        <v>-</v>
      </c>
      <c r="AD230" t="str">
        <f t="shared" si="42"/>
        <v>-</v>
      </c>
      <c r="AE230" t="b">
        <f t="shared" si="43"/>
        <v>1</v>
      </c>
    </row>
    <row r="231" spans="1:31" x14ac:dyDescent="0.25">
      <c r="A231">
        <v>14</v>
      </c>
      <c r="B231">
        <v>18</v>
      </c>
      <c r="C231">
        <v>261</v>
      </c>
      <c r="D231" s="11" t="s">
        <v>145</v>
      </c>
      <c r="E231" s="11" t="s">
        <v>237</v>
      </c>
      <c r="F231" s="11" t="s">
        <v>220</v>
      </c>
      <c r="G231" s="11" t="s">
        <v>253</v>
      </c>
      <c r="H231">
        <v>1</v>
      </c>
      <c r="I231" s="11" t="s">
        <v>187</v>
      </c>
      <c r="J231" s="11" t="s">
        <v>277</v>
      </c>
      <c r="K231" s="11" t="s">
        <v>180</v>
      </c>
      <c r="L231" s="11" t="s">
        <v>38</v>
      </c>
      <c r="M231" s="11" t="s">
        <v>38</v>
      </c>
      <c r="N231" s="11" t="s">
        <v>38</v>
      </c>
      <c r="O231" s="11" t="s">
        <v>38</v>
      </c>
      <c r="P231" t="s">
        <v>8</v>
      </c>
      <c r="Q231">
        <v>44</v>
      </c>
      <c r="R231">
        <v>0</v>
      </c>
      <c r="S231">
        <v>0</v>
      </c>
      <c r="T231" t="str">
        <f t="shared" si="33"/>
        <v>-</v>
      </c>
      <c r="U231" t="str">
        <f t="shared" si="34"/>
        <v>-</v>
      </c>
      <c r="V231" t="str">
        <f t="shared" si="35"/>
        <v>-</v>
      </c>
      <c r="W231" t="str">
        <f t="shared" si="36"/>
        <v>-</v>
      </c>
      <c r="X231" t="str">
        <f t="shared" si="37"/>
        <v>-</v>
      </c>
      <c r="Y231" t="str">
        <f t="shared" si="38"/>
        <v>-</v>
      </c>
      <c r="Z231" t="str">
        <f t="shared" si="39"/>
        <v>-</v>
      </c>
      <c r="AA231" t="str">
        <f t="shared" si="40"/>
        <v>-</v>
      </c>
      <c r="AB231" t="str">
        <f>IF(_xlfn.IFNA(VLOOKUP(P231,Set_Ref!$B$6:$B$1048576,1,FALSE),"")&lt;&gt;"","-",FALSE)</f>
        <v>-</v>
      </c>
      <c r="AC231" t="str">
        <f t="shared" si="41"/>
        <v>-</v>
      </c>
      <c r="AD231" t="str">
        <f t="shared" si="42"/>
        <v>-</v>
      </c>
      <c r="AE231" t="b">
        <f t="shared" si="43"/>
        <v>1</v>
      </c>
    </row>
    <row r="232" spans="1:31" x14ac:dyDescent="0.25">
      <c r="A232">
        <v>14</v>
      </c>
      <c r="B232">
        <v>19</v>
      </c>
      <c r="C232">
        <v>261</v>
      </c>
      <c r="D232" s="11" t="s">
        <v>145</v>
      </c>
      <c r="E232" s="11" t="s">
        <v>237</v>
      </c>
      <c r="F232" s="11" t="s">
        <v>220</v>
      </c>
      <c r="G232" s="11" t="s">
        <v>253</v>
      </c>
      <c r="H232">
        <v>1</v>
      </c>
      <c r="I232" s="11" t="s">
        <v>187</v>
      </c>
      <c r="J232" s="11" t="s">
        <v>277</v>
      </c>
      <c r="K232" s="11" t="s">
        <v>180</v>
      </c>
      <c r="L232" s="11" t="s">
        <v>38</v>
      </c>
      <c r="M232" s="11" t="s">
        <v>38</v>
      </c>
      <c r="N232" s="11" t="s">
        <v>38</v>
      </c>
      <c r="O232" s="11" t="s">
        <v>38</v>
      </c>
      <c r="P232" t="s">
        <v>8</v>
      </c>
      <c r="Q232">
        <v>356</v>
      </c>
      <c r="R232">
        <v>0</v>
      </c>
      <c r="S232">
        <v>0</v>
      </c>
      <c r="T232" t="str">
        <f t="shared" si="33"/>
        <v>-</v>
      </c>
      <c r="U232" t="str">
        <f t="shared" si="34"/>
        <v>-</v>
      </c>
      <c r="V232" t="str">
        <f t="shared" si="35"/>
        <v>-</v>
      </c>
      <c r="W232" t="str">
        <f t="shared" si="36"/>
        <v>-</v>
      </c>
      <c r="X232" t="str">
        <f t="shared" si="37"/>
        <v>-</v>
      </c>
      <c r="Y232" t="str">
        <f t="shared" si="38"/>
        <v>-</v>
      </c>
      <c r="Z232" t="str">
        <f t="shared" si="39"/>
        <v>-</v>
      </c>
      <c r="AA232" t="str">
        <f t="shared" si="40"/>
        <v>-</v>
      </c>
      <c r="AB232" t="str">
        <f>IF(_xlfn.IFNA(VLOOKUP(P232,Set_Ref!$B$6:$B$1048576,1,FALSE),"")&lt;&gt;"","-",FALSE)</f>
        <v>-</v>
      </c>
      <c r="AC232" t="str">
        <f t="shared" si="41"/>
        <v>-</v>
      </c>
      <c r="AD232" t="str">
        <f t="shared" si="42"/>
        <v>-</v>
      </c>
      <c r="AE232" t="b">
        <f t="shared" si="43"/>
        <v>1</v>
      </c>
    </row>
    <row r="233" spans="1:31" x14ac:dyDescent="0.25">
      <c r="A233">
        <v>14</v>
      </c>
      <c r="B233">
        <v>20</v>
      </c>
      <c r="C233">
        <v>261</v>
      </c>
      <c r="D233" s="11" t="s">
        <v>145</v>
      </c>
      <c r="E233" s="11" t="s">
        <v>248</v>
      </c>
      <c r="F233" s="11" t="s">
        <v>182</v>
      </c>
      <c r="G233" s="11" t="s">
        <v>278</v>
      </c>
      <c r="H233">
        <v>1</v>
      </c>
      <c r="I233" s="11" t="s">
        <v>187</v>
      </c>
      <c r="J233" s="11" t="s">
        <v>246</v>
      </c>
      <c r="K233" s="11" t="s">
        <v>180</v>
      </c>
      <c r="L233" s="11" t="s">
        <v>38</v>
      </c>
      <c r="M233" s="11" t="s">
        <v>38</v>
      </c>
      <c r="N233" s="11" t="s">
        <v>38</v>
      </c>
      <c r="O233" s="11" t="s">
        <v>38</v>
      </c>
      <c r="P233" t="s">
        <v>8</v>
      </c>
      <c r="Q233">
        <v>8</v>
      </c>
      <c r="R233">
        <v>0</v>
      </c>
      <c r="S233">
        <v>0</v>
      </c>
      <c r="T233" t="str">
        <f t="shared" si="33"/>
        <v>-</v>
      </c>
      <c r="U233" t="str">
        <f t="shared" si="34"/>
        <v>-</v>
      </c>
      <c r="V233" t="str">
        <f t="shared" si="35"/>
        <v>-</v>
      </c>
      <c r="W233" t="str">
        <f t="shared" si="36"/>
        <v>-</v>
      </c>
      <c r="X233" t="str">
        <f t="shared" si="37"/>
        <v>-</v>
      </c>
      <c r="Y233" t="str">
        <f t="shared" si="38"/>
        <v>-</v>
      </c>
      <c r="Z233" t="str">
        <f t="shared" si="39"/>
        <v>-</v>
      </c>
      <c r="AA233" t="str">
        <f t="shared" si="40"/>
        <v>-</v>
      </c>
      <c r="AB233" t="str">
        <f>IF(_xlfn.IFNA(VLOOKUP(P233,Set_Ref!$B$6:$B$1048576,1,FALSE),"")&lt;&gt;"","-",FALSE)</f>
        <v>-</v>
      </c>
      <c r="AC233" t="str">
        <f t="shared" si="41"/>
        <v>-</v>
      </c>
      <c r="AD233" t="str">
        <f t="shared" si="42"/>
        <v>-</v>
      </c>
      <c r="AE233" t="b">
        <f t="shared" si="43"/>
        <v>1</v>
      </c>
    </row>
    <row r="234" spans="1:31" x14ac:dyDescent="0.25">
      <c r="A234">
        <v>15</v>
      </c>
      <c r="B234">
        <v>1</v>
      </c>
      <c r="C234">
        <v>261</v>
      </c>
      <c r="D234" s="11" t="s">
        <v>145</v>
      </c>
      <c r="E234" s="11" t="s">
        <v>240</v>
      </c>
      <c r="F234" s="11" t="s">
        <v>214</v>
      </c>
      <c r="G234" s="11" t="s">
        <v>255</v>
      </c>
      <c r="H234">
        <v>6</v>
      </c>
      <c r="I234" s="11" t="s">
        <v>188</v>
      </c>
      <c r="J234" s="11" t="s">
        <v>279</v>
      </c>
      <c r="K234" s="11" t="s">
        <v>181</v>
      </c>
      <c r="L234" s="11" t="s">
        <v>38</v>
      </c>
      <c r="M234" s="11" t="s">
        <v>38</v>
      </c>
      <c r="N234" s="11" t="s">
        <v>38</v>
      </c>
      <c r="O234" s="11" t="s">
        <v>38</v>
      </c>
      <c r="P234" t="s">
        <v>8</v>
      </c>
      <c r="Q234">
        <v>4400</v>
      </c>
      <c r="R234">
        <v>0</v>
      </c>
      <c r="S234">
        <v>0</v>
      </c>
      <c r="T234" t="str">
        <f t="shared" si="33"/>
        <v>-</v>
      </c>
      <c r="U234" t="str">
        <f t="shared" si="34"/>
        <v>-</v>
      </c>
      <c r="V234" t="str">
        <f t="shared" si="35"/>
        <v>-</v>
      </c>
      <c r="W234" t="str">
        <f t="shared" si="36"/>
        <v>-</v>
      </c>
      <c r="X234" t="str">
        <f t="shared" si="37"/>
        <v>-</v>
      </c>
      <c r="Y234" t="str">
        <f t="shared" si="38"/>
        <v>-</v>
      </c>
      <c r="Z234" t="str">
        <f t="shared" si="39"/>
        <v>-</v>
      </c>
      <c r="AA234" t="str">
        <f t="shared" si="40"/>
        <v>-</v>
      </c>
      <c r="AB234" t="str">
        <f>IF(_xlfn.IFNA(VLOOKUP(P234,Set_Ref!$B$6:$B$1048576,1,FALSE),"")&lt;&gt;"","-",FALSE)</f>
        <v>-</v>
      </c>
      <c r="AC234" t="str">
        <f t="shared" si="41"/>
        <v>-</v>
      </c>
      <c r="AD234" t="str">
        <f t="shared" si="42"/>
        <v>-</v>
      </c>
      <c r="AE234" t="b">
        <f t="shared" si="43"/>
        <v>1</v>
      </c>
    </row>
    <row r="235" spans="1:31" x14ac:dyDescent="0.25">
      <c r="A235">
        <v>15</v>
      </c>
      <c r="B235">
        <v>2</v>
      </c>
      <c r="C235">
        <v>261</v>
      </c>
      <c r="D235" s="11" t="s">
        <v>145</v>
      </c>
      <c r="E235" s="11" t="s">
        <v>240</v>
      </c>
      <c r="F235" s="11" t="s">
        <v>214</v>
      </c>
      <c r="G235" s="11" t="s">
        <v>255</v>
      </c>
      <c r="H235">
        <v>6</v>
      </c>
      <c r="I235" s="11" t="s">
        <v>188</v>
      </c>
      <c r="J235" s="11" t="s">
        <v>279</v>
      </c>
      <c r="K235" s="11" t="s">
        <v>181</v>
      </c>
      <c r="L235" s="11" t="s">
        <v>38</v>
      </c>
      <c r="M235" s="11" t="s">
        <v>38</v>
      </c>
      <c r="N235" s="11" t="s">
        <v>38</v>
      </c>
      <c r="O235" s="11" t="s">
        <v>38</v>
      </c>
      <c r="P235" t="s">
        <v>8</v>
      </c>
      <c r="Q235">
        <v>8600</v>
      </c>
      <c r="R235">
        <v>0</v>
      </c>
      <c r="S235">
        <v>0</v>
      </c>
      <c r="T235" t="str">
        <f t="shared" si="33"/>
        <v>-</v>
      </c>
      <c r="U235" t="str">
        <f t="shared" si="34"/>
        <v>-</v>
      </c>
      <c r="V235" t="str">
        <f t="shared" si="35"/>
        <v>-</v>
      </c>
      <c r="W235" t="str">
        <f t="shared" si="36"/>
        <v>-</v>
      </c>
      <c r="X235" t="str">
        <f t="shared" si="37"/>
        <v>-</v>
      </c>
      <c r="Y235" t="str">
        <f t="shared" si="38"/>
        <v>-</v>
      </c>
      <c r="Z235" t="str">
        <f t="shared" si="39"/>
        <v>-</v>
      </c>
      <c r="AA235" t="str">
        <f t="shared" si="40"/>
        <v>-</v>
      </c>
      <c r="AB235" t="str">
        <f>IF(_xlfn.IFNA(VLOOKUP(P235,Set_Ref!$B$6:$B$1048576,1,FALSE),"")&lt;&gt;"","-",FALSE)</f>
        <v>-</v>
      </c>
      <c r="AC235" t="str">
        <f t="shared" si="41"/>
        <v>-</v>
      </c>
      <c r="AD235" t="str">
        <f t="shared" si="42"/>
        <v>-</v>
      </c>
      <c r="AE235" t="b">
        <f t="shared" si="43"/>
        <v>1</v>
      </c>
    </row>
    <row r="236" spans="1:31" x14ac:dyDescent="0.25">
      <c r="A236">
        <v>15</v>
      </c>
      <c r="B236">
        <v>3</v>
      </c>
      <c r="C236">
        <v>261</v>
      </c>
      <c r="D236" s="11" t="s">
        <v>145</v>
      </c>
      <c r="E236" s="11" t="s">
        <v>241</v>
      </c>
      <c r="F236" s="11" t="s">
        <v>197</v>
      </c>
      <c r="G236" s="11" t="s">
        <v>256</v>
      </c>
      <c r="H236">
        <v>11</v>
      </c>
      <c r="I236" s="11" t="s">
        <v>188</v>
      </c>
      <c r="J236" s="11" t="s">
        <v>280</v>
      </c>
      <c r="K236" s="11" t="s">
        <v>181</v>
      </c>
      <c r="L236" s="11" t="s">
        <v>38</v>
      </c>
      <c r="M236" s="11" t="s">
        <v>38</v>
      </c>
      <c r="N236" s="11" t="s">
        <v>38</v>
      </c>
      <c r="O236" s="11" t="s">
        <v>38</v>
      </c>
      <c r="P236" t="s">
        <v>8</v>
      </c>
      <c r="Q236">
        <v>10000</v>
      </c>
      <c r="R236">
        <v>0</v>
      </c>
      <c r="S236">
        <v>0</v>
      </c>
      <c r="T236" t="str">
        <f t="shared" si="33"/>
        <v>-</v>
      </c>
      <c r="U236" t="str">
        <f t="shared" si="34"/>
        <v>-</v>
      </c>
      <c r="V236" t="str">
        <f t="shared" si="35"/>
        <v>-</v>
      </c>
      <c r="W236" t="str">
        <f t="shared" si="36"/>
        <v>-</v>
      </c>
      <c r="X236" t="str">
        <f t="shared" si="37"/>
        <v>-</v>
      </c>
      <c r="Y236" t="str">
        <f t="shared" si="38"/>
        <v>-</v>
      </c>
      <c r="Z236" t="str">
        <f t="shared" si="39"/>
        <v>-</v>
      </c>
      <c r="AA236" t="str">
        <f t="shared" si="40"/>
        <v>-</v>
      </c>
      <c r="AB236" t="str">
        <f>IF(_xlfn.IFNA(VLOOKUP(P236,Set_Ref!$B$6:$B$1048576,1,FALSE),"")&lt;&gt;"","-",FALSE)</f>
        <v>-</v>
      </c>
      <c r="AC236" t="str">
        <f t="shared" si="41"/>
        <v>-</v>
      </c>
      <c r="AD236" t="str">
        <f t="shared" si="42"/>
        <v>-</v>
      </c>
      <c r="AE236" t="b">
        <f t="shared" si="43"/>
        <v>1</v>
      </c>
    </row>
    <row r="237" spans="1:31" x14ac:dyDescent="0.25">
      <c r="A237">
        <v>15</v>
      </c>
      <c r="B237">
        <v>4</v>
      </c>
      <c r="C237">
        <v>261</v>
      </c>
      <c r="D237" s="11" t="s">
        <v>145</v>
      </c>
      <c r="E237" s="11" t="s">
        <v>241</v>
      </c>
      <c r="F237" s="11" t="s">
        <v>197</v>
      </c>
      <c r="G237" s="11" t="s">
        <v>256</v>
      </c>
      <c r="H237">
        <v>11</v>
      </c>
      <c r="I237" s="11" t="s">
        <v>188</v>
      </c>
      <c r="J237" s="11" t="s">
        <v>280</v>
      </c>
      <c r="K237" s="11" t="s">
        <v>181</v>
      </c>
      <c r="L237" s="11" t="s">
        <v>38</v>
      </c>
      <c r="M237" s="11" t="s">
        <v>38</v>
      </c>
      <c r="N237" s="11" t="s">
        <v>38</v>
      </c>
      <c r="O237" s="11" t="s">
        <v>38</v>
      </c>
      <c r="P237" t="s">
        <v>8</v>
      </c>
      <c r="Q237">
        <v>5000</v>
      </c>
      <c r="R237">
        <v>0</v>
      </c>
      <c r="S237">
        <v>0</v>
      </c>
      <c r="T237" t="str">
        <f t="shared" si="33"/>
        <v>-</v>
      </c>
      <c r="U237" t="str">
        <f t="shared" si="34"/>
        <v>-</v>
      </c>
      <c r="V237" t="str">
        <f t="shared" si="35"/>
        <v>-</v>
      </c>
      <c r="W237" t="str">
        <f t="shared" si="36"/>
        <v>-</v>
      </c>
      <c r="X237" t="str">
        <f t="shared" si="37"/>
        <v>-</v>
      </c>
      <c r="Y237" t="str">
        <f t="shared" si="38"/>
        <v>-</v>
      </c>
      <c r="Z237" t="str">
        <f t="shared" si="39"/>
        <v>-</v>
      </c>
      <c r="AA237" t="str">
        <f t="shared" si="40"/>
        <v>-</v>
      </c>
      <c r="AB237" t="str">
        <f>IF(_xlfn.IFNA(VLOOKUP(P237,Set_Ref!$B$6:$B$1048576,1,FALSE),"")&lt;&gt;"","-",FALSE)</f>
        <v>-</v>
      </c>
      <c r="AC237" t="str">
        <f t="shared" si="41"/>
        <v>-</v>
      </c>
      <c r="AD237" t="str">
        <f t="shared" si="42"/>
        <v>-</v>
      </c>
      <c r="AE237" t="b">
        <f t="shared" si="43"/>
        <v>1</v>
      </c>
    </row>
    <row r="238" spans="1:31" x14ac:dyDescent="0.25">
      <c r="A238">
        <v>15</v>
      </c>
      <c r="B238">
        <v>5</v>
      </c>
      <c r="C238">
        <v>261</v>
      </c>
      <c r="D238" s="11" t="s">
        <v>145</v>
      </c>
      <c r="E238" s="11" t="s">
        <v>238</v>
      </c>
      <c r="F238" s="11" t="s">
        <v>215</v>
      </c>
      <c r="G238" s="11" t="s">
        <v>254</v>
      </c>
      <c r="H238">
        <v>10</v>
      </c>
      <c r="I238" s="11" t="s">
        <v>188</v>
      </c>
      <c r="J238" s="11" t="s">
        <v>189</v>
      </c>
      <c r="K238" s="11" t="s">
        <v>181</v>
      </c>
      <c r="L238" s="11" t="s">
        <v>38</v>
      </c>
      <c r="M238" s="11" t="s">
        <v>38</v>
      </c>
      <c r="N238" s="11" t="s">
        <v>38</v>
      </c>
      <c r="O238" s="11" t="s">
        <v>38</v>
      </c>
      <c r="P238" t="s">
        <v>8</v>
      </c>
      <c r="Q238">
        <v>35535</v>
      </c>
      <c r="R238">
        <v>0</v>
      </c>
      <c r="S238">
        <v>0</v>
      </c>
      <c r="T238" t="str">
        <f t="shared" si="33"/>
        <v>-</v>
      </c>
      <c r="U238" t="str">
        <f t="shared" si="34"/>
        <v>-</v>
      </c>
      <c r="V238" t="str">
        <f t="shared" si="35"/>
        <v>-</v>
      </c>
      <c r="W238" t="str">
        <f t="shared" si="36"/>
        <v>-</v>
      </c>
      <c r="X238" t="str">
        <f t="shared" si="37"/>
        <v>-</v>
      </c>
      <c r="Y238" t="str">
        <f t="shared" si="38"/>
        <v>-</v>
      </c>
      <c r="Z238" t="str">
        <f t="shared" si="39"/>
        <v>-</v>
      </c>
      <c r="AA238" t="str">
        <f t="shared" si="40"/>
        <v>-</v>
      </c>
      <c r="AB238" t="str">
        <f>IF(_xlfn.IFNA(VLOOKUP(P238,Set_Ref!$B$6:$B$1048576,1,FALSE),"")&lt;&gt;"","-",FALSE)</f>
        <v>-</v>
      </c>
      <c r="AC238" t="str">
        <f t="shared" si="41"/>
        <v>-</v>
      </c>
      <c r="AD238" t="str">
        <f t="shared" si="42"/>
        <v>-</v>
      </c>
      <c r="AE238" t="b">
        <f t="shared" si="43"/>
        <v>1</v>
      </c>
    </row>
    <row r="239" spans="1:31" x14ac:dyDescent="0.25">
      <c r="A239">
        <v>15</v>
      </c>
      <c r="B239">
        <v>6</v>
      </c>
      <c r="C239">
        <v>261</v>
      </c>
      <c r="D239" s="11" t="s">
        <v>145</v>
      </c>
      <c r="E239" s="11" t="s">
        <v>249</v>
      </c>
      <c r="F239" s="11" t="s">
        <v>216</v>
      </c>
      <c r="G239" s="11" t="s">
        <v>281</v>
      </c>
      <c r="H239">
        <v>1</v>
      </c>
      <c r="I239" s="11" t="s">
        <v>188</v>
      </c>
      <c r="J239" s="11" t="s">
        <v>189</v>
      </c>
      <c r="K239" s="11" t="s">
        <v>181</v>
      </c>
      <c r="L239" s="11" t="s">
        <v>38</v>
      </c>
      <c r="M239" s="11" t="s">
        <v>38</v>
      </c>
      <c r="N239" s="11" t="s">
        <v>38</v>
      </c>
      <c r="O239" s="11" t="s">
        <v>38</v>
      </c>
      <c r="P239" t="s">
        <v>8</v>
      </c>
      <c r="Q239">
        <v>54465</v>
      </c>
      <c r="R239">
        <v>0</v>
      </c>
      <c r="S239">
        <v>0</v>
      </c>
      <c r="T239" t="str">
        <f t="shared" si="33"/>
        <v>-</v>
      </c>
      <c r="U239" t="str">
        <f t="shared" si="34"/>
        <v>-</v>
      </c>
      <c r="V239" t="str">
        <f t="shared" si="35"/>
        <v>-</v>
      </c>
      <c r="W239" t="str">
        <f t="shared" si="36"/>
        <v>-</v>
      </c>
      <c r="X239" t="str">
        <f t="shared" si="37"/>
        <v>-</v>
      </c>
      <c r="Y239" t="str">
        <f t="shared" si="38"/>
        <v>-</v>
      </c>
      <c r="Z239" t="str">
        <f t="shared" si="39"/>
        <v>-</v>
      </c>
      <c r="AA239" t="str">
        <f t="shared" si="40"/>
        <v>-</v>
      </c>
      <c r="AB239" t="str">
        <f>IF(_xlfn.IFNA(VLOOKUP(P239,Set_Ref!$B$6:$B$1048576,1,FALSE),"")&lt;&gt;"","-",FALSE)</f>
        <v>-</v>
      </c>
      <c r="AC239" t="str">
        <f t="shared" si="41"/>
        <v>-</v>
      </c>
      <c r="AD239" t="str">
        <f t="shared" si="42"/>
        <v>-</v>
      </c>
      <c r="AE239" t="b">
        <f t="shared" si="43"/>
        <v>1</v>
      </c>
    </row>
    <row r="240" spans="1:31" x14ac:dyDescent="0.25">
      <c r="A240">
        <v>15</v>
      </c>
      <c r="B240">
        <v>7</v>
      </c>
      <c r="C240">
        <v>261</v>
      </c>
      <c r="D240" s="11" t="s">
        <v>145</v>
      </c>
      <c r="E240" s="11" t="s">
        <v>250</v>
      </c>
      <c r="F240" s="11" t="s">
        <v>183</v>
      </c>
      <c r="G240" s="11" t="s">
        <v>282</v>
      </c>
      <c r="H240">
        <v>1</v>
      </c>
      <c r="I240" s="11" t="s">
        <v>188</v>
      </c>
      <c r="J240" s="11" t="s">
        <v>189</v>
      </c>
      <c r="K240" s="11" t="s">
        <v>181</v>
      </c>
      <c r="L240" s="11" t="s">
        <v>38</v>
      </c>
      <c r="M240" s="11" t="s">
        <v>38</v>
      </c>
      <c r="N240" s="11" t="s">
        <v>38</v>
      </c>
      <c r="O240" s="11" t="s">
        <v>38</v>
      </c>
      <c r="P240" t="s">
        <v>8</v>
      </c>
      <c r="Q240">
        <v>967</v>
      </c>
      <c r="R240">
        <v>0</v>
      </c>
      <c r="S240">
        <v>0</v>
      </c>
      <c r="T240" t="str">
        <f t="shared" si="33"/>
        <v>-</v>
      </c>
      <c r="U240" t="str">
        <f t="shared" si="34"/>
        <v>-</v>
      </c>
      <c r="V240" t="str">
        <f t="shared" si="35"/>
        <v>-</v>
      </c>
      <c r="W240" t="str">
        <f t="shared" si="36"/>
        <v>-</v>
      </c>
      <c r="X240" t="str">
        <f t="shared" si="37"/>
        <v>-</v>
      </c>
      <c r="Y240" t="str">
        <f t="shared" si="38"/>
        <v>-</v>
      </c>
      <c r="Z240" t="str">
        <f t="shared" si="39"/>
        <v>-</v>
      </c>
      <c r="AA240" t="str">
        <f t="shared" si="40"/>
        <v>-</v>
      </c>
      <c r="AB240" t="str">
        <f>IF(_xlfn.IFNA(VLOOKUP(P240,Set_Ref!$B$6:$B$1048576,1,FALSE),"")&lt;&gt;"","-",FALSE)</f>
        <v>-</v>
      </c>
      <c r="AC240" t="str">
        <f t="shared" si="41"/>
        <v>-</v>
      </c>
      <c r="AD240" t="str">
        <f t="shared" si="42"/>
        <v>-</v>
      </c>
      <c r="AE240" t="b">
        <f t="shared" si="43"/>
        <v>1</v>
      </c>
    </row>
    <row r="241" spans="1:31" x14ac:dyDescent="0.25">
      <c r="A241">
        <v>16</v>
      </c>
      <c r="B241">
        <v>1</v>
      </c>
      <c r="C241">
        <v>261</v>
      </c>
      <c r="D241" s="11" t="s">
        <v>145</v>
      </c>
      <c r="E241" s="11" t="s">
        <v>251</v>
      </c>
      <c r="F241" s="11" t="s">
        <v>221</v>
      </c>
      <c r="G241" s="11" t="s">
        <v>283</v>
      </c>
      <c r="H241">
        <v>1</v>
      </c>
      <c r="I241" s="11" t="s">
        <v>233</v>
      </c>
      <c r="J241" s="11" t="s">
        <v>234</v>
      </c>
      <c r="K241" s="11" t="s">
        <v>212</v>
      </c>
      <c r="L241" s="11" t="s">
        <v>38</v>
      </c>
      <c r="M241" s="11" t="s">
        <v>38</v>
      </c>
      <c r="N241" s="11" t="s">
        <v>38</v>
      </c>
      <c r="O241" s="11" t="s">
        <v>38</v>
      </c>
      <c r="P241" t="s">
        <v>8</v>
      </c>
      <c r="Q241">
        <v>4</v>
      </c>
      <c r="R241">
        <v>0</v>
      </c>
      <c r="S241">
        <v>0</v>
      </c>
      <c r="T241" t="str">
        <f t="shared" si="33"/>
        <v>-</v>
      </c>
      <c r="U241" t="str">
        <f t="shared" si="34"/>
        <v>-</v>
      </c>
      <c r="V241" t="str">
        <f t="shared" si="35"/>
        <v>-</v>
      </c>
      <c r="W241" t="str">
        <f t="shared" si="36"/>
        <v>-</v>
      </c>
      <c r="X241" t="str">
        <f t="shared" si="37"/>
        <v>-</v>
      </c>
      <c r="Y241" t="str">
        <f t="shared" si="38"/>
        <v>-</v>
      </c>
      <c r="Z241" t="str">
        <f t="shared" si="39"/>
        <v>-</v>
      </c>
      <c r="AA241" t="str">
        <f t="shared" si="40"/>
        <v>-</v>
      </c>
      <c r="AB241" t="str">
        <f>IF(_xlfn.IFNA(VLOOKUP(P241,Set_Ref!$B$6:$B$1048576,1,FALSE),"")&lt;&gt;"","-",FALSE)</f>
        <v>-</v>
      </c>
      <c r="AC241" t="str">
        <f t="shared" si="41"/>
        <v>-</v>
      </c>
      <c r="AD241" t="str">
        <f t="shared" si="42"/>
        <v>-</v>
      </c>
      <c r="AE241" t="b">
        <f t="shared" si="43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C0486025-D39B-4F8A-A505-CB14EFA0F9B6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2023-07-14T03:21:57Z</cp:lastPrinted>
  <dcterms:created xsi:type="dcterms:W3CDTF">2023-04-11T02:47:24Z</dcterms:created>
  <dcterms:modified xsi:type="dcterms:W3CDTF">2024-08-27T07:44:23Z</dcterms:modified>
</cp:coreProperties>
</file>