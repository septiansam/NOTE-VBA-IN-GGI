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00201D66-5181-48E3-A782-896A85D2E621}" xr6:coauthVersionLast="47" xr6:coauthVersionMax="47" xr10:uidLastSave="{00000000-0000-0000-0000-000000000000}"/>
  <bookViews>
    <workbookView xWindow="-120" yWindow="-120" windowWidth="20730" windowHeight="11160" tabRatio="685" activeTab="6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318" r:id="rId8"/>
    <sheet name="BAHANBAKU" sheetId="319" r:id="rId9"/>
  </sheets>
  <functionGroups builtInGroupCount="19"/>
  <externalReferences>
    <externalReference r:id="rId10"/>
  </externalReferences>
  <definedNames>
    <definedName name="_xlnm._FilterDatabase" localSheetId="8" hidden="1">BAHANBAKU!$A$2:$S$5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319"/>
  <c r="AD4" i="319"/>
  <c r="AD5" i="319"/>
  <c r="AC3" i="319"/>
  <c r="AC4" i="319"/>
  <c r="AC5" i="319"/>
  <c r="AB3" i="319"/>
  <c r="AB4" i="319"/>
  <c r="AB5" i="319"/>
  <c r="AA3" i="319"/>
  <c r="AA4" i="319"/>
  <c r="AA5" i="319"/>
  <c r="Z3" i="319"/>
  <c r="Z4" i="319"/>
  <c r="Z5" i="319"/>
  <c r="Y3" i="319"/>
  <c r="Y4" i="319"/>
  <c r="Y5" i="319"/>
  <c r="X3" i="319"/>
  <c r="X4" i="319"/>
  <c r="X5" i="319"/>
  <c r="W3" i="319"/>
  <c r="W4" i="319"/>
  <c r="W5" i="319"/>
  <c r="V3" i="319"/>
  <c r="V4" i="319"/>
  <c r="V5" i="319"/>
  <c r="U3" i="319"/>
  <c r="U4" i="319"/>
  <c r="U5" i="319"/>
  <c r="T3" i="319"/>
  <c r="T4" i="319"/>
  <c r="T5" i="319"/>
  <c r="X3" i="318"/>
  <c r="W3" i="318"/>
  <c r="V3" i="318"/>
  <c r="U3" i="318"/>
  <c r="T3" i="318"/>
  <c r="S3" i="318"/>
  <c r="R3" i="318"/>
  <c r="Q3" i="318"/>
  <c r="P3" i="318"/>
  <c r="O3" i="318"/>
  <c r="AE5" i="319" l="1"/>
  <c r="AE3" i="319"/>
  <c r="AE4" i="319"/>
  <c r="Y3" i="318"/>
  <c r="C6" i="135" s="1"/>
  <c r="C12" i="135" l="1"/>
  <c r="C2" i="135" s="1"/>
  <c r="D12" i="128"/>
  <c r="C1" i="135" l="1"/>
  <c r="C3" i="135" s="1"/>
  <c r="D8" i="128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DD8A1A1F-5D91-4C3E-A695-CB9A5EDED39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2C84FADB-B6FE-4229-A95D-D4D4FE7118B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713B827-258E-47A0-92C2-DD452B36959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64235321-752D-4F75-A213-50AF465A6BF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7A12FE4F-4874-48ED-83E5-9862A8485BB6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B7EA37ED-466F-49C2-99AA-E110721281C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C44B7F6C-20BA-4E66-9DBC-90B5C16B04AA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A53B85CA-F7D1-4F79-B8E4-B70783B39C52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2B1F9E2E-B1DF-4153-8F50-CCF3CD233DD0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5D96A00C-1249-453B-BFCB-7E8C100B2D62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7741D8D8-0CE7-4021-B897-C2AA4678139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8256A30D-B3AE-4979-82D4-DF1793752D5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AF425BE3-CB4A-4954-9E53-C852140EBF9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E0B9FAD1-6BA6-49AA-A222-DC5B2A356BF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5207BDBB-F762-42E9-8735-EEE39AA1885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14E3D409-8225-4427-9293-FE419EA5F630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E4F90A6D-5159-4364-96D1-026C31C3FCD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A319F84A-8601-4BA1-8ABE-EC54010D20E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0031E6D5-6CF3-4F33-A0D8-8DDCB49A00F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EF3ED772-51C9-43FA-AE2A-0C505DCE9B4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4C71E430-3EAF-4938-A480-A20B912CD89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A11A8E48-54A7-4F66-B4AE-C4DFF519953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6D611CF4-B611-4333-98DB-44EB1178F728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<sst xmlns="http://schemas.openxmlformats.org/spreadsheetml/2006/main" count="408" uniqueCount="189">
  <si>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</si>
  <si>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</si>
  <si>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</si>
  <si>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</si>
  <si>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</si>
  <si>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</si>
  <si>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</si>
  <si>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</si>
  <si>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</si>
  <si>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</si>
  <si>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</si>
  <si>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</si>
  <si>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</si>
  <si>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</si>
  <si>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</si>
  <si>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</si>
  <si>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</si>
  <si>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</si>
  <si>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</si>
  <si>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</si>
  <si>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</si>
  <si>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</si>
  <si>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</si>
  <si>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</si>
  <si>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</si>
  <si>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</si>
  <si>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</si>
  <si>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</si>
  <si>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</si>
  <si>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</si>
  <si>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</si>
  <si>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</si>
  <si>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</si>
  <si>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</si>
  <si>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</si>
  <si>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</si>
  <si>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</si>
  <si>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</si>
  <si>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</si>
  <si>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</si>
  <si>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</si>
  <si>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</si>
  <si>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</si>
  <si>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</si>
  <si>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</si>
  <si>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</si>
  <si>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</si>
  <si>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</si>
  <si>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</si>
  <si>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</si>
  <si>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</si>
  <si>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</si>
  <si>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</si>
  <si>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</si>
  <si>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</si>
  <si>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</si>
  <si>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</si>
  <si>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</si>
  <si>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</si>
  <si>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</si>
  <si>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</si>
  <si>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</si>
  <si>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</si>
  <si>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</si>
  <si>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</si>
  <si>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</si>
  <si>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</si>
  <si>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</si>
  <si>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</si>
  <si>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</si>
  <si>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</si>
  <si>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</si>
  <si>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</si>
  <si>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</si>
  <si>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</si>
  <si>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</si>
  <si>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</si>
  <si>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</si>
  <si>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</si>
  <si>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</si>
  <si>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</si>
  <si>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</si>
  <si>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</si>
  <si>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</si>
  <si>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</si>
  <si>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</si>
  <si>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</si>
  <si>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</si>
  <si>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</si>
  <si>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</si>
  <si>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</si>
  <si>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</si>
  <si>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</si>
  <si>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</si>
  <si>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</si>
  <si>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</si>
  <si>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</si>
  <si>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</si>
  <si>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</si>
  <si>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</si>
  <si>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</si>
  <si>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</si>
  <si>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</si>
  <si>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</si>
  <si>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</si>
  <si>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</si>
  <si>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</si>
  <si>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</si>
  <si>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</si>
  <si>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</si>
  <si>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</si>
  <si>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</si>
  <si>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</si>
  <si>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</si>
  <si>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</si>
  <si>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</si>
  <si>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</si>
  <si>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</si>
  <si>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</si>
  <si>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</si>
  <si>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</si>
  <si>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</si>
  <si>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</si>
  <si>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</si>
  <si>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</si>
  <si>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</si>
  <si>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</si>
  <si>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</si>
  <si>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</si>
  <si>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</si>
  <si>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</si>
  <si>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</si>
  <si>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</si>
  <si>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</si>
  <si>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</si>
  <si>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</si>
  <si>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</si>
  <si>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</si>
  <si>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</si>
  <si>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</si>
  <si>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</si>
  <si>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</si>
  <si>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</si>
  <si>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</si>
  <si>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</si>
  <si>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</si>
  <si>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</si>
  <si>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</si>
  <si>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</si>
  <si>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</si>
  <si>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</si>
  <si>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</si>
  <si>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</si>
  <si>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</si>
  <si>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</si>
  <si>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</si>
  <si>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</si>
  <si>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</si>
  <si>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</si>
  <si>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</si>
  <si>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</si>
  <si>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</si>
  <si>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</si>
  <si>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</si>
  <si>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</si>
  <si>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</si>
  <si>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</si>
  <si>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</si>
  <si>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</si>
  <si>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</si>
  <si>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</si>
  <si>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</si>
  <si>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</si>
  <si>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C:\Users\sdewi\Downloads\00026231560820240725001088.xlsx</t>
  </si>
  <si>
    <t>C:\Users\sdewi\Downloads\BC 262 24001049-1201- (3).xlsx</t>
  </si>
  <si>
    <t>65%LZING FR 33%ARMID 2%ANTISTC</t>
  </si>
  <si>
    <t>2024-05-16</t>
  </si>
  <si>
    <t>2024-05-20</t>
  </si>
  <si>
    <t>2024-05-30</t>
  </si>
  <si>
    <t>55169200</t>
  </si>
  <si>
    <t>292571</t>
  </si>
  <si>
    <t>607213</t>
  </si>
  <si>
    <t>297887</t>
  </si>
  <si>
    <t>607507</t>
  </si>
  <si>
    <t>608378</t>
  </si>
  <si>
    <t>00026131560820240516000987</t>
  </si>
  <si>
    <t>297887/297887</t>
  </si>
  <si>
    <t>00026131560820240520001004</t>
  </si>
  <si>
    <t>00026131560820240530001110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</si>
</sst>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Q9" sqref="Q9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7" sqref="C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173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174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17" sqref="D17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73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74</v>
      </c>
      <c r="B2" s="93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4" t="s">
        <v>72</v>
      </c>
      <c r="B3" s="94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2" t="s">
        <v>124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1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104.8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28.79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4974.18</v>
      </c>
      <c r="E11" s="17"/>
      <c r="F11" s="16"/>
    </row>
    <row r="12" spans="1:7" x14ac:dyDescent="0.25">
      <c r="A12" s="92" t="s">
        <v>125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3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5353.4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09CDB-BEFA-4C09-87C3-ECFD8C0B745C}">
  <dimension ref="A1:Y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33.425781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5" t="s">
        <v>170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x14ac:dyDescent="0.25">
      <c r="A3">
        <v>1</v>
      </c>
      <c r="B3" s="11" t="s">
        <v>179</v>
      </c>
      <c r="C3" s="11" t="s">
        <v>180</v>
      </c>
      <c r="D3" t="s">
        <v>175</v>
      </c>
      <c r="E3" t="s">
        <v>38</v>
      </c>
      <c r="F3" t="s">
        <v>38</v>
      </c>
      <c r="G3" t="s">
        <v>38</v>
      </c>
      <c r="H3" t="s">
        <v>38</v>
      </c>
      <c r="I3" t="s">
        <v>9</v>
      </c>
      <c r="J3">
        <v>104.8</v>
      </c>
      <c r="K3" t="s">
        <v>37</v>
      </c>
      <c r="L3">
        <v>1</v>
      </c>
      <c r="M3">
        <v>28.79</v>
      </c>
      <c r="N3">
        <v>4974.18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IF(OR(J3="",J3&lt;1),FALSE,IF(ISNUMBER(J3),"-",FALSE))</f>
        <v>-</v>
      </c>
      <c r="U3" t="str">
        <f>IF(ISTEXT(K3),  "-",FALSE)</f>
        <v>-</v>
      </c>
      <c r="V3" t="str">
        <f>IF(OR(L3="",L3&lt;0),FALSE,IF(ISNUMBER(L3),"-",FALSE))</f>
        <v>-</v>
      </c>
      <c r="W3" t="str">
        <f>IF(OR(M3="",M3&lt;0),FALSE,IF(ISNUMBER(M3),"-",FALSE))</f>
        <v>-</v>
      </c>
      <c r="X3" t="str">
        <f>IF(OR(N3="",N3&lt;0),FALSE,IF(ISNUMBER(N3),"-",FALSE))</f>
        <v>-</v>
      </c>
      <c r="Y3" t="b">
        <f>IF(COUNTIF($O$3:$X$3, "FALSE") &gt; 0, FALSE, TRUE)</f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2400-255B-4356-8E9D-6CB5BED3FB89}">
  <dimension ref="A1:AE5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5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91</v>
      </c>
      <c r="Q1" s="90"/>
      <c r="R1" s="90"/>
      <c r="S1" s="91"/>
      <c r="T1" s="95" t="s">
        <v>170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55" t="s">
        <v>145</v>
      </c>
      <c r="E3" s="11" t="s">
        <v>181</v>
      </c>
      <c r="F3" s="11" t="s">
        <v>176</v>
      </c>
      <c r="G3" s="11" t="s">
        <v>185</v>
      </c>
      <c r="H3">
        <v>20</v>
      </c>
      <c r="I3" s="11" t="s">
        <v>179</v>
      </c>
      <c r="J3" s="11" t="s">
        <v>186</v>
      </c>
      <c r="K3" s="11" t="s">
        <v>175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9</v>
      </c>
      <c r="Q3">
        <v>3257.4</v>
      </c>
      <c r="R3">
        <v>0</v>
      </c>
      <c r="S3">
        <v>0</v>
      </c>
      <c r="T3" t="str">
        <f t="shared" ref="T3:T5" si="0">IF(OR(A3="",A3&lt;1),FALSE,IF(ISNUMBER(A3), IF(INT(A3) = A3, "-", FALSE), FALSE))</f>
        <v>-</v>
      </c>
      <c r="U3" t="str">
        <f t="shared" ref="U3:U5" si="1">IF(OR(B3="",A3&lt;1),FALSE,IF(ISNUMBER(A3), IF(INT(A3) = A3, "-", FALSE), FALSE))</f>
        <v>-</v>
      </c>
      <c r="V3" t="str">
        <f t="shared" ref="V3:V5" si="2">IF(OR(C3="",C3="PilihSalasatu"),FALSE,"-")</f>
        <v>-</v>
      </c>
      <c r="W3" t="str">
        <f t="shared" ref="W3:W5" si="3">IF(D3="",FALSE,"-")</f>
        <v>-</v>
      </c>
      <c r="X3" t="str">
        <f t="shared" ref="X3:X5" si="4">IF(E3="",FALSE,"-")</f>
        <v>-</v>
      </c>
      <c r="Y3" t="str">
        <f t="shared" ref="Y3:Y5" si="5">IF(F3="",FALSE,"-")</f>
        <v>-</v>
      </c>
      <c r="Z3" t="str">
        <f t="shared" ref="Z3:Z5" si="6">IF(I3="",FALSE,"-")</f>
        <v>-</v>
      </c>
      <c r="AA3" t="str">
        <f t="shared" ref="AA3:AA5" si="7">IF(J3="",FALSE,"-")</f>
        <v>-</v>
      </c>
      <c r="AB3" t="str">
        <f>IF(_xlfn.IFNA(VLOOKUP(P3,Set_Ref!$B$6:$B$1048576,1,FALSE),"")&lt;&gt;"","-",FALSE)</f>
        <v>-</v>
      </c>
      <c r="AC3" t="str">
        <f t="shared" ref="AC3:AC5" si="8">IF(OR(Q3="",Q3&lt;1),FALSE,IF(ISNUMBER(Q3),"-",FALSE))</f>
        <v>-</v>
      </c>
      <c r="AD3" t="str">
        <f t="shared" ref="AD3:AD5" si="9">IF(OR(G3="",H3="",I3="",K3=""),FALSE,"-")</f>
        <v>-</v>
      </c>
      <c r="AE3" t="b">
        <f t="shared" ref="AE3:AE5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145</v>
      </c>
      <c r="E4" s="11" t="s">
        <v>183</v>
      </c>
      <c r="F4" s="11" t="s">
        <v>177</v>
      </c>
      <c r="G4" s="11" t="s">
        <v>187</v>
      </c>
      <c r="H4">
        <v>2</v>
      </c>
      <c r="I4" s="11" t="s">
        <v>179</v>
      </c>
      <c r="J4" s="11" t="s">
        <v>180</v>
      </c>
      <c r="K4" s="11" t="s">
        <v>175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9</v>
      </c>
      <c r="Q4">
        <v>1991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145</v>
      </c>
      <c r="E5" s="11" t="s">
        <v>184</v>
      </c>
      <c r="F5" s="11" t="s">
        <v>178</v>
      </c>
      <c r="G5" s="11" t="s">
        <v>188</v>
      </c>
      <c r="H5">
        <v>1</v>
      </c>
      <c r="I5" s="11" t="s">
        <v>179</v>
      </c>
      <c r="J5" s="11" t="s">
        <v>182</v>
      </c>
      <c r="K5" s="11" t="s">
        <v>175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9</v>
      </c>
      <c r="Q5">
        <v>105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7DE656FE-CAE7-44AF-83CB-3A6BCF88F54C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2024-07-25T09:56:13Z</dcterms:modified>
</cp:coreProperties>
</file>